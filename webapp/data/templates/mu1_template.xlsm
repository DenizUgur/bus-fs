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niz/Documents/PROJECTS/WEB PROJECTS/bus-fs/webapp/data/templates/"/>
    </mc:Choice>
  </mc:AlternateContent>
  <xr:revisionPtr revIDLastSave="0" documentId="13_ncr:1_{EF649EAA-5D76-9A42-A1CC-EEE106A2601C}" xr6:coauthVersionLast="46" xr6:coauthVersionMax="46" xr10:uidLastSave="{00000000-0000-0000-0000-000000000000}"/>
  <bookViews>
    <workbookView xWindow="0" yWindow="460" windowWidth="20740" windowHeight="11760" xr2:uid="{D3B538CC-5CEF-9F46-8498-7D55CAB0729A}"/>
  </bookViews>
  <sheets>
    <sheet name="ID" sheetId="1" r:id="rId1"/>
    <sheet name="EXAM" sheetId="4" state="veryHidden" r:id="rId2"/>
    <sheet name="HIDEME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6" i="4" l="1"/>
  <c r="G32" i="4"/>
  <c r="H31" i="4"/>
  <c r="N17" i="4"/>
  <c r="C2" i="3"/>
  <c r="N18" i="4" l="1"/>
  <c r="N19" i="4" s="1"/>
  <c r="L23" i="1"/>
  <c r="N5" i="3"/>
  <c r="N6" i="3"/>
  <c r="H32" i="4"/>
  <c r="H34" i="4"/>
  <c r="H33" i="4"/>
  <c r="H36" i="4"/>
  <c r="H35" i="4"/>
  <c r="G33" i="4"/>
  <c r="G34" i="4"/>
  <c r="G35" i="4"/>
  <c r="N7" i="3" l="1"/>
  <c r="M16" i="3" l="1"/>
  <c r="M15" i="3"/>
  <c r="M14" i="3"/>
  <c r="M13" i="3"/>
  <c r="D9" i="1" l="1"/>
  <c r="G3" i="4" l="1"/>
</calcChain>
</file>

<file path=xl/sharedStrings.xml><?xml version="1.0" encoding="utf-8"?>
<sst xmlns="http://schemas.openxmlformats.org/spreadsheetml/2006/main" count="75" uniqueCount="70">
  <si>
    <t>Last Minute Instructions:</t>
  </si>
  <si>
    <t>1)</t>
  </si>
  <si>
    <r>
      <t xml:space="preserve">Remember: You won't be able to use </t>
    </r>
    <r>
      <rPr>
        <i/>
        <sz val="14"/>
        <color theme="0"/>
        <rFont val="Calibri"/>
        <family val="2"/>
        <scheme val="minor"/>
      </rPr>
      <t xml:space="preserve">cut-paste </t>
    </r>
    <r>
      <rPr>
        <sz val="14"/>
        <color theme="0"/>
        <rFont val="Calibri"/>
        <family val="2"/>
        <scheme val="minor"/>
      </rPr>
      <t xml:space="preserve">and </t>
    </r>
    <r>
      <rPr>
        <b/>
        <sz val="14"/>
        <color theme="0"/>
        <rFont val="Calibri"/>
        <family val="2"/>
        <scheme val="minor"/>
      </rPr>
      <t>don't</t>
    </r>
    <r>
      <rPr>
        <sz val="14"/>
        <color theme="0"/>
        <rFont val="Calibri"/>
        <family val="2"/>
        <scheme val="minor"/>
      </rPr>
      <t xml:space="preserve"> use drag and drop.</t>
    </r>
  </si>
  <si>
    <t>2)</t>
  </si>
  <si>
    <r>
      <t xml:space="preserve">Always use </t>
    </r>
    <r>
      <rPr>
        <b/>
        <u/>
        <sz val="14"/>
        <color theme="0"/>
        <rFont val="Calibri"/>
        <family val="2"/>
        <charset val="162"/>
        <scheme val="minor"/>
      </rPr>
      <t>Paste Special -&gt; Values</t>
    </r>
    <r>
      <rPr>
        <sz val="14"/>
        <color theme="0"/>
        <rFont val="Calibri"/>
        <family val="2"/>
        <scheme val="minor"/>
      </rPr>
      <t xml:space="preserve"> to paste your answers!!!</t>
    </r>
  </si>
  <si>
    <t>3)</t>
  </si>
  <si>
    <t>Crying is allowed but please do so without leaving your camera's sight.</t>
  </si>
  <si>
    <t>4)</t>
  </si>
  <si>
    <t>5)</t>
  </si>
  <si>
    <t>Do not upload your file's shortcut to LMS.
(If the size of your file is 1-2 KB you are probably uploading shortcut.)</t>
  </si>
  <si>
    <t>PASSWORD</t>
  </si>
  <si>
    <t>STUDENT NAME</t>
  </si>
  <si>
    <t>Time + 3.0 + 2.5</t>
  </si>
  <si>
    <t>Time</t>
  </si>
  <si>
    <t>Remaining</t>
  </si>
  <si>
    <t>Cancel Time</t>
  </si>
  <si>
    <t>Time Changed</t>
  </si>
  <si>
    <t>Extra Time</t>
  </si>
  <si>
    <t>Remaining Time:</t>
  </si>
  <si>
    <t>You Have</t>
  </si>
  <si>
    <t>Minutes</t>
  </si>
  <si>
    <t>To Start Your Exam Click the Start Button</t>
  </si>
  <si>
    <t>Revenue</t>
  </si>
  <si>
    <t>Gross Margin</t>
  </si>
  <si>
    <t>NPV</t>
  </si>
  <si>
    <t>Answers</t>
  </si>
  <si>
    <t>Cost of Capital</t>
  </si>
  <si>
    <t>Selling Price</t>
  </si>
  <si>
    <t>TABLE A</t>
  </si>
  <si>
    <r>
      <rPr>
        <b/>
        <u/>
        <sz val="14"/>
        <color theme="0"/>
        <rFont val="Calibri"/>
        <family val="2"/>
        <charset val="162"/>
        <scheme val="minor"/>
      </rPr>
      <t>Watch the Time</t>
    </r>
    <r>
      <rPr>
        <sz val="14"/>
        <color theme="0"/>
        <rFont val="Calibri"/>
        <family val="2"/>
        <scheme val="minor"/>
      </rPr>
      <t xml:space="preserve"> - you have </t>
    </r>
    <r>
      <rPr>
        <b/>
        <sz val="14"/>
        <color theme="0"/>
        <rFont val="Calibri"/>
        <family val="2"/>
        <charset val="162"/>
        <scheme val="minor"/>
      </rPr>
      <t xml:space="preserve">ten minutes </t>
    </r>
    <r>
      <rPr>
        <sz val="14"/>
        <color theme="0"/>
        <rFont val="Calibri"/>
        <family val="2"/>
        <scheme val="minor"/>
      </rPr>
      <t>to finish the exam.</t>
    </r>
  </si>
  <si>
    <t>Accounting  Q1</t>
  </si>
  <si>
    <t>Cost of Goods Sold</t>
  </si>
  <si>
    <t>Accounting Q2</t>
  </si>
  <si>
    <t>Finance Q2</t>
  </si>
  <si>
    <t>Finance Q1</t>
  </si>
  <si>
    <t>Initial Cost</t>
  </si>
  <si>
    <t>Period</t>
  </si>
  <si>
    <t>Annual Revenue</t>
  </si>
  <si>
    <t>Annual Cost</t>
  </si>
  <si>
    <t>Annual Net Cash Flow</t>
  </si>
  <si>
    <t>ANSWER</t>
  </si>
  <si>
    <t>Welcome to Make-up 1</t>
  </si>
  <si>
    <t>There are 4 questions.</t>
  </si>
  <si>
    <t>Student id</t>
  </si>
  <si>
    <t>S000001</t>
  </si>
  <si>
    <t>To have $100,000 at the end of 3 years, how much should you pay each year to a bank which has an annual interest rate of 12%?</t>
  </si>
  <si>
    <t>R&amp;D</t>
  </si>
  <si>
    <t>Marketing</t>
  </si>
  <si>
    <t>Income Before Taxes</t>
  </si>
  <si>
    <t>Income Tax Expense</t>
  </si>
  <si>
    <t>Net Income</t>
  </si>
  <si>
    <t>Tax Rate</t>
  </si>
  <si>
    <t>Unit Price</t>
  </si>
  <si>
    <t>Sales Volume</t>
  </si>
  <si>
    <t>XBox-1</t>
  </si>
  <si>
    <t>XBox-X</t>
  </si>
  <si>
    <t>Report the contribution margin for one unit of XBox-1. (Use Table A)</t>
  </si>
  <si>
    <t>Table A</t>
  </si>
  <si>
    <t>Table B</t>
  </si>
  <si>
    <t>B-Co produces XBox-1 and XBox-X together. The annual income statement of B-Co is given in Table C. Report the new net income if their R&amp;D costs increase by 14% and the variable costs for XBox-X decrease by 50%. (Use Table A, Table B and Table C)</t>
  </si>
  <si>
    <t>TABLE B</t>
  </si>
  <si>
    <t>Accounting 1</t>
  </si>
  <si>
    <t>Accounting 2</t>
  </si>
  <si>
    <t>Finance 1</t>
  </si>
  <si>
    <t>Finance 2</t>
  </si>
  <si>
    <t>Unit Variable Cost</t>
  </si>
  <si>
    <t>Total Annual Direct Fixed Costs</t>
  </si>
  <si>
    <t>Table C: Annual Income Statement of B-Co</t>
  </si>
  <si>
    <t>Pts</t>
  </si>
  <si>
    <t>Report the "Annual Revenue" that allows the company to make 1,500 TL more than the expected amount. USE Table A and 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</si>
</sst>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h:mm;@"/>
    <numFmt numFmtId="165" formatCode="[$-F400]h:mm:ss\ AM/PM"/>
    <numFmt numFmtId="166" formatCode="h:mm:ss;@"/>
    <numFmt numFmtId="167" formatCode="_-* #,##0.00\ &quot;TL&quot;_-;\-* #,##0.00\ &quot;TL&quot;_-;_-* &quot;-&quot;??\ &quot;TL&quot;_-;_-@_-"/>
    <numFmt numFmtId="168" formatCode="_(* #,##0.0000000000_);_(* \(#,##0.0000000000\);_(* &quot;-&quot;??_);_(@_)"/>
    <numFmt numFmtId="169" formatCode="&quot;$&quot;#,##0.00"/>
  </numFmts>
  <fonts count="40" x14ac:knownFonts="1"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charset val="162"/>
      <scheme val="minor"/>
    </font>
    <font>
      <sz val="14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Times"/>
      <family val="1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charset val="162"/>
      <scheme val="minor"/>
    </font>
    <font>
      <sz val="28"/>
      <color theme="0"/>
      <name val="Calibri"/>
      <family val="2"/>
      <scheme val="minor"/>
    </font>
    <font>
      <sz val="3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</patternFill>
    </fill>
    <fill>
      <patternFill patternType="solid">
        <fgColor rgb="FFCC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11">
    <xf numFmtId="0" fontId="0" fillId="0" borderId="0"/>
    <xf numFmtId="43" fontId="11" fillId="0" borderId="0" applyFont="0" applyFill="0" applyBorder="0" applyAlignment="0" applyProtection="0"/>
    <xf numFmtId="0" fontId="17" fillId="2" borderId="0" applyNumberFormat="0" applyBorder="0" applyAlignment="0" applyProtection="0"/>
    <xf numFmtId="0" fontId="20" fillId="0" borderId="0" applyNumberFormat="0" applyFill="0" applyBorder="0" applyAlignment="0" applyProtection="0"/>
    <xf numFmtId="0" fontId="22" fillId="0" borderId="0"/>
    <xf numFmtId="43" fontId="23" fillId="0" borderId="0" applyFont="0" applyFill="0" applyBorder="0" applyAlignment="0" applyProtection="0"/>
    <xf numFmtId="167" fontId="24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7" fillId="5" borderId="0" applyNumberFormat="0" applyBorder="0" applyAlignment="0" applyProtection="0"/>
    <xf numFmtId="9" fontId="22" fillId="0" borderId="0" applyFont="0" applyFill="0" applyBorder="0" applyAlignment="0" applyProtection="0"/>
    <xf numFmtId="0" fontId="31" fillId="0" borderId="0"/>
  </cellStyleXfs>
  <cellXfs count="137">
    <xf numFmtId="0" fontId="0" fillId="0" borderId="0" xfId="0"/>
    <xf numFmtId="164" fontId="0" fillId="0" borderId="0" xfId="0" applyNumberFormat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65" fontId="0" fillId="0" borderId="3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166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Alignment="1">
      <alignment horizontal="center"/>
    </xf>
    <xf numFmtId="0" fontId="12" fillId="0" borderId="12" xfId="0" applyFont="1" applyBorder="1" applyAlignment="1" applyProtection="1">
      <alignment horizontal="center"/>
      <protection locked="0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20" fillId="0" borderId="0" xfId="3"/>
    <xf numFmtId="0" fontId="21" fillId="0" borderId="0" xfId="0" applyFont="1"/>
    <xf numFmtId="0" fontId="16" fillId="0" borderId="0" xfId="0" applyFont="1"/>
    <xf numFmtId="43" fontId="0" fillId="0" borderId="0" xfId="0" applyNumberFormat="1"/>
    <xf numFmtId="0" fontId="26" fillId="0" borderId="0" xfId="0" applyFont="1" applyAlignment="1">
      <alignment vertical="center"/>
    </xf>
    <xf numFmtId="168" fontId="13" fillId="0" borderId="0" xfId="1" applyNumberFormat="1" applyFont="1"/>
    <xf numFmtId="0" fontId="29" fillId="6" borderId="13" xfId="4" applyFont="1" applyFill="1" applyBorder="1" applyAlignment="1">
      <alignment horizontal="center" vertical="center" wrapText="1"/>
    </xf>
    <xf numFmtId="2" fontId="30" fillId="6" borderId="13" xfId="1" applyNumberFormat="1" applyFont="1" applyFill="1" applyBorder="1" applyAlignment="1">
      <alignment vertical="center" wrapText="1"/>
    </xf>
    <xf numFmtId="45" fontId="0" fillId="0" borderId="0" xfId="0" applyNumberFormat="1"/>
    <xf numFmtId="0" fontId="31" fillId="0" borderId="0" xfId="10"/>
    <xf numFmtId="0" fontId="29" fillId="7" borderId="13" xfId="4" applyFont="1" applyFill="1" applyBorder="1" applyAlignment="1">
      <alignment horizontal="center" vertical="center" wrapText="1"/>
    </xf>
    <xf numFmtId="2" fontId="30" fillId="7" borderId="13" xfId="1" applyNumberFormat="1" applyFont="1" applyFill="1" applyBorder="1" applyAlignment="1">
      <alignment vertical="center" wrapText="1"/>
    </xf>
    <xf numFmtId="0" fontId="32" fillId="7" borderId="16" xfId="4" applyFont="1" applyFill="1" applyBorder="1"/>
    <xf numFmtId="9" fontId="33" fillId="0" borderId="18" xfId="4" applyNumberFormat="1" applyFont="1" applyBorder="1"/>
    <xf numFmtId="0" fontId="32" fillId="7" borderId="19" xfId="4" applyFont="1" applyFill="1" applyBorder="1"/>
    <xf numFmtId="167" fontId="25" fillId="0" borderId="20" xfId="6" applyFont="1" applyBorder="1"/>
    <xf numFmtId="0" fontId="30" fillId="7" borderId="19" xfId="4" applyFont="1" applyFill="1" applyBorder="1"/>
    <xf numFmtId="167" fontId="33" fillId="0" borderId="11" xfId="6" applyFont="1" applyBorder="1"/>
    <xf numFmtId="167" fontId="25" fillId="0" borderId="11" xfId="6" applyFont="1" applyBorder="1"/>
    <xf numFmtId="0" fontId="33" fillId="0" borderId="0" xfId="4" applyFont="1"/>
    <xf numFmtId="0" fontId="30" fillId="7" borderId="21" xfId="4" applyFont="1" applyFill="1" applyBorder="1"/>
    <xf numFmtId="0" fontId="34" fillId="0" borderId="0" xfId="10" applyFont="1"/>
    <xf numFmtId="0" fontId="30" fillId="7" borderId="17" xfId="4" applyFont="1" applyFill="1" applyBorder="1" applyAlignment="1">
      <alignment horizontal="center" vertical="center"/>
    </xf>
    <xf numFmtId="0" fontId="30" fillId="7" borderId="18" xfId="4" applyFont="1" applyFill="1" applyBorder="1" applyAlignment="1">
      <alignment horizontal="center" vertical="center" wrapText="1"/>
    </xf>
    <xf numFmtId="0" fontId="32" fillId="7" borderId="16" xfId="4" applyFont="1" applyFill="1" applyBorder="1" applyAlignment="1">
      <alignment horizontal="center" vertical="center"/>
    </xf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2" fillId="4" borderId="4" xfId="0" applyFont="1" applyFill="1" applyBorder="1"/>
    <xf numFmtId="0" fontId="1" fillId="4" borderId="5" xfId="0" applyFont="1" applyFill="1" applyBorder="1"/>
    <xf numFmtId="0" fontId="3" fillId="4" borderId="4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 vertical="top"/>
    </xf>
    <xf numFmtId="0" fontId="9" fillId="4" borderId="6" xfId="0" applyFont="1" applyFill="1" applyBorder="1"/>
    <xf numFmtId="0" fontId="1" fillId="4" borderId="7" xfId="0" applyFont="1" applyFill="1" applyBorder="1"/>
    <xf numFmtId="0" fontId="3" fillId="4" borderId="5" xfId="0" applyFont="1" applyFill="1" applyBorder="1" applyAlignment="1">
      <alignment horizontal="left"/>
    </xf>
    <xf numFmtId="0" fontId="16" fillId="8" borderId="10" xfId="0" applyFont="1" applyFill="1" applyBorder="1"/>
    <xf numFmtId="0" fontId="16" fillId="0" borderId="13" xfId="0" applyFont="1" applyBorder="1" applyAlignment="1">
      <alignment horizontal="right"/>
    </xf>
    <xf numFmtId="0" fontId="12" fillId="3" borderId="12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/>
    <xf numFmtId="0" fontId="3" fillId="4" borderId="0" xfId="0" applyFont="1" applyFill="1" applyBorder="1" applyAlignment="1">
      <alignment horizontal="left"/>
    </xf>
    <xf numFmtId="0" fontId="37" fillId="4" borderId="8" xfId="0" applyFont="1" applyFill="1" applyBorder="1" applyAlignment="1">
      <alignment horizontal="left"/>
    </xf>
    <xf numFmtId="0" fontId="32" fillId="7" borderId="21" xfId="4" applyFont="1" applyFill="1" applyBorder="1"/>
    <xf numFmtId="167" fontId="25" fillId="0" borderId="22" xfId="6" applyFont="1" applyBorder="1"/>
    <xf numFmtId="0" fontId="0" fillId="0" borderId="0" xfId="0" applyAlignment="1">
      <alignment wrapText="1"/>
    </xf>
    <xf numFmtId="0" fontId="29" fillId="6" borderId="13" xfId="4" applyFont="1" applyFill="1" applyBorder="1" applyAlignment="1">
      <alignment horizontal="center" vertical="center"/>
    </xf>
    <xf numFmtId="0" fontId="38" fillId="6" borderId="16" xfId="4" applyFont="1" applyFill="1" applyBorder="1" applyAlignment="1">
      <alignment horizontal="left" vertical="center"/>
    </xf>
    <xf numFmtId="0" fontId="38" fillId="6" borderId="19" xfId="4" applyFont="1" applyFill="1" applyBorder="1" applyAlignment="1">
      <alignment horizontal="left" vertical="center"/>
    </xf>
    <xf numFmtId="0" fontId="38" fillId="6" borderId="21" xfId="4" applyFont="1" applyFill="1" applyBorder="1" applyAlignment="1">
      <alignment horizontal="left" vertical="center"/>
    </xf>
    <xf numFmtId="0" fontId="29" fillId="6" borderId="9" xfId="4" applyFont="1" applyFill="1" applyBorder="1" applyAlignment="1">
      <alignment vertical="center"/>
    </xf>
    <xf numFmtId="0" fontId="29" fillId="6" borderId="10" xfId="4" applyFont="1" applyFill="1" applyBorder="1" applyAlignment="1">
      <alignment vertical="center"/>
    </xf>
    <xf numFmtId="0" fontId="29" fillId="6" borderId="13" xfId="4" applyFont="1" applyFill="1" applyBorder="1" applyAlignment="1">
      <alignment vertical="center"/>
    </xf>
    <xf numFmtId="9" fontId="0" fillId="0" borderId="11" xfId="0" applyNumberFormat="1" applyBorder="1" applyAlignment="1">
      <alignment horizontal="center" wrapText="1"/>
    </xf>
    <xf numFmtId="0" fontId="29" fillId="6" borderId="15" xfId="4" applyFont="1" applyFill="1" applyBorder="1" applyAlignment="1">
      <alignment horizontal="center" vertical="center"/>
    </xf>
    <xf numFmtId="0" fontId="38" fillId="6" borderId="26" xfId="4" applyFont="1" applyFill="1" applyBorder="1" applyAlignment="1">
      <alignment horizontal="left" vertical="center"/>
    </xf>
    <xf numFmtId="0" fontId="38" fillId="6" borderId="27" xfId="4" applyFont="1" applyFill="1" applyBorder="1" applyAlignment="1">
      <alignment horizontal="left" vertical="center"/>
    </xf>
    <xf numFmtId="0" fontId="38" fillId="6" borderId="28" xfId="4" applyFont="1" applyFill="1" applyBorder="1" applyAlignment="1">
      <alignment horizontal="left" vertical="center"/>
    </xf>
    <xf numFmtId="0" fontId="29" fillId="6" borderId="13" xfId="4" applyFont="1" applyFill="1" applyBorder="1" applyAlignment="1">
      <alignment vertical="center" wrapText="1"/>
    </xf>
    <xf numFmtId="0" fontId="25" fillId="0" borderId="2" xfId="4" applyFont="1" applyBorder="1"/>
    <xf numFmtId="167" fontId="30" fillId="0" borderId="23" xfId="6" applyFont="1" applyBorder="1"/>
    <xf numFmtId="167" fontId="25" fillId="0" borderId="29" xfId="6" applyFont="1" applyBorder="1"/>
    <xf numFmtId="0" fontId="30" fillId="7" borderId="13" xfId="4" applyFont="1" applyFill="1" applyBorder="1"/>
    <xf numFmtId="169" fontId="0" fillId="0" borderId="18" xfId="0" applyNumberFormat="1" applyBorder="1" applyAlignment="1">
      <alignment wrapText="1"/>
    </xf>
    <xf numFmtId="169" fontId="0" fillId="0" borderId="20" xfId="0" applyNumberFormat="1" applyBorder="1" applyAlignment="1">
      <alignment wrapText="1"/>
    </xf>
    <xf numFmtId="169" fontId="0" fillId="0" borderId="22" xfId="0" applyNumberFormat="1" applyBorder="1" applyAlignment="1">
      <alignment wrapText="1"/>
    </xf>
    <xf numFmtId="169" fontId="0" fillId="0" borderId="24" xfId="0" applyNumberFormat="1" applyBorder="1"/>
    <xf numFmtId="169" fontId="0" fillId="0" borderId="25" xfId="0" applyNumberFormat="1" applyBorder="1"/>
    <xf numFmtId="169" fontId="0" fillId="0" borderId="23" xfId="0" applyNumberFormat="1" applyBorder="1"/>
    <xf numFmtId="169" fontId="0" fillId="0" borderId="18" xfId="0" applyNumberFormat="1" applyBorder="1"/>
    <xf numFmtId="169" fontId="0" fillId="0" borderId="20" xfId="0" applyNumberFormat="1" applyBorder="1"/>
    <xf numFmtId="169" fontId="0" fillId="0" borderId="22" xfId="0" applyNumberFormat="1" applyBorder="1"/>
    <xf numFmtId="169" fontId="0" fillId="0" borderId="13" xfId="0" applyNumberFormat="1" applyBorder="1"/>
    <xf numFmtId="0" fontId="39" fillId="0" borderId="0" xfId="0" applyFont="1"/>
    <xf numFmtId="0" fontId="39" fillId="0" borderId="0" xfId="0" applyFont="1" applyAlignment="1">
      <alignment wrapText="1"/>
    </xf>
    <xf numFmtId="0" fontId="0" fillId="9" borderId="10" xfId="0" applyFill="1" applyBorder="1" applyProtection="1">
      <protection locked="0"/>
    </xf>
    <xf numFmtId="0" fontId="0" fillId="9" borderId="9" xfId="0" applyFill="1" applyBorder="1"/>
    <xf numFmtId="167" fontId="25" fillId="0" borderId="20" xfId="6" applyFont="1" applyFill="1" applyBorder="1"/>
    <xf numFmtId="0" fontId="35" fillId="3" borderId="1" xfId="2" applyFont="1" applyFill="1" applyBorder="1" applyAlignment="1">
      <alignment horizontal="center" vertical="center"/>
    </xf>
    <xf numFmtId="0" fontId="35" fillId="3" borderId="2" xfId="2" applyFont="1" applyFill="1" applyBorder="1" applyAlignment="1">
      <alignment horizontal="center" vertical="center"/>
    </xf>
    <xf numFmtId="0" fontId="35" fillId="3" borderId="3" xfId="2" applyFont="1" applyFill="1" applyBorder="1" applyAlignment="1">
      <alignment horizontal="center" vertical="center"/>
    </xf>
    <xf numFmtId="0" fontId="35" fillId="3" borderId="6" xfId="2" applyFont="1" applyFill="1" applyBorder="1" applyAlignment="1">
      <alignment horizontal="center" vertical="center"/>
    </xf>
    <xf numFmtId="0" fontId="35" fillId="3" borderId="7" xfId="2" applyFont="1" applyFill="1" applyBorder="1" applyAlignment="1">
      <alignment horizontal="center" vertical="center"/>
    </xf>
    <xf numFmtId="0" fontId="35" fillId="3" borderId="8" xfId="2" applyFont="1" applyFill="1" applyBorder="1" applyAlignment="1">
      <alignment horizontal="center" vertical="center"/>
    </xf>
    <xf numFmtId="0" fontId="18" fillId="4" borderId="1" xfId="2" applyFont="1" applyFill="1" applyBorder="1" applyAlignment="1">
      <alignment horizontal="right"/>
    </xf>
    <xf numFmtId="0" fontId="18" fillId="4" borderId="2" xfId="2" applyFont="1" applyFill="1" applyBorder="1" applyAlignment="1">
      <alignment horizontal="right"/>
    </xf>
    <xf numFmtId="0" fontId="18" fillId="4" borderId="6" xfId="2" applyFont="1" applyFill="1" applyBorder="1" applyAlignment="1">
      <alignment horizontal="right"/>
    </xf>
    <xf numFmtId="0" fontId="18" fillId="4" borderId="7" xfId="2" applyFont="1" applyFill="1" applyBorder="1" applyAlignment="1">
      <alignment horizontal="right"/>
    </xf>
    <xf numFmtId="45" fontId="19" fillId="4" borderId="2" xfId="2" applyNumberFormat="1" applyFont="1" applyFill="1" applyBorder="1" applyAlignment="1">
      <alignment horizontal="center"/>
    </xf>
    <xf numFmtId="45" fontId="19" fillId="4" borderId="7" xfId="2" applyNumberFormat="1" applyFont="1" applyFill="1" applyBorder="1" applyAlignment="1">
      <alignment horizontal="center"/>
    </xf>
    <xf numFmtId="0" fontId="18" fillId="4" borderId="2" xfId="2" applyFont="1" applyFill="1" applyBorder="1" applyAlignment="1">
      <alignment horizontal="left"/>
    </xf>
    <xf numFmtId="0" fontId="18" fillId="4" borderId="3" xfId="2" applyFont="1" applyFill="1" applyBorder="1" applyAlignment="1">
      <alignment horizontal="left"/>
    </xf>
    <xf numFmtId="0" fontId="18" fillId="4" borderId="7" xfId="2" applyFont="1" applyFill="1" applyBorder="1" applyAlignment="1">
      <alignment horizontal="left"/>
    </xf>
    <xf numFmtId="0" fontId="18" fillId="4" borderId="8" xfId="2" applyFont="1" applyFill="1" applyBorder="1" applyAlignment="1">
      <alignment horizontal="left"/>
    </xf>
    <xf numFmtId="0" fontId="18" fillId="4" borderId="1" xfId="2" applyFont="1" applyFill="1" applyBorder="1" applyAlignment="1">
      <alignment horizontal="center" vertical="center" wrapText="1"/>
    </xf>
    <xf numFmtId="0" fontId="18" fillId="4" borderId="2" xfId="2" applyFont="1" applyFill="1" applyBorder="1" applyAlignment="1">
      <alignment horizontal="center" vertical="center" wrapText="1"/>
    </xf>
    <xf numFmtId="0" fontId="18" fillId="4" borderId="3" xfId="2" applyFont="1" applyFill="1" applyBorder="1" applyAlignment="1">
      <alignment horizontal="center" vertical="center" wrapText="1"/>
    </xf>
    <xf numFmtId="0" fontId="18" fillId="4" borderId="6" xfId="2" applyFont="1" applyFill="1" applyBorder="1" applyAlignment="1">
      <alignment horizontal="center" vertical="center" wrapText="1"/>
    </xf>
    <xf numFmtId="0" fontId="18" fillId="4" borderId="7" xfId="2" applyFont="1" applyFill="1" applyBorder="1" applyAlignment="1">
      <alignment horizontal="center" vertical="center" wrapText="1"/>
    </xf>
    <xf numFmtId="0" fontId="18" fillId="4" borderId="8" xfId="2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left" vertical="top" wrapText="1"/>
    </xf>
    <xf numFmtId="0" fontId="3" fillId="4" borderId="5" xfId="0" applyFont="1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center" wrapText="1"/>
    </xf>
    <xf numFmtId="0" fontId="3" fillId="4" borderId="5" xfId="0" applyFont="1" applyFill="1" applyBorder="1" applyAlignment="1">
      <alignment horizontal="left" vertical="center" wrapText="1"/>
    </xf>
    <xf numFmtId="0" fontId="7" fillId="4" borderId="0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12" fillId="0" borderId="9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12" fillId="0" borderId="10" xfId="0" applyFont="1" applyBorder="1" applyAlignment="1">
      <alignment horizontal="left" vertical="center" wrapText="1"/>
    </xf>
    <xf numFmtId="0" fontId="32" fillId="7" borderId="9" xfId="4" applyFont="1" applyFill="1" applyBorder="1" applyAlignment="1">
      <alignment horizontal="center"/>
    </xf>
    <xf numFmtId="0" fontId="32" fillId="7" borderId="10" xfId="4" applyFont="1" applyFill="1" applyBorder="1" applyAlignment="1">
      <alignment horizontal="center"/>
    </xf>
    <xf numFmtId="45" fontId="28" fillId="4" borderId="9" xfId="8" applyNumberFormat="1" applyFont="1" applyFill="1" applyBorder="1" applyAlignment="1">
      <alignment horizontal="right" vertical="center"/>
    </xf>
    <xf numFmtId="45" fontId="28" fillId="4" borderId="10" xfId="8" applyNumberFormat="1" applyFont="1" applyFill="1" applyBorder="1" applyAlignment="1">
      <alignment horizontal="right" vertical="center"/>
    </xf>
    <xf numFmtId="0" fontId="27" fillId="4" borderId="9" xfId="8" applyFont="1" applyFill="1" applyBorder="1" applyAlignment="1">
      <alignment horizontal="center" vertical="center" wrapText="1"/>
    </xf>
    <xf numFmtId="0" fontId="27" fillId="4" borderId="14" xfId="8" applyFont="1" applyFill="1" applyBorder="1" applyAlignment="1">
      <alignment horizontal="center" vertical="center" wrapText="1"/>
    </xf>
    <xf numFmtId="0" fontId="27" fillId="4" borderId="10" xfId="8" applyFont="1" applyFill="1" applyBorder="1" applyAlignment="1">
      <alignment horizontal="center" vertical="center" wrapText="1"/>
    </xf>
    <xf numFmtId="0" fontId="16" fillId="7" borderId="9" xfId="4" applyFont="1" applyFill="1" applyBorder="1" applyAlignment="1">
      <alignment horizontal="center"/>
    </xf>
    <xf numFmtId="0" fontId="16" fillId="7" borderId="14" xfId="4" applyFont="1" applyFill="1" applyBorder="1" applyAlignment="1">
      <alignment horizontal="center"/>
    </xf>
    <xf numFmtId="0" fontId="16" fillId="7" borderId="10" xfId="4" applyFont="1" applyFill="1" applyBorder="1" applyAlignment="1">
      <alignment horizontal="center"/>
    </xf>
    <xf numFmtId="0" fontId="36" fillId="4" borderId="9" xfId="8" applyFont="1" applyFill="1" applyBorder="1" applyAlignment="1">
      <alignment horizontal="center" vertical="center" wrapText="1"/>
    </xf>
    <xf numFmtId="0" fontId="36" fillId="4" borderId="14" xfId="8" applyFont="1" applyFill="1" applyBorder="1" applyAlignment="1">
      <alignment horizontal="center" vertical="center" wrapText="1"/>
    </xf>
  </cellXfs>
  <cellStyles count="11">
    <cellStyle name="Accent2" xfId="8" builtinId="33"/>
    <cellStyle name="Accent3" xfId="2" builtinId="37"/>
    <cellStyle name="Comma" xfId="1" builtinId="3"/>
    <cellStyle name="Comma 2" xfId="7" xr:uid="{58C3BAD9-E417-4145-9628-058D723C01FC}"/>
    <cellStyle name="Comma 4" xfId="5" xr:uid="{3EB20D98-0D0D-B043-B7A4-CF8196123B4E}"/>
    <cellStyle name="Currency 2" xfId="6" xr:uid="{938E8C8F-B38B-F54C-B399-985838E95D31}"/>
    <cellStyle name="Hyperlink" xfId="3" builtinId="8"/>
    <cellStyle name="Normal" xfId="0" builtinId="0"/>
    <cellStyle name="Normal 11" xfId="10" xr:uid="{1E37BA7E-7E93-41D3-8B2B-865C8E0C6CD8}"/>
    <cellStyle name="Normal 2 2" xfId="4" xr:uid="{5625B481-1D2E-964F-BFF9-5B1C158D4EB7}"/>
    <cellStyle name="Percent 2" xfId="9" xr:uid="{13823811-BA40-9E43-A0CB-C532234326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0</xdr:rowOff>
    </xdr:from>
    <xdr:to>
      <xdr:col>10</xdr:col>
      <xdr:colOff>304800</xdr:colOff>
      <xdr:row>10</xdr:row>
      <xdr:rowOff>88899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8509000" y="23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304800</xdr:colOff>
      <xdr:row>10</xdr:row>
      <xdr:rowOff>88899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11303000" y="23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304800</xdr:colOff>
      <xdr:row>9</xdr:row>
      <xdr:rowOff>88900</xdr:rowOff>
    </xdr:to>
    <xdr:sp macro="" textlink="">
      <xdr:nvSpPr>
        <xdr:cNvPr id="1029" name="AutoShap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ChangeAspect="1" noChangeArrowheads="1"/>
        </xdr:cNvSpPr>
      </xdr:nvSpPr>
      <xdr:spPr bwMode="auto">
        <a:xfrm>
          <a:off x="11303000" y="214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232736</xdr:colOff>
      <xdr:row>0</xdr:row>
      <xdr:rowOff>0</xdr:rowOff>
    </xdr:from>
    <xdr:to>
      <xdr:col>11</xdr:col>
      <xdr:colOff>612573</xdr:colOff>
      <xdr:row>14</xdr:row>
      <xdr:rowOff>55480</xdr:rowOff>
    </xdr:to>
    <xdr:pic macro="[0]!star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2821" y="0"/>
          <a:ext cx="2880150" cy="2761446"/>
        </a:xfrm>
        <a:prstGeom prst="rect">
          <a:avLst/>
        </a:prstGeom>
      </xdr:spPr>
    </xdr:pic>
    <xdr:clientData/>
  </xdr:twoCellAnchor>
  <xdr:twoCellAnchor editAs="oneCell">
    <xdr:from>
      <xdr:col>0</xdr:col>
      <xdr:colOff>812438</xdr:colOff>
      <xdr:row>38</xdr:row>
      <xdr:rowOff>51979</xdr:rowOff>
    </xdr:from>
    <xdr:to>
      <xdr:col>3</xdr:col>
      <xdr:colOff>533310</xdr:colOff>
      <xdr:row>42</xdr:row>
      <xdr:rowOff>71254</xdr:rowOff>
    </xdr:to>
    <xdr:pic macro="[0]!finishExam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38" y="8567783"/>
          <a:ext cx="2204176" cy="835703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elestial">
  <a:themeElements>
    <a:clrScheme name="Celestial">
      <a:dk1>
        <a:sysClr val="windowText" lastClr="000000"/>
      </a:dk1>
      <a:lt1>
        <a:sysClr val="window" lastClr="FFFFFF"/>
      </a:lt1>
      <a:dk2>
        <a:srgbClr val="18276C"/>
      </a:dk2>
      <a:lt2>
        <a:srgbClr val="EBEBEB"/>
      </a:lt2>
      <a:accent1>
        <a:srgbClr val="AC3EC1"/>
      </a:accent1>
      <a:accent2>
        <a:srgbClr val="477BD1"/>
      </a:accent2>
      <a:accent3>
        <a:srgbClr val="46B298"/>
      </a:accent3>
      <a:accent4>
        <a:srgbClr val="90BA4C"/>
      </a:accent4>
      <a:accent5>
        <a:srgbClr val="DD9D31"/>
      </a:accent5>
      <a:accent6>
        <a:srgbClr val="E25247"/>
      </a:accent6>
      <a:hlink>
        <a:srgbClr val="C573D2"/>
      </a:hlink>
      <a:folHlink>
        <a:srgbClr val="CCAEE8"/>
      </a:folHlink>
    </a:clrScheme>
    <a:fontScheme name="Celestial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elestial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82000"/>
                <a:alpha val="7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00000"/>
              </a:schemeClr>
            </a:gs>
            <a:gs pos="100000">
              <a:schemeClr val="phClr">
                <a:shade val="88000"/>
                <a:lumMod val="88000"/>
              </a:schemeClr>
            </a:gs>
          </a:gsLst>
          <a:lin ang="5400000" scaled="1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6000"/>
                <a:hueMod val="100000"/>
                <a:satMod val="180000"/>
                <a:lumMod val="110000"/>
              </a:schemeClr>
            </a:gs>
            <a:gs pos="100000">
              <a:schemeClr val="phClr">
                <a:shade val="96000"/>
                <a:satMod val="160000"/>
                <a:lumMod val="100000"/>
              </a:schemeClr>
            </a:gs>
          </a:gsLst>
          <a:lin ang="4740000" scaled="1"/>
        </a:gradFill>
        <a:blipFill>
          <a:blip xmlns:r="http://schemas.openxmlformats.org/officeDocument/2006/relationships" r:embed="rId1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elestial" id="{C4BB2A3D-0E93-4C5F-B0D2-9D3FCE089CC5}" vid="{42E5908D-19A2-46FD-89FA-638B126129E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DD42-EABF-CD41-8340-DC0A266112BD}">
  <sheetPr codeName="Sheet1"/>
  <dimension ref="B1:Q23"/>
  <sheetViews>
    <sheetView tabSelected="1" zoomScale="88" zoomScaleNormal="72" workbookViewId="0"/>
  </sheetViews>
  <sheetFormatPr baseColWidth="10" defaultColWidth="11" defaultRowHeight="16" x14ac:dyDescent="0.2"/>
  <cols>
    <col min="7" max="7" width="14.1640625" bestFit="1" customWidth="1"/>
    <col min="8" max="8" width="6.5" customWidth="1"/>
    <col min="12" max="12" width="15" bestFit="1" customWidth="1"/>
  </cols>
  <sheetData>
    <row r="1" spans="2:17" ht="12" customHeight="1" x14ac:dyDescent="0.2"/>
    <row r="2" spans="2:17" ht="12" customHeight="1" x14ac:dyDescent="0.45">
      <c r="B2" s="17"/>
      <c r="C2" s="18"/>
      <c r="D2" s="18"/>
      <c r="E2" s="18"/>
      <c r="F2" s="18"/>
      <c r="G2" s="18"/>
    </row>
    <row r="3" spans="2:17" ht="12" customHeight="1" x14ac:dyDescent="0.2"/>
    <row r="4" spans="2:17" ht="12" customHeight="1" x14ac:dyDescent="0.2">
      <c r="G4" s="1"/>
    </row>
    <row r="5" spans="2:17" ht="12" customHeight="1" thickBot="1" x14ac:dyDescent="0.25"/>
    <row r="6" spans="2:17" ht="16.5" customHeight="1" x14ac:dyDescent="0.2">
      <c r="B6" s="92" t="s">
        <v>41</v>
      </c>
      <c r="C6" s="93"/>
      <c r="D6" s="93"/>
      <c r="E6" s="94"/>
    </row>
    <row r="7" spans="2:17" ht="16.5" customHeight="1" thickBot="1" x14ac:dyDescent="0.25">
      <c r="B7" s="95"/>
      <c r="C7" s="96"/>
      <c r="D7" s="96"/>
      <c r="E7" s="97"/>
    </row>
    <row r="8" spans="2:17" ht="17" thickBot="1" x14ac:dyDescent="0.25"/>
    <row r="9" spans="2:17" ht="17" customHeight="1" x14ac:dyDescent="0.2">
      <c r="B9" s="98" t="s">
        <v>19</v>
      </c>
      <c r="C9" s="99"/>
      <c r="D9" s="102">
        <f ca="1">L23-NOW()</f>
        <v>6.9444444452528842E-3</v>
      </c>
      <c r="E9" s="102"/>
      <c r="F9" s="104" t="s">
        <v>20</v>
      </c>
      <c r="G9" s="105"/>
    </row>
    <row r="10" spans="2:17" ht="17" customHeight="1" thickBot="1" x14ac:dyDescent="0.25">
      <c r="B10" s="100"/>
      <c r="C10" s="101"/>
      <c r="D10" s="103"/>
      <c r="E10" s="103"/>
      <c r="F10" s="106"/>
      <c r="G10" s="107"/>
    </row>
    <row r="11" spans="2:17" ht="19" customHeight="1" thickBot="1" x14ac:dyDescent="0.25"/>
    <row r="12" spans="2:17" ht="19" customHeight="1" x14ac:dyDescent="0.2">
      <c r="B12" s="108" t="s">
        <v>21</v>
      </c>
      <c r="C12" s="109"/>
      <c r="D12" s="109"/>
      <c r="E12" s="109"/>
      <c r="F12" s="109"/>
      <c r="G12" s="109"/>
      <c r="H12" s="110"/>
    </row>
    <row r="13" spans="2:17" ht="19" customHeight="1" thickBot="1" x14ac:dyDescent="0.25">
      <c r="B13" s="111"/>
      <c r="C13" s="112"/>
      <c r="D13" s="112"/>
      <c r="E13" s="112"/>
      <c r="F13" s="112"/>
      <c r="G13" s="112"/>
      <c r="H13" s="113"/>
    </row>
    <row r="14" spans="2:17" ht="17" customHeight="1" thickBot="1" x14ac:dyDescent="0.25"/>
    <row r="15" spans="2:17" x14ac:dyDescent="0.2"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3"/>
      <c r="Q15" s="16"/>
    </row>
    <row r="16" spans="2:17" ht="21" x14ac:dyDescent="0.25">
      <c r="B16" s="44" t="s">
        <v>0</v>
      </c>
      <c r="C16" s="54"/>
      <c r="D16" s="54"/>
      <c r="E16" s="54"/>
      <c r="F16" s="54"/>
      <c r="G16" s="54"/>
      <c r="H16" s="54"/>
      <c r="I16" s="54"/>
      <c r="J16" s="54"/>
      <c r="K16" s="54"/>
      <c r="L16" s="45"/>
      <c r="Q16" s="16"/>
    </row>
    <row r="17" spans="2:17" ht="19" x14ac:dyDescent="0.25">
      <c r="B17" s="46" t="s">
        <v>1</v>
      </c>
      <c r="C17" s="120" t="s">
        <v>2</v>
      </c>
      <c r="D17" s="120"/>
      <c r="E17" s="120"/>
      <c r="F17" s="120"/>
      <c r="G17" s="120"/>
      <c r="H17" s="120"/>
      <c r="I17" s="120"/>
      <c r="J17" s="120"/>
      <c r="K17" s="120"/>
      <c r="L17" s="121"/>
      <c r="Q17" s="16"/>
    </row>
    <row r="18" spans="2:17" ht="19" x14ac:dyDescent="0.25">
      <c r="B18" s="46" t="s">
        <v>3</v>
      </c>
      <c r="C18" s="120" t="s">
        <v>4</v>
      </c>
      <c r="D18" s="120"/>
      <c r="E18" s="120"/>
      <c r="F18" s="120"/>
      <c r="G18" s="120"/>
      <c r="H18" s="120"/>
      <c r="I18" s="120"/>
      <c r="J18" s="120"/>
      <c r="K18" s="120"/>
      <c r="L18" s="121"/>
    </row>
    <row r="19" spans="2:17" ht="19" x14ac:dyDescent="0.25">
      <c r="B19" s="46" t="s">
        <v>5</v>
      </c>
      <c r="C19" s="55" t="s">
        <v>6</v>
      </c>
      <c r="D19" s="55"/>
      <c r="E19" s="55"/>
      <c r="F19" s="55"/>
      <c r="G19" s="55"/>
      <c r="H19" s="55"/>
      <c r="I19" s="55"/>
      <c r="J19" s="55"/>
      <c r="K19" s="55"/>
      <c r="L19" s="50"/>
    </row>
    <row r="20" spans="2:17" ht="19" x14ac:dyDescent="0.25">
      <c r="B20" s="46" t="s">
        <v>7</v>
      </c>
      <c r="C20" s="118" t="s">
        <v>29</v>
      </c>
      <c r="D20" s="118"/>
      <c r="E20" s="118"/>
      <c r="F20" s="118"/>
      <c r="G20" s="118"/>
      <c r="H20" s="118"/>
      <c r="I20" s="118"/>
      <c r="J20" s="118"/>
      <c r="K20" s="118"/>
      <c r="L20" s="119"/>
    </row>
    <row r="21" spans="2:17" ht="19" customHeight="1" x14ac:dyDescent="0.2">
      <c r="B21" s="47" t="s">
        <v>8</v>
      </c>
      <c r="C21" s="116" t="s">
        <v>9</v>
      </c>
      <c r="D21" s="116"/>
      <c r="E21" s="116"/>
      <c r="F21" s="116"/>
      <c r="G21" s="116"/>
      <c r="H21" s="116"/>
      <c r="I21" s="116"/>
      <c r="J21" s="116"/>
      <c r="K21" s="116"/>
      <c r="L21" s="117"/>
    </row>
    <row r="22" spans="2:17" ht="19" customHeight="1" x14ac:dyDescent="0.2">
      <c r="B22" s="47"/>
      <c r="C22" s="114"/>
      <c r="D22" s="114"/>
      <c r="E22" s="114"/>
      <c r="F22" s="114"/>
      <c r="G22" s="114"/>
      <c r="H22" s="114"/>
      <c r="I22" s="114"/>
      <c r="J22" s="114"/>
      <c r="K22" s="114"/>
      <c r="L22" s="115"/>
    </row>
    <row r="23" spans="2:17" ht="20" thickBot="1" x14ac:dyDescent="0.3">
      <c r="B23" s="48">
        <v>1</v>
      </c>
      <c r="C23" s="49"/>
      <c r="D23" s="49"/>
      <c r="E23" s="49"/>
      <c r="F23" s="49"/>
      <c r="G23" s="49"/>
      <c r="H23" s="49"/>
      <c r="I23" s="49"/>
      <c r="J23" s="49"/>
      <c r="K23" s="49"/>
      <c r="L23" s="56">
        <f ca="1">NOW()+1/144</f>
        <v>44199.788405092593</v>
      </c>
    </row>
  </sheetData>
  <mergeCells count="10">
    <mergeCell ref="C22:L22"/>
    <mergeCell ref="C21:L21"/>
    <mergeCell ref="C20:L20"/>
    <mergeCell ref="C18:L18"/>
    <mergeCell ref="C17:L17"/>
    <mergeCell ref="B6:E7"/>
    <mergeCell ref="B9:C10"/>
    <mergeCell ref="D9:E10"/>
    <mergeCell ref="F9:G10"/>
    <mergeCell ref="B12:H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2C244-A9E1-E849-954E-D30B05397877}">
  <sheetPr codeName="Sheet3"/>
  <dimension ref="A2:P38"/>
  <sheetViews>
    <sheetView zoomScale="70" zoomScaleNormal="70" workbookViewId="0"/>
  </sheetViews>
  <sheetFormatPr baseColWidth="10" defaultColWidth="11" defaultRowHeight="16" x14ac:dyDescent="0.2"/>
  <cols>
    <col min="1" max="1" width="4.83203125" style="87" customWidth="1"/>
    <col min="3" max="3" width="16.6640625" customWidth="1"/>
    <col min="4" max="4" width="15.1640625" customWidth="1"/>
    <col min="5" max="5" width="5.5" customWidth="1"/>
    <col min="6" max="6" width="6.1640625" customWidth="1"/>
    <col min="7" max="7" width="13.5" customWidth="1"/>
    <col min="8" max="8" width="20.1640625" customWidth="1"/>
    <col min="9" max="9" width="14.6640625" customWidth="1"/>
    <col min="12" max="12" width="18.1640625" customWidth="1"/>
    <col min="13" max="13" width="19.6640625" customWidth="1"/>
    <col min="14" max="14" width="16" customWidth="1"/>
    <col min="17" max="17" width="23.5" customWidth="1"/>
    <col min="18" max="18" width="17" bestFit="1" customWidth="1"/>
    <col min="19" max="19" width="10.1640625" customWidth="1"/>
    <col min="20" max="20" width="15.5" bestFit="1" customWidth="1"/>
    <col min="21" max="21" width="18.33203125" bestFit="1" customWidth="1"/>
    <col min="22" max="22" width="13" bestFit="1" customWidth="1"/>
    <col min="23" max="23" width="17" customWidth="1"/>
    <col min="24" max="24" width="15.6640625" customWidth="1"/>
    <col min="25" max="25" width="20.1640625" bestFit="1" customWidth="1"/>
    <col min="26" max="26" width="13" customWidth="1"/>
    <col min="27" max="27" width="14.33203125" bestFit="1" customWidth="1"/>
  </cols>
  <sheetData>
    <row r="2" spans="1:16" ht="17" thickBot="1" x14ac:dyDescent="0.25">
      <c r="J2" s="24"/>
    </row>
    <row r="3" spans="1:16" ht="48" customHeight="1" thickBot="1" x14ac:dyDescent="0.25">
      <c r="C3" s="129" t="s">
        <v>18</v>
      </c>
      <c r="D3" s="130"/>
      <c r="E3" s="130"/>
      <c r="F3" s="131"/>
      <c r="G3" s="127">
        <f ca="1">ID!D9</f>
        <v>6.9444444452528842E-3</v>
      </c>
      <c r="H3" s="128"/>
    </row>
    <row r="4" spans="1:16" ht="16.5" customHeight="1" thickBot="1" x14ac:dyDescent="0.25">
      <c r="C4" s="135" t="s">
        <v>42</v>
      </c>
      <c r="D4" s="136"/>
      <c r="E4" s="136"/>
      <c r="F4" s="136"/>
      <c r="G4" s="136"/>
      <c r="H4" s="136"/>
      <c r="L4" s="60" t="s">
        <v>57</v>
      </c>
      <c r="M4" s="66" t="s">
        <v>54</v>
      </c>
      <c r="N4" s="66" t="s">
        <v>55</v>
      </c>
    </row>
    <row r="5" spans="1:16" x14ac:dyDescent="0.2">
      <c r="L5" s="69" t="s">
        <v>52</v>
      </c>
      <c r="M5" s="80">
        <v>450</v>
      </c>
      <c r="N5" s="83">
        <v>940</v>
      </c>
    </row>
    <row r="6" spans="1:16" x14ac:dyDescent="0.2">
      <c r="L6" s="70" t="s">
        <v>65</v>
      </c>
      <c r="M6" s="81">
        <v>200</v>
      </c>
      <c r="N6" s="84">
        <v>780</v>
      </c>
    </row>
    <row r="7" spans="1:16" ht="17" thickBot="1" x14ac:dyDescent="0.25">
      <c r="L7" s="71" t="s">
        <v>53</v>
      </c>
      <c r="M7" s="82">
        <v>10500</v>
      </c>
      <c r="N7" s="85">
        <v>6320</v>
      </c>
    </row>
    <row r="8" spans="1:16" ht="17" thickBot="1" x14ac:dyDescent="0.25">
      <c r="A8" s="87" t="s">
        <v>68</v>
      </c>
      <c r="J8" s="23" t="s">
        <v>40</v>
      </c>
    </row>
    <row r="9" spans="1:16" ht="35" thickBot="1" x14ac:dyDescent="0.25">
      <c r="A9" s="87">
        <v>2</v>
      </c>
      <c r="B9" s="22" t="s">
        <v>30</v>
      </c>
      <c r="C9" s="122" t="s">
        <v>56</v>
      </c>
      <c r="D9" s="123"/>
      <c r="E9" s="123"/>
      <c r="F9" s="123"/>
      <c r="G9" s="123"/>
      <c r="H9" s="123"/>
      <c r="I9" s="124"/>
      <c r="J9" s="23"/>
      <c r="L9" s="22" t="s">
        <v>58</v>
      </c>
      <c r="M9" s="72" t="s">
        <v>66</v>
      </c>
      <c r="N9" s="86">
        <v>55000</v>
      </c>
    </row>
    <row r="10" spans="1:16" ht="17" thickBot="1" x14ac:dyDescent="0.25"/>
    <row r="11" spans="1:16" ht="17" thickBot="1" x14ac:dyDescent="0.25">
      <c r="M11" s="64" t="s">
        <v>67</v>
      </c>
      <c r="N11" s="65"/>
    </row>
    <row r="12" spans="1:16" x14ac:dyDescent="0.2">
      <c r="M12" s="61" t="s">
        <v>22</v>
      </c>
      <c r="N12" s="77"/>
      <c r="P12" s="68" t="s">
        <v>51</v>
      </c>
    </row>
    <row r="13" spans="1:16" ht="17" thickBot="1" x14ac:dyDescent="0.25">
      <c r="M13" s="62" t="s">
        <v>31</v>
      </c>
      <c r="N13" s="78"/>
      <c r="P13" s="67">
        <v>0.22</v>
      </c>
    </row>
    <row r="14" spans="1:16" ht="17" thickBot="1" x14ac:dyDescent="0.25">
      <c r="J14" s="23" t="s">
        <v>40</v>
      </c>
      <c r="M14" s="62" t="s">
        <v>23</v>
      </c>
      <c r="N14" s="78"/>
    </row>
    <row r="15" spans="1:16" ht="47.25" customHeight="1" thickBot="1" x14ac:dyDescent="0.25">
      <c r="A15" s="87">
        <v>3</v>
      </c>
      <c r="B15" s="22" t="s">
        <v>32</v>
      </c>
      <c r="C15" s="122" t="s">
        <v>59</v>
      </c>
      <c r="D15" s="123"/>
      <c r="E15" s="123"/>
      <c r="F15" s="123"/>
      <c r="G15" s="123"/>
      <c r="H15" s="123"/>
      <c r="I15" s="124"/>
      <c r="J15" s="23"/>
      <c r="M15" s="62" t="s">
        <v>46</v>
      </c>
      <c r="N15" s="78">
        <v>150000</v>
      </c>
    </row>
    <row r="16" spans="1:16" x14ac:dyDescent="0.2">
      <c r="M16" s="62" t="s">
        <v>47</v>
      </c>
      <c r="N16" s="78">
        <v>80000</v>
      </c>
    </row>
    <row r="17" spans="1:15" s="59" customFormat="1" x14ac:dyDescent="0.2">
      <c r="A17" s="88"/>
      <c r="M17" s="62" t="s">
        <v>48</v>
      </c>
      <c r="N17" s="78">
        <f>N14-SUM(N15:N16)</f>
        <v>-230000</v>
      </c>
      <c r="O17"/>
    </row>
    <row r="18" spans="1:15" s="59" customFormat="1" x14ac:dyDescent="0.2">
      <c r="A18" s="88"/>
      <c r="M18" s="62" t="s">
        <v>49</v>
      </c>
      <c r="N18" s="78">
        <f>N17*P13</f>
        <v>-50600</v>
      </c>
      <c r="O18"/>
    </row>
    <row r="19" spans="1:15" s="59" customFormat="1" ht="17" thickBot="1" x14ac:dyDescent="0.25">
      <c r="A19" s="88"/>
      <c r="M19" s="63" t="s">
        <v>50</v>
      </c>
      <c r="N19" s="79">
        <f>N17-N18</f>
        <v>-179400</v>
      </c>
      <c r="O19"/>
    </row>
    <row r="20" spans="1:15" s="59" customFormat="1" ht="17" thickBot="1" x14ac:dyDescent="0.25">
      <c r="A20" s="88"/>
      <c r="N20"/>
      <c r="O20"/>
    </row>
    <row r="21" spans="1:15" ht="17" thickBot="1" x14ac:dyDescent="0.25">
      <c r="J21" s="27" t="s">
        <v>40</v>
      </c>
      <c r="M21" s="59"/>
      <c r="O21" s="59"/>
    </row>
    <row r="22" spans="1:15" ht="36" customHeight="1" thickBot="1" x14ac:dyDescent="0.25">
      <c r="A22" s="87">
        <v>2</v>
      </c>
      <c r="B22" s="26" t="s">
        <v>34</v>
      </c>
      <c r="C22" s="122" t="s">
        <v>45</v>
      </c>
      <c r="D22" s="123"/>
      <c r="E22" s="123"/>
      <c r="F22" s="123"/>
      <c r="G22" s="123"/>
      <c r="H22" s="123"/>
      <c r="I22" s="124"/>
      <c r="J22" s="27"/>
      <c r="M22" s="59"/>
      <c r="O22" s="59"/>
    </row>
    <row r="23" spans="1:15" x14ac:dyDescent="0.2">
      <c r="N23" s="59"/>
      <c r="O23" s="59"/>
    </row>
    <row r="24" spans="1:15" x14ac:dyDescent="0.2">
      <c r="L24" s="59"/>
      <c r="M24" s="59"/>
      <c r="N24" s="59"/>
      <c r="O24" s="59"/>
    </row>
    <row r="25" spans="1:15" ht="17" thickBot="1" x14ac:dyDescent="0.25"/>
    <row r="26" spans="1:15" ht="17" thickBot="1" x14ac:dyDescent="0.25">
      <c r="J26" s="27" t="s">
        <v>40</v>
      </c>
    </row>
    <row r="27" spans="1:15" ht="34.5" customHeight="1" thickBot="1" x14ac:dyDescent="0.25">
      <c r="A27" s="87">
        <v>3</v>
      </c>
      <c r="B27" s="26" t="s">
        <v>33</v>
      </c>
      <c r="C27" s="122" t="s">
        <v>69</v>
      </c>
      <c r="D27" s="123"/>
      <c r="E27" s="123"/>
      <c r="F27" s="123"/>
      <c r="G27" s="123"/>
      <c r="H27" s="123"/>
      <c r="I27" s="124"/>
      <c r="J27" s="27"/>
    </row>
    <row r="28" spans="1:15" ht="17" thickBot="1" x14ac:dyDescent="0.25"/>
    <row r="29" spans="1:15" ht="16" customHeight="1" thickBot="1" x14ac:dyDescent="0.25">
      <c r="C29" s="125" t="s">
        <v>28</v>
      </c>
      <c r="D29" s="126"/>
      <c r="F29" s="132" t="s">
        <v>60</v>
      </c>
      <c r="G29" s="133"/>
      <c r="H29" s="133"/>
      <c r="I29" s="134"/>
    </row>
    <row r="30" spans="1:15" ht="31.5" customHeight="1" x14ac:dyDescent="0.2">
      <c r="C30" s="28" t="s">
        <v>26</v>
      </c>
      <c r="D30" s="29">
        <v>0.25</v>
      </c>
      <c r="E30" s="25"/>
      <c r="F30" s="40" t="s">
        <v>36</v>
      </c>
      <c r="G30" s="38" t="s">
        <v>37</v>
      </c>
      <c r="H30" s="38" t="s">
        <v>38</v>
      </c>
      <c r="I30" s="39" t="s">
        <v>39</v>
      </c>
    </row>
    <row r="31" spans="1:15" ht="17" customHeight="1" x14ac:dyDescent="0.2">
      <c r="C31" s="30" t="s">
        <v>35</v>
      </c>
      <c r="D31" s="31">
        <v>163500</v>
      </c>
      <c r="E31" s="25"/>
      <c r="F31" s="32">
        <v>0</v>
      </c>
      <c r="G31" s="33">
        <v>0</v>
      </c>
      <c r="H31" s="34">
        <f>D31</f>
        <v>163500</v>
      </c>
      <c r="I31" s="31"/>
    </row>
    <row r="32" spans="1:15" ht="16" customHeight="1" x14ac:dyDescent="0.2">
      <c r="C32" s="30" t="s">
        <v>37</v>
      </c>
      <c r="D32" s="91">
        <v>54500</v>
      </c>
      <c r="E32" s="25"/>
      <c r="F32" s="32">
        <v>1</v>
      </c>
      <c r="G32" s="33">
        <f>$D$32</f>
        <v>54500</v>
      </c>
      <c r="H32" s="34">
        <f>$D$33</f>
        <v>21100</v>
      </c>
      <c r="I32" s="31"/>
    </row>
    <row r="33" spans="3:9" ht="24" customHeight="1" x14ac:dyDescent="0.2">
      <c r="C33" s="30" t="s">
        <v>38</v>
      </c>
      <c r="D33" s="31">
        <v>21100</v>
      </c>
      <c r="E33" s="25"/>
      <c r="F33" s="32">
        <v>2</v>
      </c>
      <c r="G33" s="33">
        <f>$D$32</f>
        <v>54500</v>
      </c>
      <c r="H33" s="34">
        <f>$D$33</f>
        <v>21100</v>
      </c>
      <c r="I33" s="31"/>
    </row>
    <row r="34" spans="3:9" ht="39.75" customHeight="1" thickBot="1" x14ac:dyDescent="0.25">
      <c r="C34" s="57" t="s">
        <v>27</v>
      </c>
      <c r="D34" s="58">
        <v>226500</v>
      </c>
      <c r="E34" s="25"/>
      <c r="F34" s="32">
        <v>3</v>
      </c>
      <c r="G34" s="33">
        <f>$D$32</f>
        <v>54500</v>
      </c>
      <c r="H34" s="34">
        <f>$D$33</f>
        <v>21100</v>
      </c>
      <c r="I34" s="31"/>
    </row>
    <row r="35" spans="3:9" x14ac:dyDescent="0.2">
      <c r="E35" s="25"/>
      <c r="F35" s="32">
        <v>4</v>
      </c>
      <c r="G35" s="33">
        <f>$D$32</f>
        <v>54500</v>
      </c>
      <c r="H35" s="34">
        <f>$D$33</f>
        <v>21100</v>
      </c>
      <c r="I35" s="31"/>
    </row>
    <row r="36" spans="3:9" ht="17" thickBot="1" x14ac:dyDescent="0.25">
      <c r="E36" s="25"/>
      <c r="F36" s="36">
        <v>5</v>
      </c>
      <c r="G36" s="33">
        <f>$D$32+D34</f>
        <v>281000</v>
      </c>
      <c r="H36" s="75">
        <f>$D$33</f>
        <v>21100</v>
      </c>
      <c r="I36" s="31"/>
    </row>
    <row r="37" spans="3:9" ht="17" thickBot="1" x14ac:dyDescent="0.25">
      <c r="C37" s="35"/>
      <c r="D37" s="35"/>
      <c r="E37" s="25"/>
      <c r="F37" s="35"/>
      <c r="G37" s="73"/>
      <c r="H37" s="76" t="s">
        <v>24</v>
      </c>
      <c r="I37" s="74"/>
    </row>
    <row r="38" spans="3:9" x14ac:dyDescent="0.2">
      <c r="C38" s="37"/>
      <c r="D38" s="37"/>
      <c r="E38" s="37"/>
      <c r="F38" s="37"/>
      <c r="G38" s="37"/>
      <c r="H38" s="37"/>
      <c r="I38" s="25"/>
    </row>
  </sheetData>
  <mergeCells count="9">
    <mergeCell ref="C9:I9"/>
    <mergeCell ref="C29:D29"/>
    <mergeCell ref="G3:H3"/>
    <mergeCell ref="C3:F3"/>
    <mergeCell ref="C15:I15"/>
    <mergeCell ref="C22:I22"/>
    <mergeCell ref="C27:I27"/>
    <mergeCell ref="F29:I29"/>
    <mergeCell ref="C4:H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AB45-A77F-6248-8CCA-58656AAC8566}">
  <sheetPr codeName="Sheet2"/>
  <dimension ref="A1:MY105"/>
  <sheetViews>
    <sheetView topLeftCell="MZ1" zoomScale="80" zoomScaleNormal="106" workbookViewId="0">
      <selection sqref="A1:MY1048576"/>
    </sheetView>
  </sheetViews>
  <sheetFormatPr baseColWidth="10" defaultColWidth="11" defaultRowHeight="16" x14ac:dyDescent="0.2"/>
  <cols>
    <col min="1" max="1" width="7.1640625" hidden="1" customWidth="1"/>
    <col min="2" max="2" width="13.6640625" hidden="1" customWidth="1"/>
    <col min="3" max="3" width="11" hidden="1" customWidth="1"/>
    <col min="4" max="4" width="6.1640625" hidden="1" customWidth="1"/>
    <col min="5" max="10" width="4.33203125" hidden="1" customWidth="1"/>
    <col min="11" max="11" width="3.83203125" hidden="1" customWidth="1"/>
    <col min="12" max="12" width="13.33203125" hidden="1" customWidth="1"/>
    <col min="13" max="13" width="14.33203125" hidden="1" customWidth="1"/>
    <col min="14" max="14" width="16" hidden="1" customWidth="1"/>
    <col min="15" max="363" width="11" hidden="1" customWidth="1"/>
    <col min="364" max="403" width="11" customWidth="1"/>
  </cols>
  <sheetData>
    <row r="1" spans="2:16" ht="17" thickBot="1" x14ac:dyDescent="0.25"/>
    <row r="2" spans="2:16" ht="17" thickBot="1" x14ac:dyDescent="0.25">
      <c r="B2" s="90" t="s">
        <v>10</v>
      </c>
      <c r="C2" s="89" t="str">
        <f>RIGHT(MOD(48271*VALUE(RIGHT(C4,LEN(C4)-1)),2^31-1), 5)</f>
        <v>48271</v>
      </c>
    </row>
    <row r="3" spans="2:16" ht="17" thickBot="1" x14ac:dyDescent="0.25">
      <c r="B3" t="s">
        <v>11</v>
      </c>
      <c r="M3" s="2"/>
      <c r="N3" s="2"/>
    </row>
    <row r="4" spans="2:16" ht="17" thickBot="1" x14ac:dyDescent="0.25">
      <c r="B4" s="52" t="s">
        <v>43</v>
      </c>
      <c r="C4" s="51" t="s">
        <v>44</v>
      </c>
      <c r="M4" s="2"/>
      <c r="N4" s="2"/>
    </row>
    <row r="5" spans="2:16" x14ac:dyDescent="0.2">
      <c r="M5" s="3" t="s">
        <v>12</v>
      </c>
      <c r="N5" s="4">
        <f ca="1">NOW()+1/144</f>
        <v>44199.788405092593</v>
      </c>
    </row>
    <row r="6" spans="2:16" x14ac:dyDescent="0.2">
      <c r="M6" s="5" t="s">
        <v>13</v>
      </c>
      <c r="N6" s="6">
        <f ca="1">IF(N8=0,NOW(),N5-1)</f>
        <v>44199.781460648148</v>
      </c>
      <c r="P6" s="11" t="s">
        <v>17</v>
      </c>
    </row>
    <row r="7" spans="2:16" ht="17" thickBot="1" x14ac:dyDescent="0.25">
      <c r="M7" s="7" t="s">
        <v>14</v>
      </c>
      <c r="N7" s="8">
        <f ca="1">N5-N6+P7</f>
        <v>6.9444444452528842E-3</v>
      </c>
      <c r="P7" s="11">
        <v>0</v>
      </c>
    </row>
    <row r="8" spans="2:16" ht="17" thickBot="1" x14ac:dyDescent="0.25">
      <c r="M8" s="9" t="s">
        <v>15</v>
      </c>
      <c r="N8" s="10">
        <v>0</v>
      </c>
    </row>
    <row r="9" spans="2:16" ht="17" thickBot="1" x14ac:dyDescent="0.25">
      <c r="M9" s="9" t="s">
        <v>16</v>
      </c>
      <c r="N9" s="10">
        <v>0</v>
      </c>
    </row>
    <row r="10" spans="2:16" x14ac:dyDescent="0.2">
      <c r="M10" s="2"/>
      <c r="N10" s="2"/>
    </row>
    <row r="11" spans="2:16" x14ac:dyDescent="0.2">
      <c r="M11" s="2"/>
      <c r="N11" s="2"/>
    </row>
    <row r="12" spans="2:16" x14ac:dyDescent="0.2">
      <c r="M12" s="53" t="s">
        <v>25</v>
      </c>
      <c r="N12" s="12"/>
      <c r="O12" s="12"/>
    </row>
    <row r="13" spans="2:16" x14ac:dyDescent="0.2">
      <c r="L13" t="s">
        <v>61</v>
      </c>
      <c r="M13" s="19">
        <f>EXAM!J9</f>
        <v>0</v>
      </c>
    </row>
    <row r="14" spans="2:16" x14ac:dyDescent="0.2">
      <c r="L14" t="s">
        <v>62</v>
      </c>
      <c r="M14" s="19">
        <f>EXAM!J15</f>
        <v>0</v>
      </c>
    </row>
    <row r="15" spans="2:16" ht="28" customHeight="1" x14ac:dyDescent="0.2">
      <c r="L15" t="s">
        <v>63</v>
      </c>
      <c r="M15" s="19">
        <f>EXAM!J22</f>
        <v>0</v>
      </c>
    </row>
    <row r="16" spans="2:16" x14ac:dyDescent="0.2">
      <c r="L16" t="s">
        <v>64</v>
      </c>
      <c r="M16" s="19">
        <f>EXAM!J27</f>
        <v>0</v>
      </c>
    </row>
    <row r="21" spans="1:11" x14ac:dyDescent="0.2">
      <c r="A21" s="14"/>
    </row>
    <row r="23" spans="1:11" x14ac:dyDescent="0.2">
      <c r="A23" s="14"/>
    </row>
    <row r="24" spans="1:11" x14ac:dyDescent="0.2">
      <c r="A24" s="14"/>
      <c r="B24" s="13"/>
      <c r="E24" s="20"/>
      <c r="H24" s="20"/>
      <c r="K24" s="20"/>
    </row>
    <row r="25" spans="1:11" x14ac:dyDescent="0.2">
      <c r="A25" s="14"/>
      <c r="B25" s="21"/>
      <c r="E25" s="20"/>
      <c r="K25" s="20"/>
    </row>
    <row r="26" spans="1:11" x14ac:dyDescent="0.2">
      <c r="A26" s="14"/>
      <c r="B26" s="13"/>
      <c r="K26" s="20"/>
    </row>
    <row r="27" spans="1:11" x14ac:dyDescent="0.2">
      <c r="A27" s="14"/>
      <c r="B27" s="13"/>
      <c r="E27" s="20"/>
      <c r="K27" s="20"/>
    </row>
    <row r="28" spans="1:11" x14ac:dyDescent="0.2">
      <c r="B28" s="13"/>
      <c r="E28" s="20"/>
      <c r="K28" s="20"/>
    </row>
    <row r="29" spans="1:11" x14ac:dyDescent="0.2">
      <c r="A29" s="14"/>
      <c r="B29" s="13"/>
      <c r="E29" s="20"/>
      <c r="K29" s="20"/>
    </row>
    <row r="30" spans="1:11" x14ac:dyDescent="0.2">
      <c r="B30" s="13"/>
      <c r="K30" s="20"/>
    </row>
    <row r="31" spans="1:11" x14ac:dyDescent="0.2">
      <c r="A31" s="14"/>
      <c r="E31" s="20"/>
    </row>
    <row r="32" spans="1:11" x14ac:dyDescent="0.2">
      <c r="B32" s="13"/>
      <c r="E32" s="20"/>
    </row>
    <row r="33" spans="1:11" x14ac:dyDescent="0.2">
      <c r="A33" s="14"/>
      <c r="K33" s="20"/>
    </row>
    <row r="34" spans="1:11" x14ac:dyDescent="0.2">
      <c r="B34" s="13"/>
      <c r="K34" s="20"/>
    </row>
    <row r="35" spans="1:11" x14ac:dyDescent="0.2">
      <c r="A35" s="14"/>
      <c r="B35" s="13"/>
      <c r="K35" s="20"/>
    </row>
    <row r="36" spans="1:11" x14ac:dyDescent="0.2">
      <c r="B36" s="13"/>
    </row>
    <row r="37" spans="1:11" x14ac:dyDescent="0.2">
      <c r="A37" s="14"/>
      <c r="B37" s="13"/>
    </row>
    <row r="38" spans="1:11" x14ac:dyDescent="0.2">
      <c r="B38" s="13"/>
    </row>
    <row r="39" spans="1:11" x14ac:dyDescent="0.2">
      <c r="A39" s="14"/>
    </row>
    <row r="41" spans="1:11" x14ac:dyDescent="0.2">
      <c r="A41" s="14"/>
      <c r="B41" s="13"/>
    </row>
    <row r="43" spans="1:11" x14ac:dyDescent="0.2">
      <c r="A43" s="14"/>
      <c r="B43" s="13"/>
    </row>
    <row r="44" spans="1:11" x14ac:dyDescent="0.2">
      <c r="B44" s="13"/>
    </row>
    <row r="45" spans="1:11" x14ac:dyDescent="0.2">
      <c r="A45" s="14"/>
      <c r="B45" s="13"/>
    </row>
    <row r="46" spans="1:11" x14ac:dyDescent="0.2">
      <c r="B46" s="13"/>
    </row>
    <row r="47" spans="1:11" x14ac:dyDescent="0.2">
      <c r="A47" s="14"/>
      <c r="B47" s="13"/>
    </row>
    <row r="48" spans="1:11" x14ac:dyDescent="0.2">
      <c r="B48" s="13"/>
    </row>
    <row r="49" spans="1:2" x14ac:dyDescent="0.2">
      <c r="A49" s="14"/>
      <c r="B49" s="13"/>
    </row>
    <row r="50" spans="1:2" x14ac:dyDescent="0.2">
      <c r="B50" s="13"/>
    </row>
    <row r="51" spans="1:2" x14ac:dyDescent="0.2">
      <c r="A51" s="14"/>
      <c r="B51" s="13"/>
    </row>
    <row r="52" spans="1:2" x14ac:dyDescent="0.2">
      <c r="A52" s="14"/>
      <c r="B52" s="13"/>
    </row>
    <row r="53" spans="1:2" x14ac:dyDescent="0.2">
      <c r="A53" s="14"/>
    </row>
    <row r="54" spans="1:2" x14ac:dyDescent="0.2">
      <c r="B54" s="13"/>
    </row>
    <row r="55" spans="1:2" x14ac:dyDescent="0.2">
      <c r="A55" s="14"/>
    </row>
    <row r="56" spans="1:2" x14ac:dyDescent="0.2">
      <c r="B56" s="13"/>
    </row>
    <row r="57" spans="1:2" x14ac:dyDescent="0.2">
      <c r="B57" s="13"/>
    </row>
    <row r="58" spans="1:2" x14ac:dyDescent="0.2">
      <c r="A58" s="14"/>
      <c r="B58" s="13"/>
    </row>
    <row r="59" spans="1:2" x14ac:dyDescent="0.2">
      <c r="B59" s="13"/>
    </row>
    <row r="60" spans="1:2" x14ac:dyDescent="0.2">
      <c r="B60" s="13"/>
    </row>
    <row r="61" spans="1:2" x14ac:dyDescent="0.2">
      <c r="A61" s="14"/>
    </row>
    <row r="63" spans="1:2" x14ac:dyDescent="0.2">
      <c r="A63" s="14"/>
    </row>
    <row r="65" spans="1:1" x14ac:dyDescent="0.2">
      <c r="A65" s="14"/>
    </row>
    <row r="66" spans="1:1" x14ac:dyDescent="0.2">
      <c r="A66" s="14"/>
    </row>
    <row r="68" spans="1:1" x14ac:dyDescent="0.2">
      <c r="A68" s="14"/>
    </row>
    <row r="69" spans="1:1" x14ac:dyDescent="0.2">
      <c r="A69" s="14"/>
    </row>
    <row r="71" spans="1:1" x14ac:dyDescent="0.2">
      <c r="A71" s="14"/>
    </row>
    <row r="72" spans="1:1" x14ac:dyDescent="0.2">
      <c r="A72" s="14"/>
    </row>
    <row r="74" spans="1:1" x14ac:dyDescent="0.2">
      <c r="A74" s="14"/>
    </row>
    <row r="75" spans="1:1" x14ac:dyDescent="0.2">
      <c r="A75" s="14"/>
    </row>
    <row r="78" spans="1:1" x14ac:dyDescent="0.2">
      <c r="A78" s="14"/>
    </row>
    <row r="79" spans="1:1" x14ac:dyDescent="0.2">
      <c r="A79" s="14"/>
    </row>
    <row r="81" spans="1:1" x14ac:dyDescent="0.2">
      <c r="A81" s="14"/>
    </row>
    <row r="82" spans="1:1" x14ac:dyDescent="0.2">
      <c r="A82" s="14"/>
    </row>
    <row r="90" spans="1:1" x14ac:dyDescent="0.2">
      <c r="A90" s="14"/>
    </row>
    <row r="92" spans="1:1" x14ac:dyDescent="0.2">
      <c r="A92" s="14"/>
    </row>
    <row r="93" spans="1:1" x14ac:dyDescent="0.2">
      <c r="A93" s="14"/>
    </row>
    <row r="95" spans="1:1" x14ac:dyDescent="0.2">
      <c r="A95" s="14"/>
    </row>
    <row r="96" spans="1:1" x14ac:dyDescent="0.2">
      <c r="A96" s="14"/>
    </row>
    <row r="99" spans="1:1" x14ac:dyDescent="0.2">
      <c r="A99" s="14"/>
    </row>
    <row r="100" spans="1:1" x14ac:dyDescent="0.2">
      <c r="A100" s="14"/>
    </row>
    <row r="103" spans="1:1" x14ac:dyDescent="0.2">
      <c r="A103" s="14"/>
    </row>
    <row r="105" spans="1:1" x14ac:dyDescent="0.2">
      <c r="A105" s="15"/>
    </row>
  </sheetData>
  <sheetProtection algorithmName="SHA-512" hashValue="WK3hmkaJfjKTAsMK9Kwcpy2EGCU8QPEMErBttGGs7ZVs1nJwdfiZiiTEmKRLfrTkbktK/vg22V0Yb9lnVEiWOA==" saltValue="jWmJkQ1tflgvid/BGN3Y2A==" spinCount="100000" sheet="1" objects="1" scenarios="1"/>
  <phoneticPr fontId="10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 Office</dc:creator>
  <cp:lastModifiedBy>Deniz Ugur</cp:lastModifiedBy>
  <dcterms:created xsi:type="dcterms:W3CDTF">2020-10-31T15:00:14Z</dcterms:created>
  <dcterms:modified xsi:type="dcterms:W3CDTF">2021-01-03T15:45:24Z</dcterms:modified>
</cp:coreProperties>
</file>