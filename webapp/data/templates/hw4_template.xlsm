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deniz/Desktop/"/>
    </mc:Choice>
  </mc:AlternateContent>
  <xr:revisionPtr revIDLastSave="0" documentId="13_ncr:1_{FE43FFFD-46D0-A546-AE32-016B72E73665}" xr6:coauthVersionLast="45" xr6:coauthVersionMax="45" xr10:uidLastSave="{00000000-0000-0000-0000-000000000000}"/>
  <bookViews>
    <workbookView xWindow="0" yWindow="460" windowWidth="33600" windowHeight="20540" xr2:uid="{00000000-000D-0000-FFFF-FFFF00000000}"/>
  </bookViews>
  <sheets>
    <sheet name="Instructions" sheetId="9" r:id="rId1"/>
    <sheet name="Answers" sheetId="20" state="veryHidden" r:id="rId2"/>
    <sheet name="Data0" sheetId="23" r:id="rId3"/>
    <sheet name="Data1" sheetId="24" r:id="rId4"/>
    <sheet name="Data2" sheetId="26" r:id="rId5"/>
    <sheet name="Data3" sheetId="27" r:id="rId6"/>
    <sheet name="KEY" sheetId="15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15" l="1"/>
  <c r="J31" i="15" s="1"/>
  <c r="J32" i="15" l="1"/>
  <c r="K31" i="15"/>
  <c r="H9" i="15"/>
  <c r="H8" i="15"/>
  <c r="H7" i="15"/>
  <c r="H6" i="15"/>
  <c r="H5" i="15"/>
  <c r="H4" i="15"/>
  <c r="H3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A36" i="20"/>
  <c r="A3" i="20" s="1"/>
  <c r="K32" i="15" l="1"/>
  <c r="J33" i="15"/>
  <c r="M32" i="15" a="1"/>
  <c r="M32" i="15" l="1"/>
  <c r="C11" i="15" s="1"/>
  <c r="K33" i="15"/>
  <c r="J34" i="15"/>
  <c r="M33" i="15" a="1"/>
  <c r="M33" i="15" l="1"/>
  <c r="C14" i="15" s="1"/>
  <c r="J35" i="15"/>
  <c r="K34" i="15"/>
  <c r="M34" i="15" a="1"/>
  <c r="M34" i="15" l="1"/>
  <c r="C15" i="15" s="1"/>
  <c r="J36" i="15"/>
  <c r="K35" i="15"/>
  <c r="M35" i="15" a="1"/>
  <c r="M35" i="15" l="1"/>
  <c r="C16" i="15" s="1"/>
  <c r="J37" i="15"/>
  <c r="J38" i="15" s="1"/>
  <c r="J39" i="15" s="1"/>
  <c r="K36" i="15"/>
  <c r="M36" i="15" a="1"/>
  <c r="J40" i="15" l="1"/>
  <c r="K40" i="15" s="1"/>
  <c r="K39" i="15"/>
  <c r="M36" i="15"/>
  <c r="C17" i="15" s="1"/>
  <c r="K38" i="15"/>
  <c r="K37" i="15"/>
  <c r="C3" i="15"/>
  <c r="I11" i="15"/>
  <c r="I28" i="15"/>
  <c r="I27" i="15"/>
  <c r="I23" i="15"/>
  <c r="I24" i="15"/>
  <c r="I25" i="15"/>
  <c r="I26" i="15"/>
  <c r="I22" i="15"/>
  <c r="I21" i="15"/>
  <c r="I17" i="15"/>
  <c r="I18" i="15"/>
  <c r="I19" i="15"/>
  <c r="I20" i="15"/>
  <c r="I16" i="15"/>
  <c r="I14" i="15"/>
  <c r="I15" i="15"/>
  <c r="I13" i="15"/>
  <c r="I9" i="15"/>
  <c r="I10" i="15"/>
  <c r="I12" i="15"/>
  <c r="I8" i="15"/>
  <c r="I4" i="15"/>
  <c r="I5" i="15"/>
  <c r="I6" i="15"/>
  <c r="I7" i="15"/>
  <c r="I3" i="15"/>
  <c r="IN2204" i="9"/>
  <c r="IM2204" i="9"/>
  <c r="IL2204" i="9"/>
  <c r="M39" i="15" a="1"/>
  <c r="M38" i="15" a="1"/>
  <c r="M40" i="15" a="1"/>
  <c r="N37" i="15" a="1"/>
  <c r="M40" i="15" l="1"/>
  <c r="C21" i="15" s="1"/>
  <c r="M39" i="15"/>
  <c r="C20" i="15" s="1"/>
  <c r="N37" i="15"/>
  <c r="M37" i="15" s="1"/>
  <c r="C18" i="15" s="1"/>
  <c r="M38" i="15"/>
  <c r="C19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<sst xmlns="http://schemas.openxmlformats.org/spreadsheetml/2006/main" count="20877" uniqueCount="1518">
  <si>
    <t>Part 1</t>
  </si>
  <si>
    <t>Part 2</t>
  </si>
  <si>
    <t>1c</t>
  </si>
  <si>
    <t>1b</t>
  </si>
  <si>
    <t>Answer</t>
  </si>
  <si>
    <t>.</t>
  </si>
  <si>
    <t>1a</t>
  </si>
  <si>
    <t>YEAR:</t>
  </si>
  <si>
    <t>Part 3</t>
  </si>
  <si>
    <t>2a</t>
  </si>
  <si>
    <t>2b</t>
  </si>
  <si>
    <t>2c</t>
  </si>
  <si>
    <t>4a</t>
  </si>
  <si>
    <t>4b</t>
  </si>
  <si>
    <t>3a</t>
  </si>
  <si>
    <t>3b</t>
  </si>
  <si>
    <t>Part 4</t>
  </si>
  <si>
    <t>Username:</t>
  </si>
  <si>
    <t>Left Click</t>
  </si>
  <si>
    <t>Part 5</t>
  </si>
  <si>
    <t>5a</t>
  </si>
  <si>
    <t>a</t>
  </si>
  <si>
    <t>b</t>
  </si>
  <si>
    <t>c</t>
  </si>
  <si>
    <t>d</t>
  </si>
  <si>
    <t>e</t>
  </si>
  <si>
    <t>Part 6</t>
  </si>
  <si>
    <t>3c</t>
  </si>
  <si>
    <t>DATA VALIDATION</t>
  </si>
  <si>
    <t>Q Number</t>
  </si>
  <si>
    <t>Opening Time</t>
  </si>
  <si>
    <t>Closing Time</t>
  </si>
  <si>
    <t>Answers</t>
  </si>
  <si>
    <t>1d</t>
  </si>
  <si>
    <t>1e</t>
  </si>
  <si>
    <t>2d</t>
  </si>
  <si>
    <t>2e</t>
  </si>
  <si>
    <t>User</t>
  </si>
  <si>
    <t>6a</t>
  </si>
  <si>
    <t>6b</t>
  </si>
  <si>
    <t>Data Number</t>
  </si>
  <si>
    <t>Last Author</t>
  </si>
  <si>
    <t>HW4 - Business Statistics</t>
  </si>
  <si>
    <t>HW4</t>
  </si>
  <si>
    <t>Business Statistics</t>
  </si>
  <si>
    <t>4c</t>
  </si>
  <si>
    <t>4d</t>
  </si>
  <si>
    <t>4e</t>
  </si>
  <si>
    <t>5b-1</t>
  </si>
  <si>
    <t>5b-2</t>
  </si>
  <si>
    <t>5b-3</t>
  </si>
  <si>
    <t>5b-4</t>
  </si>
  <si>
    <t>5b-5</t>
  </si>
  <si>
    <t>Fall</t>
  </si>
  <si>
    <t>StudentID</t>
  </si>
  <si>
    <t>data</t>
  </si>
  <si>
    <t>What is the most repeated number in the column?</t>
  </si>
  <si>
    <t>Report the number which sets the dataset into 2 parts. (Round up to next integer)</t>
  </si>
  <si>
    <t>Report the standart deviation for the university which is the best at Teaching Score.</t>
  </si>
  <si>
    <t>What is the smallest number of student among the universities in France?</t>
  </si>
  <si>
    <t xml:space="preserve">Report the university which has the closest student count to average of number of student. </t>
  </si>
  <si>
    <t>Which operation gives us the value which is less affected by outliers?</t>
  </si>
  <si>
    <t>Does teaching score distribution has a positive or negative skew?</t>
  </si>
  <si>
    <t>Which country's schools have the highest average Research Score?</t>
  </si>
  <si>
    <r>
      <t xml:space="preserve">Consider the </t>
    </r>
    <r>
      <rPr>
        <b/>
        <u/>
        <sz val="13"/>
        <color theme="0"/>
        <rFont val="Calibri (Body)"/>
      </rPr>
      <t>"Number of Students"</t>
    </r>
    <r>
      <rPr>
        <b/>
        <sz val="13"/>
        <color theme="0"/>
        <rFont val="Calibri"/>
        <family val="2"/>
        <scheme val="minor"/>
      </rPr>
      <t xml:space="preserve"> column to answer the questions below.</t>
    </r>
  </si>
  <si>
    <r>
      <t xml:space="preserve">For this part, </t>
    </r>
    <r>
      <rPr>
        <b/>
        <u/>
        <sz val="13"/>
        <color theme="0"/>
        <rFont val="Calibri (Body)"/>
      </rPr>
      <t>use all of the data</t>
    </r>
    <r>
      <rPr>
        <b/>
        <sz val="13"/>
        <color theme="0"/>
        <rFont val="Calibri"/>
        <family val="2"/>
        <scheme val="minor"/>
      </rPr>
      <t>.</t>
    </r>
  </si>
  <si>
    <r>
      <rPr>
        <b/>
        <u/>
        <sz val="13"/>
        <color theme="0"/>
        <rFont val="Calibri (Body)"/>
      </rPr>
      <t>Using all of the data.</t>
    </r>
    <r>
      <rPr>
        <b/>
        <sz val="13"/>
        <color theme="0"/>
        <rFont val="Calibri"/>
        <family val="2"/>
        <scheme val="minor"/>
      </rPr>
      <t xml:space="preserve"> Plot a scatter diagram with </t>
    </r>
    <r>
      <rPr>
        <b/>
        <u/>
        <sz val="13"/>
        <color theme="0"/>
        <rFont val="Calibri (Body)"/>
      </rPr>
      <t>"Teaching Score"</t>
    </r>
    <r>
      <rPr>
        <b/>
        <sz val="13"/>
        <color theme="0"/>
        <rFont val="Calibri"/>
        <family val="2"/>
        <scheme val="minor"/>
      </rPr>
      <t xml:space="preserve"> on the x-axis and</t>
    </r>
    <r>
      <rPr>
        <b/>
        <u/>
        <sz val="13"/>
        <color theme="0"/>
        <rFont val="Calibri (Body)"/>
      </rPr>
      <t xml:space="preserve"> "Research Score"</t>
    </r>
    <r>
      <rPr>
        <b/>
        <sz val="13"/>
        <color theme="0"/>
        <rFont val="Calibri"/>
        <family val="2"/>
        <scheme val="minor"/>
      </rPr>
      <t xml:space="preserve"> on the y-axis. Then fit a linear trendline.</t>
    </r>
  </si>
  <si>
    <t>According to the trendline, how much does the score change if the teaching score decreases 1%? (Report a positive value)</t>
  </si>
  <si>
    <t>Deniz wants to go abroad for studying. He thinks that statistical analysis is important for choosing a university. Help Deniz with following questions.</t>
  </si>
  <si>
    <t>Report the correlation coefficient.</t>
  </si>
  <si>
    <t>What percent of the variation in score can be explained by the variation in teaching score?</t>
  </si>
  <si>
    <t>According to only the correlation coefficient can we say that teaching scores caused the university's scores?</t>
  </si>
  <si>
    <r>
      <rPr>
        <b/>
        <sz val="13"/>
        <color theme="0"/>
        <rFont val="Calibri"/>
        <family val="2"/>
        <scheme val="minor"/>
      </rPr>
      <t xml:space="preserve">In order to answer the questions below, please </t>
    </r>
    <r>
      <rPr>
        <b/>
        <u/>
        <sz val="13"/>
        <color theme="0"/>
        <rFont val="Calibri (Body)"/>
      </rPr>
      <t>use all of the data</t>
    </r>
    <r>
      <rPr>
        <b/>
        <sz val="13"/>
        <color theme="0"/>
        <rFont val="Calibri"/>
        <family val="2"/>
        <scheme val="minor"/>
      </rPr>
      <t>.</t>
    </r>
  </si>
  <si>
    <t>Which university in India has the highest Teaching Score?</t>
  </si>
  <si>
    <t>Find the best countries based on maximum average number of citations for the given research fields.</t>
  </si>
  <si>
    <t>Robotics</t>
  </si>
  <si>
    <t>Computer Vision</t>
  </si>
  <si>
    <t>Economics</t>
  </si>
  <si>
    <t>Arts</t>
  </si>
  <si>
    <t>Geography</t>
  </si>
  <si>
    <r>
      <rPr>
        <b/>
        <sz val="13"/>
        <color theme="0"/>
        <rFont val="Calibri"/>
        <family val="2"/>
        <scheme val="minor"/>
      </rPr>
      <t xml:space="preserve">For the following questions, do not forget to apply the given criteria and consider each question as </t>
    </r>
    <r>
      <rPr>
        <b/>
        <u/>
        <sz val="13"/>
        <color theme="0"/>
        <rFont val="Calibri (Body)"/>
      </rPr>
      <t>INDEPENDENT</t>
    </r>
    <r>
      <rPr>
        <b/>
        <sz val="13"/>
        <color theme="0"/>
        <rFont val="Calibri"/>
        <family val="2"/>
        <scheme val="minor"/>
      </rPr>
      <t xml:space="preserve"> from each other.</t>
    </r>
  </si>
  <si>
    <t>What is the average number of citations of those whose research topic is geography and earth sciences?</t>
  </si>
  <si>
    <t>Among the countries you found on Part 5b, which one has the highest average research score?</t>
  </si>
  <si>
    <t>University Name</t>
  </si>
  <si>
    <t>Country</t>
  </si>
  <si>
    <t>Dominant Gender</t>
  </si>
  <si>
    <t>Dominant Research Topic</t>
  </si>
  <si>
    <t>Number of Students</t>
  </si>
  <si>
    <t>Number of Staff</t>
  </si>
  <si>
    <t>Number of International Students</t>
  </si>
  <si>
    <t>Research Score</t>
  </si>
  <si>
    <t>Number of Citations</t>
  </si>
  <si>
    <t>Teaching Score</t>
  </si>
  <si>
    <t>University of Biskra</t>
  </si>
  <si>
    <t>Algeria</t>
  </si>
  <si>
    <t>Female</t>
  </si>
  <si>
    <t>Social Sciences</t>
  </si>
  <si>
    <t>University of Constantine 1</t>
  </si>
  <si>
    <t>University of Science and Technology of Oran Mohamed-Boudiaf</t>
  </si>
  <si>
    <t>Psychology</t>
  </si>
  <si>
    <t>University of Sciences and Technology Houari Boumediene</t>
  </si>
  <si>
    <t>Law</t>
  </si>
  <si>
    <t>University of Tlemcen</t>
  </si>
  <si>
    <t>Artificial Intelligence</t>
  </si>
  <si>
    <t>National University of Cuyo</t>
  </si>
  <si>
    <t>Argentina</t>
  </si>
  <si>
    <t>National University of the South</t>
  </si>
  <si>
    <t>Australian Catholic University</t>
  </si>
  <si>
    <t>Australia</t>
  </si>
  <si>
    <t>Australian National University</t>
  </si>
  <si>
    <t>Bond University</t>
  </si>
  <si>
    <t>Linguistics</t>
  </si>
  <si>
    <t>Central Queensland University</t>
  </si>
  <si>
    <t>Charles Darwin University</t>
  </si>
  <si>
    <t>Curtin University</t>
  </si>
  <si>
    <t>Deakin University</t>
  </si>
  <si>
    <t>Edith Cowan University</t>
  </si>
  <si>
    <t>Flinders University</t>
  </si>
  <si>
    <t>Griffith University</t>
  </si>
  <si>
    <t>James Cook University</t>
  </si>
  <si>
    <t>La Trobe University</t>
  </si>
  <si>
    <t>Macquarie University</t>
  </si>
  <si>
    <t>Monash University</t>
  </si>
  <si>
    <t>Murdoch University</t>
  </si>
  <si>
    <t>Queensland University of Technology</t>
  </si>
  <si>
    <t>RMIT University</t>
  </si>
  <si>
    <t>Male</t>
  </si>
  <si>
    <t>Southern Cross University</t>
  </si>
  <si>
    <t>Swinburne University of Technology</t>
  </si>
  <si>
    <t>University of Adelaide</t>
  </si>
  <si>
    <t>University of Canberra</t>
  </si>
  <si>
    <t>University of Melbourne</t>
  </si>
  <si>
    <t>University of Newcastle</t>
  </si>
  <si>
    <t>University of Queensland</t>
  </si>
  <si>
    <t>University of South Australia</t>
  </si>
  <si>
    <t>University of Southern Queensland</t>
  </si>
  <si>
    <t>University of Sydney</t>
  </si>
  <si>
    <t>University of Tasmania</t>
  </si>
  <si>
    <t>University of Technology Sydney</t>
  </si>
  <si>
    <t>University of the Sunshine Coast</t>
  </si>
  <si>
    <t>University of Western Australia</t>
  </si>
  <si>
    <t>University of Wollongong</t>
  </si>
  <si>
    <t>UNSW Sydney</t>
  </si>
  <si>
    <t>Victoria University</t>
  </si>
  <si>
    <t>Western Sydney University</t>
  </si>
  <si>
    <t>Graz University of Technology</t>
  </si>
  <si>
    <t>Austria</t>
  </si>
  <si>
    <t>Johannes Kepler University of Linz</t>
  </si>
  <si>
    <t>Medical University of Graz</t>
  </si>
  <si>
    <t>Earth Sciences</t>
  </si>
  <si>
    <t>Medical University of Innsbruck</t>
  </si>
  <si>
    <t>Medical University of Vienna</t>
  </si>
  <si>
    <t>University of Graz</t>
  </si>
  <si>
    <t>University of Innsbruck</t>
  </si>
  <si>
    <t>University of Klagenfurt</t>
  </si>
  <si>
    <t>University of Leoben</t>
  </si>
  <si>
    <t>University of Vienna</t>
  </si>
  <si>
    <t>Vienna University of Technology</t>
  </si>
  <si>
    <t>University of Dhaka</t>
  </si>
  <si>
    <t>Bangladesh</t>
  </si>
  <si>
    <t>Belarusian State University</t>
  </si>
  <si>
    <t>Belarus</t>
  </si>
  <si>
    <t>Ghent University</t>
  </si>
  <si>
    <t>Belgium</t>
  </si>
  <si>
    <t>Hasselt University</t>
  </si>
  <si>
    <t>KU Leuven</t>
  </si>
  <si>
    <t>University of Antwerp</t>
  </si>
  <si>
    <t>Vrije Universiteit Brussel</t>
  </si>
  <si>
    <t>Federal Rural University of the Semi-Arid Region</t>
  </si>
  <si>
    <t>Brazil</t>
  </si>
  <si>
    <t>Federal University of ABC (UFABC)</t>
  </si>
  <si>
    <t>Federal University of Alagoas</t>
  </si>
  <si>
    <t>Federal University of Bahia</t>
  </si>
  <si>
    <t>Federal University of Health Sciences of Porto Alegre (UFCSPA)</t>
  </si>
  <si>
    <t>Federal University of Lavras</t>
  </si>
  <si>
    <t>Federal University of Mato Grosso do Sul</t>
  </si>
  <si>
    <t>Federal University of Minas Gerais</t>
  </si>
  <si>
    <t>Federal University of Ouro Preto</t>
  </si>
  <si>
    <t>Federal University of Pelotas</t>
  </si>
  <si>
    <t>Federal University of Pernambuco</t>
  </si>
  <si>
    <t>Federal University of Rio de Janeiro</t>
  </si>
  <si>
    <t>Federal University of Rio Grande do Norte (UFRN)</t>
  </si>
  <si>
    <t>Federal University of Rio Grande do Sul</t>
  </si>
  <si>
    <t>Federal University of Santa Catarina</t>
  </si>
  <si>
    <t>Federal University of Santa Maria</t>
  </si>
  <si>
    <t>Fluminense Federal University</t>
  </si>
  <si>
    <t>Londrina State University</t>
  </si>
  <si>
    <t>Pontifical Catholic University of Minas Gerais</t>
  </si>
  <si>
    <t>Pontifical Catholic University of Rio de Janeiro (PUC-Rio)</t>
  </si>
  <si>
    <t>Pontifical Catholic University of Rio Grande do Sul (PUCRS)</t>
  </si>
  <si>
    <t>Rio de Janeiro State University (UERJ)</t>
  </si>
  <si>
    <t>Santa Catarina State University</t>
  </si>
  <si>
    <t>State University of Ponta Grossa</t>
  </si>
  <si>
    <t>State University of Santa Cruz</t>
  </si>
  <si>
    <t>University of Campinas</t>
  </si>
  <si>
    <t>University of Caxias do Sul</t>
  </si>
  <si>
    <t>University of Fortaleza (UNIFOR)</t>
  </si>
  <si>
    <t>University of the Sinos Valley</t>
  </si>
  <si>
    <t>Universiti Brunei Darussalam</t>
  </si>
  <si>
    <t>Brunei Darussalam</t>
  </si>
  <si>
    <t>Sofia University</t>
  </si>
  <si>
    <t>Bulgaria</t>
  </si>
  <si>
    <t>Carleton University</t>
  </si>
  <si>
    <t>Canada</t>
  </si>
  <si>
    <t>Concordia University</t>
  </si>
  <si>
    <t>Dalhousie University</t>
  </si>
  <si>
    <t>Lakehead University</t>
  </si>
  <si>
    <t>Laval University</t>
  </si>
  <si>
    <t>McGill University</t>
  </si>
  <si>
    <t>McMaster University</t>
  </si>
  <si>
    <t>Memorial University of Newfoundland</t>
  </si>
  <si>
    <t>Ryerson University</t>
  </si>
  <si>
    <t>Simon Fraser University</t>
  </si>
  <si>
    <t>University of Alberta</t>
  </si>
  <si>
    <t>University of British Columbia</t>
  </si>
  <si>
    <t>University of Calgary</t>
  </si>
  <si>
    <t>University of Guelph</t>
  </si>
  <si>
    <t>University of Lethbridge</t>
  </si>
  <si>
    <t>University of Manitoba</t>
  </si>
  <si>
    <t>University of Montreal</t>
  </si>
  <si>
    <t>University of Northern British Columbia (UNBC)</t>
  </si>
  <si>
    <t>University of Ottawa</t>
  </si>
  <si>
    <t>University of Regina</t>
  </si>
  <si>
    <t>University of Saskatchewan</t>
  </si>
  <si>
    <t>University of Toronto</t>
  </si>
  <si>
    <t>University of Victoria</t>
  </si>
  <si>
    <t>University of Waterloo</t>
  </si>
  <si>
    <t>University of Windsor</t>
  </si>
  <si>
    <t>Western University</t>
  </si>
  <si>
    <t>York University</t>
  </si>
  <si>
    <t>Austral University of Chile</t>
  </si>
  <si>
    <t>Chile</t>
  </si>
  <si>
    <t>Catholic University of the North</t>
  </si>
  <si>
    <t>Diego Portales University</t>
  </si>
  <si>
    <t>Pontifical Catholic University of Chile</t>
  </si>
  <si>
    <t>University of Chile</t>
  </si>
  <si>
    <t>University of Desarrollo</t>
  </si>
  <si>
    <t>University of La Frontera</t>
  </si>
  <si>
    <t>University of Santiago, Chile (USACH)</t>
  </si>
  <si>
    <t>University of Talca</t>
  </si>
  <si>
    <t>University of the Andes, Chile</t>
  </si>
  <si>
    <t>Beihang University</t>
  </si>
  <si>
    <t>China</t>
  </si>
  <si>
    <t>Beijing Institute of Technology</t>
  </si>
  <si>
    <t>Beijing Jiaotong University</t>
  </si>
  <si>
    <t>Beijing Normal University</t>
  </si>
  <si>
    <t>Capital Medical University</t>
  </si>
  <si>
    <t>Central South University</t>
  </si>
  <si>
    <t>China Agricultural University</t>
  </si>
  <si>
    <t>China Pharmaceutical University</t>
  </si>
  <si>
    <t>China University of Geosciences, Beijing</t>
  </si>
  <si>
    <t>China University of Geosciences, Wuhan</t>
  </si>
  <si>
    <t>China University of Mining and Technology</t>
  </si>
  <si>
    <t>China University of Petroleum, Beijing</t>
  </si>
  <si>
    <t>Chongqing University</t>
  </si>
  <si>
    <t>Dalian University of Technology</t>
  </si>
  <si>
    <t>East China Normal University</t>
  </si>
  <si>
    <t>East China University of Science and Technology</t>
  </si>
  <si>
    <t>Fudan University</t>
  </si>
  <si>
    <t>Fuzhou University</t>
  </si>
  <si>
    <t>Guangdong University of Technology</t>
  </si>
  <si>
    <t>Guangxi University</t>
  </si>
  <si>
    <t>Harbin Institute of Technology</t>
  </si>
  <si>
    <t>Huaqiao University</t>
  </si>
  <si>
    <t>Huazhong Agricultural University</t>
  </si>
  <si>
    <t>Huazhong University of Science and Technology</t>
  </si>
  <si>
    <t>Hunan University</t>
  </si>
  <si>
    <t>Jiangsu Normal University</t>
  </si>
  <si>
    <t>Jiangsu University</t>
  </si>
  <si>
    <t>Jilin University</t>
  </si>
  <si>
    <t>Jinan University</t>
  </si>
  <si>
    <t>Nanjing Agricultural University</t>
  </si>
  <si>
    <t>Nanjing Medical University</t>
  </si>
  <si>
    <t>Nanjing Normal University</t>
  </si>
  <si>
    <t>Nanjing Tech University</t>
  </si>
  <si>
    <t>Nanjing University</t>
  </si>
  <si>
    <t>Nanjing University of Aeronautics and Astronautics</t>
  </si>
  <si>
    <t>Nanjing University of Information Science and Technology</t>
  </si>
  <si>
    <t>Nankai University</t>
  </si>
  <si>
    <t>North China Electric Power University</t>
  </si>
  <si>
    <t>Northeast Normal University</t>
  </si>
  <si>
    <t>Northeastern University</t>
  </si>
  <si>
    <t>NorthWest A&amp;F University</t>
  </si>
  <si>
    <t>Northwest University</t>
  </si>
  <si>
    <t>Northwestern Polytechnical University</t>
  </si>
  <si>
    <t>Ocean University of China</t>
  </si>
  <si>
    <t>Peking University</t>
  </si>
  <si>
    <t>Renmin University of China</t>
  </si>
  <si>
    <t>Shandong University</t>
  </si>
  <si>
    <t>Shanghai Jiao Tong University</t>
  </si>
  <si>
    <t>Shanghai Maritime University</t>
  </si>
  <si>
    <t>Shanghai University</t>
  </si>
  <si>
    <t>Shanghai University of Finance and Economics (SUFE)</t>
  </si>
  <si>
    <t>Shantou University</t>
  </si>
  <si>
    <t>Shenzhen University</t>
  </si>
  <si>
    <t>Sichuan University</t>
  </si>
  <si>
    <t>Soochow University</t>
  </si>
  <si>
    <t>South China University of Technology</t>
  </si>
  <si>
    <t>Southeast University</t>
  </si>
  <si>
    <t>Southern Medical University</t>
  </si>
  <si>
    <t>Southern University of Science and Technology (SUSTech)</t>
  </si>
  <si>
    <t>Southwest Jiaotong University</t>
  </si>
  <si>
    <t>Southwestern University of Finance and Economics</t>
  </si>
  <si>
    <t>Sun Yat-sen University</t>
  </si>
  <si>
    <t>Tianjin University</t>
  </si>
  <si>
    <t>Tongji University</t>
  </si>
  <si>
    <t>Tsinghua University</t>
  </si>
  <si>
    <t>University of Electronic Science and Technology of China</t>
  </si>
  <si>
    <t>University of International Business and Economics</t>
  </si>
  <si>
    <t>University of Science and Technology Beijing</t>
  </si>
  <si>
    <t>University of Science and Technology of China</t>
  </si>
  <si>
    <t>University of South China</t>
  </si>
  <si>
    <t>Wenzhou Medical University</t>
  </si>
  <si>
    <t>Wuhan University</t>
  </si>
  <si>
    <t>Wuhan University of Technology</t>
  </si>
  <si>
    <t>Xiamen University</t>
  </si>
  <si>
    <t>Xiangtan University</t>
  </si>
  <si>
    <t>Xidian University</t>
  </si>
  <si>
    <t>Yangzhou University</t>
  </si>
  <si>
    <t>Yanshan University</t>
  </si>
  <si>
    <t>Zhejiang University</t>
  </si>
  <si>
    <t>Zhejiang University of Technology</t>
  </si>
  <si>
    <t>Del Rosario University</t>
  </si>
  <si>
    <t>Colombia</t>
  </si>
  <si>
    <t>Industrial University of Santander (UIS)</t>
  </si>
  <si>
    <t>National University of Colombia</t>
  </si>
  <si>
    <t>Pontifical Javeriana University</t>
  </si>
  <si>
    <t>University of Antioquia</t>
  </si>
  <si>
    <t>University of the Andes, Colombia</t>
  </si>
  <si>
    <t>University of the North, Colombia</t>
  </si>
  <si>
    <t>University of Costa Rica</t>
  </si>
  <si>
    <t>Costa Rica</t>
  </si>
  <si>
    <t>University of Split</t>
  </si>
  <si>
    <t>Croatia</t>
  </si>
  <si>
    <t>University of Zagreb</t>
  </si>
  <si>
    <t>University of Havana</t>
  </si>
  <si>
    <t>Cuba</t>
  </si>
  <si>
    <t>Cyprus University of Technology</t>
  </si>
  <si>
    <t>Cyprus</t>
  </si>
  <si>
    <t>University of Cyprus</t>
  </si>
  <si>
    <t>Brno University of Technology</t>
  </si>
  <si>
    <t>Czech Republic</t>
  </si>
  <si>
    <t>Charles University in Prague</t>
  </si>
  <si>
    <t>Czech Technical University in Prague</t>
  </si>
  <si>
    <t>Czech University of Life Sciences Prague (CULS)</t>
  </si>
  <si>
    <t>Masaryk University</t>
  </si>
  <si>
    <t>Mendel University in Brno</t>
  </si>
  <si>
    <t>Technical University of Liberec</t>
  </si>
  <si>
    <t>University of Chemistry and Technology, Prague</t>
  </si>
  <si>
    <t>University of Economics, Prague</t>
  </si>
  <si>
    <t>University of Ostrava</t>
  </si>
  <si>
    <t>University of Pardubice</t>
  </si>
  <si>
    <t>University of West Bohemia</t>
  </si>
  <si>
    <t>VSB - Technical University of Ostrava</t>
  </si>
  <si>
    <t>Aalborg University</t>
  </si>
  <si>
    <t>Denmark</t>
  </si>
  <si>
    <t>Aarhus University</t>
  </si>
  <si>
    <t>Copenhagen Business School</t>
  </si>
  <si>
    <t>Roskilde University</t>
  </si>
  <si>
    <t>Technical University of Denmark</t>
  </si>
  <si>
    <t>University of Copenhagen</t>
  </si>
  <si>
    <t>University of Southern Denmark</t>
  </si>
  <si>
    <t>Ain Shams University</t>
  </si>
  <si>
    <t>Egypt</t>
  </si>
  <si>
    <t>Al-Azhar University</t>
  </si>
  <si>
    <t>Alexandria University</t>
  </si>
  <si>
    <t>American University in Cairo</t>
  </si>
  <si>
    <t>Assiut University</t>
  </si>
  <si>
    <t>Aswan University</t>
  </si>
  <si>
    <t>Benha University</t>
  </si>
  <si>
    <t>Beni-Suef University</t>
  </si>
  <si>
    <t>Cairo University</t>
  </si>
  <si>
    <t>Fayoum University</t>
  </si>
  <si>
    <t>Helwan University</t>
  </si>
  <si>
    <t>Kafrelsheikh University</t>
  </si>
  <si>
    <t>Mansoura University</t>
  </si>
  <si>
    <t>Menoufia University</t>
  </si>
  <si>
    <t>Minia University</t>
  </si>
  <si>
    <t>Sohag University</t>
  </si>
  <si>
    <t>South Valley University</t>
  </si>
  <si>
    <t>Suez Canal University</t>
  </si>
  <si>
    <t>Tanta University</t>
  </si>
  <si>
    <t>Zagazig University</t>
  </si>
  <si>
    <t>Tallinn University</t>
  </si>
  <si>
    <t>Estonia</t>
  </si>
  <si>
    <t>Tallinn University of Technology</t>
  </si>
  <si>
    <t>University of Tartu</t>
  </si>
  <si>
    <t>Aalto University</t>
  </si>
  <si>
    <t>Finland</t>
  </si>
  <si>
    <t>Lappeenranta-Lahti University of Technology LUT</t>
  </si>
  <si>
    <t>Tampere University</t>
  </si>
  <si>
    <t>University of Eastern Finland</t>
  </si>
  <si>
    <t>University of Helsinki</t>
  </si>
  <si>
    <t>University of Oulu</t>
  </si>
  <si>
    <t>University of Turku</t>
  </si>
  <si>
    <t>Aix-Marseille University</t>
  </si>
  <si>
    <t>France</t>
  </si>
  <si>
    <t>Centrale Nantes</t>
  </si>
  <si>
    <t>Claude Bernard University Lyon 1</t>
  </si>
  <si>
    <t>Grenoble Alpes University</t>
  </si>
  <si>
    <t>IMT Atlantique</t>
  </si>
  <si>
    <t>Montpellier University</t>
  </si>
  <si>
    <t>National Institute of Applied Sciences of Lyon (INSA Lyon)</t>
  </si>
  <si>
    <t>Normandy University</t>
  </si>
  <si>
    <t>Paris Nanterre University</t>
  </si>
  <si>
    <t>Paris-Sud University</t>
  </si>
  <si>
    <t>Sciences Po</t>
  </si>
  <si>
    <t>Sorbonne University</t>
  </si>
  <si>
    <t>University of Bordeaux</t>
  </si>
  <si>
    <t>University of Cergy-Pontoise</t>
  </si>
  <si>
    <t>University of Clermont Auvergne</t>
  </si>
  <si>
    <t>University of Lille</t>
  </si>
  <si>
    <t>University of Lorraine</t>
  </si>
  <si>
    <t>University of Nantes</t>
  </si>
  <si>
    <t>University of Paris</t>
  </si>
  <si>
    <t>University of Rennes 1</t>
  </si>
  <si>
    <t>University of Strasbourg</t>
  </si>
  <si>
    <t>University of Tours</t>
  </si>
  <si>
    <t>Ivane Javakhishvili Tbilisi State University</t>
  </si>
  <si>
    <t>Georgia</t>
  </si>
  <si>
    <t>Bielefeld University</t>
  </si>
  <si>
    <t>Germany</t>
  </si>
  <si>
    <t>Chemnitz University of Technology</t>
  </si>
  <si>
    <t>Free University of Berlin</t>
  </si>
  <si>
    <t>Goethe University Frankfurt</t>
  </si>
  <si>
    <t>Hamburg University of Technology</t>
  </si>
  <si>
    <t>Heidelberg University</t>
  </si>
  <si>
    <t>Humboldt University of Berlin</t>
  </si>
  <si>
    <t>Ilmenau University of Technology</t>
  </si>
  <si>
    <t>Jacobs University</t>
  </si>
  <si>
    <t>Johannes Gutenberg University of Mainz</t>
  </si>
  <si>
    <t>Justus Liebig University Giessen</t>
  </si>
  <si>
    <t>Karlsruhe Institute of Technology</t>
  </si>
  <si>
    <t>Leibniz University Hanover</t>
  </si>
  <si>
    <t>LMU Munich</t>
  </si>
  <si>
    <t>Ruhr University Bochum</t>
  </si>
  <si>
    <t>RWTH Aachen University</t>
  </si>
  <si>
    <t>Technical University of Berlin</t>
  </si>
  <si>
    <t>Technical University of Darmstadt</t>
  </si>
  <si>
    <t>Technical University of Munich</t>
  </si>
  <si>
    <t>TU Braunschweig</t>
  </si>
  <si>
    <t>TU Dortmund University</t>
  </si>
  <si>
    <t>TU Dresden</t>
  </si>
  <si>
    <t>Ulm University</t>
  </si>
  <si>
    <t>University of Bayreuth</t>
  </si>
  <si>
    <t>University of Bonn</t>
  </si>
  <si>
    <t>University of Bremen</t>
  </si>
  <si>
    <t>University of Cologne</t>
  </si>
  <si>
    <t>University of Duisburg-Essen</t>
  </si>
  <si>
    <t>University of Erlangen-Nuremberg</t>
  </si>
  <si>
    <t>University of Freiburg</t>
  </si>
  <si>
    <t>University of Greifswald</t>
  </si>
  <si>
    <t>University of Hamburg</t>
  </si>
  <si>
    <t>University of Hohenheim</t>
  </si>
  <si>
    <t>University of Kaiserslautern</t>
  </si>
  <si>
    <t>University of Kiel</t>
  </si>
  <si>
    <t>University of Konstanz</t>
  </si>
  <si>
    <t>University of Mannheim</t>
  </si>
  <si>
    <t>University of Marburg</t>
  </si>
  <si>
    <t>University of Passau</t>
  </si>
  <si>
    <t>University of Potsdam</t>
  </si>
  <si>
    <t>University of Siegen</t>
  </si>
  <si>
    <t>University of Stuttgart</t>
  </si>
  <si>
    <t>University of Wuppertal</t>
  </si>
  <si>
    <t>University of Ghana</t>
  </si>
  <si>
    <t>Ghana</t>
  </si>
  <si>
    <t>Aristotle University of Thessaloniki</t>
  </si>
  <si>
    <t>Greece</t>
  </si>
  <si>
    <t>Athens University of Economics and Business</t>
  </si>
  <si>
    <t>Democritus University of Thrace</t>
  </si>
  <si>
    <t>National and Kapodistrian University of Athens</t>
  </si>
  <si>
    <t>National Technical University of Athens</t>
  </si>
  <si>
    <t>University of Crete</t>
  </si>
  <si>
    <t>University of Ioannina</t>
  </si>
  <si>
    <t>University of Patras</t>
  </si>
  <si>
    <t>University of the Aegean</t>
  </si>
  <si>
    <t>University of Thessaly</t>
  </si>
  <si>
    <t>Chinese University of Hong Kong</t>
  </si>
  <si>
    <t>Hong Kong</t>
  </si>
  <si>
    <t>City University of Hong Kong</t>
  </si>
  <si>
    <t>Hong Kong Baptist University</t>
  </si>
  <si>
    <t>Hong Kong Polytechnic University</t>
  </si>
  <si>
    <t>The Hong Kong University of Science and Technology</t>
  </si>
  <si>
    <t>University of Hong Kong</t>
  </si>
  <si>
    <t>Budapest University of Technology and Economics</t>
  </si>
  <si>
    <t>Hungary</t>
  </si>
  <si>
    <t>Corvinus University of Budapest</t>
  </si>
  <si>
    <t>Semmelweis University</t>
  </si>
  <si>
    <t>University of Debrecen</t>
  </si>
  <si>
    <t>University of Szeged</t>
  </si>
  <si>
    <t>University of Iceland</t>
  </si>
  <si>
    <t>Iceland</t>
  </si>
  <si>
    <t>Acharya Nagarjuna University</t>
  </si>
  <si>
    <t>India</t>
  </si>
  <si>
    <t>Aligarh Muslim University</t>
  </si>
  <si>
    <t>Amity University</t>
  </si>
  <si>
    <t>Amrita Vishwa Vidyapeetham</t>
  </si>
  <si>
    <t>Andhra University</t>
  </si>
  <si>
    <t>Anna University</t>
  </si>
  <si>
    <t>Annamalai University</t>
  </si>
  <si>
    <t>Banaras Hindu University</t>
  </si>
  <si>
    <t>Banasthali University</t>
  </si>
  <si>
    <t>Birla Institute of Technology and Science, Pilani</t>
  </si>
  <si>
    <t>Cochin University of Science and Technology</t>
  </si>
  <si>
    <t>Delhi Technological University</t>
  </si>
  <si>
    <t>GITAM University</t>
  </si>
  <si>
    <t>Indian Institute of Science</t>
  </si>
  <si>
    <t>Indian Institute of Science Education and Research Kolkata</t>
  </si>
  <si>
    <t>Indian Institute of Science Education and Research, Pune</t>
  </si>
  <si>
    <t>Indian Institute of Technology (Indian School of Mines) Dhanbad</t>
  </si>
  <si>
    <t>Indian Institute of Technology Bhubaneswar</t>
  </si>
  <si>
    <t>Indian Institute of Technology Bombay</t>
  </si>
  <si>
    <t>Indian Institute of Technology Delhi</t>
  </si>
  <si>
    <t>Indian Institute of Technology Gandhinagar</t>
  </si>
  <si>
    <t>Indian Institute of Technology Guwahati</t>
  </si>
  <si>
    <t>Indian Institute of Technology Hyderabad</t>
  </si>
  <si>
    <t>Indian Institute of Technology Indore</t>
  </si>
  <si>
    <t>Indian Institute of Technology Kanpur</t>
  </si>
  <si>
    <t>Indian Institute of Technology Kharagpur</t>
  </si>
  <si>
    <t>Indian Institute of Technology Madras</t>
  </si>
  <si>
    <t>Indian Institute of Technology Patna</t>
  </si>
  <si>
    <t>Indian Institute of Technology Roorkee</t>
  </si>
  <si>
    <t>Indian Institute of Technology Ropar</t>
  </si>
  <si>
    <t>Institute of Chemical Technology</t>
  </si>
  <si>
    <t>Jadavpur University</t>
  </si>
  <si>
    <t>Jamia Millia Islamia</t>
  </si>
  <si>
    <t>Jawaharlal Nehru University</t>
  </si>
  <si>
    <t>KIIT University</t>
  </si>
  <si>
    <t>Maharaja Sayajirao University of Baroda</t>
  </si>
  <si>
    <t>Manipal Academy of Higher Education</t>
  </si>
  <si>
    <t>National Institute of Technology Rourkela</t>
  </si>
  <si>
    <t>National Institute of Technology, Tiruchirappalli</t>
  </si>
  <si>
    <t>Osmania University</t>
  </si>
  <si>
    <t>Panjab University</t>
  </si>
  <si>
    <t>Pondicherry University</t>
  </si>
  <si>
    <t>PSG College of Technology</t>
  </si>
  <si>
    <t>SASTRA University</t>
  </si>
  <si>
    <t>Sathyabama Institute of Science and Technology</t>
  </si>
  <si>
    <t>Savitribai Phule Pune University</t>
  </si>
  <si>
    <t>Sri Venkateswara University</t>
  </si>
  <si>
    <t>SRM Institute of Science and Technology</t>
  </si>
  <si>
    <t>Tamil Nadu Agricultural University</t>
  </si>
  <si>
    <t>Tezpur University</t>
  </si>
  <si>
    <t>Thapar University</t>
  </si>
  <si>
    <t>University of Delhi</t>
  </si>
  <si>
    <t>University of Mumbai</t>
  </si>
  <si>
    <t>University of Mysore</t>
  </si>
  <si>
    <t>VIT University</t>
  </si>
  <si>
    <t>Bandung Institute of Technology (ITB)</t>
  </si>
  <si>
    <t>Indonesia</t>
  </si>
  <si>
    <t>Bogor Agricultural University</t>
  </si>
  <si>
    <t>Sepuluh Nopember Institute of Technology</t>
  </si>
  <si>
    <t>Universitas Gadjah Mada</t>
  </si>
  <si>
    <t>University of Brawijaya</t>
  </si>
  <si>
    <t>University of Indonesia</t>
  </si>
  <si>
    <t>Alzahra University</t>
  </si>
  <si>
    <t>Iran</t>
  </si>
  <si>
    <t>Amirkabir University of Technology</t>
  </si>
  <si>
    <t>Azarbaijan Shahid Madani University</t>
  </si>
  <si>
    <t>Babol Noshirvani University of Technology</t>
  </si>
  <si>
    <t>Bu-Ali Sina University</t>
  </si>
  <si>
    <t>Ferdowsi University of Mashhad</t>
  </si>
  <si>
    <t>Imam Khomeini International University</t>
  </si>
  <si>
    <t>Iran University of Medical Sciences</t>
  </si>
  <si>
    <t>Iran University of Science and Technology</t>
  </si>
  <si>
    <t>Isfahan University of Medical Sciences</t>
  </si>
  <si>
    <t>Isfahan University of Technology</t>
  </si>
  <si>
    <t>K.N. Toosi University of Technology</t>
  </si>
  <si>
    <t>Kharazmi University</t>
  </si>
  <si>
    <t>Mashhad University of Medical Sciences</t>
  </si>
  <si>
    <t>Semnan University</t>
  </si>
  <si>
    <t>Shahed University</t>
  </si>
  <si>
    <t>Shahid Bahonar University of Kerman</t>
  </si>
  <si>
    <t>Shahid Beheshti University</t>
  </si>
  <si>
    <t>Shahid Beheshti University of Medical Sciences</t>
  </si>
  <si>
    <t>Shahid Chamran University of Ahvaz</t>
  </si>
  <si>
    <t>Shahrekord University</t>
  </si>
  <si>
    <t>Shahrood University of Technology</t>
  </si>
  <si>
    <t>Sharif University of Technology</t>
  </si>
  <si>
    <t>Shiraz University</t>
  </si>
  <si>
    <t>Shiraz University of Medical Sciences</t>
  </si>
  <si>
    <t>Shiraz University of Technology</t>
  </si>
  <si>
    <t>Tabriz University of Medical Sciences</t>
  </si>
  <si>
    <t>Tehran University of Medical Sciences</t>
  </si>
  <si>
    <t>University of Birjand</t>
  </si>
  <si>
    <t>University of Guilan</t>
  </si>
  <si>
    <t>University of Isfahan</t>
  </si>
  <si>
    <t>University of Kashan</t>
  </si>
  <si>
    <t>University of Kurdistan</t>
  </si>
  <si>
    <t>University of Mazandaran</t>
  </si>
  <si>
    <t>University of Tabriz</t>
  </si>
  <si>
    <t>University of Tehran</t>
  </si>
  <si>
    <t>University of Zanjan</t>
  </si>
  <si>
    <t>Urmia University</t>
  </si>
  <si>
    <t>Yasouj University</t>
  </si>
  <si>
    <t>Yazd University</t>
  </si>
  <si>
    <t>University of Baghdad</t>
  </si>
  <si>
    <t>Iraq</t>
  </si>
  <si>
    <t>University of Technology, Iraq</t>
  </si>
  <si>
    <t>Dublin City University</t>
  </si>
  <si>
    <t>Ireland</t>
  </si>
  <si>
    <t>Maynooth University</t>
  </si>
  <si>
    <t>National University of Ireland, Galway</t>
  </si>
  <si>
    <t>Royal College of Surgeons in Ireland (RCSI)</t>
  </si>
  <si>
    <t>Technological University Dublin</t>
  </si>
  <si>
    <t>Trinity College Dublin</t>
  </si>
  <si>
    <t>University College Cork</t>
  </si>
  <si>
    <t>University College Dublin</t>
  </si>
  <si>
    <t>University of Limerick</t>
  </si>
  <si>
    <t>Bar-Ilan University</t>
  </si>
  <si>
    <t>Israel</t>
  </si>
  <si>
    <t>Hebrew University of Jerusalem</t>
  </si>
  <si>
    <t>IDC Herzliya</t>
  </si>
  <si>
    <t>Technion Israel Institute of Technology</t>
  </si>
  <si>
    <t>Tel Aviv University</t>
  </si>
  <si>
    <t>University of Haifa</t>
  </si>
  <si>
    <t>Amedeo Avogadro University of Eastern Piedmont</t>
  </si>
  <si>
    <t>Italy</t>
  </si>
  <si>
    <t>Catholic University of the Sacred Heart</t>
  </si>
  <si>
    <t>Free University of Bozen-Bolzano</t>
  </si>
  <si>
    <t>Marche Polytechnic University</t>
  </si>
  <si>
    <t>Polytechnic University of Bari</t>
  </si>
  <si>
    <t>Polytechnic University of Milan</t>
  </si>
  <si>
    <t>Polytechnic University of Turin</t>
  </si>
  <si>
    <t>Sapienza University of Rome</t>
  </si>
  <si>
    <t>Scuola Normale Superiore di Pisa</t>
  </si>
  <si>
    <t>University of Bari Aldo Moro</t>
  </si>
  <si>
    <t>University of Bergamo</t>
  </si>
  <si>
    <t>University of Bologna</t>
  </si>
  <si>
    <t>University of Brescia</t>
  </si>
  <si>
    <t>University of Calabria</t>
  </si>
  <si>
    <t>University of Catania</t>
  </si>
  <si>
    <t>University of Ferrara</t>
  </si>
  <si>
    <t>University of Florence</t>
  </si>
  <si>
    <t>University of Genoa</t>
  </si>
  <si>
    <t>University of Insubria</t>
  </si>
  <si>
    <t>University of Milan</t>
  </si>
  <si>
    <t>University of Milan-Bicocca</t>
  </si>
  <si>
    <t>University of Modena and Reggio Emilia</t>
  </si>
  <si>
    <t>University of Naples Federico II</t>
  </si>
  <si>
    <t>University of Padua</t>
  </si>
  <si>
    <t>University of Palermo</t>
  </si>
  <si>
    <t>University of Parma</t>
  </si>
  <si>
    <t>University of Pavia</t>
  </si>
  <si>
    <t>University of Perugia</t>
  </si>
  <si>
    <t>University of Pisa</t>
  </si>
  <si>
    <t>University of Rome III</t>
  </si>
  <si>
    <t>University of Salento</t>
  </si>
  <si>
    <t>University of Salerno</t>
  </si>
  <si>
    <t>University of Sassari</t>
  </si>
  <si>
    <t>University of Siena</t>
  </si>
  <si>
    <t>University of Trento</t>
  </si>
  <si>
    <t>University of Trieste</t>
  </si>
  <si>
    <t>University of Turin</t>
  </si>
  <si>
    <t>University of Udine</t>
  </si>
  <si>
    <t>University of Urbino Carlo Bo</t>
  </si>
  <si>
    <t>Verona University</t>
  </si>
  <si>
    <t>Vita-Salute San Raffaele University</t>
  </si>
  <si>
    <t>The University of the West Indies</t>
  </si>
  <si>
    <t>Jamaica</t>
  </si>
  <si>
    <t>Aichi Medical University</t>
  </si>
  <si>
    <t>Japan</t>
  </si>
  <si>
    <t>Akita University</t>
  </si>
  <si>
    <t>Aoyama Gakuin University</t>
  </si>
  <si>
    <t>Chiba Institute of Technology</t>
  </si>
  <si>
    <t>Chiba University</t>
  </si>
  <si>
    <t>Chubu University</t>
  </si>
  <si>
    <t>Chuo University</t>
  </si>
  <si>
    <t>Doshisha University</t>
  </si>
  <si>
    <t>Ehime University</t>
  </si>
  <si>
    <t>Fujita Health University</t>
  </si>
  <si>
    <t>Gifu University</t>
  </si>
  <si>
    <t>Gunma University</t>
  </si>
  <si>
    <t>Hamamatsu University School of Medicine</t>
  </si>
  <si>
    <t>Hiroshima University</t>
  </si>
  <si>
    <t>Hokkaido University</t>
  </si>
  <si>
    <t>Hosei University</t>
  </si>
  <si>
    <t>Hyogo College of Medicine</t>
  </si>
  <si>
    <t>Ibaraki University</t>
  </si>
  <si>
    <t>Iwate University</t>
  </si>
  <si>
    <t>Jikei University School of Medicine</t>
  </si>
  <si>
    <t>Juntendo University</t>
  </si>
  <si>
    <t>Kagawa University</t>
  </si>
  <si>
    <t>Kagoshima University</t>
  </si>
  <si>
    <t>Kanagawa University</t>
  </si>
  <si>
    <t>Kanazawa University</t>
  </si>
  <si>
    <t>Kansai Medical University</t>
  </si>
  <si>
    <t>Kansai University</t>
  </si>
  <si>
    <t>Keio University</t>
  </si>
  <si>
    <t>Kindai University</t>
  </si>
  <si>
    <t>Kitasato University</t>
  </si>
  <si>
    <t>Kobe University</t>
  </si>
  <si>
    <t>Kochi University</t>
  </si>
  <si>
    <t>Kogakuin University</t>
  </si>
  <si>
    <t>Kumamoto University</t>
  </si>
  <si>
    <t>Kurume University</t>
  </si>
  <si>
    <t>Kwansei Gakuin University</t>
  </si>
  <si>
    <t>Kyoto Institute of Technology</t>
  </si>
  <si>
    <t>Kyoto Prefectural University of Medicine</t>
  </si>
  <si>
    <t>Kyoto University</t>
  </si>
  <si>
    <t>Kyushu Institute of Technology (Kyutech)</t>
  </si>
  <si>
    <t>Kyushu University</t>
  </si>
  <si>
    <t>Meiji University</t>
  </si>
  <si>
    <t>Meijo University</t>
  </si>
  <si>
    <t>Mie University</t>
  </si>
  <si>
    <t>Muroran Institute of Technology</t>
  </si>
  <si>
    <t>Nagaoka University of Technology</t>
  </si>
  <si>
    <t>Nagasaki University</t>
  </si>
  <si>
    <t>Nagoya City University</t>
  </si>
  <si>
    <t>Nagoya Institute of Technology</t>
  </si>
  <si>
    <t>Nagoya University</t>
  </si>
  <si>
    <t>Nara Medical University</t>
  </si>
  <si>
    <t>Niigata University</t>
  </si>
  <si>
    <t>Nippon Medical School</t>
  </si>
  <si>
    <t>Ochanomizu University</t>
  </si>
  <si>
    <t>Oita University</t>
  </si>
  <si>
    <t>Okayama University</t>
  </si>
  <si>
    <t>Osaka City University</t>
  </si>
  <si>
    <t>Osaka Medical College</t>
  </si>
  <si>
    <t>Osaka Prefecture University</t>
  </si>
  <si>
    <t>Osaka University</t>
  </si>
  <si>
    <t>Rikkyo University</t>
  </si>
  <si>
    <t>Ritsumeikan University</t>
  </si>
  <si>
    <t>Saga University</t>
  </si>
  <si>
    <t>Saitama Medical University</t>
  </si>
  <si>
    <t>Saitama University</t>
  </si>
  <si>
    <t>Sapporo Medical University</t>
  </si>
  <si>
    <t>Shibaura Institute of Technology Tokyo</t>
  </si>
  <si>
    <t>Shiga University of Medical Science</t>
  </si>
  <si>
    <t>Shimane University</t>
  </si>
  <si>
    <t>Shinshu University</t>
  </si>
  <si>
    <t>Shizuoka University</t>
  </si>
  <si>
    <t>Showa University</t>
  </si>
  <si>
    <t>Sophia University</t>
  </si>
  <si>
    <t>St Marianna University School of Medicine</t>
  </si>
  <si>
    <t>Teikyo University</t>
  </si>
  <si>
    <t>The University of Aizu</t>
  </si>
  <si>
    <t>The University of Electro-Communications</t>
  </si>
  <si>
    <t>The University of Tokyo</t>
  </si>
  <si>
    <t>Toho University</t>
  </si>
  <si>
    <t>Tohoku University</t>
  </si>
  <si>
    <t>Tokai University</t>
  </si>
  <si>
    <t>Tokushima University</t>
  </si>
  <si>
    <t>Tokyo City University</t>
  </si>
  <si>
    <t>Tokyo Denki University</t>
  </si>
  <si>
    <t>Tokyo Institute of Technology</t>
  </si>
  <si>
    <t>Tokyo Medical and Dental University (TMDU)</t>
  </si>
  <si>
    <t>Tokyo Medical University</t>
  </si>
  <si>
    <t>Tokyo Metropolitan University</t>
  </si>
  <si>
    <t>Tokyo University of Agriculture</t>
  </si>
  <si>
    <t>Tokyo University of Agriculture and Technology</t>
  </si>
  <si>
    <t>Tokyo University of Marine Science and Technology</t>
  </si>
  <si>
    <t>Tokyo University of Science</t>
  </si>
  <si>
    <t>Tottori University</t>
  </si>
  <si>
    <t>Toyo University</t>
  </si>
  <si>
    <t>Toyohashi University of Technology (TUT)</t>
  </si>
  <si>
    <t>University of Fukui</t>
  </si>
  <si>
    <t>University of Hyogo</t>
  </si>
  <si>
    <t>University of Miyazaki</t>
  </si>
  <si>
    <t>University of Occupational and Environmental Health, Japan</t>
  </si>
  <si>
    <t>University of Shizuoka</t>
  </si>
  <si>
    <t>University of the Ryukyus</t>
  </si>
  <si>
    <t>University of Toyama</t>
  </si>
  <si>
    <t>University of Tsukuba</t>
  </si>
  <si>
    <t>University of Yamanashi</t>
  </si>
  <si>
    <t>Utsunomiya University</t>
  </si>
  <si>
    <t>Waseda University</t>
  </si>
  <si>
    <t>Yamagata University</t>
  </si>
  <si>
    <t>Yamaguchi University</t>
  </si>
  <si>
    <t>Yokohama City University</t>
  </si>
  <si>
    <t>Yokohama National University</t>
  </si>
  <si>
    <t>Al-Balqa Applied University</t>
  </si>
  <si>
    <t>Jordan</t>
  </si>
  <si>
    <t>Hashemite University</t>
  </si>
  <si>
    <t>Jordan University of Science and Technology</t>
  </si>
  <si>
    <t>University of Jordan</t>
  </si>
  <si>
    <t>Yarmouk University</t>
  </si>
  <si>
    <t>Al-Farabi Kazakh National University</t>
  </si>
  <si>
    <t>Kazakhstan</t>
  </si>
  <si>
    <t>L.N. Gumilyov Eurasian National University</t>
  </si>
  <si>
    <t>University of Nairobi</t>
  </si>
  <si>
    <t>Kenya</t>
  </si>
  <si>
    <t>Kuwait University</t>
  </si>
  <si>
    <t>Kuwait</t>
  </si>
  <si>
    <t>Latvia University of Life Sciences and Technologies</t>
  </si>
  <si>
    <t>Latvia</t>
  </si>
  <si>
    <t>Riga Technical University</t>
  </si>
  <si>
    <t>University of Latvia</t>
  </si>
  <si>
    <t>American University of Beirut</t>
  </si>
  <si>
    <t>Lebanon</t>
  </si>
  <si>
    <t>Lebanese American University</t>
  </si>
  <si>
    <t>Kaunas University of Technology</t>
  </si>
  <si>
    <t>Lithuania</t>
  </si>
  <si>
    <t>Vilnius Gediminas Technical University</t>
  </si>
  <si>
    <t>Vilnius University</t>
  </si>
  <si>
    <t>University of Luxembourg</t>
  </si>
  <si>
    <t>Luxembourg</t>
  </si>
  <si>
    <t>Macau University of Science and Technology</t>
  </si>
  <si>
    <t>Macao</t>
  </si>
  <si>
    <t>University of Macau</t>
  </si>
  <si>
    <t>Multimedia University</t>
  </si>
  <si>
    <t>Malaysia</t>
  </si>
  <si>
    <t>Universiti Kebangsaan Malaysia</t>
  </si>
  <si>
    <t>Universiti Malaysia Perlis</t>
  </si>
  <si>
    <t>Universiti Malaysia Sarawak (UNIMAS)</t>
  </si>
  <si>
    <t>Universiti Putra Malaysia</t>
  </si>
  <si>
    <t>Universiti Sains Malaysia</t>
  </si>
  <si>
    <t>Universiti Teknologi Malaysia</t>
  </si>
  <si>
    <t>Universiti Teknologi MARA</t>
  </si>
  <si>
    <t>Universiti Teknologi Petronas</t>
  </si>
  <si>
    <t>Universiti Tenaga Nasional (UNITEN)</t>
  </si>
  <si>
    <t>Universiti Tunku Abdul Rahman (UTAR)</t>
  </si>
  <si>
    <t>Universiti Utara Malaysia</t>
  </si>
  <si>
    <t>University of Malaya</t>
  </si>
  <si>
    <t>University of Malta</t>
  </si>
  <si>
    <t>Malta</t>
  </si>
  <si>
    <t>Autonomous University of Baja California</t>
  </si>
  <si>
    <t>Mexico</t>
  </si>
  <si>
    <t>Autonomous University of Hidalgo State (UAEH)</t>
  </si>
  <si>
    <t>Autonomous University of Puebla</t>
  </si>
  <si>
    <t>Autonomous University of San Luis Potosi</t>
  </si>
  <si>
    <t>Autonomous University of Sinaloa</t>
  </si>
  <si>
    <t>Autonomous University of the State of Mexico</t>
  </si>
  <si>
    <t>Metropolitan Autonomous University</t>
  </si>
  <si>
    <t>Monterrey Institute of Technology</t>
  </si>
  <si>
    <t>National Autonomous University of Mexico</t>
  </si>
  <si>
    <t>National Polytechnic University (IPN)</t>
  </si>
  <si>
    <t>University of Guadalajara</t>
  </si>
  <si>
    <t>University of Guanajuato</t>
  </si>
  <si>
    <t>University of Sonora</t>
  </si>
  <si>
    <t>University of Montenegro</t>
  </si>
  <si>
    <t>Montenegro</t>
  </si>
  <si>
    <t>Mohammed V University of Rabat</t>
  </si>
  <si>
    <t>Morocco</t>
  </si>
  <si>
    <t>Sidi Mohamed Ben Abdellah University</t>
  </si>
  <si>
    <t>University of Marrakech Cadi Ayyad</t>
  </si>
  <si>
    <t>Tribhuvan University</t>
  </si>
  <si>
    <t>Nepal</t>
  </si>
  <si>
    <t>Delft University of Technology</t>
  </si>
  <si>
    <t>Netherlands</t>
  </si>
  <si>
    <t>Eindhoven University of Technology</t>
  </si>
  <si>
    <t>Erasmus University Rotterdam</t>
  </si>
  <si>
    <t>Leiden University</t>
  </si>
  <si>
    <t>Maastricht University</t>
  </si>
  <si>
    <t>Radboud University Nijmegen</t>
  </si>
  <si>
    <t>Tilburg University</t>
  </si>
  <si>
    <t>University of Amsterdam</t>
  </si>
  <si>
    <t>University of Groningen</t>
  </si>
  <si>
    <t>University of Twente</t>
  </si>
  <si>
    <t>Utrecht University</t>
  </si>
  <si>
    <t>Vrije Universiteit Amsterdam</t>
  </si>
  <si>
    <t>Wageningen University &amp; Research</t>
  </si>
  <si>
    <t>Auckland University of Technology</t>
  </si>
  <si>
    <t>New Zealand</t>
  </si>
  <si>
    <t>Lincoln University</t>
  </si>
  <si>
    <t>Massey University</t>
  </si>
  <si>
    <t>University of Auckland</t>
  </si>
  <si>
    <t>University of Canterbury</t>
  </si>
  <si>
    <t>University of Otago</t>
  </si>
  <si>
    <t>University of Waikato</t>
  </si>
  <si>
    <t>Victoria University of Wellington</t>
  </si>
  <si>
    <t>Covenant University</t>
  </si>
  <si>
    <t>Nigeria</t>
  </si>
  <si>
    <t>University of Ibadan</t>
  </si>
  <si>
    <t>University of Lagos</t>
  </si>
  <si>
    <t>University of Nigeria Nsukka</t>
  </si>
  <si>
    <t>Eastern Mediterranean University</t>
  </si>
  <si>
    <t>Northern Cyprus</t>
  </si>
  <si>
    <t>Norwegian University of Life Sciences</t>
  </si>
  <si>
    <t>Norway</t>
  </si>
  <si>
    <t>Norwegian University of Science and Technology</t>
  </si>
  <si>
    <t>UiT The Arctic University of Norway</t>
  </si>
  <si>
    <t>University of Bergen</t>
  </si>
  <si>
    <t>University of Oslo</t>
  </si>
  <si>
    <t>Sultan Qaboos University</t>
  </si>
  <si>
    <t>Oman</t>
  </si>
  <si>
    <t>Bahauddin Zakariya University</t>
  </si>
  <si>
    <t>Pakistan</t>
  </si>
  <si>
    <t>COMSATS University Islamabad</t>
  </si>
  <si>
    <t>Government College University Lahore</t>
  </si>
  <si>
    <t>International Islamic University, Islamabad</t>
  </si>
  <si>
    <t>Lahore University of Management Sciences</t>
  </si>
  <si>
    <t>National University of Sciences and Technology</t>
  </si>
  <si>
    <t>PMAS Arid Agriculture University Rawalpindi</t>
  </si>
  <si>
    <t>Quaid-i-azam University</t>
  </si>
  <si>
    <t>University of Agriculture, Faisalabad</t>
  </si>
  <si>
    <t>University of Engineering &amp; Technology (UET) Lahore</t>
  </si>
  <si>
    <t>University of Peshawar</t>
  </si>
  <si>
    <t>University of Sargodha</t>
  </si>
  <si>
    <t>University of the Punjab</t>
  </si>
  <si>
    <t>University of Veterinary and Animal Sciences, Lahore</t>
  </si>
  <si>
    <t>Pontifical Catholic University of Peru</t>
  </si>
  <si>
    <t>Peru</t>
  </si>
  <si>
    <t>Universidad Peruana Cayetano Heredia</t>
  </si>
  <si>
    <t>De La Salle University</t>
  </si>
  <si>
    <t>Philippines</t>
  </si>
  <si>
    <t>University of the Philippines</t>
  </si>
  <si>
    <t>Adam Mickiewicz University, Pozna?</t>
  </si>
  <si>
    <t>Poland</t>
  </si>
  <si>
    <t>AGH University of Science and Technology</t>
  </si>
  <si>
    <t>Gda?sk University of Technology</t>
  </si>
  <si>
    <t>Jagiellonian University</t>
  </si>
  <si>
    <t>Lodz University of Technology</t>
  </si>
  <si>
    <t>Nicolaus Copernicus University in Toru?</t>
  </si>
  <si>
    <t>Silesian University of Technology</t>
  </si>
  <si>
    <t>SWPS University of Social Sciences and Humanities</t>
  </si>
  <si>
    <t>University of Gda?sk</t>
  </si>
  <si>
    <t>University of Silesia in Katowice</t>
  </si>
  <si>
    <t>University of Warsaw</t>
  </si>
  <si>
    <t>Warsaw University of Technology</t>
  </si>
  <si>
    <t>Wroc?aw University of Science and Technology</t>
  </si>
  <si>
    <t>Catholic University of Portugal</t>
  </si>
  <si>
    <t>Portugal</t>
  </si>
  <si>
    <t>ISCTE-University Institute of Lisbon</t>
  </si>
  <si>
    <t>NOVA University of Lisbon</t>
  </si>
  <si>
    <t>Polytechnic Institute of Porto</t>
  </si>
  <si>
    <t>University of Algarve</t>
  </si>
  <si>
    <t>University of Aveiro</t>
  </si>
  <si>
    <t>University of Beira Interior</t>
  </si>
  <si>
    <t>University of Coimbra</t>
  </si>
  <si>
    <t>University of Lisbon</t>
  </si>
  <si>
    <t>University of Minho</t>
  </si>
  <si>
    <t>University of Porto</t>
  </si>
  <si>
    <t>University of Puerto Rico</t>
  </si>
  <si>
    <t>Puerto Rico</t>
  </si>
  <si>
    <t>Qatar University</t>
  </si>
  <si>
    <t>Qatar</t>
  </si>
  <si>
    <t>Alexandru Ioan Cuza University</t>
  </si>
  <si>
    <t>Romania</t>
  </si>
  <si>
    <t>Babe?-Bolyai University</t>
  </si>
  <si>
    <t>Bucharest University of Economic Studies</t>
  </si>
  <si>
    <t>Grigore T. Popa University of Medicine and Pharmacy</t>
  </si>
  <si>
    <t>Polytechnic University of Bucharest</t>
  </si>
  <si>
    <t>Polytechnic University of Timi?oara</t>
  </si>
  <si>
    <t>Technical University of Cluj-Napoca</t>
  </si>
  <si>
    <t>University of Bucharest</t>
  </si>
  <si>
    <t>West University of Timi?oara</t>
  </si>
  <si>
    <t>Bashkir State University</t>
  </si>
  <si>
    <t>Russian Federation</t>
  </si>
  <si>
    <t>Bauman Moscow State Technical University</t>
  </si>
  <si>
    <t>Belgorod State National Research University</t>
  </si>
  <si>
    <t>Far Eastern Federal University</t>
  </si>
  <si>
    <t>Gubkin Russian State University of Oil and Gas</t>
  </si>
  <si>
    <t>Higher School of Economics</t>
  </si>
  <si>
    <t>ITMO University</t>
  </si>
  <si>
    <t>Kazan Federal University</t>
  </si>
  <si>
    <t>Kazan National Research Technological University</t>
  </si>
  <si>
    <t>Lobachevsky State University of Nizhni Novgorod</t>
  </si>
  <si>
    <t>Lomonosov Moscow State University</t>
  </si>
  <si>
    <t>MIREA - Russian Technological University</t>
  </si>
  <si>
    <t>Moscow Aviation Institute</t>
  </si>
  <si>
    <t>Moscow Institute of Physics and Technology</t>
  </si>
  <si>
    <t>Moscow Power Engineering Institute</t>
  </si>
  <si>
    <t>National Research Nuclear University MEPhI</t>
  </si>
  <si>
    <t>National Research Saratov State University</t>
  </si>
  <si>
    <t>National University of Science and Technology (MISiS)</t>
  </si>
  <si>
    <t>Novosibirsk State Technical University</t>
  </si>
  <si>
    <t>Novosibirsk State University</t>
  </si>
  <si>
    <t>Perm National Research Polytechnic University</t>
  </si>
  <si>
    <t>Perm State University</t>
  </si>
  <si>
    <t>Peter the Great St Petersburg Polytechnic University</t>
  </si>
  <si>
    <t>Pirogov Russian National Research Medical University</t>
  </si>
  <si>
    <t>RUDN University</t>
  </si>
  <si>
    <t>Saint Petersburg State University</t>
  </si>
  <si>
    <t>Saint-Petersburg Mining University</t>
  </si>
  <si>
    <t>Samara University</t>
  </si>
  <si>
    <t>Sechenov University</t>
  </si>
  <si>
    <t>Siberian Federal University</t>
  </si>
  <si>
    <t>South Ural State University</t>
  </si>
  <si>
    <t>Southern Federal University</t>
  </si>
  <si>
    <t>St Petersburg Electrotechnical University (LETI)</t>
  </si>
  <si>
    <t>Tomsk Polytechnic University</t>
  </si>
  <si>
    <t>Tomsk State University</t>
  </si>
  <si>
    <t>Ufa State Aviation Technical University</t>
  </si>
  <si>
    <t>Ural Federal University</t>
  </si>
  <si>
    <t>Volgograd State Technical University</t>
  </si>
  <si>
    <t>Voronezh State University</t>
  </si>
  <si>
    <t>Alfaisal University</t>
  </si>
  <si>
    <t>Saudi Arabia</t>
  </si>
  <si>
    <t>Imam Abdulrahman Bin Faisal University</t>
  </si>
  <si>
    <t>King Abdulaziz University</t>
  </si>
  <si>
    <t>King Fahd University of Petroleum and Minerals</t>
  </si>
  <si>
    <t>King Khalid University</t>
  </si>
  <si>
    <t>King Saud bin Abdulaziz University for Health Sciences</t>
  </si>
  <si>
    <t>King Saud University</t>
  </si>
  <si>
    <t>Nanyang Technological University, Singapore</t>
  </si>
  <si>
    <t>Singapore</t>
  </si>
  <si>
    <t>National University of Singapore</t>
  </si>
  <si>
    <t>Comenius University in Bratislava</t>
  </si>
  <si>
    <t>Slovakia</t>
  </si>
  <si>
    <t>Slovak University of Agriculture in Nitra</t>
  </si>
  <si>
    <t>Slovak University of Technology in Bratislava</t>
  </si>
  <si>
    <t>University of Ljubljana</t>
  </si>
  <si>
    <t>Slovenia</t>
  </si>
  <si>
    <t>University of Maribor</t>
  </si>
  <si>
    <t>North-West University</t>
  </si>
  <si>
    <t>South Africa</t>
  </si>
  <si>
    <t>Stellenbosch University</t>
  </si>
  <si>
    <t>Tshwane University of Technology</t>
  </si>
  <si>
    <t>University of Cape Town</t>
  </si>
  <si>
    <t>University of Johannesburg</t>
  </si>
  <si>
    <t>University of KwaZulu-Natal</t>
  </si>
  <si>
    <t>University of Pretoria</t>
  </si>
  <si>
    <t>University of South Africa</t>
  </si>
  <si>
    <t>University of the Western Cape</t>
  </si>
  <si>
    <t>University of the Witwatersrand</t>
  </si>
  <si>
    <t>Ajou University</t>
  </si>
  <si>
    <t>South Korea</t>
  </si>
  <si>
    <t>Chonbuk National University</t>
  </si>
  <si>
    <t>Chonnam National University</t>
  </si>
  <si>
    <t>Chung-Ang University</t>
  </si>
  <si>
    <t>Chungnam National University</t>
  </si>
  <si>
    <t>Ewha Womans University</t>
  </si>
  <si>
    <t>Gwangju Institute of Science and Technology</t>
  </si>
  <si>
    <t>Hallym University</t>
  </si>
  <si>
    <t>Hanyang University</t>
  </si>
  <si>
    <t>Incheon National University</t>
  </si>
  <si>
    <t>Inha University</t>
  </si>
  <si>
    <t>Kangwon National University</t>
  </si>
  <si>
    <t>Konkuk University</t>
  </si>
  <si>
    <t>Kookmin University</t>
  </si>
  <si>
    <t>Korea Advanced Institute of Science and Technology (KAIST)</t>
  </si>
  <si>
    <t>Korea University</t>
  </si>
  <si>
    <t>Kyung Hee University</t>
  </si>
  <si>
    <t>Kyungpook National University</t>
  </si>
  <si>
    <t>Pohang University of Science and Technology (POSTECH)</t>
  </si>
  <si>
    <t>Pusan National University</t>
  </si>
  <si>
    <t>Sejong University</t>
  </si>
  <si>
    <t>Seoul National University</t>
  </si>
  <si>
    <t>Seoul National University of Science and Technology (SeoulTech)</t>
  </si>
  <si>
    <t>Sogang University</t>
  </si>
  <si>
    <t>Soongsil University</t>
  </si>
  <si>
    <t>Sungkyunkwan University (SKKU)</t>
  </si>
  <si>
    <t>Ulsan National Institute of Science and Technology (UNIST)</t>
  </si>
  <si>
    <t>University of Seoul</t>
  </si>
  <si>
    <t>University of Ulsan</t>
  </si>
  <si>
    <t>Yeungnam University</t>
  </si>
  <si>
    <t>Yonsei University (Seoul campus)</t>
  </si>
  <si>
    <t>Autonomous University of Barcelona</t>
  </si>
  <si>
    <t>Spain</t>
  </si>
  <si>
    <t>Autonomous University of Madrid</t>
  </si>
  <si>
    <t>Carlos III University of Madrid</t>
  </si>
  <si>
    <t>Complutense University of Madrid</t>
  </si>
  <si>
    <t>Jaume I University</t>
  </si>
  <si>
    <t>Open University of Catalonia</t>
  </si>
  <si>
    <t>Pablo de Olavide University</t>
  </si>
  <si>
    <t>Polytechnic University of Cartagena</t>
  </si>
  <si>
    <t>Polytechnic University of Catalonia</t>
  </si>
  <si>
    <t>Polytechnic University of Valencia</t>
  </si>
  <si>
    <t>Pompeu Fabra University</t>
  </si>
  <si>
    <t>Technical University of Madrid</t>
  </si>
  <si>
    <t>University of Alicante</t>
  </si>
  <si>
    <t>University of Barcelona</t>
  </si>
  <si>
    <t>University of Burgos</t>
  </si>
  <si>
    <t>University of Cadiz</t>
  </si>
  <si>
    <t>University of Castilla-La Mancha</t>
  </si>
  <si>
    <t>University of Deusto</t>
  </si>
  <si>
    <t>University of Girona</t>
  </si>
  <si>
    <t>University of Granada</t>
  </si>
  <si>
    <t>University of La Laguna</t>
  </si>
  <si>
    <t>University of Las Palmas de Gran Canaria</t>
  </si>
  <si>
    <t>University of Lleida</t>
  </si>
  <si>
    <t>University of Malaga</t>
  </si>
  <si>
    <t>University of Murcia</t>
  </si>
  <si>
    <t>University of Navarra</t>
  </si>
  <si>
    <t>University of Oviedo</t>
  </si>
  <si>
    <t>University of Rovira i Virgili</t>
  </si>
  <si>
    <t>University of Salamanca</t>
  </si>
  <si>
    <t>University of Santiago de Compostela</t>
  </si>
  <si>
    <t>University of Seville</t>
  </si>
  <si>
    <t>University of the Balearic Islands</t>
  </si>
  <si>
    <t>University of the Basque Country</t>
  </si>
  <si>
    <t>University of Valencia</t>
  </si>
  <si>
    <t>University of Valladolid</t>
  </si>
  <si>
    <t>University of Vigo</t>
  </si>
  <si>
    <t>University of Zaragoza</t>
  </si>
  <si>
    <t>University Rey Juan Carlos</t>
  </si>
  <si>
    <t>University of Colombo</t>
  </si>
  <si>
    <t>Sri Lanka</t>
  </si>
  <si>
    <t>University of Peradeniya</t>
  </si>
  <si>
    <t>Chalmers University of Technology</t>
  </si>
  <si>
    <t>Sweden</t>
  </si>
  <si>
    <t>Karlstad University</t>
  </si>
  <si>
    <t>Karolinska Institute</t>
  </si>
  <si>
    <t>KTH Royal Institute of Technology</t>
  </si>
  <si>
    <t>Lund University</t>
  </si>
  <si>
    <t>Stockholm University</t>
  </si>
  <si>
    <t>Swedish University of Agricultural Sciences</t>
  </si>
  <si>
    <t>University of Gothenburg</t>
  </si>
  <si>
    <t>Uppsala University</t>
  </si>
  <si>
    <t>ETH Zurich</t>
  </si>
  <si>
    <t>Switzerland</t>
  </si>
  <si>
    <t>University of Basel</t>
  </si>
  <si>
    <t>University of Bern</t>
  </si>
  <si>
    <t>University of Fribourg</t>
  </si>
  <si>
    <t>University of Geneva</t>
  </si>
  <si>
    <t>University of Lausanne</t>
  </si>
  <si>
    <t>University of St Gallen</t>
  </si>
  <si>
    <t>University of Zurich</t>
  </si>
  <si>
    <t>Asia University, Taiwan</t>
  </si>
  <si>
    <t>Taiwan</t>
  </si>
  <si>
    <t>Chang Gung University</t>
  </si>
  <si>
    <t>Chaoyang University of Technology</t>
  </si>
  <si>
    <t>China Medical University, Taiwan</t>
  </si>
  <si>
    <t>Chung Yuan Christian University</t>
  </si>
  <si>
    <t>Feng Chia University</t>
  </si>
  <si>
    <t>Fu Jen Catholic University</t>
  </si>
  <si>
    <t>I-Shou University</t>
  </si>
  <si>
    <t>Kaohsiung Medical University</t>
  </si>
  <si>
    <t>Ming Chuan University</t>
  </si>
  <si>
    <t>National Central University</t>
  </si>
  <si>
    <t>National Changhua University of Education</t>
  </si>
  <si>
    <t>National Cheng Kung University (NCKU)</t>
  </si>
  <si>
    <t>National Chengchi University</t>
  </si>
  <si>
    <t>National Chiao Tung University</t>
  </si>
  <si>
    <t>National Chiayi University</t>
  </si>
  <si>
    <t>National Chin-Yi University of Technology</t>
  </si>
  <si>
    <t>National Chung Cheng University</t>
  </si>
  <si>
    <t>National Chung Hsing University</t>
  </si>
  <si>
    <t>National Dong Hwa University</t>
  </si>
  <si>
    <t>National Sun Yat-Sen University</t>
  </si>
  <si>
    <t>National Taipei University</t>
  </si>
  <si>
    <t>National Taipei University of Technology</t>
  </si>
  <si>
    <t>National Taiwan Normal University</t>
  </si>
  <si>
    <t>National Taiwan Ocean University</t>
  </si>
  <si>
    <t>National Taiwan University</t>
  </si>
  <si>
    <t>National Taiwan University of Science and Technology (Taiwan Tech)</t>
  </si>
  <si>
    <t>National Tsing Hua University</t>
  </si>
  <si>
    <t>National University of Kaohsiung</t>
  </si>
  <si>
    <t>National Yang-Ming University</t>
  </si>
  <si>
    <t>National Yunlin University of Science and Technology</t>
  </si>
  <si>
    <t>Taipei Medical University</t>
  </si>
  <si>
    <t>Tamkang University</t>
  </si>
  <si>
    <t>Tunghai University</t>
  </si>
  <si>
    <t>Tzu Chi University</t>
  </si>
  <si>
    <t>Yuan Ze University</t>
  </si>
  <si>
    <t>University of Dar es Salaam</t>
  </si>
  <si>
    <t>Tanzania</t>
  </si>
  <si>
    <t>Chiang Mai University</t>
  </si>
  <si>
    <t>Thailand</t>
  </si>
  <si>
    <t>Chulalongkorn University</t>
  </si>
  <si>
    <t>Kasetsart University</t>
  </si>
  <si>
    <t>Khon Kaen University</t>
  </si>
  <si>
    <t>King Mongkut's University of Technology North Bangkok</t>
  </si>
  <si>
    <t>Mae Fah Luang University</t>
  </si>
  <si>
    <t>Mahasarakham University</t>
  </si>
  <si>
    <t>Mahidol University</t>
  </si>
  <si>
    <t>Naresuan University</t>
  </si>
  <si>
    <t>Prince of Songkla University</t>
  </si>
  <si>
    <t>Silpakorn University</t>
  </si>
  <si>
    <t>Srinakharinwirot University</t>
  </si>
  <si>
    <t>Suranaree University of Technology</t>
  </si>
  <si>
    <t>Thammasat University</t>
  </si>
  <si>
    <t>University of Carthage</t>
  </si>
  <si>
    <t>Tunisia</t>
  </si>
  <si>
    <t>University of Manouba</t>
  </si>
  <si>
    <t>University of Monastir</t>
  </si>
  <si>
    <t>University of Sfax</t>
  </si>
  <si>
    <t>University of Sousse</t>
  </si>
  <si>
    <t>University of Tunis El Manar</t>
  </si>
  <si>
    <t>Acibadem University</t>
  </si>
  <si>
    <t>Turkey</t>
  </si>
  <si>
    <t>Akdeniz University</t>
  </si>
  <si>
    <t>Anadolu University</t>
  </si>
  <si>
    <t>Ankara University</t>
  </si>
  <si>
    <t>Atilim University</t>
  </si>
  <si>
    <t>Bahcesehir University</t>
  </si>
  <si>
    <t>Baskent University</t>
  </si>
  <si>
    <t>Bilkent University</t>
  </si>
  <si>
    <t>Bogazici University</t>
  </si>
  <si>
    <t>Cankaya University</t>
  </si>
  <si>
    <t>Cukurova University</t>
  </si>
  <si>
    <t>Dokuz Eylul University</t>
  </si>
  <si>
    <t>Ege University</t>
  </si>
  <si>
    <t>Erciyes University</t>
  </si>
  <si>
    <t>Gazi University</t>
  </si>
  <si>
    <t>Gaziantep University</t>
  </si>
  <si>
    <t>Gebze Technical University</t>
  </si>
  <si>
    <t>Haccettepe University</t>
  </si>
  <si>
    <t>Istanbul Medipol University</t>
  </si>
  <si>
    <t>Istanbul Technical University</t>
  </si>
  <si>
    <t>Istanbul University</t>
  </si>
  <si>
    <t>Izmir Institute of Technology</t>
  </si>
  <si>
    <t>Koc University</t>
  </si>
  <si>
    <t>Marmara University</t>
  </si>
  <si>
    <t>Middle East Technical University</t>
  </si>
  <si>
    <t>Ondokuz Mayis University</t>
  </si>
  <si>
    <t>Ozyegin University</t>
  </si>
  <si>
    <t>Ozyegin Universty</t>
  </si>
  <si>
    <t>Sabanci University</t>
  </si>
  <si>
    <t>TOBB University of Economics and Technology</t>
  </si>
  <si>
    <t>Tokat Gaziosmanpasa University</t>
  </si>
  <si>
    <t>Yeditepe University</t>
  </si>
  <si>
    <t>Yildiz Technical University</t>
  </si>
  <si>
    <t>Makerere University</t>
  </si>
  <si>
    <t>Uganda</t>
  </si>
  <si>
    <t>Ivan Franko National University of Lviv</t>
  </si>
  <si>
    <t>Ukraine</t>
  </si>
  <si>
    <t>Lviv Polytechnic National University</t>
  </si>
  <si>
    <t>National Technical University Kharkiv Polytechnic Institute</t>
  </si>
  <si>
    <t>Sumy State University</t>
  </si>
  <si>
    <t>Taras Shevchenko National University of Kyiv</t>
  </si>
  <si>
    <t>V.N. Karazin Kharkiv National University</t>
  </si>
  <si>
    <t>American University of Sharjah</t>
  </si>
  <si>
    <t>United Arab Emirates</t>
  </si>
  <si>
    <t>Khalifa University</t>
  </si>
  <si>
    <t>United Arab Emirates University</t>
  </si>
  <si>
    <t>University of Sharjah</t>
  </si>
  <si>
    <t>Aberystwyth University</t>
  </si>
  <si>
    <t>United Kingdom</t>
  </si>
  <si>
    <t>Anglia Ruskin University</t>
  </si>
  <si>
    <t>Aston University</t>
  </si>
  <si>
    <t>Bangor University</t>
  </si>
  <si>
    <t>Birkbeck, University of London</t>
  </si>
  <si>
    <t>Birmingham City University</t>
  </si>
  <si>
    <t>Bournemouth University</t>
  </si>
  <si>
    <t>Brighton and Sussex Medical School</t>
  </si>
  <si>
    <t>Brunel University London</t>
  </si>
  <si>
    <t>Canterbury Christ Church University</t>
  </si>
  <si>
    <t>Cardiff Metropolitan University</t>
  </si>
  <si>
    <t>Cardiff University</t>
  </si>
  <si>
    <t>City, University of London</t>
  </si>
  <si>
    <t>Coventry University</t>
  </si>
  <si>
    <t>De Montfort University</t>
  </si>
  <si>
    <t>Durham University</t>
  </si>
  <si>
    <t>Edge Hill University</t>
  </si>
  <si>
    <t>Edinburgh Napier University</t>
  </si>
  <si>
    <t>Glasgow Caledonian University</t>
  </si>
  <si>
    <t>Goldsmiths, University of London</t>
  </si>
  <si>
    <t>Heriot-Watt University</t>
  </si>
  <si>
    <t>Imperial College London</t>
  </si>
  <si>
    <t>Keele University</t>
  </si>
  <si>
    <t>Kingston University</t>
  </si>
  <si>
    <t>Lancaster University</t>
  </si>
  <si>
    <t>Leeds Beckett University</t>
  </si>
  <si>
    <t>Liverpool John Moores University</t>
  </si>
  <si>
    <t>London School of Economics and Political Science</t>
  </si>
  <si>
    <t>London South Bank University</t>
  </si>
  <si>
    <t>Loughborough University</t>
  </si>
  <si>
    <t>Manchester Metropolitan University</t>
  </si>
  <si>
    <t>Middlesex University</t>
  </si>
  <si>
    <t>Newcastle University</t>
  </si>
  <si>
    <t>Northumbria University</t>
  </si>
  <si>
    <t>Nottingham Trent University</t>
  </si>
  <si>
    <t>Oxford Brookes University</t>
  </si>
  <si>
    <t>Queen Mary University of London</t>
  </si>
  <si>
    <t>Robert Gordon University</t>
  </si>
  <si>
    <t>Royal Holloway, University of London</t>
  </si>
  <si>
    <t>Royal Veterinary College</t>
  </si>
  <si>
    <t>Sheffield Hallam University</t>
  </si>
  <si>
    <t>SOAS University of London</t>
  </si>
  <si>
    <t>Staffordshire University</t>
  </si>
  <si>
    <t>Swansea University</t>
  </si>
  <si>
    <t>Teesside University</t>
  </si>
  <si>
    <t>The Open University</t>
  </si>
  <si>
    <t>UCL</t>
  </si>
  <si>
    <t>Ulster University</t>
  </si>
  <si>
    <t>University of Aberdeen</t>
  </si>
  <si>
    <t>University of Bath</t>
  </si>
  <si>
    <t>University of Bedfordshire</t>
  </si>
  <si>
    <t>University of Birmingham</t>
  </si>
  <si>
    <t>University of Bradford</t>
  </si>
  <si>
    <t>University of Brighton</t>
  </si>
  <si>
    <t>University of Bristol</t>
  </si>
  <si>
    <t>University of Cambridge</t>
  </si>
  <si>
    <t>University of Central Lancashire</t>
  </si>
  <si>
    <t>University of Chester</t>
  </si>
  <si>
    <t>University of Derby</t>
  </si>
  <si>
    <t>University of Dundee</t>
  </si>
  <si>
    <t>University of East Anglia</t>
  </si>
  <si>
    <t>University of East London</t>
  </si>
  <si>
    <t>University of Edinburgh</t>
  </si>
  <si>
    <t>University of Essex</t>
  </si>
  <si>
    <t>University of Exeter</t>
  </si>
  <si>
    <t>University of Glasgow</t>
  </si>
  <si>
    <t>University of Greenwich</t>
  </si>
  <si>
    <t>University of Hertfordshire</t>
  </si>
  <si>
    <t>University of Huddersfield</t>
  </si>
  <si>
    <t>University of Hull</t>
  </si>
  <si>
    <t>University of Kent</t>
  </si>
  <si>
    <t>University of Leeds</t>
  </si>
  <si>
    <t>University of Leicester</t>
  </si>
  <si>
    <t>University of Lincoln</t>
  </si>
  <si>
    <t>University of Liverpool</t>
  </si>
  <si>
    <t>University of Manchester</t>
  </si>
  <si>
    <t>University of Nottingham</t>
  </si>
  <si>
    <t>University of Oxford</t>
  </si>
  <si>
    <t>University of Plymouth</t>
  </si>
  <si>
    <t>University of Portsmouth</t>
  </si>
  <si>
    <t>University of Reading</t>
  </si>
  <si>
    <t>University of Roehampton</t>
  </si>
  <si>
    <t>University of Salford</t>
  </si>
  <si>
    <t>University of Sheffield</t>
  </si>
  <si>
    <t>University of South Wales</t>
  </si>
  <si>
    <t>University of Southampton</t>
  </si>
  <si>
    <t>University of St Andrews</t>
  </si>
  <si>
    <t>University of Stirling</t>
  </si>
  <si>
    <t>University of Strathclyde</t>
  </si>
  <si>
    <t>University of Surrey</t>
  </si>
  <si>
    <t>University of Sussex</t>
  </si>
  <si>
    <t>University of the West of England</t>
  </si>
  <si>
    <t>University of the West of Scotland</t>
  </si>
  <si>
    <t>University of Warwick</t>
  </si>
  <si>
    <t>University of Westminster</t>
  </si>
  <si>
    <t>University of Wolverhampton</t>
  </si>
  <si>
    <t>University of York</t>
  </si>
  <si>
    <t>American University</t>
  </si>
  <si>
    <t>United States</t>
  </si>
  <si>
    <t>Arizona State University (Tempe)</t>
  </si>
  <si>
    <t>Auburn University</t>
  </si>
  <si>
    <t>Baylor University</t>
  </si>
  <si>
    <t>Binghamton University, State University of New York</t>
  </si>
  <si>
    <t>Boston College</t>
  </si>
  <si>
    <t>Boston University</t>
  </si>
  <si>
    <t>Brandeis University</t>
  </si>
  <si>
    <t>Brown University</t>
  </si>
  <si>
    <t>California Institute of Technology</t>
  </si>
  <si>
    <t>California State University, Long Beach</t>
  </si>
  <si>
    <t>Carnegie Mellon University</t>
  </si>
  <si>
    <t>Case Western Reserve University</t>
  </si>
  <si>
    <t>Clark University</t>
  </si>
  <si>
    <t>Clemson University</t>
  </si>
  <si>
    <t>Colorado School of Mines</t>
  </si>
  <si>
    <t>Colorado State University, Fort Collins</t>
  </si>
  <si>
    <t>Columbia University</t>
  </si>
  <si>
    <t>Cornell University</t>
  </si>
  <si>
    <t>Creighton University</t>
  </si>
  <si>
    <t>Dartmouth College</t>
  </si>
  <si>
    <t>Drexel University</t>
  </si>
  <si>
    <t>Duke University</t>
  </si>
  <si>
    <t>Embry-Riddle Aeronautical University</t>
  </si>
  <si>
    <t>Emory University</t>
  </si>
  <si>
    <t>Florida Atlantic University</t>
  </si>
  <si>
    <t>Florida Institute of Technology</t>
  </si>
  <si>
    <t>Florida International University</t>
  </si>
  <si>
    <t>Florida State University</t>
  </si>
  <si>
    <t>George Mason University</t>
  </si>
  <si>
    <t>George Washington University</t>
  </si>
  <si>
    <t>Georgetown University</t>
  </si>
  <si>
    <t>Georgia Institute of Technology</t>
  </si>
  <si>
    <t>Georgia State University</t>
  </si>
  <si>
    <t>Harvard University</t>
  </si>
  <si>
    <t>Hofstra University</t>
  </si>
  <si>
    <t>Howard University</t>
  </si>
  <si>
    <t>Indiana University</t>
  </si>
  <si>
    <t>Iowa State University</t>
  </si>
  <si>
    <t>Johns Hopkins University</t>
  </si>
  <si>
    <t>Kansas State University</t>
  </si>
  <si>
    <t>Kent State University</t>
  </si>
  <si>
    <t>Lehigh University</t>
  </si>
  <si>
    <t>Louisiana State University</t>
  </si>
  <si>
    <t>Louisiana Tech University</t>
  </si>
  <si>
    <t>Marquette University</t>
  </si>
  <si>
    <t>Massachusetts Institute of Technology</t>
  </si>
  <si>
    <t>Michigan State University</t>
  </si>
  <si>
    <t>Mississippi State University</t>
  </si>
  <si>
    <t>Missouri University of Science and Technology</t>
  </si>
  <si>
    <t>Montana State University</t>
  </si>
  <si>
    <t>New Jersey Institute of Technology</t>
  </si>
  <si>
    <t>New Mexico Institute of Mining and Technology</t>
  </si>
  <si>
    <t>New Mexico State University (Main campus)</t>
  </si>
  <si>
    <t>New York University</t>
  </si>
  <si>
    <t>North Carolina State University</t>
  </si>
  <si>
    <t>Northern Arizona University</t>
  </si>
  <si>
    <t>Northwestern University</t>
  </si>
  <si>
    <t>Nova Southeastern University</t>
  </si>
  <si>
    <t>Oakland University</t>
  </si>
  <si>
    <t>Ohio State University (Main campus)</t>
  </si>
  <si>
    <t>Ohio University (Main campus)</t>
  </si>
  <si>
    <t>Oklahoma State University</t>
  </si>
  <si>
    <t>Old Dominion University</t>
  </si>
  <si>
    <t>Oregon Health and Science University</t>
  </si>
  <si>
    <t>Oregon State University</t>
  </si>
  <si>
    <t>Penn State (Main campus)</t>
  </si>
  <si>
    <t>Portland State University</t>
  </si>
  <si>
    <t>Princeton University</t>
  </si>
  <si>
    <t>Purdue University West Lafayette</t>
  </si>
  <si>
    <t>Rensselaer Polytechnic Institute</t>
  </si>
  <si>
    <t>Rice University</t>
  </si>
  <si>
    <t>Rochester Institute of Technology</t>
  </si>
  <si>
    <t>Rush University</t>
  </si>
  <si>
    <t>Rutgers, the State University of New Jersey</t>
  </si>
  <si>
    <t>San Diego State University</t>
  </si>
  <si>
    <t>Stanford University</t>
  </si>
  <si>
    <t>State University of New York Albany</t>
  </si>
  <si>
    <t>Stevens Institute of Technology</t>
  </si>
  <si>
    <t>Stony Brook University</t>
  </si>
  <si>
    <t>Syracuse University</t>
  </si>
  <si>
    <t>Temple University</t>
  </si>
  <si>
    <t>Texas A&amp;M University</t>
  </si>
  <si>
    <t>Texas State University</t>
  </si>
  <si>
    <t>Texas Tech University</t>
  </si>
  <si>
    <t>The New School</t>
  </si>
  <si>
    <t>The University of Tennessee-Knoxville</t>
  </si>
  <si>
    <t>Tufts University</t>
  </si>
  <si>
    <t>Tulane University</t>
  </si>
  <si>
    <t>University at Buffalo</t>
  </si>
  <si>
    <t>University of Alabama</t>
  </si>
  <si>
    <t>University of Alabama at Birmingham</t>
  </si>
  <si>
    <t>University of Alabama in Huntsville</t>
  </si>
  <si>
    <t>University of Alaska Fairbanks</t>
  </si>
  <si>
    <t>University of Arizona</t>
  </si>
  <si>
    <t>University of Arkansas</t>
  </si>
  <si>
    <t>University of California, Berkeley</t>
  </si>
  <si>
    <t>University of California, Davis</t>
  </si>
  <si>
    <t>University of California, Irvine</t>
  </si>
  <si>
    <t>University of California, Los Angeles</t>
  </si>
  <si>
    <t>University of California, Merced</t>
  </si>
  <si>
    <t>University of California, Riverside</t>
  </si>
  <si>
    <t>University of California, San Diego</t>
  </si>
  <si>
    <t>University of California, Santa Barbara</t>
  </si>
  <si>
    <t>University of California, Santa Cruz</t>
  </si>
  <si>
    <t>University of Central Florida</t>
  </si>
  <si>
    <t>University of Chicago</t>
  </si>
  <si>
    <t>University of Cincinnati</t>
  </si>
  <si>
    <t>University of Colorado Boulder</t>
  </si>
  <si>
    <t>University of Connecticut</t>
  </si>
  <si>
    <t>University of Delaware</t>
  </si>
  <si>
    <t>University of Denver</t>
  </si>
  <si>
    <t>University of Florida</t>
  </si>
  <si>
    <t>University of Georgia</t>
  </si>
  <si>
    <t>University of Houston</t>
  </si>
  <si>
    <t>University of Idaho</t>
  </si>
  <si>
    <t>University of Illinois at Chicago</t>
  </si>
  <si>
    <t>University of Illinois at Urbana-Champaign</t>
  </si>
  <si>
    <t>University of Iowa</t>
  </si>
  <si>
    <t>University of Kansas</t>
  </si>
  <si>
    <t>University of Kentucky</t>
  </si>
  <si>
    <t>University of Maryland, Baltimore County</t>
  </si>
  <si>
    <t>University of Maryland, College Park</t>
  </si>
  <si>
    <t>University of Massachusetts</t>
  </si>
  <si>
    <t>University of Miami</t>
  </si>
  <si>
    <t>University of Michigan-Ann Arbor</t>
  </si>
  <si>
    <t>University of Minnesota</t>
  </si>
  <si>
    <t>University of Missouri-Columbia</t>
  </si>
  <si>
    <t>University of Missouri-St Louis</t>
  </si>
  <si>
    <t>University of Nebraska Medical Center</t>
  </si>
  <si>
    <t>University of Nebraska-Lincoln</t>
  </si>
  <si>
    <t>University of Nevada, Las Vegas</t>
  </si>
  <si>
    <t>University of New Mexico (Main campus)</t>
  </si>
  <si>
    <t>University of North Carolina at Chapel Hill</t>
  </si>
  <si>
    <t>University of North Carolina at Greensboro</t>
  </si>
  <si>
    <t>University of North Carolina Wilmington</t>
  </si>
  <si>
    <t>University of North Florida</t>
  </si>
  <si>
    <t>University of Notre Dame</t>
  </si>
  <si>
    <t>University of Oregon</t>
  </si>
  <si>
    <t>University of Pennsylvania</t>
  </si>
  <si>
    <t>University of Pittsburgh-Pittsburgh campus</t>
  </si>
  <si>
    <t>University of Rhode Island</t>
  </si>
  <si>
    <t>University of Rochester</t>
  </si>
  <si>
    <t>University of South Carolina-Columbia</t>
  </si>
  <si>
    <t>University of South Dakota</t>
  </si>
  <si>
    <t>University of South Florida (Tampa)</t>
  </si>
  <si>
    <t>University of Southern California</t>
  </si>
  <si>
    <t>University of Texas at Arlington</t>
  </si>
  <si>
    <t>University of Texas at Austin</t>
  </si>
  <si>
    <t>University of Texas at Dallas</t>
  </si>
  <si>
    <t>University of Texas at El Paso</t>
  </si>
  <si>
    <t>University of Texas at San Antonio</t>
  </si>
  <si>
    <t>University of Toledo</t>
  </si>
  <si>
    <t>University of Tulsa</t>
  </si>
  <si>
    <t>University of Utah</t>
  </si>
  <si>
    <t>University of Virginia (Main campus)</t>
  </si>
  <si>
    <t>University of Washington</t>
  </si>
  <si>
    <t>University of Wisconsin-Madison</t>
  </si>
  <si>
    <t>University of Wisconsin-Milwaukee</t>
  </si>
  <si>
    <t>Vanderbilt University</t>
  </si>
  <si>
    <t>Virginia Polytechnic Institute and State University</t>
  </si>
  <si>
    <t>Wake Forest University</t>
  </si>
  <si>
    <t>Washington State University</t>
  </si>
  <si>
    <t>Washington University in St Louis</t>
  </si>
  <si>
    <t>Wayne State University</t>
  </si>
  <si>
    <t>West Virginia University</t>
  </si>
  <si>
    <t>Western Washington University</t>
  </si>
  <si>
    <t>William &amp; Mary</t>
  </si>
  <si>
    <t>Worcester Polytechnic Institute</t>
  </si>
  <si>
    <t>Yale University</t>
  </si>
  <si>
    <t>University of the Andes, Venezuela</t>
  </si>
  <si>
    <t>Venezuela</t>
  </si>
  <si>
    <t>Hanoi University of Science and Technology</t>
  </si>
  <si>
    <t>Vietnam</t>
  </si>
  <si>
    <t>Vietnam National University (Ho Chi Minh City)</t>
  </si>
  <si>
    <t>Vietnam National University, Hanoi</t>
  </si>
  <si>
    <t>2d1</t>
  </si>
  <si>
    <t>2d2</t>
  </si>
  <si>
    <t>Randoms</t>
  </si>
  <si>
    <t>How many female dominant universities have a research score that is less than or equal to @1% of all?</t>
  </si>
  <si>
    <t>Calculate the @2th percentile of international students in Canada?</t>
  </si>
  <si>
    <t>Average of the citations of the universities which has @3 or more students and have a staff number higher than @4?</t>
  </si>
  <si>
    <t>Deniz’s family will only accept him to go universities in @5. (Solve questions according to this filter)</t>
  </si>
  <si>
    <t>If number of international students higher than or equal to @6 Deniz can take acceptance to university. What is the probability that Deniz can take acceptance?</t>
  </si>
  <si>
    <t>If the number of staff per student is between 7 and @7 Deniz will think about going these universities. How many university options he has?</t>
  </si>
  <si>
    <t>Based on the trendline, what is the teaching score if the university score is @8%?</t>
  </si>
  <si>
    <t>S000001</t>
  </si>
  <si>
    <t>Shangai Maritime University</t>
  </si>
  <si>
    <t>Siverian Federal University</t>
  </si>
  <si>
    <t>Median</t>
  </si>
  <si>
    <t>Stdev</t>
  </si>
  <si>
    <t>Mode</t>
  </si>
  <si>
    <t>Average</t>
  </si>
  <si>
    <t>Negative</t>
  </si>
  <si>
    <t>Positive</t>
  </si>
  <si>
    <t>Yes</t>
  </si>
  <si>
    <t>No</t>
  </si>
  <si>
    <t>$$DV_KEY!L17:L21</t>
  </si>
  <si>
    <t>$$DV_KEY!N17:N21</t>
  </si>
  <si>
    <t>$$DV_KEY!O17:O19</t>
  </si>
  <si>
    <t>$$DV_KEY!P17:P22</t>
  </si>
  <si>
    <t>Indian Institute of Technology</t>
  </si>
  <si>
    <t>$$DV_KEY!R17:R22</t>
  </si>
  <si>
    <t>$$DV_KEY!S17:S22</t>
  </si>
  <si>
    <t>IMPORTANT INSTRUCTIONS - Please Read!</t>
  </si>
  <si>
    <r>
      <t xml:space="preserve">1. </t>
    </r>
    <r>
      <rPr>
        <b/>
        <sz val="11"/>
        <color theme="1"/>
        <rFont val="Calibri"/>
        <family val="2"/>
        <scheme val="minor"/>
      </rPr>
      <t>There will be a new set of Instructions on the 'Instructions' Sheet of each homework. It is your responsibility to read the instructions for each homework.</t>
    </r>
    <r>
      <rPr>
        <sz val="11"/>
        <color theme="1"/>
        <rFont val="Calibri"/>
        <family val="2"/>
        <scheme val="minor"/>
      </rPr>
      <t xml:space="preserve"> We will not give credit for not following directions. Pay special attention to formatting instructions. </t>
    </r>
    <r>
      <rPr>
        <b/>
        <sz val="11"/>
        <color theme="1"/>
        <rFont val="Calibri"/>
        <family val="2"/>
        <scheme val="minor"/>
      </rPr>
      <t>No credit will be given for improperly formatted answers or rounded answers</t>
    </r>
    <r>
      <rPr>
        <sz val="11"/>
        <color theme="1"/>
        <rFont val="Calibri"/>
        <family val="2"/>
        <scheme val="minor"/>
      </rPr>
      <t xml:space="preserve">. </t>
    </r>
  </si>
  <si>
    <r>
      <t xml:space="preserve">2. </t>
    </r>
    <r>
      <rPr>
        <b/>
        <u/>
        <sz val="10"/>
        <color rgb="FFFF0000"/>
        <rFont val="Arial"/>
        <family val="2"/>
      </rPr>
      <t>DO NOT</t>
    </r>
    <r>
      <rPr>
        <b/>
        <sz val="10"/>
        <rFont val="Arial"/>
        <family val="2"/>
      </rPr>
      <t xml:space="preserve"> change the name of sheets and </t>
    </r>
    <r>
      <rPr>
        <b/>
        <u/>
        <sz val="10"/>
        <color rgb="FFFF0000"/>
        <rFont val="Arial"/>
        <family val="2"/>
      </rPr>
      <t>DO NOT</t>
    </r>
    <r>
      <rPr>
        <b/>
        <sz val="10"/>
        <rFont val="Arial"/>
        <family val="2"/>
      </rPr>
      <t xml:space="preserve"> delete the sheets!</t>
    </r>
  </si>
  <si>
    <r>
      <t xml:space="preserve">3. This homework must be submitted online </t>
    </r>
    <r>
      <rPr>
        <b/>
        <i/>
        <u/>
        <sz val="10"/>
        <color rgb="FFFF0000"/>
        <rFont val="Arial"/>
        <family val="2"/>
      </rPr>
      <t>before 9:00 AM on Wednesday, April 22nd, 2020</t>
    </r>
    <r>
      <rPr>
        <sz val="10"/>
        <rFont val="Arial"/>
        <family val="2"/>
      </rPr>
      <t>. Late submission will </t>
    </r>
    <r>
      <rPr>
        <b/>
        <sz val="10"/>
        <rFont val="Arial"/>
        <family val="2"/>
      </rPr>
      <t>not be accepted after the stated deadline for any reason</t>
    </r>
    <r>
      <rPr>
        <sz val="10"/>
        <rFont val="Arial"/>
        <family val="2"/>
      </rPr>
      <t>. </t>
    </r>
  </si>
  <si>
    <r>
      <t xml:space="preserve">4.  </t>
    </r>
    <r>
      <rPr>
        <b/>
        <sz val="10"/>
        <rFont val="Arial"/>
        <family val="2"/>
      </rPr>
      <t>The BEST way to enter an answer</t>
    </r>
    <r>
      <rPr>
        <sz val="10"/>
        <rFont val="Arial"/>
        <family val="2"/>
      </rPr>
      <t xml:space="preserve"> into an answer cell in an Excel homework is to copy the cell containing the answer, </t>
    </r>
    <r>
      <rPr>
        <b/>
        <sz val="10"/>
        <rFont val="Arial"/>
        <family val="2"/>
      </rPr>
      <t>then select the answer cell on the Answers Worksheet, and choose 'Paste-Special' 'Values.'</t>
    </r>
    <r>
      <rPr>
        <sz val="10"/>
        <rFont val="Arial"/>
        <family val="2"/>
      </rPr>
      <t xml:space="preserve"> This will ensure that we receive your exact answer and not a rounded answer or a formula referring to the wrong cell.  </t>
    </r>
  </si>
  <si>
    <r>
      <t xml:space="preserve">5. </t>
    </r>
    <r>
      <rPr>
        <b/>
        <sz val="10"/>
        <rFont val="Arial"/>
        <family val="2"/>
      </rPr>
      <t>All questions that ask for percentages must be formatted so that Excel can tell it is a percentage.</t>
    </r>
    <r>
      <rPr>
        <sz val="10"/>
        <rFont val="Arial"/>
        <family val="2"/>
      </rPr>
      <t xml:space="preserve"> If the answer it '20 percent,' you may submit an answer that looks like '20%' or '0.2' but NOT '20' because Excel doesn't understand it as a %. </t>
    </r>
  </si>
  <si>
    <r>
      <t xml:space="preserve">6.Please </t>
    </r>
    <r>
      <rPr>
        <b/>
        <u/>
        <sz val="10"/>
        <rFont val="Arial"/>
        <family val="2"/>
      </rPr>
      <t>DO NOT forget to review the Excel Manual pdf</t>
    </r>
    <r>
      <rPr>
        <sz val="10"/>
        <rFont val="Arial"/>
        <family val="2"/>
      </rPr>
      <t xml:space="preserve"> file.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</si>
</sst>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0.000"/>
    <numFmt numFmtId="166" formatCode="_(* #,##0.000_);_(* \(#,##0.000\);_(* &quot;-&quot;??_);_(@_)"/>
    <numFmt numFmtId="167" formatCode="_-* #,##0.00_-;\-* #,##0.00_-;_-* &quot;-&quot;??_-;_-@_-"/>
  </numFmts>
  <fonts count="5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charset val="162"/>
      <scheme val="minor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11"/>
      <color indexed="8"/>
      <name val="Calibri"/>
      <family val="2"/>
    </font>
    <font>
      <sz val="10"/>
      <name val="Arial"/>
      <family val="2"/>
      <charset val="16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name val="Arial"/>
      <family val="2"/>
      <charset val="162"/>
    </font>
    <font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indexed="8"/>
      <name val="Calibri"/>
      <family val="2"/>
    </font>
    <font>
      <sz val="12"/>
      <color theme="0"/>
      <name val="Calibri"/>
      <family val="2"/>
      <charset val="162"/>
      <scheme val="minor"/>
    </font>
    <font>
      <sz val="13"/>
      <color theme="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indexed="55"/>
      <name val="Calibri"/>
      <family val="2"/>
    </font>
    <font>
      <b/>
      <sz val="11"/>
      <color theme="0"/>
      <name val="Calibri"/>
      <family val="2"/>
      <scheme val="minor"/>
    </font>
    <font>
      <b/>
      <sz val="18"/>
      <color theme="3"/>
      <name val="Calibri"/>
      <family val="2"/>
    </font>
    <font>
      <b/>
      <sz val="14"/>
      <color theme="3"/>
      <name val="Calibri"/>
      <family val="2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 (Body)_x0000_"/>
      <charset val="162"/>
    </font>
    <font>
      <b/>
      <sz val="11"/>
      <color indexed="55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color rgb="FF000000"/>
      <name val="Calibri"/>
      <family val="2"/>
    </font>
    <font>
      <b/>
      <u/>
      <sz val="13"/>
      <color theme="0"/>
      <name val="Calibri (Body)"/>
    </font>
    <font>
      <sz val="11"/>
      <color theme="1"/>
      <name val="Calibri"/>
      <family val="2"/>
      <charset val="16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Arial"/>
      <family val="2"/>
    </font>
    <font>
      <sz val="12"/>
      <color rgb="FF000000"/>
      <name val="Calibri"/>
      <family val="2"/>
      <charset val="162"/>
      <scheme val="minor"/>
    </font>
    <font>
      <b/>
      <sz val="16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color theme="0" tint="-0.14999847407452621"/>
      <name val="Arial"/>
      <family val="2"/>
    </font>
    <font>
      <sz val="12"/>
      <color rgb="FF000000"/>
      <name val="Calibri"/>
      <family val="2"/>
    </font>
    <font>
      <b/>
      <u/>
      <sz val="10"/>
      <color rgb="FFFF0000"/>
      <name val="Arial"/>
      <family val="2"/>
    </font>
    <font>
      <b/>
      <u/>
      <sz val="10"/>
      <name val="Arial"/>
      <family val="2"/>
    </font>
    <font>
      <b/>
      <i/>
      <u/>
      <sz val="10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8CCE4"/>
        <bgColor rgb="FF000000"/>
      </patternFill>
    </fill>
    <fill>
      <patternFill patternType="solid">
        <fgColor theme="4" tint="0.79998168889431442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42">
    <xf numFmtId="0" fontId="0" fillId="0" borderId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43" fontId="14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5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39" fillId="0" borderId="0"/>
    <xf numFmtId="9" fontId="39" fillId="0" borderId="0" applyFont="0" applyFill="0" applyBorder="0" applyAlignment="0" applyProtection="0"/>
    <xf numFmtId="167" fontId="39" fillId="0" borderId="0" applyFont="0" applyFill="0" applyBorder="0" applyAlignment="0" applyProtection="0"/>
  </cellStyleXfs>
  <cellXfs count="136">
    <xf numFmtId="0" fontId="0" fillId="0" borderId="0" xfId="0"/>
    <xf numFmtId="0" fontId="10" fillId="0" borderId="0" xfId="3"/>
    <xf numFmtId="0" fontId="10" fillId="0" borderId="0" xfId="3" applyProtection="1">
      <protection locked="0"/>
    </xf>
    <xf numFmtId="0" fontId="10" fillId="0" borderId="0" xfId="3" applyProtection="1"/>
    <xf numFmtId="0" fontId="12" fillId="0" borderId="0" xfId="3" applyFont="1" applyAlignment="1" applyProtection="1">
      <alignment horizontal="left"/>
    </xf>
    <xf numFmtId="0" fontId="12" fillId="0" borderId="0" xfId="3" applyFont="1" applyProtection="1"/>
    <xf numFmtId="0" fontId="13" fillId="0" borderId="0" xfId="3" applyFont="1" applyProtection="1">
      <protection locked="0"/>
    </xf>
    <xf numFmtId="0" fontId="10" fillId="0" borderId="0" xfId="3" applyAlignment="1" applyProtection="1">
      <alignment horizontal="left"/>
      <protection locked="0"/>
    </xf>
    <xf numFmtId="1" fontId="10" fillId="0" borderId="0" xfId="3" applyNumberFormat="1" applyProtection="1">
      <protection locked="0"/>
    </xf>
    <xf numFmtId="0" fontId="12" fillId="0" borderId="0" xfId="3" applyFont="1" applyProtection="1">
      <protection locked="0"/>
    </xf>
    <xf numFmtId="49" fontId="10" fillId="0" borderId="0" xfId="3" applyNumberFormat="1" applyProtection="1">
      <protection locked="0"/>
    </xf>
    <xf numFmtId="0" fontId="11" fillId="0" borderId="0" xfId="3" applyFont="1" applyProtection="1">
      <protection locked="0"/>
    </xf>
    <xf numFmtId="164" fontId="0" fillId="0" borderId="0" xfId="0" applyNumberFormat="1"/>
    <xf numFmtId="166" fontId="10" fillId="0" borderId="0" xfId="1" applyNumberFormat="1" applyFont="1" applyProtection="1">
      <protection locked="0"/>
    </xf>
    <xf numFmtId="164" fontId="14" fillId="0" borderId="0" xfId="1" applyNumberFormat="1" applyFont="1" applyBorder="1"/>
    <xf numFmtId="0" fontId="0" fillId="0" borderId="0" xfId="0" applyFont="1" applyBorder="1"/>
    <xf numFmtId="165" fontId="0" fillId="0" borderId="0" xfId="0" applyNumberFormat="1" applyFont="1" applyBorder="1"/>
    <xf numFmtId="0" fontId="13" fillId="0" borderId="0" xfId="3" applyFont="1" applyProtection="1"/>
    <xf numFmtId="0" fontId="15" fillId="0" borderId="0" xfId="0" quotePrefix="1" applyNumberFormat="1" applyFont="1"/>
    <xf numFmtId="164" fontId="0" fillId="0" borderId="0" xfId="1" applyNumberFormat="1" applyFont="1"/>
    <xf numFmtId="43" fontId="0" fillId="0" borderId="0" xfId="1" applyFont="1"/>
    <xf numFmtId="164" fontId="0" fillId="0" borderId="0" xfId="1" applyNumberFormat="1" applyFont="1" applyBorder="1"/>
    <xf numFmtId="0" fontId="10" fillId="0" borderId="0" xfId="3" applyFill="1" applyProtection="1">
      <protection locked="0"/>
    </xf>
    <xf numFmtId="22" fontId="10" fillId="0" borderId="0" xfId="3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/>
    <xf numFmtId="22" fontId="0" fillId="0" borderId="0" xfId="0" applyNumberFormat="1" applyProtection="1">
      <protection locked="0"/>
    </xf>
    <xf numFmtId="0" fontId="18" fillId="0" borderId="0" xfId="3" applyFont="1" applyProtection="1">
      <protection locked="0"/>
    </xf>
    <xf numFmtId="0" fontId="19" fillId="0" borderId="0" xfId="0" applyFont="1" applyAlignment="1">
      <alignment horizontal="center" vertical="center"/>
    </xf>
    <xf numFmtId="0" fontId="22" fillId="0" borderId="0" xfId="0" applyFont="1"/>
    <xf numFmtId="0" fontId="22" fillId="0" borderId="0" xfId="0" applyFont="1" applyProtection="1">
      <protection locked="0"/>
    </xf>
    <xf numFmtId="0" fontId="22" fillId="0" borderId="0" xfId="0" applyFont="1" applyAlignment="1">
      <alignment horizontal="left"/>
    </xf>
    <xf numFmtId="0" fontId="24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/>
    </xf>
    <xf numFmtId="0" fontId="28" fillId="2" borderId="0" xfId="0" applyFont="1" applyFill="1" applyAlignment="1">
      <alignment horizontal="center" vertical="center"/>
    </xf>
    <xf numFmtId="0" fontId="21" fillId="6" borderId="13" xfId="136" applyFont="1" applyFill="1" applyBorder="1" applyAlignment="1">
      <alignment horizontal="center" vertical="center"/>
    </xf>
    <xf numFmtId="0" fontId="30" fillId="2" borderId="0" xfId="0" applyFont="1" applyFill="1" applyAlignment="1">
      <alignment horizontal="left" vertical="center" wrapText="1"/>
    </xf>
    <xf numFmtId="0" fontId="26" fillId="6" borderId="16" xfId="136" applyFont="1" applyFill="1" applyBorder="1" applyAlignment="1">
      <alignment horizontal="left" vertical="center" wrapText="1"/>
    </xf>
    <xf numFmtId="0" fontId="18" fillId="0" borderId="4" xfId="3" applyFont="1" applyBorder="1" applyAlignment="1" applyProtection="1">
      <alignment horizontal="center" vertical="center"/>
      <protection locked="0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21" fillId="6" borderId="17" xfId="136" applyFont="1" applyFill="1" applyBorder="1" applyAlignment="1">
      <alignment horizontal="center" vertical="center"/>
    </xf>
    <xf numFmtId="0" fontId="26" fillId="6" borderId="16" xfId="136" applyFont="1" applyFill="1" applyBorder="1" applyAlignment="1">
      <alignment horizontal="center" vertical="center"/>
    </xf>
    <xf numFmtId="43" fontId="32" fillId="0" borderId="0" xfId="1" applyFont="1" applyAlignment="1">
      <alignment vertical="center"/>
    </xf>
    <xf numFmtId="43" fontId="32" fillId="0" borderId="0" xfId="1" applyFont="1" applyBorder="1" applyAlignment="1">
      <alignment vertical="center"/>
    </xf>
    <xf numFmtId="43" fontId="32" fillId="0" borderId="0" xfId="1" applyFont="1" applyFill="1" applyBorder="1" applyAlignment="1">
      <alignment vertical="center"/>
    </xf>
    <xf numFmtId="43" fontId="32" fillId="0" borderId="0" xfId="1" applyFont="1" applyAlignment="1">
      <alignment horizontal="left" vertical="center"/>
    </xf>
    <xf numFmtId="43" fontId="34" fillId="0" borderId="0" xfId="1" applyFont="1" applyAlignment="1">
      <alignment vertical="center"/>
    </xf>
    <xf numFmtId="0" fontId="0" fillId="0" borderId="0" xfId="0" applyFill="1"/>
    <xf numFmtId="0" fontId="8" fillId="0" borderId="0" xfId="0" applyFont="1" applyAlignment="1">
      <alignment horizontal="left"/>
    </xf>
    <xf numFmtId="49" fontId="0" fillId="0" borderId="0" xfId="0" applyNumberFormat="1"/>
    <xf numFmtId="0" fontId="7" fillId="0" borderId="0" xfId="0" applyFont="1" applyProtection="1">
      <protection locked="0"/>
    </xf>
    <xf numFmtId="0" fontId="0" fillId="7" borderId="9" xfId="137" applyFont="1" applyFill="1" applyBorder="1" applyAlignment="1">
      <alignment horizontal="center" vertical="center"/>
    </xf>
    <xf numFmtId="0" fontId="0" fillId="7" borderId="10" xfId="137" applyFont="1" applyFill="1" applyBorder="1" applyAlignment="1">
      <alignment horizontal="center" vertical="center"/>
    </xf>
    <xf numFmtId="0" fontId="29" fillId="6" borderId="16" xfId="136" applyFont="1" applyFill="1" applyBorder="1" applyAlignment="1">
      <alignment horizontal="center" vertical="center" wrapText="1"/>
    </xf>
    <xf numFmtId="0" fontId="0" fillId="7" borderId="22" xfId="138" applyNumberFormat="1" applyFont="1" applyFill="1" applyBorder="1" applyAlignment="1">
      <alignment vertical="center"/>
    </xf>
    <xf numFmtId="0" fontId="9" fillId="7" borderId="21" xfId="138" applyNumberFormat="1" applyFill="1" applyBorder="1" applyAlignment="1">
      <alignment vertical="center"/>
    </xf>
    <xf numFmtId="0" fontId="27" fillId="6" borderId="16" xfId="136" applyFont="1" applyFill="1" applyBorder="1" applyAlignment="1">
      <alignment horizontal="center" vertical="center" wrapText="1"/>
    </xf>
    <xf numFmtId="0" fontId="26" fillId="6" borderId="16" xfId="136" applyFont="1" applyFill="1" applyBorder="1" applyAlignment="1">
      <alignment vertical="center" wrapText="1"/>
    </xf>
    <xf numFmtId="0" fontId="9" fillId="7" borderId="22" xfId="138" applyNumberFormat="1" applyFill="1" applyBorder="1" applyAlignment="1">
      <alignment vertical="center"/>
    </xf>
    <xf numFmtId="0" fontId="6" fillId="0" borderId="0" xfId="0" applyFont="1" applyAlignment="1">
      <alignment horizontal="left"/>
    </xf>
    <xf numFmtId="0" fontId="6" fillId="0" borderId="0" xfId="0" applyFont="1" applyProtection="1">
      <protection locked="0"/>
    </xf>
    <xf numFmtId="0" fontId="30" fillId="2" borderId="0" xfId="0" applyFont="1" applyFill="1" applyAlignment="1">
      <alignment horizontal="right" vertical="center"/>
    </xf>
    <xf numFmtId="0" fontId="0" fillId="2" borderId="0" xfId="0" applyFill="1" applyAlignment="1">
      <alignment vertical="center"/>
    </xf>
    <xf numFmtId="0" fontId="32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horizontal="right" vertical="center"/>
    </xf>
    <xf numFmtId="0" fontId="34" fillId="0" borderId="0" xfId="0" applyFont="1" applyAlignment="1">
      <alignment vertical="center" wrapText="1"/>
    </xf>
    <xf numFmtId="0" fontId="33" fillId="0" borderId="0" xfId="0" applyFont="1" applyAlignment="1">
      <alignment vertical="center"/>
    </xf>
    <xf numFmtId="0" fontId="19" fillId="0" borderId="0" xfId="0" applyFont="1" applyAlignment="1">
      <alignment vertical="center" wrapText="1"/>
    </xf>
    <xf numFmtId="0" fontId="5" fillId="0" borderId="0" xfId="0" applyFont="1" applyAlignment="1">
      <alignment horizontal="left"/>
    </xf>
    <xf numFmtId="0" fontId="4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42" fillId="10" borderId="0" xfId="3" applyFont="1" applyFill="1" applyAlignment="1" applyProtection="1">
      <alignment horizontal="center" vertical="center"/>
      <protection locked="0"/>
    </xf>
    <xf numFmtId="0" fontId="43" fillId="11" borderId="21" xfId="0" applyFont="1" applyFill="1" applyBorder="1" applyAlignment="1">
      <alignment vertical="center"/>
    </xf>
    <xf numFmtId="0" fontId="44" fillId="0" borderId="0" xfId="0" applyFont="1" applyAlignment="1">
      <alignment horizontal="center" vertical="center"/>
    </xf>
    <xf numFmtId="0" fontId="3" fillId="0" borderId="0" xfId="0" applyFont="1"/>
    <xf numFmtId="10" fontId="3" fillId="0" borderId="0" xfId="0" applyNumberFormat="1" applyFont="1"/>
    <xf numFmtId="9" fontId="3" fillId="0" borderId="0" xfId="0" applyNumberFormat="1" applyFont="1"/>
    <xf numFmtId="164" fontId="3" fillId="0" borderId="0" xfId="1" applyNumberFormat="1" applyFont="1" applyFill="1"/>
    <xf numFmtId="43" fontId="40" fillId="0" borderId="0" xfId="1" applyFont="1" applyFill="1"/>
    <xf numFmtId="43" fontId="3" fillId="0" borderId="0" xfId="1" applyFont="1" applyFill="1"/>
    <xf numFmtId="0" fontId="3" fillId="0" borderId="0" xfId="0" applyFont="1" applyProtection="1">
      <protection locked="0"/>
    </xf>
    <xf numFmtId="0" fontId="0" fillId="0" borderId="0" xfId="0" applyAlignment="1">
      <alignment horizontal="right"/>
    </xf>
    <xf numFmtId="0" fontId="45" fillId="0" borderId="0" xfId="0" applyFont="1" applyProtection="1">
      <protection locked="0"/>
    </xf>
    <xf numFmtId="0" fontId="45" fillId="0" borderId="0" xfId="0" applyFont="1"/>
    <xf numFmtId="0" fontId="46" fillId="0" borderId="0" xfId="3" applyFont="1" applyProtection="1">
      <protection locked="0"/>
    </xf>
    <xf numFmtId="0" fontId="40" fillId="0" borderId="0" xfId="0" applyFont="1"/>
    <xf numFmtId="0" fontId="2" fillId="0" borderId="0" xfId="0" applyFont="1" applyAlignment="1">
      <alignment horizontal="left"/>
    </xf>
    <xf numFmtId="0" fontId="47" fillId="0" borderId="0" xfId="0" applyFont="1"/>
    <xf numFmtId="0" fontId="1" fillId="0" borderId="0" xfId="0" applyFont="1" applyAlignment="1">
      <alignment horizontal="left"/>
    </xf>
    <xf numFmtId="0" fontId="0" fillId="2" borderId="20" xfId="0" applyFill="1" applyBorder="1" applyAlignment="1">
      <alignment horizontal="left" vertical="center" wrapText="1"/>
    </xf>
    <xf numFmtId="0" fontId="0" fillId="2" borderId="4" xfId="0" applyFill="1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3" fillId="0" borderId="6" xfId="0" applyFont="1" applyBorder="1" applyAlignment="1">
      <alignment horizontal="right" vertical="center"/>
    </xf>
    <xf numFmtId="0" fontId="5" fillId="0" borderId="1" xfId="0" applyFont="1" applyBorder="1" applyAlignment="1">
      <alignment horizontal="right" vertical="center"/>
    </xf>
    <xf numFmtId="0" fontId="36" fillId="6" borderId="15" xfId="136" applyFont="1" applyFill="1" applyBorder="1" applyAlignment="1">
      <alignment horizontal="left" vertical="center" wrapText="1"/>
    </xf>
    <xf numFmtId="0" fontId="26" fillId="6" borderId="12" xfId="136" applyFont="1" applyFill="1" applyBorder="1" applyAlignment="1">
      <alignment horizontal="left" vertical="center" wrapText="1"/>
    </xf>
    <xf numFmtId="0" fontId="0" fillId="0" borderId="20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3" fillId="0" borderId="6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0" fillId="2" borderId="14" xfId="0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2" xfId="0" applyFill="1" applyBorder="1" applyAlignment="1">
      <alignment horizontal="left" vertical="center" wrapText="1"/>
    </xf>
    <xf numFmtId="0" fontId="26" fillId="6" borderId="26" xfId="136" applyFont="1" applyFill="1" applyBorder="1" applyAlignment="1">
      <alignment horizontal="left" vertical="center" wrapText="1"/>
    </xf>
    <xf numFmtId="0" fontId="0" fillId="2" borderId="18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2" borderId="19" xfId="0" applyFill="1" applyBorder="1" applyAlignment="1">
      <alignment horizontal="left" vertical="center" wrapText="1"/>
    </xf>
    <xf numFmtId="0" fontId="0" fillId="2" borderId="8" xfId="0" applyFill="1" applyBorder="1" applyAlignment="1">
      <alignment horizontal="left" vertical="center" wrapText="1"/>
    </xf>
    <xf numFmtId="0" fontId="0" fillId="2" borderId="23" xfId="0" applyFill="1" applyBorder="1" applyAlignment="1">
      <alignment horizontal="left" vertical="center" wrapText="1"/>
    </xf>
    <xf numFmtId="0" fontId="0" fillId="2" borderId="24" xfId="0" applyFill="1" applyBorder="1" applyAlignment="1">
      <alignment horizontal="left" vertical="center" wrapText="1"/>
    </xf>
    <xf numFmtId="0" fontId="0" fillId="2" borderId="25" xfId="0" applyFill="1" applyBorder="1" applyAlignment="1">
      <alignment horizontal="left" vertical="center" wrapText="1"/>
    </xf>
    <xf numFmtId="0" fontId="30" fillId="2" borderId="0" xfId="0" applyFont="1" applyFill="1" applyAlignment="1">
      <alignment horizontal="right" vertical="center"/>
    </xf>
    <xf numFmtId="0" fontId="31" fillId="2" borderId="7" xfId="0" applyFont="1" applyFill="1" applyBorder="1" applyAlignment="1">
      <alignment horizontal="left" vertical="center" wrapText="1"/>
    </xf>
    <xf numFmtId="0" fontId="36" fillId="6" borderId="15" xfId="136" applyFont="1" applyFill="1" applyBorder="1" applyAlignment="1">
      <alignment horizontal="left" vertical="center"/>
    </xf>
    <xf numFmtId="0" fontId="36" fillId="6" borderId="12" xfId="136" applyFont="1" applyFill="1" applyBorder="1" applyAlignment="1">
      <alignment horizontal="left" vertical="center"/>
    </xf>
    <xf numFmtId="0" fontId="23" fillId="8" borderId="0" xfId="0" applyFont="1" applyFill="1" applyAlignment="1">
      <alignment horizontal="center"/>
    </xf>
    <xf numFmtId="0" fontId="12" fillId="9" borderId="0" xfId="3" applyFont="1" applyFill="1" applyAlignment="1" applyProtection="1">
      <alignment horizontal="center"/>
      <protection locked="0"/>
    </xf>
    <xf numFmtId="0" fontId="22" fillId="8" borderId="0" xfId="0" applyFont="1" applyFill="1" applyAlignment="1" applyProtection="1">
      <alignment horizontal="center"/>
      <protection locked="0"/>
    </xf>
    <xf numFmtId="0" fontId="48" fillId="12" borderId="27" xfId="3" applyFont="1" applyFill="1" applyBorder="1"/>
    <xf numFmtId="0" fontId="0" fillId="12" borderId="9" xfId="0" applyFill="1" applyBorder="1" applyAlignment="1">
      <alignment wrapText="1"/>
    </xf>
    <xf numFmtId="0" fontId="10" fillId="12" borderId="9" xfId="3" applyFill="1" applyBorder="1" applyAlignment="1">
      <alignment wrapText="1"/>
    </xf>
    <xf numFmtId="0" fontId="10" fillId="12" borderId="10" xfId="3" applyFill="1" applyBorder="1"/>
  </cellXfs>
  <cellStyles count="142">
    <cellStyle name="40% - Accent2" xfId="137" builtinId="35"/>
    <cellStyle name="40% - Accent3" xfId="138" builtinId="39"/>
    <cellStyle name="Accent2" xfId="136" builtinId="33"/>
    <cellStyle name="Comma" xfId="1" builtinId="3"/>
    <cellStyle name="Comma 2" xfId="2" xr:uid="{00000000-0005-0000-0000-000004000000}"/>
    <cellStyle name="Comma 3" xfId="45" xr:uid="{00000000-0005-0000-0000-000005000000}"/>
    <cellStyle name="Comma 4" xfId="141" xr:uid="{7F0EB391-06F3-D649-9C29-73A1ABD69599}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4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Normal" xfId="0" builtinId="0"/>
    <cellStyle name="Normal 2" xfId="3" xr:uid="{00000000-0005-0000-0000-00008A000000}"/>
    <cellStyle name="Normal 3" xfId="139" xr:uid="{6EED67A7-A12B-1D4E-AAE9-704DB9BF26AD}"/>
    <cellStyle name="Percent 2" xfId="140" xr:uid="{2D2E8186-4EAD-4546-9B08-B970F0452E9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* #,##0_);_(* \(#,##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* #,##0_);_(* \(#,##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* #,##0_);_(* \(#,##0\);_(* &quot;-&quot;??_);_(@_)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* #,##0_);_(* \(#,##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* #,##0_);_(* \(#,##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* #,##0_);_(* \(#,##0\);_(* &quot;-&quot;??_);_(@_)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* #,##0_);_(* \(#,##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* #,##0_);_(* \(#,##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* #,##0_);_(* \(#,##0\);_(* &quot;-&quot;??_);_(@_)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* #,##0_);_(* \(#,##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* #,##0_);_(* \(#,##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* #,##0_);_(* \(#,##0\);_(* &quot;-&quot;??_);_(@_)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A7DDE"/>
      <color rgb="FFFF7E79"/>
      <color rgb="FFFF2968"/>
      <color rgb="FFFF8AD8"/>
      <color rgb="FFCCFFCC"/>
      <color rgb="FF00CC99"/>
      <color rgb="FFFF6600"/>
      <color rgb="FFC98A37"/>
      <color rgb="FFD2A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4318000</xdr:colOff>
          <xdr:row>0</xdr:row>
          <xdr:rowOff>190500</xdr:rowOff>
        </xdr:from>
        <xdr:to>
          <xdr:col>2</xdr:col>
          <xdr:colOff>6223000</xdr:colOff>
          <xdr:row>3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Start Assignment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EFB11A-E4B4-D74E-98E8-59588F7CDB82}" name="Table1" displayName="Table1" ref="A1:J1292" totalsRowShown="0" headerRowDxfId="47" dataDxfId="46" dataCellStyle="Comma">
  <tableColumns count="10">
    <tableColumn id="1" xr3:uid="{7CDF81D3-B87C-7F4A-ACCE-EFB3B25F711B}" name="University Name" dataDxfId="45"/>
    <tableColumn id="2" xr3:uid="{72AEE9CC-E5C3-ED41-AD18-D24ABFB96D74}" name="Country" dataDxfId="44"/>
    <tableColumn id="3" xr3:uid="{E9E68853-2D0F-9A47-A4DD-E1B2CE3E6741}" name="Dominant Gender" dataDxfId="43"/>
    <tableColumn id="4" xr3:uid="{6BE410F2-03CE-994A-9B51-D697F94D68EC}" name="Dominant Research Topic" dataDxfId="42"/>
    <tableColumn id="5" xr3:uid="{291CF02C-BD15-FD42-949A-10A3FCEC52E9}" name="Number of Students" dataDxfId="41" dataCellStyle="Comma"/>
    <tableColumn id="6" xr3:uid="{1B8C9431-1B20-2E44-9C41-1C36CF916A81}" name="Number of Staff" dataDxfId="40" dataCellStyle="Comma"/>
    <tableColumn id="7" xr3:uid="{276B0081-1D60-4145-B44A-634AD3E0442C}" name="Number of International Students" dataDxfId="39" dataCellStyle="Comma"/>
    <tableColumn id="8" xr3:uid="{B18AF38A-62D7-ED4A-B9E0-CFAF21E8F675}" name="Research Score" dataDxfId="38" dataCellStyle="Comma"/>
    <tableColumn id="9" xr3:uid="{ED17BD67-33E2-A74F-A94A-FE0406EF4AAC}" name="Number of Citations" dataDxfId="37" dataCellStyle="Comma"/>
    <tableColumn id="10" xr3:uid="{A12701DA-ACC0-F94F-A5B8-2499C8C32FC6}" name="Teaching Score" dataDxfId="36" dataCellStyle="Comma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05B8898-4BC2-3A47-AF0C-BEE76EC9B22D}" name="Table13" displayName="Table13" ref="A1:J1292" totalsRowShown="0" headerRowDxfId="35" dataDxfId="34" dataCellStyle="Comma">
  <tableColumns count="10">
    <tableColumn id="1" xr3:uid="{21D031D7-EC20-BE4B-90BC-E47D220A05C9}" name="University Name" dataDxfId="33"/>
    <tableColumn id="2" xr3:uid="{5534D4C6-EA4D-D847-B4B9-7A553194C93E}" name="Country" dataDxfId="32"/>
    <tableColumn id="3" xr3:uid="{5326780C-CF91-A944-A1C1-E146264DD9F8}" name="Dominant Gender" dataDxfId="31"/>
    <tableColumn id="4" xr3:uid="{9BC7E898-C6D0-AC4C-9147-9E0E22906528}" name="Dominant Research Topic" dataDxfId="30"/>
    <tableColumn id="5" xr3:uid="{AFD0F674-2965-4445-93A2-955643E8BD02}" name="Number of Students" dataDxfId="29" dataCellStyle="Comma"/>
    <tableColumn id="6" xr3:uid="{098C746D-411A-2047-AA33-3F3B90E9819A}" name="Number of Staff" dataDxfId="28" dataCellStyle="Comma"/>
    <tableColumn id="7" xr3:uid="{F885FC45-A8E0-3A49-9026-3F866E71BA37}" name="Number of International Students" dataDxfId="27" dataCellStyle="Comma"/>
    <tableColumn id="8" xr3:uid="{4DEB91AB-6BEF-4146-813F-09C32F1F5534}" name="Research Score" dataDxfId="26" dataCellStyle="Comma"/>
    <tableColumn id="9" xr3:uid="{3662DBEF-2752-DE45-A898-EE7DF57FEDDC}" name="Number of Citations" dataDxfId="25" dataCellStyle="Comma"/>
    <tableColumn id="10" xr3:uid="{57A02A74-9223-D144-B16D-A959D22D2E2F}" name="Teaching Score" dataDxfId="24" dataCellStyle="Comma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F6EC27-A7FF-5E4B-BD24-0D51FFFEACB3}" name="Table134" displayName="Table134" ref="A1:J1292" totalsRowShown="0" headerRowDxfId="23" dataDxfId="22" dataCellStyle="Comma">
  <tableColumns count="10">
    <tableColumn id="1" xr3:uid="{5FD625F2-D861-7242-972E-213795B34135}" name="University Name" dataDxfId="21"/>
    <tableColumn id="2" xr3:uid="{7D76F6DA-FDCD-B942-BBC1-93BDB858A87E}" name="Country" dataDxfId="20"/>
    <tableColumn id="3" xr3:uid="{C8E8CB13-15E1-7B41-B3BD-3D76FBF8713F}" name="Dominant Gender" dataDxfId="19"/>
    <tableColumn id="4" xr3:uid="{297C6D0F-181D-4540-A2F5-BDA739A552B7}" name="Dominant Research Topic" dataDxfId="18"/>
    <tableColumn id="5" xr3:uid="{3F47B163-1E6A-7248-B876-21ACE007A787}" name="Number of Students" dataDxfId="17" dataCellStyle="Comma"/>
    <tableColumn id="6" xr3:uid="{947042C7-1D41-5247-9C5B-8F3408DE2ED3}" name="Number of Staff" dataDxfId="16" dataCellStyle="Comma"/>
    <tableColumn id="7" xr3:uid="{12EF0FBE-6886-6D45-9D3F-406F46698D57}" name="Number of International Students" dataDxfId="15" dataCellStyle="Comma"/>
    <tableColumn id="8" xr3:uid="{BC5F24AB-8F2A-D447-9C20-62A260470623}" name="Research Score" dataDxfId="14" dataCellStyle="Comma"/>
    <tableColumn id="9" xr3:uid="{F7C4499A-D8CC-3C43-9566-C616E7888B92}" name="Number of Citations" dataDxfId="13" dataCellStyle="Comma"/>
    <tableColumn id="10" xr3:uid="{B5DCA1B5-3867-3845-B74F-0A8903EE49DF}" name="Teaching Score" dataDxfId="12" dataCellStyle="Comma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B04CBA-0B5E-1746-986F-3B7AF31C62EB}" name="Table" displayName="Table" ref="A1:J1292" totalsRowShown="0" headerRowDxfId="11" dataDxfId="10" dataCellStyle="Comma">
  <tableColumns count="10">
    <tableColumn id="1" xr3:uid="{BD8F1012-B0A8-2E42-81CD-2144F6CB2047}" name="University Name" dataDxfId="9"/>
    <tableColumn id="2" xr3:uid="{EE85F0D5-74E4-6849-9A43-9AEB6593DD28}" name="Country" dataDxfId="8"/>
    <tableColumn id="3" xr3:uid="{FF48A459-7BA0-F349-9C12-C3DC820794BB}" name="Dominant Gender" dataDxfId="7"/>
    <tableColumn id="4" xr3:uid="{F753B10F-614C-8244-9FF5-0583DE3BD506}" name="Dominant Research Topic" dataDxfId="6"/>
    <tableColumn id="5" xr3:uid="{4C363F9F-9980-074D-9EF7-2C6532F7230A}" name="Number of Students" dataDxfId="5" dataCellStyle="Comma"/>
    <tableColumn id="6" xr3:uid="{F1CCCEAB-704E-D24D-B972-BC1ADCE8A09D}" name="Number of Staff" dataDxfId="4" dataCellStyle="Comma"/>
    <tableColumn id="7" xr3:uid="{E6A5540A-46B9-F543-AC27-40AF690CE01A}" name="Number of International Students" dataDxfId="3" dataCellStyle="Comma"/>
    <tableColumn id="8" xr3:uid="{69CA4A49-7877-5548-8E36-051A5C7A8DFF}" name="Research Score" dataDxfId="2" dataCellStyle="Comma"/>
    <tableColumn id="9" xr3:uid="{28A79B68-11E1-0C46-A3F0-3C8577232388}" name="Number of Citations" dataDxfId="1" dataCellStyle="Comma"/>
    <tableColumn id="10" xr3:uid="{F1B3730D-4139-A647-AB6D-1B05DF99775C}" name="Teaching Score" dataDxfId="0" dataCellStyle="Comma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P29998"/>
  <sheetViews>
    <sheetView tabSelected="1" zoomScale="125" zoomScaleNormal="150" workbookViewId="0"/>
  </sheetViews>
  <sheetFormatPr baseColWidth="10" defaultColWidth="8.83203125" defaultRowHeight="15"/>
  <cols>
    <col min="1" max="2" width="8.83203125" style="1"/>
    <col min="3" max="3" width="110.1640625" style="1" customWidth="1"/>
    <col min="4" max="4" width="14.33203125" style="1" customWidth="1"/>
    <col min="5" max="13" width="8.83203125" style="1"/>
    <col min="16" max="16" width="108" customWidth="1"/>
    <col min="42" max="65" width="8.83203125" style="1"/>
    <col min="66" max="68" width="0" style="1" hidden="1" customWidth="1"/>
    <col min="69" max="237" width="8.83203125" style="1"/>
    <col min="238" max="238" width="8.83203125" style="2"/>
    <col min="239" max="239" width="16.6640625" style="2" bestFit="1" customWidth="1"/>
    <col min="240" max="240" width="8.83203125" style="2"/>
    <col min="241" max="241" width="10.33203125" style="2" bestFit="1" customWidth="1"/>
    <col min="242" max="247" width="8.83203125" style="2"/>
    <col min="248" max="248" width="11.6640625" style="2" customWidth="1"/>
    <col min="249" max="16384" width="8.83203125" style="2"/>
  </cols>
  <sheetData>
    <row r="1" spans="2:13"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2" spans="2:13">
      <c r="C2" s="5" t="s">
        <v>42</v>
      </c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2:13">
      <c r="C4" s="4"/>
      <c r="D4" s="4"/>
      <c r="E4" s="3"/>
      <c r="F4" s="3"/>
      <c r="G4" s="3"/>
      <c r="H4" s="3"/>
      <c r="I4" s="3"/>
      <c r="J4" s="3"/>
      <c r="K4" s="3"/>
      <c r="L4" s="3"/>
      <c r="M4" s="3"/>
    </row>
    <row r="5" spans="2:13">
      <c r="C5" s="3"/>
      <c r="D5" s="3"/>
      <c r="E5" s="3"/>
      <c r="F5" s="3"/>
      <c r="G5" s="3"/>
      <c r="H5" s="3"/>
      <c r="I5" s="3"/>
      <c r="J5" s="3"/>
      <c r="K5" s="3"/>
      <c r="L5" s="3"/>
      <c r="M5" s="3"/>
    </row>
    <row r="6" spans="2:13">
      <c r="C6" s="3"/>
      <c r="D6" s="3"/>
      <c r="E6" s="3"/>
      <c r="F6" s="3"/>
      <c r="G6" s="3"/>
      <c r="H6" s="3"/>
      <c r="I6" s="3"/>
      <c r="J6" s="3"/>
      <c r="K6" s="3"/>
      <c r="L6" s="3"/>
      <c r="M6" s="3"/>
    </row>
    <row r="7" spans="2:13" ht="16" thickBot="1"/>
    <row r="8" spans="2:13">
      <c r="B8"/>
      <c r="C8" s="132" t="s">
        <v>1511</v>
      </c>
      <c r="D8"/>
      <c r="E8"/>
      <c r="F8"/>
      <c r="G8"/>
      <c r="H8"/>
      <c r="I8"/>
      <c r="J8"/>
      <c r="K8"/>
      <c r="L8"/>
      <c r="M8"/>
    </row>
    <row r="9" spans="2:13" ht="48">
      <c r="B9"/>
      <c r="C9" s="133" t="s">
        <v>1512</v>
      </c>
      <c r="D9"/>
      <c r="E9"/>
      <c r="F9"/>
      <c r="G9"/>
      <c r="H9"/>
      <c r="I9"/>
      <c r="J9"/>
      <c r="K9"/>
      <c r="L9"/>
      <c r="M9"/>
    </row>
    <row r="10" spans="2:13">
      <c r="B10"/>
      <c r="C10" s="134" t="s">
        <v>1513</v>
      </c>
      <c r="D10"/>
      <c r="E10"/>
      <c r="F10"/>
      <c r="G10"/>
      <c r="H10"/>
      <c r="I10"/>
      <c r="J10"/>
      <c r="K10"/>
      <c r="L10"/>
      <c r="M10"/>
    </row>
    <row r="11" spans="2:13" ht="29">
      <c r="B11"/>
      <c r="C11" s="134" t="s">
        <v>1514</v>
      </c>
      <c r="D11"/>
      <c r="E11"/>
      <c r="F11"/>
      <c r="G11"/>
      <c r="H11"/>
      <c r="I11"/>
      <c r="J11"/>
      <c r="K11"/>
      <c r="L11"/>
      <c r="M11"/>
    </row>
    <row r="12" spans="2:13" ht="43">
      <c r="B12"/>
      <c r="C12" s="134" t="s">
        <v>1515</v>
      </c>
      <c r="D12"/>
      <c r="E12"/>
      <c r="F12"/>
      <c r="G12"/>
      <c r="H12"/>
      <c r="I12"/>
      <c r="J12"/>
      <c r="K12"/>
      <c r="L12"/>
      <c r="M12"/>
    </row>
    <row r="13" spans="2:13" ht="29">
      <c r="B13"/>
      <c r="C13" s="134" t="s">
        <v>1516</v>
      </c>
      <c r="D13"/>
      <c r="E13"/>
      <c r="F13"/>
      <c r="G13"/>
      <c r="H13"/>
      <c r="I13"/>
      <c r="J13"/>
      <c r="K13"/>
      <c r="L13"/>
      <c r="M13"/>
    </row>
    <row r="14" spans="2:13" ht="16" thickBot="1">
      <c r="B14"/>
      <c r="C14" s="135" t="s">
        <v>1517</v>
      </c>
      <c r="D14"/>
      <c r="E14"/>
      <c r="F14"/>
      <c r="G14"/>
      <c r="H14"/>
      <c r="I14"/>
      <c r="J14"/>
      <c r="K14"/>
      <c r="L14"/>
      <c r="M14"/>
    </row>
    <row r="15" spans="2:13" ht="15" customHeight="1">
      <c r="B15"/>
      <c r="C15"/>
      <c r="D15"/>
      <c r="E15"/>
      <c r="F15"/>
      <c r="G15"/>
      <c r="H15"/>
      <c r="I15"/>
      <c r="J15"/>
      <c r="K15"/>
      <c r="L15"/>
      <c r="M15"/>
    </row>
    <row r="16" spans="2:13" ht="15" customHeight="1">
      <c r="B16"/>
      <c r="C16"/>
      <c r="D16"/>
      <c r="E16"/>
      <c r="F16"/>
      <c r="G16"/>
      <c r="H16"/>
      <c r="I16"/>
      <c r="J16"/>
      <c r="K16"/>
      <c r="L16"/>
      <c r="M16"/>
    </row>
    <row r="17" spans="1:247" ht="15" customHeight="1">
      <c r="B17"/>
      <c r="C17"/>
      <c r="D17"/>
      <c r="E17"/>
      <c r="F17"/>
      <c r="G17"/>
      <c r="H17"/>
      <c r="I17"/>
      <c r="J17"/>
      <c r="K17"/>
      <c r="L17"/>
      <c r="M17"/>
    </row>
    <row r="18" spans="1:247" ht="15" customHeight="1">
      <c r="B18"/>
      <c r="C18"/>
      <c r="D18"/>
      <c r="E18"/>
      <c r="F18"/>
      <c r="G18"/>
      <c r="H18"/>
      <c r="I18"/>
      <c r="J18"/>
      <c r="K18"/>
      <c r="L18"/>
      <c r="M18"/>
    </row>
    <row r="19" spans="1:247" ht="15" customHeight="1">
      <c r="B19"/>
      <c r="C19"/>
      <c r="D19"/>
      <c r="E19"/>
      <c r="F19"/>
      <c r="G19"/>
      <c r="H19"/>
      <c r="I19"/>
      <c r="J19"/>
      <c r="K19"/>
      <c r="L19"/>
      <c r="M19"/>
    </row>
    <row r="20" spans="1:247" ht="15" customHeight="1">
      <c r="B20"/>
      <c r="C20"/>
      <c r="D20"/>
      <c r="E20"/>
      <c r="F20"/>
      <c r="G20"/>
      <c r="H20"/>
      <c r="I20"/>
      <c r="J20"/>
      <c r="K20"/>
      <c r="L20"/>
      <c r="M20"/>
    </row>
    <row r="21" spans="1:247" ht="15" customHeight="1">
      <c r="B21"/>
      <c r="C21"/>
      <c r="D21"/>
      <c r="E21"/>
      <c r="F21"/>
      <c r="G21"/>
      <c r="H21"/>
      <c r="I21"/>
      <c r="J21"/>
      <c r="K21"/>
      <c r="L21"/>
      <c r="M21"/>
    </row>
    <row r="22" spans="1:247" ht="15" customHeight="1">
      <c r="B22"/>
      <c r="C22"/>
      <c r="D22"/>
      <c r="E22"/>
      <c r="F22"/>
      <c r="G22"/>
      <c r="H22"/>
      <c r="I22"/>
      <c r="J22"/>
      <c r="K22"/>
      <c r="L22"/>
      <c r="M22"/>
    </row>
    <row r="23" spans="1:247" ht="15" customHeight="1">
      <c r="B23"/>
      <c r="C23"/>
      <c r="D23"/>
      <c r="E23"/>
      <c r="F23"/>
      <c r="G23"/>
      <c r="H23"/>
      <c r="I23"/>
      <c r="J23"/>
      <c r="K23"/>
      <c r="L23"/>
      <c r="M23"/>
    </row>
    <row r="24" spans="1:247" ht="15" customHeight="1">
      <c r="B24"/>
      <c r="C24"/>
      <c r="D24"/>
      <c r="E24"/>
      <c r="F24"/>
      <c r="G24"/>
      <c r="H24"/>
      <c r="I24"/>
      <c r="J24"/>
      <c r="K24"/>
      <c r="L24"/>
      <c r="M24"/>
    </row>
    <row r="25" spans="1:247" ht="15" customHeight="1">
      <c r="B25"/>
      <c r="C25"/>
      <c r="D25"/>
      <c r="E25"/>
      <c r="F25"/>
      <c r="G25"/>
      <c r="H25"/>
      <c r="I25"/>
      <c r="J25"/>
      <c r="K25"/>
      <c r="L25"/>
      <c r="M25"/>
    </row>
    <row r="26" spans="1:247" ht="15" customHeight="1">
      <c r="B26"/>
      <c r="C26"/>
      <c r="D26"/>
      <c r="E26"/>
      <c r="F26"/>
      <c r="G26"/>
      <c r="H26"/>
      <c r="I26"/>
      <c r="J26"/>
      <c r="K26"/>
      <c r="L26"/>
      <c r="M26"/>
    </row>
    <row r="27" spans="1:247" ht="15" customHeight="1">
      <c r="B27"/>
      <c r="C27"/>
      <c r="D27"/>
      <c r="E27"/>
      <c r="F27"/>
      <c r="G27"/>
      <c r="H27"/>
      <c r="I27"/>
      <c r="J27"/>
      <c r="K27"/>
      <c r="L27"/>
      <c r="M27"/>
    </row>
    <row r="28" spans="1:247" ht="15" customHeight="1">
      <c r="A28" s="2"/>
      <c r="B28"/>
      <c r="C28"/>
      <c r="D28"/>
      <c r="E28"/>
      <c r="F28"/>
      <c r="G28"/>
      <c r="H28"/>
      <c r="I28"/>
      <c r="J28"/>
      <c r="K28"/>
      <c r="L28"/>
      <c r="M28"/>
    </row>
    <row r="29" spans="1:247" ht="15" customHeight="1">
      <c r="B29"/>
      <c r="C29"/>
      <c r="D29"/>
      <c r="E29"/>
      <c r="F29"/>
      <c r="G29"/>
      <c r="H29"/>
      <c r="I29"/>
      <c r="J29"/>
      <c r="K29"/>
      <c r="L29"/>
      <c r="M29"/>
    </row>
    <row r="30" spans="1:247" ht="15" customHeight="1">
      <c r="A30" s="2"/>
      <c r="B30"/>
      <c r="C30"/>
      <c r="D30"/>
      <c r="E30"/>
      <c r="F30"/>
      <c r="G30"/>
      <c r="H30"/>
      <c r="I30"/>
      <c r="J30"/>
      <c r="K30"/>
      <c r="L30"/>
      <c r="M30"/>
      <c r="HZ30" s="2"/>
      <c r="IM30" s="11"/>
    </row>
    <row r="33" spans="1:23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</row>
    <row r="34" spans="1:23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</row>
    <row r="35" spans="1:23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</row>
    <row r="36" spans="1:23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</row>
    <row r="37" spans="1:23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</row>
    <row r="38" spans="1:23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</row>
    <row r="39" spans="1:23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</row>
    <row r="40" spans="1:23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</row>
    <row r="41" spans="1:23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</row>
    <row r="42" spans="1:23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</row>
    <row r="43" spans="1:23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</row>
    <row r="44" spans="1:23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</row>
    <row r="45" spans="1:23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</row>
    <row r="46" spans="1:23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</row>
    <row r="47" spans="1:23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</row>
    <row r="48" spans="1:23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</row>
    <row r="49" spans="1:24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</row>
    <row r="50" spans="1:24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</row>
    <row r="51" spans="1:24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I51" s="18"/>
    </row>
    <row r="52" spans="1:24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</row>
    <row r="53" spans="1:24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E53" s="13"/>
    </row>
    <row r="54" spans="1:24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E54" s="13"/>
    </row>
    <row r="55" spans="1:24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I55" s="18"/>
    </row>
    <row r="56" spans="1:24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E56" s="13"/>
      <c r="II56" s="18"/>
    </row>
    <row r="57" spans="1:24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</row>
    <row r="58" spans="1:24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</row>
    <row r="59" spans="1:24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I59" s="18"/>
    </row>
    <row r="60" spans="1:24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</row>
    <row r="61" spans="1:24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</row>
    <row r="62" spans="1:24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</row>
    <row r="63" spans="1:24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I63" s="18"/>
    </row>
    <row r="64" spans="1:24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I64" s="18"/>
    </row>
    <row r="65" spans="1:24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I65" s="18"/>
    </row>
    <row r="66" spans="1:24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I66" s="18"/>
    </row>
    <row r="67" spans="1:24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H67" s="21"/>
      <c r="II67" s="14"/>
    </row>
    <row r="68" spans="1:24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H68" s="21"/>
      <c r="II68" s="14"/>
    </row>
    <row r="69" spans="1:24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H69" s="21"/>
      <c r="II69" s="14"/>
    </row>
    <row r="70" spans="1:24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H70" s="21"/>
      <c r="II70" s="14"/>
    </row>
    <row r="71" spans="1:24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H71" s="21"/>
      <c r="II71" s="14"/>
    </row>
    <row r="72" spans="1:24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H72" s="21"/>
      <c r="II72" s="14"/>
    </row>
    <row r="73" spans="1:24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H73" s="21"/>
      <c r="II73" s="14"/>
    </row>
    <row r="74" spans="1:24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H74" s="21"/>
      <c r="II74" s="14"/>
    </row>
    <row r="75" spans="1:24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H75" s="21"/>
      <c r="II75" s="14"/>
    </row>
    <row r="76" spans="1:24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H76" s="21"/>
      <c r="II76" s="14"/>
    </row>
    <row r="77" spans="1:24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H77" s="21"/>
      <c r="II77" s="14"/>
    </row>
    <row r="78" spans="1:24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H78" s="21"/>
      <c r="II78" s="14"/>
    </row>
    <row r="79" spans="1:24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H79" s="21"/>
      <c r="II79" s="14"/>
    </row>
    <row r="80" spans="1:24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H80" s="21"/>
      <c r="II80" s="14"/>
    </row>
    <row r="81" spans="1:24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H81" s="21"/>
      <c r="II81" s="14"/>
    </row>
    <row r="82" spans="1:24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H82" s="21"/>
      <c r="II82" s="14"/>
    </row>
    <row r="83" spans="1:24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H83" s="21"/>
      <c r="II83" s="14"/>
    </row>
    <row r="84" spans="1:24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H84" s="21"/>
      <c r="II84" s="14"/>
    </row>
    <row r="85" spans="1:24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H85" s="21"/>
      <c r="II85" s="14"/>
    </row>
    <row r="86" spans="1:24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H86" s="21"/>
      <c r="II86" s="14"/>
    </row>
    <row r="87" spans="1:24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H87" s="21"/>
      <c r="II87" s="14"/>
    </row>
    <row r="88" spans="1:24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H88" s="21"/>
      <c r="II88" s="14"/>
    </row>
    <row r="89" spans="1:24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H89" s="21"/>
      <c r="II89" s="14"/>
    </row>
    <row r="90" spans="1:24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H90" s="21"/>
      <c r="II90" s="14"/>
    </row>
    <row r="91" spans="1:24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H91" s="21"/>
      <c r="II91" s="14"/>
    </row>
    <row r="92" spans="1:24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H92" s="21"/>
      <c r="II92" s="14"/>
    </row>
    <row r="93" spans="1:24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H93" s="21"/>
      <c r="II93" s="14"/>
    </row>
    <row r="94" spans="1:24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H94" s="21"/>
      <c r="II94" s="14"/>
    </row>
    <row r="95" spans="1:24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H95" s="21"/>
      <c r="II95" s="14"/>
    </row>
    <row r="96" spans="1:24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H96" s="21"/>
      <c r="II96" s="14"/>
    </row>
    <row r="97" spans="1:24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H97" s="21"/>
      <c r="II97" s="14"/>
    </row>
    <row r="98" spans="1:24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H98" s="21"/>
      <c r="II98" s="14"/>
    </row>
    <row r="99" spans="1:24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H99" s="21"/>
      <c r="II99" s="14"/>
    </row>
    <row r="100" spans="1:24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H100" s="21"/>
      <c r="II100" s="14"/>
    </row>
    <row r="101" spans="1:24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H101" s="21"/>
      <c r="II101" s="14"/>
    </row>
    <row r="102" spans="1:24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H102" s="21"/>
      <c r="II102" s="14"/>
    </row>
    <row r="103" spans="1:24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H103" s="21"/>
      <c r="II103" s="14"/>
    </row>
    <row r="104" spans="1:24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H104" s="21"/>
      <c r="II104" s="14"/>
    </row>
    <row r="105" spans="1:24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H105" s="21"/>
      <c r="II105" s="14"/>
    </row>
    <row r="106" spans="1:24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H106" s="21"/>
      <c r="II106" s="14"/>
    </row>
    <row r="107" spans="1:24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H107" s="21"/>
      <c r="II107" s="14"/>
    </row>
    <row r="108" spans="1:24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H108" s="21"/>
      <c r="II108" s="14"/>
    </row>
    <row r="109" spans="1:24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H109" s="21"/>
      <c r="II109" s="14"/>
    </row>
    <row r="110" spans="1:24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H110" s="21"/>
      <c r="II110" s="14"/>
    </row>
    <row r="111" spans="1:24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H111" s="21"/>
      <c r="II111" s="14"/>
    </row>
    <row r="112" spans="1:24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H112" s="21"/>
      <c r="II112" s="14"/>
    </row>
    <row r="113" spans="1:24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H113" s="21"/>
      <c r="II113" s="14"/>
    </row>
    <row r="114" spans="1:24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H114" s="21"/>
      <c r="II114" s="14"/>
    </row>
    <row r="115" spans="1:24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H115" s="21"/>
      <c r="II115" s="14"/>
    </row>
    <row r="116" spans="1:24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H116" s="21"/>
      <c r="II116" s="14"/>
    </row>
    <row r="117" spans="1:24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H117" s="21"/>
      <c r="II117" s="14"/>
    </row>
    <row r="118" spans="1:24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H118" s="21"/>
      <c r="II118" s="14"/>
    </row>
    <row r="119" spans="1:24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H119" s="21"/>
      <c r="II119" s="14"/>
    </row>
    <row r="120" spans="1:24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H120" s="21"/>
      <c r="II120" s="14"/>
    </row>
    <row r="121" spans="1:24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H121" s="21"/>
      <c r="II121" s="14"/>
    </row>
    <row r="122" spans="1:24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H122" s="21"/>
      <c r="II122" s="14"/>
    </row>
    <row r="123" spans="1:24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H123" s="21"/>
      <c r="II123" s="14"/>
    </row>
    <row r="124" spans="1:24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H124" s="21"/>
      <c r="II124" s="14"/>
    </row>
    <row r="125" spans="1:24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H125" s="21"/>
      <c r="II125" s="14"/>
    </row>
    <row r="126" spans="1:24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H126" s="21"/>
      <c r="II126" s="14"/>
    </row>
    <row r="127" spans="1:24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H127" s="21"/>
      <c r="II127" s="14"/>
    </row>
    <row r="128" spans="1:24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H128" s="21"/>
      <c r="II128" s="14"/>
    </row>
    <row r="129" spans="1:24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H129" s="21"/>
      <c r="II129" s="14"/>
    </row>
    <row r="130" spans="1:24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H130" s="21"/>
      <c r="II130" s="14"/>
    </row>
    <row r="131" spans="1:24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2"/>
      <c r="HJ131" s="2"/>
      <c r="HK131" s="2"/>
      <c r="HL131" s="2"/>
      <c r="HM131" s="2"/>
      <c r="HN131" s="2"/>
      <c r="HO131" s="2"/>
      <c r="HP131" s="2"/>
      <c r="HQ131" s="2"/>
      <c r="HR131" s="2"/>
      <c r="HS131" s="2"/>
      <c r="HT131" s="2"/>
      <c r="HU131" s="2"/>
      <c r="HV131" s="2"/>
      <c r="HW131" s="2"/>
      <c r="HX131" s="2"/>
      <c r="HY131" s="2"/>
      <c r="HZ131" s="2"/>
      <c r="IA131" s="2"/>
      <c r="IB131" s="2"/>
      <c r="IC131" s="2"/>
      <c r="IH131" s="21"/>
      <c r="II131" s="14"/>
    </row>
    <row r="132" spans="1:24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H132" s="21"/>
      <c r="II132" s="14"/>
    </row>
    <row r="133" spans="1:24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H133" s="21"/>
      <c r="II133" s="14"/>
    </row>
    <row r="134" spans="1:24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H134" s="21"/>
      <c r="II134" s="14"/>
    </row>
    <row r="135" spans="1:24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H135" s="21"/>
      <c r="II135" s="14"/>
    </row>
    <row r="136" spans="1:24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H136" s="21"/>
      <c r="II136" s="14"/>
    </row>
    <row r="137" spans="1:24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H137" s="21"/>
      <c r="II137" s="14"/>
    </row>
    <row r="138" spans="1:24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H138" s="21"/>
      <c r="II138" s="14"/>
    </row>
    <row r="139" spans="1:24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H139" s="21"/>
      <c r="II139" s="14"/>
    </row>
    <row r="140" spans="1:24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H140" s="21"/>
      <c r="II140" s="14"/>
    </row>
    <row r="141" spans="1:24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H141" s="21"/>
      <c r="II141" s="14"/>
    </row>
    <row r="142" spans="1:24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H142" s="21"/>
      <c r="II142" s="14"/>
    </row>
    <row r="143" spans="1:24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H143" s="21"/>
      <c r="II143" s="14"/>
    </row>
    <row r="144" spans="1:24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H144" s="21"/>
      <c r="II144" s="14"/>
    </row>
    <row r="145" spans="1:250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2"/>
      <c r="HM145" s="2"/>
      <c r="HN145" s="2"/>
      <c r="HO145" s="2"/>
      <c r="HP145" s="2"/>
      <c r="HQ145" s="2"/>
      <c r="HR145" s="2"/>
      <c r="HS145" s="2"/>
      <c r="HT145" s="2"/>
      <c r="HU145" s="2"/>
      <c r="HV145" s="2"/>
      <c r="HW145" s="2"/>
      <c r="HX145" s="2"/>
      <c r="HY145" s="2"/>
      <c r="HZ145" s="2"/>
      <c r="IA145" s="2"/>
      <c r="IB145" s="2"/>
      <c r="IC145" s="2"/>
      <c r="IH145" s="21"/>
      <c r="II145" s="14"/>
      <c r="IJ145" s="15"/>
      <c r="IK145" s="16"/>
      <c r="IL145" s="20"/>
      <c r="IM145" s="14"/>
      <c r="IN145" s="12"/>
      <c r="IO145" s="14"/>
      <c r="IP145" s="14"/>
    </row>
    <row r="146" spans="1:250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/>
      <c r="IC146" s="2"/>
      <c r="IH146" s="21"/>
      <c r="II146" s="14"/>
      <c r="IJ146" s="15"/>
      <c r="IK146" s="16"/>
      <c r="IL146" s="20"/>
      <c r="IM146" s="14"/>
      <c r="IN146" s="12"/>
      <c r="IO146" s="14"/>
      <c r="IP146" s="14"/>
    </row>
    <row r="147" spans="1:250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H147" s="21"/>
      <c r="II147" s="14"/>
      <c r="IJ147" s="15"/>
      <c r="IK147" s="16"/>
      <c r="IL147" s="20"/>
      <c r="IM147" s="14"/>
      <c r="IN147" s="12"/>
      <c r="IO147" s="14"/>
      <c r="IP147" s="14"/>
    </row>
    <row r="148" spans="1:250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H148" s="21"/>
      <c r="II148" s="14"/>
      <c r="IJ148" s="15"/>
      <c r="IK148" s="16"/>
      <c r="IL148" s="20"/>
      <c r="IM148" s="14"/>
      <c r="IN148" s="12"/>
      <c r="IO148" s="14"/>
      <c r="IP148" s="14"/>
    </row>
    <row r="149" spans="1:250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H149" s="21"/>
      <c r="II149" s="14"/>
      <c r="IJ149" s="15"/>
      <c r="IK149" s="16"/>
      <c r="IL149" s="20"/>
      <c r="IM149" s="14"/>
      <c r="IN149" s="12"/>
      <c r="IO149" s="14"/>
      <c r="IP149" s="14"/>
    </row>
    <row r="150" spans="1:250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H150" s="21"/>
      <c r="II150" s="14"/>
      <c r="IJ150" s="15"/>
      <c r="IK150" s="16"/>
      <c r="IL150" s="20"/>
      <c r="IM150" s="14"/>
      <c r="IN150" s="12"/>
      <c r="IO150" s="14"/>
      <c r="IP150" s="14"/>
    </row>
    <row r="151" spans="1:250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H151" s="21"/>
      <c r="II151" s="14"/>
      <c r="IJ151" s="15"/>
      <c r="IK151" s="16"/>
      <c r="IL151" s="20"/>
      <c r="IM151" s="14"/>
      <c r="IN151" s="12"/>
      <c r="IO151" s="14"/>
      <c r="IP151" s="14"/>
    </row>
    <row r="152" spans="1:250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H152" s="21"/>
      <c r="II152" s="14"/>
      <c r="IJ152" s="15"/>
      <c r="IK152" s="16"/>
      <c r="IL152" s="20"/>
      <c r="IM152" s="14"/>
      <c r="IN152" s="12"/>
      <c r="IO152" s="14"/>
      <c r="IP152" s="14"/>
    </row>
    <row r="153" spans="1:250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H153" s="21"/>
      <c r="II153" s="14"/>
      <c r="IJ153" s="15"/>
      <c r="IK153" s="16"/>
      <c r="IL153" s="20"/>
      <c r="IM153" s="14"/>
      <c r="IN153" s="12"/>
      <c r="IO153" s="14"/>
      <c r="IP153" s="14"/>
    </row>
    <row r="154" spans="1:250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H154" s="21"/>
      <c r="II154" s="14"/>
      <c r="IJ154" s="15"/>
      <c r="IK154" s="16"/>
      <c r="IL154" s="20"/>
      <c r="IM154" s="14"/>
      <c r="IN154" s="12"/>
      <c r="IO154" s="14"/>
      <c r="IP154" s="14"/>
    </row>
    <row r="155" spans="1:250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H155" s="21"/>
      <c r="II155" s="14"/>
      <c r="IJ155" s="15"/>
      <c r="IK155" s="16"/>
      <c r="IL155" s="20"/>
      <c r="IM155" s="14"/>
      <c r="IN155" s="12"/>
      <c r="IO155" s="14"/>
      <c r="IP155" s="14"/>
    </row>
    <row r="156" spans="1:250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H156" s="21"/>
      <c r="II156" s="14"/>
      <c r="IJ156" s="15"/>
      <c r="IK156" s="16"/>
      <c r="IL156" s="20"/>
      <c r="IM156" s="14"/>
      <c r="IN156" s="12"/>
      <c r="IO156" s="14"/>
      <c r="IP156" s="14"/>
    </row>
    <row r="157" spans="1:250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H157" s="21"/>
      <c r="II157" s="14"/>
      <c r="IJ157" s="15"/>
      <c r="IK157" s="16"/>
      <c r="IL157" s="20"/>
      <c r="IM157" s="14"/>
      <c r="IN157" s="12"/>
      <c r="IO157" s="14"/>
      <c r="IP157" s="14"/>
    </row>
    <row r="158" spans="1:250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H158" s="21"/>
      <c r="II158" s="14"/>
      <c r="IJ158" s="15"/>
      <c r="IK158" s="16"/>
      <c r="IL158" s="20"/>
      <c r="IM158" s="14"/>
      <c r="IN158" s="12"/>
      <c r="IO158" s="14"/>
      <c r="IP158" s="14"/>
    </row>
    <row r="159" spans="1:250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H159" s="21"/>
      <c r="II159" s="14"/>
      <c r="IJ159" s="15"/>
      <c r="IK159" s="16"/>
      <c r="IL159" s="20"/>
      <c r="IM159" s="14"/>
      <c r="IN159" s="12"/>
      <c r="IO159" s="14"/>
      <c r="IP159" s="14"/>
    </row>
    <row r="160" spans="1:250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H160" s="21"/>
      <c r="II160" s="14"/>
      <c r="IJ160" s="15"/>
      <c r="IK160" s="16"/>
      <c r="IL160" s="20"/>
      <c r="IM160" s="14"/>
      <c r="IN160" s="12"/>
      <c r="IO160" s="14"/>
      <c r="IP160" s="14"/>
    </row>
    <row r="161" spans="1:250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H161" s="21"/>
      <c r="II161" s="14"/>
      <c r="IJ161" s="15"/>
      <c r="IK161" s="16"/>
      <c r="IL161" s="20"/>
      <c r="IM161" s="14"/>
      <c r="IN161" s="12"/>
      <c r="IO161" s="14"/>
      <c r="IP161" s="14"/>
    </row>
    <row r="162" spans="1:250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H162" s="21"/>
      <c r="II162" s="14"/>
      <c r="IJ162" s="15"/>
      <c r="IK162" s="16"/>
      <c r="IL162" s="20"/>
      <c r="IM162" s="14"/>
      <c r="IN162" s="12"/>
      <c r="IO162" s="14"/>
      <c r="IP162" s="14"/>
    </row>
    <row r="163" spans="1:250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H163" s="21"/>
      <c r="II163" s="14"/>
      <c r="IJ163" s="15"/>
      <c r="IK163" s="16"/>
      <c r="IL163" s="20"/>
      <c r="IM163" s="14"/>
      <c r="IN163" s="12"/>
      <c r="IO163" s="14"/>
      <c r="IP163" s="14"/>
    </row>
    <row r="164" spans="1:250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H164" s="21"/>
      <c r="II164" s="14"/>
      <c r="IJ164" s="15"/>
      <c r="IK164" s="16"/>
      <c r="IL164" s="20"/>
      <c r="IM164" s="14"/>
      <c r="IN164" s="12"/>
      <c r="IO164" s="14"/>
      <c r="IP164" s="14"/>
    </row>
    <row r="165" spans="1:250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H165" s="21"/>
      <c r="II165" s="14"/>
      <c r="IJ165" s="15"/>
      <c r="IK165" s="16"/>
      <c r="IL165" s="20"/>
      <c r="IM165" s="14"/>
      <c r="IN165" s="12"/>
      <c r="IO165" s="14"/>
      <c r="IP165" s="14"/>
    </row>
    <row r="166" spans="1:250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H166" s="21"/>
      <c r="II166" s="14"/>
      <c r="IJ166" s="15"/>
      <c r="IK166" s="16"/>
      <c r="IL166" s="20"/>
      <c r="IM166" s="14"/>
      <c r="IN166" s="12"/>
      <c r="IO166" s="14"/>
      <c r="IP166" s="14"/>
    </row>
    <row r="167" spans="1:250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H167" s="21"/>
      <c r="II167" s="14"/>
      <c r="IJ167" s="15"/>
      <c r="IK167" s="16"/>
      <c r="IL167" s="20"/>
      <c r="IM167" s="14"/>
      <c r="IN167" s="12"/>
      <c r="IO167" s="14"/>
      <c r="IP167" s="14"/>
    </row>
    <row r="168" spans="1:250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H168" s="21"/>
      <c r="II168" s="14"/>
      <c r="IJ168" s="15"/>
      <c r="IK168" s="16"/>
      <c r="IL168" s="20"/>
      <c r="IM168" s="14"/>
      <c r="IN168" s="12"/>
      <c r="IO168" s="14"/>
      <c r="IP168" s="14"/>
    </row>
    <row r="169" spans="1:250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H169" s="21"/>
      <c r="II169" s="14"/>
      <c r="IJ169" s="15"/>
      <c r="IK169" s="16"/>
      <c r="IL169" s="20"/>
      <c r="IM169" s="14"/>
      <c r="IN169" s="12"/>
      <c r="IO169" s="14"/>
      <c r="IP169" s="14"/>
    </row>
    <row r="170" spans="1:250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H170" s="21"/>
      <c r="II170" s="14"/>
      <c r="IJ170" s="15"/>
      <c r="IK170" s="16"/>
      <c r="IL170" s="20"/>
      <c r="IM170" s="14"/>
      <c r="IN170" s="12"/>
      <c r="IO170" s="14"/>
      <c r="IP170" s="14"/>
    </row>
    <row r="171" spans="1:250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H171" s="21"/>
      <c r="II171" s="14"/>
      <c r="IJ171" s="15"/>
      <c r="IK171" s="16"/>
      <c r="IL171" s="20"/>
      <c r="IM171" s="14"/>
      <c r="IN171" s="12"/>
      <c r="IO171" s="14"/>
      <c r="IP171" s="14"/>
    </row>
    <row r="172" spans="1:250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H172" s="21"/>
      <c r="II172" s="14"/>
      <c r="IJ172" s="15"/>
      <c r="IK172" s="16"/>
      <c r="IL172" s="20"/>
      <c r="IM172" s="14"/>
      <c r="IN172" s="12"/>
      <c r="IO172" s="14"/>
      <c r="IP172" s="14"/>
    </row>
    <row r="173" spans="1:250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H173" s="21"/>
      <c r="II173" s="14"/>
      <c r="IJ173" s="15"/>
      <c r="IK173" s="16"/>
      <c r="IL173" s="20"/>
      <c r="IM173" s="14"/>
      <c r="IN173" s="12"/>
      <c r="IO173" s="14"/>
      <c r="IP173" s="14"/>
    </row>
    <row r="174" spans="1:250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H174" s="21"/>
      <c r="II174" s="14"/>
      <c r="IJ174" s="15"/>
      <c r="IK174" s="16"/>
      <c r="IL174" s="20"/>
      <c r="IM174" s="14"/>
      <c r="IN174" s="12"/>
      <c r="IO174" s="14"/>
      <c r="IP174" s="14"/>
    </row>
    <row r="175" spans="1:250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H175" s="21"/>
      <c r="II175" s="14"/>
      <c r="IJ175" s="15"/>
      <c r="IK175" s="16"/>
      <c r="IL175" s="20"/>
      <c r="IM175" s="14"/>
      <c r="IN175" s="12"/>
      <c r="IO175" s="14"/>
      <c r="IP175" s="14"/>
    </row>
    <row r="176" spans="1:250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H176" s="21"/>
      <c r="II176" s="14"/>
      <c r="IJ176" s="15"/>
      <c r="IK176" s="16"/>
      <c r="IL176" s="20"/>
      <c r="IM176" s="14"/>
      <c r="IN176" s="12"/>
      <c r="IO176" s="14"/>
      <c r="IP176" s="14"/>
    </row>
    <row r="177" spans="1:250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H177" s="21"/>
      <c r="II177" s="14"/>
      <c r="IJ177" s="15"/>
      <c r="IK177" s="16"/>
      <c r="IL177" s="20"/>
      <c r="IM177" s="14"/>
      <c r="IN177" s="12"/>
      <c r="IO177" s="14"/>
      <c r="IP177" s="14"/>
    </row>
    <row r="178" spans="1:250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H178" s="21"/>
      <c r="II178" s="14"/>
      <c r="IJ178" s="15"/>
      <c r="IK178" s="16"/>
      <c r="IL178" s="20"/>
      <c r="IM178" s="14"/>
      <c r="IN178" s="12"/>
      <c r="IO178" s="14"/>
      <c r="IP178" s="14"/>
    </row>
    <row r="179" spans="1:250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H179" s="21"/>
      <c r="II179" s="14"/>
      <c r="IJ179" s="15"/>
      <c r="IK179" s="16"/>
      <c r="IL179" s="20"/>
      <c r="IM179" s="14"/>
      <c r="IN179" s="12"/>
      <c r="IO179" s="14"/>
      <c r="IP179" s="14"/>
    </row>
    <row r="180" spans="1:250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H180" s="21"/>
      <c r="II180" s="14"/>
      <c r="IJ180" s="15"/>
      <c r="IK180" s="16"/>
      <c r="IL180" s="20"/>
      <c r="IM180" s="14"/>
      <c r="IN180" s="12"/>
      <c r="IO180" s="14"/>
      <c r="IP180" s="14"/>
    </row>
    <row r="181" spans="1:250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H181" s="21"/>
      <c r="II181" s="14"/>
      <c r="IJ181" s="15"/>
      <c r="IK181" s="16"/>
      <c r="IL181" s="20"/>
      <c r="IM181" s="14"/>
      <c r="IN181" s="12"/>
      <c r="IO181" s="14"/>
      <c r="IP181" s="14"/>
    </row>
    <row r="182" spans="1:250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H182" s="21"/>
      <c r="II182" s="14"/>
      <c r="IJ182" s="15"/>
      <c r="IK182" s="16"/>
      <c r="IL182" s="20"/>
      <c r="IM182" s="14"/>
      <c r="IN182" s="12"/>
      <c r="IO182" s="14"/>
      <c r="IP182" s="14"/>
    </row>
    <row r="183" spans="1:250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H183" s="21"/>
      <c r="II183" s="14"/>
      <c r="IJ183" s="15"/>
      <c r="IK183" s="16"/>
      <c r="IL183" s="20"/>
      <c r="IM183" s="14"/>
      <c r="IN183" s="12"/>
      <c r="IO183" s="14"/>
      <c r="IP183" s="14"/>
    </row>
    <row r="184" spans="1:250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H184" s="21"/>
      <c r="II184" s="14"/>
      <c r="IJ184" s="15"/>
      <c r="IK184" s="16"/>
      <c r="IL184" s="20"/>
      <c r="IM184" s="14"/>
      <c r="IN184" s="12"/>
      <c r="IO184" s="14"/>
      <c r="IP184" s="14"/>
    </row>
    <row r="185" spans="1:250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H185" s="21"/>
      <c r="II185" s="14"/>
      <c r="IJ185" s="15"/>
      <c r="IK185" s="16"/>
      <c r="IL185" s="20"/>
      <c r="IM185" s="14"/>
      <c r="IN185" s="12"/>
      <c r="IO185" s="14"/>
      <c r="IP185" s="14"/>
    </row>
    <row r="186" spans="1:250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H186" s="21"/>
      <c r="II186" s="14"/>
      <c r="IJ186" s="15"/>
      <c r="IK186" s="16"/>
      <c r="IL186" s="20"/>
      <c r="IM186" s="14"/>
      <c r="IN186" s="12"/>
      <c r="IO186" s="14"/>
      <c r="IP186" s="14"/>
    </row>
    <row r="187" spans="1:250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H187" s="21"/>
      <c r="II187" s="14"/>
      <c r="IJ187" s="15"/>
      <c r="IK187" s="16"/>
      <c r="IL187" s="20"/>
      <c r="IM187" s="14"/>
      <c r="IN187" s="12"/>
      <c r="IO187" s="14"/>
      <c r="IP187" s="14"/>
    </row>
    <row r="188" spans="1:250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H188" s="21"/>
      <c r="II188" s="14"/>
      <c r="IJ188" s="15"/>
      <c r="IK188" s="16"/>
      <c r="IL188" s="20"/>
      <c r="IM188" s="14"/>
      <c r="IN188" s="12"/>
      <c r="IO188" s="14"/>
      <c r="IP188" s="14"/>
    </row>
    <row r="189" spans="1:250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H189" s="21"/>
      <c r="II189" s="14"/>
      <c r="IJ189" s="15"/>
      <c r="IK189" s="16"/>
      <c r="IL189" s="20"/>
      <c r="IM189" s="14"/>
      <c r="IN189" s="12"/>
      <c r="IO189" s="14"/>
      <c r="IP189" s="14"/>
    </row>
    <row r="190" spans="1:250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H190" s="21"/>
      <c r="II190" s="14"/>
      <c r="IJ190" s="15"/>
      <c r="IK190" s="16"/>
      <c r="IL190" s="20"/>
      <c r="IM190" s="14"/>
      <c r="IN190" s="12"/>
      <c r="IO190" s="14"/>
      <c r="IP190" s="14"/>
    </row>
    <row r="191" spans="1:250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H191" s="21"/>
      <c r="II191" s="14"/>
      <c r="IJ191" s="15"/>
      <c r="IK191" s="16"/>
      <c r="IL191" s="20"/>
      <c r="IM191" s="14"/>
      <c r="IN191" s="12"/>
      <c r="IO191" s="14"/>
      <c r="IP191" s="14"/>
    </row>
    <row r="192" spans="1:250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H192" s="21"/>
      <c r="II192" s="14"/>
      <c r="IJ192" s="15"/>
      <c r="IK192" s="16"/>
      <c r="IL192" s="20"/>
      <c r="IM192" s="14"/>
      <c r="IN192" s="12"/>
      <c r="IO192" s="14"/>
      <c r="IP192" s="14"/>
    </row>
    <row r="193" spans="1:250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2"/>
      <c r="HB193" s="2"/>
      <c r="HC193" s="2"/>
      <c r="HD193" s="2"/>
      <c r="HE193" s="2"/>
      <c r="HF193" s="2"/>
      <c r="HG193" s="2"/>
      <c r="HH193" s="2"/>
      <c r="HI193" s="2"/>
      <c r="HJ193" s="2"/>
      <c r="HK193" s="2"/>
      <c r="HL193" s="2"/>
      <c r="HM193" s="2"/>
      <c r="HN193" s="2"/>
      <c r="HO193" s="2"/>
      <c r="HP193" s="2"/>
      <c r="HQ193" s="2"/>
      <c r="HR193" s="2"/>
      <c r="HS193" s="2"/>
      <c r="HT193" s="2"/>
      <c r="HU193" s="2"/>
      <c r="HV193" s="2"/>
      <c r="HW193" s="2"/>
      <c r="HX193" s="2"/>
      <c r="HY193" s="2"/>
      <c r="HZ193" s="2"/>
      <c r="IA193" s="2"/>
      <c r="IB193" s="2"/>
      <c r="IC193" s="2"/>
      <c r="IH193" s="21"/>
      <c r="II193" s="14"/>
      <c r="IJ193" s="15"/>
      <c r="IK193" s="16"/>
      <c r="IL193" s="20"/>
      <c r="IM193" s="14"/>
      <c r="IN193" s="12"/>
      <c r="IO193" s="14"/>
      <c r="IP193" s="14"/>
    </row>
    <row r="194" spans="1:250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2"/>
      <c r="HB194" s="2"/>
      <c r="HC194" s="2"/>
      <c r="HD194" s="2"/>
      <c r="HE194" s="2"/>
      <c r="HF194" s="2"/>
      <c r="HG194" s="2"/>
      <c r="HH194" s="2"/>
      <c r="HI194" s="2"/>
      <c r="HJ194" s="2"/>
      <c r="HK194" s="2"/>
      <c r="HL194" s="2"/>
      <c r="HM194" s="2"/>
      <c r="HN194" s="2"/>
      <c r="HO194" s="2"/>
      <c r="HP194" s="2"/>
      <c r="HQ194" s="2"/>
      <c r="HR194" s="2"/>
      <c r="HS194" s="2"/>
      <c r="HT194" s="2"/>
      <c r="HU194" s="2"/>
      <c r="HV194" s="2"/>
      <c r="HW194" s="2"/>
      <c r="HX194" s="2"/>
      <c r="HY194" s="2"/>
      <c r="HZ194" s="2"/>
      <c r="IA194" s="2"/>
      <c r="IB194" s="2"/>
      <c r="IC194" s="2"/>
      <c r="IH194" s="21"/>
      <c r="II194" s="14"/>
      <c r="IJ194" s="15"/>
      <c r="IK194" s="16"/>
      <c r="IL194" s="20"/>
      <c r="IM194" s="14"/>
      <c r="IN194" s="12"/>
      <c r="IO194" s="14"/>
      <c r="IP194" s="14"/>
    </row>
    <row r="195" spans="1:250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2"/>
      <c r="GV195" s="2"/>
      <c r="GW195" s="2"/>
      <c r="GX195" s="2"/>
      <c r="GY195" s="2"/>
      <c r="GZ195" s="2"/>
      <c r="HA195" s="2"/>
      <c r="HB195" s="2"/>
      <c r="HC195" s="2"/>
      <c r="HD195" s="2"/>
      <c r="HE195" s="2"/>
      <c r="HF195" s="2"/>
      <c r="HG195" s="2"/>
      <c r="HH195" s="2"/>
      <c r="HI195" s="2"/>
      <c r="HJ195" s="2"/>
      <c r="HK195" s="2"/>
      <c r="HL195" s="2"/>
      <c r="HM195" s="2"/>
      <c r="HN195" s="2"/>
      <c r="HO195" s="2"/>
      <c r="HP195" s="2"/>
      <c r="HQ195" s="2"/>
      <c r="HR195" s="2"/>
      <c r="HS195" s="2"/>
      <c r="HT195" s="2"/>
      <c r="HU195" s="2"/>
      <c r="HV195" s="2"/>
      <c r="HW195" s="2"/>
      <c r="HX195" s="2"/>
      <c r="HY195" s="2"/>
      <c r="HZ195" s="2"/>
      <c r="IA195" s="2"/>
      <c r="IB195" s="2"/>
      <c r="IC195" s="2"/>
      <c r="IH195" s="21"/>
      <c r="II195" s="14"/>
      <c r="IJ195" s="15"/>
      <c r="IK195" s="16"/>
      <c r="IL195" s="20"/>
      <c r="IM195" s="14"/>
      <c r="IN195" s="12"/>
      <c r="IO195" s="14"/>
      <c r="IP195" s="14"/>
    </row>
    <row r="196" spans="1:250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2"/>
      <c r="GV196" s="2"/>
      <c r="GW196" s="2"/>
      <c r="GX196" s="2"/>
      <c r="GY196" s="2"/>
      <c r="GZ196" s="2"/>
      <c r="HA196" s="2"/>
      <c r="HB196" s="2"/>
      <c r="HC196" s="2"/>
      <c r="HD196" s="2"/>
      <c r="HE196" s="2"/>
      <c r="HF196" s="2"/>
      <c r="HG196" s="2"/>
      <c r="HH196" s="2"/>
      <c r="HI196" s="2"/>
      <c r="HJ196" s="2"/>
      <c r="HK196" s="2"/>
      <c r="HL196" s="2"/>
      <c r="HM196" s="2"/>
      <c r="HN196" s="2"/>
      <c r="HO196" s="2"/>
      <c r="HP196" s="2"/>
      <c r="HQ196" s="2"/>
      <c r="HR196" s="2"/>
      <c r="HS196" s="2"/>
      <c r="HT196" s="2"/>
      <c r="HU196" s="2"/>
      <c r="HV196" s="2"/>
      <c r="HW196" s="2"/>
      <c r="HX196" s="2"/>
      <c r="HY196" s="2"/>
      <c r="HZ196" s="2"/>
      <c r="IA196" s="2"/>
      <c r="IB196" s="2"/>
      <c r="IC196" s="2"/>
      <c r="IH196" s="21"/>
      <c r="II196" s="14"/>
      <c r="IJ196" s="15"/>
      <c r="IK196" s="16"/>
      <c r="IL196" s="20"/>
      <c r="IM196" s="14"/>
      <c r="IN196" s="12"/>
      <c r="IO196" s="14"/>
      <c r="IP196" s="14"/>
    </row>
    <row r="197" spans="1:250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  <c r="GY197" s="2"/>
      <c r="GZ197" s="2"/>
      <c r="HA197" s="2"/>
      <c r="HB197" s="2"/>
      <c r="HC197" s="2"/>
      <c r="HD197" s="2"/>
      <c r="HE197" s="2"/>
      <c r="HF197" s="2"/>
      <c r="HG197" s="2"/>
      <c r="HH197" s="2"/>
      <c r="HI197" s="2"/>
      <c r="HJ197" s="2"/>
      <c r="HK197" s="2"/>
      <c r="HL197" s="2"/>
      <c r="HM197" s="2"/>
      <c r="HN197" s="2"/>
      <c r="HO197" s="2"/>
      <c r="HP197" s="2"/>
      <c r="HQ197" s="2"/>
      <c r="HR197" s="2"/>
      <c r="HS197" s="2"/>
      <c r="HT197" s="2"/>
      <c r="HU197" s="2"/>
      <c r="HV197" s="2"/>
      <c r="HW197" s="2"/>
      <c r="HX197" s="2"/>
      <c r="HY197" s="2"/>
      <c r="HZ197" s="2"/>
      <c r="IA197" s="2"/>
      <c r="IB197" s="2"/>
      <c r="IC197" s="2"/>
      <c r="IH197" s="21"/>
      <c r="II197" s="14"/>
      <c r="IJ197" s="15"/>
      <c r="IK197" s="16"/>
      <c r="IL197" s="20"/>
      <c r="IM197" s="14"/>
      <c r="IN197" s="12"/>
      <c r="IO197" s="14"/>
      <c r="IP197" s="14"/>
    </row>
    <row r="198" spans="1:250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2"/>
      <c r="GV198" s="2"/>
      <c r="GW198" s="2"/>
      <c r="GX198" s="2"/>
      <c r="GY198" s="2"/>
      <c r="GZ198" s="2"/>
      <c r="HA198" s="2"/>
      <c r="HB198" s="2"/>
      <c r="HC198" s="2"/>
      <c r="HD198" s="2"/>
      <c r="HE198" s="2"/>
      <c r="HF198" s="2"/>
      <c r="HG198" s="2"/>
      <c r="HH198" s="2"/>
      <c r="HI198" s="2"/>
      <c r="HJ198" s="2"/>
      <c r="HK198" s="2"/>
      <c r="HL198" s="2"/>
      <c r="HM198" s="2"/>
      <c r="HN198" s="2"/>
      <c r="HO198" s="2"/>
      <c r="HP198" s="2"/>
      <c r="HQ198" s="2"/>
      <c r="HR198" s="2"/>
      <c r="HS198" s="2"/>
      <c r="HT198" s="2"/>
      <c r="HU198" s="2"/>
      <c r="HV198" s="2"/>
      <c r="HW198" s="2"/>
      <c r="HX198" s="2"/>
      <c r="HY198" s="2"/>
      <c r="HZ198" s="2"/>
      <c r="IA198" s="2"/>
      <c r="IB198" s="2"/>
      <c r="IC198" s="2"/>
      <c r="IH198" s="21"/>
      <c r="II198" s="14"/>
      <c r="IJ198" s="15"/>
      <c r="IK198" s="16"/>
      <c r="IL198" s="20"/>
      <c r="IM198" s="14"/>
      <c r="IN198" s="12"/>
      <c r="IO198" s="14"/>
      <c r="IP198" s="14"/>
    </row>
    <row r="199" spans="1:250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2"/>
      <c r="GV199" s="2"/>
      <c r="GW199" s="2"/>
      <c r="GX199" s="2"/>
      <c r="GY199" s="2"/>
      <c r="GZ199" s="2"/>
      <c r="HA199" s="2"/>
      <c r="HB199" s="2"/>
      <c r="HC199" s="2"/>
      <c r="HD199" s="2"/>
      <c r="HE199" s="2"/>
      <c r="HF199" s="2"/>
      <c r="HG199" s="2"/>
      <c r="HH199" s="2"/>
      <c r="HI199" s="2"/>
      <c r="HJ199" s="2"/>
      <c r="HK199" s="2"/>
      <c r="HL199" s="2"/>
      <c r="HM199" s="2"/>
      <c r="HN199" s="2"/>
      <c r="HO199" s="2"/>
      <c r="HP199" s="2"/>
      <c r="HQ199" s="2"/>
      <c r="HR199" s="2"/>
      <c r="HS199" s="2"/>
      <c r="HT199" s="2"/>
      <c r="HU199" s="2"/>
      <c r="HV199" s="2"/>
      <c r="HW199" s="2"/>
      <c r="HX199" s="2"/>
      <c r="HY199" s="2"/>
      <c r="HZ199" s="2"/>
      <c r="IA199" s="2"/>
      <c r="IB199" s="2"/>
      <c r="IC199" s="2"/>
      <c r="IH199" s="21"/>
      <c r="II199" s="14"/>
      <c r="IJ199" s="15"/>
      <c r="IK199" s="16"/>
      <c r="IL199" s="20"/>
      <c r="IM199" s="14"/>
      <c r="IN199" s="12"/>
      <c r="IO199" s="14"/>
      <c r="IP199" s="14"/>
    </row>
    <row r="200" spans="1:250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  <c r="GY200" s="2"/>
      <c r="GZ200" s="2"/>
      <c r="HA200" s="2"/>
      <c r="HB200" s="2"/>
      <c r="HC200" s="2"/>
      <c r="HD200" s="2"/>
      <c r="HE200" s="2"/>
      <c r="HF200" s="2"/>
      <c r="HG200" s="2"/>
      <c r="HH200" s="2"/>
      <c r="HI200" s="2"/>
      <c r="HJ200" s="2"/>
      <c r="HK200" s="2"/>
      <c r="HL200" s="2"/>
      <c r="HM200" s="2"/>
      <c r="HN200" s="2"/>
      <c r="HO200" s="2"/>
      <c r="HP200" s="2"/>
      <c r="HQ200" s="2"/>
      <c r="HR200" s="2"/>
      <c r="HS200" s="2"/>
      <c r="HT200" s="2"/>
      <c r="HU200" s="2"/>
      <c r="HV200" s="2"/>
      <c r="HW200" s="2"/>
      <c r="HX200" s="2"/>
      <c r="HY200" s="2"/>
      <c r="HZ200" s="2"/>
      <c r="IA200" s="2"/>
      <c r="IB200" s="2"/>
      <c r="IC200" s="2"/>
      <c r="IH200" s="21"/>
      <c r="II200" s="14"/>
      <c r="IJ200" s="15"/>
      <c r="IK200" s="16"/>
      <c r="IL200" s="20"/>
      <c r="IM200" s="14"/>
      <c r="IN200" s="12"/>
      <c r="IO200" s="14"/>
      <c r="IP200" s="14"/>
    </row>
    <row r="201" spans="1:250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GS201" s="2"/>
      <c r="GT201" s="2"/>
      <c r="GU201" s="2"/>
      <c r="GV201" s="2"/>
      <c r="GW201" s="2"/>
      <c r="GX201" s="2"/>
      <c r="GY201" s="2"/>
      <c r="GZ201" s="2"/>
      <c r="HA201" s="2"/>
      <c r="HB201" s="2"/>
      <c r="HC201" s="2"/>
      <c r="HD201" s="2"/>
      <c r="HE201" s="2"/>
      <c r="HF201" s="2"/>
      <c r="HG201" s="2"/>
      <c r="HH201" s="2"/>
      <c r="HI201" s="2"/>
      <c r="HJ201" s="2"/>
      <c r="HK201" s="2"/>
      <c r="HL201" s="2"/>
      <c r="HM201" s="2"/>
      <c r="HN201" s="2"/>
      <c r="HO201" s="2"/>
      <c r="HP201" s="2"/>
      <c r="HQ201" s="2"/>
      <c r="HR201" s="2"/>
      <c r="HS201" s="2"/>
      <c r="HT201" s="2"/>
      <c r="HU201" s="2"/>
      <c r="HV201" s="2"/>
      <c r="HW201" s="2"/>
      <c r="HX201" s="2"/>
      <c r="HY201" s="2"/>
      <c r="HZ201" s="2"/>
      <c r="IA201" s="2"/>
      <c r="IB201" s="2"/>
      <c r="IC201" s="2"/>
      <c r="IH201" s="21"/>
      <c r="II201" s="14"/>
      <c r="IJ201" s="15"/>
      <c r="IK201" s="16"/>
      <c r="IL201" s="20"/>
      <c r="IM201" s="14"/>
      <c r="IN201" s="12"/>
      <c r="IO201" s="14"/>
      <c r="IP201" s="14"/>
    </row>
    <row r="202" spans="1:250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2"/>
      <c r="GV202" s="2"/>
      <c r="GW202" s="2"/>
      <c r="GX202" s="2"/>
      <c r="GY202" s="2"/>
      <c r="GZ202" s="2"/>
      <c r="HA202" s="2"/>
      <c r="HB202" s="2"/>
      <c r="HC202" s="2"/>
      <c r="HD202" s="2"/>
      <c r="HE202" s="2"/>
      <c r="HF202" s="2"/>
      <c r="HG202" s="2"/>
      <c r="HH202" s="2"/>
      <c r="HI202" s="2"/>
      <c r="HJ202" s="2"/>
      <c r="HK202" s="2"/>
      <c r="HL202" s="2"/>
      <c r="HM202" s="2"/>
      <c r="HN202" s="2"/>
      <c r="HO202" s="2"/>
      <c r="HP202" s="2"/>
      <c r="HQ202" s="2"/>
      <c r="HR202" s="2"/>
      <c r="HS202" s="2"/>
      <c r="HT202" s="2"/>
      <c r="HU202" s="2"/>
      <c r="HV202" s="2"/>
      <c r="HW202" s="2"/>
      <c r="HX202" s="2"/>
      <c r="HY202" s="2"/>
      <c r="HZ202" s="2"/>
      <c r="IA202" s="2"/>
      <c r="IB202" s="2"/>
      <c r="IC202" s="2"/>
      <c r="IH202" s="21"/>
      <c r="II202" s="14"/>
      <c r="IJ202" s="15"/>
      <c r="IK202" s="16"/>
      <c r="IL202" s="20"/>
      <c r="IM202" s="14"/>
      <c r="IN202" s="12"/>
      <c r="IO202" s="14"/>
      <c r="IP202" s="14"/>
    </row>
    <row r="203" spans="1:250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2"/>
      <c r="GV203" s="2"/>
      <c r="GW203" s="2"/>
      <c r="GX203" s="2"/>
      <c r="GY203" s="2"/>
      <c r="GZ203" s="2"/>
      <c r="HA203" s="2"/>
      <c r="HB203" s="2"/>
      <c r="HC203" s="2"/>
      <c r="HD203" s="2"/>
      <c r="HE203" s="2"/>
      <c r="HF203" s="2"/>
      <c r="HG203" s="2"/>
      <c r="HH203" s="2"/>
      <c r="HI203" s="2"/>
      <c r="HJ203" s="2"/>
      <c r="HK203" s="2"/>
      <c r="HL203" s="2"/>
      <c r="HM203" s="2"/>
      <c r="HN203" s="2"/>
      <c r="HO203" s="2"/>
      <c r="HP203" s="2"/>
      <c r="HQ203" s="2"/>
      <c r="HR203" s="2"/>
      <c r="HS203" s="2"/>
      <c r="HT203" s="2"/>
      <c r="HU203" s="2"/>
      <c r="HV203" s="2"/>
      <c r="HW203" s="2"/>
      <c r="HX203" s="2"/>
      <c r="HY203" s="2"/>
      <c r="HZ203" s="2"/>
      <c r="IA203" s="2"/>
      <c r="IB203" s="2"/>
      <c r="IC203" s="2"/>
      <c r="IH203" s="21"/>
      <c r="II203" s="14"/>
      <c r="IJ203" s="15"/>
      <c r="IK203" s="16"/>
      <c r="IL203" s="20"/>
      <c r="IM203" s="14"/>
      <c r="IN203" s="12"/>
      <c r="IO203" s="14"/>
      <c r="IP203" s="14"/>
    </row>
    <row r="204" spans="1:250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2"/>
      <c r="GV204" s="2"/>
      <c r="GW204" s="2"/>
      <c r="GX204" s="2"/>
      <c r="GY204" s="2"/>
      <c r="GZ204" s="2"/>
      <c r="HA204" s="2"/>
      <c r="HB204" s="2"/>
      <c r="HC204" s="2"/>
      <c r="HD204" s="2"/>
      <c r="HE204" s="2"/>
      <c r="HF204" s="2"/>
      <c r="HG204" s="2"/>
      <c r="HH204" s="2"/>
      <c r="HI204" s="2"/>
      <c r="HJ204" s="2"/>
      <c r="HK204" s="2"/>
      <c r="HL204" s="2"/>
      <c r="HM204" s="2"/>
      <c r="HN204" s="2"/>
      <c r="HO204" s="2"/>
      <c r="HP204" s="2"/>
      <c r="HQ204" s="2"/>
      <c r="HR204" s="2"/>
      <c r="HS204" s="2"/>
      <c r="HT204" s="2"/>
      <c r="HU204" s="2"/>
      <c r="HV204" s="2"/>
      <c r="HW204" s="2"/>
      <c r="HX204" s="2"/>
      <c r="HY204" s="2"/>
      <c r="HZ204" s="2"/>
      <c r="IA204" s="2"/>
      <c r="IB204" s="2"/>
      <c r="IC204" s="2"/>
      <c r="IH204" s="21"/>
      <c r="II204" s="14"/>
      <c r="IJ204" s="15"/>
      <c r="IK204" s="16"/>
      <c r="IL204" s="20"/>
      <c r="IM204" s="14"/>
      <c r="IN204" s="12"/>
      <c r="IO204" s="14"/>
      <c r="IP204" s="14"/>
    </row>
    <row r="205" spans="1:250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2"/>
      <c r="GV205" s="2"/>
      <c r="GW205" s="2"/>
      <c r="GX205" s="2"/>
      <c r="GY205" s="2"/>
      <c r="GZ205" s="2"/>
      <c r="HA205" s="2"/>
      <c r="HB205" s="2"/>
      <c r="HC205" s="2"/>
      <c r="HD205" s="2"/>
      <c r="HE205" s="2"/>
      <c r="HF205" s="2"/>
      <c r="HG205" s="2"/>
      <c r="HH205" s="2"/>
      <c r="HI205" s="2"/>
      <c r="HJ205" s="2"/>
      <c r="HK205" s="2"/>
      <c r="HL205" s="2"/>
      <c r="HM205" s="2"/>
      <c r="HN205" s="2"/>
      <c r="HO205" s="2"/>
      <c r="HP205" s="2"/>
      <c r="HQ205" s="2"/>
      <c r="HR205" s="2"/>
      <c r="HS205" s="2"/>
      <c r="HT205" s="2"/>
      <c r="HU205" s="2"/>
      <c r="HV205" s="2"/>
      <c r="HW205" s="2"/>
      <c r="HX205" s="2"/>
      <c r="HY205" s="2"/>
      <c r="HZ205" s="2"/>
      <c r="IA205" s="2"/>
      <c r="IB205" s="2"/>
      <c r="IC205" s="2"/>
      <c r="IH205" s="21"/>
      <c r="II205" s="14"/>
      <c r="IJ205" s="15"/>
      <c r="IK205" s="16"/>
      <c r="IL205" s="20"/>
      <c r="IM205" s="14"/>
      <c r="IN205" s="19"/>
      <c r="IO205" s="14"/>
      <c r="IP205" s="14"/>
    </row>
    <row r="206" spans="1:250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GS206" s="2"/>
      <c r="GT206" s="2"/>
      <c r="GU206" s="2"/>
      <c r="GV206" s="2"/>
      <c r="GW206" s="2"/>
      <c r="GX206" s="2"/>
      <c r="GY206" s="2"/>
      <c r="GZ206" s="2"/>
      <c r="HA206" s="2"/>
      <c r="HB206" s="2"/>
      <c r="HC206" s="2"/>
      <c r="HD206" s="2"/>
      <c r="HE206" s="2"/>
      <c r="HF206" s="2"/>
      <c r="HG206" s="2"/>
      <c r="HH206" s="2"/>
      <c r="HI206" s="2"/>
      <c r="HJ206" s="2"/>
      <c r="HK206" s="2"/>
      <c r="HL206" s="2"/>
      <c r="HM206" s="2"/>
      <c r="HN206" s="2"/>
      <c r="HO206" s="2"/>
      <c r="HP206" s="2"/>
      <c r="HQ206" s="2"/>
      <c r="HR206" s="2"/>
      <c r="HS206" s="2"/>
      <c r="HT206" s="2"/>
      <c r="HU206" s="2"/>
      <c r="HV206" s="2"/>
      <c r="HW206" s="2"/>
      <c r="HX206" s="2"/>
      <c r="HY206" s="2"/>
      <c r="HZ206" s="2"/>
      <c r="IA206" s="2"/>
      <c r="IB206" s="2"/>
      <c r="IC206" s="2"/>
      <c r="IH206" s="21"/>
      <c r="II206" s="14"/>
      <c r="IJ206" s="15"/>
      <c r="IK206" s="16"/>
      <c r="IL206" s="20"/>
      <c r="IM206" s="14"/>
      <c r="IN206" s="19"/>
      <c r="IO206" s="14"/>
      <c r="IP206" s="14"/>
    </row>
    <row r="207" spans="1:250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2"/>
      <c r="GV207" s="2"/>
      <c r="GW207" s="2"/>
      <c r="GX207" s="2"/>
      <c r="GY207" s="2"/>
      <c r="GZ207" s="2"/>
      <c r="HA207" s="2"/>
      <c r="HB207" s="2"/>
      <c r="HC207" s="2"/>
      <c r="HD207" s="2"/>
      <c r="HE207" s="2"/>
      <c r="HF207" s="2"/>
      <c r="HG207" s="2"/>
      <c r="HH207" s="2"/>
      <c r="HI207" s="2"/>
      <c r="HJ207" s="2"/>
      <c r="HK207" s="2"/>
      <c r="HL207" s="2"/>
      <c r="HM207" s="2"/>
      <c r="HN207" s="2"/>
      <c r="HO207" s="2"/>
      <c r="HP207" s="2"/>
      <c r="HQ207" s="2"/>
      <c r="HR207" s="2"/>
      <c r="HS207" s="2"/>
      <c r="HT207" s="2"/>
      <c r="HU207" s="2"/>
      <c r="HV207" s="2"/>
      <c r="HW207" s="2"/>
      <c r="HX207" s="2"/>
      <c r="HY207" s="2"/>
      <c r="HZ207" s="2"/>
      <c r="IA207" s="2"/>
      <c r="IB207" s="2"/>
      <c r="IC207" s="2"/>
      <c r="IH207" s="21"/>
      <c r="II207" s="14"/>
      <c r="IJ207" s="15"/>
      <c r="IK207" s="16"/>
      <c r="IL207" s="20"/>
      <c r="IM207" s="14"/>
      <c r="IN207" s="12"/>
      <c r="IO207" s="14"/>
      <c r="IP207" s="14"/>
    </row>
    <row r="208" spans="1:250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GS208" s="2"/>
      <c r="GT208" s="2"/>
      <c r="GU208" s="2"/>
      <c r="GV208" s="2"/>
      <c r="GW208" s="2"/>
      <c r="GX208" s="2"/>
      <c r="GY208" s="2"/>
      <c r="GZ208" s="2"/>
      <c r="HA208" s="2"/>
      <c r="HB208" s="2"/>
      <c r="HC208" s="2"/>
      <c r="HD208" s="2"/>
      <c r="HE208" s="2"/>
      <c r="HF208" s="2"/>
      <c r="HG208" s="2"/>
      <c r="HH208" s="2"/>
      <c r="HI208" s="2"/>
      <c r="HJ208" s="2"/>
      <c r="HK208" s="2"/>
      <c r="HL208" s="2"/>
      <c r="HM208" s="2"/>
      <c r="HN208" s="2"/>
      <c r="HO208" s="2"/>
      <c r="HP208" s="2"/>
      <c r="HQ208" s="2"/>
      <c r="HR208" s="2"/>
      <c r="HS208" s="2"/>
      <c r="HT208" s="2"/>
      <c r="HU208" s="2"/>
      <c r="HV208" s="2"/>
      <c r="HW208" s="2"/>
      <c r="HX208" s="2"/>
      <c r="HY208" s="2"/>
      <c r="HZ208" s="2"/>
      <c r="IA208" s="2"/>
      <c r="IB208" s="2"/>
      <c r="IC208" s="2"/>
      <c r="IH208" s="21"/>
      <c r="II208" s="14"/>
      <c r="IJ208" s="15"/>
      <c r="IK208" s="16"/>
      <c r="IL208" s="20"/>
      <c r="IM208" s="14"/>
      <c r="IN208" s="12"/>
      <c r="IO208" s="14"/>
      <c r="IP208" s="14"/>
    </row>
    <row r="209" spans="1:250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2"/>
      <c r="GV209" s="2"/>
      <c r="GW209" s="2"/>
      <c r="GX209" s="2"/>
      <c r="GY209" s="2"/>
      <c r="GZ209" s="2"/>
      <c r="HA209" s="2"/>
      <c r="HB209" s="2"/>
      <c r="HC209" s="2"/>
      <c r="HD209" s="2"/>
      <c r="HE209" s="2"/>
      <c r="HF209" s="2"/>
      <c r="HG209" s="2"/>
      <c r="HH209" s="2"/>
      <c r="HI209" s="2"/>
      <c r="HJ209" s="2"/>
      <c r="HK209" s="2"/>
      <c r="HL209" s="2"/>
      <c r="HM209" s="2"/>
      <c r="HN209" s="2"/>
      <c r="HO209" s="2"/>
      <c r="HP209" s="2"/>
      <c r="HQ209" s="2"/>
      <c r="HR209" s="2"/>
      <c r="HS209" s="2"/>
      <c r="HT209" s="2"/>
      <c r="HU209" s="2"/>
      <c r="HV209" s="2"/>
      <c r="HW209" s="2"/>
      <c r="HX209" s="2"/>
      <c r="HY209" s="2"/>
      <c r="HZ209" s="2"/>
      <c r="IA209" s="2"/>
      <c r="IB209" s="2"/>
      <c r="IC209" s="2"/>
      <c r="IH209" s="21"/>
      <c r="II209" s="14"/>
      <c r="IJ209" s="15"/>
      <c r="IK209" s="16"/>
      <c r="IL209" s="20"/>
      <c r="IM209" s="14"/>
      <c r="IN209" s="12"/>
      <c r="IO209" s="14"/>
      <c r="IP209" s="14"/>
    </row>
    <row r="210" spans="1:250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GS210" s="2"/>
      <c r="GT210" s="2"/>
      <c r="GU210" s="2"/>
      <c r="GV210" s="2"/>
      <c r="GW210" s="2"/>
      <c r="GX210" s="2"/>
      <c r="GY210" s="2"/>
      <c r="GZ210" s="2"/>
      <c r="HA210" s="2"/>
      <c r="HB210" s="2"/>
      <c r="HC210" s="2"/>
      <c r="HD210" s="2"/>
      <c r="HE210" s="2"/>
      <c r="HF210" s="2"/>
      <c r="HG210" s="2"/>
      <c r="HH210" s="2"/>
      <c r="HI210" s="2"/>
      <c r="HJ210" s="2"/>
      <c r="HK210" s="2"/>
      <c r="HL210" s="2"/>
      <c r="HM210" s="2"/>
      <c r="HN210" s="2"/>
      <c r="HO210" s="2"/>
      <c r="HP210" s="2"/>
      <c r="HQ210" s="2"/>
      <c r="HR210" s="2"/>
      <c r="HS210" s="2"/>
      <c r="HT210" s="2"/>
      <c r="HU210" s="2"/>
      <c r="HV210" s="2"/>
      <c r="HW210" s="2"/>
      <c r="HX210" s="2"/>
      <c r="HY210" s="2"/>
      <c r="HZ210" s="2"/>
      <c r="IA210" s="2"/>
      <c r="IB210" s="2"/>
      <c r="IC210" s="2"/>
      <c r="IH210" s="21"/>
      <c r="II210" s="14"/>
      <c r="IJ210" s="15"/>
      <c r="IK210" s="16"/>
      <c r="IL210" s="20"/>
      <c r="IM210" s="14"/>
      <c r="IN210" s="12"/>
      <c r="IO210" s="14"/>
      <c r="IP210" s="14"/>
    </row>
    <row r="211" spans="1:250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2"/>
      <c r="GV211" s="2"/>
      <c r="GW211" s="2"/>
      <c r="GX211" s="2"/>
      <c r="GY211" s="2"/>
      <c r="GZ211" s="2"/>
      <c r="HA211" s="2"/>
      <c r="HB211" s="2"/>
      <c r="HC211" s="2"/>
      <c r="HD211" s="2"/>
      <c r="HE211" s="2"/>
      <c r="HF211" s="2"/>
      <c r="HG211" s="2"/>
      <c r="HH211" s="2"/>
      <c r="HI211" s="2"/>
      <c r="HJ211" s="2"/>
      <c r="HK211" s="2"/>
      <c r="HL211" s="2"/>
      <c r="HM211" s="2"/>
      <c r="HN211" s="2"/>
      <c r="HO211" s="2"/>
      <c r="HP211" s="2"/>
      <c r="HQ211" s="2"/>
      <c r="HR211" s="2"/>
      <c r="HS211" s="2"/>
      <c r="HT211" s="2"/>
      <c r="HU211" s="2"/>
      <c r="HV211" s="2"/>
      <c r="HW211" s="2"/>
      <c r="HX211" s="2"/>
      <c r="HY211" s="2"/>
      <c r="HZ211" s="2"/>
      <c r="IA211" s="2"/>
      <c r="IB211" s="2"/>
      <c r="IC211" s="2"/>
      <c r="IH211" s="21"/>
      <c r="II211" s="14"/>
      <c r="IJ211" s="15"/>
      <c r="IK211" s="16"/>
      <c r="IL211" s="20"/>
      <c r="IM211" s="14"/>
      <c r="IN211" s="12"/>
      <c r="IO211" s="14"/>
      <c r="IP211" s="14"/>
    </row>
    <row r="212" spans="1:250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GS212" s="2"/>
      <c r="GT212" s="2"/>
      <c r="GU212" s="2"/>
      <c r="GV212" s="2"/>
      <c r="GW212" s="2"/>
      <c r="GX212" s="2"/>
      <c r="GY212" s="2"/>
      <c r="GZ212" s="2"/>
      <c r="HA212" s="2"/>
      <c r="HB212" s="2"/>
      <c r="HC212" s="2"/>
      <c r="HD212" s="2"/>
      <c r="HE212" s="2"/>
      <c r="HF212" s="2"/>
      <c r="HG212" s="2"/>
      <c r="HH212" s="2"/>
      <c r="HI212" s="2"/>
      <c r="HJ212" s="2"/>
      <c r="HK212" s="2"/>
      <c r="HL212" s="2"/>
      <c r="HM212" s="2"/>
      <c r="HN212" s="2"/>
      <c r="HO212" s="2"/>
      <c r="HP212" s="2"/>
      <c r="HQ212" s="2"/>
      <c r="HR212" s="2"/>
      <c r="HS212" s="2"/>
      <c r="HT212" s="2"/>
      <c r="HU212" s="2"/>
      <c r="HV212" s="2"/>
      <c r="HW212" s="2"/>
      <c r="HX212" s="2"/>
      <c r="HY212" s="2"/>
      <c r="HZ212" s="2"/>
      <c r="IA212" s="2"/>
      <c r="IB212" s="2"/>
      <c r="IC212" s="2"/>
      <c r="IH212" s="21"/>
      <c r="II212" s="14"/>
      <c r="IJ212" s="15"/>
      <c r="IK212" s="16"/>
      <c r="IL212" s="20"/>
      <c r="IM212" s="14"/>
      <c r="IN212" s="12"/>
      <c r="IO212" s="14"/>
      <c r="IP212" s="14"/>
    </row>
    <row r="213" spans="1:250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GS213" s="2"/>
      <c r="GT213" s="2"/>
      <c r="GU213" s="2"/>
      <c r="GV213" s="2"/>
      <c r="GW213" s="2"/>
      <c r="GX213" s="2"/>
      <c r="GY213" s="2"/>
      <c r="GZ213" s="2"/>
      <c r="HA213" s="2"/>
      <c r="HB213" s="2"/>
      <c r="HC213" s="2"/>
      <c r="HD213" s="2"/>
      <c r="HE213" s="2"/>
      <c r="HF213" s="2"/>
      <c r="HG213" s="2"/>
      <c r="HH213" s="2"/>
      <c r="HI213" s="2"/>
      <c r="HJ213" s="2"/>
      <c r="HK213" s="2"/>
      <c r="HL213" s="2"/>
      <c r="HM213" s="2"/>
      <c r="HN213" s="2"/>
      <c r="HO213" s="2"/>
      <c r="HP213" s="2"/>
      <c r="HQ213" s="2"/>
      <c r="HR213" s="2"/>
      <c r="HS213" s="2"/>
      <c r="HT213" s="2"/>
      <c r="HU213" s="2"/>
      <c r="HV213" s="2"/>
      <c r="HW213" s="2"/>
      <c r="HX213" s="2"/>
      <c r="HY213" s="2"/>
      <c r="HZ213" s="2"/>
      <c r="IA213" s="2"/>
      <c r="IB213" s="2"/>
      <c r="IC213" s="2"/>
      <c r="IH213" s="21"/>
      <c r="II213" s="14"/>
      <c r="IJ213" s="15"/>
      <c r="IK213" s="16"/>
      <c r="IL213" s="20"/>
      <c r="IM213" s="14"/>
      <c r="IN213" s="12"/>
      <c r="IO213" s="14"/>
      <c r="IP213" s="14"/>
    </row>
    <row r="214" spans="1:250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2"/>
      <c r="GV214" s="2"/>
      <c r="GW214" s="2"/>
      <c r="GX214" s="2"/>
      <c r="GY214" s="2"/>
      <c r="GZ214" s="2"/>
      <c r="HA214" s="2"/>
      <c r="HB214" s="2"/>
      <c r="HC214" s="2"/>
      <c r="HD214" s="2"/>
      <c r="HE214" s="2"/>
      <c r="HF214" s="2"/>
      <c r="HG214" s="2"/>
      <c r="HH214" s="2"/>
      <c r="HI214" s="2"/>
      <c r="HJ214" s="2"/>
      <c r="HK214" s="2"/>
      <c r="HL214" s="2"/>
      <c r="HM214" s="2"/>
      <c r="HN214" s="2"/>
      <c r="HO214" s="2"/>
      <c r="HP214" s="2"/>
      <c r="HQ214" s="2"/>
      <c r="HR214" s="2"/>
      <c r="HS214" s="2"/>
      <c r="HT214" s="2"/>
      <c r="HU214" s="2"/>
      <c r="HV214" s="2"/>
      <c r="HW214" s="2"/>
      <c r="HX214" s="2"/>
      <c r="HY214" s="2"/>
      <c r="HZ214" s="2"/>
      <c r="IA214" s="2"/>
      <c r="IB214" s="2"/>
      <c r="IC214" s="2"/>
      <c r="IH214" s="21"/>
      <c r="II214" s="14"/>
      <c r="IJ214" s="15"/>
      <c r="IK214" s="16"/>
      <c r="IL214" s="20"/>
      <c r="IM214" s="14"/>
      <c r="IN214" s="12"/>
      <c r="IO214" s="14"/>
      <c r="IP214" s="14"/>
    </row>
    <row r="215" spans="1:250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2"/>
      <c r="GV215" s="2"/>
      <c r="GW215" s="2"/>
      <c r="GX215" s="2"/>
      <c r="GY215" s="2"/>
      <c r="GZ215" s="2"/>
      <c r="HA215" s="2"/>
      <c r="HB215" s="2"/>
      <c r="HC215" s="2"/>
      <c r="HD215" s="2"/>
      <c r="HE215" s="2"/>
      <c r="HF215" s="2"/>
      <c r="HG215" s="2"/>
      <c r="HH215" s="2"/>
      <c r="HI215" s="2"/>
      <c r="HJ215" s="2"/>
      <c r="HK215" s="2"/>
      <c r="HL215" s="2"/>
      <c r="HM215" s="2"/>
      <c r="HN215" s="2"/>
      <c r="HO215" s="2"/>
      <c r="HP215" s="2"/>
      <c r="HQ215" s="2"/>
      <c r="HR215" s="2"/>
      <c r="HS215" s="2"/>
      <c r="HT215" s="2"/>
      <c r="HU215" s="2"/>
      <c r="HV215" s="2"/>
      <c r="HW215" s="2"/>
      <c r="HX215" s="2"/>
      <c r="HY215" s="2"/>
      <c r="HZ215" s="2"/>
      <c r="IA215" s="2"/>
      <c r="IB215" s="2"/>
      <c r="IC215" s="2"/>
      <c r="IH215" s="21"/>
      <c r="II215" s="14"/>
      <c r="IJ215" s="15"/>
      <c r="IK215" s="16"/>
      <c r="IL215" s="20"/>
      <c r="IM215" s="14"/>
      <c r="IN215" s="12"/>
      <c r="IO215" s="14"/>
      <c r="IP215" s="14"/>
    </row>
    <row r="216" spans="1:250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GS216" s="2"/>
      <c r="GT216" s="2"/>
      <c r="GU216" s="2"/>
      <c r="GV216" s="2"/>
      <c r="GW216" s="2"/>
      <c r="GX216" s="2"/>
      <c r="GY216" s="2"/>
      <c r="GZ216" s="2"/>
      <c r="HA216" s="2"/>
      <c r="HB216" s="2"/>
      <c r="HC216" s="2"/>
      <c r="HD216" s="2"/>
      <c r="HE216" s="2"/>
      <c r="HF216" s="2"/>
      <c r="HG216" s="2"/>
      <c r="HH216" s="2"/>
      <c r="HI216" s="2"/>
      <c r="HJ216" s="2"/>
      <c r="HK216" s="2"/>
      <c r="HL216" s="2"/>
      <c r="HM216" s="2"/>
      <c r="HN216" s="2"/>
      <c r="HO216" s="2"/>
      <c r="HP216" s="2"/>
      <c r="HQ216" s="2"/>
      <c r="HR216" s="2"/>
      <c r="HS216" s="2"/>
      <c r="HT216" s="2"/>
      <c r="HU216" s="2"/>
      <c r="HV216" s="2"/>
      <c r="HW216" s="2"/>
      <c r="HX216" s="2"/>
      <c r="HY216" s="2"/>
      <c r="HZ216" s="2"/>
      <c r="IA216" s="2"/>
      <c r="IB216" s="2"/>
      <c r="IC216" s="2"/>
      <c r="IH216" s="21"/>
      <c r="II216" s="14"/>
      <c r="IJ216" s="15"/>
      <c r="IK216" s="16"/>
      <c r="IL216" s="20"/>
      <c r="IM216" s="14"/>
      <c r="IN216" s="12"/>
      <c r="IO216" s="14"/>
      <c r="IP216" s="14"/>
    </row>
    <row r="217" spans="1:250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GS217" s="2"/>
      <c r="GT217" s="2"/>
      <c r="GU217" s="2"/>
      <c r="GV217" s="2"/>
      <c r="GW217" s="2"/>
      <c r="GX217" s="2"/>
      <c r="GY217" s="2"/>
      <c r="GZ217" s="2"/>
      <c r="HA217" s="2"/>
      <c r="HB217" s="2"/>
      <c r="HC217" s="2"/>
      <c r="HD217" s="2"/>
      <c r="HE217" s="2"/>
      <c r="HF217" s="2"/>
      <c r="HG217" s="2"/>
      <c r="HH217" s="2"/>
      <c r="HI217" s="2"/>
      <c r="HJ217" s="2"/>
      <c r="HK217" s="2"/>
      <c r="HL217" s="2"/>
      <c r="HM217" s="2"/>
      <c r="HN217" s="2"/>
      <c r="HO217" s="2"/>
      <c r="HP217" s="2"/>
      <c r="HQ217" s="2"/>
      <c r="HR217" s="2"/>
      <c r="HS217" s="2"/>
      <c r="HT217" s="2"/>
      <c r="HU217" s="2"/>
      <c r="HV217" s="2"/>
      <c r="HW217" s="2"/>
      <c r="HX217" s="2"/>
      <c r="HY217" s="2"/>
      <c r="HZ217" s="2"/>
      <c r="IA217" s="2"/>
      <c r="IB217" s="2"/>
      <c r="IC217" s="2"/>
      <c r="IH217" s="21"/>
      <c r="II217" s="14"/>
      <c r="IJ217" s="15"/>
      <c r="IK217" s="16"/>
      <c r="IL217" s="20"/>
      <c r="IM217" s="14"/>
      <c r="IN217" s="12"/>
      <c r="IO217" s="14"/>
      <c r="IP217" s="14"/>
    </row>
    <row r="218" spans="1:250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GS218" s="2"/>
      <c r="GT218" s="2"/>
      <c r="GU218" s="2"/>
      <c r="GV218" s="2"/>
      <c r="GW218" s="2"/>
      <c r="GX218" s="2"/>
      <c r="GY218" s="2"/>
      <c r="GZ218" s="2"/>
      <c r="HA218" s="2"/>
      <c r="HB218" s="2"/>
      <c r="HC218" s="2"/>
      <c r="HD218" s="2"/>
      <c r="HE218" s="2"/>
      <c r="HF218" s="2"/>
      <c r="HG218" s="2"/>
      <c r="HH218" s="2"/>
      <c r="HI218" s="2"/>
      <c r="HJ218" s="2"/>
      <c r="HK218" s="2"/>
      <c r="HL218" s="2"/>
      <c r="HM218" s="2"/>
      <c r="HN218" s="2"/>
      <c r="HO218" s="2"/>
      <c r="HP218" s="2"/>
      <c r="HQ218" s="2"/>
      <c r="HR218" s="2"/>
      <c r="HS218" s="2"/>
      <c r="HT218" s="2"/>
      <c r="HU218" s="2"/>
      <c r="HV218" s="2"/>
      <c r="HW218" s="2"/>
      <c r="HX218" s="2"/>
      <c r="HY218" s="2"/>
      <c r="HZ218" s="2"/>
      <c r="IA218" s="2"/>
      <c r="IB218" s="2"/>
      <c r="IC218" s="2"/>
      <c r="IH218" s="21"/>
      <c r="II218" s="14"/>
      <c r="IJ218" s="15"/>
      <c r="IK218" s="16"/>
      <c r="IL218" s="20"/>
      <c r="IM218" s="14"/>
      <c r="IN218" s="12"/>
      <c r="IO218" s="14"/>
      <c r="IP218" s="14"/>
    </row>
    <row r="219" spans="1:250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GS219" s="2"/>
      <c r="GT219" s="2"/>
      <c r="GU219" s="2"/>
      <c r="GV219" s="2"/>
      <c r="GW219" s="2"/>
      <c r="GX219" s="2"/>
      <c r="GY219" s="2"/>
      <c r="GZ219" s="2"/>
      <c r="HA219" s="2"/>
      <c r="HB219" s="2"/>
      <c r="HC219" s="2"/>
      <c r="HD219" s="2"/>
      <c r="HE219" s="2"/>
      <c r="HF219" s="2"/>
      <c r="HG219" s="2"/>
      <c r="HH219" s="2"/>
      <c r="HI219" s="2"/>
      <c r="HJ219" s="2"/>
      <c r="HK219" s="2"/>
      <c r="HL219" s="2"/>
      <c r="HM219" s="2"/>
      <c r="HN219" s="2"/>
      <c r="HO219" s="2"/>
      <c r="HP219" s="2"/>
      <c r="HQ219" s="2"/>
      <c r="HR219" s="2"/>
      <c r="HS219" s="2"/>
      <c r="HT219" s="2"/>
      <c r="HU219" s="2"/>
      <c r="HV219" s="2"/>
      <c r="HW219" s="2"/>
      <c r="HX219" s="2"/>
      <c r="HY219" s="2"/>
      <c r="HZ219" s="2"/>
      <c r="IA219" s="2"/>
      <c r="IB219" s="2"/>
      <c r="IC219" s="2"/>
      <c r="IH219" s="21"/>
      <c r="II219" s="14"/>
      <c r="IJ219" s="15"/>
      <c r="IK219" s="16"/>
      <c r="IL219" s="20"/>
      <c r="IM219" s="14"/>
      <c r="IN219" s="12"/>
      <c r="IO219" s="14"/>
      <c r="IP219" s="14"/>
    </row>
    <row r="220" spans="1:250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2"/>
      <c r="FS220" s="2"/>
      <c r="FT220" s="2"/>
      <c r="FU220" s="2"/>
      <c r="FV220" s="2"/>
      <c r="FW220" s="2"/>
      <c r="FX220" s="2"/>
      <c r="FY220" s="2"/>
      <c r="FZ220" s="2"/>
      <c r="GA220" s="2"/>
      <c r="GB220" s="2"/>
      <c r="GC220" s="2"/>
      <c r="GD220" s="2"/>
      <c r="GE220" s="2"/>
      <c r="GF220" s="2"/>
      <c r="GG220" s="2"/>
      <c r="GH220" s="2"/>
      <c r="GI220" s="2"/>
      <c r="GJ220" s="2"/>
      <c r="GK220" s="2"/>
      <c r="GL220" s="2"/>
      <c r="GM220" s="2"/>
      <c r="GN220" s="2"/>
      <c r="GO220" s="2"/>
      <c r="GP220" s="2"/>
      <c r="GQ220" s="2"/>
      <c r="GR220" s="2"/>
      <c r="GS220" s="2"/>
      <c r="GT220" s="2"/>
      <c r="GU220" s="2"/>
      <c r="GV220" s="2"/>
      <c r="GW220" s="2"/>
      <c r="GX220" s="2"/>
      <c r="GY220" s="2"/>
      <c r="GZ220" s="2"/>
      <c r="HA220" s="2"/>
      <c r="HB220" s="2"/>
      <c r="HC220" s="2"/>
      <c r="HD220" s="2"/>
      <c r="HE220" s="2"/>
      <c r="HF220" s="2"/>
      <c r="HG220" s="2"/>
      <c r="HH220" s="2"/>
      <c r="HI220" s="2"/>
      <c r="HJ220" s="2"/>
      <c r="HK220" s="2"/>
      <c r="HL220" s="2"/>
      <c r="HM220" s="2"/>
      <c r="HN220" s="2"/>
      <c r="HO220" s="2"/>
      <c r="HP220" s="2"/>
      <c r="HQ220" s="2"/>
      <c r="HR220" s="2"/>
      <c r="HS220" s="2"/>
      <c r="HT220" s="2"/>
      <c r="HU220" s="2"/>
      <c r="HV220" s="2"/>
      <c r="HW220" s="2"/>
      <c r="HX220" s="2"/>
      <c r="HY220" s="2"/>
      <c r="HZ220" s="2"/>
      <c r="IA220" s="2"/>
      <c r="IB220" s="2"/>
      <c r="IC220" s="2"/>
      <c r="IH220" s="21"/>
      <c r="II220" s="14"/>
      <c r="IJ220" s="15"/>
      <c r="IK220" s="16"/>
      <c r="IL220" s="20"/>
      <c r="IM220" s="14"/>
      <c r="IN220" s="12"/>
      <c r="IO220" s="14"/>
      <c r="IP220" s="14"/>
    </row>
    <row r="221" spans="1:250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GS221" s="2"/>
      <c r="GT221" s="2"/>
      <c r="GU221" s="2"/>
      <c r="GV221" s="2"/>
      <c r="GW221" s="2"/>
      <c r="GX221" s="2"/>
      <c r="GY221" s="2"/>
      <c r="GZ221" s="2"/>
      <c r="HA221" s="2"/>
      <c r="HB221" s="2"/>
      <c r="HC221" s="2"/>
      <c r="HD221" s="2"/>
      <c r="HE221" s="2"/>
      <c r="HF221" s="2"/>
      <c r="HG221" s="2"/>
      <c r="HH221" s="2"/>
      <c r="HI221" s="2"/>
      <c r="HJ221" s="2"/>
      <c r="HK221" s="2"/>
      <c r="HL221" s="2"/>
      <c r="HM221" s="2"/>
      <c r="HN221" s="2"/>
      <c r="HO221" s="2"/>
      <c r="HP221" s="2"/>
      <c r="HQ221" s="2"/>
      <c r="HR221" s="2"/>
      <c r="HS221" s="2"/>
      <c r="HT221" s="2"/>
      <c r="HU221" s="2"/>
      <c r="HV221" s="2"/>
      <c r="HW221" s="2"/>
      <c r="HX221" s="2"/>
      <c r="HY221" s="2"/>
      <c r="HZ221" s="2"/>
      <c r="IA221" s="2"/>
      <c r="IB221" s="2"/>
      <c r="IC221" s="2"/>
      <c r="IH221" s="21"/>
      <c r="II221" s="14"/>
      <c r="IJ221" s="15"/>
      <c r="IK221" s="16"/>
      <c r="IL221" s="20"/>
      <c r="IM221" s="14"/>
      <c r="IN221" s="12"/>
      <c r="IO221" s="14"/>
      <c r="IP221" s="14"/>
    </row>
    <row r="222" spans="1:250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GS222" s="2"/>
      <c r="GT222" s="2"/>
      <c r="GU222" s="2"/>
      <c r="GV222" s="2"/>
      <c r="GW222" s="2"/>
      <c r="GX222" s="2"/>
      <c r="GY222" s="2"/>
      <c r="GZ222" s="2"/>
      <c r="HA222" s="2"/>
      <c r="HB222" s="2"/>
      <c r="HC222" s="2"/>
      <c r="HD222" s="2"/>
      <c r="HE222" s="2"/>
      <c r="HF222" s="2"/>
      <c r="HG222" s="2"/>
      <c r="HH222" s="2"/>
      <c r="HI222" s="2"/>
      <c r="HJ222" s="2"/>
      <c r="HK222" s="2"/>
      <c r="HL222" s="2"/>
      <c r="HM222" s="2"/>
      <c r="HN222" s="2"/>
      <c r="HO222" s="2"/>
      <c r="HP222" s="2"/>
      <c r="HQ222" s="2"/>
      <c r="HR222" s="2"/>
      <c r="HS222" s="2"/>
      <c r="HT222" s="2"/>
      <c r="HU222" s="2"/>
      <c r="HV222" s="2"/>
      <c r="HW222" s="2"/>
      <c r="HX222" s="2"/>
      <c r="HY222" s="2"/>
      <c r="HZ222" s="2"/>
      <c r="IA222" s="2"/>
      <c r="IB222" s="2"/>
      <c r="IC222" s="2"/>
      <c r="IH222" s="21"/>
      <c r="II222" s="14"/>
      <c r="IJ222" s="15"/>
      <c r="IK222" s="16"/>
      <c r="IL222" s="20"/>
      <c r="IM222" s="14"/>
      <c r="IN222" s="12"/>
      <c r="IO222" s="14"/>
      <c r="IP222" s="14"/>
    </row>
    <row r="223" spans="1:250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GS223" s="2"/>
      <c r="GT223" s="2"/>
      <c r="GU223" s="2"/>
      <c r="GV223" s="2"/>
      <c r="GW223" s="2"/>
      <c r="GX223" s="2"/>
      <c r="GY223" s="2"/>
      <c r="GZ223" s="2"/>
      <c r="HA223" s="2"/>
      <c r="HB223" s="2"/>
      <c r="HC223" s="2"/>
      <c r="HD223" s="2"/>
      <c r="HE223" s="2"/>
      <c r="HF223" s="2"/>
      <c r="HG223" s="2"/>
      <c r="HH223" s="2"/>
      <c r="HI223" s="2"/>
      <c r="HJ223" s="2"/>
      <c r="HK223" s="2"/>
      <c r="HL223" s="2"/>
      <c r="HM223" s="2"/>
      <c r="HN223" s="2"/>
      <c r="HO223" s="2"/>
      <c r="HP223" s="2"/>
      <c r="HQ223" s="2"/>
      <c r="HR223" s="2"/>
      <c r="HS223" s="2"/>
      <c r="HT223" s="2"/>
      <c r="HU223" s="2"/>
      <c r="HV223" s="2"/>
      <c r="HW223" s="2"/>
      <c r="HX223" s="2"/>
      <c r="HY223" s="2"/>
      <c r="HZ223" s="2"/>
      <c r="IA223" s="2"/>
      <c r="IB223" s="2"/>
      <c r="IC223" s="2"/>
      <c r="IH223" s="21"/>
      <c r="II223" s="14"/>
      <c r="IJ223" s="15"/>
      <c r="IK223" s="16"/>
      <c r="IL223" s="20"/>
      <c r="IM223" s="14"/>
      <c r="IN223" s="12"/>
      <c r="IO223" s="14"/>
      <c r="IP223" s="14"/>
    </row>
    <row r="224" spans="1:250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GS224" s="2"/>
      <c r="GT224" s="2"/>
      <c r="GU224" s="2"/>
      <c r="GV224" s="2"/>
      <c r="GW224" s="2"/>
      <c r="GX224" s="2"/>
      <c r="GY224" s="2"/>
      <c r="GZ224" s="2"/>
      <c r="HA224" s="2"/>
      <c r="HB224" s="2"/>
      <c r="HC224" s="2"/>
      <c r="HD224" s="2"/>
      <c r="HE224" s="2"/>
      <c r="HF224" s="2"/>
      <c r="HG224" s="2"/>
      <c r="HH224" s="2"/>
      <c r="HI224" s="2"/>
      <c r="HJ224" s="2"/>
      <c r="HK224" s="2"/>
      <c r="HL224" s="2"/>
      <c r="HM224" s="2"/>
      <c r="HN224" s="2"/>
      <c r="HO224" s="2"/>
      <c r="HP224" s="2"/>
      <c r="HQ224" s="2"/>
      <c r="HR224" s="2"/>
      <c r="HS224" s="2"/>
      <c r="HT224" s="2"/>
      <c r="HU224" s="2"/>
      <c r="HV224" s="2"/>
      <c r="HW224" s="2"/>
      <c r="HX224" s="2"/>
      <c r="HY224" s="2"/>
      <c r="HZ224" s="2"/>
      <c r="IA224" s="2"/>
      <c r="IB224" s="2"/>
      <c r="IC224" s="2"/>
      <c r="IH224" s="21"/>
      <c r="II224" s="14"/>
      <c r="IJ224" s="15"/>
      <c r="IK224" s="16"/>
      <c r="IL224" s="20"/>
      <c r="IM224" s="14"/>
      <c r="IN224" s="12"/>
      <c r="IO224" s="14"/>
      <c r="IP224" s="14"/>
    </row>
    <row r="225" spans="1:250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GS225" s="2"/>
      <c r="GT225" s="2"/>
      <c r="GU225" s="2"/>
      <c r="GV225" s="2"/>
      <c r="GW225" s="2"/>
      <c r="GX225" s="2"/>
      <c r="GY225" s="2"/>
      <c r="GZ225" s="2"/>
      <c r="HA225" s="2"/>
      <c r="HB225" s="2"/>
      <c r="HC225" s="2"/>
      <c r="HD225" s="2"/>
      <c r="HE225" s="2"/>
      <c r="HF225" s="2"/>
      <c r="HG225" s="2"/>
      <c r="HH225" s="2"/>
      <c r="HI225" s="2"/>
      <c r="HJ225" s="2"/>
      <c r="HK225" s="2"/>
      <c r="HL225" s="2"/>
      <c r="HM225" s="2"/>
      <c r="HN225" s="2"/>
      <c r="HO225" s="2"/>
      <c r="HP225" s="2"/>
      <c r="HQ225" s="2"/>
      <c r="HR225" s="2"/>
      <c r="HS225" s="2"/>
      <c r="HT225" s="2"/>
      <c r="HU225" s="2"/>
      <c r="HV225" s="2"/>
      <c r="HW225" s="2"/>
      <c r="HX225" s="2"/>
      <c r="HY225" s="2"/>
      <c r="HZ225" s="2"/>
      <c r="IA225" s="2"/>
      <c r="IB225" s="2"/>
      <c r="IC225" s="2"/>
      <c r="IH225" s="21"/>
      <c r="II225" s="14"/>
      <c r="IJ225" s="15"/>
      <c r="IK225" s="16"/>
      <c r="IL225" s="20"/>
      <c r="IM225" s="14"/>
      <c r="IN225" s="12"/>
      <c r="IO225" s="14"/>
      <c r="IP225" s="14"/>
    </row>
    <row r="226" spans="1:250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GS226" s="2"/>
      <c r="GT226" s="2"/>
      <c r="GU226" s="2"/>
      <c r="GV226" s="2"/>
      <c r="GW226" s="2"/>
      <c r="GX226" s="2"/>
      <c r="GY226" s="2"/>
      <c r="GZ226" s="2"/>
      <c r="HA226" s="2"/>
      <c r="HB226" s="2"/>
      <c r="HC226" s="2"/>
      <c r="HD226" s="2"/>
      <c r="HE226" s="2"/>
      <c r="HF226" s="2"/>
      <c r="HG226" s="2"/>
      <c r="HH226" s="2"/>
      <c r="HI226" s="2"/>
      <c r="HJ226" s="2"/>
      <c r="HK226" s="2"/>
      <c r="HL226" s="2"/>
      <c r="HM226" s="2"/>
      <c r="HN226" s="2"/>
      <c r="HO226" s="2"/>
      <c r="HP226" s="2"/>
      <c r="HQ226" s="2"/>
      <c r="HR226" s="2"/>
      <c r="HS226" s="2"/>
      <c r="HT226" s="2"/>
      <c r="HU226" s="2"/>
      <c r="HV226" s="2"/>
      <c r="HW226" s="2"/>
      <c r="HX226" s="2"/>
      <c r="HY226" s="2"/>
      <c r="HZ226" s="2"/>
      <c r="IA226" s="2"/>
      <c r="IB226" s="2"/>
      <c r="IC226" s="2"/>
      <c r="IH226" s="21"/>
      <c r="II226" s="14"/>
      <c r="IJ226" s="15"/>
      <c r="IK226" s="16"/>
      <c r="IL226" s="20"/>
      <c r="IM226" s="14"/>
      <c r="IN226" s="12"/>
      <c r="IO226" s="14"/>
      <c r="IP226" s="14"/>
    </row>
    <row r="227" spans="1:250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2"/>
      <c r="GV227" s="2"/>
      <c r="GW227" s="2"/>
      <c r="GX227" s="2"/>
      <c r="GY227" s="2"/>
      <c r="GZ227" s="2"/>
      <c r="HA227" s="2"/>
      <c r="HB227" s="2"/>
      <c r="HC227" s="2"/>
      <c r="HD227" s="2"/>
      <c r="HE227" s="2"/>
      <c r="HF227" s="2"/>
      <c r="HG227" s="2"/>
      <c r="HH227" s="2"/>
      <c r="HI227" s="2"/>
      <c r="HJ227" s="2"/>
      <c r="HK227" s="2"/>
      <c r="HL227" s="2"/>
      <c r="HM227" s="2"/>
      <c r="HN227" s="2"/>
      <c r="HO227" s="2"/>
      <c r="HP227" s="2"/>
      <c r="HQ227" s="2"/>
      <c r="HR227" s="2"/>
      <c r="HS227" s="2"/>
      <c r="HT227" s="2"/>
      <c r="HU227" s="2"/>
      <c r="HV227" s="2"/>
      <c r="HW227" s="2"/>
      <c r="HX227" s="2"/>
      <c r="HY227" s="2"/>
      <c r="HZ227" s="2"/>
      <c r="IA227" s="2"/>
      <c r="IB227" s="2"/>
      <c r="IC227" s="2"/>
      <c r="IH227" s="21"/>
      <c r="II227" s="14"/>
      <c r="IJ227" s="15"/>
      <c r="IK227" s="16"/>
      <c r="IL227" s="20"/>
      <c r="IM227" s="14"/>
      <c r="IN227" s="12"/>
      <c r="IO227" s="14"/>
      <c r="IP227" s="14"/>
    </row>
    <row r="228" spans="1:250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GS228" s="2"/>
      <c r="GT228" s="2"/>
      <c r="GU228" s="2"/>
      <c r="GV228" s="2"/>
      <c r="GW228" s="2"/>
      <c r="GX228" s="2"/>
      <c r="GY228" s="2"/>
      <c r="GZ228" s="2"/>
      <c r="HA228" s="2"/>
      <c r="HB228" s="2"/>
      <c r="HC228" s="2"/>
      <c r="HD228" s="2"/>
      <c r="HE228" s="2"/>
      <c r="HF228" s="2"/>
      <c r="HG228" s="2"/>
      <c r="HH228" s="2"/>
      <c r="HI228" s="2"/>
      <c r="HJ228" s="2"/>
      <c r="HK228" s="2"/>
      <c r="HL228" s="2"/>
      <c r="HM228" s="2"/>
      <c r="HN228" s="2"/>
      <c r="HO228" s="2"/>
      <c r="HP228" s="2"/>
      <c r="HQ228" s="2"/>
      <c r="HR228" s="2"/>
      <c r="HS228" s="2"/>
      <c r="HT228" s="2"/>
      <c r="HU228" s="2"/>
      <c r="HV228" s="2"/>
      <c r="HW228" s="2"/>
      <c r="HX228" s="2"/>
      <c r="HY228" s="2"/>
      <c r="HZ228" s="2"/>
      <c r="IA228" s="2"/>
      <c r="IB228" s="2"/>
      <c r="IC228" s="2"/>
      <c r="IH228" s="21"/>
      <c r="II228" s="14"/>
      <c r="IJ228" s="15"/>
      <c r="IK228" s="16"/>
      <c r="IL228" s="20"/>
      <c r="IM228" s="14"/>
      <c r="IN228" s="12"/>
      <c r="IO228" s="14"/>
      <c r="IP228" s="14"/>
    </row>
    <row r="229" spans="1:250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GS229" s="2"/>
      <c r="GT229" s="2"/>
      <c r="GU229" s="2"/>
      <c r="GV229" s="2"/>
      <c r="GW229" s="2"/>
      <c r="GX229" s="2"/>
      <c r="GY229" s="2"/>
      <c r="GZ229" s="2"/>
      <c r="HA229" s="2"/>
      <c r="HB229" s="2"/>
      <c r="HC229" s="2"/>
      <c r="HD229" s="2"/>
      <c r="HE229" s="2"/>
      <c r="HF229" s="2"/>
      <c r="HG229" s="2"/>
      <c r="HH229" s="2"/>
      <c r="HI229" s="2"/>
      <c r="HJ229" s="2"/>
      <c r="HK229" s="2"/>
      <c r="HL229" s="2"/>
      <c r="HM229" s="2"/>
      <c r="HN229" s="2"/>
      <c r="HO229" s="2"/>
      <c r="HP229" s="2"/>
      <c r="HQ229" s="2"/>
      <c r="HR229" s="2"/>
      <c r="HS229" s="2"/>
      <c r="HT229" s="2"/>
      <c r="HU229" s="2"/>
      <c r="HV229" s="2"/>
      <c r="HW229" s="2"/>
      <c r="HX229" s="2"/>
      <c r="HY229" s="2"/>
      <c r="HZ229" s="2"/>
      <c r="IA229" s="2"/>
      <c r="IB229" s="2"/>
      <c r="IC229" s="2"/>
      <c r="IH229" s="21"/>
      <c r="II229" s="14"/>
      <c r="IJ229" s="15"/>
      <c r="IK229" s="16"/>
      <c r="IL229" s="20"/>
      <c r="IM229" s="14"/>
      <c r="IN229" s="12"/>
      <c r="IO229" s="14"/>
      <c r="IP229" s="14"/>
    </row>
    <row r="230" spans="1:250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GS230" s="2"/>
      <c r="GT230" s="2"/>
      <c r="GU230" s="2"/>
      <c r="GV230" s="2"/>
      <c r="GW230" s="2"/>
      <c r="GX230" s="2"/>
      <c r="GY230" s="2"/>
      <c r="GZ230" s="2"/>
      <c r="HA230" s="2"/>
      <c r="HB230" s="2"/>
      <c r="HC230" s="2"/>
      <c r="HD230" s="2"/>
      <c r="HE230" s="2"/>
      <c r="HF230" s="2"/>
      <c r="HG230" s="2"/>
      <c r="HH230" s="2"/>
      <c r="HI230" s="2"/>
      <c r="HJ230" s="2"/>
      <c r="HK230" s="2"/>
      <c r="HL230" s="2"/>
      <c r="HM230" s="2"/>
      <c r="HN230" s="2"/>
      <c r="HO230" s="2"/>
      <c r="HP230" s="2"/>
      <c r="HQ230" s="2"/>
      <c r="HR230" s="2"/>
      <c r="HS230" s="2"/>
      <c r="HT230" s="2"/>
      <c r="HU230" s="2"/>
      <c r="HV230" s="2"/>
      <c r="HW230" s="2"/>
      <c r="HX230" s="2"/>
      <c r="HY230" s="2"/>
      <c r="HZ230" s="2"/>
      <c r="IA230" s="2"/>
      <c r="IB230" s="2"/>
      <c r="IC230" s="2"/>
      <c r="IH230" s="21"/>
      <c r="II230" s="14"/>
      <c r="IJ230" s="15"/>
      <c r="IK230" s="16"/>
      <c r="IL230" s="20"/>
      <c r="IM230" s="14"/>
      <c r="IN230" s="12"/>
      <c r="IO230" s="14"/>
      <c r="IP230" s="14"/>
    </row>
    <row r="231" spans="1:250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GS231" s="2"/>
      <c r="GT231" s="2"/>
      <c r="GU231" s="2"/>
      <c r="GV231" s="2"/>
      <c r="GW231" s="2"/>
      <c r="GX231" s="2"/>
      <c r="GY231" s="2"/>
      <c r="GZ231" s="2"/>
      <c r="HA231" s="2"/>
      <c r="HB231" s="2"/>
      <c r="HC231" s="2"/>
      <c r="HD231" s="2"/>
      <c r="HE231" s="2"/>
      <c r="HF231" s="2"/>
      <c r="HG231" s="2"/>
      <c r="HH231" s="2"/>
      <c r="HI231" s="2"/>
      <c r="HJ231" s="2"/>
      <c r="HK231" s="2"/>
      <c r="HL231" s="2"/>
      <c r="HM231" s="2"/>
      <c r="HN231" s="2"/>
      <c r="HO231" s="2"/>
      <c r="HP231" s="2"/>
      <c r="HQ231" s="2"/>
      <c r="HR231" s="2"/>
      <c r="HS231" s="2"/>
      <c r="HT231" s="2"/>
      <c r="HU231" s="2"/>
      <c r="HV231" s="2"/>
      <c r="HW231" s="2"/>
      <c r="HX231" s="2"/>
      <c r="HY231" s="2"/>
      <c r="HZ231" s="2"/>
      <c r="IA231" s="2"/>
      <c r="IB231" s="2"/>
      <c r="IC231" s="2"/>
      <c r="IH231" s="21"/>
      <c r="II231" s="14"/>
      <c r="IJ231" s="15"/>
      <c r="IK231" s="16"/>
      <c r="IL231" s="20"/>
      <c r="IM231" s="14"/>
      <c r="IN231" s="12"/>
      <c r="IO231" s="14"/>
      <c r="IP231" s="14"/>
    </row>
    <row r="232" spans="1:250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GS232" s="2"/>
      <c r="GT232" s="2"/>
      <c r="GU232" s="2"/>
      <c r="GV232" s="2"/>
      <c r="GW232" s="2"/>
      <c r="GX232" s="2"/>
      <c r="GY232" s="2"/>
      <c r="GZ232" s="2"/>
      <c r="HA232" s="2"/>
      <c r="HB232" s="2"/>
      <c r="HC232" s="2"/>
      <c r="HD232" s="2"/>
      <c r="HE232" s="2"/>
      <c r="HF232" s="2"/>
      <c r="HG232" s="2"/>
      <c r="HH232" s="2"/>
      <c r="HI232" s="2"/>
      <c r="HJ232" s="2"/>
      <c r="HK232" s="2"/>
      <c r="HL232" s="2"/>
      <c r="HM232" s="2"/>
      <c r="HN232" s="2"/>
      <c r="HO232" s="2"/>
      <c r="HP232" s="2"/>
      <c r="HQ232" s="2"/>
      <c r="HR232" s="2"/>
      <c r="HS232" s="2"/>
      <c r="HT232" s="2"/>
      <c r="HU232" s="2"/>
      <c r="HV232" s="2"/>
      <c r="HW232" s="2"/>
      <c r="HX232" s="2"/>
      <c r="HY232" s="2"/>
      <c r="HZ232" s="2"/>
      <c r="IA232" s="2"/>
      <c r="IB232" s="2"/>
      <c r="IC232" s="2"/>
      <c r="IH232" s="21"/>
      <c r="II232" s="14"/>
      <c r="IJ232" s="15"/>
      <c r="IK232" s="16"/>
      <c r="IL232" s="20"/>
      <c r="IM232" s="14"/>
      <c r="IN232" s="12"/>
      <c r="IO232" s="14"/>
      <c r="IP232" s="14"/>
    </row>
    <row r="233" spans="1:250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GS233" s="2"/>
      <c r="GT233" s="2"/>
      <c r="GU233" s="2"/>
      <c r="GV233" s="2"/>
      <c r="GW233" s="2"/>
      <c r="GX233" s="2"/>
      <c r="GY233" s="2"/>
      <c r="GZ233" s="2"/>
      <c r="HA233" s="2"/>
      <c r="HB233" s="2"/>
      <c r="HC233" s="2"/>
      <c r="HD233" s="2"/>
      <c r="HE233" s="2"/>
      <c r="HF233" s="2"/>
      <c r="HG233" s="2"/>
      <c r="HH233" s="2"/>
      <c r="HI233" s="2"/>
      <c r="HJ233" s="2"/>
      <c r="HK233" s="2"/>
      <c r="HL233" s="2"/>
      <c r="HM233" s="2"/>
      <c r="HN233" s="2"/>
      <c r="HO233" s="2"/>
      <c r="HP233" s="2"/>
      <c r="HQ233" s="2"/>
      <c r="HR233" s="2"/>
      <c r="HS233" s="2"/>
      <c r="HT233" s="2"/>
      <c r="HU233" s="2"/>
      <c r="HV233" s="2"/>
      <c r="HW233" s="2"/>
      <c r="HX233" s="2"/>
      <c r="HY233" s="2"/>
      <c r="HZ233" s="2"/>
      <c r="IA233" s="2"/>
      <c r="IB233" s="2"/>
      <c r="IC233" s="2"/>
      <c r="IH233" s="21"/>
      <c r="II233" s="14"/>
      <c r="IJ233" s="15"/>
      <c r="IK233" s="16"/>
      <c r="IL233" s="20"/>
      <c r="IM233" s="14"/>
      <c r="IN233" s="12"/>
      <c r="IO233" s="14"/>
      <c r="IP233" s="14"/>
    </row>
    <row r="234" spans="1:250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GS234" s="2"/>
      <c r="GT234" s="2"/>
      <c r="GU234" s="2"/>
      <c r="GV234" s="2"/>
      <c r="GW234" s="2"/>
      <c r="GX234" s="2"/>
      <c r="GY234" s="2"/>
      <c r="GZ234" s="2"/>
      <c r="HA234" s="2"/>
      <c r="HB234" s="2"/>
      <c r="HC234" s="2"/>
      <c r="HD234" s="2"/>
      <c r="HE234" s="2"/>
      <c r="HF234" s="2"/>
      <c r="HG234" s="2"/>
      <c r="HH234" s="2"/>
      <c r="HI234" s="2"/>
      <c r="HJ234" s="2"/>
      <c r="HK234" s="2"/>
      <c r="HL234" s="2"/>
      <c r="HM234" s="2"/>
      <c r="HN234" s="2"/>
      <c r="HO234" s="2"/>
      <c r="HP234" s="2"/>
      <c r="HQ234" s="2"/>
      <c r="HR234" s="2"/>
      <c r="HS234" s="2"/>
      <c r="HT234" s="2"/>
      <c r="HU234" s="2"/>
      <c r="HV234" s="2"/>
      <c r="HW234" s="2"/>
      <c r="HX234" s="2"/>
      <c r="HY234" s="2"/>
      <c r="HZ234" s="2"/>
      <c r="IA234" s="2"/>
      <c r="IB234" s="2"/>
      <c r="IC234" s="2"/>
      <c r="IH234" s="21"/>
      <c r="II234" s="14"/>
      <c r="IJ234" s="15"/>
      <c r="IK234" s="16"/>
      <c r="IL234" s="20"/>
      <c r="IM234" s="14"/>
      <c r="IN234" s="12"/>
      <c r="IO234" s="14"/>
      <c r="IP234" s="14"/>
    </row>
    <row r="235" spans="1:250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GS235" s="2"/>
      <c r="GT235" s="2"/>
      <c r="GU235" s="2"/>
      <c r="GV235" s="2"/>
      <c r="GW235" s="2"/>
      <c r="GX235" s="2"/>
      <c r="GY235" s="2"/>
      <c r="GZ235" s="2"/>
      <c r="HA235" s="2"/>
      <c r="HB235" s="2"/>
      <c r="HC235" s="2"/>
      <c r="HD235" s="2"/>
      <c r="HE235" s="2"/>
      <c r="HF235" s="2"/>
      <c r="HG235" s="2"/>
      <c r="HH235" s="2"/>
      <c r="HI235" s="2"/>
      <c r="HJ235" s="2"/>
      <c r="HK235" s="2"/>
      <c r="HL235" s="2"/>
      <c r="HM235" s="2"/>
      <c r="HN235" s="2"/>
      <c r="HO235" s="2"/>
      <c r="HP235" s="2"/>
      <c r="HQ235" s="2"/>
      <c r="HR235" s="2"/>
      <c r="HS235" s="2"/>
      <c r="HT235" s="2"/>
      <c r="HU235" s="2"/>
      <c r="HV235" s="2"/>
      <c r="HW235" s="2"/>
      <c r="HX235" s="2"/>
      <c r="HY235" s="2"/>
      <c r="HZ235" s="2"/>
      <c r="IA235" s="2"/>
      <c r="IB235" s="2"/>
      <c r="IC235" s="2"/>
      <c r="IH235" s="21"/>
      <c r="II235" s="14"/>
      <c r="IJ235" s="15"/>
      <c r="IK235" s="16"/>
      <c r="IL235" s="20"/>
      <c r="IM235" s="14"/>
      <c r="IN235" s="12"/>
      <c r="IO235" s="14"/>
      <c r="IP235" s="14"/>
    </row>
    <row r="236" spans="1:250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GS236" s="2"/>
      <c r="GT236" s="2"/>
      <c r="GU236" s="2"/>
      <c r="GV236" s="2"/>
      <c r="GW236" s="2"/>
      <c r="GX236" s="2"/>
      <c r="GY236" s="2"/>
      <c r="GZ236" s="2"/>
      <c r="HA236" s="2"/>
      <c r="HB236" s="2"/>
      <c r="HC236" s="2"/>
      <c r="HD236" s="2"/>
      <c r="HE236" s="2"/>
      <c r="HF236" s="2"/>
      <c r="HG236" s="2"/>
      <c r="HH236" s="2"/>
      <c r="HI236" s="2"/>
      <c r="HJ236" s="2"/>
      <c r="HK236" s="2"/>
      <c r="HL236" s="2"/>
      <c r="HM236" s="2"/>
      <c r="HN236" s="2"/>
      <c r="HO236" s="2"/>
      <c r="HP236" s="2"/>
      <c r="HQ236" s="2"/>
      <c r="HR236" s="2"/>
      <c r="HS236" s="2"/>
      <c r="HT236" s="2"/>
      <c r="HU236" s="2"/>
      <c r="HV236" s="2"/>
      <c r="HW236" s="2"/>
      <c r="HX236" s="2"/>
      <c r="HY236" s="2"/>
      <c r="HZ236" s="2"/>
      <c r="IA236" s="2"/>
      <c r="IB236" s="2"/>
      <c r="IC236" s="2"/>
      <c r="IH236" s="21"/>
      <c r="II236" s="14"/>
      <c r="IJ236" s="15"/>
      <c r="IK236" s="16"/>
      <c r="IL236" s="20"/>
      <c r="IM236" s="14"/>
      <c r="IN236" s="12"/>
      <c r="IO236" s="14"/>
      <c r="IP236" s="14"/>
    </row>
    <row r="237" spans="1:250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GS237" s="2"/>
      <c r="GT237" s="2"/>
      <c r="GU237" s="2"/>
      <c r="GV237" s="2"/>
      <c r="GW237" s="2"/>
      <c r="GX237" s="2"/>
      <c r="GY237" s="2"/>
      <c r="GZ237" s="2"/>
      <c r="HA237" s="2"/>
      <c r="HB237" s="2"/>
      <c r="HC237" s="2"/>
      <c r="HD237" s="2"/>
      <c r="HE237" s="2"/>
      <c r="HF237" s="2"/>
      <c r="HG237" s="2"/>
      <c r="HH237" s="2"/>
      <c r="HI237" s="2"/>
      <c r="HJ237" s="2"/>
      <c r="HK237" s="2"/>
      <c r="HL237" s="2"/>
      <c r="HM237" s="2"/>
      <c r="HN237" s="2"/>
      <c r="HO237" s="2"/>
      <c r="HP237" s="2"/>
      <c r="HQ237" s="2"/>
      <c r="HR237" s="2"/>
      <c r="HS237" s="2"/>
      <c r="HT237" s="2"/>
      <c r="HU237" s="2"/>
      <c r="HV237" s="2"/>
      <c r="HW237" s="2"/>
      <c r="HX237" s="2"/>
      <c r="HY237" s="2"/>
      <c r="HZ237" s="2"/>
      <c r="IA237" s="2"/>
      <c r="IB237" s="2"/>
      <c r="IC237" s="2"/>
      <c r="IH237" s="21"/>
      <c r="II237" s="14"/>
      <c r="IJ237" s="15"/>
      <c r="IK237" s="16"/>
      <c r="IL237" s="20"/>
      <c r="IM237" s="14"/>
      <c r="IN237" s="12"/>
      <c r="IO237" s="14"/>
      <c r="IP237" s="14"/>
    </row>
    <row r="238" spans="1:250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GS238" s="2"/>
      <c r="GT238" s="2"/>
      <c r="GU238" s="2"/>
      <c r="GV238" s="2"/>
      <c r="GW238" s="2"/>
      <c r="GX238" s="2"/>
      <c r="GY238" s="2"/>
      <c r="GZ238" s="2"/>
      <c r="HA238" s="2"/>
      <c r="HB238" s="2"/>
      <c r="HC238" s="2"/>
      <c r="HD238" s="2"/>
      <c r="HE238" s="2"/>
      <c r="HF238" s="2"/>
      <c r="HG238" s="2"/>
      <c r="HH238" s="2"/>
      <c r="HI238" s="2"/>
      <c r="HJ238" s="2"/>
      <c r="HK238" s="2"/>
      <c r="HL238" s="2"/>
      <c r="HM238" s="2"/>
      <c r="HN238" s="2"/>
      <c r="HO238" s="2"/>
      <c r="HP238" s="2"/>
      <c r="HQ238" s="2"/>
      <c r="HR238" s="2"/>
      <c r="HS238" s="2"/>
      <c r="HT238" s="2"/>
      <c r="HU238" s="2"/>
      <c r="HV238" s="2"/>
      <c r="HW238" s="2"/>
      <c r="HX238" s="2"/>
      <c r="HY238" s="2"/>
      <c r="HZ238" s="2"/>
      <c r="IA238" s="2"/>
      <c r="IB238" s="2"/>
      <c r="IC238" s="2"/>
      <c r="IH238" s="21"/>
      <c r="II238" s="14"/>
      <c r="IJ238" s="15"/>
      <c r="IK238" s="16"/>
      <c r="IL238" s="20"/>
      <c r="IM238" s="14"/>
      <c r="IN238" s="12"/>
      <c r="IO238" s="14"/>
      <c r="IP238" s="14"/>
    </row>
    <row r="239" spans="1:250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GS239" s="2"/>
      <c r="GT239" s="2"/>
      <c r="GU239" s="2"/>
      <c r="GV239" s="2"/>
      <c r="GW239" s="2"/>
      <c r="GX239" s="2"/>
      <c r="GY239" s="2"/>
      <c r="GZ239" s="2"/>
      <c r="HA239" s="2"/>
      <c r="HB239" s="2"/>
      <c r="HC239" s="2"/>
      <c r="HD239" s="2"/>
      <c r="HE239" s="2"/>
      <c r="HF239" s="2"/>
      <c r="HG239" s="2"/>
      <c r="HH239" s="2"/>
      <c r="HI239" s="2"/>
      <c r="HJ239" s="2"/>
      <c r="HK239" s="2"/>
      <c r="HL239" s="2"/>
      <c r="HM239" s="2"/>
      <c r="HN239" s="2"/>
      <c r="HO239" s="2"/>
      <c r="HP239" s="2"/>
      <c r="HQ239" s="2"/>
      <c r="HR239" s="2"/>
      <c r="HS239" s="2"/>
      <c r="HT239" s="2"/>
      <c r="HU239" s="2"/>
      <c r="HV239" s="2"/>
      <c r="HW239" s="2"/>
      <c r="HX239" s="2"/>
      <c r="HY239" s="2"/>
      <c r="HZ239" s="2"/>
      <c r="IA239" s="2"/>
      <c r="IB239" s="2"/>
      <c r="IC239" s="2"/>
      <c r="IH239" s="21"/>
      <c r="II239" s="14"/>
      <c r="IJ239" s="15"/>
      <c r="IK239" s="16"/>
      <c r="IL239" s="20"/>
      <c r="IM239" s="14"/>
      <c r="IN239" s="12"/>
      <c r="IO239" s="14"/>
      <c r="IP239" s="14"/>
    </row>
    <row r="240" spans="1:250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GS240" s="2"/>
      <c r="GT240" s="2"/>
      <c r="GU240" s="2"/>
      <c r="GV240" s="2"/>
      <c r="GW240" s="2"/>
      <c r="GX240" s="2"/>
      <c r="GY240" s="2"/>
      <c r="GZ240" s="2"/>
      <c r="HA240" s="2"/>
      <c r="HB240" s="2"/>
      <c r="HC240" s="2"/>
      <c r="HD240" s="2"/>
      <c r="HE240" s="2"/>
      <c r="HF240" s="2"/>
      <c r="HG240" s="2"/>
      <c r="HH240" s="2"/>
      <c r="HI240" s="2"/>
      <c r="HJ240" s="2"/>
      <c r="HK240" s="2"/>
      <c r="HL240" s="2"/>
      <c r="HM240" s="2"/>
      <c r="HN240" s="2"/>
      <c r="HO240" s="2"/>
      <c r="HP240" s="2"/>
      <c r="HQ240" s="2"/>
      <c r="HR240" s="2"/>
      <c r="HS240" s="2"/>
      <c r="HT240" s="2"/>
      <c r="HU240" s="2"/>
      <c r="HV240" s="2"/>
      <c r="HW240" s="2"/>
      <c r="HX240" s="2"/>
      <c r="HY240" s="2"/>
      <c r="HZ240" s="2"/>
      <c r="IA240" s="2"/>
      <c r="IB240" s="2"/>
      <c r="IC240" s="2"/>
      <c r="IH240" s="21"/>
      <c r="II240" s="14"/>
      <c r="IJ240" s="15"/>
      <c r="IK240" s="16"/>
      <c r="IL240" s="20"/>
      <c r="IM240" s="14"/>
      <c r="IN240" s="12"/>
      <c r="IO240" s="14"/>
      <c r="IP240" s="14"/>
    </row>
    <row r="241" spans="1:250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2"/>
      <c r="FV241" s="2"/>
      <c r="FW241" s="2"/>
      <c r="FX241" s="2"/>
      <c r="FY241" s="2"/>
      <c r="FZ241" s="2"/>
      <c r="GA241" s="2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2"/>
      <c r="GP241" s="2"/>
      <c r="GQ241" s="2"/>
      <c r="GR241" s="2"/>
      <c r="GS241" s="2"/>
      <c r="GT241" s="2"/>
      <c r="GU241" s="2"/>
      <c r="GV241" s="2"/>
      <c r="GW241" s="2"/>
      <c r="GX241" s="2"/>
      <c r="GY241" s="2"/>
      <c r="GZ241" s="2"/>
      <c r="HA241" s="2"/>
      <c r="HB241" s="2"/>
      <c r="HC241" s="2"/>
      <c r="HD241" s="2"/>
      <c r="HE241" s="2"/>
      <c r="HF241" s="2"/>
      <c r="HG241" s="2"/>
      <c r="HH241" s="2"/>
      <c r="HI241" s="2"/>
      <c r="HJ241" s="2"/>
      <c r="HK241" s="2"/>
      <c r="HL241" s="2"/>
      <c r="HM241" s="2"/>
      <c r="HN241" s="2"/>
      <c r="HO241" s="2"/>
      <c r="HP241" s="2"/>
      <c r="HQ241" s="2"/>
      <c r="HR241" s="2"/>
      <c r="HS241" s="2"/>
      <c r="HT241" s="2"/>
      <c r="HU241" s="2"/>
      <c r="HV241" s="2"/>
      <c r="HW241" s="2"/>
      <c r="HX241" s="2"/>
      <c r="HY241" s="2"/>
      <c r="HZ241" s="2"/>
      <c r="IA241" s="2"/>
      <c r="IB241" s="2"/>
      <c r="IC241" s="2"/>
      <c r="IH241" s="21"/>
      <c r="II241" s="14"/>
      <c r="IJ241" s="15"/>
      <c r="IK241" s="16"/>
      <c r="IL241" s="20"/>
      <c r="IM241" s="14"/>
      <c r="IN241" s="12"/>
      <c r="IO241" s="14"/>
      <c r="IP241" s="14"/>
    </row>
    <row r="242" spans="1:250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GS242" s="2"/>
      <c r="GT242" s="2"/>
      <c r="GU242" s="2"/>
      <c r="GV242" s="2"/>
      <c r="GW242" s="2"/>
      <c r="GX242" s="2"/>
      <c r="GY242" s="2"/>
      <c r="GZ242" s="2"/>
      <c r="HA242" s="2"/>
      <c r="HB242" s="2"/>
      <c r="HC242" s="2"/>
      <c r="HD242" s="2"/>
      <c r="HE242" s="2"/>
      <c r="HF242" s="2"/>
      <c r="HG242" s="2"/>
      <c r="HH242" s="2"/>
      <c r="HI242" s="2"/>
      <c r="HJ242" s="2"/>
      <c r="HK242" s="2"/>
      <c r="HL242" s="2"/>
      <c r="HM242" s="2"/>
      <c r="HN242" s="2"/>
      <c r="HO242" s="2"/>
      <c r="HP242" s="2"/>
      <c r="HQ242" s="2"/>
      <c r="HR242" s="2"/>
      <c r="HS242" s="2"/>
      <c r="HT242" s="2"/>
      <c r="HU242" s="2"/>
      <c r="HV242" s="2"/>
      <c r="HW242" s="2"/>
      <c r="HX242" s="2"/>
      <c r="HY242" s="2"/>
      <c r="HZ242" s="2"/>
      <c r="IA242" s="2"/>
      <c r="IB242" s="2"/>
      <c r="IC242" s="2"/>
      <c r="IH242" s="21"/>
      <c r="II242" s="14"/>
      <c r="IJ242" s="15"/>
      <c r="IK242" s="16"/>
      <c r="IL242" s="20"/>
      <c r="IM242" s="14"/>
      <c r="IN242" s="12"/>
      <c r="IO242" s="14"/>
      <c r="IP242" s="14"/>
    </row>
    <row r="243" spans="1:250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GS243" s="2"/>
      <c r="GT243" s="2"/>
      <c r="GU243" s="2"/>
      <c r="GV243" s="2"/>
      <c r="GW243" s="2"/>
      <c r="GX243" s="2"/>
      <c r="GY243" s="2"/>
      <c r="GZ243" s="2"/>
      <c r="HA243" s="2"/>
      <c r="HB243" s="2"/>
      <c r="HC243" s="2"/>
      <c r="HD243" s="2"/>
      <c r="HE243" s="2"/>
      <c r="HF243" s="2"/>
      <c r="HG243" s="2"/>
      <c r="HH243" s="2"/>
      <c r="HI243" s="2"/>
      <c r="HJ243" s="2"/>
      <c r="HK243" s="2"/>
      <c r="HL243" s="2"/>
      <c r="HM243" s="2"/>
      <c r="HN243" s="2"/>
      <c r="HO243" s="2"/>
      <c r="HP243" s="2"/>
      <c r="HQ243" s="2"/>
      <c r="HR243" s="2"/>
      <c r="HS243" s="2"/>
      <c r="HT243" s="2"/>
      <c r="HU243" s="2"/>
      <c r="HV243" s="2"/>
      <c r="HW243" s="2"/>
      <c r="HX243" s="2"/>
      <c r="HY243" s="2"/>
      <c r="HZ243" s="2"/>
      <c r="IA243" s="2"/>
      <c r="IB243" s="2"/>
      <c r="IC243" s="2"/>
      <c r="IH243" s="21"/>
      <c r="II243" s="14"/>
      <c r="IJ243" s="15"/>
      <c r="IK243" s="16"/>
      <c r="IL243" s="20"/>
      <c r="IM243" s="14"/>
      <c r="IN243" s="12"/>
      <c r="IO243" s="14"/>
      <c r="IP243" s="14"/>
    </row>
    <row r="244" spans="1:250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GS244" s="2"/>
      <c r="GT244" s="2"/>
      <c r="GU244" s="2"/>
      <c r="GV244" s="2"/>
      <c r="GW244" s="2"/>
      <c r="GX244" s="2"/>
      <c r="GY244" s="2"/>
      <c r="GZ244" s="2"/>
      <c r="HA244" s="2"/>
      <c r="HB244" s="2"/>
      <c r="HC244" s="2"/>
      <c r="HD244" s="2"/>
      <c r="HE244" s="2"/>
      <c r="HF244" s="2"/>
      <c r="HG244" s="2"/>
      <c r="HH244" s="2"/>
      <c r="HI244" s="2"/>
      <c r="HJ244" s="2"/>
      <c r="HK244" s="2"/>
      <c r="HL244" s="2"/>
      <c r="HM244" s="2"/>
      <c r="HN244" s="2"/>
      <c r="HO244" s="2"/>
      <c r="HP244" s="2"/>
      <c r="HQ244" s="2"/>
      <c r="HR244" s="2"/>
      <c r="HS244" s="2"/>
      <c r="HT244" s="2"/>
      <c r="HU244" s="2"/>
      <c r="HV244" s="2"/>
      <c r="HW244" s="2"/>
      <c r="HX244" s="2"/>
      <c r="HY244" s="2"/>
      <c r="HZ244" s="2"/>
      <c r="IA244" s="2"/>
      <c r="IB244" s="2"/>
      <c r="IC244" s="2"/>
      <c r="IH244" s="21"/>
      <c r="II244" s="14"/>
      <c r="IJ244" s="15"/>
      <c r="IK244" s="16"/>
      <c r="IL244" s="20"/>
      <c r="IM244" s="14"/>
      <c r="IN244" s="12"/>
      <c r="IO244" s="14"/>
      <c r="IP244" s="14"/>
    </row>
    <row r="245" spans="1:250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GS245" s="2"/>
      <c r="GT245" s="2"/>
      <c r="GU245" s="2"/>
      <c r="GV245" s="2"/>
      <c r="GW245" s="2"/>
      <c r="GX245" s="2"/>
      <c r="GY245" s="2"/>
      <c r="GZ245" s="2"/>
      <c r="HA245" s="2"/>
      <c r="HB245" s="2"/>
      <c r="HC245" s="2"/>
      <c r="HD245" s="2"/>
      <c r="HE245" s="2"/>
      <c r="HF245" s="2"/>
      <c r="HG245" s="2"/>
      <c r="HH245" s="2"/>
      <c r="HI245" s="2"/>
      <c r="HJ245" s="2"/>
      <c r="HK245" s="2"/>
      <c r="HL245" s="2"/>
      <c r="HM245" s="2"/>
      <c r="HN245" s="2"/>
      <c r="HO245" s="2"/>
      <c r="HP245" s="2"/>
      <c r="HQ245" s="2"/>
      <c r="HR245" s="2"/>
      <c r="HS245" s="2"/>
      <c r="HT245" s="2"/>
      <c r="HU245" s="2"/>
      <c r="HV245" s="2"/>
      <c r="HW245" s="2"/>
      <c r="HX245" s="2"/>
      <c r="HY245" s="2"/>
      <c r="HZ245" s="2"/>
      <c r="IA245" s="2"/>
      <c r="IB245" s="2"/>
      <c r="IC245" s="2"/>
      <c r="IH245" s="21"/>
      <c r="II245" s="14"/>
      <c r="IJ245" s="15"/>
      <c r="IK245" s="16"/>
      <c r="IL245" s="20"/>
      <c r="IM245" s="14"/>
      <c r="IN245" s="12"/>
      <c r="IO245" s="14"/>
      <c r="IP245" s="14"/>
    </row>
    <row r="246" spans="1:250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GS246" s="2"/>
      <c r="GT246" s="2"/>
      <c r="GU246" s="2"/>
      <c r="GV246" s="2"/>
      <c r="GW246" s="2"/>
      <c r="GX246" s="2"/>
      <c r="GY246" s="2"/>
      <c r="GZ246" s="2"/>
      <c r="HA246" s="2"/>
      <c r="HB246" s="2"/>
      <c r="HC246" s="2"/>
      <c r="HD246" s="2"/>
      <c r="HE246" s="2"/>
      <c r="HF246" s="2"/>
      <c r="HG246" s="2"/>
      <c r="HH246" s="2"/>
      <c r="HI246" s="2"/>
      <c r="HJ246" s="2"/>
      <c r="HK246" s="2"/>
      <c r="HL246" s="2"/>
      <c r="HM246" s="2"/>
      <c r="HN246" s="2"/>
      <c r="HO246" s="2"/>
      <c r="HP246" s="2"/>
      <c r="HQ246" s="2"/>
      <c r="HR246" s="2"/>
      <c r="HS246" s="2"/>
      <c r="HT246" s="2"/>
      <c r="HU246" s="2"/>
      <c r="HV246" s="2"/>
      <c r="HW246" s="2"/>
      <c r="HX246" s="2"/>
      <c r="HY246" s="2"/>
      <c r="HZ246" s="2"/>
      <c r="IA246" s="2"/>
      <c r="IB246" s="2"/>
      <c r="IC246" s="2"/>
      <c r="IH246" s="21"/>
      <c r="II246" s="14"/>
      <c r="IJ246" s="15"/>
      <c r="IK246" s="16"/>
      <c r="IL246" s="20"/>
      <c r="IM246" s="14"/>
      <c r="IN246" s="12"/>
      <c r="IO246" s="14"/>
      <c r="IP246" s="14"/>
    </row>
    <row r="247" spans="1:250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GS247" s="2"/>
      <c r="GT247" s="2"/>
      <c r="GU247" s="2"/>
      <c r="GV247" s="2"/>
      <c r="GW247" s="2"/>
      <c r="GX247" s="2"/>
      <c r="GY247" s="2"/>
      <c r="GZ247" s="2"/>
      <c r="HA247" s="2"/>
      <c r="HB247" s="2"/>
      <c r="HC247" s="2"/>
      <c r="HD247" s="2"/>
      <c r="HE247" s="2"/>
      <c r="HF247" s="2"/>
      <c r="HG247" s="2"/>
      <c r="HH247" s="2"/>
      <c r="HI247" s="2"/>
      <c r="HJ247" s="2"/>
      <c r="HK247" s="2"/>
      <c r="HL247" s="2"/>
      <c r="HM247" s="2"/>
      <c r="HN247" s="2"/>
      <c r="HO247" s="2"/>
      <c r="HP247" s="2"/>
      <c r="HQ247" s="2"/>
      <c r="HR247" s="2"/>
      <c r="HS247" s="2"/>
      <c r="HT247" s="2"/>
      <c r="HU247" s="2"/>
      <c r="HV247" s="2"/>
      <c r="HW247" s="2"/>
      <c r="HX247" s="2"/>
      <c r="HY247" s="2"/>
      <c r="HZ247" s="2"/>
      <c r="IA247" s="2"/>
      <c r="IB247" s="2"/>
      <c r="IC247" s="2"/>
      <c r="IH247" s="21"/>
      <c r="II247" s="14"/>
      <c r="IJ247" s="15"/>
      <c r="IK247" s="16"/>
      <c r="IL247" s="20"/>
      <c r="IM247" s="14"/>
      <c r="IN247" s="12"/>
      <c r="IO247" s="14"/>
      <c r="IP247" s="14"/>
    </row>
    <row r="248" spans="1:250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GS248" s="2"/>
      <c r="GT248" s="2"/>
      <c r="GU248" s="2"/>
      <c r="GV248" s="2"/>
      <c r="GW248" s="2"/>
      <c r="GX248" s="2"/>
      <c r="GY248" s="2"/>
      <c r="GZ248" s="2"/>
      <c r="HA248" s="2"/>
      <c r="HB248" s="2"/>
      <c r="HC248" s="2"/>
      <c r="HD248" s="2"/>
      <c r="HE248" s="2"/>
      <c r="HF248" s="2"/>
      <c r="HG248" s="2"/>
      <c r="HH248" s="2"/>
      <c r="HI248" s="2"/>
      <c r="HJ248" s="2"/>
      <c r="HK248" s="2"/>
      <c r="HL248" s="2"/>
      <c r="HM248" s="2"/>
      <c r="HN248" s="2"/>
      <c r="HO248" s="2"/>
      <c r="HP248" s="2"/>
      <c r="HQ248" s="2"/>
      <c r="HR248" s="2"/>
      <c r="HS248" s="2"/>
      <c r="HT248" s="2"/>
      <c r="HU248" s="2"/>
      <c r="HV248" s="2"/>
      <c r="HW248" s="2"/>
      <c r="HX248" s="2"/>
      <c r="HY248" s="2"/>
      <c r="HZ248" s="2"/>
      <c r="IA248" s="2"/>
      <c r="IB248" s="2"/>
      <c r="IC248" s="2"/>
      <c r="IH248" s="21"/>
      <c r="II248" s="14"/>
      <c r="IJ248" s="15"/>
      <c r="IK248" s="16"/>
      <c r="IL248" s="20"/>
      <c r="IM248" s="14"/>
      <c r="IN248" s="12"/>
      <c r="IO248" s="14"/>
      <c r="IP248" s="14"/>
    </row>
    <row r="249" spans="1:250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GS249" s="2"/>
      <c r="GT249" s="2"/>
      <c r="GU249" s="2"/>
      <c r="GV249" s="2"/>
      <c r="GW249" s="2"/>
      <c r="GX249" s="2"/>
      <c r="GY249" s="2"/>
      <c r="GZ249" s="2"/>
      <c r="HA249" s="2"/>
      <c r="HB249" s="2"/>
      <c r="HC249" s="2"/>
      <c r="HD249" s="2"/>
      <c r="HE249" s="2"/>
      <c r="HF249" s="2"/>
      <c r="HG249" s="2"/>
      <c r="HH249" s="2"/>
      <c r="HI249" s="2"/>
      <c r="HJ249" s="2"/>
      <c r="HK249" s="2"/>
      <c r="HL249" s="2"/>
      <c r="HM249" s="2"/>
      <c r="HN249" s="2"/>
      <c r="HO249" s="2"/>
      <c r="HP249" s="2"/>
      <c r="HQ249" s="2"/>
      <c r="HR249" s="2"/>
      <c r="HS249" s="2"/>
      <c r="HT249" s="2"/>
      <c r="HU249" s="2"/>
      <c r="HV249" s="2"/>
      <c r="HW249" s="2"/>
      <c r="HX249" s="2"/>
      <c r="HY249" s="2"/>
      <c r="HZ249" s="2"/>
      <c r="IA249" s="2"/>
      <c r="IB249" s="2"/>
      <c r="IC249" s="2"/>
      <c r="IH249" s="21"/>
      <c r="II249" s="14"/>
      <c r="IJ249" s="15"/>
      <c r="IK249" s="16"/>
      <c r="IL249" s="20"/>
      <c r="IM249" s="14"/>
      <c r="IN249" s="12"/>
      <c r="IO249" s="14"/>
      <c r="IP249" s="14"/>
    </row>
    <row r="250" spans="1:250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GS250" s="2"/>
      <c r="GT250" s="2"/>
      <c r="GU250" s="2"/>
      <c r="GV250" s="2"/>
      <c r="GW250" s="2"/>
      <c r="GX250" s="2"/>
      <c r="GY250" s="2"/>
      <c r="GZ250" s="2"/>
      <c r="HA250" s="2"/>
      <c r="HB250" s="2"/>
      <c r="HC250" s="2"/>
      <c r="HD250" s="2"/>
      <c r="HE250" s="2"/>
      <c r="HF250" s="2"/>
      <c r="HG250" s="2"/>
      <c r="HH250" s="2"/>
      <c r="HI250" s="2"/>
      <c r="HJ250" s="2"/>
      <c r="HK250" s="2"/>
      <c r="HL250" s="2"/>
      <c r="HM250" s="2"/>
      <c r="HN250" s="2"/>
      <c r="HO250" s="2"/>
      <c r="HP250" s="2"/>
      <c r="HQ250" s="2"/>
      <c r="HR250" s="2"/>
      <c r="HS250" s="2"/>
      <c r="HT250" s="2"/>
      <c r="HU250" s="2"/>
      <c r="HV250" s="2"/>
      <c r="HW250" s="2"/>
      <c r="HX250" s="2"/>
      <c r="HY250" s="2"/>
      <c r="HZ250" s="2"/>
      <c r="IA250" s="2"/>
      <c r="IB250" s="2"/>
      <c r="IC250" s="2"/>
      <c r="IH250" s="21"/>
      <c r="II250" s="14"/>
      <c r="IJ250" s="15"/>
      <c r="IK250" s="16"/>
      <c r="IL250" s="20"/>
      <c r="IM250" s="14"/>
      <c r="IN250" s="12"/>
      <c r="IO250" s="14"/>
      <c r="IP250" s="14"/>
    </row>
    <row r="251" spans="1:250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GS251" s="2"/>
      <c r="GT251" s="2"/>
      <c r="GU251" s="2"/>
      <c r="GV251" s="2"/>
      <c r="GW251" s="2"/>
      <c r="GX251" s="2"/>
      <c r="GY251" s="2"/>
      <c r="GZ251" s="2"/>
      <c r="HA251" s="2"/>
      <c r="HB251" s="2"/>
      <c r="HC251" s="2"/>
      <c r="HD251" s="2"/>
      <c r="HE251" s="2"/>
      <c r="HF251" s="2"/>
      <c r="HG251" s="2"/>
      <c r="HH251" s="2"/>
      <c r="HI251" s="2"/>
      <c r="HJ251" s="2"/>
      <c r="HK251" s="2"/>
      <c r="HL251" s="2"/>
      <c r="HM251" s="2"/>
      <c r="HN251" s="2"/>
      <c r="HO251" s="2"/>
      <c r="HP251" s="2"/>
      <c r="HQ251" s="2"/>
      <c r="HR251" s="2"/>
      <c r="HS251" s="2"/>
      <c r="HT251" s="2"/>
      <c r="HU251" s="2"/>
      <c r="HV251" s="2"/>
      <c r="HW251" s="2"/>
      <c r="HX251" s="2"/>
      <c r="HY251" s="2"/>
      <c r="HZ251" s="2"/>
      <c r="IA251" s="2"/>
      <c r="IB251" s="2"/>
      <c r="IC251" s="2"/>
      <c r="IH251" s="21"/>
      <c r="II251" s="14"/>
      <c r="IJ251" s="15"/>
      <c r="IK251" s="16"/>
      <c r="IL251" s="20"/>
      <c r="IM251" s="14"/>
      <c r="IN251" s="12"/>
      <c r="IO251" s="14"/>
      <c r="IP251" s="14"/>
    </row>
    <row r="252" spans="1:250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H252" s="21"/>
      <c r="II252" s="14"/>
      <c r="IJ252" s="15"/>
      <c r="IK252" s="16"/>
      <c r="IL252" s="20"/>
      <c r="IM252" s="14"/>
      <c r="IN252" s="12"/>
      <c r="IO252" s="14"/>
      <c r="IP252" s="14"/>
    </row>
    <row r="253" spans="1:250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GS253" s="2"/>
      <c r="GT253" s="2"/>
      <c r="GU253" s="2"/>
      <c r="GV253" s="2"/>
      <c r="GW253" s="2"/>
      <c r="GX253" s="2"/>
      <c r="GY253" s="2"/>
      <c r="GZ253" s="2"/>
      <c r="HA253" s="2"/>
      <c r="HB253" s="2"/>
      <c r="HC253" s="2"/>
      <c r="HD253" s="2"/>
      <c r="HE253" s="2"/>
      <c r="HF253" s="2"/>
      <c r="HG253" s="2"/>
      <c r="HH253" s="2"/>
      <c r="HI253" s="2"/>
      <c r="HJ253" s="2"/>
      <c r="HK253" s="2"/>
      <c r="HL253" s="2"/>
      <c r="HM253" s="2"/>
      <c r="HN253" s="2"/>
      <c r="HO253" s="2"/>
      <c r="HP253" s="2"/>
      <c r="HQ253" s="2"/>
      <c r="HR253" s="2"/>
      <c r="HS253" s="2"/>
      <c r="HT253" s="2"/>
      <c r="HU253" s="2"/>
      <c r="HV253" s="2"/>
      <c r="HW253" s="2"/>
      <c r="HX253" s="2"/>
      <c r="HY253" s="2"/>
      <c r="HZ253" s="2"/>
      <c r="IA253" s="2"/>
      <c r="IB253" s="2"/>
      <c r="IC253" s="2"/>
      <c r="IH253" s="21"/>
      <c r="II253" s="14"/>
      <c r="IJ253" s="15"/>
      <c r="IK253" s="16"/>
      <c r="IL253" s="20"/>
      <c r="IM253" s="14"/>
      <c r="IN253" s="12"/>
      <c r="IO253" s="14"/>
      <c r="IP253" s="14"/>
    </row>
    <row r="254" spans="1:250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GS254" s="2"/>
      <c r="GT254" s="2"/>
      <c r="GU254" s="2"/>
      <c r="GV254" s="2"/>
      <c r="GW254" s="2"/>
      <c r="GX254" s="2"/>
      <c r="GY254" s="2"/>
      <c r="GZ254" s="2"/>
      <c r="HA254" s="2"/>
      <c r="HB254" s="2"/>
      <c r="HC254" s="2"/>
      <c r="HD254" s="2"/>
      <c r="HE254" s="2"/>
      <c r="HF254" s="2"/>
      <c r="HG254" s="2"/>
      <c r="HH254" s="2"/>
      <c r="HI254" s="2"/>
      <c r="HJ254" s="2"/>
      <c r="HK254" s="2"/>
      <c r="HL254" s="2"/>
      <c r="HM254" s="2"/>
      <c r="HN254" s="2"/>
      <c r="HO254" s="2"/>
      <c r="HP254" s="2"/>
      <c r="HQ254" s="2"/>
      <c r="HR254" s="2"/>
      <c r="HS254" s="2"/>
      <c r="HT254" s="2"/>
      <c r="HU254" s="2"/>
      <c r="HV254" s="2"/>
      <c r="HW254" s="2"/>
      <c r="HX254" s="2"/>
      <c r="HY254" s="2"/>
      <c r="HZ254" s="2"/>
      <c r="IA254" s="2"/>
      <c r="IB254" s="2"/>
      <c r="IC254" s="2"/>
      <c r="IH254" s="21"/>
      <c r="II254" s="14"/>
      <c r="IJ254" s="15"/>
      <c r="IK254" s="16"/>
      <c r="IL254" s="20"/>
      <c r="IM254" s="14"/>
      <c r="IN254" s="12"/>
      <c r="IO254" s="14"/>
      <c r="IP254" s="14"/>
    </row>
    <row r="255" spans="1:250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GS255" s="2"/>
      <c r="GT255" s="2"/>
      <c r="GU255" s="2"/>
      <c r="GV255" s="2"/>
      <c r="GW255" s="2"/>
      <c r="GX255" s="2"/>
      <c r="GY255" s="2"/>
      <c r="GZ255" s="2"/>
      <c r="HA255" s="2"/>
      <c r="HB255" s="2"/>
      <c r="HC255" s="2"/>
      <c r="HD255" s="2"/>
      <c r="HE255" s="2"/>
      <c r="HF255" s="2"/>
      <c r="HG255" s="2"/>
      <c r="HH255" s="2"/>
      <c r="HI255" s="2"/>
      <c r="HJ255" s="2"/>
      <c r="HK255" s="2"/>
      <c r="HL255" s="2"/>
      <c r="HM255" s="2"/>
      <c r="HN255" s="2"/>
      <c r="HO255" s="2"/>
      <c r="HP255" s="2"/>
      <c r="HQ255" s="2"/>
      <c r="HR255" s="2"/>
      <c r="HS255" s="2"/>
      <c r="HT255" s="2"/>
      <c r="HU255" s="2"/>
      <c r="HV255" s="2"/>
      <c r="HW255" s="2"/>
      <c r="HX255" s="2"/>
      <c r="HY255" s="2"/>
      <c r="HZ255" s="2"/>
      <c r="IA255" s="2"/>
      <c r="IB255" s="2"/>
      <c r="IC255" s="2"/>
      <c r="IH255" s="21"/>
      <c r="II255" s="14"/>
      <c r="IJ255" s="15"/>
      <c r="IK255" s="16"/>
      <c r="IL255" s="20"/>
      <c r="IM255" s="14"/>
      <c r="IN255" s="12"/>
      <c r="IO255" s="14"/>
      <c r="IP255" s="14"/>
    </row>
    <row r="256" spans="1:250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GS256" s="2"/>
      <c r="GT256" s="2"/>
      <c r="GU256" s="2"/>
      <c r="GV256" s="2"/>
      <c r="GW256" s="2"/>
      <c r="GX256" s="2"/>
      <c r="GY256" s="2"/>
      <c r="GZ256" s="2"/>
      <c r="HA256" s="2"/>
      <c r="HB256" s="2"/>
      <c r="HC256" s="2"/>
      <c r="HD256" s="2"/>
      <c r="HE256" s="2"/>
      <c r="HF256" s="2"/>
      <c r="HG256" s="2"/>
      <c r="HH256" s="2"/>
      <c r="HI256" s="2"/>
      <c r="HJ256" s="2"/>
      <c r="HK256" s="2"/>
      <c r="HL256" s="2"/>
      <c r="HM256" s="2"/>
      <c r="HN256" s="2"/>
      <c r="HO256" s="2"/>
      <c r="HP256" s="2"/>
      <c r="HQ256" s="2"/>
      <c r="HR256" s="2"/>
      <c r="HS256" s="2"/>
      <c r="HT256" s="2"/>
      <c r="HU256" s="2"/>
      <c r="HV256" s="2"/>
      <c r="HW256" s="2"/>
      <c r="HX256" s="2"/>
      <c r="HY256" s="2"/>
      <c r="HZ256" s="2"/>
      <c r="IA256" s="2"/>
      <c r="IB256" s="2"/>
      <c r="IC256" s="2"/>
      <c r="IH256" s="21"/>
      <c r="II256" s="14"/>
      <c r="IJ256" s="15"/>
      <c r="IK256" s="16"/>
      <c r="IL256" s="20"/>
      <c r="IM256" s="14"/>
      <c r="IN256" s="12"/>
      <c r="IO256" s="14"/>
      <c r="IP256" s="14"/>
    </row>
    <row r="257" spans="1:250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GS257" s="2"/>
      <c r="GT257" s="2"/>
      <c r="GU257" s="2"/>
      <c r="GV257" s="2"/>
      <c r="GW257" s="2"/>
      <c r="GX257" s="2"/>
      <c r="GY257" s="2"/>
      <c r="GZ257" s="2"/>
      <c r="HA257" s="2"/>
      <c r="HB257" s="2"/>
      <c r="HC257" s="2"/>
      <c r="HD257" s="2"/>
      <c r="HE257" s="2"/>
      <c r="HF257" s="2"/>
      <c r="HG257" s="2"/>
      <c r="HH257" s="2"/>
      <c r="HI257" s="2"/>
      <c r="HJ257" s="2"/>
      <c r="HK257" s="2"/>
      <c r="HL257" s="2"/>
      <c r="HM257" s="2"/>
      <c r="HN257" s="2"/>
      <c r="HO257" s="2"/>
      <c r="HP257" s="2"/>
      <c r="HQ257" s="2"/>
      <c r="HR257" s="2"/>
      <c r="HS257" s="2"/>
      <c r="HT257" s="2"/>
      <c r="HU257" s="2"/>
      <c r="HV257" s="2"/>
      <c r="HW257" s="2"/>
      <c r="HX257" s="2"/>
      <c r="HY257" s="2"/>
      <c r="HZ257" s="2"/>
      <c r="IA257" s="2"/>
      <c r="IB257" s="2"/>
      <c r="IC257" s="2"/>
      <c r="IH257" s="21"/>
      <c r="II257" s="14"/>
      <c r="IJ257" s="15"/>
      <c r="IK257" s="16"/>
      <c r="IL257" s="20"/>
      <c r="IM257" s="14"/>
      <c r="IN257" s="12"/>
      <c r="IO257" s="14"/>
      <c r="IP257" s="14"/>
    </row>
    <row r="258" spans="1:250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GS258" s="2"/>
      <c r="GT258" s="2"/>
      <c r="GU258" s="2"/>
      <c r="GV258" s="2"/>
      <c r="GW258" s="2"/>
      <c r="GX258" s="2"/>
      <c r="GY258" s="2"/>
      <c r="GZ258" s="2"/>
      <c r="HA258" s="2"/>
      <c r="HB258" s="2"/>
      <c r="HC258" s="2"/>
      <c r="HD258" s="2"/>
      <c r="HE258" s="2"/>
      <c r="HF258" s="2"/>
      <c r="HG258" s="2"/>
      <c r="HH258" s="2"/>
      <c r="HI258" s="2"/>
      <c r="HJ258" s="2"/>
      <c r="HK258" s="2"/>
      <c r="HL258" s="2"/>
      <c r="HM258" s="2"/>
      <c r="HN258" s="2"/>
      <c r="HO258" s="2"/>
      <c r="HP258" s="2"/>
      <c r="HQ258" s="2"/>
      <c r="HR258" s="2"/>
      <c r="HS258" s="2"/>
      <c r="HT258" s="2"/>
      <c r="HU258" s="2"/>
      <c r="HV258" s="2"/>
      <c r="HW258" s="2"/>
      <c r="HX258" s="2"/>
      <c r="HY258" s="2"/>
      <c r="HZ258" s="2"/>
      <c r="IA258" s="2"/>
      <c r="IB258" s="2"/>
      <c r="IC258" s="2"/>
      <c r="IH258" s="21"/>
      <c r="II258" s="14"/>
      <c r="IJ258" s="15"/>
      <c r="IK258" s="16"/>
      <c r="IL258" s="20"/>
      <c r="IM258" s="14"/>
      <c r="IN258" s="12"/>
      <c r="IO258" s="14"/>
      <c r="IP258" s="14"/>
    </row>
    <row r="259" spans="1:250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GS259" s="2"/>
      <c r="GT259" s="2"/>
      <c r="GU259" s="2"/>
      <c r="GV259" s="2"/>
      <c r="GW259" s="2"/>
      <c r="GX259" s="2"/>
      <c r="GY259" s="2"/>
      <c r="GZ259" s="2"/>
      <c r="HA259" s="2"/>
      <c r="HB259" s="2"/>
      <c r="HC259" s="2"/>
      <c r="HD259" s="2"/>
      <c r="HE259" s="2"/>
      <c r="HF259" s="2"/>
      <c r="HG259" s="2"/>
      <c r="HH259" s="2"/>
      <c r="HI259" s="2"/>
      <c r="HJ259" s="2"/>
      <c r="HK259" s="2"/>
      <c r="HL259" s="2"/>
      <c r="HM259" s="2"/>
      <c r="HN259" s="2"/>
      <c r="HO259" s="2"/>
      <c r="HP259" s="2"/>
      <c r="HQ259" s="2"/>
      <c r="HR259" s="2"/>
      <c r="HS259" s="2"/>
      <c r="HT259" s="2"/>
      <c r="HU259" s="2"/>
      <c r="HV259" s="2"/>
      <c r="HW259" s="2"/>
      <c r="HX259" s="2"/>
      <c r="HY259" s="2"/>
      <c r="HZ259" s="2"/>
      <c r="IA259" s="2"/>
      <c r="IB259" s="2"/>
      <c r="IC259" s="2"/>
      <c r="IH259" s="21"/>
      <c r="II259" s="14"/>
      <c r="IJ259" s="15"/>
      <c r="IK259" s="16"/>
      <c r="IL259" s="20"/>
      <c r="IM259" s="14"/>
      <c r="IN259" s="12"/>
      <c r="IO259" s="14"/>
      <c r="IP259" s="14"/>
    </row>
    <row r="260" spans="1:250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GS260" s="2"/>
      <c r="GT260" s="2"/>
      <c r="GU260" s="2"/>
      <c r="GV260" s="2"/>
      <c r="GW260" s="2"/>
      <c r="GX260" s="2"/>
      <c r="GY260" s="2"/>
      <c r="GZ260" s="2"/>
      <c r="HA260" s="2"/>
      <c r="HB260" s="2"/>
      <c r="HC260" s="2"/>
      <c r="HD260" s="2"/>
      <c r="HE260" s="2"/>
      <c r="HF260" s="2"/>
      <c r="HG260" s="2"/>
      <c r="HH260" s="2"/>
      <c r="HI260" s="2"/>
      <c r="HJ260" s="2"/>
      <c r="HK260" s="2"/>
      <c r="HL260" s="2"/>
      <c r="HM260" s="2"/>
      <c r="HN260" s="2"/>
      <c r="HO260" s="2"/>
      <c r="HP260" s="2"/>
      <c r="HQ260" s="2"/>
      <c r="HR260" s="2"/>
      <c r="HS260" s="2"/>
      <c r="HT260" s="2"/>
      <c r="HU260" s="2"/>
      <c r="HV260" s="2"/>
      <c r="HW260" s="2"/>
      <c r="HX260" s="2"/>
      <c r="HY260" s="2"/>
      <c r="HZ260" s="2"/>
      <c r="IA260" s="2"/>
      <c r="IB260" s="2"/>
      <c r="IC260" s="2"/>
      <c r="IH260" s="21"/>
      <c r="II260" s="14"/>
      <c r="IJ260" s="15"/>
      <c r="IK260" s="16"/>
      <c r="IL260" s="20"/>
      <c r="IM260" s="14"/>
      <c r="IN260" s="12"/>
      <c r="IO260" s="14"/>
      <c r="IP260" s="14"/>
    </row>
    <row r="261" spans="1:250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GS261" s="2"/>
      <c r="GT261" s="2"/>
      <c r="GU261" s="2"/>
      <c r="GV261" s="2"/>
      <c r="GW261" s="2"/>
      <c r="GX261" s="2"/>
      <c r="GY261" s="2"/>
      <c r="GZ261" s="2"/>
      <c r="HA261" s="2"/>
      <c r="HB261" s="2"/>
      <c r="HC261" s="2"/>
      <c r="HD261" s="2"/>
      <c r="HE261" s="2"/>
      <c r="HF261" s="2"/>
      <c r="HG261" s="2"/>
      <c r="HH261" s="2"/>
      <c r="HI261" s="2"/>
      <c r="HJ261" s="2"/>
      <c r="HK261" s="2"/>
      <c r="HL261" s="2"/>
      <c r="HM261" s="2"/>
      <c r="HN261" s="2"/>
      <c r="HO261" s="2"/>
      <c r="HP261" s="2"/>
      <c r="HQ261" s="2"/>
      <c r="HR261" s="2"/>
      <c r="HS261" s="2"/>
      <c r="HT261" s="2"/>
      <c r="HU261" s="2"/>
      <c r="HV261" s="2"/>
      <c r="HW261" s="2"/>
      <c r="HX261" s="2"/>
      <c r="HY261" s="2"/>
      <c r="HZ261" s="2"/>
      <c r="IA261" s="2"/>
      <c r="IB261" s="2"/>
      <c r="IC261" s="2"/>
      <c r="IH261" s="21"/>
      <c r="II261" s="14"/>
      <c r="IJ261" s="15"/>
      <c r="IK261" s="16"/>
      <c r="IL261" s="20"/>
      <c r="IM261" s="14"/>
      <c r="IN261" s="12"/>
      <c r="IO261" s="14"/>
      <c r="IP261" s="14"/>
    </row>
    <row r="262" spans="1:250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GS262" s="2"/>
      <c r="GT262" s="2"/>
      <c r="GU262" s="2"/>
      <c r="GV262" s="2"/>
      <c r="GW262" s="2"/>
      <c r="GX262" s="2"/>
      <c r="GY262" s="2"/>
      <c r="GZ262" s="2"/>
      <c r="HA262" s="2"/>
      <c r="HB262" s="2"/>
      <c r="HC262" s="2"/>
      <c r="HD262" s="2"/>
      <c r="HE262" s="2"/>
      <c r="HF262" s="2"/>
      <c r="HG262" s="2"/>
      <c r="HH262" s="2"/>
      <c r="HI262" s="2"/>
      <c r="HJ262" s="2"/>
      <c r="HK262" s="2"/>
      <c r="HL262" s="2"/>
      <c r="HM262" s="2"/>
      <c r="HN262" s="2"/>
      <c r="HO262" s="2"/>
      <c r="HP262" s="2"/>
      <c r="HQ262" s="2"/>
      <c r="HR262" s="2"/>
      <c r="HS262" s="2"/>
      <c r="HT262" s="2"/>
      <c r="HU262" s="2"/>
      <c r="HV262" s="2"/>
      <c r="HW262" s="2"/>
      <c r="HX262" s="2"/>
      <c r="HY262" s="2"/>
      <c r="HZ262" s="2"/>
      <c r="IA262" s="2"/>
      <c r="IB262" s="2"/>
      <c r="IC262" s="2"/>
      <c r="IH262" s="21"/>
      <c r="II262" s="14"/>
      <c r="IJ262" s="15"/>
      <c r="IK262" s="16"/>
      <c r="IL262" s="20"/>
      <c r="IM262" s="14"/>
      <c r="IN262" s="12"/>
      <c r="IO262" s="14"/>
      <c r="IP262" s="14"/>
    </row>
    <row r="263" spans="1:250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GS263" s="2"/>
      <c r="GT263" s="2"/>
      <c r="GU263" s="2"/>
      <c r="GV263" s="2"/>
      <c r="GW263" s="2"/>
      <c r="GX263" s="2"/>
      <c r="GY263" s="2"/>
      <c r="GZ263" s="2"/>
      <c r="HA263" s="2"/>
      <c r="HB263" s="2"/>
      <c r="HC263" s="2"/>
      <c r="HD263" s="2"/>
      <c r="HE263" s="2"/>
      <c r="HF263" s="2"/>
      <c r="HG263" s="2"/>
      <c r="HH263" s="2"/>
      <c r="HI263" s="2"/>
      <c r="HJ263" s="2"/>
      <c r="HK263" s="2"/>
      <c r="HL263" s="2"/>
      <c r="HM263" s="2"/>
      <c r="HN263" s="2"/>
      <c r="HO263" s="2"/>
      <c r="HP263" s="2"/>
      <c r="HQ263" s="2"/>
      <c r="HR263" s="2"/>
      <c r="HS263" s="2"/>
      <c r="HT263" s="2"/>
      <c r="HU263" s="2"/>
      <c r="HV263" s="2"/>
      <c r="HW263" s="2"/>
      <c r="HX263" s="2"/>
      <c r="HY263" s="2"/>
      <c r="HZ263" s="2"/>
      <c r="IA263" s="2"/>
      <c r="IB263" s="2"/>
      <c r="IC263" s="2"/>
      <c r="IH263" s="21"/>
      <c r="II263" s="14"/>
      <c r="IJ263" s="15"/>
      <c r="IK263" s="16"/>
      <c r="IL263" s="20"/>
      <c r="IM263" s="14"/>
      <c r="IN263" s="12"/>
      <c r="IO263" s="14"/>
      <c r="IP263" s="14"/>
    </row>
    <row r="264" spans="1:250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GS264" s="2"/>
      <c r="GT264" s="2"/>
      <c r="GU264" s="2"/>
      <c r="GV264" s="2"/>
      <c r="GW264" s="2"/>
      <c r="GX264" s="2"/>
      <c r="GY264" s="2"/>
      <c r="GZ264" s="2"/>
      <c r="HA264" s="2"/>
      <c r="HB264" s="2"/>
      <c r="HC264" s="2"/>
      <c r="HD264" s="2"/>
      <c r="HE264" s="2"/>
      <c r="HF264" s="2"/>
      <c r="HG264" s="2"/>
      <c r="HH264" s="2"/>
      <c r="HI264" s="2"/>
      <c r="HJ264" s="2"/>
      <c r="HK264" s="2"/>
      <c r="HL264" s="2"/>
      <c r="HM264" s="2"/>
      <c r="HN264" s="2"/>
      <c r="HO264" s="2"/>
      <c r="HP264" s="2"/>
      <c r="HQ264" s="2"/>
      <c r="HR264" s="2"/>
      <c r="HS264" s="2"/>
      <c r="HT264" s="2"/>
      <c r="HU264" s="2"/>
      <c r="HV264" s="2"/>
      <c r="HW264" s="2"/>
      <c r="HX264" s="2"/>
      <c r="HY264" s="2"/>
      <c r="HZ264" s="2"/>
      <c r="IA264" s="2"/>
      <c r="IB264" s="2"/>
      <c r="IC264" s="2"/>
      <c r="IH264" s="21"/>
      <c r="II264" s="14"/>
      <c r="IJ264" s="15"/>
      <c r="IK264" s="16"/>
      <c r="IL264" s="20"/>
      <c r="IM264" s="14"/>
      <c r="IN264" s="12"/>
      <c r="IO264" s="14"/>
      <c r="IP264" s="14"/>
    </row>
    <row r="265" spans="1:250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GS265" s="2"/>
      <c r="GT265" s="2"/>
      <c r="GU265" s="2"/>
      <c r="GV265" s="2"/>
      <c r="GW265" s="2"/>
      <c r="GX265" s="2"/>
      <c r="GY265" s="2"/>
      <c r="GZ265" s="2"/>
      <c r="HA265" s="2"/>
      <c r="HB265" s="2"/>
      <c r="HC265" s="2"/>
      <c r="HD265" s="2"/>
      <c r="HE265" s="2"/>
      <c r="HF265" s="2"/>
      <c r="HG265" s="2"/>
      <c r="HH265" s="2"/>
      <c r="HI265" s="2"/>
      <c r="HJ265" s="2"/>
      <c r="HK265" s="2"/>
      <c r="HL265" s="2"/>
      <c r="HM265" s="2"/>
      <c r="HN265" s="2"/>
      <c r="HO265" s="2"/>
      <c r="HP265" s="2"/>
      <c r="HQ265" s="2"/>
      <c r="HR265" s="2"/>
      <c r="HS265" s="2"/>
      <c r="HT265" s="2"/>
      <c r="HU265" s="2"/>
      <c r="HV265" s="2"/>
      <c r="HW265" s="2"/>
      <c r="HX265" s="2"/>
      <c r="HY265" s="2"/>
      <c r="HZ265" s="2"/>
      <c r="IA265" s="2"/>
      <c r="IB265" s="2"/>
      <c r="IC265" s="2"/>
      <c r="IH265" s="21"/>
      <c r="II265" s="14"/>
      <c r="IJ265" s="15"/>
      <c r="IK265" s="16"/>
      <c r="IL265" s="20"/>
      <c r="IM265" s="14"/>
      <c r="IN265" s="12"/>
      <c r="IO265" s="14"/>
      <c r="IP265" s="14"/>
    </row>
    <row r="266" spans="1:250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GS266" s="2"/>
      <c r="GT266" s="2"/>
      <c r="GU266" s="2"/>
      <c r="GV266" s="2"/>
      <c r="GW266" s="2"/>
      <c r="GX266" s="2"/>
      <c r="GY266" s="2"/>
      <c r="GZ266" s="2"/>
      <c r="HA266" s="2"/>
      <c r="HB266" s="2"/>
      <c r="HC266" s="2"/>
      <c r="HD266" s="2"/>
      <c r="HE266" s="2"/>
      <c r="HF266" s="2"/>
      <c r="HG266" s="2"/>
      <c r="HH266" s="2"/>
      <c r="HI266" s="2"/>
      <c r="HJ266" s="2"/>
      <c r="HK266" s="2"/>
      <c r="HL266" s="2"/>
      <c r="HM266" s="2"/>
      <c r="HN266" s="2"/>
      <c r="HO266" s="2"/>
      <c r="HP266" s="2"/>
      <c r="HQ266" s="2"/>
      <c r="HR266" s="2"/>
      <c r="HS266" s="2"/>
      <c r="HT266" s="2"/>
      <c r="HU266" s="2"/>
      <c r="HV266" s="2"/>
      <c r="HW266" s="2"/>
      <c r="HX266" s="2"/>
      <c r="HY266" s="2"/>
      <c r="HZ266" s="2"/>
      <c r="IA266" s="2"/>
      <c r="IB266" s="2"/>
      <c r="IC266" s="2"/>
      <c r="IH266" s="21"/>
      <c r="II266" s="14"/>
      <c r="IJ266" s="15"/>
      <c r="IK266" s="16"/>
      <c r="IL266" s="20"/>
      <c r="IM266" s="14"/>
      <c r="IN266" s="12"/>
      <c r="IO266" s="14"/>
      <c r="IP266" s="14"/>
    </row>
    <row r="267" spans="1:250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GS267" s="2"/>
      <c r="GT267" s="2"/>
      <c r="GU267" s="2"/>
      <c r="GV267" s="2"/>
      <c r="GW267" s="2"/>
      <c r="GX267" s="2"/>
      <c r="GY267" s="2"/>
      <c r="GZ267" s="2"/>
      <c r="HA267" s="2"/>
      <c r="HB267" s="2"/>
      <c r="HC267" s="2"/>
      <c r="HD267" s="2"/>
      <c r="HE267" s="2"/>
      <c r="HF267" s="2"/>
      <c r="HG267" s="2"/>
      <c r="HH267" s="2"/>
      <c r="HI267" s="2"/>
      <c r="HJ267" s="2"/>
      <c r="HK267" s="2"/>
      <c r="HL267" s="2"/>
      <c r="HM267" s="2"/>
      <c r="HN267" s="2"/>
      <c r="HO267" s="2"/>
      <c r="HP267" s="2"/>
      <c r="HQ267" s="2"/>
      <c r="HR267" s="2"/>
      <c r="HS267" s="2"/>
      <c r="HT267" s="2"/>
      <c r="HU267" s="2"/>
      <c r="HV267" s="2"/>
      <c r="HW267" s="2"/>
      <c r="HX267" s="2"/>
      <c r="HY267" s="2"/>
      <c r="HZ267" s="2"/>
      <c r="IA267" s="2"/>
      <c r="IB267" s="2"/>
      <c r="IC267" s="2"/>
      <c r="IH267" s="21"/>
      <c r="II267" s="14"/>
      <c r="IJ267" s="15"/>
      <c r="IK267" s="16"/>
      <c r="IL267" s="20"/>
      <c r="IM267" s="14"/>
      <c r="IN267" s="12"/>
      <c r="IO267" s="14"/>
      <c r="IP267" s="14"/>
    </row>
    <row r="268" spans="1:250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GS268" s="2"/>
      <c r="GT268" s="2"/>
      <c r="GU268" s="2"/>
      <c r="GV268" s="2"/>
      <c r="GW268" s="2"/>
      <c r="GX268" s="2"/>
      <c r="GY268" s="2"/>
      <c r="GZ268" s="2"/>
      <c r="HA268" s="2"/>
      <c r="HB268" s="2"/>
      <c r="HC268" s="2"/>
      <c r="HD268" s="2"/>
      <c r="HE268" s="2"/>
      <c r="HF268" s="2"/>
      <c r="HG268" s="2"/>
      <c r="HH268" s="2"/>
      <c r="HI268" s="2"/>
      <c r="HJ268" s="2"/>
      <c r="HK268" s="2"/>
      <c r="HL268" s="2"/>
      <c r="HM268" s="2"/>
      <c r="HN268" s="2"/>
      <c r="HO268" s="2"/>
      <c r="HP268" s="2"/>
      <c r="HQ268" s="2"/>
      <c r="HR268" s="2"/>
      <c r="HS268" s="2"/>
      <c r="HT268" s="2"/>
      <c r="HU268" s="2"/>
      <c r="HV268" s="2"/>
      <c r="HW268" s="2"/>
      <c r="HX268" s="2"/>
      <c r="HY268" s="2"/>
      <c r="HZ268" s="2"/>
      <c r="IA268" s="2"/>
      <c r="IB268" s="2"/>
      <c r="IC268" s="2"/>
      <c r="IH268" s="21"/>
      <c r="II268" s="14"/>
      <c r="IJ268" s="15"/>
      <c r="IK268" s="16"/>
      <c r="IL268" s="20"/>
      <c r="IM268" s="14"/>
      <c r="IN268" s="12"/>
      <c r="IO268" s="14"/>
      <c r="IP268" s="14"/>
    </row>
    <row r="269" spans="1:250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GS269" s="2"/>
      <c r="GT269" s="2"/>
      <c r="GU269" s="2"/>
      <c r="GV269" s="2"/>
      <c r="GW269" s="2"/>
      <c r="GX269" s="2"/>
      <c r="GY269" s="2"/>
      <c r="GZ269" s="2"/>
      <c r="HA269" s="2"/>
      <c r="HB269" s="2"/>
      <c r="HC269" s="2"/>
      <c r="HD269" s="2"/>
      <c r="HE269" s="2"/>
      <c r="HF269" s="2"/>
      <c r="HG269" s="2"/>
      <c r="HH269" s="2"/>
      <c r="HI269" s="2"/>
      <c r="HJ269" s="2"/>
      <c r="HK269" s="2"/>
      <c r="HL269" s="2"/>
      <c r="HM269" s="2"/>
      <c r="HN269" s="2"/>
      <c r="HO269" s="2"/>
      <c r="HP269" s="2"/>
      <c r="HQ269" s="2"/>
      <c r="HR269" s="2"/>
      <c r="HS269" s="2"/>
      <c r="HT269" s="2"/>
      <c r="HU269" s="2"/>
      <c r="HV269" s="2"/>
      <c r="HW269" s="2"/>
      <c r="HX269" s="2"/>
      <c r="HY269" s="2"/>
      <c r="HZ269" s="2"/>
      <c r="IA269" s="2"/>
      <c r="IB269" s="2"/>
      <c r="IC269" s="2"/>
      <c r="IH269" s="21"/>
      <c r="II269" s="14"/>
      <c r="IJ269" s="15"/>
      <c r="IK269" s="16"/>
      <c r="IL269" s="20"/>
      <c r="IM269" s="14"/>
      <c r="IN269" s="12"/>
      <c r="IO269" s="14"/>
      <c r="IP269" s="14"/>
    </row>
    <row r="270" spans="1:250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GS270" s="2"/>
      <c r="GT270" s="2"/>
      <c r="GU270" s="2"/>
      <c r="GV270" s="2"/>
      <c r="GW270" s="2"/>
      <c r="GX270" s="2"/>
      <c r="GY270" s="2"/>
      <c r="GZ270" s="2"/>
      <c r="HA270" s="2"/>
      <c r="HB270" s="2"/>
      <c r="HC270" s="2"/>
      <c r="HD270" s="2"/>
      <c r="HE270" s="2"/>
      <c r="HF270" s="2"/>
      <c r="HG270" s="2"/>
      <c r="HH270" s="2"/>
      <c r="HI270" s="2"/>
      <c r="HJ270" s="2"/>
      <c r="HK270" s="2"/>
      <c r="HL270" s="2"/>
      <c r="HM270" s="2"/>
      <c r="HN270" s="2"/>
      <c r="HO270" s="2"/>
      <c r="HP270" s="2"/>
      <c r="HQ270" s="2"/>
      <c r="HR270" s="2"/>
      <c r="HS270" s="2"/>
      <c r="HT270" s="2"/>
      <c r="HU270" s="2"/>
      <c r="HV270" s="2"/>
      <c r="HW270" s="2"/>
      <c r="HX270" s="2"/>
      <c r="HY270" s="2"/>
      <c r="HZ270" s="2"/>
      <c r="IA270" s="2"/>
      <c r="IB270" s="2"/>
      <c r="IC270" s="2"/>
      <c r="IH270" s="21"/>
      <c r="II270" s="14"/>
      <c r="IJ270" s="15"/>
      <c r="IK270" s="16"/>
      <c r="IL270" s="20"/>
      <c r="IM270" s="14"/>
      <c r="IN270" s="12"/>
      <c r="IO270" s="14"/>
      <c r="IP270" s="14"/>
    </row>
    <row r="271" spans="1:250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GS271" s="2"/>
      <c r="GT271" s="2"/>
      <c r="GU271" s="2"/>
      <c r="GV271" s="2"/>
      <c r="GW271" s="2"/>
      <c r="GX271" s="2"/>
      <c r="GY271" s="2"/>
      <c r="GZ271" s="2"/>
      <c r="HA271" s="2"/>
      <c r="HB271" s="2"/>
      <c r="HC271" s="2"/>
      <c r="HD271" s="2"/>
      <c r="HE271" s="2"/>
      <c r="HF271" s="2"/>
      <c r="HG271" s="2"/>
      <c r="HH271" s="2"/>
      <c r="HI271" s="2"/>
      <c r="HJ271" s="2"/>
      <c r="HK271" s="2"/>
      <c r="HL271" s="2"/>
      <c r="HM271" s="2"/>
      <c r="HN271" s="2"/>
      <c r="HO271" s="2"/>
      <c r="HP271" s="2"/>
      <c r="HQ271" s="2"/>
      <c r="HR271" s="2"/>
      <c r="HS271" s="2"/>
      <c r="HT271" s="2"/>
      <c r="HU271" s="2"/>
      <c r="HV271" s="2"/>
      <c r="HW271" s="2"/>
      <c r="HX271" s="2"/>
      <c r="HY271" s="2"/>
      <c r="HZ271" s="2"/>
      <c r="IA271" s="2"/>
      <c r="IB271" s="2"/>
      <c r="IC271" s="2"/>
      <c r="IH271" s="21"/>
      <c r="II271" s="14"/>
      <c r="IJ271" s="15"/>
      <c r="IK271" s="16"/>
      <c r="IL271" s="20"/>
      <c r="IM271" s="14"/>
      <c r="IN271" s="12"/>
      <c r="IO271" s="14"/>
      <c r="IP271" s="14"/>
    </row>
    <row r="272" spans="1:250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GS272" s="2"/>
      <c r="GT272" s="2"/>
      <c r="GU272" s="2"/>
      <c r="GV272" s="2"/>
      <c r="GW272" s="2"/>
      <c r="GX272" s="2"/>
      <c r="GY272" s="2"/>
      <c r="GZ272" s="2"/>
      <c r="HA272" s="2"/>
      <c r="HB272" s="2"/>
      <c r="HC272" s="2"/>
      <c r="HD272" s="2"/>
      <c r="HE272" s="2"/>
      <c r="HF272" s="2"/>
      <c r="HG272" s="2"/>
      <c r="HH272" s="2"/>
      <c r="HI272" s="2"/>
      <c r="HJ272" s="2"/>
      <c r="HK272" s="2"/>
      <c r="HL272" s="2"/>
      <c r="HM272" s="2"/>
      <c r="HN272" s="2"/>
      <c r="HO272" s="2"/>
      <c r="HP272" s="2"/>
      <c r="HQ272" s="2"/>
      <c r="HR272" s="2"/>
      <c r="HS272" s="2"/>
      <c r="HT272" s="2"/>
      <c r="HU272" s="2"/>
      <c r="HV272" s="2"/>
      <c r="HW272" s="2"/>
      <c r="HX272" s="2"/>
      <c r="HY272" s="2"/>
      <c r="HZ272" s="2"/>
      <c r="IA272" s="2"/>
      <c r="IB272" s="2"/>
      <c r="IC272" s="2"/>
      <c r="IH272" s="21"/>
      <c r="II272" s="14"/>
      <c r="IJ272" s="15"/>
      <c r="IK272" s="16"/>
      <c r="IL272" s="20"/>
      <c r="IM272" s="14"/>
      <c r="IN272" s="12"/>
      <c r="IO272" s="14"/>
      <c r="IP272" s="14"/>
    </row>
    <row r="273" spans="1:250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  <c r="FN273" s="2"/>
      <c r="FO273" s="2"/>
      <c r="FP273" s="2"/>
      <c r="FQ273" s="2"/>
      <c r="FR273" s="2"/>
      <c r="FS273" s="2"/>
      <c r="FT273" s="2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2"/>
      <c r="GG273" s="2"/>
      <c r="GH273" s="2"/>
      <c r="GI273" s="2"/>
      <c r="GJ273" s="2"/>
      <c r="GK273" s="2"/>
      <c r="GL273" s="2"/>
      <c r="GM273" s="2"/>
      <c r="GN273" s="2"/>
      <c r="GO273" s="2"/>
      <c r="GP273" s="2"/>
      <c r="GQ273" s="2"/>
      <c r="GR273" s="2"/>
      <c r="GS273" s="2"/>
      <c r="GT273" s="2"/>
      <c r="GU273" s="2"/>
      <c r="GV273" s="2"/>
      <c r="GW273" s="2"/>
      <c r="GX273" s="2"/>
      <c r="GY273" s="2"/>
      <c r="GZ273" s="2"/>
      <c r="HA273" s="2"/>
      <c r="HB273" s="2"/>
      <c r="HC273" s="2"/>
      <c r="HD273" s="2"/>
      <c r="HE273" s="2"/>
      <c r="HF273" s="2"/>
      <c r="HG273" s="2"/>
      <c r="HH273" s="2"/>
      <c r="HI273" s="2"/>
      <c r="HJ273" s="2"/>
      <c r="HK273" s="2"/>
      <c r="HL273" s="2"/>
      <c r="HM273" s="2"/>
      <c r="HN273" s="2"/>
      <c r="HO273" s="2"/>
      <c r="HP273" s="2"/>
      <c r="HQ273" s="2"/>
      <c r="HR273" s="2"/>
      <c r="HS273" s="2"/>
      <c r="HT273" s="2"/>
      <c r="HU273" s="2"/>
      <c r="HV273" s="2"/>
      <c r="HW273" s="2"/>
      <c r="HX273" s="2"/>
      <c r="HY273" s="2"/>
      <c r="HZ273" s="2"/>
      <c r="IA273" s="2"/>
      <c r="IB273" s="2"/>
      <c r="IC273" s="2"/>
      <c r="IH273" s="21"/>
      <c r="II273" s="14"/>
      <c r="IJ273" s="15"/>
      <c r="IK273" s="16"/>
      <c r="IL273" s="20"/>
      <c r="IM273" s="14"/>
      <c r="IN273" s="12"/>
      <c r="IO273" s="14"/>
      <c r="IP273" s="14"/>
    </row>
    <row r="274" spans="1:250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GS274" s="2"/>
      <c r="GT274" s="2"/>
      <c r="GU274" s="2"/>
      <c r="GV274" s="2"/>
      <c r="GW274" s="2"/>
      <c r="GX274" s="2"/>
      <c r="GY274" s="2"/>
      <c r="GZ274" s="2"/>
      <c r="HA274" s="2"/>
      <c r="HB274" s="2"/>
      <c r="HC274" s="2"/>
      <c r="HD274" s="2"/>
      <c r="HE274" s="2"/>
      <c r="HF274" s="2"/>
      <c r="HG274" s="2"/>
      <c r="HH274" s="2"/>
      <c r="HI274" s="2"/>
      <c r="HJ274" s="2"/>
      <c r="HK274" s="2"/>
      <c r="HL274" s="2"/>
      <c r="HM274" s="2"/>
      <c r="HN274" s="2"/>
      <c r="HO274" s="2"/>
      <c r="HP274" s="2"/>
      <c r="HQ274" s="2"/>
      <c r="HR274" s="2"/>
      <c r="HS274" s="2"/>
      <c r="HT274" s="2"/>
      <c r="HU274" s="2"/>
      <c r="HV274" s="2"/>
      <c r="HW274" s="2"/>
      <c r="HX274" s="2"/>
      <c r="HY274" s="2"/>
      <c r="HZ274" s="2"/>
      <c r="IA274" s="2"/>
      <c r="IB274" s="2"/>
      <c r="IC274" s="2"/>
      <c r="IH274" s="21"/>
      <c r="II274" s="14"/>
      <c r="IJ274" s="15"/>
      <c r="IK274" s="16"/>
      <c r="IL274" s="20"/>
      <c r="IM274" s="14"/>
      <c r="IN274" s="12"/>
      <c r="IO274" s="14"/>
      <c r="IP274" s="14"/>
    </row>
    <row r="275" spans="1:250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GS275" s="2"/>
      <c r="GT275" s="2"/>
      <c r="GU275" s="2"/>
      <c r="GV275" s="2"/>
      <c r="GW275" s="2"/>
      <c r="GX275" s="2"/>
      <c r="GY275" s="2"/>
      <c r="GZ275" s="2"/>
      <c r="HA275" s="2"/>
      <c r="HB275" s="2"/>
      <c r="HC275" s="2"/>
      <c r="HD275" s="2"/>
      <c r="HE275" s="2"/>
      <c r="HF275" s="2"/>
      <c r="HG275" s="2"/>
      <c r="HH275" s="2"/>
      <c r="HI275" s="2"/>
      <c r="HJ275" s="2"/>
      <c r="HK275" s="2"/>
      <c r="HL275" s="2"/>
      <c r="HM275" s="2"/>
      <c r="HN275" s="2"/>
      <c r="HO275" s="2"/>
      <c r="HP275" s="2"/>
      <c r="HQ275" s="2"/>
      <c r="HR275" s="2"/>
      <c r="HS275" s="2"/>
      <c r="HT275" s="2"/>
      <c r="HU275" s="2"/>
      <c r="HV275" s="2"/>
      <c r="HW275" s="2"/>
      <c r="HX275" s="2"/>
      <c r="HY275" s="2"/>
      <c r="HZ275" s="2"/>
      <c r="IA275" s="2"/>
      <c r="IB275" s="2"/>
      <c r="IC275" s="2"/>
      <c r="IH275" s="21"/>
      <c r="II275" s="14"/>
      <c r="IJ275" s="15"/>
      <c r="IK275" s="16"/>
      <c r="IL275" s="20"/>
      <c r="IM275" s="14"/>
      <c r="IN275" s="12"/>
      <c r="IO275" s="14"/>
      <c r="IP275" s="14"/>
    </row>
    <row r="276" spans="1:250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GS276" s="2"/>
      <c r="GT276" s="2"/>
      <c r="GU276" s="2"/>
      <c r="GV276" s="2"/>
      <c r="GW276" s="2"/>
      <c r="GX276" s="2"/>
      <c r="GY276" s="2"/>
      <c r="GZ276" s="2"/>
      <c r="HA276" s="2"/>
      <c r="HB276" s="2"/>
      <c r="HC276" s="2"/>
      <c r="HD276" s="2"/>
      <c r="HE276" s="2"/>
      <c r="HF276" s="2"/>
      <c r="HG276" s="2"/>
      <c r="HH276" s="2"/>
      <c r="HI276" s="2"/>
      <c r="HJ276" s="2"/>
      <c r="HK276" s="2"/>
      <c r="HL276" s="2"/>
      <c r="HM276" s="2"/>
      <c r="HN276" s="2"/>
      <c r="HO276" s="2"/>
      <c r="HP276" s="2"/>
      <c r="HQ276" s="2"/>
      <c r="HR276" s="2"/>
      <c r="HS276" s="2"/>
      <c r="HT276" s="2"/>
      <c r="HU276" s="2"/>
      <c r="HV276" s="2"/>
      <c r="HW276" s="2"/>
      <c r="HX276" s="2"/>
      <c r="HY276" s="2"/>
      <c r="HZ276" s="2"/>
      <c r="IA276" s="2"/>
      <c r="IB276" s="2"/>
      <c r="IC276" s="2"/>
      <c r="IH276" s="21"/>
      <c r="II276" s="14"/>
      <c r="IJ276" s="15"/>
      <c r="IK276" s="16"/>
      <c r="IL276" s="20"/>
      <c r="IM276" s="14"/>
      <c r="IN276" s="12"/>
      <c r="IO276" s="14"/>
      <c r="IP276" s="14"/>
    </row>
    <row r="277" spans="1:250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GS277" s="2"/>
      <c r="GT277" s="2"/>
      <c r="GU277" s="2"/>
      <c r="GV277" s="2"/>
      <c r="GW277" s="2"/>
      <c r="GX277" s="2"/>
      <c r="GY277" s="2"/>
      <c r="GZ277" s="2"/>
      <c r="HA277" s="2"/>
      <c r="HB277" s="2"/>
      <c r="HC277" s="2"/>
      <c r="HD277" s="2"/>
      <c r="HE277" s="2"/>
      <c r="HF277" s="2"/>
      <c r="HG277" s="2"/>
      <c r="HH277" s="2"/>
      <c r="HI277" s="2"/>
      <c r="HJ277" s="2"/>
      <c r="HK277" s="2"/>
      <c r="HL277" s="2"/>
      <c r="HM277" s="2"/>
      <c r="HN277" s="2"/>
      <c r="HO277" s="2"/>
      <c r="HP277" s="2"/>
      <c r="HQ277" s="2"/>
      <c r="HR277" s="2"/>
      <c r="HS277" s="2"/>
      <c r="HT277" s="2"/>
      <c r="HU277" s="2"/>
      <c r="HV277" s="2"/>
      <c r="HW277" s="2"/>
      <c r="HX277" s="2"/>
      <c r="HY277" s="2"/>
      <c r="HZ277" s="2"/>
      <c r="IA277" s="2"/>
      <c r="IB277" s="2"/>
      <c r="IC277" s="2"/>
      <c r="IH277" s="21"/>
      <c r="II277" s="14"/>
      <c r="IJ277" s="15"/>
      <c r="IK277" s="16"/>
      <c r="IL277" s="20"/>
      <c r="IM277" s="14"/>
      <c r="IN277" s="12"/>
      <c r="IO277" s="14"/>
      <c r="IP277" s="14"/>
    </row>
    <row r="278" spans="1:250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GS278" s="2"/>
      <c r="GT278" s="2"/>
      <c r="GU278" s="2"/>
      <c r="GV278" s="2"/>
      <c r="GW278" s="2"/>
      <c r="GX278" s="2"/>
      <c r="GY278" s="2"/>
      <c r="GZ278" s="2"/>
      <c r="HA278" s="2"/>
      <c r="HB278" s="2"/>
      <c r="HC278" s="2"/>
      <c r="HD278" s="2"/>
      <c r="HE278" s="2"/>
      <c r="HF278" s="2"/>
      <c r="HG278" s="2"/>
      <c r="HH278" s="2"/>
      <c r="HI278" s="2"/>
      <c r="HJ278" s="2"/>
      <c r="HK278" s="2"/>
      <c r="HL278" s="2"/>
      <c r="HM278" s="2"/>
      <c r="HN278" s="2"/>
      <c r="HO278" s="2"/>
      <c r="HP278" s="2"/>
      <c r="HQ278" s="2"/>
      <c r="HR278" s="2"/>
      <c r="HS278" s="2"/>
      <c r="HT278" s="2"/>
      <c r="HU278" s="2"/>
      <c r="HV278" s="2"/>
      <c r="HW278" s="2"/>
      <c r="HX278" s="2"/>
      <c r="HY278" s="2"/>
      <c r="HZ278" s="2"/>
      <c r="IA278" s="2"/>
      <c r="IB278" s="2"/>
      <c r="IC278" s="2"/>
      <c r="IH278" s="21"/>
      <c r="II278" s="14"/>
      <c r="IJ278" s="15"/>
      <c r="IK278" s="16"/>
      <c r="IL278" s="20"/>
      <c r="IM278" s="14"/>
      <c r="IN278" s="12"/>
      <c r="IO278" s="14"/>
      <c r="IP278" s="14"/>
    </row>
    <row r="279" spans="1:250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GS279" s="2"/>
      <c r="GT279" s="2"/>
      <c r="GU279" s="2"/>
      <c r="GV279" s="2"/>
      <c r="GW279" s="2"/>
      <c r="GX279" s="2"/>
      <c r="GY279" s="2"/>
      <c r="GZ279" s="2"/>
      <c r="HA279" s="2"/>
      <c r="HB279" s="2"/>
      <c r="HC279" s="2"/>
      <c r="HD279" s="2"/>
      <c r="HE279" s="2"/>
      <c r="HF279" s="2"/>
      <c r="HG279" s="2"/>
      <c r="HH279" s="2"/>
      <c r="HI279" s="2"/>
      <c r="HJ279" s="2"/>
      <c r="HK279" s="2"/>
      <c r="HL279" s="2"/>
      <c r="HM279" s="2"/>
      <c r="HN279" s="2"/>
      <c r="HO279" s="2"/>
      <c r="HP279" s="2"/>
      <c r="HQ279" s="2"/>
      <c r="HR279" s="2"/>
      <c r="HS279" s="2"/>
      <c r="HT279" s="2"/>
      <c r="HU279" s="2"/>
      <c r="HV279" s="2"/>
      <c r="HW279" s="2"/>
      <c r="HX279" s="2"/>
      <c r="HY279" s="2"/>
      <c r="HZ279" s="2"/>
      <c r="IA279" s="2"/>
      <c r="IB279" s="2"/>
      <c r="IC279" s="2"/>
      <c r="IH279" s="21"/>
      <c r="II279" s="14"/>
      <c r="IJ279" s="15"/>
      <c r="IK279" s="16"/>
      <c r="IL279" s="20"/>
      <c r="IM279" s="14"/>
      <c r="IN279" s="12"/>
      <c r="IO279" s="14"/>
      <c r="IP279" s="14"/>
    </row>
    <row r="280" spans="1:250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GS280" s="2"/>
      <c r="GT280" s="2"/>
      <c r="GU280" s="2"/>
      <c r="GV280" s="2"/>
      <c r="GW280" s="2"/>
      <c r="GX280" s="2"/>
      <c r="GY280" s="2"/>
      <c r="GZ280" s="2"/>
      <c r="HA280" s="2"/>
      <c r="HB280" s="2"/>
      <c r="HC280" s="2"/>
      <c r="HD280" s="2"/>
      <c r="HE280" s="2"/>
      <c r="HF280" s="2"/>
      <c r="HG280" s="2"/>
      <c r="HH280" s="2"/>
      <c r="HI280" s="2"/>
      <c r="HJ280" s="2"/>
      <c r="HK280" s="2"/>
      <c r="HL280" s="2"/>
      <c r="HM280" s="2"/>
      <c r="HN280" s="2"/>
      <c r="HO280" s="2"/>
      <c r="HP280" s="2"/>
      <c r="HQ280" s="2"/>
      <c r="HR280" s="2"/>
      <c r="HS280" s="2"/>
      <c r="HT280" s="2"/>
      <c r="HU280" s="2"/>
      <c r="HV280" s="2"/>
      <c r="HW280" s="2"/>
      <c r="HX280" s="2"/>
      <c r="HY280" s="2"/>
      <c r="HZ280" s="2"/>
      <c r="IA280" s="2"/>
      <c r="IB280" s="2"/>
      <c r="IC280" s="2"/>
      <c r="IH280" s="21"/>
      <c r="II280" s="14"/>
      <c r="IJ280" s="15"/>
      <c r="IK280" s="16"/>
      <c r="IL280" s="20"/>
      <c r="IM280" s="14"/>
      <c r="IN280" s="12"/>
      <c r="IO280" s="14"/>
      <c r="IP280" s="14"/>
    </row>
    <row r="281" spans="1:250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GS281" s="2"/>
      <c r="GT281" s="2"/>
      <c r="GU281" s="2"/>
      <c r="GV281" s="2"/>
      <c r="GW281" s="2"/>
      <c r="GX281" s="2"/>
      <c r="GY281" s="2"/>
      <c r="GZ281" s="2"/>
      <c r="HA281" s="2"/>
      <c r="HB281" s="2"/>
      <c r="HC281" s="2"/>
      <c r="HD281" s="2"/>
      <c r="HE281" s="2"/>
      <c r="HF281" s="2"/>
      <c r="HG281" s="2"/>
      <c r="HH281" s="2"/>
      <c r="HI281" s="2"/>
      <c r="HJ281" s="2"/>
      <c r="HK281" s="2"/>
      <c r="HL281" s="2"/>
      <c r="HM281" s="2"/>
      <c r="HN281" s="2"/>
      <c r="HO281" s="2"/>
      <c r="HP281" s="2"/>
      <c r="HQ281" s="2"/>
      <c r="HR281" s="2"/>
      <c r="HS281" s="2"/>
      <c r="HT281" s="2"/>
      <c r="HU281" s="2"/>
      <c r="HV281" s="2"/>
      <c r="HW281" s="2"/>
      <c r="HX281" s="2"/>
      <c r="HY281" s="2"/>
      <c r="HZ281" s="2"/>
      <c r="IA281" s="2"/>
      <c r="IB281" s="2"/>
      <c r="IC281" s="2"/>
      <c r="IH281" s="21"/>
      <c r="II281" s="14"/>
      <c r="IJ281" s="15"/>
      <c r="IK281" s="16"/>
      <c r="IL281" s="20"/>
      <c r="IM281" s="14"/>
      <c r="IN281" s="12"/>
      <c r="IO281" s="14"/>
      <c r="IP281" s="14"/>
    </row>
    <row r="282" spans="1:250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GS282" s="2"/>
      <c r="GT282" s="2"/>
      <c r="GU282" s="2"/>
      <c r="GV282" s="2"/>
      <c r="GW282" s="2"/>
      <c r="GX282" s="2"/>
      <c r="GY282" s="2"/>
      <c r="GZ282" s="2"/>
      <c r="HA282" s="2"/>
      <c r="HB282" s="2"/>
      <c r="HC282" s="2"/>
      <c r="HD282" s="2"/>
      <c r="HE282" s="2"/>
      <c r="HF282" s="2"/>
      <c r="HG282" s="2"/>
      <c r="HH282" s="2"/>
      <c r="HI282" s="2"/>
      <c r="HJ282" s="2"/>
      <c r="HK282" s="2"/>
      <c r="HL282" s="2"/>
      <c r="HM282" s="2"/>
      <c r="HN282" s="2"/>
      <c r="HO282" s="2"/>
      <c r="HP282" s="2"/>
      <c r="HQ282" s="2"/>
      <c r="HR282" s="2"/>
      <c r="HS282" s="2"/>
      <c r="HT282" s="2"/>
      <c r="HU282" s="2"/>
      <c r="HV282" s="2"/>
      <c r="HW282" s="2"/>
      <c r="HX282" s="2"/>
      <c r="HY282" s="2"/>
      <c r="HZ282" s="2"/>
      <c r="IA282" s="2"/>
      <c r="IB282" s="2"/>
      <c r="IC282" s="2"/>
      <c r="IH282" s="21"/>
      <c r="II282" s="14"/>
      <c r="IJ282" s="15"/>
      <c r="IK282" s="16"/>
      <c r="IL282" s="20"/>
      <c r="IM282" s="14"/>
      <c r="IN282" s="12"/>
      <c r="IO282" s="14"/>
      <c r="IP282" s="14"/>
    </row>
    <row r="283" spans="1:250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GS283" s="2"/>
      <c r="GT283" s="2"/>
      <c r="GU283" s="2"/>
      <c r="GV283" s="2"/>
      <c r="GW283" s="2"/>
      <c r="GX283" s="2"/>
      <c r="GY283" s="2"/>
      <c r="GZ283" s="2"/>
      <c r="HA283" s="2"/>
      <c r="HB283" s="2"/>
      <c r="HC283" s="2"/>
      <c r="HD283" s="2"/>
      <c r="HE283" s="2"/>
      <c r="HF283" s="2"/>
      <c r="HG283" s="2"/>
      <c r="HH283" s="2"/>
      <c r="HI283" s="2"/>
      <c r="HJ283" s="2"/>
      <c r="HK283" s="2"/>
      <c r="HL283" s="2"/>
      <c r="HM283" s="2"/>
      <c r="HN283" s="2"/>
      <c r="HO283" s="2"/>
      <c r="HP283" s="2"/>
      <c r="HQ283" s="2"/>
      <c r="HR283" s="2"/>
      <c r="HS283" s="2"/>
      <c r="HT283" s="2"/>
      <c r="HU283" s="2"/>
      <c r="HV283" s="2"/>
      <c r="HW283" s="2"/>
      <c r="HX283" s="2"/>
      <c r="HY283" s="2"/>
      <c r="HZ283" s="2"/>
      <c r="IA283" s="2"/>
      <c r="IB283" s="2"/>
      <c r="IC283" s="2"/>
      <c r="IH283" s="21"/>
      <c r="II283" s="14"/>
      <c r="IJ283" s="15"/>
      <c r="IK283" s="16"/>
      <c r="IL283" s="20"/>
      <c r="IM283" s="14"/>
      <c r="IN283" s="12"/>
      <c r="IO283" s="14"/>
      <c r="IP283" s="14"/>
    </row>
    <row r="284" spans="1:250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  <c r="ES284" s="2"/>
      <c r="ET284" s="2"/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  <c r="FN284" s="2"/>
      <c r="FO284" s="2"/>
      <c r="FP284" s="2"/>
      <c r="FQ284" s="2"/>
      <c r="FR284" s="2"/>
      <c r="FS284" s="2"/>
      <c r="FT284" s="2"/>
      <c r="FU284" s="2"/>
      <c r="FV284" s="2"/>
      <c r="FW284" s="2"/>
      <c r="FX284" s="2"/>
      <c r="FY284" s="2"/>
      <c r="FZ284" s="2"/>
      <c r="GA284" s="2"/>
      <c r="GB284" s="2"/>
      <c r="GC284" s="2"/>
      <c r="GD284" s="2"/>
      <c r="GE284" s="2"/>
      <c r="GF284" s="2"/>
      <c r="GG284" s="2"/>
      <c r="GH284" s="2"/>
      <c r="GI284" s="2"/>
      <c r="GJ284" s="2"/>
      <c r="GK284" s="2"/>
      <c r="GL284" s="2"/>
      <c r="GM284" s="2"/>
      <c r="GN284" s="2"/>
      <c r="GO284" s="2"/>
      <c r="GP284" s="2"/>
      <c r="GQ284" s="2"/>
      <c r="GR284" s="2"/>
      <c r="GS284" s="2"/>
      <c r="GT284" s="2"/>
      <c r="GU284" s="2"/>
      <c r="GV284" s="2"/>
      <c r="GW284" s="2"/>
      <c r="GX284" s="2"/>
      <c r="GY284" s="2"/>
      <c r="GZ284" s="2"/>
      <c r="HA284" s="2"/>
      <c r="HB284" s="2"/>
      <c r="HC284" s="2"/>
      <c r="HD284" s="2"/>
      <c r="HE284" s="2"/>
      <c r="HF284" s="2"/>
      <c r="HG284" s="2"/>
      <c r="HH284" s="2"/>
      <c r="HI284" s="2"/>
      <c r="HJ284" s="2"/>
      <c r="HK284" s="2"/>
      <c r="HL284" s="2"/>
      <c r="HM284" s="2"/>
      <c r="HN284" s="2"/>
      <c r="HO284" s="2"/>
      <c r="HP284" s="2"/>
      <c r="HQ284" s="2"/>
      <c r="HR284" s="2"/>
      <c r="HS284" s="2"/>
      <c r="HT284" s="2"/>
      <c r="HU284" s="2"/>
      <c r="HV284" s="2"/>
      <c r="HW284" s="2"/>
      <c r="HX284" s="2"/>
      <c r="HY284" s="2"/>
      <c r="HZ284" s="2"/>
      <c r="IA284" s="2"/>
      <c r="IB284" s="2"/>
      <c r="IC284" s="2"/>
      <c r="IH284" s="21"/>
      <c r="II284" s="14"/>
      <c r="IJ284" s="15"/>
      <c r="IK284" s="16"/>
      <c r="IL284" s="20"/>
      <c r="IM284" s="14"/>
      <c r="IN284" s="12"/>
      <c r="IO284" s="14"/>
      <c r="IP284" s="14"/>
    </row>
    <row r="285" spans="1:250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GS285" s="2"/>
      <c r="GT285" s="2"/>
      <c r="GU285" s="2"/>
      <c r="GV285" s="2"/>
      <c r="GW285" s="2"/>
      <c r="GX285" s="2"/>
      <c r="GY285" s="2"/>
      <c r="GZ285" s="2"/>
      <c r="HA285" s="2"/>
      <c r="HB285" s="2"/>
      <c r="HC285" s="2"/>
      <c r="HD285" s="2"/>
      <c r="HE285" s="2"/>
      <c r="HF285" s="2"/>
      <c r="HG285" s="2"/>
      <c r="HH285" s="2"/>
      <c r="HI285" s="2"/>
      <c r="HJ285" s="2"/>
      <c r="HK285" s="2"/>
      <c r="HL285" s="2"/>
      <c r="HM285" s="2"/>
      <c r="HN285" s="2"/>
      <c r="HO285" s="2"/>
      <c r="HP285" s="2"/>
      <c r="HQ285" s="2"/>
      <c r="HR285" s="2"/>
      <c r="HS285" s="2"/>
      <c r="HT285" s="2"/>
      <c r="HU285" s="2"/>
      <c r="HV285" s="2"/>
      <c r="HW285" s="2"/>
      <c r="HX285" s="2"/>
      <c r="HY285" s="2"/>
      <c r="HZ285" s="2"/>
      <c r="IA285" s="2"/>
      <c r="IB285" s="2"/>
      <c r="IC285" s="2"/>
      <c r="IH285" s="21"/>
      <c r="II285" s="14"/>
      <c r="IJ285" s="15"/>
      <c r="IK285" s="16"/>
      <c r="IL285" s="20"/>
      <c r="IM285" s="14"/>
      <c r="IN285" s="19"/>
      <c r="IO285" s="14"/>
      <c r="IP285" s="14"/>
    </row>
    <row r="286" spans="1:250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GS286" s="2"/>
      <c r="GT286" s="2"/>
      <c r="GU286" s="2"/>
      <c r="GV286" s="2"/>
      <c r="GW286" s="2"/>
      <c r="GX286" s="2"/>
      <c r="GY286" s="2"/>
      <c r="GZ286" s="2"/>
      <c r="HA286" s="2"/>
      <c r="HB286" s="2"/>
      <c r="HC286" s="2"/>
      <c r="HD286" s="2"/>
      <c r="HE286" s="2"/>
      <c r="HF286" s="2"/>
      <c r="HG286" s="2"/>
      <c r="HH286" s="2"/>
      <c r="HI286" s="2"/>
      <c r="HJ286" s="2"/>
      <c r="HK286" s="2"/>
      <c r="HL286" s="2"/>
      <c r="HM286" s="2"/>
      <c r="HN286" s="2"/>
      <c r="HO286" s="2"/>
      <c r="HP286" s="2"/>
      <c r="HQ286" s="2"/>
      <c r="HR286" s="2"/>
      <c r="HS286" s="2"/>
      <c r="HT286" s="2"/>
      <c r="HU286" s="2"/>
      <c r="HV286" s="2"/>
      <c r="HW286" s="2"/>
      <c r="HX286" s="2"/>
      <c r="HY286" s="2"/>
      <c r="HZ286" s="2"/>
      <c r="IA286" s="2"/>
      <c r="IB286" s="2"/>
      <c r="IC286" s="2"/>
      <c r="II286" s="18"/>
      <c r="IJ286" s="18"/>
    </row>
    <row r="287" spans="1:250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GS287" s="2"/>
      <c r="GT287" s="2"/>
      <c r="GU287" s="2"/>
      <c r="GV287" s="2"/>
      <c r="GW287" s="2"/>
      <c r="GX287" s="2"/>
      <c r="GY287" s="2"/>
      <c r="GZ287" s="2"/>
      <c r="HA287" s="2"/>
      <c r="HB287" s="2"/>
      <c r="HC287" s="2"/>
      <c r="HD287" s="2"/>
      <c r="HE287" s="2"/>
      <c r="HF287" s="2"/>
      <c r="HG287" s="2"/>
      <c r="HH287" s="2"/>
      <c r="HI287" s="2"/>
      <c r="HJ287" s="2"/>
      <c r="HK287" s="2"/>
      <c r="HL287" s="2"/>
      <c r="HM287" s="2"/>
      <c r="HN287" s="2"/>
      <c r="HO287" s="2"/>
      <c r="HP287" s="2"/>
      <c r="HQ287" s="2"/>
      <c r="HR287" s="2"/>
      <c r="HS287" s="2"/>
      <c r="HT287" s="2"/>
      <c r="HU287" s="2"/>
      <c r="HV287" s="2"/>
      <c r="HW287" s="2"/>
      <c r="HX287" s="2"/>
      <c r="HY287" s="2"/>
      <c r="HZ287" s="2"/>
      <c r="IA287" s="2"/>
      <c r="IB287" s="2"/>
      <c r="IC287" s="2"/>
      <c r="II287" s="18"/>
      <c r="IJ287" s="18"/>
    </row>
    <row r="288" spans="1:250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GS288" s="2"/>
      <c r="GT288" s="2"/>
      <c r="GU288" s="2"/>
      <c r="GV288" s="2"/>
      <c r="GW288" s="2"/>
      <c r="GX288" s="2"/>
      <c r="GY288" s="2"/>
      <c r="GZ288" s="2"/>
      <c r="HA288" s="2"/>
      <c r="HB288" s="2"/>
      <c r="HC288" s="2"/>
      <c r="HD288" s="2"/>
      <c r="HE288" s="2"/>
      <c r="HF288" s="2"/>
      <c r="HG288" s="2"/>
      <c r="HH288" s="2"/>
      <c r="HI288" s="2"/>
      <c r="HJ288" s="2"/>
      <c r="HK288" s="2"/>
      <c r="HL288" s="2"/>
      <c r="HM288" s="2"/>
      <c r="HN288" s="2"/>
      <c r="HO288" s="2"/>
      <c r="HP288" s="2"/>
      <c r="HQ288" s="2"/>
      <c r="HR288" s="2"/>
      <c r="HS288" s="2"/>
      <c r="HT288" s="2"/>
      <c r="HU288" s="2"/>
      <c r="HV288" s="2"/>
      <c r="HW288" s="2"/>
      <c r="HX288" s="2"/>
      <c r="HY288" s="2"/>
      <c r="HZ288" s="2"/>
      <c r="IA288" s="2"/>
      <c r="IB288" s="2"/>
      <c r="IC288" s="2"/>
      <c r="II288" s="18"/>
      <c r="IJ288" s="18"/>
    </row>
    <row r="289" spans="1:244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GS289" s="2"/>
      <c r="GT289" s="2"/>
      <c r="GU289" s="2"/>
      <c r="GV289" s="2"/>
      <c r="GW289" s="2"/>
      <c r="GX289" s="2"/>
      <c r="GY289" s="2"/>
      <c r="GZ289" s="2"/>
      <c r="HA289" s="2"/>
      <c r="HB289" s="2"/>
      <c r="HC289" s="2"/>
      <c r="HD289" s="2"/>
      <c r="HE289" s="2"/>
      <c r="HF289" s="2"/>
      <c r="HG289" s="2"/>
      <c r="HH289" s="2"/>
      <c r="HI289" s="2"/>
      <c r="HJ289" s="2"/>
      <c r="HK289" s="2"/>
      <c r="HL289" s="2"/>
      <c r="HM289" s="2"/>
      <c r="HN289" s="2"/>
      <c r="HO289" s="2"/>
      <c r="HP289" s="2"/>
      <c r="HQ289" s="2"/>
      <c r="HR289" s="2"/>
      <c r="HS289" s="2"/>
      <c r="HT289" s="2"/>
      <c r="HU289" s="2"/>
      <c r="HV289" s="2"/>
      <c r="HW289" s="2"/>
      <c r="HX289" s="2"/>
      <c r="HY289" s="2"/>
      <c r="HZ289" s="2"/>
      <c r="IA289" s="2"/>
      <c r="IB289" s="2"/>
      <c r="IC289" s="2"/>
      <c r="II289" s="18"/>
      <c r="IJ289" s="18"/>
    </row>
    <row r="290" spans="1:244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GS290" s="2"/>
      <c r="GT290" s="2"/>
      <c r="GU290" s="2"/>
      <c r="GV290" s="2"/>
      <c r="GW290" s="2"/>
      <c r="GX290" s="2"/>
      <c r="GY290" s="2"/>
      <c r="GZ290" s="2"/>
      <c r="HA290" s="2"/>
      <c r="HB290" s="2"/>
      <c r="HC290" s="2"/>
      <c r="HD290" s="2"/>
      <c r="HE290" s="2"/>
      <c r="HF290" s="2"/>
      <c r="HG290" s="2"/>
      <c r="HH290" s="2"/>
      <c r="HI290" s="2"/>
      <c r="HJ290" s="2"/>
      <c r="HK290" s="2"/>
      <c r="HL290" s="2"/>
      <c r="HM290" s="2"/>
      <c r="HN290" s="2"/>
      <c r="HO290" s="2"/>
      <c r="HP290" s="2"/>
      <c r="HQ290" s="2"/>
      <c r="HR290" s="2"/>
      <c r="HS290" s="2"/>
      <c r="HT290" s="2"/>
      <c r="HU290" s="2"/>
      <c r="HV290" s="2"/>
      <c r="HW290" s="2"/>
      <c r="HX290" s="2"/>
      <c r="HY290" s="2"/>
      <c r="HZ290" s="2"/>
      <c r="IA290" s="2"/>
      <c r="IB290" s="2"/>
      <c r="IC290" s="2"/>
      <c r="II290" s="18"/>
      <c r="IJ290" s="18"/>
    </row>
    <row r="291" spans="1:244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GS291" s="2"/>
      <c r="GT291" s="2"/>
      <c r="GU291" s="2"/>
      <c r="GV291" s="2"/>
      <c r="GW291" s="2"/>
      <c r="GX291" s="2"/>
      <c r="GY291" s="2"/>
      <c r="GZ291" s="2"/>
      <c r="HA291" s="2"/>
      <c r="HB291" s="2"/>
      <c r="HC291" s="2"/>
      <c r="HD291" s="2"/>
      <c r="HE291" s="2"/>
      <c r="HF291" s="2"/>
      <c r="HG291" s="2"/>
      <c r="HH291" s="2"/>
      <c r="HI291" s="2"/>
      <c r="HJ291" s="2"/>
      <c r="HK291" s="2"/>
      <c r="HL291" s="2"/>
      <c r="HM291" s="2"/>
      <c r="HN291" s="2"/>
      <c r="HO291" s="2"/>
      <c r="HP291" s="2"/>
      <c r="HQ291" s="2"/>
      <c r="HR291" s="2"/>
      <c r="HS291" s="2"/>
      <c r="HT291" s="2"/>
      <c r="HU291" s="2"/>
      <c r="HV291" s="2"/>
      <c r="HW291" s="2"/>
      <c r="HX291" s="2"/>
      <c r="HY291" s="2"/>
      <c r="HZ291" s="2"/>
      <c r="IA291" s="2"/>
      <c r="IB291" s="2"/>
      <c r="IC291" s="2"/>
      <c r="II291" s="18"/>
      <c r="IJ291" s="18"/>
    </row>
    <row r="292" spans="1:244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GS292" s="2"/>
      <c r="GT292" s="2"/>
      <c r="GU292" s="2"/>
      <c r="GV292" s="2"/>
      <c r="GW292" s="2"/>
      <c r="GX292" s="2"/>
      <c r="GY292" s="2"/>
      <c r="GZ292" s="2"/>
      <c r="HA292" s="2"/>
      <c r="HB292" s="2"/>
      <c r="HC292" s="2"/>
      <c r="HD292" s="2"/>
      <c r="HE292" s="2"/>
      <c r="HF292" s="2"/>
      <c r="HG292" s="2"/>
      <c r="HH292" s="2"/>
      <c r="HI292" s="2"/>
      <c r="HJ292" s="2"/>
      <c r="HK292" s="2"/>
      <c r="HL292" s="2"/>
      <c r="HM292" s="2"/>
      <c r="HN292" s="2"/>
      <c r="HO292" s="2"/>
      <c r="HP292" s="2"/>
      <c r="HQ292" s="2"/>
      <c r="HR292" s="2"/>
      <c r="HS292" s="2"/>
      <c r="HT292" s="2"/>
      <c r="HU292" s="2"/>
      <c r="HV292" s="2"/>
      <c r="HW292" s="2"/>
      <c r="HX292" s="2"/>
      <c r="HY292" s="2"/>
      <c r="HZ292" s="2"/>
      <c r="IA292" s="2"/>
      <c r="IB292" s="2"/>
      <c r="IC292" s="2"/>
      <c r="II292" s="18"/>
      <c r="IJ292" s="18"/>
    </row>
    <row r="293" spans="1:244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GS293" s="2"/>
      <c r="GT293" s="2"/>
      <c r="GU293" s="2"/>
      <c r="GV293" s="2"/>
      <c r="GW293" s="2"/>
      <c r="GX293" s="2"/>
      <c r="GY293" s="2"/>
      <c r="GZ293" s="2"/>
      <c r="HA293" s="2"/>
      <c r="HB293" s="2"/>
      <c r="HC293" s="2"/>
      <c r="HD293" s="2"/>
      <c r="HE293" s="2"/>
      <c r="HF293" s="2"/>
      <c r="HG293" s="2"/>
      <c r="HH293" s="2"/>
      <c r="HI293" s="2"/>
      <c r="HJ293" s="2"/>
      <c r="HK293" s="2"/>
      <c r="HL293" s="2"/>
      <c r="HM293" s="2"/>
      <c r="HN293" s="2"/>
      <c r="HO293" s="2"/>
      <c r="HP293" s="2"/>
      <c r="HQ293" s="2"/>
      <c r="HR293" s="2"/>
      <c r="HS293" s="2"/>
      <c r="HT293" s="2"/>
      <c r="HU293" s="2"/>
      <c r="HV293" s="2"/>
      <c r="HW293" s="2"/>
      <c r="HX293" s="2"/>
      <c r="HY293" s="2"/>
      <c r="HZ293" s="2"/>
      <c r="IA293" s="2"/>
      <c r="IB293" s="2"/>
      <c r="IC293" s="2"/>
      <c r="II293" s="18"/>
      <c r="IJ293" s="18"/>
    </row>
    <row r="294" spans="1:244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GS294" s="2"/>
      <c r="GT294" s="2"/>
      <c r="GU294" s="2"/>
      <c r="GV294" s="2"/>
      <c r="GW294" s="2"/>
      <c r="GX294" s="2"/>
      <c r="GY294" s="2"/>
      <c r="GZ294" s="2"/>
      <c r="HA294" s="2"/>
      <c r="HB294" s="2"/>
      <c r="HC294" s="2"/>
      <c r="HD294" s="2"/>
      <c r="HE294" s="2"/>
      <c r="HF294" s="2"/>
      <c r="HG294" s="2"/>
      <c r="HH294" s="2"/>
      <c r="HI294" s="2"/>
      <c r="HJ294" s="2"/>
      <c r="HK294" s="2"/>
      <c r="HL294" s="2"/>
      <c r="HM294" s="2"/>
      <c r="HN294" s="2"/>
      <c r="HO294" s="2"/>
      <c r="HP294" s="2"/>
      <c r="HQ294" s="2"/>
      <c r="HR294" s="2"/>
      <c r="HS294" s="2"/>
      <c r="HT294" s="2"/>
      <c r="HU294" s="2"/>
      <c r="HV294" s="2"/>
      <c r="HW294" s="2"/>
      <c r="HX294" s="2"/>
      <c r="HY294" s="2"/>
      <c r="HZ294" s="2"/>
      <c r="IA294" s="2"/>
      <c r="IB294" s="2"/>
      <c r="IC294" s="2"/>
      <c r="II294" s="18"/>
      <c r="IJ294" s="18"/>
    </row>
    <row r="295" spans="1:244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GS295" s="2"/>
      <c r="GT295" s="2"/>
      <c r="GU295" s="2"/>
      <c r="GV295" s="2"/>
      <c r="GW295" s="2"/>
      <c r="GX295" s="2"/>
      <c r="GY295" s="2"/>
      <c r="GZ295" s="2"/>
      <c r="HA295" s="2"/>
      <c r="HB295" s="2"/>
      <c r="HC295" s="2"/>
      <c r="HD295" s="2"/>
      <c r="HE295" s="2"/>
      <c r="HF295" s="2"/>
      <c r="HG295" s="2"/>
      <c r="HH295" s="2"/>
      <c r="HI295" s="2"/>
      <c r="HJ295" s="2"/>
      <c r="HK295" s="2"/>
      <c r="HL295" s="2"/>
      <c r="HM295" s="2"/>
      <c r="HN295" s="2"/>
      <c r="HO295" s="2"/>
      <c r="HP295" s="2"/>
      <c r="HQ295" s="2"/>
      <c r="HR295" s="2"/>
      <c r="HS295" s="2"/>
      <c r="HT295" s="2"/>
      <c r="HU295" s="2"/>
      <c r="HV295" s="2"/>
      <c r="HW295" s="2"/>
      <c r="HX295" s="2"/>
      <c r="HY295" s="2"/>
      <c r="HZ295" s="2"/>
      <c r="IA295" s="2"/>
      <c r="IB295" s="2"/>
      <c r="IC295" s="2"/>
      <c r="II295" s="18"/>
      <c r="IJ295" s="18"/>
    </row>
    <row r="296" spans="1:244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GS296" s="2"/>
      <c r="GT296" s="2"/>
      <c r="GU296" s="2"/>
      <c r="GV296" s="2"/>
      <c r="GW296" s="2"/>
      <c r="GX296" s="2"/>
      <c r="GY296" s="2"/>
      <c r="GZ296" s="2"/>
      <c r="HA296" s="2"/>
      <c r="HB296" s="2"/>
      <c r="HC296" s="2"/>
      <c r="HD296" s="2"/>
      <c r="HE296" s="2"/>
      <c r="HF296" s="2"/>
      <c r="HG296" s="2"/>
      <c r="HH296" s="2"/>
      <c r="HI296" s="2"/>
      <c r="HJ296" s="2"/>
      <c r="HK296" s="2"/>
      <c r="HL296" s="2"/>
      <c r="HM296" s="2"/>
      <c r="HN296" s="2"/>
      <c r="HO296" s="2"/>
      <c r="HP296" s="2"/>
      <c r="HQ296" s="2"/>
      <c r="HR296" s="2"/>
      <c r="HS296" s="2"/>
      <c r="HT296" s="2"/>
      <c r="HU296" s="2"/>
      <c r="HV296" s="2"/>
      <c r="HW296" s="2"/>
      <c r="HX296" s="2"/>
      <c r="HY296" s="2"/>
      <c r="HZ296" s="2"/>
      <c r="IA296" s="2"/>
      <c r="IB296" s="2"/>
      <c r="IC296" s="2"/>
      <c r="II296" s="18"/>
      <c r="IJ296" s="18"/>
    </row>
    <row r="297" spans="1:244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GS297" s="2"/>
      <c r="GT297" s="2"/>
      <c r="GU297" s="2"/>
      <c r="GV297" s="2"/>
      <c r="GW297" s="2"/>
      <c r="GX297" s="2"/>
      <c r="GY297" s="2"/>
      <c r="GZ297" s="2"/>
      <c r="HA297" s="2"/>
      <c r="HB297" s="2"/>
      <c r="HC297" s="2"/>
      <c r="HD297" s="2"/>
      <c r="HE297" s="2"/>
      <c r="HF297" s="2"/>
      <c r="HG297" s="2"/>
      <c r="HH297" s="2"/>
      <c r="HI297" s="2"/>
      <c r="HJ297" s="2"/>
      <c r="HK297" s="2"/>
      <c r="HL297" s="2"/>
      <c r="HM297" s="2"/>
      <c r="HN297" s="2"/>
      <c r="HO297" s="2"/>
      <c r="HP297" s="2"/>
      <c r="HQ297" s="2"/>
      <c r="HR297" s="2"/>
      <c r="HS297" s="2"/>
      <c r="HT297" s="2"/>
      <c r="HU297" s="2"/>
      <c r="HV297" s="2"/>
      <c r="HW297" s="2"/>
      <c r="HX297" s="2"/>
      <c r="HY297" s="2"/>
      <c r="HZ297" s="2"/>
      <c r="IA297" s="2"/>
      <c r="IB297" s="2"/>
      <c r="IC297" s="2"/>
      <c r="II297" s="18"/>
      <c r="IJ297" s="18"/>
    </row>
    <row r="298" spans="1:244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GS298" s="2"/>
      <c r="GT298" s="2"/>
      <c r="GU298" s="2"/>
      <c r="GV298" s="2"/>
      <c r="GW298" s="2"/>
      <c r="GX298" s="2"/>
      <c r="GY298" s="2"/>
      <c r="GZ298" s="2"/>
      <c r="HA298" s="2"/>
      <c r="HB298" s="2"/>
      <c r="HC298" s="2"/>
      <c r="HD298" s="2"/>
      <c r="HE298" s="2"/>
      <c r="HF298" s="2"/>
      <c r="HG298" s="2"/>
      <c r="HH298" s="2"/>
      <c r="HI298" s="2"/>
      <c r="HJ298" s="2"/>
      <c r="HK298" s="2"/>
      <c r="HL298" s="2"/>
      <c r="HM298" s="2"/>
      <c r="HN298" s="2"/>
      <c r="HO298" s="2"/>
      <c r="HP298" s="2"/>
      <c r="HQ298" s="2"/>
      <c r="HR298" s="2"/>
      <c r="HS298" s="2"/>
      <c r="HT298" s="2"/>
      <c r="HU298" s="2"/>
      <c r="HV298" s="2"/>
      <c r="HW298" s="2"/>
      <c r="HX298" s="2"/>
      <c r="HY298" s="2"/>
      <c r="HZ298" s="2"/>
      <c r="IA298" s="2"/>
      <c r="IB298" s="2"/>
      <c r="IC298" s="2"/>
      <c r="II298" s="18"/>
      <c r="IJ298" s="18"/>
    </row>
    <row r="299" spans="1:244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GS299" s="2"/>
      <c r="GT299" s="2"/>
      <c r="GU299" s="2"/>
      <c r="GV299" s="2"/>
      <c r="GW299" s="2"/>
      <c r="GX299" s="2"/>
      <c r="GY299" s="2"/>
      <c r="GZ299" s="2"/>
      <c r="HA299" s="2"/>
      <c r="HB299" s="2"/>
      <c r="HC299" s="2"/>
      <c r="HD299" s="2"/>
      <c r="HE299" s="2"/>
      <c r="HF299" s="2"/>
      <c r="HG299" s="2"/>
      <c r="HH299" s="2"/>
      <c r="HI299" s="2"/>
      <c r="HJ299" s="2"/>
      <c r="HK299" s="2"/>
      <c r="HL299" s="2"/>
      <c r="HM299" s="2"/>
      <c r="HN299" s="2"/>
      <c r="HO299" s="2"/>
      <c r="HP299" s="2"/>
      <c r="HQ299" s="2"/>
      <c r="HR299" s="2"/>
      <c r="HS299" s="2"/>
      <c r="HT299" s="2"/>
      <c r="HU299" s="2"/>
      <c r="HV299" s="2"/>
      <c r="HW299" s="2"/>
      <c r="HX299" s="2"/>
      <c r="HY299" s="2"/>
      <c r="HZ299" s="2"/>
      <c r="IA299" s="2"/>
      <c r="IB299" s="2"/>
      <c r="IC299" s="2"/>
      <c r="II299" s="18"/>
      <c r="IJ299" s="18"/>
    </row>
    <row r="300" spans="1:244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GS300" s="2"/>
      <c r="GT300" s="2"/>
      <c r="GU300" s="2"/>
      <c r="GV300" s="2"/>
      <c r="GW300" s="2"/>
      <c r="GX300" s="2"/>
      <c r="GY300" s="2"/>
      <c r="GZ300" s="2"/>
      <c r="HA300" s="2"/>
      <c r="HB300" s="2"/>
      <c r="HC300" s="2"/>
      <c r="HD300" s="2"/>
      <c r="HE300" s="2"/>
      <c r="HF300" s="2"/>
      <c r="HG300" s="2"/>
      <c r="HH300" s="2"/>
      <c r="HI300" s="2"/>
      <c r="HJ300" s="2"/>
      <c r="HK300" s="2"/>
      <c r="HL300" s="2"/>
      <c r="HM300" s="2"/>
      <c r="HN300" s="2"/>
      <c r="HO300" s="2"/>
      <c r="HP300" s="2"/>
      <c r="HQ300" s="2"/>
      <c r="HR300" s="2"/>
      <c r="HS300" s="2"/>
      <c r="HT300" s="2"/>
      <c r="HU300" s="2"/>
      <c r="HV300" s="2"/>
      <c r="HW300" s="2"/>
      <c r="HX300" s="2"/>
      <c r="HY300" s="2"/>
      <c r="HZ300" s="2"/>
      <c r="IA300" s="2"/>
      <c r="IB300" s="2"/>
      <c r="IC300" s="2"/>
      <c r="II300" s="18"/>
      <c r="IJ300" s="18"/>
    </row>
    <row r="301" spans="1:244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</row>
    <row r="302" spans="1:244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GS302" s="2"/>
      <c r="GT302" s="2"/>
      <c r="GU302" s="2"/>
      <c r="GV302" s="2"/>
      <c r="GW302" s="2"/>
      <c r="GX302" s="2"/>
      <c r="GY302" s="2"/>
      <c r="GZ302" s="2"/>
      <c r="HA302" s="2"/>
      <c r="HB302" s="2"/>
      <c r="HC302" s="2"/>
      <c r="HD302" s="2"/>
      <c r="HE302" s="2"/>
      <c r="HF302" s="2"/>
      <c r="HG302" s="2"/>
      <c r="HH302" s="2"/>
      <c r="HI302" s="2"/>
      <c r="HJ302" s="2"/>
      <c r="HK302" s="2"/>
      <c r="HL302" s="2"/>
      <c r="HM302" s="2"/>
      <c r="HN302" s="2"/>
      <c r="HO302" s="2"/>
      <c r="HP302" s="2"/>
      <c r="HQ302" s="2"/>
      <c r="HR302" s="2"/>
      <c r="HS302" s="2"/>
      <c r="HT302" s="2"/>
      <c r="HU302" s="2"/>
      <c r="HV302" s="2"/>
      <c r="HW302" s="2"/>
      <c r="HX302" s="2"/>
      <c r="HY302" s="2"/>
      <c r="HZ302" s="2"/>
      <c r="IA302" s="2"/>
      <c r="IB302" s="2"/>
      <c r="IC302" s="2"/>
    </row>
    <row r="303" spans="1:244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GS303" s="2"/>
      <c r="GT303" s="2"/>
      <c r="GU303" s="2"/>
      <c r="GV303" s="2"/>
      <c r="GW303" s="2"/>
      <c r="GX303" s="2"/>
      <c r="GY303" s="2"/>
      <c r="GZ303" s="2"/>
      <c r="HA303" s="2"/>
      <c r="HB303" s="2"/>
      <c r="HC303" s="2"/>
      <c r="HD303" s="2"/>
      <c r="HE303" s="2"/>
      <c r="HF303" s="2"/>
      <c r="HG303" s="2"/>
      <c r="HH303" s="2"/>
      <c r="HI303" s="2"/>
      <c r="HJ303" s="2"/>
      <c r="HK303" s="2"/>
      <c r="HL303" s="2"/>
      <c r="HM303" s="2"/>
      <c r="HN303" s="2"/>
      <c r="HO303" s="2"/>
      <c r="HP303" s="2"/>
      <c r="HQ303" s="2"/>
      <c r="HR303" s="2"/>
      <c r="HS303" s="2"/>
      <c r="HT303" s="2"/>
      <c r="HU303" s="2"/>
      <c r="HV303" s="2"/>
      <c r="HW303" s="2"/>
      <c r="HX303" s="2"/>
      <c r="HY303" s="2"/>
      <c r="HZ303" s="2"/>
      <c r="IA303" s="2"/>
      <c r="IB303" s="2"/>
      <c r="IC303" s="2"/>
    </row>
    <row r="304" spans="1:244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GS304" s="2"/>
      <c r="GT304" s="2"/>
      <c r="GU304" s="2"/>
      <c r="GV304" s="2"/>
      <c r="GW304" s="2"/>
      <c r="GX304" s="2"/>
      <c r="GY304" s="2"/>
      <c r="GZ304" s="2"/>
      <c r="HA304" s="2"/>
      <c r="HB304" s="2"/>
      <c r="HC304" s="2"/>
      <c r="HD304" s="2"/>
      <c r="HE304" s="2"/>
      <c r="HF304" s="2"/>
      <c r="HG304" s="2"/>
      <c r="HH304" s="2"/>
      <c r="HI304" s="2"/>
      <c r="HJ304" s="2"/>
      <c r="HK304" s="2"/>
      <c r="HL304" s="2"/>
      <c r="HM304" s="2"/>
      <c r="HN304" s="2"/>
      <c r="HO304" s="2"/>
      <c r="HP304" s="2"/>
      <c r="HQ304" s="2"/>
      <c r="HR304" s="2"/>
      <c r="HS304" s="2"/>
      <c r="HT304" s="2"/>
      <c r="HU304" s="2"/>
      <c r="HV304" s="2"/>
      <c r="HW304" s="2"/>
      <c r="HX304" s="2"/>
      <c r="HY304" s="2"/>
      <c r="HZ304" s="2"/>
      <c r="IA304" s="2"/>
      <c r="IB304" s="2"/>
      <c r="IC304" s="2"/>
    </row>
    <row r="305" spans="1:237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  <c r="ES305" s="2"/>
      <c r="ET305" s="2"/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2"/>
      <c r="GN305" s="2"/>
      <c r="GO305" s="2"/>
      <c r="GP305" s="2"/>
      <c r="GQ305" s="2"/>
      <c r="GR305" s="2"/>
      <c r="GS305" s="2"/>
      <c r="GT305" s="2"/>
      <c r="GU305" s="2"/>
      <c r="GV305" s="2"/>
      <c r="GW305" s="2"/>
      <c r="GX305" s="2"/>
      <c r="GY305" s="2"/>
      <c r="GZ305" s="2"/>
      <c r="HA305" s="2"/>
      <c r="HB305" s="2"/>
      <c r="HC305" s="2"/>
      <c r="HD305" s="2"/>
      <c r="HE305" s="2"/>
      <c r="HF305" s="2"/>
      <c r="HG305" s="2"/>
      <c r="HH305" s="2"/>
      <c r="HI305" s="2"/>
      <c r="HJ305" s="2"/>
      <c r="HK305" s="2"/>
      <c r="HL305" s="2"/>
      <c r="HM305" s="2"/>
      <c r="HN305" s="2"/>
      <c r="HO305" s="2"/>
      <c r="HP305" s="2"/>
      <c r="HQ305" s="2"/>
      <c r="HR305" s="2"/>
      <c r="HS305" s="2"/>
      <c r="HT305" s="2"/>
      <c r="HU305" s="2"/>
      <c r="HV305" s="2"/>
      <c r="HW305" s="2"/>
      <c r="HX305" s="2"/>
      <c r="HY305" s="2"/>
      <c r="HZ305" s="2"/>
      <c r="IA305" s="2"/>
      <c r="IB305" s="2"/>
      <c r="IC305" s="2"/>
    </row>
    <row r="306" spans="1:237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GS306" s="2"/>
      <c r="GT306" s="2"/>
      <c r="GU306" s="2"/>
      <c r="GV306" s="2"/>
      <c r="GW306" s="2"/>
      <c r="GX306" s="2"/>
      <c r="GY306" s="2"/>
      <c r="GZ306" s="2"/>
      <c r="HA306" s="2"/>
      <c r="HB306" s="2"/>
      <c r="HC306" s="2"/>
      <c r="HD306" s="2"/>
      <c r="HE306" s="2"/>
      <c r="HF306" s="2"/>
      <c r="HG306" s="2"/>
      <c r="HH306" s="2"/>
      <c r="HI306" s="2"/>
      <c r="HJ306" s="2"/>
      <c r="HK306" s="2"/>
      <c r="HL306" s="2"/>
      <c r="HM306" s="2"/>
      <c r="HN306" s="2"/>
      <c r="HO306" s="2"/>
      <c r="HP306" s="2"/>
      <c r="HQ306" s="2"/>
      <c r="HR306" s="2"/>
      <c r="HS306" s="2"/>
      <c r="HT306" s="2"/>
      <c r="HU306" s="2"/>
      <c r="HV306" s="2"/>
      <c r="HW306" s="2"/>
      <c r="HX306" s="2"/>
      <c r="HY306" s="2"/>
      <c r="HZ306" s="2"/>
      <c r="IA306" s="2"/>
      <c r="IB306" s="2"/>
      <c r="IC306" s="2"/>
    </row>
    <row r="307" spans="1:237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GS307" s="2"/>
      <c r="GT307" s="2"/>
      <c r="GU307" s="2"/>
      <c r="GV307" s="2"/>
      <c r="GW307" s="2"/>
      <c r="GX307" s="2"/>
      <c r="GY307" s="2"/>
      <c r="GZ307" s="2"/>
      <c r="HA307" s="2"/>
      <c r="HB307" s="2"/>
      <c r="HC307" s="2"/>
      <c r="HD307" s="2"/>
      <c r="HE307" s="2"/>
      <c r="HF307" s="2"/>
      <c r="HG307" s="2"/>
      <c r="HH307" s="2"/>
      <c r="HI307" s="2"/>
      <c r="HJ307" s="2"/>
      <c r="HK307" s="2"/>
      <c r="HL307" s="2"/>
      <c r="HM307" s="2"/>
      <c r="HN307" s="2"/>
      <c r="HO307" s="2"/>
      <c r="HP307" s="2"/>
      <c r="HQ307" s="2"/>
      <c r="HR307" s="2"/>
      <c r="HS307" s="2"/>
      <c r="HT307" s="2"/>
      <c r="HU307" s="2"/>
      <c r="HV307" s="2"/>
      <c r="HW307" s="2"/>
      <c r="HX307" s="2"/>
      <c r="HY307" s="2"/>
      <c r="HZ307" s="2"/>
      <c r="IA307" s="2"/>
      <c r="IB307" s="2"/>
      <c r="IC307" s="2"/>
    </row>
    <row r="308" spans="1:237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GS308" s="2"/>
      <c r="GT308" s="2"/>
      <c r="GU308" s="2"/>
      <c r="GV308" s="2"/>
      <c r="GW308" s="2"/>
      <c r="GX308" s="2"/>
      <c r="GY308" s="2"/>
      <c r="GZ308" s="2"/>
      <c r="HA308" s="2"/>
      <c r="HB308" s="2"/>
      <c r="HC308" s="2"/>
      <c r="HD308" s="2"/>
      <c r="HE308" s="2"/>
      <c r="HF308" s="2"/>
      <c r="HG308" s="2"/>
      <c r="HH308" s="2"/>
      <c r="HI308" s="2"/>
      <c r="HJ308" s="2"/>
      <c r="HK308" s="2"/>
      <c r="HL308" s="2"/>
      <c r="HM308" s="2"/>
      <c r="HN308" s="2"/>
      <c r="HO308" s="2"/>
      <c r="HP308" s="2"/>
      <c r="HQ308" s="2"/>
      <c r="HR308" s="2"/>
      <c r="HS308" s="2"/>
      <c r="HT308" s="2"/>
      <c r="HU308" s="2"/>
      <c r="HV308" s="2"/>
      <c r="HW308" s="2"/>
      <c r="HX308" s="2"/>
      <c r="HY308" s="2"/>
      <c r="HZ308" s="2"/>
      <c r="IA308" s="2"/>
      <c r="IB308" s="2"/>
      <c r="IC308" s="2"/>
    </row>
    <row r="309" spans="1:237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GS309" s="2"/>
      <c r="GT309" s="2"/>
      <c r="GU309" s="2"/>
      <c r="GV309" s="2"/>
      <c r="GW309" s="2"/>
      <c r="GX309" s="2"/>
      <c r="GY309" s="2"/>
      <c r="GZ309" s="2"/>
      <c r="HA309" s="2"/>
      <c r="HB309" s="2"/>
      <c r="HC309" s="2"/>
      <c r="HD309" s="2"/>
      <c r="HE309" s="2"/>
      <c r="HF309" s="2"/>
      <c r="HG309" s="2"/>
      <c r="HH309" s="2"/>
      <c r="HI309" s="2"/>
      <c r="HJ309" s="2"/>
      <c r="HK309" s="2"/>
      <c r="HL309" s="2"/>
      <c r="HM309" s="2"/>
      <c r="HN309" s="2"/>
      <c r="HO309" s="2"/>
      <c r="HP309" s="2"/>
      <c r="HQ309" s="2"/>
      <c r="HR309" s="2"/>
      <c r="HS309" s="2"/>
      <c r="HT309" s="2"/>
      <c r="HU309" s="2"/>
      <c r="HV309" s="2"/>
      <c r="HW309" s="2"/>
      <c r="HX309" s="2"/>
      <c r="HY309" s="2"/>
      <c r="HZ309" s="2"/>
      <c r="IA309" s="2"/>
      <c r="IB309" s="2"/>
      <c r="IC309" s="2"/>
    </row>
    <row r="310" spans="1:237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GS310" s="2"/>
      <c r="GT310" s="2"/>
      <c r="GU310" s="2"/>
      <c r="GV310" s="2"/>
      <c r="GW310" s="2"/>
      <c r="GX310" s="2"/>
      <c r="GY310" s="2"/>
      <c r="GZ310" s="2"/>
      <c r="HA310" s="2"/>
      <c r="HB310" s="2"/>
      <c r="HC310" s="2"/>
      <c r="HD310" s="2"/>
      <c r="HE310" s="2"/>
      <c r="HF310" s="2"/>
      <c r="HG310" s="2"/>
      <c r="HH310" s="2"/>
      <c r="HI310" s="2"/>
      <c r="HJ310" s="2"/>
      <c r="HK310" s="2"/>
      <c r="HL310" s="2"/>
      <c r="HM310" s="2"/>
      <c r="HN310" s="2"/>
      <c r="HO310" s="2"/>
      <c r="HP310" s="2"/>
      <c r="HQ310" s="2"/>
      <c r="HR310" s="2"/>
      <c r="HS310" s="2"/>
      <c r="HT310" s="2"/>
      <c r="HU310" s="2"/>
      <c r="HV310" s="2"/>
      <c r="HW310" s="2"/>
      <c r="HX310" s="2"/>
      <c r="HY310" s="2"/>
      <c r="HZ310" s="2"/>
      <c r="IA310" s="2"/>
      <c r="IB310" s="2"/>
      <c r="IC310" s="2"/>
    </row>
    <row r="311" spans="1:237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GS311" s="2"/>
      <c r="GT311" s="2"/>
      <c r="GU311" s="2"/>
      <c r="GV311" s="2"/>
      <c r="GW311" s="2"/>
      <c r="GX311" s="2"/>
      <c r="GY311" s="2"/>
      <c r="GZ311" s="2"/>
      <c r="HA311" s="2"/>
      <c r="HB311" s="2"/>
      <c r="HC311" s="2"/>
      <c r="HD311" s="2"/>
      <c r="HE311" s="2"/>
      <c r="HF311" s="2"/>
      <c r="HG311" s="2"/>
      <c r="HH311" s="2"/>
      <c r="HI311" s="2"/>
      <c r="HJ311" s="2"/>
      <c r="HK311" s="2"/>
      <c r="HL311" s="2"/>
      <c r="HM311" s="2"/>
      <c r="HN311" s="2"/>
      <c r="HO311" s="2"/>
      <c r="HP311" s="2"/>
      <c r="HQ311" s="2"/>
      <c r="HR311" s="2"/>
      <c r="HS311" s="2"/>
      <c r="HT311" s="2"/>
      <c r="HU311" s="2"/>
      <c r="HV311" s="2"/>
      <c r="HW311" s="2"/>
      <c r="HX311" s="2"/>
      <c r="HY311" s="2"/>
      <c r="HZ311" s="2"/>
      <c r="IA311" s="2"/>
      <c r="IB311" s="2"/>
      <c r="IC311" s="2"/>
    </row>
    <row r="312" spans="1:237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GS312" s="2"/>
      <c r="GT312" s="2"/>
      <c r="GU312" s="2"/>
      <c r="GV312" s="2"/>
      <c r="GW312" s="2"/>
      <c r="GX312" s="2"/>
      <c r="GY312" s="2"/>
      <c r="GZ312" s="2"/>
      <c r="HA312" s="2"/>
      <c r="HB312" s="2"/>
      <c r="HC312" s="2"/>
      <c r="HD312" s="2"/>
      <c r="HE312" s="2"/>
      <c r="HF312" s="2"/>
      <c r="HG312" s="2"/>
      <c r="HH312" s="2"/>
      <c r="HI312" s="2"/>
      <c r="HJ312" s="2"/>
      <c r="HK312" s="2"/>
      <c r="HL312" s="2"/>
      <c r="HM312" s="2"/>
      <c r="HN312" s="2"/>
      <c r="HO312" s="2"/>
      <c r="HP312" s="2"/>
      <c r="HQ312" s="2"/>
      <c r="HR312" s="2"/>
      <c r="HS312" s="2"/>
      <c r="HT312" s="2"/>
      <c r="HU312" s="2"/>
      <c r="HV312" s="2"/>
      <c r="HW312" s="2"/>
      <c r="HX312" s="2"/>
      <c r="HY312" s="2"/>
      <c r="HZ312" s="2"/>
      <c r="IA312" s="2"/>
      <c r="IB312" s="2"/>
      <c r="IC312" s="2"/>
    </row>
    <row r="313" spans="1:237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GS313" s="2"/>
      <c r="GT313" s="2"/>
      <c r="GU313" s="2"/>
      <c r="GV313" s="2"/>
      <c r="GW313" s="2"/>
      <c r="GX313" s="2"/>
      <c r="GY313" s="2"/>
      <c r="GZ313" s="2"/>
      <c r="HA313" s="2"/>
      <c r="HB313" s="2"/>
      <c r="HC313" s="2"/>
      <c r="HD313" s="2"/>
      <c r="HE313" s="2"/>
      <c r="HF313" s="2"/>
      <c r="HG313" s="2"/>
      <c r="HH313" s="2"/>
      <c r="HI313" s="2"/>
      <c r="HJ313" s="2"/>
      <c r="HK313" s="2"/>
      <c r="HL313" s="2"/>
      <c r="HM313" s="2"/>
      <c r="HN313" s="2"/>
      <c r="HO313" s="2"/>
      <c r="HP313" s="2"/>
      <c r="HQ313" s="2"/>
      <c r="HR313" s="2"/>
      <c r="HS313" s="2"/>
      <c r="HT313" s="2"/>
      <c r="HU313" s="2"/>
      <c r="HV313" s="2"/>
      <c r="HW313" s="2"/>
      <c r="HX313" s="2"/>
      <c r="HY313" s="2"/>
      <c r="HZ313" s="2"/>
      <c r="IA313" s="2"/>
      <c r="IB313" s="2"/>
      <c r="IC313" s="2"/>
    </row>
    <row r="314" spans="1:237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GS314" s="2"/>
      <c r="GT314" s="2"/>
      <c r="GU314" s="2"/>
      <c r="GV314" s="2"/>
      <c r="GW314" s="2"/>
      <c r="GX314" s="2"/>
      <c r="GY314" s="2"/>
      <c r="GZ314" s="2"/>
      <c r="HA314" s="2"/>
      <c r="HB314" s="2"/>
      <c r="HC314" s="2"/>
      <c r="HD314" s="2"/>
      <c r="HE314" s="2"/>
      <c r="HF314" s="2"/>
      <c r="HG314" s="2"/>
      <c r="HH314" s="2"/>
      <c r="HI314" s="2"/>
      <c r="HJ314" s="2"/>
      <c r="HK314" s="2"/>
      <c r="HL314" s="2"/>
      <c r="HM314" s="2"/>
      <c r="HN314" s="2"/>
      <c r="HO314" s="2"/>
      <c r="HP314" s="2"/>
      <c r="HQ314" s="2"/>
      <c r="HR314" s="2"/>
      <c r="HS314" s="2"/>
      <c r="HT314" s="2"/>
      <c r="HU314" s="2"/>
      <c r="HV314" s="2"/>
      <c r="HW314" s="2"/>
      <c r="HX314" s="2"/>
      <c r="HY314" s="2"/>
      <c r="HZ314" s="2"/>
      <c r="IA314" s="2"/>
      <c r="IB314" s="2"/>
      <c r="IC314" s="2"/>
    </row>
    <row r="315" spans="1:237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GS315" s="2"/>
      <c r="GT315" s="2"/>
      <c r="GU315" s="2"/>
      <c r="GV315" s="2"/>
      <c r="GW315" s="2"/>
      <c r="GX315" s="2"/>
      <c r="GY315" s="2"/>
      <c r="GZ315" s="2"/>
      <c r="HA315" s="2"/>
      <c r="HB315" s="2"/>
      <c r="HC315" s="2"/>
      <c r="HD315" s="2"/>
      <c r="HE315" s="2"/>
      <c r="HF315" s="2"/>
      <c r="HG315" s="2"/>
      <c r="HH315" s="2"/>
      <c r="HI315" s="2"/>
      <c r="HJ315" s="2"/>
      <c r="HK315" s="2"/>
      <c r="HL315" s="2"/>
      <c r="HM315" s="2"/>
      <c r="HN315" s="2"/>
      <c r="HO315" s="2"/>
      <c r="HP315" s="2"/>
      <c r="HQ315" s="2"/>
      <c r="HR315" s="2"/>
      <c r="HS315" s="2"/>
      <c r="HT315" s="2"/>
      <c r="HU315" s="2"/>
      <c r="HV315" s="2"/>
      <c r="HW315" s="2"/>
      <c r="HX315" s="2"/>
      <c r="HY315" s="2"/>
      <c r="HZ315" s="2"/>
      <c r="IA315" s="2"/>
      <c r="IB315" s="2"/>
      <c r="IC315" s="2"/>
    </row>
    <row r="316" spans="1:237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  <c r="ES316" s="2"/>
      <c r="ET316" s="2"/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2"/>
      <c r="GD316" s="2"/>
      <c r="GE316" s="2"/>
      <c r="GF316" s="2"/>
      <c r="GG316" s="2"/>
      <c r="GH316" s="2"/>
      <c r="GI316" s="2"/>
      <c r="GJ316" s="2"/>
      <c r="GK316" s="2"/>
      <c r="GL316" s="2"/>
      <c r="GM316" s="2"/>
      <c r="GN316" s="2"/>
      <c r="GO316" s="2"/>
      <c r="GP316" s="2"/>
      <c r="GQ316" s="2"/>
      <c r="GR316" s="2"/>
      <c r="GS316" s="2"/>
      <c r="GT316" s="2"/>
      <c r="GU316" s="2"/>
      <c r="GV316" s="2"/>
      <c r="GW316" s="2"/>
      <c r="GX316" s="2"/>
      <c r="GY316" s="2"/>
      <c r="GZ316" s="2"/>
      <c r="HA316" s="2"/>
      <c r="HB316" s="2"/>
      <c r="HC316" s="2"/>
      <c r="HD316" s="2"/>
      <c r="HE316" s="2"/>
      <c r="HF316" s="2"/>
      <c r="HG316" s="2"/>
      <c r="HH316" s="2"/>
      <c r="HI316" s="2"/>
      <c r="HJ316" s="2"/>
      <c r="HK316" s="2"/>
      <c r="HL316" s="2"/>
      <c r="HM316" s="2"/>
      <c r="HN316" s="2"/>
      <c r="HO316" s="2"/>
      <c r="HP316" s="2"/>
      <c r="HQ316" s="2"/>
      <c r="HR316" s="2"/>
      <c r="HS316" s="2"/>
      <c r="HT316" s="2"/>
      <c r="HU316" s="2"/>
      <c r="HV316" s="2"/>
      <c r="HW316" s="2"/>
      <c r="HX316" s="2"/>
      <c r="HY316" s="2"/>
      <c r="HZ316" s="2"/>
      <c r="IA316" s="2"/>
      <c r="IB316" s="2"/>
      <c r="IC316" s="2"/>
    </row>
    <row r="317" spans="1:237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GS317" s="2"/>
      <c r="GT317" s="2"/>
      <c r="GU317" s="2"/>
      <c r="GV317" s="2"/>
      <c r="GW317" s="2"/>
      <c r="GX317" s="2"/>
      <c r="GY317" s="2"/>
      <c r="GZ317" s="2"/>
      <c r="HA317" s="2"/>
      <c r="HB317" s="2"/>
      <c r="HC317" s="2"/>
      <c r="HD317" s="2"/>
      <c r="HE317" s="2"/>
      <c r="HF317" s="2"/>
      <c r="HG317" s="2"/>
      <c r="HH317" s="2"/>
      <c r="HI317" s="2"/>
      <c r="HJ317" s="2"/>
      <c r="HK317" s="2"/>
      <c r="HL317" s="2"/>
      <c r="HM317" s="2"/>
      <c r="HN317" s="2"/>
      <c r="HO317" s="2"/>
      <c r="HP317" s="2"/>
      <c r="HQ317" s="2"/>
      <c r="HR317" s="2"/>
      <c r="HS317" s="2"/>
      <c r="HT317" s="2"/>
      <c r="HU317" s="2"/>
      <c r="HV317" s="2"/>
      <c r="HW317" s="2"/>
      <c r="HX317" s="2"/>
      <c r="HY317" s="2"/>
      <c r="HZ317" s="2"/>
      <c r="IA317" s="2"/>
      <c r="IB317" s="2"/>
      <c r="IC317" s="2"/>
    </row>
    <row r="318" spans="1:237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GS318" s="2"/>
      <c r="GT318" s="2"/>
      <c r="GU318" s="2"/>
      <c r="GV318" s="2"/>
      <c r="GW318" s="2"/>
      <c r="GX318" s="2"/>
      <c r="GY318" s="2"/>
      <c r="GZ318" s="2"/>
      <c r="HA318" s="2"/>
      <c r="HB318" s="2"/>
      <c r="HC318" s="2"/>
      <c r="HD318" s="2"/>
      <c r="HE318" s="2"/>
      <c r="HF318" s="2"/>
      <c r="HG318" s="2"/>
      <c r="HH318" s="2"/>
      <c r="HI318" s="2"/>
      <c r="HJ318" s="2"/>
      <c r="HK318" s="2"/>
      <c r="HL318" s="2"/>
      <c r="HM318" s="2"/>
      <c r="HN318" s="2"/>
      <c r="HO318" s="2"/>
      <c r="HP318" s="2"/>
      <c r="HQ318" s="2"/>
      <c r="HR318" s="2"/>
      <c r="HS318" s="2"/>
      <c r="HT318" s="2"/>
      <c r="HU318" s="2"/>
      <c r="HV318" s="2"/>
      <c r="HW318" s="2"/>
      <c r="HX318" s="2"/>
      <c r="HY318" s="2"/>
      <c r="HZ318" s="2"/>
      <c r="IA318" s="2"/>
      <c r="IB318" s="2"/>
      <c r="IC318" s="2"/>
    </row>
    <row r="319" spans="1:237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GS319" s="2"/>
      <c r="GT319" s="2"/>
      <c r="GU319" s="2"/>
      <c r="GV319" s="2"/>
      <c r="GW319" s="2"/>
      <c r="GX319" s="2"/>
      <c r="GY319" s="2"/>
      <c r="GZ319" s="2"/>
      <c r="HA319" s="2"/>
      <c r="HB319" s="2"/>
      <c r="HC319" s="2"/>
      <c r="HD319" s="2"/>
      <c r="HE319" s="2"/>
      <c r="HF319" s="2"/>
      <c r="HG319" s="2"/>
      <c r="HH319" s="2"/>
      <c r="HI319" s="2"/>
      <c r="HJ319" s="2"/>
      <c r="HK319" s="2"/>
      <c r="HL319" s="2"/>
      <c r="HM319" s="2"/>
      <c r="HN319" s="2"/>
      <c r="HO319" s="2"/>
      <c r="HP319" s="2"/>
      <c r="HQ319" s="2"/>
      <c r="HR319" s="2"/>
      <c r="HS319" s="2"/>
      <c r="HT319" s="2"/>
      <c r="HU319" s="2"/>
      <c r="HV319" s="2"/>
      <c r="HW319" s="2"/>
      <c r="HX319" s="2"/>
      <c r="HY319" s="2"/>
      <c r="HZ319" s="2"/>
      <c r="IA319" s="2"/>
      <c r="IB319" s="2"/>
      <c r="IC319" s="2"/>
    </row>
    <row r="320" spans="1:237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GS320" s="2"/>
      <c r="GT320" s="2"/>
      <c r="GU320" s="2"/>
      <c r="GV320" s="2"/>
      <c r="GW320" s="2"/>
      <c r="GX320" s="2"/>
      <c r="GY320" s="2"/>
      <c r="GZ320" s="2"/>
      <c r="HA320" s="2"/>
      <c r="HB320" s="2"/>
      <c r="HC320" s="2"/>
      <c r="HD320" s="2"/>
      <c r="HE320" s="2"/>
      <c r="HF320" s="2"/>
      <c r="HG320" s="2"/>
      <c r="HH320" s="2"/>
      <c r="HI320" s="2"/>
      <c r="HJ320" s="2"/>
      <c r="HK320" s="2"/>
      <c r="HL320" s="2"/>
      <c r="HM320" s="2"/>
      <c r="HN320" s="2"/>
      <c r="HO320" s="2"/>
      <c r="HP320" s="2"/>
      <c r="HQ320" s="2"/>
      <c r="HR320" s="2"/>
      <c r="HS320" s="2"/>
      <c r="HT320" s="2"/>
      <c r="HU320" s="2"/>
      <c r="HV320" s="2"/>
      <c r="HW320" s="2"/>
      <c r="HX320" s="2"/>
      <c r="HY320" s="2"/>
      <c r="HZ320" s="2"/>
      <c r="IA320" s="2"/>
      <c r="IB320" s="2"/>
      <c r="IC320" s="2"/>
    </row>
    <row r="321" spans="1:237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GS321" s="2"/>
      <c r="GT321" s="2"/>
      <c r="GU321" s="2"/>
      <c r="GV321" s="2"/>
      <c r="GW321" s="2"/>
      <c r="GX321" s="2"/>
      <c r="GY321" s="2"/>
      <c r="GZ321" s="2"/>
      <c r="HA321" s="2"/>
      <c r="HB321" s="2"/>
      <c r="HC321" s="2"/>
      <c r="HD321" s="2"/>
      <c r="HE321" s="2"/>
      <c r="HF321" s="2"/>
      <c r="HG321" s="2"/>
      <c r="HH321" s="2"/>
      <c r="HI321" s="2"/>
      <c r="HJ321" s="2"/>
      <c r="HK321" s="2"/>
      <c r="HL321" s="2"/>
      <c r="HM321" s="2"/>
      <c r="HN321" s="2"/>
      <c r="HO321" s="2"/>
      <c r="HP321" s="2"/>
      <c r="HQ321" s="2"/>
      <c r="HR321" s="2"/>
      <c r="HS321" s="2"/>
      <c r="HT321" s="2"/>
      <c r="HU321" s="2"/>
      <c r="HV321" s="2"/>
      <c r="HW321" s="2"/>
      <c r="HX321" s="2"/>
      <c r="HY321" s="2"/>
      <c r="HZ321" s="2"/>
      <c r="IA321" s="2"/>
      <c r="IB321" s="2"/>
      <c r="IC321" s="2"/>
    </row>
    <row r="322" spans="1:237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GS322" s="2"/>
      <c r="GT322" s="2"/>
      <c r="GU322" s="2"/>
      <c r="GV322" s="2"/>
      <c r="GW322" s="2"/>
      <c r="GX322" s="2"/>
      <c r="GY322" s="2"/>
      <c r="GZ322" s="2"/>
      <c r="HA322" s="2"/>
      <c r="HB322" s="2"/>
      <c r="HC322" s="2"/>
      <c r="HD322" s="2"/>
      <c r="HE322" s="2"/>
      <c r="HF322" s="2"/>
      <c r="HG322" s="2"/>
      <c r="HH322" s="2"/>
      <c r="HI322" s="2"/>
      <c r="HJ322" s="2"/>
      <c r="HK322" s="2"/>
      <c r="HL322" s="2"/>
      <c r="HM322" s="2"/>
      <c r="HN322" s="2"/>
      <c r="HO322" s="2"/>
      <c r="HP322" s="2"/>
      <c r="HQ322" s="2"/>
      <c r="HR322" s="2"/>
      <c r="HS322" s="2"/>
      <c r="HT322" s="2"/>
      <c r="HU322" s="2"/>
      <c r="HV322" s="2"/>
      <c r="HW322" s="2"/>
      <c r="HX322" s="2"/>
      <c r="HY322" s="2"/>
      <c r="HZ322" s="2"/>
      <c r="IA322" s="2"/>
      <c r="IB322" s="2"/>
      <c r="IC322" s="2"/>
    </row>
    <row r="323" spans="1:237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GS323" s="2"/>
      <c r="GT323" s="2"/>
      <c r="GU323" s="2"/>
      <c r="GV323" s="2"/>
      <c r="GW323" s="2"/>
      <c r="GX323" s="2"/>
      <c r="GY323" s="2"/>
      <c r="GZ323" s="2"/>
      <c r="HA323" s="2"/>
      <c r="HB323" s="2"/>
      <c r="HC323" s="2"/>
      <c r="HD323" s="2"/>
      <c r="HE323" s="2"/>
      <c r="HF323" s="2"/>
      <c r="HG323" s="2"/>
      <c r="HH323" s="2"/>
      <c r="HI323" s="2"/>
      <c r="HJ323" s="2"/>
      <c r="HK323" s="2"/>
      <c r="HL323" s="2"/>
      <c r="HM323" s="2"/>
      <c r="HN323" s="2"/>
      <c r="HO323" s="2"/>
      <c r="HP323" s="2"/>
      <c r="HQ323" s="2"/>
      <c r="HR323" s="2"/>
      <c r="HS323" s="2"/>
      <c r="HT323" s="2"/>
      <c r="HU323" s="2"/>
      <c r="HV323" s="2"/>
      <c r="HW323" s="2"/>
      <c r="HX323" s="2"/>
      <c r="HY323" s="2"/>
      <c r="HZ323" s="2"/>
      <c r="IA323" s="2"/>
      <c r="IB323" s="2"/>
      <c r="IC323" s="2"/>
    </row>
    <row r="324" spans="1:237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GS324" s="2"/>
      <c r="GT324" s="2"/>
      <c r="GU324" s="2"/>
      <c r="GV324" s="2"/>
      <c r="GW324" s="2"/>
      <c r="GX324" s="2"/>
      <c r="GY324" s="2"/>
      <c r="GZ324" s="2"/>
      <c r="HA324" s="2"/>
      <c r="HB324" s="2"/>
      <c r="HC324" s="2"/>
      <c r="HD324" s="2"/>
      <c r="HE324" s="2"/>
      <c r="HF324" s="2"/>
      <c r="HG324" s="2"/>
      <c r="HH324" s="2"/>
      <c r="HI324" s="2"/>
      <c r="HJ324" s="2"/>
      <c r="HK324" s="2"/>
      <c r="HL324" s="2"/>
      <c r="HM324" s="2"/>
      <c r="HN324" s="2"/>
      <c r="HO324" s="2"/>
      <c r="HP324" s="2"/>
      <c r="HQ324" s="2"/>
      <c r="HR324" s="2"/>
      <c r="HS324" s="2"/>
      <c r="HT324" s="2"/>
      <c r="HU324" s="2"/>
      <c r="HV324" s="2"/>
      <c r="HW324" s="2"/>
      <c r="HX324" s="2"/>
      <c r="HY324" s="2"/>
      <c r="HZ324" s="2"/>
      <c r="IA324" s="2"/>
      <c r="IB324" s="2"/>
      <c r="IC324" s="2"/>
    </row>
    <row r="325" spans="1:237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GS325" s="2"/>
      <c r="GT325" s="2"/>
      <c r="GU325" s="2"/>
      <c r="GV325" s="2"/>
      <c r="GW325" s="2"/>
      <c r="GX325" s="2"/>
      <c r="GY325" s="2"/>
      <c r="GZ325" s="2"/>
      <c r="HA325" s="2"/>
      <c r="HB325" s="2"/>
      <c r="HC325" s="2"/>
      <c r="HD325" s="2"/>
      <c r="HE325" s="2"/>
      <c r="HF325" s="2"/>
      <c r="HG325" s="2"/>
      <c r="HH325" s="2"/>
      <c r="HI325" s="2"/>
      <c r="HJ325" s="2"/>
      <c r="HK325" s="2"/>
      <c r="HL325" s="2"/>
      <c r="HM325" s="2"/>
      <c r="HN325" s="2"/>
      <c r="HO325" s="2"/>
      <c r="HP325" s="2"/>
      <c r="HQ325" s="2"/>
      <c r="HR325" s="2"/>
      <c r="HS325" s="2"/>
      <c r="HT325" s="2"/>
      <c r="HU325" s="2"/>
      <c r="HV325" s="2"/>
      <c r="HW325" s="2"/>
      <c r="HX325" s="2"/>
      <c r="HY325" s="2"/>
      <c r="HZ325" s="2"/>
      <c r="IA325" s="2"/>
      <c r="IB325" s="2"/>
      <c r="IC325" s="2"/>
    </row>
    <row r="326" spans="1:237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GS326" s="2"/>
      <c r="GT326" s="2"/>
      <c r="GU326" s="2"/>
      <c r="GV326" s="2"/>
      <c r="GW326" s="2"/>
      <c r="GX326" s="2"/>
      <c r="GY326" s="2"/>
      <c r="GZ326" s="2"/>
      <c r="HA326" s="2"/>
      <c r="HB326" s="2"/>
      <c r="HC326" s="2"/>
      <c r="HD326" s="2"/>
      <c r="HE326" s="2"/>
      <c r="HF326" s="2"/>
      <c r="HG326" s="2"/>
      <c r="HH326" s="2"/>
      <c r="HI326" s="2"/>
      <c r="HJ326" s="2"/>
      <c r="HK326" s="2"/>
      <c r="HL326" s="2"/>
      <c r="HM326" s="2"/>
      <c r="HN326" s="2"/>
      <c r="HO326" s="2"/>
      <c r="HP326" s="2"/>
      <c r="HQ326" s="2"/>
      <c r="HR326" s="2"/>
      <c r="HS326" s="2"/>
      <c r="HT326" s="2"/>
      <c r="HU326" s="2"/>
      <c r="HV326" s="2"/>
      <c r="HW326" s="2"/>
      <c r="HX326" s="2"/>
      <c r="HY326" s="2"/>
      <c r="HZ326" s="2"/>
      <c r="IA326" s="2"/>
      <c r="IB326" s="2"/>
      <c r="IC326" s="2"/>
    </row>
    <row r="327" spans="1:237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GS327" s="2"/>
      <c r="GT327" s="2"/>
      <c r="GU327" s="2"/>
      <c r="GV327" s="2"/>
      <c r="GW327" s="2"/>
      <c r="GX327" s="2"/>
      <c r="GY327" s="2"/>
      <c r="GZ327" s="2"/>
      <c r="HA327" s="2"/>
      <c r="HB327" s="2"/>
      <c r="HC327" s="2"/>
      <c r="HD327" s="2"/>
      <c r="HE327" s="2"/>
      <c r="HF327" s="2"/>
      <c r="HG327" s="2"/>
      <c r="HH327" s="2"/>
      <c r="HI327" s="2"/>
      <c r="HJ327" s="2"/>
      <c r="HK327" s="2"/>
      <c r="HL327" s="2"/>
      <c r="HM327" s="2"/>
      <c r="HN327" s="2"/>
      <c r="HO327" s="2"/>
      <c r="HP327" s="2"/>
      <c r="HQ327" s="2"/>
      <c r="HR327" s="2"/>
      <c r="HS327" s="2"/>
      <c r="HT327" s="2"/>
      <c r="HU327" s="2"/>
      <c r="HV327" s="2"/>
      <c r="HW327" s="2"/>
      <c r="HX327" s="2"/>
      <c r="HY327" s="2"/>
      <c r="HZ327" s="2"/>
      <c r="IA327" s="2"/>
      <c r="IB327" s="2"/>
      <c r="IC327" s="2"/>
    </row>
    <row r="328" spans="1:237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GS328" s="2"/>
      <c r="GT328" s="2"/>
      <c r="GU328" s="2"/>
      <c r="GV328" s="2"/>
      <c r="GW328" s="2"/>
      <c r="GX328" s="2"/>
      <c r="GY328" s="2"/>
      <c r="GZ328" s="2"/>
      <c r="HA328" s="2"/>
      <c r="HB328" s="2"/>
      <c r="HC328" s="2"/>
      <c r="HD328" s="2"/>
      <c r="HE328" s="2"/>
      <c r="HF328" s="2"/>
      <c r="HG328" s="2"/>
      <c r="HH328" s="2"/>
      <c r="HI328" s="2"/>
      <c r="HJ328" s="2"/>
      <c r="HK328" s="2"/>
      <c r="HL328" s="2"/>
      <c r="HM328" s="2"/>
      <c r="HN328" s="2"/>
      <c r="HO328" s="2"/>
      <c r="HP328" s="2"/>
      <c r="HQ328" s="2"/>
      <c r="HR328" s="2"/>
      <c r="HS328" s="2"/>
      <c r="HT328" s="2"/>
      <c r="HU328" s="2"/>
      <c r="HV328" s="2"/>
      <c r="HW328" s="2"/>
      <c r="HX328" s="2"/>
      <c r="HY328" s="2"/>
      <c r="HZ328" s="2"/>
      <c r="IA328" s="2"/>
      <c r="IB328" s="2"/>
      <c r="IC328" s="2"/>
    </row>
    <row r="329" spans="1:237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GS329" s="2"/>
      <c r="GT329" s="2"/>
      <c r="GU329" s="2"/>
      <c r="GV329" s="2"/>
      <c r="GW329" s="2"/>
      <c r="GX329" s="2"/>
      <c r="GY329" s="2"/>
      <c r="GZ329" s="2"/>
      <c r="HA329" s="2"/>
      <c r="HB329" s="2"/>
      <c r="HC329" s="2"/>
      <c r="HD329" s="2"/>
      <c r="HE329" s="2"/>
      <c r="HF329" s="2"/>
      <c r="HG329" s="2"/>
      <c r="HH329" s="2"/>
      <c r="HI329" s="2"/>
      <c r="HJ329" s="2"/>
      <c r="HK329" s="2"/>
      <c r="HL329" s="2"/>
      <c r="HM329" s="2"/>
      <c r="HN329" s="2"/>
      <c r="HO329" s="2"/>
      <c r="HP329" s="2"/>
      <c r="HQ329" s="2"/>
      <c r="HR329" s="2"/>
      <c r="HS329" s="2"/>
      <c r="HT329" s="2"/>
      <c r="HU329" s="2"/>
      <c r="HV329" s="2"/>
      <c r="HW329" s="2"/>
      <c r="HX329" s="2"/>
      <c r="HY329" s="2"/>
      <c r="HZ329" s="2"/>
      <c r="IA329" s="2"/>
      <c r="IB329" s="2"/>
      <c r="IC329" s="2"/>
    </row>
    <row r="330" spans="1:237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GS330" s="2"/>
      <c r="GT330" s="2"/>
      <c r="GU330" s="2"/>
      <c r="GV330" s="2"/>
      <c r="GW330" s="2"/>
      <c r="GX330" s="2"/>
      <c r="GY330" s="2"/>
      <c r="GZ330" s="2"/>
      <c r="HA330" s="2"/>
      <c r="HB330" s="2"/>
      <c r="HC330" s="2"/>
      <c r="HD330" s="2"/>
      <c r="HE330" s="2"/>
      <c r="HF330" s="2"/>
      <c r="HG330" s="2"/>
      <c r="HH330" s="2"/>
      <c r="HI330" s="2"/>
      <c r="HJ330" s="2"/>
      <c r="HK330" s="2"/>
      <c r="HL330" s="2"/>
      <c r="HM330" s="2"/>
      <c r="HN330" s="2"/>
      <c r="HO330" s="2"/>
      <c r="HP330" s="2"/>
      <c r="HQ330" s="2"/>
      <c r="HR330" s="2"/>
      <c r="HS330" s="2"/>
      <c r="HT330" s="2"/>
      <c r="HU330" s="2"/>
      <c r="HV330" s="2"/>
      <c r="HW330" s="2"/>
      <c r="HX330" s="2"/>
      <c r="HY330" s="2"/>
      <c r="HZ330" s="2"/>
      <c r="IA330" s="2"/>
      <c r="IB330" s="2"/>
      <c r="IC330" s="2"/>
    </row>
    <row r="331" spans="1:237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GS331" s="2"/>
      <c r="GT331" s="2"/>
      <c r="GU331" s="2"/>
      <c r="GV331" s="2"/>
      <c r="GW331" s="2"/>
      <c r="GX331" s="2"/>
      <c r="GY331" s="2"/>
      <c r="GZ331" s="2"/>
      <c r="HA331" s="2"/>
      <c r="HB331" s="2"/>
      <c r="HC331" s="2"/>
      <c r="HD331" s="2"/>
      <c r="HE331" s="2"/>
      <c r="HF331" s="2"/>
      <c r="HG331" s="2"/>
      <c r="HH331" s="2"/>
      <c r="HI331" s="2"/>
      <c r="HJ331" s="2"/>
      <c r="HK331" s="2"/>
      <c r="HL331" s="2"/>
      <c r="HM331" s="2"/>
      <c r="HN331" s="2"/>
      <c r="HO331" s="2"/>
      <c r="HP331" s="2"/>
      <c r="HQ331" s="2"/>
      <c r="HR331" s="2"/>
      <c r="HS331" s="2"/>
      <c r="HT331" s="2"/>
      <c r="HU331" s="2"/>
      <c r="HV331" s="2"/>
      <c r="HW331" s="2"/>
      <c r="HX331" s="2"/>
      <c r="HY331" s="2"/>
      <c r="HZ331" s="2"/>
      <c r="IA331" s="2"/>
      <c r="IB331" s="2"/>
      <c r="IC331" s="2"/>
    </row>
    <row r="332" spans="1:237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GS332" s="2"/>
      <c r="GT332" s="2"/>
      <c r="GU332" s="2"/>
      <c r="GV332" s="2"/>
      <c r="GW332" s="2"/>
      <c r="GX332" s="2"/>
      <c r="GY332" s="2"/>
      <c r="GZ332" s="2"/>
      <c r="HA332" s="2"/>
      <c r="HB332" s="2"/>
      <c r="HC332" s="2"/>
      <c r="HD332" s="2"/>
      <c r="HE332" s="2"/>
      <c r="HF332" s="2"/>
      <c r="HG332" s="2"/>
      <c r="HH332" s="2"/>
      <c r="HI332" s="2"/>
      <c r="HJ332" s="2"/>
      <c r="HK332" s="2"/>
      <c r="HL332" s="2"/>
      <c r="HM332" s="2"/>
      <c r="HN332" s="2"/>
      <c r="HO332" s="2"/>
      <c r="HP332" s="2"/>
      <c r="HQ332" s="2"/>
      <c r="HR332" s="2"/>
      <c r="HS332" s="2"/>
      <c r="HT332" s="2"/>
      <c r="HU332" s="2"/>
      <c r="HV332" s="2"/>
      <c r="HW332" s="2"/>
      <c r="HX332" s="2"/>
      <c r="HY332" s="2"/>
      <c r="HZ332" s="2"/>
      <c r="IA332" s="2"/>
      <c r="IB332" s="2"/>
      <c r="IC332" s="2"/>
    </row>
    <row r="333" spans="1:237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GS333" s="2"/>
      <c r="GT333" s="2"/>
      <c r="GU333" s="2"/>
      <c r="GV333" s="2"/>
      <c r="GW333" s="2"/>
      <c r="GX333" s="2"/>
      <c r="GY333" s="2"/>
      <c r="GZ333" s="2"/>
      <c r="HA333" s="2"/>
      <c r="HB333" s="2"/>
      <c r="HC333" s="2"/>
      <c r="HD333" s="2"/>
      <c r="HE333" s="2"/>
      <c r="HF333" s="2"/>
      <c r="HG333" s="2"/>
      <c r="HH333" s="2"/>
      <c r="HI333" s="2"/>
      <c r="HJ333" s="2"/>
      <c r="HK333" s="2"/>
      <c r="HL333" s="2"/>
      <c r="HM333" s="2"/>
      <c r="HN333" s="2"/>
      <c r="HO333" s="2"/>
      <c r="HP333" s="2"/>
      <c r="HQ333" s="2"/>
      <c r="HR333" s="2"/>
      <c r="HS333" s="2"/>
      <c r="HT333" s="2"/>
      <c r="HU333" s="2"/>
      <c r="HV333" s="2"/>
      <c r="HW333" s="2"/>
      <c r="HX333" s="2"/>
      <c r="HY333" s="2"/>
      <c r="HZ333" s="2"/>
      <c r="IA333" s="2"/>
      <c r="IB333" s="2"/>
      <c r="IC333" s="2"/>
    </row>
    <row r="334" spans="1:237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GS334" s="2"/>
      <c r="GT334" s="2"/>
      <c r="GU334" s="2"/>
      <c r="GV334" s="2"/>
      <c r="GW334" s="2"/>
      <c r="GX334" s="2"/>
      <c r="GY334" s="2"/>
      <c r="GZ334" s="2"/>
      <c r="HA334" s="2"/>
      <c r="HB334" s="2"/>
      <c r="HC334" s="2"/>
      <c r="HD334" s="2"/>
      <c r="HE334" s="2"/>
      <c r="HF334" s="2"/>
      <c r="HG334" s="2"/>
      <c r="HH334" s="2"/>
      <c r="HI334" s="2"/>
      <c r="HJ334" s="2"/>
      <c r="HK334" s="2"/>
      <c r="HL334" s="2"/>
      <c r="HM334" s="2"/>
      <c r="HN334" s="2"/>
      <c r="HO334" s="2"/>
      <c r="HP334" s="2"/>
      <c r="HQ334" s="2"/>
      <c r="HR334" s="2"/>
      <c r="HS334" s="2"/>
      <c r="HT334" s="2"/>
      <c r="HU334" s="2"/>
      <c r="HV334" s="2"/>
      <c r="HW334" s="2"/>
      <c r="HX334" s="2"/>
      <c r="HY334" s="2"/>
      <c r="HZ334" s="2"/>
      <c r="IA334" s="2"/>
      <c r="IB334" s="2"/>
      <c r="IC334" s="2"/>
    </row>
    <row r="335" spans="1:237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GS335" s="2"/>
      <c r="GT335" s="2"/>
      <c r="GU335" s="2"/>
      <c r="GV335" s="2"/>
      <c r="GW335" s="2"/>
      <c r="GX335" s="2"/>
      <c r="GY335" s="2"/>
      <c r="GZ335" s="2"/>
      <c r="HA335" s="2"/>
      <c r="HB335" s="2"/>
      <c r="HC335" s="2"/>
      <c r="HD335" s="2"/>
      <c r="HE335" s="2"/>
      <c r="HF335" s="2"/>
      <c r="HG335" s="2"/>
      <c r="HH335" s="2"/>
      <c r="HI335" s="2"/>
      <c r="HJ335" s="2"/>
      <c r="HK335" s="2"/>
      <c r="HL335" s="2"/>
      <c r="HM335" s="2"/>
      <c r="HN335" s="2"/>
      <c r="HO335" s="2"/>
      <c r="HP335" s="2"/>
      <c r="HQ335" s="2"/>
      <c r="HR335" s="2"/>
      <c r="HS335" s="2"/>
      <c r="HT335" s="2"/>
      <c r="HU335" s="2"/>
      <c r="HV335" s="2"/>
      <c r="HW335" s="2"/>
      <c r="HX335" s="2"/>
      <c r="HY335" s="2"/>
      <c r="HZ335" s="2"/>
      <c r="IA335" s="2"/>
      <c r="IB335" s="2"/>
      <c r="IC335" s="2"/>
    </row>
    <row r="336" spans="1:237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GS336" s="2"/>
      <c r="GT336" s="2"/>
      <c r="GU336" s="2"/>
      <c r="GV336" s="2"/>
      <c r="GW336" s="2"/>
      <c r="GX336" s="2"/>
      <c r="GY336" s="2"/>
      <c r="GZ336" s="2"/>
      <c r="HA336" s="2"/>
      <c r="HB336" s="2"/>
      <c r="HC336" s="2"/>
      <c r="HD336" s="2"/>
      <c r="HE336" s="2"/>
      <c r="HF336" s="2"/>
      <c r="HG336" s="2"/>
      <c r="HH336" s="2"/>
      <c r="HI336" s="2"/>
      <c r="HJ336" s="2"/>
      <c r="HK336" s="2"/>
      <c r="HL336" s="2"/>
      <c r="HM336" s="2"/>
      <c r="HN336" s="2"/>
      <c r="HO336" s="2"/>
      <c r="HP336" s="2"/>
      <c r="HQ336" s="2"/>
      <c r="HR336" s="2"/>
      <c r="HS336" s="2"/>
      <c r="HT336" s="2"/>
      <c r="HU336" s="2"/>
      <c r="HV336" s="2"/>
      <c r="HW336" s="2"/>
      <c r="HX336" s="2"/>
      <c r="HY336" s="2"/>
      <c r="HZ336" s="2"/>
      <c r="IA336" s="2"/>
      <c r="IB336" s="2"/>
      <c r="IC336" s="2"/>
    </row>
    <row r="337" spans="1:237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GS337" s="2"/>
      <c r="GT337" s="2"/>
      <c r="GU337" s="2"/>
      <c r="GV337" s="2"/>
      <c r="GW337" s="2"/>
      <c r="GX337" s="2"/>
      <c r="GY337" s="2"/>
      <c r="GZ337" s="2"/>
      <c r="HA337" s="2"/>
      <c r="HB337" s="2"/>
      <c r="HC337" s="2"/>
      <c r="HD337" s="2"/>
      <c r="HE337" s="2"/>
      <c r="HF337" s="2"/>
      <c r="HG337" s="2"/>
      <c r="HH337" s="2"/>
      <c r="HI337" s="2"/>
      <c r="HJ337" s="2"/>
      <c r="HK337" s="2"/>
      <c r="HL337" s="2"/>
      <c r="HM337" s="2"/>
      <c r="HN337" s="2"/>
      <c r="HO337" s="2"/>
      <c r="HP337" s="2"/>
      <c r="HQ337" s="2"/>
      <c r="HR337" s="2"/>
      <c r="HS337" s="2"/>
      <c r="HT337" s="2"/>
      <c r="HU337" s="2"/>
      <c r="HV337" s="2"/>
      <c r="HW337" s="2"/>
      <c r="HX337" s="2"/>
      <c r="HY337" s="2"/>
      <c r="HZ337" s="2"/>
      <c r="IA337" s="2"/>
      <c r="IB337" s="2"/>
      <c r="IC337" s="2"/>
    </row>
    <row r="338" spans="1:237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GS338" s="2"/>
      <c r="GT338" s="2"/>
      <c r="GU338" s="2"/>
      <c r="GV338" s="2"/>
      <c r="GW338" s="2"/>
      <c r="GX338" s="2"/>
      <c r="GY338" s="2"/>
      <c r="GZ338" s="2"/>
      <c r="HA338" s="2"/>
      <c r="HB338" s="2"/>
      <c r="HC338" s="2"/>
      <c r="HD338" s="2"/>
      <c r="HE338" s="2"/>
      <c r="HF338" s="2"/>
      <c r="HG338" s="2"/>
      <c r="HH338" s="2"/>
      <c r="HI338" s="2"/>
      <c r="HJ338" s="2"/>
      <c r="HK338" s="2"/>
      <c r="HL338" s="2"/>
      <c r="HM338" s="2"/>
      <c r="HN338" s="2"/>
      <c r="HO338" s="2"/>
      <c r="HP338" s="2"/>
      <c r="HQ338" s="2"/>
      <c r="HR338" s="2"/>
      <c r="HS338" s="2"/>
      <c r="HT338" s="2"/>
      <c r="HU338" s="2"/>
      <c r="HV338" s="2"/>
      <c r="HW338" s="2"/>
      <c r="HX338" s="2"/>
      <c r="HY338" s="2"/>
      <c r="HZ338" s="2"/>
      <c r="IA338" s="2"/>
      <c r="IB338" s="2"/>
      <c r="IC338" s="2"/>
    </row>
    <row r="339" spans="1:237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GS339" s="2"/>
      <c r="GT339" s="2"/>
      <c r="GU339" s="2"/>
      <c r="GV339" s="2"/>
      <c r="GW339" s="2"/>
      <c r="GX339" s="2"/>
      <c r="GY339" s="2"/>
      <c r="GZ339" s="2"/>
      <c r="HA339" s="2"/>
      <c r="HB339" s="2"/>
      <c r="HC339" s="2"/>
      <c r="HD339" s="2"/>
      <c r="HE339" s="2"/>
      <c r="HF339" s="2"/>
      <c r="HG339" s="2"/>
      <c r="HH339" s="2"/>
      <c r="HI339" s="2"/>
      <c r="HJ339" s="2"/>
      <c r="HK339" s="2"/>
      <c r="HL339" s="2"/>
      <c r="HM339" s="2"/>
      <c r="HN339" s="2"/>
      <c r="HO339" s="2"/>
      <c r="HP339" s="2"/>
      <c r="HQ339" s="2"/>
      <c r="HR339" s="2"/>
      <c r="HS339" s="2"/>
      <c r="HT339" s="2"/>
      <c r="HU339" s="2"/>
      <c r="HV339" s="2"/>
      <c r="HW339" s="2"/>
      <c r="HX339" s="2"/>
      <c r="HY339" s="2"/>
      <c r="HZ339" s="2"/>
      <c r="IA339" s="2"/>
      <c r="IB339" s="2"/>
      <c r="IC339" s="2"/>
    </row>
    <row r="340" spans="1:237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GS340" s="2"/>
      <c r="GT340" s="2"/>
      <c r="GU340" s="2"/>
      <c r="GV340" s="2"/>
      <c r="GW340" s="2"/>
      <c r="GX340" s="2"/>
      <c r="GY340" s="2"/>
      <c r="GZ340" s="2"/>
      <c r="HA340" s="2"/>
      <c r="HB340" s="2"/>
      <c r="HC340" s="2"/>
      <c r="HD340" s="2"/>
      <c r="HE340" s="2"/>
      <c r="HF340" s="2"/>
      <c r="HG340" s="2"/>
      <c r="HH340" s="2"/>
      <c r="HI340" s="2"/>
      <c r="HJ340" s="2"/>
      <c r="HK340" s="2"/>
      <c r="HL340" s="2"/>
      <c r="HM340" s="2"/>
      <c r="HN340" s="2"/>
      <c r="HO340" s="2"/>
      <c r="HP340" s="2"/>
      <c r="HQ340" s="2"/>
      <c r="HR340" s="2"/>
      <c r="HS340" s="2"/>
      <c r="HT340" s="2"/>
      <c r="HU340" s="2"/>
      <c r="HV340" s="2"/>
      <c r="HW340" s="2"/>
      <c r="HX340" s="2"/>
      <c r="HY340" s="2"/>
      <c r="HZ340" s="2"/>
      <c r="IA340" s="2"/>
      <c r="IB340" s="2"/>
      <c r="IC340" s="2"/>
    </row>
    <row r="341" spans="1:237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GS341" s="2"/>
      <c r="GT341" s="2"/>
      <c r="GU341" s="2"/>
      <c r="GV341" s="2"/>
      <c r="GW341" s="2"/>
      <c r="GX341" s="2"/>
      <c r="GY341" s="2"/>
      <c r="GZ341" s="2"/>
      <c r="HA341" s="2"/>
      <c r="HB341" s="2"/>
      <c r="HC341" s="2"/>
      <c r="HD341" s="2"/>
      <c r="HE341" s="2"/>
      <c r="HF341" s="2"/>
      <c r="HG341" s="2"/>
      <c r="HH341" s="2"/>
      <c r="HI341" s="2"/>
      <c r="HJ341" s="2"/>
      <c r="HK341" s="2"/>
      <c r="HL341" s="2"/>
      <c r="HM341" s="2"/>
      <c r="HN341" s="2"/>
      <c r="HO341" s="2"/>
      <c r="HP341" s="2"/>
      <c r="HQ341" s="2"/>
      <c r="HR341" s="2"/>
      <c r="HS341" s="2"/>
      <c r="HT341" s="2"/>
      <c r="HU341" s="2"/>
      <c r="HV341" s="2"/>
      <c r="HW341" s="2"/>
      <c r="HX341" s="2"/>
      <c r="HY341" s="2"/>
      <c r="HZ341" s="2"/>
      <c r="IA341" s="2"/>
      <c r="IB341" s="2"/>
      <c r="IC341" s="2"/>
    </row>
    <row r="342" spans="1:237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GS342" s="2"/>
      <c r="GT342" s="2"/>
      <c r="GU342" s="2"/>
      <c r="GV342" s="2"/>
      <c r="GW342" s="2"/>
      <c r="GX342" s="2"/>
      <c r="GY342" s="2"/>
      <c r="GZ342" s="2"/>
      <c r="HA342" s="2"/>
      <c r="HB342" s="2"/>
      <c r="HC342" s="2"/>
      <c r="HD342" s="2"/>
      <c r="HE342" s="2"/>
      <c r="HF342" s="2"/>
      <c r="HG342" s="2"/>
      <c r="HH342" s="2"/>
      <c r="HI342" s="2"/>
      <c r="HJ342" s="2"/>
      <c r="HK342" s="2"/>
      <c r="HL342" s="2"/>
      <c r="HM342" s="2"/>
      <c r="HN342" s="2"/>
      <c r="HO342" s="2"/>
      <c r="HP342" s="2"/>
      <c r="HQ342" s="2"/>
      <c r="HR342" s="2"/>
      <c r="HS342" s="2"/>
      <c r="HT342" s="2"/>
      <c r="HU342" s="2"/>
      <c r="HV342" s="2"/>
      <c r="HW342" s="2"/>
      <c r="HX342" s="2"/>
      <c r="HY342" s="2"/>
      <c r="HZ342" s="2"/>
      <c r="IA342" s="2"/>
      <c r="IB342" s="2"/>
      <c r="IC342" s="2"/>
    </row>
    <row r="343" spans="1:237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GS343" s="2"/>
      <c r="GT343" s="2"/>
      <c r="GU343" s="2"/>
      <c r="GV343" s="2"/>
      <c r="GW343" s="2"/>
      <c r="GX343" s="2"/>
      <c r="GY343" s="2"/>
      <c r="GZ343" s="2"/>
      <c r="HA343" s="2"/>
      <c r="HB343" s="2"/>
      <c r="HC343" s="2"/>
      <c r="HD343" s="2"/>
      <c r="HE343" s="2"/>
      <c r="HF343" s="2"/>
      <c r="HG343" s="2"/>
      <c r="HH343" s="2"/>
      <c r="HI343" s="2"/>
      <c r="HJ343" s="2"/>
      <c r="HK343" s="2"/>
      <c r="HL343" s="2"/>
      <c r="HM343" s="2"/>
      <c r="HN343" s="2"/>
      <c r="HO343" s="2"/>
      <c r="HP343" s="2"/>
      <c r="HQ343" s="2"/>
      <c r="HR343" s="2"/>
      <c r="HS343" s="2"/>
      <c r="HT343" s="2"/>
      <c r="HU343" s="2"/>
      <c r="HV343" s="2"/>
      <c r="HW343" s="2"/>
      <c r="HX343" s="2"/>
      <c r="HY343" s="2"/>
      <c r="HZ343" s="2"/>
      <c r="IA343" s="2"/>
      <c r="IB343" s="2"/>
      <c r="IC343" s="2"/>
    </row>
    <row r="344" spans="1:237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GS344" s="2"/>
      <c r="GT344" s="2"/>
      <c r="GU344" s="2"/>
      <c r="GV344" s="2"/>
      <c r="GW344" s="2"/>
      <c r="GX344" s="2"/>
      <c r="GY344" s="2"/>
      <c r="GZ344" s="2"/>
      <c r="HA344" s="2"/>
      <c r="HB344" s="2"/>
      <c r="HC344" s="2"/>
      <c r="HD344" s="2"/>
      <c r="HE344" s="2"/>
      <c r="HF344" s="2"/>
      <c r="HG344" s="2"/>
      <c r="HH344" s="2"/>
      <c r="HI344" s="2"/>
      <c r="HJ344" s="2"/>
      <c r="HK344" s="2"/>
      <c r="HL344" s="2"/>
      <c r="HM344" s="2"/>
      <c r="HN344" s="2"/>
      <c r="HO344" s="2"/>
      <c r="HP344" s="2"/>
      <c r="HQ344" s="2"/>
      <c r="HR344" s="2"/>
      <c r="HS344" s="2"/>
      <c r="HT344" s="2"/>
      <c r="HU344" s="2"/>
      <c r="HV344" s="2"/>
      <c r="HW344" s="2"/>
      <c r="HX344" s="2"/>
      <c r="HY344" s="2"/>
      <c r="HZ344" s="2"/>
      <c r="IA344" s="2"/>
      <c r="IB344" s="2"/>
      <c r="IC344" s="2"/>
    </row>
    <row r="345" spans="1:237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GS345" s="2"/>
      <c r="GT345" s="2"/>
      <c r="GU345" s="2"/>
      <c r="GV345" s="2"/>
      <c r="GW345" s="2"/>
      <c r="GX345" s="2"/>
      <c r="GY345" s="2"/>
      <c r="GZ345" s="2"/>
      <c r="HA345" s="2"/>
      <c r="HB345" s="2"/>
      <c r="HC345" s="2"/>
      <c r="HD345" s="2"/>
      <c r="HE345" s="2"/>
      <c r="HF345" s="2"/>
      <c r="HG345" s="2"/>
      <c r="HH345" s="2"/>
      <c r="HI345" s="2"/>
      <c r="HJ345" s="2"/>
      <c r="HK345" s="2"/>
      <c r="HL345" s="2"/>
      <c r="HM345" s="2"/>
      <c r="HN345" s="2"/>
      <c r="HO345" s="2"/>
      <c r="HP345" s="2"/>
      <c r="HQ345" s="2"/>
      <c r="HR345" s="2"/>
      <c r="HS345" s="2"/>
      <c r="HT345" s="2"/>
      <c r="HU345" s="2"/>
      <c r="HV345" s="2"/>
      <c r="HW345" s="2"/>
      <c r="HX345" s="2"/>
      <c r="HY345" s="2"/>
      <c r="HZ345" s="2"/>
      <c r="IA345" s="2"/>
      <c r="IB345" s="2"/>
      <c r="IC345" s="2"/>
    </row>
    <row r="346" spans="1:237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GS346" s="2"/>
      <c r="GT346" s="2"/>
      <c r="GU346" s="2"/>
      <c r="GV346" s="2"/>
      <c r="GW346" s="2"/>
      <c r="GX346" s="2"/>
      <c r="GY346" s="2"/>
      <c r="GZ346" s="2"/>
      <c r="HA346" s="2"/>
      <c r="HB346" s="2"/>
      <c r="HC346" s="2"/>
      <c r="HD346" s="2"/>
      <c r="HE346" s="2"/>
      <c r="HF346" s="2"/>
      <c r="HG346" s="2"/>
      <c r="HH346" s="2"/>
      <c r="HI346" s="2"/>
      <c r="HJ346" s="2"/>
      <c r="HK346" s="2"/>
      <c r="HL346" s="2"/>
      <c r="HM346" s="2"/>
      <c r="HN346" s="2"/>
      <c r="HO346" s="2"/>
      <c r="HP346" s="2"/>
      <c r="HQ346" s="2"/>
      <c r="HR346" s="2"/>
      <c r="HS346" s="2"/>
      <c r="HT346" s="2"/>
      <c r="HU346" s="2"/>
      <c r="HV346" s="2"/>
      <c r="HW346" s="2"/>
      <c r="HX346" s="2"/>
      <c r="HY346" s="2"/>
      <c r="HZ346" s="2"/>
      <c r="IA346" s="2"/>
      <c r="IB346" s="2"/>
      <c r="IC346" s="2"/>
    </row>
    <row r="347" spans="1:237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GS347" s="2"/>
      <c r="GT347" s="2"/>
      <c r="GU347" s="2"/>
      <c r="GV347" s="2"/>
      <c r="GW347" s="2"/>
      <c r="GX347" s="2"/>
      <c r="GY347" s="2"/>
      <c r="GZ347" s="2"/>
      <c r="HA347" s="2"/>
      <c r="HB347" s="2"/>
      <c r="HC347" s="2"/>
      <c r="HD347" s="2"/>
      <c r="HE347" s="2"/>
      <c r="HF347" s="2"/>
      <c r="HG347" s="2"/>
      <c r="HH347" s="2"/>
      <c r="HI347" s="2"/>
      <c r="HJ347" s="2"/>
      <c r="HK347" s="2"/>
      <c r="HL347" s="2"/>
      <c r="HM347" s="2"/>
      <c r="HN347" s="2"/>
      <c r="HO347" s="2"/>
      <c r="HP347" s="2"/>
      <c r="HQ347" s="2"/>
      <c r="HR347" s="2"/>
      <c r="HS347" s="2"/>
      <c r="HT347" s="2"/>
      <c r="HU347" s="2"/>
      <c r="HV347" s="2"/>
      <c r="HW347" s="2"/>
      <c r="HX347" s="2"/>
      <c r="HY347" s="2"/>
      <c r="HZ347" s="2"/>
      <c r="IA347" s="2"/>
      <c r="IB347" s="2"/>
      <c r="IC347" s="2"/>
    </row>
    <row r="348" spans="1:237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  <c r="ES348" s="2"/>
      <c r="ET348" s="2"/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2"/>
      <c r="FS348" s="2"/>
      <c r="FT348" s="2"/>
      <c r="FU348" s="2"/>
      <c r="FV348" s="2"/>
      <c r="FW348" s="2"/>
      <c r="FX348" s="2"/>
      <c r="FY348" s="2"/>
      <c r="FZ348" s="2"/>
      <c r="GA348" s="2"/>
      <c r="GB348" s="2"/>
      <c r="GC348" s="2"/>
      <c r="GD348" s="2"/>
      <c r="GE348" s="2"/>
      <c r="GF348" s="2"/>
      <c r="GG348" s="2"/>
      <c r="GH348" s="2"/>
      <c r="GI348" s="2"/>
      <c r="GJ348" s="2"/>
      <c r="GK348" s="2"/>
      <c r="GL348" s="2"/>
      <c r="GM348" s="2"/>
      <c r="GN348" s="2"/>
      <c r="GO348" s="2"/>
      <c r="GP348" s="2"/>
      <c r="GQ348" s="2"/>
      <c r="GR348" s="2"/>
      <c r="GS348" s="2"/>
      <c r="GT348" s="2"/>
      <c r="GU348" s="2"/>
      <c r="GV348" s="2"/>
      <c r="GW348" s="2"/>
      <c r="GX348" s="2"/>
      <c r="GY348" s="2"/>
      <c r="GZ348" s="2"/>
      <c r="HA348" s="2"/>
      <c r="HB348" s="2"/>
      <c r="HC348" s="2"/>
      <c r="HD348" s="2"/>
      <c r="HE348" s="2"/>
      <c r="HF348" s="2"/>
      <c r="HG348" s="2"/>
      <c r="HH348" s="2"/>
      <c r="HI348" s="2"/>
      <c r="HJ348" s="2"/>
      <c r="HK348" s="2"/>
      <c r="HL348" s="2"/>
      <c r="HM348" s="2"/>
      <c r="HN348" s="2"/>
      <c r="HO348" s="2"/>
      <c r="HP348" s="2"/>
      <c r="HQ348" s="2"/>
      <c r="HR348" s="2"/>
      <c r="HS348" s="2"/>
      <c r="HT348" s="2"/>
      <c r="HU348" s="2"/>
      <c r="HV348" s="2"/>
      <c r="HW348" s="2"/>
      <c r="HX348" s="2"/>
      <c r="HY348" s="2"/>
      <c r="HZ348" s="2"/>
      <c r="IA348" s="2"/>
      <c r="IB348" s="2"/>
      <c r="IC348" s="2"/>
    </row>
    <row r="349" spans="1:237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GS349" s="2"/>
      <c r="GT349" s="2"/>
      <c r="GU349" s="2"/>
      <c r="GV349" s="2"/>
      <c r="GW349" s="2"/>
      <c r="GX349" s="2"/>
      <c r="GY349" s="2"/>
      <c r="GZ349" s="2"/>
      <c r="HA349" s="2"/>
      <c r="HB349" s="2"/>
      <c r="HC349" s="2"/>
      <c r="HD349" s="2"/>
      <c r="HE349" s="2"/>
      <c r="HF349" s="2"/>
      <c r="HG349" s="2"/>
      <c r="HH349" s="2"/>
      <c r="HI349" s="2"/>
      <c r="HJ349" s="2"/>
      <c r="HK349" s="2"/>
      <c r="HL349" s="2"/>
      <c r="HM349" s="2"/>
      <c r="HN349" s="2"/>
      <c r="HO349" s="2"/>
      <c r="HP349" s="2"/>
      <c r="HQ349" s="2"/>
      <c r="HR349" s="2"/>
      <c r="HS349" s="2"/>
      <c r="HT349" s="2"/>
      <c r="HU349" s="2"/>
      <c r="HV349" s="2"/>
      <c r="HW349" s="2"/>
      <c r="HX349" s="2"/>
      <c r="HY349" s="2"/>
      <c r="HZ349" s="2"/>
      <c r="IA349" s="2"/>
      <c r="IB349" s="2"/>
      <c r="IC349" s="2"/>
    </row>
    <row r="350" spans="1:237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GS350" s="2"/>
      <c r="GT350" s="2"/>
      <c r="GU350" s="2"/>
      <c r="GV350" s="2"/>
      <c r="GW350" s="2"/>
      <c r="GX350" s="2"/>
      <c r="GY350" s="2"/>
      <c r="GZ350" s="2"/>
      <c r="HA350" s="2"/>
      <c r="HB350" s="2"/>
      <c r="HC350" s="2"/>
      <c r="HD350" s="2"/>
      <c r="HE350" s="2"/>
      <c r="HF350" s="2"/>
      <c r="HG350" s="2"/>
      <c r="HH350" s="2"/>
      <c r="HI350" s="2"/>
      <c r="HJ350" s="2"/>
      <c r="HK350" s="2"/>
      <c r="HL350" s="2"/>
      <c r="HM350" s="2"/>
      <c r="HN350" s="2"/>
      <c r="HO350" s="2"/>
      <c r="HP350" s="2"/>
      <c r="HQ350" s="2"/>
      <c r="HR350" s="2"/>
      <c r="HS350" s="2"/>
      <c r="HT350" s="2"/>
      <c r="HU350" s="2"/>
      <c r="HV350" s="2"/>
      <c r="HW350" s="2"/>
      <c r="HX350" s="2"/>
      <c r="HY350" s="2"/>
      <c r="HZ350" s="2"/>
      <c r="IA350" s="2"/>
      <c r="IB350" s="2"/>
      <c r="IC350" s="2"/>
    </row>
    <row r="351" spans="1:237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GS351" s="2"/>
      <c r="GT351" s="2"/>
      <c r="GU351" s="2"/>
      <c r="GV351" s="2"/>
      <c r="GW351" s="2"/>
      <c r="GX351" s="2"/>
      <c r="GY351" s="2"/>
      <c r="GZ351" s="2"/>
      <c r="HA351" s="2"/>
      <c r="HB351" s="2"/>
      <c r="HC351" s="2"/>
      <c r="HD351" s="2"/>
      <c r="HE351" s="2"/>
      <c r="HF351" s="2"/>
      <c r="HG351" s="2"/>
      <c r="HH351" s="2"/>
      <c r="HI351" s="2"/>
      <c r="HJ351" s="2"/>
      <c r="HK351" s="2"/>
      <c r="HL351" s="2"/>
      <c r="HM351" s="2"/>
      <c r="HN351" s="2"/>
      <c r="HO351" s="2"/>
      <c r="HP351" s="2"/>
      <c r="HQ351" s="2"/>
      <c r="HR351" s="2"/>
      <c r="HS351" s="2"/>
      <c r="HT351" s="2"/>
      <c r="HU351" s="2"/>
      <c r="HV351" s="2"/>
      <c r="HW351" s="2"/>
      <c r="HX351" s="2"/>
      <c r="HY351" s="2"/>
      <c r="HZ351" s="2"/>
      <c r="IA351" s="2"/>
      <c r="IB351" s="2"/>
      <c r="IC351" s="2"/>
    </row>
    <row r="352" spans="1:237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GS352" s="2"/>
      <c r="GT352" s="2"/>
      <c r="GU352" s="2"/>
      <c r="GV352" s="2"/>
      <c r="GW352" s="2"/>
      <c r="GX352" s="2"/>
      <c r="GY352" s="2"/>
      <c r="GZ352" s="2"/>
      <c r="HA352" s="2"/>
      <c r="HB352" s="2"/>
      <c r="HC352" s="2"/>
      <c r="HD352" s="2"/>
      <c r="HE352" s="2"/>
      <c r="HF352" s="2"/>
      <c r="HG352" s="2"/>
      <c r="HH352" s="2"/>
      <c r="HI352" s="2"/>
      <c r="HJ352" s="2"/>
      <c r="HK352" s="2"/>
      <c r="HL352" s="2"/>
      <c r="HM352" s="2"/>
      <c r="HN352" s="2"/>
      <c r="HO352" s="2"/>
      <c r="HP352" s="2"/>
      <c r="HQ352" s="2"/>
      <c r="HR352" s="2"/>
      <c r="HS352" s="2"/>
      <c r="HT352" s="2"/>
      <c r="HU352" s="2"/>
      <c r="HV352" s="2"/>
      <c r="HW352" s="2"/>
      <c r="HX352" s="2"/>
      <c r="HY352" s="2"/>
      <c r="HZ352" s="2"/>
      <c r="IA352" s="2"/>
      <c r="IB352" s="2"/>
      <c r="IC352" s="2"/>
    </row>
    <row r="353" spans="1:237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GS353" s="2"/>
      <c r="GT353" s="2"/>
      <c r="GU353" s="2"/>
      <c r="GV353" s="2"/>
      <c r="GW353" s="2"/>
      <c r="GX353" s="2"/>
      <c r="GY353" s="2"/>
      <c r="GZ353" s="2"/>
      <c r="HA353" s="2"/>
      <c r="HB353" s="2"/>
      <c r="HC353" s="2"/>
      <c r="HD353" s="2"/>
      <c r="HE353" s="2"/>
      <c r="HF353" s="2"/>
      <c r="HG353" s="2"/>
      <c r="HH353" s="2"/>
      <c r="HI353" s="2"/>
      <c r="HJ353" s="2"/>
      <c r="HK353" s="2"/>
      <c r="HL353" s="2"/>
      <c r="HM353" s="2"/>
      <c r="HN353" s="2"/>
      <c r="HO353" s="2"/>
      <c r="HP353" s="2"/>
      <c r="HQ353" s="2"/>
      <c r="HR353" s="2"/>
      <c r="HS353" s="2"/>
      <c r="HT353" s="2"/>
      <c r="HU353" s="2"/>
      <c r="HV353" s="2"/>
      <c r="HW353" s="2"/>
      <c r="HX353" s="2"/>
      <c r="HY353" s="2"/>
      <c r="HZ353" s="2"/>
      <c r="IA353" s="2"/>
      <c r="IB353" s="2"/>
      <c r="IC353" s="2"/>
    </row>
    <row r="354" spans="1:237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GS354" s="2"/>
      <c r="GT354" s="2"/>
      <c r="GU354" s="2"/>
      <c r="GV354" s="2"/>
      <c r="GW354" s="2"/>
      <c r="GX354" s="2"/>
      <c r="GY354" s="2"/>
      <c r="GZ354" s="2"/>
      <c r="HA354" s="2"/>
      <c r="HB354" s="2"/>
      <c r="HC354" s="2"/>
      <c r="HD354" s="2"/>
      <c r="HE354" s="2"/>
      <c r="HF354" s="2"/>
      <c r="HG354" s="2"/>
      <c r="HH354" s="2"/>
      <c r="HI354" s="2"/>
      <c r="HJ354" s="2"/>
      <c r="HK354" s="2"/>
      <c r="HL354" s="2"/>
      <c r="HM354" s="2"/>
      <c r="HN354" s="2"/>
      <c r="HO354" s="2"/>
      <c r="HP354" s="2"/>
      <c r="HQ354" s="2"/>
      <c r="HR354" s="2"/>
      <c r="HS354" s="2"/>
      <c r="HT354" s="2"/>
      <c r="HU354" s="2"/>
      <c r="HV354" s="2"/>
      <c r="HW354" s="2"/>
      <c r="HX354" s="2"/>
      <c r="HY354" s="2"/>
      <c r="HZ354" s="2"/>
      <c r="IA354" s="2"/>
      <c r="IB354" s="2"/>
      <c r="IC354" s="2"/>
    </row>
    <row r="355" spans="1:237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GS355" s="2"/>
      <c r="GT355" s="2"/>
      <c r="GU355" s="2"/>
      <c r="GV355" s="2"/>
      <c r="GW355" s="2"/>
      <c r="GX355" s="2"/>
      <c r="GY355" s="2"/>
      <c r="GZ355" s="2"/>
      <c r="HA355" s="2"/>
      <c r="HB355" s="2"/>
      <c r="HC355" s="2"/>
      <c r="HD355" s="2"/>
      <c r="HE355" s="2"/>
      <c r="HF355" s="2"/>
      <c r="HG355" s="2"/>
      <c r="HH355" s="2"/>
      <c r="HI355" s="2"/>
      <c r="HJ355" s="2"/>
      <c r="HK355" s="2"/>
      <c r="HL355" s="2"/>
      <c r="HM355" s="2"/>
      <c r="HN355" s="2"/>
      <c r="HO355" s="2"/>
      <c r="HP355" s="2"/>
      <c r="HQ355" s="2"/>
      <c r="HR355" s="2"/>
      <c r="HS355" s="2"/>
      <c r="HT355" s="2"/>
      <c r="HU355" s="2"/>
      <c r="HV355" s="2"/>
      <c r="HW355" s="2"/>
      <c r="HX355" s="2"/>
      <c r="HY355" s="2"/>
      <c r="HZ355" s="2"/>
      <c r="IA355" s="2"/>
      <c r="IB355" s="2"/>
      <c r="IC355" s="2"/>
    </row>
    <row r="356" spans="1:237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GS356" s="2"/>
      <c r="GT356" s="2"/>
      <c r="GU356" s="2"/>
      <c r="GV356" s="2"/>
      <c r="GW356" s="2"/>
      <c r="GX356" s="2"/>
      <c r="GY356" s="2"/>
      <c r="GZ356" s="2"/>
      <c r="HA356" s="2"/>
      <c r="HB356" s="2"/>
      <c r="HC356" s="2"/>
      <c r="HD356" s="2"/>
      <c r="HE356" s="2"/>
      <c r="HF356" s="2"/>
      <c r="HG356" s="2"/>
      <c r="HH356" s="2"/>
      <c r="HI356" s="2"/>
      <c r="HJ356" s="2"/>
      <c r="HK356" s="2"/>
      <c r="HL356" s="2"/>
      <c r="HM356" s="2"/>
      <c r="HN356" s="2"/>
      <c r="HO356" s="2"/>
      <c r="HP356" s="2"/>
      <c r="HQ356" s="2"/>
      <c r="HR356" s="2"/>
      <c r="HS356" s="2"/>
      <c r="HT356" s="2"/>
      <c r="HU356" s="2"/>
      <c r="HV356" s="2"/>
      <c r="HW356" s="2"/>
      <c r="HX356" s="2"/>
      <c r="HY356" s="2"/>
      <c r="HZ356" s="2"/>
      <c r="IA356" s="2"/>
      <c r="IB356" s="2"/>
      <c r="IC356" s="2"/>
    </row>
    <row r="357" spans="1:237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GS357" s="2"/>
      <c r="GT357" s="2"/>
      <c r="GU357" s="2"/>
      <c r="GV357" s="2"/>
      <c r="GW357" s="2"/>
      <c r="GX357" s="2"/>
      <c r="GY357" s="2"/>
      <c r="GZ357" s="2"/>
      <c r="HA357" s="2"/>
      <c r="HB357" s="2"/>
      <c r="HC357" s="2"/>
      <c r="HD357" s="2"/>
      <c r="HE357" s="2"/>
      <c r="HF357" s="2"/>
      <c r="HG357" s="2"/>
      <c r="HH357" s="2"/>
      <c r="HI357" s="2"/>
      <c r="HJ357" s="2"/>
      <c r="HK357" s="2"/>
      <c r="HL357" s="2"/>
      <c r="HM357" s="2"/>
      <c r="HN357" s="2"/>
      <c r="HO357" s="2"/>
      <c r="HP357" s="2"/>
      <c r="HQ357" s="2"/>
      <c r="HR357" s="2"/>
      <c r="HS357" s="2"/>
      <c r="HT357" s="2"/>
      <c r="HU357" s="2"/>
      <c r="HV357" s="2"/>
      <c r="HW357" s="2"/>
      <c r="HX357" s="2"/>
      <c r="HY357" s="2"/>
      <c r="HZ357" s="2"/>
      <c r="IA357" s="2"/>
      <c r="IB357" s="2"/>
      <c r="IC357" s="2"/>
    </row>
    <row r="358" spans="1:237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GS358" s="2"/>
      <c r="GT358" s="2"/>
      <c r="GU358" s="2"/>
      <c r="GV358" s="2"/>
      <c r="GW358" s="2"/>
      <c r="GX358" s="2"/>
      <c r="GY358" s="2"/>
      <c r="GZ358" s="2"/>
      <c r="HA358" s="2"/>
      <c r="HB358" s="2"/>
      <c r="HC358" s="2"/>
      <c r="HD358" s="2"/>
      <c r="HE358" s="2"/>
      <c r="HF358" s="2"/>
      <c r="HG358" s="2"/>
      <c r="HH358" s="2"/>
      <c r="HI358" s="2"/>
      <c r="HJ358" s="2"/>
      <c r="HK358" s="2"/>
      <c r="HL358" s="2"/>
      <c r="HM358" s="2"/>
      <c r="HN358" s="2"/>
      <c r="HO358" s="2"/>
      <c r="HP358" s="2"/>
      <c r="HQ358" s="2"/>
      <c r="HR358" s="2"/>
      <c r="HS358" s="2"/>
      <c r="HT358" s="2"/>
      <c r="HU358" s="2"/>
      <c r="HV358" s="2"/>
      <c r="HW358" s="2"/>
      <c r="HX358" s="2"/>
      <c r="HY358" s="2"/>
      <c r="HZ358" s="2"/>
      <c r="IA358" s="2"/>
      <c r="IB358" s="2"/>
      <c r="IC358" s="2"/>
    </row>
    <row r="359" spans="1:237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GS359" s="2"/>
      <c r="GT359" s="2"/>
      <c r="GU359" s="2"/>
      <c r="GV359" s="2"/>
      <c r="GW359" s="2"/>
      <c r="GX359" s="2"/>
      <c r="GY359" s="2"/>
      <c r="GZ359" s="2"/>
      <c r="HA359" s="2"/>
      <c r="HB359" s="2"/>
      <c r="HC359" s="2"/>
      <c r="HD359" s="2"/>
      <c r="HE359" s="2"/>
      <c r="HF359" s="2"/>
      <c r="HG359" s="2"/>
      <c r="HH359" s="2"/>
      <c r="HI359" s="2"/>
      <c r="HJ359" s="2"/>
      <c r="HK359" s="2"/>
      <c r="HL359" s="2"/>
      <c r="HM359" s="2"/>
      <c r="HN359" s="2"/>
      <c r="HO359" s="2"/>
      <c r="HP359" s="2"/>
      <c r="HQ359" s="2"/>
      <c r="HR359" s="2"/>
      <c r="HS359" s="2"/>
      <c r="HT359" s="2"/>
      <c r="HU359" s="2"/>
      <c r="HV359" s="2"/>
      <c r="HW359" s="2"/>
      <c r="HX359" s="2"/>
      <c r="HY359" s="2"/>
      <c r="HZ359" s="2"/>
      <c r="IA359" s="2"/>
      <c r="IB359" s="2"/>
      <c r="IC359" s="2"/>
    </row>
    <row r="360" spans="1:237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GS360" s="2"/>
      <c r="GT360" s="2"/>
      <c r="GU360" s="2"/>
      <c r="GV360" s="2"/>
      <c r="GW360" s="2"/>
      <c r="GX360" s="2"/>
      <c r="GY360" s="2"/>
      <c r="GZ360" s="2"/>
      <c r="HA360" s="2"/>
      <c r="HB360" s="2"/>
      <c r="HC360" s="2"/>
      <c r="HD360" s="2"/>
      <c r="HE360" s="2"/>
      <c r="HF360" s="2"/>
      <c r="HG360" s="2"/>
      <c r="HH360" s="2"/>
      <c r="HI360" s="2"/>
      <c r="HJ360" s="2"/>
      <c r="HK360" s="2"/>
      <c r="HL360" s="2"/>
      <c r="HM360" s="2"/>
      <c r="HN360" s="2"/>
      <c r="HO360" s="2"/>
      <c r="HP360" s="2"/>
      <c r="HQ360" s="2"/>
      <c r="HR360" s="2"/>
      <c r="HS360" s="2"/>
      <c r="HT360" s="2"/>
      <c r="HU360" s="2"/>
      <c r="HV360" s="2"/>
      <c r="HW360" s="2"/>
      <c r="HX360" s="2"/>
      <c r="HY360" s="2"/>
      <c r="HZ360" s="2"/>
      <c r="IA360" s="2"/>
      <c r="IB360" s="2"/>
      <c r="IC360" s="2"/>
    </row>
    <row r="361" spans="1:237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GS361" s="2"/>
      <c r="GT361" s="2"/>
      <c r="GU361" s="2"/>
      <c r="GV361" s="2"/>
      <c r="GW361" s="2"/>
      <c r="GX361" s="2"/>
      <c r="GY361" s="2"/>
      <c r="GZ361" s="2"/>
      <c r="HA361" s="2"/>
      <c r="HB361" s="2"/>
      <c r="HC361" s="2"/>
      <c r="HD361" s="2"/>
      <c r="HE361" s="2"/>
      <c r="HF361" s="2"/>
      <c r="HG361" s="2"/>
      <c r="HH361" s="2"/>
      <c r="HI361" s="2"/>
      <c r="HJ361" s="2"/>
      <c r="HK361" s="2"/>
      <c r="HL361" s="2"/>
      <c r="HM361" s="2"/>
      <c r="HN361" s="2"/>
      <c r="HO361" s="2"/>
      <c r="HP361" s="2"/>
      <c r="HQ361" s="2"/>
      <c r="HR361" s="2"/>
      <c r="HS361" s="2"/>
      <c r="HT361" s="2"/>
      <c r="HU361" s="2"/>
      <c r="HV361" s="2"/>
      <c r="HW361" s="2"/>
      <c r="HX361" s="2"/>
      <c r="HY361" s="2"/>
      <c r="HZ361" s="2"/>
      <c r="IA361" s="2"/>
      <c r="IB361" s="2"/>
      <c r="IC361" s="2"/>
    </row>
    <row r="362" spans="1:237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  <c r="FN362" s="2"/>
      <c r="FO362" s="2"/>
      <c r="FP362" s="2"/>
      <c r="FQ362" s="2"/>
      <c r="FR362" s="2"/>
      <c r="FS362" s="2"/>
      <c r="FT362" s="2"/>
      <c r="FU362" s="2"/>
      <c r="FV362" s="2"/>
      <c r="FW362" s="2"/>
      <c r="FX362" s="2"/>
      <c r="FY362" s="2"/>
      <c r="FZ362" s="2"/>
      <c r="GA362" s="2"/>
      <c r="GB362" s="2"/>
      <c r="GC362" s="2"/>
      <c r="GD362" s="2"/>
      <c r="GE362" s="2"/>
      <c r="GF362" s="2"/>
      <c r="GG362" s="2"/>
      <c r="GH362" s="2"/>
      <c r="GI362" s="2"/>
      <c r="GJ362" s="2"/>
      <c r="GK362" s="2"/>
      <c r="GL362" s="2"/>
      <c r="GM362" s="2"/>
      <c r="GN362" s="2"/>
      <c r="GO362" s="2"/>
      <c r="GP362" s="2"/>
      <c r="GQ362" s="2"/>
      <c r="GR362" s="2"/>
      <c r="GS362" s="2"/>
      <c r="GT362" s="2"/>
      <c r="GU362" s="2"/>
      <c r="GV362" s="2"/>
      <c r="GW362" s="2"/>
      <c r="GX362" s="2"/>
      <c r="GY362" s="2"/>
      <c r="GZ362" s="2"/>
      <c r="HA362" s="2"/>
      <c r="HB362" s="2"/>
      <c r="HC362" s="2"/>
      <c r="HD362" s="2"/>
      <c r="HE362" s="2"/>
      <c r="HF362" s="2"/>
      <c r="HG362" s="2"/>
      <c r="HH362" s="2"/>
      <c r="HI362" s="2"/>
      <c r="HJ362" s="2"/>
      <c r="HK362" s="2"/>
      <c r="HL362" s="2"/>
      <c r="HM362" s="2"/>
      <c r="HN362" s="2"/>
      <c r="HO362" s="2"/>
      <c r="HP362" s="2"/>
      <c r="HQ362" s="2"/>
      <c r="HR362" s="2"/>
      <c r="HS362" s="2"/>
      <c r="HT362" s="2"/>
      <c r="HU362" s="2"/>
      <c r="HV362" s="2"/>
      <c r="HW362" s="2"/>
      <c r="HX362" s="2"/>
      <c r="HY362" s="2"/>
      <c r="HZ362" s="2"/>
      <c r="IA362" s="2"/>
      <c r="IB362" s="2"/>
      <c r="IC362" s="2"/>
    </row>
    <row r="363" spans="1:237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  <c r="FN363" s="2"/>
      <c r="FO363" s="2"/>
      <c r="FP363" s="2"/>
      <c r="FQ363" s="2"/>
      <c r="FR363" s="2"/>
      <c r="FS363" s="2"/>
      <c r="FT363" s="2"/>
      <c r="FU363" s="2"/>
      <c r="FV363" s="2"/>
      <c r="FW363" s="2"/>
      <c r="FX363" s="2"/>
      <c r="FY363" s="2"/>
      <c r="FZ363" s="2"/>
      <c r="GA363" s="2"/>
      <c r="GB363" s="2"/>
      <c r="GC363" s="2"/>
      <c r="GD363" s="2"/>
      <c r="GE363" s="2"/>
      <c r="GF363" s="2"/>
      <c r="GG363" s="2"/>
      <c r="GH363" s="2"/>
      <c r="GI363" s="2"/>
      <c r="GJ363" s="2"/>
      <c r="GK363" s="2"/>
      <c r="GL363" s="2"/>
      <c r="GM363" s="2"/>
      <c r="GN363" s="2"/>
      <c r="GO363" s="2"/>
      <c r="GP363" s="2"/>
      <c r="GQ363" s="2"/>
      <c r="GR363" s="2"/>
      <c r="GS363" s="2"/>
      <c r="GT363" s="2"/>
      <c r="GU363" s="2"/>
      <c r="GV363" s="2"/>
      <c r="GW363" s="2"/>
      <c r="GX363" s="2"/>
      <c r="GY363" s="2"/>
      <c r="GZ363" s="2"/>
      <c r="HA363" s="2"/>
      <c r="HB363" s="2"/>
      <c r="HC363" s="2"/>
      <c r="HD363" s="2"/>
      <c r="HE363" s="2"/>
      <c r="HF363" s="2"/>
      <c r="HG363" s="2"/>
      <c r="HH363" s="2"/>
      <c r="HI363" s="2"/>
      <c r="HJ363" s="2"/>
      <c r="HK363" s="2"/>
      <c r="HL363" s="2"/>
      <c r="HM363" s="2"/>
      <c r="HN363" s="2"/>
      <c r="HO363" s="2"/>
      <c r="HP363" s="2"/>
      <c r="HQ363" s="2"/>
      <c r="HR363" s="2"/>
      <c r="HS363" s="2"/>
      <c r="HT363" s="2"/>
      <c r="HU363" s="2"/>
      <c r="HV363" s="2"/>
      <c r="HW363" s="2"/>
      <c r="HX363" s="2"/>
      <c r="HY363" s="2"/>
      <c r="HZ363" s="2"/>
      <c r="IA363" s="2"/>
      <c r="IB363" s="2"/>
      <c r="IC363" s="2"/>
    </row>
    <row r="364" spans="1:237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  <c r="FN364" s="2"/>
      <c r="FO364" s="2"/>
      <c r="FP364" s="2"/>
      <c r="FQ364" s="2"/>
      <c r="FR364" s="2"/>
      <c r="FS364" s="2"/>
      <c r="FT364" s="2"/>
      <c r="FU364" s="2"/>
      <c r="FV364" s="2"/>
      <c r="FW364" s="2"/>
      <c r="FX364" s="2"/>
      <c r="FY364" s="2"/>
      <c r="FZ364" s="2"/>
      <c r="GA364" s="2"/>
      <c r="GB364" s="2"/>
      <c r="GC364" s="2"/>
      <c r="GD364" s="2"/>
      <c r="GE364" s="2"/>
      <c r="GF364" s="2"/>
      <c r="GG364" s="2"/>
      <c r="GH364" s="2"/>
      <c r="GI364" s="2"/>
      <c r="GJ364" s="2"/>
      <c r="GK364" s="2"/>
      <c r="GL364" s="2"/>
      <c r="GM364" s="2"/>
      <c r="GN364" s="2"/>
      <c r="GO364" s="2"/>
      <c r="GP364" s="2"/>
      <c r="GQ364" s="2"/>
      <c r="GR364" s="2"/>
      <c r="GS364" s="2"/>
      <c r="GT364" s="2"/>
      <c r="GU364" s="2"/>
      <c r="GV364" s="2"/>
      <c r="GW364" s="2"/>
      <c r="GX364" s="2"/>
      <c r="GY364" s="2"/>
      <c r="GZ364" s="2"/>
      <c r="HA364" s="2"/>
      <c r="HB364" s="2"/>
      <c r="HC364" s="2"/>
      <c r="HD364" s="2"/>
      <c r="HE364" s="2"/>
      <c r="HF364" s="2"/>
      <c r="HG364" s="2"/>
      <c r="HH364" s="2"/>
      <c r="HI364" s="2"/>
      <c r="HJ364" s="2"/>
      <c r="HK364" s="2"/>
      <c r="HL364" s="2"/>
      <c r="HM364" s="2"/>
      <c r="HN364" s="2"/>
      <c r="HO364" s="2"/>
      <c r="HP364" s="2"/>
      <c r="HQ364" s="2"/>
      <c r="HR364" s="2"/>
      <c r="HS364" s="2"/>
      <c r="HT364" s="2"/>
      <c r="HU364" s="2"/>
      <c r="HV364" s="2"/>
      <c r="HW364" s="2"/>
      <c r="HX364" s="2"/>
      <c r="HY364" s="2"/>
      <c r="HZ364" s="2"/>
      <c r="IA364" s="2"/>
      <c r="IB364" s="2"/>
      <c r="IC364" s="2"/>
    </row>
    <row r="365" spans="1:237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  <c r="FN365" s="2"/>
      <c r="FO365" s="2"/>
      <c r="FP365" s="2"/>
      <c r="FQ365" s="2"/>
      <c r="FR365" s="2"/>
      <c r="FS365" s="2"/>
      <c r="FT365" s="2"/>
      <c r="FU365" s="2"/>
      <c r="FV365" s="2"/>
      <c r="FW365" s="2"/>
      <c r="FX365" s="2"/>
      <c r="FY365" s="2"/>
      <c r="FZ365" s="2"/>
      <c r="GA365" s="2"/>
      <c r="GB365" s="2"/>
      <c r="GC365" s="2"/>
      <c r="GD365" s="2"/>
      <c r="GE365" s="2"/>
      <c r="GF365" s="2"/>
      <c r="GG365" s="2"/>
      <c r="GH365" s="2"/>
      <c r="GI365" s="2"/>
      <c r="GJ365" s="2"/>
      <c r="GK365" s="2"/>
      <c r="GL365" s="2"/>
      <c r="GM365" s="2"/>
      <c r="GN365" s="2"/>
      <c r="GO365" s="2"/>
      <c r="GP365" s="2"/>
      <c r="GQ365" s="2"/>
      <c r="GR365" s="2"/>
      <c r="GS365" s="2"/>
      <c r="GT365" s="2"/>
      <c r="GU365" s="2"/>
      <c r="GV365" s="2"/>
      <c r="GW365" s="2"/>
      <c r="GX365" s="2"/>
      <c r="GY365" s="2"/>
      <c r="GZ365" s="2"/>
      <c r="HA365" s="2"/>
      <c r="HB365" s="2"/>
      <c r="HC365" s="2"/>
      <c r="HD365" s="2"/>
      <c r="HE365" s="2"/>
      <c r="HF365" s="2"/>
      <c r="HG365" s="2"/>
      <c r="HH365" s="2"/>
      <c r="HI365" s="2"/>
      <c r="HJ365" s="2"/>
      <c r="HK365" s="2"/>
      <c r="HL365" s="2"/>
      <c r="HM365" s="2"/>
      <c r="HN365" s="2"/>
      <c r="HO365" s="2"/>
      <c r="HP365" s="2"/>
      <c r="HQ365" s="2"/>
      <c r="HR365" s="2"/>
      <c r="HS365" s="2"/>
      <c r="HT365" s="2"/>
      <c r="HU365" s="2"/>
      <c r="HV365" s="2"/>
      <c r="HW365" s="2"/>
      <c r="HX365" s="2"/>
      <c r="HY365" s="2"/>
      <c r="HZ365" s="2"/>
      <c r="IA365" s="2"/>
      <c r="IB365" s="2"/>
      <c r="IC365" s="2"/>
    </row>
    <row r="366" spans="1:237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  <c r="FN366" s="2"/>
      <c r="FO366" s="2"/>
      <c r="FP366" s="2"/>
      <c r="FQ366" s="2"/>
      <c r="FR366" s="2"/>
      <c r="FS366" s="2"/>
      <c r="FT366" s="2"/>
      <c r="FU366" s="2"/>
      <c r="FV366" s="2"/>
      <c r="FW366" s="2"/>
      <c r="FX366" s="2"/>
      <c r="FY366" s="2"/>
      <c r="FZ366" s="2"/>
      <c r="GA366" s="2"/>
      <c r="GB366" s="2"/>
      <c r="GC366" s="2"/>
      <c r="GD366" s="2"/>
      <c r="GE366" s="2"/>
      <c r="GF366" s="2"/>
      <c r="GG366" s="2"/>
      <c r="GH366" s="2"/>
      <c r="GI366" s="2"/>
      <c r="GJ366" s="2"/>
      <c r="GK366" s="2"/>
      <c r="GL366" s="2"/>
      <c r="GM366" s="2"/>
      <c r="GN366" s="2"/>
      <c r="GO366" s="2"/>
      <c r="GP366" s="2"/>
      <c r="GQ366" s="2"/>
      <c r="GR366" s="2"/>
      <c r="GS366" s="2"/>
      <c r="GT366" s="2"/>
      <c r="GU366" s="2"/>
      <c r="GV366" s="2"/>
      <c r="GW366" s="2"/>
      <c r="GX366" s="2"/>
      <c r="GY366" s="2"/>
      <c r="GZ366" s="2"/>
      <c r="HA366" s="2"/>
      <c r="HB366" s="2"/>
      <c r="HC366" s="2"/>
      <c r="HD366" s="2"/>
      <c r="HE366" s="2"/>
      <c r="HF366" s="2"/>
      <c r="HG366" s="2"/>
      <c r="HH366" s="2"/>
      <c r="HI366" s="2"/>
      <c r="HJ366" s="2"/>
      <c r="HK366" s="2"/>
      <c r="HL366" s="2"/>
      <c r="HM366" s="2"/>
      <c r="HN366" s="2"/>
      <c r="HO366" s="2"/>
      <c r="HP366" s="2"/>
      <c r="HQ366" s="2"/>
      <c r="HR366" s="2"/>
      <c r="HS366" s="2"/>
      <c r="HT366" s="2"/>
      <c r="HU366" s="2"/>
      <c r="HV366" s="2"/>
      <c r="HW366" s="2"/>
      <c r="HX366" s="2"/>
      <c r="HY366" s="2"/>
      <c r="HZ366" s="2"/>
      <c r="IA366" s="2"/>
      <c r="IB366" s="2"/>
      <c r="IC366" s="2"/>
    </row>
    <row r="367" spans="1:237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  <c r="FN367" s="2"/>
      <c r="FO367" s="2"/>
      <c r="FP367" s="2"/>
      <c r="FQ367" s="2"/>
      <c r="FR367" s="2"/>
      <c r="FS367" s="2"/>
      <c r="FT367" s="2"/>
      <c r="FU367" s="2"/>
      <c r="FV367" s="2"/>
      <c r="FW367" s="2"/>
      <c r="FX367" s="2"/>
      <c r="FY367" s="2"/>
      <c r="FZ367" s="2"/>
      <c r="GA367" s="2"/>
      <c r="GB367" s="2"/>
      <c r="GC367" s="2"/>
      <c r="GD367" s="2"/>
      <c r="GE367" s="2"/>
      <c r="GF367" s="2"/>
      <c r="GG367" s="2"/>
      <c r="GH367" s="2"/>
      <c r="GI367" s="2"/>
      <c r="GJ367" s="2"/>
      <c r="GK367" s="2"/>
      <c r="GL367" s="2"/>
      <c r="GM367" s="2"/>
      <c r="GN367" s="2"/>
      <c r="GO367" s="2"/>
      <c r="GP367" s="2"/>
      <c r="GQ367" s="2"/>
      <c r="GR367" s="2"/>
      <c r="GS367" s="2"/>
      <c r="GT367" s="2"/>
      <c r="GU367" s="2"/>
      <c r="GV367" s="2"/>
      <c r="GW367" s="2"/>
      <c r="GX367" s="2"/>
      <c r="GY367" s="2"/>
      <c r="GZ367" s="2"/>
      <c r="HA367" s="2"/>
      <c r="HB367" s="2"/>
      <c r="HC367" s="2"/>
      <c r="HD367" s="2"/>
      <c r="HE367" s="2"/>
      <c r="HF367" s="2"/>
      <c r="HG367" s="2"/>
      <c r="HH367" s="2"/>
      <c r="HI367" s="2"/>
      <c r="HJ367" s="2"/>
      <c r="HK367" s="2"/>
      <c r="HL367" s="2"/>
      <c r="HM367" s="2"/>
      <c r="HN367" s="2"/>
      <c r="HO367" s="2"/>
      <c r="HP367" s="2"/>
      <c r="HQ367" s="2"/>
      <c r="HR367" s="2"/>
      <c r="HS367" s="2"/>
      <c r="HT367" s="2"/>
      <c r="HU367" s="2"/>
      <c r="HV367" s="2"/>
      <c r="HW367" s="2"/>
      <c r="HX367" s="2"/>
      <c r="HY367" s="2"/>
      <c r="HZ367" s="2"/>
      <c r="IA367" s="2"/>
      <c r="IB367" s="2"/>
      <c r="IC367" s="2"/>
    </row>
    <row r="368" spans="1:237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  <c r="FN368" s="2"/>
      <c r="FO368" s="2"/>
      <c r="FP368" s="2"/>
      <c r="FQ368" s="2"/>
      <c r="FR368" s="2"/>
      <c r="FS368" s="2"/>
      <c r="FT368" s="2"/>
      <c r="FU368" s="2"/>
      <c r="FV368" s="2"/>
      <c r="FW368" s="2"/>
      <c r="FX368" s="2"/>
      <c r="FY368" s="2"/>
      <c r="FZ368" s="2"/>
      <c r="GA368" s="2"/>
      <c r="GB368" s="2"/>
      <c r="GC368" s="2"/>
      <c r="GD368" s="2"/>
      <c r="GE368" s="2"/>
      <c r="GF368" s="2"/>
      <c r="GG368" s="2"/>
      <c r="GH368" s="2"/>
      <c r="GI368" s="2"/>
      <c r="GJ368" s="2"/>
      <c r="GK368" s="2"/>
      <c r="GL368" s="2"/>
      <c r="GM368" s="2"/>
      <c r="GN368" s="2"/>
      <c r="GO368" s="2"/>
      <c r="GP368" s="2"/>
      <c r="GQ368" s="2"/>
      <c r="GR368" s="2"/>
      <c r="GS368" s="2"/>
      <c r="GT368" s="2"/>
      <c r="GU368" s="2"/>
      <c r="GV368" s="2"/>
      <c r="GW368" s="2"/>
      <c r="GX368" s="2"/>
      <c r="GY368" s="2"/>
      <c r="GZ368" s="2"/>
      <c r="HA368" s="2"/>
      <c r="HB368" s="2"/>
      <c r="HC368" s="2"/>
      <c r="HD368" s="2"/>
      <c r="HE368" s="2"/>
      <c r="HF368" s="2"/>
      <c r="HG368" s="2"/>
      <c r="HH368" s="2"/>
      <c r="HI368" s="2"/>
      <c r="HJ368" s="2"/>
      <c r="HK368" s="2"/>
      <c r="HL368" s="2"/>
      <c r="HM368" s="2"/>
      <c r="HN368" s="2"/>
      <c r="HO368" s="2"/>
      <c r="HP368" s="2"/>
      <c r="HQ368" s="2"/>
      <c r="HR368" s="2"/>
      <c r="HS368" s="2"/>
      <c r="HT368" s="2"/>
      <c r="HU368" s="2"/>
      <c r="HV368" s="2"/>
      <c r="HW368" s="2"/>
      <c r="HX368" s="2"/>
      <c r="HY368" s="2"/>
      <c r="HZ368" s="2"/>
      <c r="IA368" s="2"/>
      <c r="IB368" s="2"/>
      <c r="IC368" s="2"/>
    </row>
    <row r="369" spans="1:237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  <c r="FN369" s="2"/>
      <c r="FO369" s="2"/>
      <c r="FP369" s="2"/>
      <c r="FQ369" s="2"/>
      <c r="FR369" s="2"/>
      <c r="FS369" s="2"/>
      <c r="FT369" s="2"/>
      <c r="FU369" s="2"/>
      <c r="FV369" s="2"/>
      <c r="FW369" s="2"/>
      <c r="FX369" s="2"/>
      <c r="FY369" s="2"/>
      <c r="FZ369" s="2"/>
      <c r="GA369" s="2"/>
      <c r="GB369" s="2"/>
      <c r="GC369" s="2"/>
      <c r="GD369" s="2"/>
      <c r="GE369" s="2"/>
      <c r="GF369" s="2"/>
      <c r="GG369" s="2"/>
      <c r="GH369" s="2"/>
      <c r="GI369" s="2"/>
      <c r="GJ369" s="2"/>
      <c r="GK369" s="2"/>
      <c r="GL369" s="2"/>
      <c r="GM369" s="2"/>
      <c r="GN369" s="2"/>
      <c r="GO369" s="2"/>
      <c r="GP369" s="2"/>
      <c r="GQ369" s="2"/>
      <c r="GR369" s="2"/>
      <c r="GS369" s="2"/>
      <c r="GT369" s="2"/>
      <c r="GU369" s="2"/>
      <c r="GV369" s="2"/>
      <c r="GW369" s="2"/>
      <c r="GX369" s="2"/>
      <c r="GY369" s="2"/>
      <c r="GZ369" s="2"/>
      <c r="HA369" s="2"/>
      <c r="HB369" s="2"/>
      <c r="HC369" s="2"/>
      <c r="HD369" s="2"/>
      <c r="HE369" s="2"/>
      <c r="HF369" s="2"/>
      <c r="HG369" s="2"/>
      <c r="HH369" s="2"/>
      <c r="HI369" s="2"/>
      <c r="HJ369" s="2"/>
      <c r="HK369" s="2"/>
      <c r="HL369" s="2"/>
      <c r="HM369" s="2"/>
      <c r="HN369" s="2"/>
      <c r="HO369" s="2"/>
      <c r="HP369" s="2"/>
      <c r="HQ369" s="2"/>
      <c r="HR369" s="2"/>
      <c r="HS369" s="2"/>
      <c r="HT369" s="2"/>
      <c r="HU369" s="2"/>
      <c r="HV369" s="2"/>
      <c r="HW369" s="2"/>
      <c r="HX369" s="2"/>
      <c r="HY369" s="2"/>
      <c r="HZ369" s="2"/>
      <c r="IA369" s="2"/>
      <c r="IB369" s="2"/>
      <c r="IC369" s="2"/>
    </row>
    <row r="370" spans="1:237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  <c r="FN370" s="2"/>
      <c r="FO370" s="2"/>
      <c r="FP370" s="2"/>
      <c r="FQ370" s="2"/>
      <c r="FR370" s="2"/>
      <c r="FS370" s="2"/>
      <c r="FT370" s="2"/>
      <c r="FU370" s="2"/>
      <c r="FV370" s="2"/>
      <c r="FW370" s="2"/>
      <c r="FX370" s="2"/>
      <c r="FY370" s="2"/>
      <c r="FZ370" s="2"/>
      <c r="GA370" s="2"/>
      <c r="GB370" s="2"/>
      <c r="GC370" s="2"/>
      <c r="GD370" s="2"/>
      <c r="GE370" s="2"/>
      <c r="GF370" s="2"/>
      <c r="GG370" s="2"/>
      <c r="GH370" s="2"/>
      <c r="GI370" s="2"/>
      <c r="GJ370" s="2"/>
      <c r="GK370" s="2"/>
      <c r="GL370" s="2"/>
      <c r="GM370" s="2"/>
      <c r="GN370" s="2"/>
      <c r="GO370" s="2"/>
      <c r="GP370" s="2"/>
      <c r="GQ370" s="2"/>
      <c r="GR370" s="2"/>
      <c r="GS370" s="2"/>
      <c r="GT370" s="2"/>
      <c r="GU370" s="2"/>
      <c r="GV370" s="2"/>
      <c r="GW370" s="2"/>
      <c r="GX370" s="2"/>
      <c r="GY370" s="2"/>
      <c r="GZ370" s="2"/>
      <c r="HA370" s="2"/>
      <c r="HB370" s="2"/>
      <c r="HC370" s="2"/>
      <c r="HD370" s="2"/>
      <c r="HE370" s="2"/>
      <c r="HF370" s="2"/>
      <c r="HG370" s="2"/>
      <c r="HH370" s="2"/>
      <c r="HI370" s="2"/>
      <c r="HJ370" s="2"/>
      <c r="HK370" s="2"/>
      <c r="HL370" s="2"/>
      <c r="HM370" s="2"/>
      <c r="HN370" s="2"/>
      <c r="HO370" s="2"/>
      <c r="HP370" s="2"/>
      <c r="HQ370" s="2"/>
      <c r="HR370" s="2"/>
      <c r="HS370" s="2"/>
      <c r="HT370" s="2"/>
      <c r="HU370" s="2"/>
      <c r="HV370" s="2"/>
      <c r="HW370" s="2"/>
      <c r="HX370" s="2"/>
      <c r="HY370" s="2"/>
      <c r="HZ370" s="2"/>
      <c r="IA370" s="2"/>
      <c r="IB370" s="2"/>
      <c r="IC370" s="2"/>
    </row>
    <row r="371" spans="1:237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  <c r="FN371" s="2"/>
      <c r="FO371" s="2"/>
      <c r="FP371" s="2"/>
      <c r="FQ371" s="2"/>
      <c r="FR371" s="2"/>
      <c r="FS371" s="2"/>
      <c r="FT371" s="2"/>
      <c r="FU371" s="2"/>
      <c r="FV371" s="2"/>
      <c r="FW371" s="2"/>
      <c r="FX371" s="2"/>
      <c r="FY371" s="2"/>
      <c r="FZ371" s="2"/>
      <c r="GA371" s="2"/>
      <c r="GB371" s="2"/>
      <c r="GC371" s="2"/>
      <c r="GD371" s="2"/>
      <c r="GE371" s="2"/>
      <c r="GF371" s="2"/>
      <c r="GG371" s="2"/>
      <c r="GH371" s="2"/>
      <c r="GI371" s="2"/>
      <c r="GJ371" s="2"/>
      <c r="GK371" s="2"/>
      <c r="GL371" s="2"/>
      <c r="GM371" s="2"/>
      <c r="GN371" s="2"/>
      <c r="GO371" s="2"/>
      <c r="GP371" s="2"/>
      <c r="GQ371" s="2"/>
      <c r="GR371" s="2"/>
      <c r="GS371" s="2"/>
      <c r="GT371" s="2"/>
      <c r="GU371" s="2"/>
      <c r="GV371" s="2"/>
      <c r="GW371" s="2"/>
      <c r="GX371" s="2"/>
      <c r="GY371" s="2"/>
      <c r="GZ371" s="2"/>
      <c r="HA371" s="2"/>
      <c r="HB371" s="2"/>
      <c r="HC371" s="2"/>
      <c r="HD371" s="2"/>
      <c r="HE371" s="2"/>
      <c r="HF371" s="2"/>
      <c r="HG371" s="2"/>
      <c r="HH371" s="2"/>
      <c r="HI371" s="2"/>
      <c r="HJ371" s="2"/>
      <c r="HK371" s="2"/>
      <c r="HL371" s="2"/>
      <c r="HM371" s="2"/>
      <c r="HN371" s="2"/>
      <c r="HO371" s="2"/>
      <c r="HP371" s="2"/>
      <c r="HQ371" s="2"/>
      <c r="HR371" s="2"/>
      <c r="HS371" s="2"/>
      <c r="HT371" s="2"/>
      <c r="HU371" s="2"/>
      <c r="HV371" s="2"/>
      <c r="HW371" s="2"/>
      <c r="HX371" s="2"/>
      <c r="HY371" s="2"/>
      <c r="HZ371" s="2"/>
      <c r="IA371" s="2"/>
      <c r="IB371" s="2"/>
      <c r="IC371" s="2"/>
    </row>
    <row r="372" spans="1:237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  <c r="FN372" s="2"/>
      <c r="FO372" s="2"/>
      <c r="FP372" s="2"/>
      <c r="FQ372" s="2"/>
      <c r="FR372" s="2"/>
      <c r="FS372" s="2"/>
      <c r="FT372" s="2"/>
      <c r="FU372" s="2"/>
      <c r="FV372" s="2"/>
      <c r="FW372" s="2"/>
      <c r="FX372" s="2"/>
      <c r="FY372" s="2"/>
      <c r="FZ372" s="2"/>
      <c r="GA372" s="2"/>
      <c r="GB372" s="2"/>
      <c r="GC372" s="2"/>
      <c r="GD372" s="2"/>
      <c r="GE372" s="2"/>
      <c r="GF372" s="2"/>
      <c r="GG372" s="2"/>
      <c r="GH372" s="2"/>
      <c r="GI372" s="2"/>
      <c r="GJ372" s="2"/>
      <c r="GK372" s="2"/>
      <c r="GL372" s="2"/>
      <c r="GM372" s="2"/>
      <c r="GN372" s="2"/>
      <c r="GO372" s="2"/>
      <c r="GP372" s="2"/>
      <c r="GQ372" s="2"/>
      <c r="GR372" s="2"/>
      <c r="GS372" s="2"/>
      <c r="GT372" s="2"/>
      <c r="GU372" s="2"/>
      <c r="GV372" s="2"/>
      <c r="GW372" s="2"/>
      <c r="GX372" s="2"/>
      <c r="GY372" s="2"/>
      <c r="GZ372" s="2"/>
      <c r="HA372" s="2"/>
      <c r="HB372" s="2"/>
      <c r="HC372" s="2"/>
      <c r="HD372" s="2"/>
      <c r="HE372" s="2"/>
      <c r="HF372" s="2"/>
      <c r="HG372" s="2"/>
      <c r="HH372" s="2"/>
      <c r="HI372" s="2"/>
      <c r="HJ372" s="2"/>
      <c r="HK372" s="2"/>
      <c r="HL372" s="2"/>
      <c r="HM372" s="2"/>
      <c r="HN372" s="2"/>
      <c r="HO372" s="2"/>
      <c r="HP372" s="2"/>
      <c r="HQ372" s="2"/>
      <c r="HR372" s="2"/>
      <c r="HS372" s="2"/>
      <c r="HT372" s="2"/>
      <c r="HU372" s="2"/>
      <c r="HV372" s="2"/>
      <c r="HW372" s="2"/>
      <c r="HX372" s="2"/>
      <c r="HY372" s="2"/>
      <c r="HZ372" s="2"/>
      <c r="IA372" s="2"/>
      <c r="IB372" s="2"/>
      <c r="IC372" s="2"/>
    </row>
    <row r="373" spans="1:237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  <c r="FN373" s="2"/>
      <c r="FO373" s="2"/>
      <c r="FP373" s="2"/>
      <c r="FQ373" s="2"/>
      <c r="FR373" s="2"/>
      <c r="FS373" s="2"/>
      <c r="FT373" s="2"/>
      <c r="FU373" s="2"/>
      <c r="FV373" s="2"/>
      <c r="FW373" s="2"/>
      <c r="FX373" s="2"/>
      <c r="FY373" s="2"/>
      <c r="FZ373" s="2"/>
      <c r="GA373" s="2"/>
      <c r="GB373" s="2"/>
      <c r="GC373" s="2"/>
      <c r="GD373" s="2"/>
      <c r="GE373" s="2"/>
      <c r="GF373" s="2"/>
      <c r="GG373" s="2"/>
      <c r="GH373" s="2"/>
      <c r="GI373" s="2"/>
      <c r="GJ373" s="2"/>
      <c r="GK373" s="2"/>
      <c r="GL373" s="2"/>
      <c r="GM373" s="2"/>
      <c r="GN373" s="2"/>
      <c r="GO373" s="2"/>
      <c r="GP373" s="2"/>
      <c r="GQ373" s="2"/>
      <c r="GR373" s="2"/>
      <c r="GS373" s="2"/>
      <c r="GT373" s="2"/>
      <c r="GU373" s="2"/>
      <c r="GV373" s="2"/>
      <c r="GW373" s="2"/>
      <c r="GX373" s="2"/>
      <c r="GY373" s="2"/>
      <c r="GZ373" s="2"/>
      <c r="HA373" s="2"/>
      <c r="HB373" s="2"/>
      <c r="HC373" s="2"/>
      <c r="HD373" s="2"/>
      <c r="HE373" s="2"/>
      <c r="HF373" s="2"/>
      <c r="HG373" s="2"/>
      <c r="HH373" s="2"/>
      <c r="HI373" s="2"/>
      <c r="HJ373" s="2"/>
      <c r="HK373" s="2"/>
      <c r="HL373" s="2"/>
      <c r="HM373" s="2"/>
      <c r="HN373" s="2"/>
      <c r="HO373" s="2"/>
      <c r="HP373" s="2"/>
      <c r="HQ373" s="2"/>
      <c r="HR373" s="2"/>
      <c r="HS373" s="2"/>
      <c r="HT373" s="2"/>
      <c r="HU373" s="2"/>
      <c r="HV373" s="2"/>
      <c r="HW373" s="2"/>
      <c r="HX373" s="2"/>
      <c r="HY373" s="2"/>
      <c r="HZ373" s="2"/>
      <c r="IA373" s="2"/>
      <c r="IB373" s="2"/>
      <c r="IC373" s="2"/>
    </row>
    <row r="374" spans="1:237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  <c r="FN374" s="2"/>
      <c r="FO374" s="2"/>
      <c r="FP374" s="2"/>
      <c r="FQ374" s="2"/>
      <c r="FR374" s="2"/>
      <c r="FS374" s="2"/>
      <c r="FT374" s="2"/>
      <c r="FU374" s="2"/>
      <c r="FV374" s="2"/>
      <c r="FW374" s="2"/>
      <c r="FX374" s="2"/>
      <c r="FY374" s="2"/>
      <c r="FZ374" s="2"/>
      <c r="GA374" s="2"/>
      <c r="GB374" s="2"/>
      <c r="GC374" s="2"/>
      <c r="GD374" s="2"/>
      <c r="GE374" s="2"/>
      <c r="GF374" s="2"/>
      <c r="GG374" s="2"/>
      <c r="GH374" s="2"/>
      <c r="GI374" s="2"/>
      <c r="GJ374" s="2"/>
      <c r="GK374" s="2"/>
      <c r="GL374" s="2"/>
      <c r="GM374" s="2"/>
      <c r="GN374" s="2"/>
      <c r="GO374" s="2"/>
      <c r="GP374" s="2"/>
      <c r="GQ374" s="2"/>
      <c r="GR374" s="2"/>
      <c r="GS374" s="2"/>
      <c r="GT374" s="2"/>
      <c r="GU374" s="2"/>
      <c r="GV374" s="2"/>
      <c r="GW374" s="2"/>
      <c r="GX374" s="2"/>
      <c r="GY374" s="2"/>
      <c r="GZ374" s="2"/>
      <c r="HA374" s="2"/>
      <c r="HB374" s="2"/>
      <c r="HC374" s="2"/>
      <c r="HD374" s="2"/>
      <c r="HE374" s="2"/>
      <c r="HF374" s="2"/>
      <c r="HG374" s="2"/>
      <c r="HH374" s="2"/>
      <c r="HI374" s="2"/>
      <c r="HJ374" s="2"/>
      <c r="HK374" s="2"/>
      <c r="HL374" s="2"/>
      <c r="HM374" s="2"/>
      <c r="HN374" s="2"/>
      <c r="HO374" s="2"/>
      <c r="HP374" s="2"/>
      <c r="HQ374" s="2"/>
      <c r="HR374" s="2"/>
      <c r="HS374" s="2"/>
      <c r="HT374" s="2"/>
      <c r="HU374" s="2"/>
      <c r="HV374" s="2"/>
      <c r="HW374" s="2"/>
      <c r="HX374" s="2"/>
      <c r="HY374" s="2"/>
      <c r="HZ374" s="2"/>
      <c r="IA374" s="2"/>
      <c r="IB374" s="2"/>
      <c r="IC374" s="2"/>
    </row>
    <row r="375" spans="1:237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  <c r="FN375" s="2"/>
      <c r="FO375" s="2"/>
      <c r="FP375" s="2"/>
      <c r="FQ375" s="2"/>
      <c r="FR375" s="2"/>
      <c r="FS375" s="2"/>
      <c r="FT375" s="2"/>
      <c r="FU375" s="2"/>
      <c r="FV375" s="2"/>
      <c r="FW375" s="2"/>
      <c r="FX375" s="2"/>
      <c r="FY375" s="2"/>
      <c r="FZ375" s="2"/>
      <c r="GA375" s="2"/>
      <c r="GB375" s="2"/>
      <c r="GC375" s="2"/>
      <c r="GD375" s="2"/>
      <c r="GE375" s="2"/>
      <c r="GF375" s="2"/>
      <c r="GG375" s="2"/>
      <c r="GH375" s="2"/>
      <c r="GI375" s="2"/>
      <c r="GJ375" s="2"/>
      <c r="GK375" s="2"/>
      <c r="GL375" s="2"/>
      <c r="GM375" s="2"/>
      <c r="GN375" s="2"/>
      <c r="GO375" s="2"/>
      <c r="GP375" s="2"/>
      <c r="GQ375" s="2"/>
      <c r="GR375" s="2"/>
      <c r="GS375" s="2"/>
      <c r="GT375" s="2"/>
      <c r="GU375" s="2"/>
      <c r="GV375" s="2"/>
      <c r="GW375" s="2"/>
      <c r="GX375" s="2"/>
      <c r="GY375" s="2"/>
      <c r="GZ375" s="2"/>
      <c r="HA375" s="2"/>
      <c r="HB375" s="2"/>
      <c r="HC375" s="2"/>
      <c r="HD375" s="2"/>
      <c r="HE375" s="2"/>
      <c r="HF375" s="2"/>
      <c r="HG375" s="2"/>
      <c r="HH375" s="2"/>
      <c r="HI375" s="2"/>
      <c r="HJ375" s="2"/>
      <c r="HK375" s="2"/>
      <c r="HL375" s="2"/>
      <c r="HM375" s="2"/>
      <c r="HN375" s="2"/>
      <c r="HO375" s="2"/>
      <c r="HP375" s="2"/>
      <c r="HQ375" s="2"/>
      <c r="HR375" s="2"/>
      <c r="HS375" s="2"/>
      <c r="HT375" s="2"/>
      <c r="HU375" s="2"/>
      <c r="HV375" s="2"/>
      <c r="HW375" s="2"/>
      <c r="HX375" s="2"/>
      <c r="HY375" s="2"/>
      <c r="HZ375" s="2"/>
      <c r="IA375" s="2"/>
      <c r="IB375" s="2"/>
      <c r="IC375" s="2"/>
    </row>
    <row r="376" spans="1:237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  <c r="FN376" s="2"/>
      <c r="FO376" s="2"/>
      <c r="FP376" s="2"/>
      <c r="FQ376" s="2"/>
      <c r="FR376" s="2"/>
      <c r="FS376" s="2"/>
      <c r="FT376" s="2"/>
      <c r="FU376" s="2"/>
      <c r="FV376" s="2"/>
      <c r="FW376" s="2"/>
      <c r="FX376" s="2"/>
      <c r="FY376" s="2"/>
      <c r="FZ376" s="2"/>
      <c r="GA376" s="2"/>
      <c r="GB376" s="2"/>
      <c r="GC376" s="2"/>
      <c r="GD376" s="2"/>
      <c r="GE376" s="2"/>
      <c r="GF376" s="2"/>
      <c r="GG376" s="2"/>
      <c r="GH376" s="2"/>
      <c r="GI376" s="2"/>
      <c r="GJ376" s="2"/>
      <c r="GK376" s="2"/>
      <c r="GL376" s="2"/>
      <c r="GM376" s="2"/>
      <c r="GN376" s="2"/>
      <c r="GO376" s="2"/>
      <c r="GP376" s="2"/>
      <c r="GQ376" s="2"/>
      <c r="GR376" s="2"/>
      <c r="GS376" s="2"/>
      <c r="GT376" s="2"/>
      <c r="GU376" s="2"/>
      <c r="GV376" s="2"/>
      <c r="GW376" s="2"/>
      <c r="GX376" s="2"/>
      <c r="GY376" s="2"/>
      <c r="GZ376" s="2"/>
      <c r="HA376" s="2"/>
      <c r="HB376" s="2"/>
      <c r="HC376" s="2"/>
      <c r="HD376" s="2"/>
      <c r="HE376" s="2"/>
      <c r="HF376" s="2"/>
      <c r="HG376" s="2"/>
      <c r="HH376" s="2"/>
      <c r="HI376" s="2"/>
      <c r="HJ376" s="2"/>
      <c r="HK376" s="2"/>
      <c r="HL376" s="2"/>
      <c r="HM376" s="2"/>
      <c r="HN376" s="2"/>
      <c r="HO376" s="2"/>
      <c r="HP376" s="2"/>
      <c r="HQ376" s="2"/>
      <c r="HR376" s="2"/>
      <c r="HS376" s="2"/>
      <c r="HT376" s="2"/>
      <c r="HU376" s="2"/>
      <c r="HV376" s="2"/>
      <c r="HW376" s="2"/>
      <c r="HX376" s="2"/>
      <c r="HY376" s="2"/>
      <c r="HZ376" s="2"/>
      <c r="IA376" s="2"/>
      <c r="IB376" s="2"/>
      <c r="IC376" s="2"/>
    </row>
    <row r="377" spans="1:237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  <c r="FN377" s="2"/>
      <c r="FO377" s="2"/>
      <c r="FP377" s="2"/>
      <c r="FQ377" s="2"/>
      <c r="FR377" s="2"/>
      <c r="FS377" s="2"/>
      <c r="FT377" s="2"/>
      <c r="FU377" s="2"/>
      <c r="FV377" s="2"/>
      <c r="FW377" s="2"/>
      <c r="FX377" s="2"/>
      <c r="FY377" s="2"/>
      <c r="FZ377" s="2"/>
      <c r="GA377" s="2"/>
      <c r="GB377" s="2"/>
      <c r="GC377" s="2"/>
      <c r="GD377" s="2"/>
      <c r="GE377" s="2"/>
      <c r="GF377" s="2"/>
      <c r="GG377" s="2"/>
      <c r="GH377" s="2"/>
      <c r="GI377" s="2"/>
      <c r="GJ377" s="2"/>
      <c r="GK377" s="2"/>
      <c r="GL377" s="2"/>
      <c r="GM377" s="2"/>
      <c r="GN377" s="2"/>
      <c r="GO377" s="2"/>
      <c r="GP377" s="2"/>
      <c r="GQ377" s="2"/>
      <c r="GR377" s="2"/>
      <c r="GS377" s="2"/>
      <c r="GT377" s="2"/>
      <c r="GU377" s="2"/>
      <c r="GV377" s="2"/>
      <c r="GW377" s="2"/>
      <c r="GX377" s="2"/>
      <c r="GY377" s="2"/>
      <c r="GZ377" s="2"/>
      <c r="HA377" s="2"/>
      <c r="HB377" s="2"/>
      <c r="HC377" s="2"/>
      <c r="HD377" s="2"/>
      <c r="HE377" s="2"/>
      <c r="HF377" s="2"/>
      <c r="HG377" s="2"/>
      <c r="HH377" s="2"/>
      <c r="HI377" s="2"/>
      <c r="HJ377" s="2"/>
      <c r="HK377" s="2"/>
      <c r="HL377" s="2"/>
      <c r="HM377" s="2"/>
      <c r="HN377" s="2"/>
      <c r="HO377" s="2"/>
      <c r="HP377" s="2"/>
      <c r="HQ377" s="2"/>
      <c r="HR377" s="2"/>
      <c r="HS377" s="2"/>
      <c r="HT377" s="2"/>
      <c r="HU377" s="2"/>
      <c r="HV377" s="2"/>
      <c r="HW377" s="2"/>
      <c r="HX377" s="2"/>
      <c r="HY377" s="2"/>
      <c r="HZ377" s="2"/>
      <c r="IA377" s="2"/>
      <c r="IB377" s="2"/>
      <c r="IC377" s="2"/>
    </row>
    <row r="378" spans="1:237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  <c r="FN378" s="2"/>
      <c r="FO378" s="2"/>
      <c r="FP378" s="2"/>
      <c r="FQ378" s="2"/>
      <c r="FR378" s="2"/>
      <c r="FS378" s="2"/>
      <c r="FT378" s="2"/>
      <c r="FU378" s="2"/>
      <c r="FV378" s="2"/>
      <c r="FW378" s="2"/>
      <c r="FX378" s="2"/>
      <c r="FY378" s="2"/>
      <c r="FZ378" s="2"/>
      <c r="GA378" s="2"/>
      <c r="GB378" s="2"/>
      <c r="GC378" s="2"/>
      <c r="GD378" s="2"/>
      <c r="GE378" s="2"/>
      <c r="GF378" s="2"/>
      <c r="GG378" s="2"/>
      <c r="GH378" s="2"/>
      <c r="GI378" s="2"/>
      <c r="GJ378" s="2"/>
      <c r="GK378" s="2"/>
      <c r="GL378" s="2"/>
      <c r="GM378" s="2"/>
      <c r="GN378" s="2"/>
      <c r="GO378" s="2"/>
      <c r="GP378" s="2"/>
      <c r="GQ378" s="2"/>
      <c r="GR378" s="2"/>
      <c r="GS378" s="2"/>
      <c r="GT378" s="2"/>
      <c r="GU378" s="2"/>
      <c r="GV378" s="2"/>
      <c r="GW378" s="2"/>
      <c r="GX378" s="2"/>
      <c r="GY378" s="2"/>
      <c r="GZ378" s="2"/>
      <c r="HA378" s="2"/>
      <c r="HB378" s="2"/>
      <c r="HC378" s="2"/>
      <c r="HD378" s="2"/>
      <c r="HE378" s="2"/>
      <c r="HF378" s="2"/>
      <c r="HG378" s="2"/>
      <c r="HH378" s="2"/>
      <c r="HI378" s="2"/>
      <c r="HJ378" s="2"/>
      <c r="HK378" s="2"/>
      <c r="HL378" s="2"/>
      <c r="HM378" s="2"/>
      <c r="HN378" s="2"/>
      <c r="HO378" s="2"/>
      <c r="HP378" s="2"/>
      <c r="HQ378" s="2"/>
      <c r="HR378" s="2"/>
      <c r="HS378" s="2"/>
      <c r="HT378" s="2"/>
      <c r="HU378" s="2"/>
      <c r="HV378" s="2"/>
      <c r="HW378" s="2"/>
      <c r="HX378" s="2"/>
      <c r="HY378" s="2"/>
      <c r="HZ378" s="2"/>
      <c r="IA378" s="2"/>
      <c r="IB378" s="2"/>
      <c r="IC378" s="2"/>
    </row>
    <row r="379" spans="1:237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  <c r="FN379" s="2"/>
      <c r="FO379" s="2"/>
      <c r="FP379" s="2"/>
      <c r="FQ379" s="2"/>
      <c r="FR379" s="2"/>
      <c r="FS379" s="2"/>
      <c r="FT379" s="2"/>
      <c r="FU379" s="2"/>
      <c r="FV379" s="2"/>
      <c r="FW379" s="2"/>
      <c r="FX379" s="2"/>
      <c r="FY379" s="2"/>
      <c r="FZ379" s="2"/>
      <c r="GA379" s="2"/>
      <c r="GB379" s="2"/>
      <c r="GC379" s="2"/>
      <c r="GD379" s="2"/>
      <c r="GE379" s="2"/>
      <c r="GF379" s="2"/>
      <c r="GG379" s="2"/>
      <c r="GH379" s="2"/>
      <c r="GI379" s="2"/>
      <c r="GJ379" s="2"/>
      <c r="GK379" s="2"/>
      <c r="GL379" s="2"/>
      <c r="GM379" s="2"/>
      <c r="GN379" s="2"/>
      <c r="GO379" s="2"/>
      <c r="GP379" s="2"/>
      <c r="GQ379" s="2"/>
      <c r="GR379" s="2"/>
      <c r="GS379" s="2"/>
      <c r="GT379" s="2"/>
      <c r="GU379" s="2"/>
      <c r="GV379" s="2"/>
      <c r="GW379" s="2"/>
      <c r="GX379" s="2"/>
      <c r="GY379" s="2"/>
      <c r="GZ379" s="2"/>
      <c r="HA379" s="2"/>
      <c r="HB379" s="2"/>
      <c r="HC379" s="2"/>
      <c r="HD379" s="2"/>
      <c r="HE379" s="2"/>
      <c r="HF379" s="2"/>
      <c r="HG379" s="2"/>
      <c r="HH379" s="2"/>
      <c r="HI379" s="2"/>
      <c r="HJ379" s="2"/>
      <c r="HK379" s="2"/>
      <c r="HL379" s="2"/>
      <c r="HM379" s="2"/>
      <c r="HN379" s="2"/>
      <c r="HO379" s="2"/>
      <c r="HP379" s="2"/>
      <c r="HQ379" s="2"/>
      <c r="HR379" s="2"/>
      <c r="HS379" s="2"/>
      <c r="HT379" s="2"/>
      <c r="HU379" s="2"/>
      <c r="HV379" s="2"/>
      <c r="HW379" s="2"/>
      <c r="HX379" s="2"/>
      <c r="HY379" s="2"/>
      <c r="HZ379" s="2"/>
      <c r="IA379" s="2"/>
      <c r="IB379" s="2"/>
      <c r="IC379" s="2"/>
    </row>
    <row r="380" spans="1:237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2"/>
      <c r="EE380" s="2"/>
      <c r="EF380" s="2"/>
      <c r="EG380" s="2"/>
      <c r="EH380" s="2"/>
      <c r="EI380" s="2"/>
      <c r="EJ380" s="2"/>
      <c r="EK380" s="2"/>
      <c r="EL380" s="2"/>
      <c r="EM380" s="2"/>
      <c r="EN380" s="2"/>
      <c r="EO380" s="2"/>
      <c r="EP380" s="2"/>
      <c r="EQ380" s="2"/>
      <c r="ER380" s="2"/>
      <c r="ES380" s="2"/>
      <c r="ET380" s="2"/>
      <c r="EU380" s="2"/>
      <c r="EV380" s="2"/>
      <c r="EW380" s="2"/>
      <c r="EX380" s="2"/>
      <c r="EY380" s="2"/>
      <c r="EZ380" s="2"/>
      <c r="FA380" s="2"/>
      <c r="FB380" s="2"/>
      <c r="FC380" s="2"/>
      <c r="FD380" s="2"/>
      <c r="FE380" s="2"/>
      <c r="FF380" s="2"/>
      <c r="FG380" s="2"/>
      <c r="FH380" s="2"/>
      <c r="FI380" s="2"/>
      <c r="FJ380" s="2"/>
      <c r="FK380" s="2"/>
      <c r="FL380" s="2"/>
      <c r="FM380" s="2"/>
      <c r="FN380" s="2"/>
      <c r="FO380" s="2"/>
      <c r="FP380" s="2"/>
      <c r="FQ380" s="2"/>
      <c r="FR380" s="2"/>
      <c r="FS380" s="2"/>
      <c r="FT380" s="2"/>
      <c r="FU380" s="2"/>
      <c r="FV380" s="2"/>
      <c r="FW380" s="2"/>
      <c r="FX380" s="2"/>
      <c r="FY380" s="2"/>
      <c r="FZ380" s="2"/>
      <c r="GA380" s="2"/>
      <c r="GB380" s="2"/>
      <c r="GC380" s="2"/>
      <c r="GD380" s="2"/>
      <c r="GE380" s="2"/>
      <c r="GF380" s="2"/>
      <c r="GG380" s="2"/>
      <c r="GH380" s="2"/>
      <c r="GI380" s="2"/>
      <c r="GJ380" s="2"/>
      <c r="GK380" s="2"/>
      <c r="GL380" s="2"/>
      <c r="GM380" s="2"/>
      <c r="GN380" s="2"/>
      <c r="GO380" s="2"/>
      <c r="GP380" s="2"/>
      <c r="GQ380" s="2"/>
      <c r="GR380" s="2"/>
      <c r="GS380" s="2"/>
      <c r="GT380" s="2"/>
      <c r="GU380" s="2"/>
      <c r="GV380" s="2"/>
      <c r="GW380" s="2"/>
      <c r="GX380" s="2"/>
      <c r="GY380" s="2"/>
      <c r="GZ380" s="2"/>
      <c r="HA380" s="2"/>
      <c r="HB380" s="2"/>
      <c r="HC380" s="2"/>
      <c r="HD380" s="2"/>
      <c r="HE380" s="2"/>
      <c r="HF380" s="2"/>
      <c r="HG380" s="2"/>
      <c r="HH380" s="2"/>
      <c r="HI380" s="2"/>
      <c r="HJ380" s="2"/>
      <c r="HK380" s="2"/>
      <c r="HL380" s="2"/>
      <c r="HM380" s="2"/>
      <c r="HN380" s="2"/>
      <c r="HO380" s="2"/>
      <c r="HP380" s="2"/>
      <c r="HQ380" s="2"/>
      <c r="HR380" s="2"/>
      <c r="HS380" s="2"/>
      <c r="HT380" s="2"/>
      <c r="HU380" s="2"/>
      <c r="HV380" s="2"/>
      <c r="HW380" s="2"/>
      <c r="HX380" s="2"/>
      <c r="HY380" s="2"/>
      <c r="HZ380" s="2"/>
      <c r="IA380" s="2"/>
      <c r="IB380" s="2"/>
      <c r="IC380" s="2"/>
    </row>
    <row r="381" spans="1:237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  <c r="FN381" s="2"/>
      <c r="FO381" s="2"/>
      <c r="FP381" s="2"/>
      <c r="FQ381" s="2"/>
      <c r="FR381" s="2"/>
      <c r="FS381" s="2"/>
      <c r="FT381" s="2"/>
      <c r="FU381" s="2"/>
      <c r="FV381" s="2"/>
      <c r="FW381" s="2"/>
      <c r="FX381" s="2"/>
      <c r="FY381" s="2"/>
      <c r="FZ381" s="2"/>
      <c r="GA381" s="2"/>
      <c r="GB381" s="2"/>
      <c r="GC381" s="2"/>
      <c r="GD381" s="2"/>
      <c r="GE381" s="2"/>
      <c r="GF381" s="2"/>
      <c r="GG381" s="2"/>
      <c r="GH381" s="2"/>
      <c r="GI381" s="2"/>
      <c r="GJ381" s="2"/>
      <c r="GK381" s="2"/>
      <c r="GL381" s="2"/>
      <c r="GM381" s="2"/>
      <c r="GN381" s="2"/>
      <c r="GO381" s="2"/>
      <c r="GP381" s="2"/>
      <c r="GQ381" s="2"/>
      <c r="GR381" s="2"/>
      <c r="GS381" s="2"/>
      <c r="GT381" s="2"/>
      <c r="GU381" s="2"/>
      <c r="GV381" s="2"/>
      <c r="GW381" s="2"/>
      <c r="GX381" s="2"/>
      <c r="GY381" s="2"/>
      <c r="GZ381" s="2"/>
      <c r="HA381" s="2"/>
      <c r="HB381" s="2"/>
      <c r="HC381" s="2"/>
      <c r="HD381" s="2"/>
      <c r="HE381" s="2"/>
      <c r="HF381" s="2"/>
      <c r="HG381" s="2"/>
      <c r="HH381" s="2"/>
      <c r="HI381" s="2"/>
      <c r="HJ381" s="2"/>
      <c r="HK381" s="2"/>
      <c r="HL381" s="2"/>
      <c r="HM381" s="2"/>
      <c r="HN381" s="2"/>
      <c r="HO381" s="2"/>
      <c r="HP381" s="2"/>
      <c r="HQ381" s="2"/>
      <c r="HR381" s="2"/>
      <c r="HS381" s="2"/>
      <c r="HT381" s="2"/>
      <c r="HU381" s="2"/>
      <c r="HV381" s="2"/>
      <c r="HW381" s="2"/>
      <c r="HX381" s="2"/>
      <c r="HY381" s="2"/>
      <c r="HZ381" s="2"/>
      <c r="IA381" s="2"/>
      <c r="IB381" s="2"/>
      <c r="IC381" s="2"/>
    </row>
    <row r="382" spans="1:237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  <c r="FN382" s="2"/>
      <c r="FO382" s="2"/>
      <c r="FP382" s="2"/>
      <c r="FQ382" s="2"/>
      <c r="FR382" s="2"/>
      <c r="FS382" s="2"/>
      <c r="FT382" s="2"/>
      <c r="FU382" s="2"/>
      <c r="FV382" s="2"/>
      <c r="FW382" s="2"/>
      <c r="FX382" s="2"/>
      <c r="FY382" s="2"/>
      <c r="FZ382" s="2"/>
      <c r="GA382" s="2"/>
      <c r="GB382" s="2"/>
      <c r="GC382" s="2"/>
      <c r="GD382" s="2"/>
      <c r="GE382" s="2"/>
      <c r="GF382" s="2"/>
      <c r="GG382" s="2"/>
      <c r="GH382" s="2"/>
      <c r="GI382" s="2"/>
      <c r="GJ382" s="2"/>
      <c r="GK382" s="2"/>
      <c r="GL382" s="2"/>
      <c r="GM382" s="2"/>
      <c r="GN382" s="2"/>
      <c r="GO382" s="2"/>
      <c r="GP382" s="2"/>
      <c r="GQ382" s="2"/>
      <c r="GR382" s="2"/>
      <c r="GS382" s="2"/>
      <c r="GT382" s="2"/>
      <c r="GU382" s="2"/>
      <c r="GV382" s="2"/>
      <c r="GW382" s="2"/>
      <c r="GX382" s="2"/>
      <c r="GY382" s="2"/>
      <c r="GZ382" s="2"/>
      <c r="HA382" s="2"/>
      <c r="HB382" s="2"/>
      <c r="HC382" s="2"/>
      <c r="HD382" s="2"/>
      <c r="HE382" s="2"/>
      <c r="HF382" s="2"/>
      <c r="HG382" s="2"/>
      <c r="HH382" s="2"/>
      <c r="HI382" s="2"/>
      <c r="HJ382" s="2"/>
      <c r="HK382" s="2"/>
      <c r="HL382" s="2"/>
      <c r="HM382" s="2"/>
      <c r="HN382" s="2"/>
      <c r="HO382" s="2"/>
      <c r="HP382" s="2"/>
      <c r="HQ382" s="2"/>
      <c r="HR382" s="2"/>
      <c r="HS382" s="2"/>
      <c r="HT382" s="2"/>
      <c r="HU382" s="2"/>
      <c r="HV382" s="2"/>
      <c r="HW382" s="2"/>
      <c r="HX382" s="2"/>
      <c r="HY382" s="2"/>
      <c r="HZ382" s="2"/>
      <c r="IA382" s="2"/>
      <c r="IB382" s="2"/>
      <c r="IC382" s="2"/>
    </row>
    <row r="383" spans="1:237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  <c r="FN383" s="2"/>
      <c r="FO383" s="2"/>
      <c r="FP383" s="2"/>
      <c r="FQ383" s="2"/>
      <c r="FR383" s="2"/>
      <c r="FS383" s="2"/>
      <c r="FT383" s="2"/>
      <c r="FU383" s="2"/>
      <c r="FV383" s="2"/>
      <c r="FW383" s="2"/>
      <c r="FX383" s="2"/>
      <c r="FY383" s="2"/>
      <c r="FZ383" s="2"/>
      <c r="GA383" s="2"/>
      <c r="GB383" s="2"/>
      <c r="GC383" s="2"/>
      <c r="GD383" s="2"/>
      <c r="GE383" s="2"/>
      <c r="GF383" s="2"/>
      <c r="GG383" s="2"/>
      <c r="GH383" s="2"/>
      <c r="GI383" s="2"/>
      <c r="GJ383" s="2"/>
      <c r="GK383" s="2"/>
      <c r="GL383" s="2"/>
      <c r="GM383" s="2"/>
      <c r="GN383" s="2"/>
      <c r="GO383" s="2"/>
      <c r="GP383" s="2"/>
      <c r="GQ383" s="2"/>
      <c r="GR383" s="2"/>
      <c r="GS383" s="2"/>
      <c r="GT383" s="2"/>
      <c r="GU383" s="2"/>
      <c r="GV383" s="2"/>
      <c r="GW383" s="2"/>
      <c r="GX383" s="2"/>
      <c r="GY383" s="2"/>
      <c r="GZ383" s="2"/>
      <c r="HA383" s="2"/>
      <c r="HB383" s="2"/>
      <c r="HC383" s="2"/>
      <c r="HD383" s="2"/>
      <c r="HE383" s="2"/>
      <c r="HF383" s="2"/>
      <c r="HG383" s="2"/>
      <c r="HH383" s="2"/>
      <c r="HI383" s="2"/>
      <c r="HJ383" s="2"/>
      <c r="HK383" s="2"/>
      <c r="HL383" s="2"/>
      <c r="HM383" s="2"/>
      <c r="HN383" s="2"/>
      <c r="HO383" s="2"/>
      <c r="HP383" s="2"/>
      <c r="HQ383" s="2"/>
      <c r="HR383" s="2"/>
      <c r="HS383" s="2"/>
      <c r="HT383" s="2"/>
      <c r="HU383" s="2"/>
      <c r="HV383" s="2"/>
      <c r="HW383" s="2"/>
      <c r="HX383" s="2"/>
      <c r="HY383" s="2"/>
      <c r="HZ383" s="2"/>
      <c r="IA383" s="2"/>
      <c r="IB383" s="2"/>
      <c r="IC383" s="2"/>
    </row>
    <row r="384" spans="1:237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  <c r="FN384" s="2"/>
      <c r="FO384" s="2"/>
      <c r="FP384" s="2"/>
      <c r="FQ384" s="2"/>
      <c r="FR384" s="2"/>
      <c r="FS384" s="2"/>
      <c r="FT384" s="2"/>
      <c r="FU384" s="2"/>
      <c r="FV384" s="2"/>
      <c r="FW384" s="2"/>
      <c r="FX384" s="2"/>
      <c r="FY384" s="2"/>
      <c r="FZ384" s="2"/>
      <c r="GA384" s="2"/>
      <c r="GB384" s="2"/>
      <c r="GC384" s="2"/>
      <c r="GD384" s="2"/>
      <c r="GE384" s="2"/>
      <c r="GF384" s="2"/>
      <c r="GG384" s="2"/>
      <c r="GH384" s="2"/>
      <c r="GI384" s="2"/>
      <c r="GJ384" s="2"/>
      <c r="GK384" s="2"/>
      <c r="GL384" s="2"/>
      <c r="GM384" s="2"/>
      <c r="GN384" s="2"/>
      <c r="GO384" s="2"/>
      <c r="GP384" s="2"/>
      <c r="GQ384" s="2"/>
      <c r="GR384" s="2"/>
      <c r="GS384" s="2"/>
      <c r="GT384" s="2"/>
      <c r="GU384" s="2"/>
      <c r="GV384" s="2"/>
      <c r="GW384" s="2"/>
      <c r="GX384" s="2"/>
      <c r="GY384" s="2"/>
      <c r="GZ384" s="2"/>
      <c r="HA384" s="2"/>
      <c r="HB384" s="2"/>
      <c r="HC384" s="2"/>
      <c r="HD384" s="2"/>
      <c r="HE384" s="2"/>
      <c r="HF384" s="2"/>
      <c r="HG384" s="2"/>
      <c r="HH384" s="2"/>
      <c r="HI384" s="2"/>
      <c r="HJ384" s="2"/>
      <c r="HK384" s="2"/>
      <c r="HL384" s="2"/>
      <c r="HM384" s="2"/>
      <c r="HN384" s="2"/>
      <c r="HO384" s="2"/>
      <c r="HP384" s="2"/>
      <c r="HQ384" s="2"/>
      <c r="HR384" s="2"/>
      <c r="HS384" s="2"/>
      <c r="HT384" s="2"/>
      <c r="HU384" s="2"/>
      <c r="HV384" s="2"/>
      <c r="HW384" s="2"/>
      <c r="HX384" s="2"/>
      <c r="HY384" s="2"/>
      <c r="HZ384" s="2"/>
      <c r="IA384" s="2"/>
      <c r="IB384" s="2"/>
      <c r="IC384" s="2"/>
    </row>
    <row r="385" spans="1:237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2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  <c r="FN385" s="2"/>
      <c r="FO385" s="2"/>
      <c r="FP385" s="2"/>
      <c r="FQ385" s="2"/>
      <c r="FR385" s="2"/>
      <c r="FS385" s="2"/>
      <c r="FT385" s="2"/>
      <c r="FU385" s="2"/>
      <c r="FV385" s="2"/>
      <c r="FW385" s="2"/>
      <c r="FX385" s="2"/>
      <c r="FY385" s="2"/>
      <c r="FZ385" s="2"/>
      <c r="GA385" s="2"/>
      <c r="GB385" s="2"/>
      <c r="GC385" s="2"/>
      <c r="GD385" s="2"/>
      <c r="GE385" s="2"/>
      <c r="GF385" s="2"/>
      <c r="GG385" s="2"/>
      <c r="GH385" s="2"/>
      <c r="GI385" s="2"/>
      <c r="GJ385" s="2"/>
      <c r="GK385" s="2"/>
      <c r="GL385" s="2"/>
      <c r="GM385" s="2"/>
      <c r="GN385" s="2"/>
      <c r="GO385" s="2"/>
      <c r="GP385" s="2"/>
      <c r="GQ385" s="2"/>
      <c r="GR385" s="2"/>
      <c r="GS385" s="2"/>
      <c r="GT385" s="2"/>
      <c r="GU385" s="2"/>
      <c r="GV385" s="2"/>
      <c r="GW385" s="2"/>
      <c r="GX385" s="2"/>
      <c r="GY385" s="2"/>
      <c r="GZ385" s="2"/>
      <c r="HA385" s="2"/>
      <c r="HB385" s="2"/>
      <c r="HC385" s="2"/>
      <c r="HD385" s="2"/>
      <c r="HE385" s="2"/>
      <c r="HF385" s="2"/>
      <c r="HG385" s="2"/>
      <c r="HH385" s="2"/>
      <c r="HI385" s="2"/>
      <c r="HJ385" s="2"/>
      <c r="HK385" s="2"/>
      <c r="HL385" s="2"/>
      <c r="HM385" s="2"/>
      <c r="HN385" s="2"/>
      <c r="HO385" s="2"/>
      <c r="HP385" s="2"/>
      <c r="HQ385" s="2"/>
      <c r="HR385" s="2"/>
      <c r="HS385" s="2"/>
      <c r="HT385" s="2"/>
      <c r="HU385" s="2"/>
      <c r="HV385" s="2"/>
      <c r="HW385" s="2"/>
      <c r="HX385" s="2"/>
      <c r="HY385" s="2"/>
      <c r="HZ385" s="2"/>
      <c r="IA385" s="2"/>
      <c r="IB385" s="2"/>
      <c r="IC385" s="2"/>
    </row>
    <row r="386" spans="1:237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  <c r="FN386" s="2"/>
      <c r="FO386" s="2"/>
      <c r="FP386" s="2"/>
      <c r="FQ386" s="2"/>
      <c r="FR386" s="2"/>
      <c r="FS386" s="2"/>
      <c r="FT386" s="2"/>
      <c r="FU386" s="2"/>
      <c r="FV386" s="2"/>
      <c r="FW386" s="2"/>
      <c r="FX386" s="2"/>
      <c r="FY386" s="2"/>
      <c r="FZ386" s="2"/>
      <c r="GA386" s="2"/>
      <c r="GB386" s="2"/>
      <c r="GC386" s="2"/>
      <c r="GD386" s="2"/>
      <c r="GE386" s="2"/>
      <c r="GF386" s="2"/>
      <c r="GG386" s="2"/>
      <c r="GH386" s="2"/>
      <c r="GI386" s="2"/>
      <c r="GJ386" s="2"/>
      <c r="GK386" s="2"/>
      <c r="GL386" s="2"/>
      <c r="GM386" s="2"/>
      <c r="GN386" s="2"/>
      <c r="GO386" s="2"/>
      <c r="GP386" s="2"/>
      <c r="GQ386" s="2"/>
      <c r="GR386" s="2"/>
      <c r="GS386" s="2"/>
      <c r="GT386" s="2"/>
      <c r="GU386" s="2"/>
      <c r="GV386" s="2"/>
      <c r="GW386" s="2"/>
      <c r="GX386" s="2"/>
      <c r="GY386" s="2"/>
      <c r="GZ386" s="2"/>
      <c r="HA386" s="2"/>
      <c r="HB386" s="2"/>
      <c r="HC386" s="2"/>
      <c r="HD386" s="2"/>
      <c r="HE386" s="2"/>
      <c r="HF386" s="2"/>
      <c r="HG386" s="2"/>
      <c r="HH386" s="2"/>
      <c r="HI386" s="2"/>
      <c r="HJ386" s="2"/>
      <c r="HK386" s="2"/>
      <c r="HL386" s="2"/>
      <c r="HM386" s="2"/>
      <c r="HN386" s="2"/>
      <c r="HO386" s="2"/>
      <c r="HP386" s="2"/>
      <c r="HQ386" s="2"/>
      <c r="HR386" s="2"/>
      <c r="HS386" s="2"/>
      <c r="HT386" s="2"/>
      <c r="HU386" s="2"/>
      <c r="HV386" s="2"/>
      <c r="HW386" s="2"/>
      <c r="HX386" s="2"/>
      <c r="HY386" s="2"/>
      <c r="HZ386" s="2"/>
      <c r="IA386" s="2"/>
      <c r="IB386" s="2"/>
      <c r="IC386" s="2"/>
    </row>
    <row r="387" spans="1:237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  <c r="FN387" s="2"/>
      <c r="FO387" s="2"/>
      <c r="FP387" s="2"/>
      <c r="FQ387" s="2"/>
      <c r="FR387" s="2"/>
      <c r="FS387" s="2"/>
      <c r="FT387" s="2"/>
      <c r="FU387" s="2"/>
      <c r="FV387" s="2"/>
      <c r="FW387" s="2"/>
      <c r="FX387" s="2"/>
      <c r="FY387" s="2"/>
      <c r="FZ387" s="2"/>
      <c r="GA387" s="2"/>
      <c r="GB387" s="2"/>
      <c r="GC387" s="2"/>
      <c r="GD387" s="2"/>
      <c r="GE387" s="2"/>
      <c r="GF387" s="2"/>
      <c r="GG387" s="2"/>
      <c r="GH387" s="2"/>
      <c r="GI387" s="2"/>
      <c r="GJ387" s="2"/>
      <c r="GK387" s="2"/>
      <c r="GL387" s="2"/>
      <c r="GM387" s="2"/>
      <c r="GN387" s="2"/>
      <c r="GO387" s="2"/>
      <c r="GP387" s="2"/>
      <c r="GQ387" s="2"/>
      <c r="GR387" s="2"/>
      <c r="GS387" s="2"/>
      <c r="GT387" s="2"/>
      <c r="GU387" s="2"/>
      <c r="GV387" s="2"/>
      <c r="GW387" s="2"/>
      <c r="GX387" s="2"/>
      <c r="GY387" s="2"/>
      <c r="GZ387" s="2"/>
      <c r="HA387" s="2"/>
      <c r="HB387" s="2"/>
      <c r="HC387" s="2"/>
      <c r="HD387" s="2"/>
      <c r="HE387" s="2"/>
      <c r="HF387" s="2"/>
      <c r="HG387" s="2"/>
      <c r="HH387" s="2"/>
      <c r="HI387" s="2"/>
      <c r="HJ387" s="2"/>
      <c r="HK387" s="2"/>
      <c r="HL387" s="2"/>
      <c r="HM387" s="2"/>
      <c r="HN387" s="2"/>
      <c r="HO387" s="2"/>
      <c r="HP387" s="2"/>
      <c r="HQ387" s="2"/>
      <c r="HR387" s="2"/>
      <c r="HS387" s="2"/>
      <c r="HT387" s="2"/>
      <c r="HU387" s="2"/>
      <c r="HV387" s="2"/>
      <c r="HW387" s="2"/>
      <c r="HX387" s="2"/>
      <c r="HY387" s="2"/>
      <c r="HZ387" s="2"/>
      <c r="IA387" s="2"/>
      <c r="IB387" s="2"/>
      <c r="IC387" s="2"/>
    </row>
    <row r="388" spans="1:237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  <c r="FN388" s="2"/>
      <c r="FO388" s="2"/>
      <c r="FP388" s="2"/>
      <c r="FQ388" s="2"/>
      <c r="FR388" s="2"/>
      <c r="FS388" s="2"/>
      <c r="FT388" s="2"/>
      <c r="FU388" s="2"/>
      <c r="FV388" s="2"/>
      <c r="FW388" s="2"/>
      <c r="FX388" s="2"/>
      <c r="FY388" s="2"/>
      <c r="FZ388" s="2"/>
      <c r="GA388" s="2"/>
      <c r="GB388" s="2"/>
      <c r="GC388" s="2"/>
      <c r="GD388" s="2"/>
      <c r="GE388" s="2"/>
      <c r="GF388" s="2"/>
      <c r="GG388" s="2"/>
      <c r="GH388" s="2"/>
      <c r="GI388" s="2"/>
      <c r="GJ388" s="2"/>
      <c r="GK388" s="2"/>
      <c r="GL388" s="2"/>
      <c r="GM388" s="2"/>
      <c r="GN388" s="2"/>
      <c r="GO388" s="2"/>
      <c r="GP388" s="2"/>
      <c r="GQ388" s="2"/>
      <c r="GR388" s="2"/>
      <c r="GS388" s="2"/>
      <c r="GT388" s="2"/>
      <c r="GU388" s="2"/>
      <c r="GV388" s="2"/>
      <c r="GW388" s="2"/>
      <c r="GX388" s="2"/>
      <c r="GY388" s="2"/>
      <c r="GZ388" s="2"/>
      <c r="HA388" s="2"/>
      <c r="HB388" s="2"/>
      <c r="HC388" s="2"/>
      <c r="HD388" s="2"/>
      <c r="HE388" s="2"/>
      <c r="HF388" s="2"/>
      <c r="HG388" s="2"/>
      <c r="HH388" s="2"/>
      <c r="HI388" s="2"/>
      <c r="HJ388" s="2"/>
      <c r="HK388" s="2"/>
      <c r="HL388" s="2"/>
      <c r="HM388" s="2"/>
      <c r="HN388" s="2"/>
      <c r="HO388" s="2"/>
      <c r="HP388" s="2"/>
      <c r="HQ388" s="2"/>
      <c r="HR388" s="2"/>
      <c r="HS388" s="2"/>
      <c r="HT388" s="2"/>
      <c r="HU388" s="2"/>
      <c r="HV388" s="2"/>
      <c r="HW388" s="2"/>
      <c r="HX388" s="2"/>
      <c r="HY388" s="2"/>
      <c r="HZ388" s="2"/>
      <c r="IA388" s="2"/>
      <c r="IB388" s="2"/>
      <c r="IC388" s="2"/>
    </row>
    <row r="389" spans="1:237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  <c r="FN389" s="2"/>
      <c r="FO389" s="2"/>
      <c r="FP389" s="2"/>
      <c r="FQ389" s="2"/>
      <c r="FR389" s="2"/>
      <c r="FS389" s="2"/>
      <c r="FT389" s="2"/>
      <c r="FU389" s="2"/>
      <c r="FV389" s="2"/>
      <c r="FW389" s="2"/>
      <c r="FX389" s="2"/>
      <c r="FY389" s="2"/>
      <c r="FZ389" s="2"/>
      <c r="GA389" s="2"/>
      <c r="GB389" s="2"/>
      <c r="GC389" s="2"/>
      <c r="GD389" s="2"/>
      <c r="GE389" s="2"/>
      <c r="GF389" s="2"/>
      <c r="GG389" s="2"/>
      <c r="GH389" s="2"/>
      <c r="GI389" s="2"/>
      <c r="GJ389" s="2"/>
      <c r="GK389" s="2"/>
      <c r="GL389" s="2"/>
      <c r="GM389" s="2"/>
      <c r="GN389" s="2"/>
      <c r="GO389" s="2"/>
      <c r="GP389" s="2"/>
      <c r="GQ389" s="2"/>
      <c r="GR389" s="2"/>
      <c r="GS389" s="2"/>
      <c r="GT389" s="2"/>
      <c r="GU389" s="2"/>
      <c r="GV389" s="2"/>
      <c r="GW389" s="2"/>
      <c r="GX389" s="2"/>
      <c r="GY389" s="2"/>
      <c r="GZ389" s="2"/>
      <c r="HA389" s="2"/>
      <c r="HB389" s="2"/>
      <c r="HC389" s="2"/>
      <c r="HD389" s="2"/>
      <c r="HE389" s="2"/>
      <c r="HF389" s="2"/>
      <c r="HG389" s="2"/>
      <c r="HH389" s="2"/>
      <c r="HI389" s="2"/>
      <c r="HJ389" s="2"/>
      <c r="HK389" s="2"/>
      <c r="HL389" s="2"/>
      <c r="HM389" s="2"/>
      <c r="HN389" s="2"/>
      <c r="HO389" s="2"/>
      <c r="HP389" s="2"/>
      <c r="HQ389" s="2"/>
      <c r="HR389" s="2"/>
      <c r="HS389" s="2"/>
      <c r="HT389" s="2"/>
      <c r="HU389" s="2"/>
      <c r="HV389" s="2"/>
      <c r="HW389" s="2"/>
      <c r="HX389" s="2"/>
      <c r="HY389" s="2"/>
      <c r="HZ389" s="2"/>
      <c r="IA389" s="2"/>
      <c r="IB389" s="2"/>
      <c r="IC389" s="2"/>
    </row>
    <row r="390" spans="1:237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  <c r="FN390" s="2"/>
      <c r="FO390" s="2"/>
      <c r="FP390" s="2"/>
      <c r="FQ390" s="2"/>
      <c r="FR390" s="2"/>
      <c r="FS390" s="2"/>
      <c r="FT390" s="2"/>
      <c r="FU390" s="2"/>
      <c r="FV390" s="2"/>
      <c r="FW390" s="2"/>
      <c r="FX390" s="2"/>
      <c r="FY390" s="2"/>
      <c r="FZ390" s="2"/>
      <c r="GA390" s="2"/>
      <c r="GB390" s="2"/>
      <c r="GC390" s="2"/>
      <c r="GD390" s="2"/>
      <c r="GE390" s="2"/>
      <c r="GF390" s="2"/>
      <c r="GG390" s="2"/>
      <c r="GH390" s="2"/>
      <c r="GI390" s="2"/>
      <c r="GJ390" s="2"/>
      <c r="GK390" s="2"/>
      <c r="GL390" s="2"/>
      <c r="GM390" s="2"/>
      <c r="GN390" s="2"/>
      <c r="GO390" s="2"/>
      <c r="GP390" s="2"/>
      <c r="GQ390" s="2"/>
      <c r="GR390" s="2"/>
      <c r="GS390" s="2"/>
      <c r="GT390" s="2"/>
      <c r="GU390" s="2"/>
      <c r="GV390" s="2"/>
      <c r="GW390" s="2"/>
      <c r="GX390" s="2"/>
      <c r="GY390" s="2"/>
      <c r="GZ390" s="2"/>
      <c r="HA390" s="2"/>
      <c r="HB390" s="2"/>
      <c r="HC390" s="2"/>
      <c r="HD390" s="2"/>
      <c r="HE390" s="2"/>
      <c r="HF390" s="2"/>
      <c r="HG390" s="2"/>
      <c r="HH390" s="2"/>
      <c r="HI390" s="2"/>
      <c r="HJ390" s="2"/>
      <c r="HK390" s="2"/>
      <c r="HL390" s="2"/>
      <c r="HM390" s="2"/>
      <c r="HN390" s="2"/>
      <c r="HO390" s="2"/>
      <c r="HP390" s="2"/>
      <c r="HQ390" s="2"/>
      <c r="HR390" s="2"/>
      <c r="HS390" s="2"/>
      <c r="HT390" s="2"/>
      <c r="HU390" s="2"/>
      <c r="HV390" s="2"/>
      <c r="HW390" s="2"/>
      <c r="HX390" s="2"/>
      <c r="HY390" s="2"/>
      <c r="HZ390" s="2"/>
      <c r="IA390" s="2"/>
      <c r="IB390" s="2"/>
      <c r="IC390" s="2"/>
    </row>
    <row r="391" spans="1:237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  <c r="FN391" s="2"/>
      <c r="FO391" s="2"/>
      <c r="FP391" s="2"/>
      <c r="FQ391" s="2"/>
      <c r="FR391" s="2"/>
      <c r="FS391" s="2"/>
      <c r="FT391" s="2"/>
      <c r="FU391" s="2"/>
      <c r="FV391" s="2"/>
      <c r="FW391" s="2"/>
      <c r="FX391" s="2"/>
      <c r="FY391" s="2"/>
      <c r="FZ391" s="2"/>
      <c r="GA391" s="2"/>
      <c r="GB391" s="2"/>
      <c r="GC391" s="2"/>
      <c r="GD391" s="2"/>
      <c r="GE391" s="2"/>
      <c r="GF391" s="2"/>
      <c r="GG391" s="2"/>
      <c r="GH391" s="2"/>
      <c r="GI391" s="2"/>
      <c r="GJ391" s="2"/>
      <c r="GK391" s="2"/>
      <c r="GL391" s="2"/>
      <c r="GM391" s="2"/>
      <c r="GN391" s="2"/>
      <c r="GO391" s="2"/>
      <c r="GP391" s="2"/>
      <c r="GQ391" s="2"/>
      <c r="GR391" s="2"/>
      <c r="GS391" s="2"/>
      <c r="GT391" s="2"/>
      <c r="GU391" s="2"/>
      <c r="GV391" s="2"/>
      <c r="GW391" s="2"/>
      <c r="GX391" s="2"/>
      <c r="GY391" s="2"/>
      <c r="GZ391" s="2"/>
      <c r="HA391" s="2"/>
      <c r="HB391" s="2"/>
      <c r="HC391" s="2"/>
      <c r="HD391" s="2"/>
      <c r="HE391" s="2"/>
      <c r="HF391" s="2"/>
      <c r="HG391" s="2"/>
      <c r="HH391" s="2"/>
      <c r="HI391" s="2"/>
      <c r="HJ391" s="2"/>
      <c r="HK391" s="2"/>
      <c r="HL391" s="2"/>
      <c r="HM391" s="2"/>
      <c r="HN391" s="2"/>
      <c r="HO391" s="2"/>
      <c r="HP391" s="2"/>
      <c r="HQ391" s="2"/>
      <c r="HR391" s="2"/>
      <c r="HS391" s="2"/>
      <c r="HT391" s="2"/>
      <c r="HU391" s="2"/>
      <c r="HV391" s="2"/>
      <c r="HW391" s="2"/>
      <c r="HX391" s="2"/>
      <c r="HY391" s="2"/>
      <c r="HZ391" s="2"/>
      <c r="IA391" s="2"/>
      <c r="IB391" s="2"/>
      <c r="IC391" s="2"/>
    </row>
    <row r="392" spans="1:237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  <c r="FN392" s="2"/>
      <c r="FO392" s="2"/>
      <c r="FP392" s="2"/>
      <c r="FQ392" s="2"/>
      <c r="FR392" s="2"/>
      <c r="FS392" s="2"/>
      <c r="FT392" s="2"/>
      <c r="FU392" s="2"/>
      <c r="FV392" s="2"/>
      <c r="FW392" s="2"/>
      <c r="FX392" s="2"/>
      <c r="FY392" s="2"/>
      <c r="FZ392" s="2"/>
      <c r="GA392" s="2"/>
      <c r="GB392" s="2"/>
      <c r="GC392" s="2"/>
      <c r="GD392" s="2"/>
      <c r="GE392" s="2"/>
      <c r="GF392" s="2"/>
      <c r="GG392" s="2"/>
      <c r="GH392" s="2"/>
      <c r="GI392" s="2"/>
      <c r="GJ392" s="2"/>
      <c r="GK392" s="2"/>
      <c r="GL392" s="2"/>
      <c r="GM392" s="2"/>
      <c r="GN392" s="2"/>
      <c r="GO392" s="2"/>
      <c r="GP392" s="2"/>
      <c r="GQ392" s="2"/>
      <c r="GR392" s="2"/>
      <c r="GS392" s="2"/>
      <c r="GT392" s="2"/>
      <c r="GU392" s="2"/>
      <c r="GV392" s="2"/>
      <c r="GW392" s="2"/>
      <c r="GX392" s="2"/>
      <c r="GY392" s="2"/>
      <c r="GZ392" s="2"/>
      <c r="HA392" s="2"/>
      <c r="HB392" s="2"/>
      <c r="HC392" s="2"/>
      <c r="HD392" s="2"/>
      <c r="HE392" s="2"/>
      <c r="HF392" s="2"/>
      <c r="HG392" s="2"/>
      <c r="HH392" s="2"/>
      <c r="HI392" s="2"/>
      <c r="HJ392" s="2"/>
      <c r="HK392" s="2"/>
      <c r="HL392" s="2"/>
      <c r="HM392" s="2"/>
      <c r="HN392" s="2"/>
      <c r="HO392" s="2"/>
      <c r="HP392" s="2"/>
      <c r="HQ392" s="2"/>
      <c r="HR392" s="2"/>
      <c r="HS392" s="2"/>
      <c r="HT392" s="2"/>
      <c r="HU392" s="2"/>
      <c r="HV392" s="2"/>
      <c r="HW392" s="2"/>
      <c r="HX392" s="2"/>
      <c r="HY392" s="2"/>
      <c r="HZ392" s="2"/>
      <c r="IA392" s="2"/>
      <c r="IB392" s="2"/>
      <c r="IC392" s="2"/>
    </row>
    <row r="393" spans="1:237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  <c r="FN393" s="2"/>
      <c r="FO393" s="2"/>
      <c r="FP393" s="2"/>
      <c r="FQ393" s="2"/>
      <c r="FR393" s="2"/>
      <c r="FS393" s="2"/>
      <c r="FT393" s="2"/>
      <c r="FU393" s="2"/>
      <c r="FV393" s="2"/>
      <c r="FW393" s="2"/>
      <c r="FX393" s="2"/>
      <c r="FY393" s="2"/>
      <c r="FZ393" s="2"/>
      <c r="GA393" s="2"/>
      <c r="GB393" s="2"/>
      <c r="GC393" s="2"/>
      <c r="GD393" s="2"/>
      <c r="GE393" s="2"/>
      <c r="GF393" s="2"/>
      <c r="GG393" s="2"/>
      <c r="GH393" s="2"/>
      <c r="GI393" s="2"/>
      <c r="GJ393" s="2"/>
      <c r="GK393" s="2"/>
      <c r="GL393" s="2"/>
      <c r="GM393" s="2"/>
      <c r="GN393" s="2"/>
      <c r="GO393" s="2"/>
      <c r="GP393" s="2"/>
      <c r="GQ393" s="2"/>
      <c r="GR393" s="2"/>
      <c r="GS393" s="2"/>
      <c r="GT393" s="2"/>
      <c r="GU393" s="2"/>
      <c r="GV393" s="2"/>
      <c r="GW393" s="2"/>
      <c r="GX393" s="2"/>
      <c r="GY393" s="2"/>
      <c r="GZ393" s="2"/>
      <c r="HA393" s="2"/>
      <c r="HB393" s="2"/>
      <c r="HC393" s="2"/>
      <c r="HD393" s="2"/>
      <c r="HE393" s="2"/>
      <c r="HF393" s="2"/>
      <c r="HG393" s="2"/>
      <c r="HH393" s="2"/>
      <c r="HI393" s="2"/>
      <c r="HJ393" s="2"/>
      <c r="HK393" s="2"/>
      <c r="HL393" s="2"/>
      <c r="HM393" s="2"/>
      <c r="HN393" s="2"/>
      <c r="HO393" s="2"/>
      <c r="HP393" s="2"/>
      <c r="HQ393" s="2"/>
      <c r="HR393" s="2"/>
      <c r="HS393" s="2"/>
      <c r="HT393" s="2"/>
      <c r="HU393" s="2"/>
      <c r="HV393" s="2"/>
      <c r="HW393" s="2"/>
      <c r="HX393" s="2"/>
      <c r="HY393" s="2"/>
      <c r="HZ393" s="2"/>
      <c r="IA393" s="2"/>
      <c r="IB393" s="2"/>
      <c r="IC393" s="2"/>
    </row>
    <row r="394" spans="1:237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  <c r="FN394" s="2"/>
      <c r="FO394" s="2"/>
      <c r="FP394" s="2"/>
      <c r="FQ394" s="2"/>
      <c r="FR394" s="2"/>
      <c r="FS394" s="2"/>
      <c r="FT394" s="2"/>
      <c r="FU394" s="2"/>
      <c r="FV394" s="2"/>
      <c r="FW394" s="2"/>
      <c r="FX394" s="2"/>
      <c r="FY394" s="2"/>
      <c r="FZ394" s="2"/>
      <c r="GA394" s="2"/>
      <c r="GB394" s="2"/>
      <c r="GC394" s="2"/>
      <c r="GD394" s="2"/>
      <c r="GE394" s="2"/>
      <c r="GF394" s="2"/>
      <c r="GG394" s="2"/>
      <c r="GH394" s="2"/>
      <c r="GI394" s="2"/>
      <c r="GJ394" s="2"/>
      <c r="GK394" s="2"/>
      <c r="GL394" s="2"/>
      <c r="GM394" s="2"/>
      <c r="GN394" s="2"/>
      <c r="GO394" s="2"/>
      <c r="GP394" s="2"/>
      <c r="GQ394" s="2"/>
      <c r="GR394" s="2"/>
      <c r="GS394" s="2"/>
      <c r="GT394" s="2"/>
      <c r="GU394" s="2"/>
      <c r="GV394" s="2"/>
      <c r="GW394" s="2"/>
      <c r="GX394" s="2"/>
      <c r="GY394" s="2"/>
      <c r="GZ394" s="2"/>
      <c r="HA394" s="2"/>
      <c r="HB394" s="2"/>
      <c r="HC394" s="2"/>
      <c r="HD394" s="2"/>
      <c r="HE394" s="2"/>
      <c r="HF394" s="2"/>
      <c r="HG394" s="2"/>
      <c r="HH394" s="2"/>
      <c r="HI394" s="2"/>
      <c r="HJ394" s="2"/>
      <c r="HK394" s="2"/>
      <c r="HL394" s="2"/>
      <c r="HM394" s="2"/>
      <c r="HN394" s="2"/>
      <c r="HO394" s="2"/>
      <c r="HP394" s="2"/>
      <c r="HQ394" s="2"/>
      <c r="HR394" s="2"/>
      <c r="HS394" s="2"/>
      <c r="HT394" s="2"/>
      <c r="HU394" s="2"/>
      <c r="HV394" s="2"/>
      <c r="HW394" s="2"/>
      <c r="HX394" s="2"/>
      <c r="HY394" s="2"/>
      <c r="HZ394" s="2"/>
      <c r="IA394" s="2"/>
      <c r="IB394" s="2"/>
      <c r="IC394" s="2"/>
    </row>
    <row r="395" spans="1:237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  <c r="FN395" s="2"/>
      <c r="FO395" s="2"/>
      <c r="FP395" s="2"/>
      <c r="FQ395" s="2"/>
      <c r="FR395" s="2"/>
      <c r="FS395" s="2"/>
      <c r="FT395" s="2"/>
      <c r="FU395" s="2"/>
      <c r="FV395" s="2"/>
      <c r="FW395" s="2"/>
      <c r="FX395" s="2"/>
      <c r="FY395" s="2"/>
      <c r="FZ395" s="2"/>
      <c r="GA395" s="2"/>
      <c r="GB395" s="2"/>
      <c r="GC395" s="2"/>
      <c r="GD395" s="2"/>
      <c r="GE395" s="2"/>
      <c r="GF395" s="2"/>
      <c r="GG395" s="2"/>
      <c r="GH395" s="2"/>
      <c r="GI395" s="2"/>
      <c r="GJ395" s="2"/>
      <c r="GK395" s="2"/>
      <c r="GL395" s="2"/>
      <c r="GM395" s="2"/>
      <c r="GN395" s="2"/>
      <c r="GO395" s="2"/>
      <c r="GP395" s="2"/>
      <c r="GQ395" s="2"/>
      <c r="GR395" s="2"/>
      <c r="GS395" s="2"/>
      <c r="GT395" s="2"/>
      <c r="GU395" s="2"/>
      <c r="GV395" s="2"/>
      <c r="GW395" s="2"/>
      <c r="GX395" s="2"/>
      <c r="GY395" s="2"/>
      <c r="GZ395" s="2"/>
      <c r="HA395" s="2"/>
      <c r="HB395" s="2"/>
      <c r="HC395" s="2"/>
      <c r="HD395" s="2"/>
      <c r="HE395" s="2"/>
      <c r="HF395" s="2"/>
      <c r="HG395" s="2"/>
      <c r="HH395" s="2"/>
      <c r="HI395" s="2"/>
      <c r="HJ395" s="2"/>
      <c r="HK395" s="2"/>
      <c r="HL395" s="2"/>
      <c r="HM395" s="2"/>
      <c r="HN395" s="2"/>
      <c r="HO395" s="2"/>
      <c r="HP395" s="2"/>
      <c r="HQ395" s="2"/>
      <c r="HR395" s="2"/>
      <c r="HS395" s="2"/>
      <c r="HT395" s="2"/>
      <c r="HU395" s="2"/>
      <c r="HV395" s="2"/>
      <c r="HW395" s="2"/>
      <c r="HX395" s="2"/>
      <c r="HY395" s="2"/>
      <c r="HZ395" s="2"/>
      <c r="IA395" s="2"/>
      <c r="IB395" s="2"/>
      <c r="IC395" s="2"/>
    </row>
    <row r="396" spans="1:237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2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  <c r="FN396" s="2"/>
      <c r="FO396" s="2"/>
      <c r="FP396" s="2"/>
      <c r="FQ396" s="2"/>
      <c r="FR396" s="2"/>
      <c r="FS396" s="2"/>
      <c r="FT396" s="2"/>
      <c r="FU396" s="2"/>
      <c r="FV396" s="2"/>
      <c r="FW396" s="2"/>
      <c r="FX396" s="2"/>
      <c r="FY396" s="2"/>
      <c r="FZ396" s="2"/>
      <c r="GA396" s="2"/>
      <c r="GB396" s="2"/>
      <c r="GC396" s="2"/>
      <c r="GD396" s="2"/>
      <c r="GE396" s="2"/>
      <c r="GF396" s="2"/>
      <c r="GG396" s="2"/>
      <c r="GH396" s="2"/>
      <c r="GI396" s="2"/>
      <c r="GJ396" s="2"/>
      <c r="GK396" s="2"/>
      <c r="GL396" s="2"/>
      <c r="GM396" s="2"/>
      <c r="GN396" s="2"/>
      <c r="GO396" s="2"/>
      <c r="GP396" s="2"/>
      <c r="GQ396" s="2"/>
      <c r="GR396" s="2"/>
      <c r="GS396" s="2"/>
      <c r="GT396" s="2"/>
      <c r="GU396" s="2"/>
      <c r="GV396" s="2"/>
      <c r="GW396" s="2"/>
      <c r="GX396" s="2"/>
      <c r="GY396" s="2"/>
      <c r="GZ396" s="2"/>
      <c r="HA396" s="2"/>
      <c r="HB396" s="2"/>
      <c r="HC396" s="2"/>
      <c r="HD396" s="2"/>
      <c r="HE396" s="2"/>
      <c r="HF396" s="2"/>
      <c r="HG396" s="2"/>
      <c r="HH396" s="2"/>
      <c r="HI396" s="2"/>
      <c r="HJ396" s="2"/>
      <c r="HK396" s="2"/>
      <c r="HL396" s="2"/>
      <c r="HM396" s="2"/>
      <c r="HN396" s="2"/>
      <c r="HO396" s="2"/>
      <c r="HP396" s="2"/>
      <c r="HQ396" s="2"/>
      <c r="HR396" s="2"/>
      <c r="HS396" s="2"/>
      <c r="HT396" s="2"/>
      <c r="HU396" s="2"/>
      <c r="HV396" s="2"/>
      <c r="HW396" s="2"/>
      <c r="HX396" s="2"/>
      <c r="HY396" s="2"/>
      <c r="HZ396" s="2"/>
      <c r="IA396" s="2"/>
      <c r="IB396" s="2"/>
      <c r="IC396" s="2"/>
    </row>
    <row r="397" spans="1:237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  <c r="FN397" s="2"/>
      <c r="FO397" s="2"/>
      <c r="FP397" s="2"/>
      <c r="FQ397" s="2"/>
      <c r="FR397" s="2"/>
      <c r="FS397" s="2"/>
      <c r="FT397" s="2"/>
      <c r="FU397" s="2"/>
      <c r="FV397" s="2"/>
      <c r="FW397" s="2"/>
      <c r="FX397" s="2"/>
      <c r="FY397" s="2"/>
      <c r="FZ397" s="2"/>
      <c r="GA397" s="2"/>
      <c r="GB397" s="2"/>
      <c r="GC397" s="2"/>
      <c r="GD397" s="2"/>
      <c r="GE397" s="2"/>
      <c r="GF397" s="2"/>
      <c r="GG397" s="2"/>
      <c r="GH397" s="2"/>
      <c r="GI397" s="2"/>
      <c r="GJ397" s="2"/>
      <c r="GK397" s="2"/>
      <c r="GL397" s="2"/>
      <c r="GM397" s="2"/>
      <c r="GN397" s="2"/>
      <c r="GO397" s="2"/>
      <c r="GP397" s="2"/>
      <c r="GQ397" s="2"/>
      <c r="GR397" s="2"/>
      <c r="GS397" s="2"/>
      <c r="GT397" s="2"/>
      <c r="GU397" s="2"/>
      <c r="GV397" s="2"/>
      <c r="GW397" s="2"/>
      <c r="GX397" s="2"/>
      <c r="GY397" s="2"/>
      <c r="GZ397" s="2"/>
      <c r="HA397" s="2"/>
      <c r="HB397" s="2"/>
      <c r="HC397" s="2"/>
      <c r="HD397" s="2"/>
      <c r="HE397" s="2"/>
      <c r="HF397" s="2"/>
      <c r="HG397" s="2"/>
      <c r="HH397" s="2"/>
      <c r="HI397" s="2"/>
      <c r="HJ397" s="2"/>
      <c r="HK397" s="2"/>
      <c r="HL397" s="2"/>
      <c r="HM397" s="2"/>
      <c r="HN397" s="2"/>
      <c r="HO397" s="2"/>
      <c r="HP397" s="2"/>
      <c r="HQ397" s="2"/>
      <c r="HR397" s="2"/>
      <c r="HS397" s="2"/>
      <c r="HT397" s="2"/>
      <c r="HU397" s="2"/>
      <c r="HV397" s="2"/>
      <c r="HW397" s="2"/>
      <c r="HX397" s="2"/>
      <c r="HY397" s="2"/>
      <c r="HZ397" s="2"/>
      <c r="IA397" s="2"/>
      <c r="IB397" s="2"/>
      <c r="IC397" s="2"/>
    </row>
    <row r="398" spans="1:237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  <c r="FN398" s="2"/>
      <c r="FO398" s="2"/>
      <c r="FP398" s="2"/>
      <c r="FQ398" s="2"/>
      <c r="FR398" s="2"/>
      <c r="FS398" s="2"/>
      <c r="FT398" s="2"/>
      <c r="FU398" s="2"/>
      <c r="FV398" s="2"/>
      <c r="FW398" s="2"/>
      <c r="FX398" s="2"/>
      <c r="FY398" s="2"/>
      <c r="FZ398" s="2"/>
      <c r="GA398" s="2"/>
      <c r="GB398" s="2"/>
      <c r="GC398" s="2"/>
      <c r="GD398" s="2"/>
      <c r="GE398" s="2"/>
      <c r="GF398" s="2"/>
      <c r="GG398" s="2"/>
      <c r="GH398" s="2"/>
      <c r="GI398" s="2"/>
      <c r="GJ398" s="2"/>
      <c r="GK398" s="2"/>
      <c r="GL398" s="2"/>
      <c r="GM398" s="2"/>
      <c r="GN398" s="2"/>
      <c r="GO398" s="2"/>
      <c r="GP398" s="2"/>
      <c r="GQ398" s="2"/>
      <c r="GR398" s="2"/>
      <c r="GS398" s="2"/>
      <c r="GT398" s="2"/>
      <c r="GU398" s="2"/>
      <c r="GV398" s="2"/>
      <c r="GW398" s="2"/>
      <c r="GX398" s="2"/>
      <c r="GY398" s="2"/>
      <c r="GZ398" s="2"/>
      <c r="HA398" s="2"/>
      <c r="HB398" s="2"/>
      <c r="HC398" s="2"/>
      <c r="HD398" s="2"/>
      <c r="HE398" s="2"/>
      <c r="HF398" s="2"/>
      <c r="HG398" s="2"/>
      <c r="HH398" s="2"/>
      <c r="HI398" s="2"/>
      <c r="HJ398" s="2"/>
      <c r="HK398" s="2"/>
      <c r="HL398" s="2"/>
      <c r="HM398" s="2"/>
      <c r="HN398" s="2"/>
      <c r="HO398" s="2"/>
      <c r="HP398" s="2"/>
      <c r="HQ398" s="2"/>
      <c r="HR398" s="2"/>
      <c r="HS398" s="2"/>
      <c r="HT398" s="2"/>
      <c r="HU398" s="2"/>
      <c r="HV398" s="2"/>
      <c r="HW398" s="2"/>
      <c r="HX398" s="2"/>
      <c r="HY398" s="2"/>
      <c r="HZ398" s="2"/>
      <c r="IA398" s="2"/>
      <c r="IB398" s="2"/>
      <c r="IC398" s="2"/>
    </row>
    <row r="399" spans="1:237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  <c r="FN399" s="2"/>
      <c r="FO399" s="2"/>
      <c r="FP399" s="2"/>
      <c r="FQ399" s="2"/>
      <c r="FR399" s="2"/>
      <c r="FS399" s="2"/>
      <c r="FT399" s="2"/>
      <c r="FU399" s="2"/>
      <c r="FV399" s="2"/>
      <c r="FW399" s="2"/>
      <c r="FX399" s="2"/>
      <c r="FY399" s="2"/>
      <c r="FZ399" s="2"/>
      <c r="GA399" s="2"/>
      <c r="GB399" s="2"/>
      <c r="GC399" s="2"/>
      <c r="GD399" s="2"/>
      <c r="GE399" s="2"/>
      <c r="GF399" s="2"/>
      <c r="GG399" s="2"/>
      <c r="GH399" s="2"/>
      <c r="GI399" s="2"/>
      <c r="GJ399" s="2"/>
      <c r="GK399" s="2"/>
      <c r="GL399" s="2"/>
      <c r="GM399" s="2"/>
      <c r="GN399" s="2"/>
      <c r="GO399" s="2"/>
      <c r="GP399" s="2"/>
      <c r="GQ399" s="2"/>
      <c r="GR399" s="2"/>
      <c r="GS399" s="2"/>
      <c r="GT399" s="2"/>
      <c r="GU399" s="2"/>
      <c r="GV399" s="2"/>
      <c r="GW399" s="2"/>
      <c r="GX399" s="2"/>
      <c r="GY399" s="2"/>
      <c r="GZ399" s="2"/>
      <c r="HA399" s="2"/>
      <c r="HB399" s="2"/>
      <c r="HC399" s="2"/>
      <c r="HD399" s="2"/>
      <c r="HE399" s="2"/>
      <c r="HF399" s="2"/>
      <c r="HG399" s="2"/>
      <c r="HH399" s="2"/>
      <c r="HI399" s="2"/>
      <c r="HJ399" s="2"/>
      <c r="HK399" s="2"/>
      <c r="HL399" s="2"/>
      <c r="HM399" s="2"/>
      <c r="HN399" s="2"/>
      <c r="HO399" s="2"/>
      <c r="HP399" s="2"/>
      <c r="HQ399" s="2"/>
      <c r="HR399" s="2"/>
      <c r="HS399" s="2"/>
      <c r="HT399" s="2"/>
      <c r="HU399" s="2"/>
      <c r="HV399" s="2"/>
      <c r="HW399" s="2"/>
      <c r="HX399" s="2"/>
      <c r="HY399" s="2"/>
      <c r="HZ399" s="2"/>
      <c r="IA399" s="2"/>
      <c r="IB399" s="2"/>
      <c r="IC399" s="2"/>
    </row>
    <row r="400" spans="1:237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  <c r="FN400" s="2"/>
      <c r="FO400" s="2"/>
      <c r="FP400" s="2"/>
      <c r="FQ400" s="2"/>
      <c r="FR400" s="2"/>
      <c r="FS400" s="2"/>
      <c r="FT400" s="2"/>
      <c r="FU400" s="2"/>
      <c r="FV400" s="2"/>
      <c r="FW400" s="2"/>
      <c r="FX400" s="2"/>
      <c r="FY400" s="2"/>
      <c r="FZ400" s="2"/>
      <c r="GA400" s="2"/>
      <c r="GB400" s="2"/>
      <c r="GC400" s="2"/>
      <c r="GD400" s="2"/>
      <c r="GE400" s="2"/>
      <c r="GF400" s="2"/>
      <c r="GG400" s="2"/>
      <c r="GH400" s="2"/>
      <c r="GI400" s="2"/>
      <c r="GJ400" s="2"/>
      <c r="GK400" s="2"/>
      <c r="GL400" s="2"/>
      <c r="GM400" s="2"/>
      <c r="GN400" s="2"/>
      <c r="GO400" s="2"/>
      <c r="GP400" s="2"/>
      <c r="GQ400" s="2"/>
      <c r="GR400" s="2"/>
      <c r="GS400" s="2"/>
      <c r="GT400" s="2"/>
      <c r="GU400" s="2"/>
      <c r="GV400" s="2"/>
      <c r="GW400" s="2"/>
      <c r="GX400" s="2"/>
      <c r="GY400" s="2"/>
      <c r="GZ400" s="2"/>
      <c r="HA400" s="2"/>
      <c r="HB400" s="2"/>
      <c r="HC400" s="2"/>
      <c r="HD400" s="2"/>
      <c r="HE400" s="2"/>
      <c r="HF400" s="2"/>
      <c r="HG400" s="2"/>
      <c r="HH400" s="2"/>
      <c r="HI400" s="2"/>
      <c r="HJ400" s="2"/>
      <c r="HK400" s="2"/>
      <c r="HL400" s="2"/>
      <c r="HM400" s="2"/>
      <c r="HN400" s="2"/>
      <c r="HO400" s="2"/>
      <c r="HP400" s="2"/>
      <c r="HQ400" s="2"/>
      <c r="HR400" s="2"/>
      <c r="HS400" s="2"/>
      <c r="HT400" s="2"/>
      <c r="HU400" s="2"/>
      <c r="HV400" s="2"/>
      <c r="HW400" s="2"/>
      <c r="HX400" s="2"/>
      <c r="HY400" s="2"/>
      <c r="HZ400" s="2"/>
      <c r="IA400" s="2"/>
      <c r="IB400" s="2"/>
      <c r="IC400" s="2"/>
    </row>
    <row r="401" spans="1:237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  <c r="ES401" s="2"/>
      <c r="ET401" s="2"/>
      <c r="EU401" s="2"/>
      <c r="EV401" s="2"/>
      <c r="EW401" s="2"/>
      <c r="EX401" s="2"/>
      <c r="EY401" s="2"/>
      <c r="EZ401" s="2"/>
      <c r="FA401" s="2"/>
      <c r="FB401" s="2"/>
      <c r="FC401" s="2"/>
      <c r="FD401" s="2"/>
      <c r="FE401" s="2"/>
      <c r="FF401" s="2"/>
      <c r="FG401" s="2"/>
      <c r="FH401" s="2"/>
      <c r="FI401" s="2"/>
      <c r="FJ401" s="2"/>
      <c r="FK401" s="2"/>
      <c r="FL401" s="2"/>
      <c r="FM401" s="2"/>
      <c r="FN401" s="2"/>
      <c r="FO401" s="2"/>
      <c r="FP401" s="2"/>
      <c r="FQ401" s="2"/>
      <c r="FR401" s="2"/>
      <c r="FS401" s="2"/>
      <c r="FT401" s="2"/>
      <c r="FU401" s="2"/>
      <c r="FV401" s="2"/>
      <c r="FW401" s="2"/>
      <c r="FX401" s="2"/>
      <c r="FY401" s="2"/>
      <c r="FZ401" s="2"/>
      <c r="GA401" s="2"/>
      <c r="GB401" s="2"/>
      <c r="GC401" s="2"/>
      <c r="GD401" s="2"/>
      <c r="GE401" s="2"/>
      <c r="GF401" s="2"/>
      <c r="GG401" s="2"/>
      <c r="GH401" s="2"/>
      <c r="GI401" s="2"/>
      <c r="GJ401" s="2"/>
      <c r="GK401" s="2"/>
      <c r="GL401" s="2"/>
      <c r="GM401" s="2"/>
      <c r="GN401" s="2"/>
      <c r="GO401" s="2"/>
      <c r="GP401" s="2"/>
      <c r="GQ401" s="2"/>
      <c r="GR401" s="2"/>
      <c r="GS401" s="2"/>
      <c r="GT401" s="2"/>
      <c r="GU401" s="2"/>
      <c r="GV401" s="2"/>
      <c r="GW401" s="2"/>
      <c r="GX401" s="2"/>
      <c r="GY401" s="2"/>
      <c r="GZ401" s="2"/>
      <c r="HA401" s="2"/>
      <c r="HB401" s="2"/>
      <c r="HC401" s="2"/>
      <c r="HD401" s="2"/>
      <c r="HE401" s="2"/>
      <c r="HF401" s="2"/>
      <c r="HG401" s="2"/>
      <c r="HH401" s="2"/>
      <c r="HI401" s="2"/>
      <c r="HJ401" s="2"/>
      <c r="HK401" s="2"/>
      <c r="HL401" s="2"/>
      <c r="HM401" s="2"/>
      <c r="HN401" s="2"/>
      <c r="HO401" s="2"/>
      <c r="HP401" s="2"/>
      <c r="HQ401" s="2"/>
      <c r="HR401" s="2"/>
      <c r="HS401" s="2"/>
      <c r="HT401" s="2"/>
      <c r="HU401" s="2"/>
      <c r="HV401" s="2"/>
      <c r="HW401" s="2"/>
      <c r="HX401" s="2"/>
      <c r="HY401" s="2"/>
      <c r="HZ401" s="2"/>
      <c r="IA401" s="2"/>
      <c r="IB401" s="2"/>
      <c r="IC401" s="2"/>
    </row>
    <row r="402" spans="1:237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  <c r="ES402" s="2"/>
      <c r="ET402" s="2"/>
      <c r="EU402" s="2"/>
      <c r="EV402" s="2"/>
      <c r="EW402" s="2"/>
      <c r="EX402" s="2"/>
      <c r="EY402" s="2"/>
      <c r="EZ402" s="2"/>
      <c r="FA402" s="2"/>
      <c r="FB402" s="2"/>
      <c r="FC402" s="2"/>
      <c r="FD402" s="2"/>
      <c r="FE402" s="2"/>
      <c r="FF402" s="2"/>
      <c r="FG402" s="2"/>
      <c r="FH402" s="2"/>
      <c r="FI402" s="2"/>
      <c r="FJ402" s="2"/>
      <c r="FK402" s="2"/>
      <c r="FL402" s="2"/>
      <c r="FM402" s="2"/>
      <c r="FN402" s="2"/>
      <c r="FO402" s="2"/>
      <c r="FP402" s="2"/>
      <c r="FQ402" s="2"/>
      <c r="FR402" s="2"/>
      <c r="FS402" s="2"/>
      <c r="FT402" s="2"/>
      <c r="FU402" s="2"/>
      <c r="FV402" s="2"/>
      <c r="FW402" s="2"/>
      <c r="FX402" s="2"/>
      <c r="FY402" s="2"/>
      <c r="FZ402" s="2"/>
      <c r="GA402" s="2"/>
      <c r="GB402" s="2"/>
      <c r="GC402" s="2"/>
      <c r="GD402" s="2"/>
      <c r="GE402" s="2"/>
      <c r="GF402" s="2"/>
      <c r="GG402" s="2"/>
      <c r="GH402" s="2"/>
      <c r="GI402" s="2"/>
      <c r="GJ402" s="2"/>
      <c r="GK402" s="2"/>
      <c r="GL402" s="2"/>
      <c r="GM402" s="2"/>
      <c r="GN402" s="2"/>
      <c r="GO402" s="2"/>
      <c r="GP402" s="2"/>
      <c r="GQ402" s="2"/>
      <c r="GR402" s="2"/>
      <c r="GS402" s="2"/>
      <c r="GT402" s="2"/>
      <c r="GU402" s="2"/>
      <c r="GV402" s="2"/>
      <c r="GW402" s="2"/>
      <c r="GX402" s="2"/>
      <c r="GY402" s="2"/>
      <c r="GZ402" s="2"/>
      <c r="HA402" s="2"/>
      <c r="HB402" s="2"/>
      <c r="HC402" s="2"/>
      <c r="HD402" s="2"/>
      <c r="HE402" s="2"/>
      <c r="HF402" s="2"/>
      <c r="HG402" s="2"/>
      <c r="HH402" s="2"/>
      <c r="HI402" s="2"/>
      <c r="HJ402" s="2"/>
      <c r="HK402" s="2"/>
      <c r="HL402" s="2"/>
      <c r="HM402" s="2"/>
      <c r="HN402" s="2"/>
      <c r="HO402" s="2"/>
      <c r="HP402" s="2"/>
      <c r="HQ402" s="2"/>
      <c r="HR402" s="2"/>
      <c r="HS402" s="2"/>
      <c r="HT402" s="2"/>
      <c r="HU402" s="2"/>
      <c r="HV402" s="2"/>
      <c r="HW402" s="2"/>
      <c r="HX402" s="2"/>
      <c r="HY402" s="2"/>
      <c r="HZ402" s="2"/>
      <c r="IA402" s="2"/>
      <c r="IB402" s="2"/>
      <c r="IC402" s="2"/>
    </row>
    <row r="403" spans="1:237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  <c r="ES403" s="2"/>
      <c r="ET403" s="2"/>
      <c r="EU403" s="2"/>
      <c r="EV403" s="2"/>
      <c r="EW403" s="2"/>
      <c r="EX403" s="2"/>
      <c r="EY403" s="2"/>
      <c r="EZ403" s="2"/>
      <c r="FA403" s="2"/>
      <c r="FB403" s="2"/>
      <c r="FC403" s="2"/>
      <c r="FD403" s="2"/>
      <c r="FE403" s="2"/>
      <c r="FF403" s="2"/>
      <c r="FG403" s="2"/>
      <c r="FH403" s="2"/>
      <c r="FI403" s="2"/>
      <c r="FJ403" s="2"/>
      <c r="FK403" s="2"/>
      <c r="FL403" s="2"/>
      <c r="FM403" s="2"/>
      <c r="FN403" s="2"/>
      <c r="FO403" s="2"/>
      <c r="FP403" s="2"/>
      <c r="FQ403" s="2"/>
      <c r="FR403" s="2"/>
      <c r="FS403" s="2"/>
      <c r="FT403" s="2"/>
      <c r="FU403" s="2"/>
      <c r="FV403" s="2"/>
      <c r="FW403" s="2"/>
      <c r="FX403" s="2"/>
      <c r="FY403" s="2"/>
      <c r="FZ403" s="2"/>
      <c r="GA403" s="2"/>
      <c r="GB403" s="2"/>
      <c r="GC403" s="2"/>
      <c r="GD403" s="2"/>
      <c r="GE403" s="2"/>
      <c r="GF403" s="2"/>
      <c r="GG403" s="2"/>
      <c r="GH403" s="2"/>
      <c r="GI403" s="2"/>
      <c r="GJ403" s="2"/>
      <c r="GK403" s="2"/>
      <c r="GL403" s="2"/>
      <c r="GM403" s="2"/>
      <c r="GN403" s="2"/>
      <c r="GO403" s="2"/>
      <c r="GP403" s="2"/>
      <c r="GQ403" s="2"/>
      <c r="GR403" s="2"/>
      <c r="GS403" s="2"/>
      <c r="GT403" s="2"/>
      <c r="GU403" s="2"/>
      <c r="GV403" s="2"/>
      <c r="GW403" s="2"/>
      <c r="GX403" s="2"/>
      <c r="GY403" s="2"/>
      <c r="GZ403" s="2"/>
      <c r="HA403" s="2"/>
      <c r="HB403" s="2"/>
      <c r="HC403" s="2"/>
      <c r="HD403" s="2"/>
      <c r="HE403" s="2"/>
      <c r="HF403" s="2"/>
      <c r="HG403" s="2"/>
      <c r="HH403" s="2"/>
      <c r="HI403" s="2"/>
      <c r="HJ403" s="2"/>
      <c r="HK403" s="2"/>
      <c r="HL403" s="2"/>
      <c r="HM403" s="2"/>
      <c r="HN403" s="2"/>
      <c r="HO403" s="2"/>
      <c r="HP403" s="2"/>
      <c r="HQ403" s="2"/>
      <c r="HR403" s="2"/>
      <c r="HS403" s="2"/>
      <c r="HT403" s="2"/>
      <c r="HU403" s="2"/>
      <c r="HV403" s="2"/>
      <c r="HW403" s="2"/>
      <c r="HX403" s="2"/>
      <c r="HY403" s="2"/>
      <c r="HZ403" s="2"/>
      <c r="IA403" s="2"/>
      <c r="IB403" s="2"/>
      <c r="IC403" s="2"/>
    </row>
    <row r="404" spans="1:237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  <c r="ES404" s="2"/>
      <c r="ET404" s="2"/>
      <c r="EU404" s="2"/>
      <c r="EV404" s="2"/>
      <c r="EW404" s="2"/>
      <c r="EX404" s="2"/>
      <c r="EY404" s="2"/>
      <c r="EZ404" s="2"/>
      <c r="FA404" s="2"/>
      <c r="FB404" s="2"/>
      <c r="FC404" s="2"/>
      <c r="FD404" s="2"/>
      <c r="FE404" s="2"/>
      <c r="FF404" s="2"/>
      <c r="FG404" s="2"/>
      <c r="FH404" s="2"/>
      <c r="FI404" s="2"/>
      <c r="FJ404" s="2"/>
      <c r="FK404" s="2"/>
      <c r="FL404" s="2"/>
      <c r="FM404" s="2"/>
      <c r="FN404" s="2"/>
      <c r="FO404" s="2"/>
      <c r="FP404" s="2"/>
      <c r="FQ404" s="2"/>
      <c r="FR404" s="2"/>
      <c r="FS404" s="2"/>
      <c r="FT404" s="2"/>
      <c r="FU404" s="2"/>
      <c r="FV404" s="2"/>
      <c r="FW404" s="2"/>
      <c r="FX404" s="2"/>
      <c r="FY404" s="2"/>
      <c r="FZ404" s="2"/>
      <c r="GA404" s="2"/>
      <c r="GB404" s="2"/>
      <c r="GC404" s="2"/>
      <c r="GD404" s="2"/>
      <c r="GE404" s="2"/>
      <c r="GF404" s="2"/>
      <c r="GG404" s="2"/>
      <c r="GH404" s="2"/>
      <c r="GI404" s="2"/>
      <c r="GJ404" s="2"/>
      <c r="GK404" s="2"/>
      <c r="GL404" s="2"/>
      <c r="GM404" s="2"/>
      <c r="GN404" s="2"/>
      <c r="GO404" s="2"/>
      <c r="GP404" s="2"/>
      <c r="GQ404" s="2"/>
      <c r="GR404" s="2"/>
      <c r="GS404" s="2"/>
      <c r="GT404" s="2"/>
      <c r="GU404" s="2"/>
      <c r="GV404" s="2"/>
      <c r="GW404" s="2"/>
      <c r="GX404" s="2"/>
      <c r="GY404" s="2"/>
      <c r="GZ404" s="2"/>
      <c r="HA404" s="2"/>
      <c r="HB404" s="2"/>
      <c r="HC404" s="2"/>
      <c r="HD404" s="2"/>
      <c r="HE404" s="2"/>
      <c r="HF404" s="2"/>
      <c r="HG404" s="2"/>
      <c r="HH404" s="2"/>
      <c r="HI404" s="2"/>
      <c r="HJ404" s="2"/>
      <c r="HK404" s="2"/>
      <c r="HL404" s="2"/>
      <c r="HM404" s="2"/>
      <c r="HN404" s="2"/>
      <c r="HO404" s="2"/>
      <c r="HP404" s="2"/>
      <c r="HQ404" s="2"/>
      <c r="HR404" s="2"/>
      <c r="HS404" s="2"/>
      <c r="HT404" s="2"/>
      <c r="HU404" s="2"/>
      <c r="HV404" s="2"/>
      <c r="HW404" s="2"/>
      <c r="HX404" s="2"/>
      <c r="HY404" s="2"/>
      <c r="HZ404" s="2"/>
      <c r="IA404" s="2"/>
      <c r="IB404" s="2"/>
      <c r="IC404" s="2"/>
    </row>
    <row r="405" spans="1:237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  <c r="ES405" s="2"/>
      <c r="ET405" s="2"/>
      <c r="EU405" s="2"/>
      <c r="EV405" s="2"/>
      <c r="EW405" s="2"/>
      <c r="EX405" s="2"/>
      <c r="EY405" s="2"/>
      <c r="EZ405" s="2"/>
      <c r="FA405" s="2"/>
      <c r="FB405" s="2"/>
      <c r="FC405" s="2"/>
      <c r="FD405" s="2"/>
      <c r="FE405" s="2"/>
      <c r="FF405" s="2"/>
      <c r="FG405" s="2"/>
      <c r="FH405" s="2"/>
      <c r="FI405" s="2"/>
      <c r="FJ405" s="2"/>
      <c r="FK405" s="2"/>
      <c r="FL405" s="2"/>
      <c r="FM405" s="2"/>
      <c r="FN405" s="2"/>
      <c r="FO405" s="2"/>
      <c r="FP405" s="2"/>
      <c r="FQ405" s="2"/>
      <c r="FR405" s="2"/>
      <c r="FS405" s="2"/>
      <c r="FT405" s="2"/>
      <c r="FU405" s="2"/>
      <c r="FV405" s="2"/>
      <c r="FW405" s="2"/>
      <c r="FX405" s="2"/>
      <c r="FY405" s="2"/>
      <c r="FZ405" s="2"/>
      <c r="GA405" s="2"/>
      <c r="GB405" s="2"/>
      <c r="GC405" s="2"/>
      <c r="GD405" s="2"/>
      <c r="GE405" s="2"/>
      <c r="GF405" s="2"/>
      <c r="GG405" s="2"/>
      <c r="GH405" s="2"/>
      <c r="GI405" s="2"/>
      <c r="GJ405" s="2"/>
      <c r="GK405" s="2"/>
      <c r="GL405" s="2"/>
      <c r="GM405" s="2"/>
      <c r="GN405" s="2"/>
      <c r="GO405" s="2"/>
      <c r="GP405" s="2"/>
      <c r="GQ405" s="2"/>
      <c r="GR405" s="2"/>
      <c r="GS405" s="2"/>
      <c r="GT405" s="2"/>
      <c r="GU405" s="2"/>
      <c r="GV405" s="2"/>
      <c r="GW405" s="2"/>
      <c r="GX405" s="2"/>
      <c r="GY405" s="2"/>
      <c r="GZ405" s="2"/>
      <c r="HA405" s="2"/>
      <c r="HB405" s="2"/>
      <c r="HC405" s="2"/>
      <c r="HD405" s="2"/>
      <c r="HE405" s="2"/>
      <c r="HF405" s="2"/>
      <c r="HG405" s="2"/>
      <c r="HH405" s="2"/>
      <c r="HI405" s="2"/>
      <c r="HJ405" s="2"/>
      <c r="HK405" s="2"/>
      <c r="HL405" s="2"/>
      <c r="HM405" s="2"/>
      <c r="HN405" s="2"/>
      <c r="HO405" s="2"/>
      <c r="HP405" s="2"/>
      <c r="HQ405" s="2"/>
      <c r="HR405" s="2"/>
      <c r="HS405" s="2"/>
      <c r="HT405" s="2"/>
      <c r="HU405" s="2"/>
      <c r="HV405" s="2"/>
      <c r="HW405" s="2"/>
      <c r="HX405" s="2"/>
      <c r="HY405" s="2"/>
      <c r="HZ405" s="2"/>
      <c r="IA405" s="2"/>
      <c r="IB405" s="2"/>
      <c r="IC405" s="2"/>
    </row>
    <row r="406" spans="1:237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  <c r="ES406" s="2"/>
      <c r="ET406" s="2"/>
      <c r="EU406" s="2"/>
      <c r="EV406" s="2"/>
      <c r="EW406" s="2"/>
      <c r="EX406" s="2"/>
      <c r="EY406" s="2"/>
      <c r="EZ406" s="2"/>
      <c r="FA406" s="2"/>
      <c r="FB406" s="2"/>
      <c r="FC406" s="2"/>
      <c r="FD406" s="2"/>
      <c r="FE406" s="2"/>
      <c r="FF406" s="2"/>
      <c r="FG406" s="2"/>
      <c r="FH406" s="2"/>
      <c r="FI406" s="2"/>
      <c r="FJ406" s="2"/>
      <c r="FK406" s="2"/>
      <c r="FL406" s="2"/>
      <c r="FM406" s="2"/>
      <c r="FN406" s="2"/>
      <c r="FO406" s="2"/>
      <c r="FP406" s="2"/>
      <c r="FQ406" s="2"/>
      <c r="FR406" s="2"/>
      <c r="FS406" s="2"/>
      <c r="FT406" s="2"/>
      <c r="FU406" s="2"/>
      <c r="FV406" s="2"/>
      <c r="FW406" s="2"/>
      <c r="FX406" s="2"/>
      <c r="FY406" s="2"/>
      <c r="FZ406" s="2"/>
      <c r="GA406" s="2"/>
      <c r="GB406" s="2"/>
      <c r="GC406" s="2"/>
      <c r="GD406" s="2"/>
      <c r="GE406" s="2"/>
      <c r="GF406" s="2"/>
      <c r="GG406" s="2"/>
      <c r="GH406" s="2"/>
      <c r="GI406" s="2"/>
      <c r="GJ406" s="2"/>
      <c r="GK406" s="2"/>
      <c r="GL406" s="2"/>
      <c r="GM406" s="2"/>
      <c r="GN406" s="2"/>
      <c r="GO406" s="2"/>
      <c r="GP406" s="2"/>
      <c r="GQ406" s="2"/>
      <c r="GR406" s="2"/>
      <c r="GS406" s="2"/>
      <c r="GT406" s="2"/>
      <c r="GU406" s="2"/>
      <c r="GV406" s="2"/>
      <c r="GW406" s="2"/>
      <c r="GX406" s="2"/>
      <c r="GY406" s="2"/>
      <c r="GZ406" s="2"/>
      <c r="HA406" s="2"/>
      <c r="HB406" s="2"/>
      <c r="HC406" s="2"/>
      <c r="HD406" s="2"/>
      <c r="HE406" s="2"/>
      <c r="HF406" s="2"/>
      <c r="HG406" s="2"/>
      <c r="HH406" s="2"/>
      <c r="HI406" s="2"/>
      <c r="HJ406" s="2"/>
      <c r="HK406" s="2"/>
      <c r="HL406" s="2"/>
      <c r="HM406" s="2"/>
      <c r="HN406" s="2"/>
      <c r="HO406" s="2"/>
      <c r="HP406" s="2"/>
      <c r="HQ406" s="2"/>
      <c r="HR406" s="2"/>
      <c r="HS406" s="2"/>
      <c r="HT406" s="2"/>
      <c r="HU406" s="2"/>
      <c r="HV406" s="2"/>
      <c r="HW406" s="2"/>
      <c r="HX406" s="2"/>
      <c r="HY406" s="2"/>
      <c r="HZ406" s="2"/>
      <c r="IA406" s="2"/>
      <c r="IB406" s="2"/>
      <c r="IC406" s="2"/>
    </row>
    <row r="407" spans="1:237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  <c r="ES407" s="2"/>
      <c r="ET407" s="2"/>
      <c r="EU407" s="2"/>
      <c r="EV407" s="2"/>
      <c r="EW407" s="2"/>
      <c r="EX407" s="2"/>
      <c r="EY407" s="2"/>
      <c r="EZ407" s="2"/>
      <c r="FA407" s="2"/>
      <c r="FB407" s="2"/>
      <c r="FC407" s="2"/>
      <c r="FD407" s="2"/>
      <c r="FE407" s="2"/>
      <c r="FF407" s="2"/>
      <c r="FG407" s="2"/>
      <c r="FH407" s="2"/>
      <c r="FI407" s="2"/>
      <c r="FJ407" s="2"/>
      <c r="FK407" s="2"/>
      <c r="FL407" s="2"/>
      <c r="FM407" s="2"/>
      <c r="FN407" s="2"/>
      <c r="FO407" s="2"/>
      <c r="FP407" s="2"/>
      <c r="FQ407" s="2"/>
      <c r="FR407" s="2"/>
      <c r="FS407" s="2"/>
      <c r="FT407" s="2"/>
      <c r="FU407" s="2"/>
      <c r="FV407" s="2"/>
      <c r="FW407" s="2"/>
      <c r="FX407" s="2"/>
      <c r="FY407" s="2"/>
      <c r="FZ407" s="2"/>
      <c r="GA407" s="2"/>
      <c r="GB407" s="2"/>
      <c r="GC407" s="2"/>
      <c r="GD407" s="2"/>
      <c r="GE407" s="2"/>
      <c r="GF407" s="2"/>
      <c r="GG407" s="2"/>
      <c r="GH407" s="2"/>
      <c r="GI407" s="2"/>
      <c r="GJ407" s="2"/>
      <c r="GK407" s="2"/>
      <c r="GL407" s="2"/>
      <c r="GM407" s="2"/>
      <c r="GN407" s="2"/>
      <c r="GO407" s="2"/>
      <c r="GP407" s="2"/>
      <c r="GQ407" s="2"/>
      <c r="GR407" s="2"/>
      <c r="GS407" s="2"/>
      <c r="GT407" s="2"/>
      <c r="GU407" s="2"/>
      <c r="GV407" s="2"/>
      <c r="GW407" s="2"/>
      <c r="GX407" s="2"/>
      <c r="GY407" s="2"/>
      <c r="GZ407" s="2"/>
      <c r="HA407" s="2"/>
      <c r="HB407" s="2"/>
      <c r="HC407" s="2"/>
      <c r="HD407" s="2"/>
      <c r="HE407" s="2"/>
      <c r="HF407" s="2"/>
      <c r="HG407" s="2"/>
      <c r="HH407" s="2"/>
      <c r="HI407" s="2"/>
      <c r="HJ407" s="2"/>
      <c r="HK407" s="2"/>
      <c r="HL407" s="2"/>
      <c r="HM407" s="2"/>
      <c r="HN407" s="2"/>
      <c r="HO407" s="2"/>
      <c r="HP407" s="2"/>
      <c r="HQ407" s="2"/>
      <c r="HR407" s="2"/>
      <c r="HS407" s="2"/>
      <c r="HT407" s="2"/>
      <c r="HU407" s="2"/>
      <c r="HV407" s="2"/>
      <c r="HW407" s="2"/>
      <c r="HX407" s="2"/>
      <c r="HY407" s="2"/>
      <c r="HZ407" s="2"/>
      <c r="IA407" s="2"/>
      <c r="IB407" s="2"/>
      <c r="IC407" s="2"/>
    </row>
    <row r="408" spans="1:237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  <c r="ES408" s="2"/>
      <c r="ET408" s="2"/>
      <c r="EU408" s="2"/>
      <c r="EV408" s="2"/>
      <c r="EW408" s="2"/>
      <c r="EX408" s="2"/>
      <c r="EY408" s="2"/>
      <c r="EZ408" s="2"/>
      <c r="FA408" s="2"/>
      <c r="FB408" s="2"/>
      <c r="FC408" s="2"/>
      <c r="FD408" s="2"/>
      <c r="FE408" s="2"/>
      <c r="FF408" s="2"/>
      <c r="FG408" s="2"/>
      <c r="FH408" s="2"/>
      <c r="FI408" s="2"/>
      <c r="FJ408" s="2"/>
      <c r="FK408" s="2"/>
      <c r="FL408" s="2"/>
      <c r="FM408" s="2"/>
      <c r="FN408" s="2"/>
      <c r="FO408" s="2"/>
      <c r="FP408" s="2"/>
      <c r="FQ408" s="2"/>
      <c r="FR408" s="2"/>
      <c r="FS408" s="2"/>
      <c r="FT408" s="2"/>
      <c r="FU408" s="2"/>
      <c r="FV408" s="2"/>
      <c r="FW408" s="2"/>
      <c r="FX408" s="2"/>
      <c r="FY408" s="2"/>
      <c r="FZ408" s="2"/>
      <c r="GA408" s="2"/>
      <c r="GB408" s="2"/>
      <c r="GC408" s="2"/>
      <c r="GD408" s="2"/>
      <c r="GE408" s="2"/>
      <c r="GF408" s="2"/>
      <c r="GG408" s="2"/>
      <c r="GH408" s="2"/>
      <c r="GI408" s="2"/>
      <c r="GJ408" s="2"/>
      <c r="GK408" s="2"/>
      <c r="GL408" s="2"/>
      <c r="GM408" s="2"/>
      <c r="GN408" s="2"/>
      <c r="GO408" s="2"/>
      <c r="GP408" s="2"/>
      <c r="GQ408" s="2"/>
      <c r="GR408" s="2"/>
      <c r="GS408" s="2"/>
      <c r="GT408" s="2"/>
      <c r="GU408" s="2"/>
      <c r="GV408" s="2"/>
      <c r="GW408" s="2"/>
      <c r="GX408" s="2"/>
      <c r="GY408" s="2"/>
      <c r="GZ408" s="2"/>
      <c r="HA408" s="2"/>
      <c r="HB408" s="2"/>
      <c r="HC408" s="2"/>
      <c r="HD408" s="2"/>
      <c r="HE408" s="2"/>
      <c r="HF408" s="2"/>
      <c r="HG408" s="2"/>
      <c r="HH408" s="2"/>
      <c r="HI408" s="2"/>
      <c r="HJ408" s="2"/>
      <c r="HK408" s="2"/>
      <c r="HL408" s="2"/>
      <c r="HM408" s="2"/>
      <c r="HN408" s="2"/>
      <c r="HO408" s="2"/>
      <c r="HP408" s="2"/>
      <c r="HQ408" s="2"/>
      <c r="HR408" s="2"/>
      <c r="HS408" s="2"/>
      <c r="HT408" s="2"/>
      <c r="HU408" s="2"/>
      <c r="HV408" s="2"/>
      <c r="HW408" s="2"/>
      <c r="HX408" s="2"/>
      <c r="HY408" s="2"/>
      <c r="HZ408" s="2"/>
      <c r="IA408" s="2"/>
      <c r="IB408" s="2"/>
      <c r="IC408" s="2"/>
    </row>
    <row r="409" spans="1:237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  <c r="ES409" s="2"/>
      <c r="ET409" s="2"/>
      <c r="EU409" s="2"/>
      <c r="EV409" s="2"/>
      <c r="EW409" s="2"/>
      <c r="EX409" s="2"/>
      <c r="EY409" s="2"/>
      <c r="EZ409" s="2"/>
      <c r="FA409" s="2"/>
      <c r="FB409" s="2"/>
      <c r="FC409" s="2"/>
      <c r="FD409" s="2"/>
      <c r="FE409" s="2"/>
      <c r="FF409" s="2"/>
      <c r="FG409" s="2"/>
      <c r="FH409" s="2"/>
      <c r="FI409" s="2"/>
      <c r="FJ409" s="2"/>
      <c r="FK409" s="2"/>
      <c r="FL409" s="2"/>
      <c r="FM409" s="2"/>
      <c r="FN409" s="2"/>
      <c r="FO409" s="2"/>
      <c r="FP409" s="2"/>
      <c r="FQ409" s="2"/>
      <c r="FR409" s="2"/>
      <c r="FS409" s="2"/>
      <c r="FT409" s="2"/>
      <c r="FU409" s="2"/>
      <c r="FV409" s="2"/>
      <c r="FW409" s="2"/>
      <c r="FX409" s="2"/>
      <c r="FY409" s="2"/>
      <c r="FZ409" s="2"/>
      <c r="GA409" s="2"/>
      <c r="GB409" s="2"/>
      <c r="GC409" s="2"/>
      <c r="GD409" s="2"/>
      <c r="GE409" s="2"/>
      <c r="GF409" s="2"/>
      <c r="GG409" s="2"/>
      <c r="GH409" s="2"/>
      <c r="GI409" s="2"/>
      <c r="GJ409" s="2"/>
      <c r="GK409" s="2"/>
      <c r="GL409" s="2"/>
      <c r="GM409" s="2"/>
      <c r="GN409" s="2"/>
      <c r="GO409" s="2"/>
      <c r="GP409" s="2"/>
      <c r="GQ409" s="2"/>
      <c r="GR409" s="2"/>
      <c r="GS409" s="2"/>
      <c r="GT409" s="2"/>
      <c r="GU409" s="2"/>
      <c r="GV409" s="2"/>
      <c r="GW409" s="2"/>
      <c r="GX409" s="2"/>
      <c r="GY409" s="2"/>
      <c r="GZ409" s="2"/>
      <c r="HA409" s="2"/>
      <c r="HB409" s="2"/>
      <c r="HC409" s="2"/>
      <c r="HD409" s="2"/>
      <c r="HE409" s="2"/>
      <c r="HF409" s="2"/>
      <c r="HG409" s="2"/>
      <c r="HH409" s="2"/>
      <c r="HI409" s="2"/>
      <c r="HJ409" s="2"/>
      <c r="HK409" s="2"/>
      <c r="HL409" s="2"/>
      <c r="HM409" s="2"/>
      <c r="HN409" s="2"/>
      <c r="HO409" s="2"/>
      <c r="HP409" s="2"/>
      <c r="HQ409" s="2"/>
      <c r="HR409" s="2"/>
      <c r="HS409" s="2"/>
      <c r="HT409" s="2"/>
      <c r="HU409" s="2"/>
      <c r="HV409" s="2"/>
      <c r="HW409" s="2"/>
      <c r="HX409" s="2"/>
      <c r="HY409" s="2"/>
      <c r="HZ409" s="2"/>
      <c r="IA409" s="2"/>
      <c r="IB409" s="2"/>
      <c r="IC409" s="2"/>
    </row>
    <row r="410" spans="1:237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  <c r="ES410" s="2"/>
      <c r="ET410" s="2"/>
      <c r="EU410" s="2"/>
      <c r="EV410" s="2"/>
      <c r="EW410" s="2"/>
      <c r="EX410" s="2"/>
      <c r="EY410" s="2"/>
      <c r="EZ410" s="2"/>
      <c r="FA410" s="2"/>
      <c r="FB410" s="2"/>
      <c r="FC410" s="2"/>
      <c r="FD410" s="2"/>
      <c r="FE410" s="2"/>
      <c r="FF410" s="2"/>
      <c r="FG410" s="2"/>
      <c r="FH410" s="2"/>
      <c r="FI410" s="2"/>
      <c r="FJ410" s="2"/>
      <c r="FK410" s="2"/>
      <c r="FL410" s="2"/>
      <c r="FM410" s="2"/>
      <c r="FN410" s="2"/>
      <c r="FO410" s="2"/>
      <c r="FP410" s="2"/>
      <c r="FQ410" s="2"/>
      <c r="FR410" s="2"/>
      <c r="FS410" s="2"/>
      <c r="FT410" s="2"/>
      <c r="FU410" s="2"/>
      <c r="FV410" s="2"/>
      <c r="FW410" s="2"/>
      <c r="FX410" s="2"/>
      <c r="FY410" s="2"/>
      <c r="FZ410" s="2"/>
      <c r="GA410" s="2"/>
      <c r="GB410" s="2"/>
      <c r="GC410" s="2"/>
      <c r="GD410" s="2"/>
      <c r="GE410" s="2"/>
      <c r="GF410" s="2"/>
      <c r="GG410" s="2"/>
      <c r="GH410" s="2"/>
      <c r="GI410" s="2"/>
      <c r="GJ410" s="2"/>
      <c r="GK410" s="2"/>
      <c r="GL410" s="2"/>
      <c r="GM410" s="2"/>
      <c r="GN410" s="2"/>
      <c r="GO410" s="2"/>
      <c r="GP410" s="2"/>
      <c r="GQ410" s="2"/>
      <c r="GR410" s="2"/>
      <c r="GS410" s="2"/>
      <c r="GT410" s="2"/>
      <c r="GU410" s="2"/>
      <c r="GV410" s="2"/>
      <c r="GW410" s="2"/>
      <c r="GX410" s="2"/>
      <c r="GY410" s="2"/>
      <c r="GZ410" s="2"/>
      <c r="HA410" s="2"/>
      <c r="HB410" s="2"/>
      <c r="HC410" s="2"/>
      <c r="HD410" s="2"/>
      <c r="HE410" s="2"/>
      <c r="HF410" s="2"/>
      <c r="HG410" s="2"/>
      <c r="HH410" s="2"/>
      <c r="HI410" s="2"/>
      <c r="HJ410" s="2"/>
      <c r="HK410" s="2"/>
      <c r="HL410" s="2"/>
      <c r="HM410" s="2"/>
      <c r="HN410" s="2"/>
      <c r="HO410" s="2"/>
      <c r="HP410" s="2"/>
      <c r="HQ410" s="2"/>
      <c r="HR410" s="2"/>
      <c r="HS410" s="2"/>
      <c r="HT410" s="2"/>
      <c r="HU410" s="2"/>
      <c r="HV410" s="2"/>
      <c r="HW410" s="2"/>
      <c r="HX410" s="2"/>
      <c r="HY410" s="2"/>
      <c r="HZ410" s="2"/>
      <c r="IA410" s="2"/>
      <c r="IB410" s="2"/>
      <c r="IC410" s="2"/>
    </row>
    <row r="411" spans="1:237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  <c r="ES411" s="2"/>
      <c r="ET411" s="2"/>
      <c r="EU411" s="2"/>
      <c r="EV411" s="2"/>
      <c r="EW411" s="2"/>
      <c r="EX411" s="2"/>
      <c r="EY411" s="2"/>
      <c r="EZ411" s="2"/>
      <c r="FA411" s="2"/>
      <c r="FB411" s="2"/>
      <c r="FC411" s="2"/>
      <c r="FD411" s="2"/>
      <c r="FE411" s="2"/>
      <c r="FF411" s="2"/>
      <c r="FG411" s="2"/>
      <c r="FH411" s="2"/>
      <c r="FI411" s="2"/>
      <c r="FJ411" s="2"/>
      <c r="FK411" s="2"/>
      <c r="FL411" s="2"/>
      <c r="FM411" s="2"/>
      <c r="FN411" s="2"/>
      <c r="FO411" s="2"/>
      <c r="FP411" s="2"/>
      <c r="FQ411" s="2"/>
      <c r="FR411" s="2"/>
      <c r="FS411" s="2"/>
      <c r="FT411" s="2"/>
      <c r="FU411" s="2"/>
      <c r="FV411" s="2"/>
      <c r="FW411" s="2"/>
      <c r="FX411" s="2"/>
      <c r="FY411" s="2"/>
      <c r="FZ411" s="2"/>
      <c r="GA411" s="2"/>
      <c r="GB411" s="2"/>
      <c r="GC411" s="2"/>
      <c r="GD411" s="2"/>
      <c r="GE411" s="2"/>
      <c r="GF411" s="2"/>
      <c r="GG411" s="2"/>
      <c r="GH411" s="2"/>
      <c r="GI411" s="2"/>
      <c r="GJ411" s="2"/>
      <c r="GK411" s="2"/>
      <c r="GL411" s="2"/>
      <c r="GM411" s="2"/>
      <c r="GN411" s="2"/>
      <c r="GO411" s="2"/>
      <c r="GP411" s="2"/>
      <c r="GQ411" s="2"/>
      <c r="GR411" s="2"/>
      <c r="GS411" s="2"/>
      <c r="GT411" s="2"/>
      <c r="GU411" s="2"/>
      <c r="GV411" s="2"/>
      <c r="GW411" s="2"/>
      <c r="GX411" s="2"/>
      <c r="GY411" s="2"/>
      <c r="GZ411" s="2"/>
      <c r="HA411" s="2"/>
      <c r="HB411" s="2"/>
      <c r="HC411" s="2"/>
      <c r="HD411" s="2"/>
      <c r="HE411" s="2"/>
      <c r="HF411" s="2"/>
      <c r="HG411" s="2"/>
      <c r="HH411" s="2"/>
      <c r="HI411" s="2"/>
      <c r="HJ411" s="2"/>
      <c r="HK411" s="2"/>
      <c r="HL411" s="2"/>
      <c r="HM411" s="2"/>
      <c r="HN411" s="2"/>
      <c r="HO411" s="2"/>
      <c r="HP411" s="2"/>
      <c r="HQ411" s="2"/>
      <c r="HR411" s="2"/>
      <c r="HS411" s="2"/>
      <c r="HT411" s="2"/>
      <c r="HU411" s="2"/>
      <c r="HV411" s="2"/>
      <c r="HW411" s="2"/>
      <c r="HX411" s="2"/>
      <c r="HY411" s="2"/>
      <c r="HZ411" s="2"/>
      <c r="IA411" s="2"/>
      <c r="IB411" s="2"/>
      <c r="IC411" s="2"/>
    </row>
    <row r="412" spans="1:237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2"/>
      <c r="EE412" s="2"/>
      <c r="EF412" s="2"/>
      <c r="EG412" s="2"/>
      <c r="EH412" s="2"/>
      <c r="EI412" s="2"/>
      <c r="EJ412" s="2"/>
      <c r="EK412" s="2"/>
      <c r="EL412" s="2"/>
      <c r="EM412" s="2"/>
      <c r="EN412" s="2"/>
      <c r="EO412" s="2"/>
      <c r="EP412" s="2"/>
      <c r="EQ412" s="2"/>
      <c r="ER412" s="2"/>
      <c r="ES412" s="2"/>
      <c r="ET412" s="2"/>
      <c r="EU412" s="2"/>
      <c r="EV412" s="2"/>
      <c r="EW412" s="2"/>
      <c r="EX412" s="2"/>
      <c r="EY412" s="2"/>
      <c r="EZ412" s="2"/>
      <c r="FA412" s="2"/>
      <c r="FB412" s="2"/>
      <c r="FC412" s="2"/>
      <c r="FD412" s="2"/>
      <c r="FE412" s="2"/>
      <c r="FF412" s="2"/>
      <c r="FG412" s="2"/>
      <c r="FH412" s="2"/>
      <c r="FI412" s="2"/>
      <c r="FJ412" s="2"/>
      <c r="FK412" s="2"/>
      <c r="FL412" s="2"/>
      <c r="FM412" s="2"/>
      <c r="FN412" s="2"/>
      <c r="FO412" s="2"/>
      <c r="FP412" s="2"/>
      <c r="FQ412" s="2"/>
      <c r="FR412" s="2"/>
      <c r="FS412" s="2"/>
      <c r="FT412" s="2"/>
      <c r="FU412" s="2"/>
      <c r="FV412" s="2"/>
      <c r="FW412" s="2"/>
      <c r="FX412" s="2"/>
      <c r="FY412" s="2"/>
      <c r="FZ412" s="2"/>
      <c r="GA412" s="2"/>
      <c r="GB412" s="2"/>
      <c r="GC412" s="2"/>
      <c r="GD412" s="2"/>
      <c r="GE412" s="2"/>
      <c r="GF412" s="2"/>
      <c r="GG412" s="2"/>
      <c r="GH412" s="2"/>
      <c r="GI412" s="2"/>
      <c r="GJ412" s="2"/>
      <c r="GK412" s="2"/>
      <c r="GL412" s="2"/>
      <c r="GM412" s="2"/>
      <c r="GN412" s="2"/>
      <c r="GO412" s="2"/>
      <c r="GP412" s="2"/>
      <c r="GQ412" s="2"/>
      <c r="GR412" s="2"/>
      <c r="GS412" s="2"/>
      <c r="GT412" s="2"/>
      <c r="GU412" s="2"/>
      <c r="GV412" s="2"/>
      <c r="GW412" s="2"/>
      <c r="GX412" s="2"/>
      <c r="GY412" s="2"/>
      <c r="GZ412" s="2"/>
      <c r="HA412" s="2"/>
      <c r="HB412" s="2"/>
      <c r="HC412" s="2"/>
      <c r="HD412" s="2"/>
      <c r="HE412" s="2"/>
      <c r="HF412" s="2"/>
      <c r="HG412" s="2"/>
      <c r="HH412" s="2"/>
      <c r="HI412" s="2"/>
      <c r="HJ412" s="2"/>
      <c r="HK412" s="2"/>
      <c r="HL412" s="2"/>
      <c r="HM412" s="2"/>
      <c r="HN412" s="2"/>
      <c r="HO412" s="2"/>
      <c r="HP412" s="2"/>
      <c r="HQ412" s="2"/>
      <c r="HR412" s="2"/>
      <c r="HS412" s="2"/>
      <c r="HT412" s="2"/>
      <c r="HU412" s="2"/>
      <c r="HV412" s="2"/>
      <c r="HW412" s="2"/>
      <c r="HX412" s="2"/>
      <c r="HY412" s="2"/>
      <c r="HZ412" s="2"/>
      <c r="IA412" s="2"/>
      <c r="IB412" s="2"/>
      <c r="IC412" s="2"/>
    </row>
    <row r="413" spans="1:237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  <c r="ES413" s="2"/>
      <c r="ET413" s="2"/>
      <c r="EU413" s="2"/>
      <c r="EV413" s="2"/>
      <c r="EW413" s="2"/>
      <c r="EX413" s="2"/>
      <c r="EY413" s="2"/>
      <c r="EZ413" s="2"/>
      <c r="FA413" s="2"/>
      <c r="FB413" s="2"/>
      <c r="FC413" s="2"/>
      <c r="FD413" s="2"/>
      <c r="FE413" s="2"/>
      <c r="FF413" s="2"/>
      <c r="FG413" s="2"/>
      <c r="FH413" s="2"/>
      <c r="FI413" s="2"/>
      <c r="FJ413" s="2"/>
      <c r="FK413" s="2"/>
      <c r="FL413" s="2"/>
      <c r="FM413" s="2"/>
      <c r="FN413" s="2"/>
      <c r="FO413" s="2"/>
      <c r="FP413" s="2"/>
      <c r="FQ413" s="2"/>
      <c r="FR413" s="2"/>
      <c r="FS413" s="2"/>
      <c r="FT413" s="2"/>
      <c r="FU413" s="2"/>
      <c r="FV413" s="2"/>
      <c r="FW413" s="2"/>
      <c r="FX413" s="2"/>
      <c r="FY413" s="2"/>
      <c r="FZ413" s="2"/>
      <c r="GA413" s="2"/>
      <c r="GB413" s="2"/>
      <c r="GC413" s="2"/>
      <c r="GD413" s="2"/>
      <c r="GE413" s="2"/>
      <c r="GF413" s="2"/>
      <c r="GG413" s="2"/>
      <c r="GH413" s="2"/>
      <c r="GI413" s="2"/>
      <c r="GJ413" s="2"/>
      <c r="GK413" s="2"/>
      <c r="GL413" s="2"/>
      <c r="GM413" s="2"/>
      <c r="GN413" s="2"/>
      <c r="GO413" s="2"/>
      <c r="GP413" s="2"/>
      <c r="GQ413" s="2"/>
      <c r="GR413" s="2"/>
      <c r="GS413" s="2"/>
      <c r="GT413" s="2"/>
      <c r="GU413" s="2"/>
      <c r="GV413" s="2"/>
      <c r="GW413" s="2"/>
      <c r="GX413" s="2"/>
      <c r="GY413" s="2"/>
      <c r="GZ413" s="2"/>
      <c r="HA413" s="2"/>
      <c r="HB413" s="2"/>
      <c r="HC413" s="2"/>
      <c r="HD413" s="2"/>
      <c r="HE413" s="2"/>
      <c r="HF413" s="2"/>
      <c r="HG413" s="2"/>
      <c r="HH413" s="2"/>
      <c r="HI413" s="2"/>
      <c r="HJ413" s="2"/>
      <c r="HK413" s="2"/>
      <c r="HL413" s="2"/>
      <c r="HM413" s="2"/>
      <c r="HN413" s="2"/>
      <c r="HO413" s="2"/>
      <c r="HP413" s="2"/>
      <c r="HQ413" s="2"/>
      <c r="HR413" s="2"/>
      <c r="HS413" s="2"/>
      <c r="HT413" s="2"/>
      <c r="HU413" s="2"/>
      <c r="HV413" s="2"/>
      <c r="HW413" s="2"/>
      <c r="HX413" s="2"/>
      <c r="HY413" s="2"/>
      <c r="HZ413" s="2"/>
      <c r="IA413" s="2"/>
      <c r="IB413" s="2"/>
      <c r="IC413" s="2"/>
    </row>
    <row r="414" spans="1:237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  <c r="ES414" s="2"/>
      <c r="ET414" s="2"/>
      <c r="EU414" s="2"/>
      <c r="EV414" s="2"/>
      <c r="EW414" s="2"/>
      <c r="EX414" s="2"/>
      <c r="EY414" s="2"/>
      <c r="EZ414" s="2"/>
      <c r="FA414" s="2"/>
      <c r="FB414" s="2"/>
      <c r="FC414" s="2"/>
      <c r="FD414" s="2"/>
      <c r="FE414" s="2"/>
      <c r="FF414" s="2"/>
      <c r="FG414" s="2"/>
      <c r="FH414" s="2"/>
      <c r="FI414" s="2"/>
      <c r="FJ414" s="2"/>
      <c r="FK414" s="2"/>
      <c r="FL414" s="2"/>
      <c r="FM414" s="2"/>
      <c r="FN414" s="2"/>
      <c r="FO414" s="2"/>
      <c r="FP414" s="2"/>
      <c r="FQ414" s="2"/>
      <c r="FR414" s="2"/>
      <c r="FS414" s="2"/>
      <c r="FT414" s="2"/>
      <c r="FU414" s="2"/>
      <c r="FV414" s="2"/>
      <c r="FW414" s="2"/>
      <c r="FX414" s="2"/>
      <c r="FY414" s="2"/>
      <c r="FZ414" s="2"/>
      <c r="GA414" s="2"/>
      <c r="GB414" s="2"/>
      <c r="GC414" s="2"/>
      <c r="GD414" s="2"/>
      <c r="GE414" s="2"/>
      <c r="GF414" s="2"/>
      <c r="GG414" s="2"/>
      <c r="GH414" s="2"/>
      <c r="GI414" s="2"/>
      <c r="GJ414" s="2"/>
      <c r="GK414" s="2"/>
      <c r="GL414" s="2"/>
      <c r="GM414" s="2"/>
      <c r="GN414" s="2"/>
      <c r="GO414" s="2"/>
      <c r="GP414" s="2"/>
      <c r="GQ414" s="2"/>
      <c r="GR414" s="2"/>
      <c r="GS414" s="2"/>
      <c r="GT414" s="2"/>
      <c r="GU414" s="2"/>
      <c r="GV414" s="2"/>
      <c r="GW414" s="2"/>
      <c r="GX414" s="2"/>
      <c r="GY414" s="2"/>
      <c r="GZ414" s="2"/>
      <c r="HA414" s="2"/>
      <c r="HB414" s="2"/>
      <c r="HC414" s="2"/>
      <c r="HD414" s="2"/>
      <c r="HE414" s="2"/>
      <c r="HF414" s="2"/>
      <c r="HG414" s="2"/>
      <c r="HH414" s="2"/>
      <c r="HI414" s="2"/>
      <c r="HJ414" s="2"/>
      <c r="HK414" s="2"/>
      <c r="HL414" s="2"/>
      <c r="HM414" s="2"/>
      <c r="HN414" s="2"/>
      <c r="HO414" s="2"/>
      <c r="HP414" s="2"/>
      <c r="HQ414" s="2"/>
      <c r="HR414" s="2"/>
      <c r="HS414" s="2"/>
      <c r="HT414" s="2"/>
      <c r="HU414" s="2"/>
      <c r="HV414" s="2"/>
      <c r="HW414" s="2"/>
      <c r="HX414" s="2"/>
      <c r="HY414" s="2"/>
      <c r="HZ414" s="2"/>
      <c r="IA414" s="2"/>
      <c r="IB414" s="2"/>
      <c r="IC414" s="2"/>
    </row>
    <row r="415" spans="1:237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  <c r="ES415" s="2"/>
      <c r="ET415" s="2"/>
      <c r="EU415" s="2"/>
      <c r="EV415" s="2"/>
      <c r="EW415" s="2"/>
      <c r="EX415" s="2"/>
      <c r="EY415" s="2"/>
      <c r="EZ415" s="2"/>
      <c r="FA415" s="2"/>
      <c r="FB415" s="2"/>
      <c r="FC415" s="2"/>
      <c r="FD415" s="2"/>
      <c r="FE415" s="2"/>
      <c r="FF415" s="2"/>
      <c r="FG415" s="2"/>
      <c r="FH415" s="2"/>
      <c r="FI415" s="2"/>
      <c r="FJ415" s="2"/>
      <c r="FK415" s="2"/>
      <c r="FL415" s="2"/>
      <c r="FM415" s="2"/>
      <c r="FN415" s="2"/>
      <c r="FO415" s="2"/>
      <c r="FP415" s="2"/>
      <c r="FQ415" s="2"/>
      <c r="FR415" s="2"/>
      <c r="FS415" s="2"/>
      <c r="FT415" s="2"/>
      <c r="FU415" s="2"/>
      <c r="FV415" s="2"/>
      <c r="FW415" s="2"/>
      <c r="FX415" s="2"/>
      <c r="FY415" s="2"/>
      <c r="FZ415" s="2"/>
      <c r="GA415" s="2"/>
      <c r="GB415" s="2"/>
      <c r="GC415" s="2"/>
      <c r="GD415" s="2"/>
      <c r="GE415" s="2"/>
      <c r="GF415" s="2"/>
      <c r="GG415" s="2"/>
      <c r="GH415" s="2"/>
      <c r="GI415" s="2"/>
      <c r="GJ415" s="2"/>
      <c r="GK415" s="2"/>
      <c r="GL415" s="2"/>
      <c r="GM415" s="2"/>
      <c r="GN415" s="2"/>
      <c r="GO415" s="2"/>
      <c r="GP415" s="2"/>
      <c r="GQ415" s="2"/>
      <c r="GR415" s="2"/>
      <c r="GS415" s="2"/>
      <c r="GT415" s="2"/>
      <c r="GU415" s="2"/>
      <c r="GV415" s="2"/>
      <c r="GW415" s="2"/>
      <c r="GX415" s="2"/>
      <c r="GY415" s="2"/>
      <c r="GZ415" s="2"/>
      <c r="HA415" s="2"/>
      <c r="HB415" s="2"/>
      <c r="HC415" s="2"/>
      <c r="HD415" s="2"/>
      <c r="HE415" s="2"/>
      <c r="HF415" s="2"/>
      <c r="HG415" s="2"/>
      <c r="HH415" s="2"/>
      <c r="HI415" s="2"/>
      <c r="HJ415" s="2"/>
      <c r="HK415" s="2"/>
      <c r="HL415" s="2"/>
      <c r="HM415" s="2"/>
      <c r="HN415" s="2"/>
      <c r="HO415" s="2"/>
      <c r="HP415" s="2"/>
      <c r="HQ415" s="2"/>
      <c r="HR415" s="2"/>
      <c r="HS415" s="2"/>
      <c r="HT415" s="2"/>
      <c r="HU415" s="2"/>
      <c r="HV415" s="2"/>
      <c r="HW415" s="2"/>
      <c r="HX415" s="2"/>
      <c r="HY415" s="2"/>
      <c r="HZ415" s="2"/>
      <c r="IA415" s="2"/>
      <c r="IB415" s="2"/>
      <c r="IC415" s="2"/>
    </row>
    <row r="416" spans="1:237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  <c r="ES416" s="2"/>
      <c r="ET416" s="2"/>
      <c r="EU416" s="2"/>
      <c r="EV416" s="2"/>
      <c r="EW416" s="2"/>
      <c r="EX416" s="2"/>
      <c r="EY416" s="2"/>
      <c r="EZ416" s="2"/>
      <c r="FA416" s="2"/>
      <c r="FB416" s="2"/>
      <c r="FC416" s="2"/>
      <c r="FD416" s="2"/>
      <c r="FE416" s="2"/>
      <c r="FF416" s="2"/>
      <c r="FG416" s="2"/>
      <c r="FH416" s="2"/>
      <c r="FI416" s="2"/>
      <c r="FJ416" s="2"/>
      <c r="FK416" s="2"/>
      <c r="FL416" s="2"/>
      <c r="FM416" s="2"/>
      <c r="FN416" s="2"/>
      <c r="FO416" s="2"/>
      <c r="FP416" s="2"/>
      <c r="FQ416" s="2"/>
      <c r="FR416" s="2"/>
      <c r="FS416" s="2"/>
      <c r="FT416" s="2"/>
      <c r="FU416" s="2"/>
      <c r="FV416" s="2"/>
      <c r="FW416" s="2"/>
      <c r="FX416" s="2"/>
      <c r="FY416" s="2"/>
      <c r="FZ416" s="2"/>
      <c r="GA416" s="2"/>
      <c r="GB416" s="2"/>
      <c r="GC416" s="2"/>
      <c r="GD416" s="2"/>
      <c r="GE416" s="2"/>
      <c r="GF416" s="2"/>
      <c r="GG416" s="2"/>
      <c r="GH416" s="2"/>
      <c r="GI416" s="2"/>
      <c r="GJ416" s="2"/>
      <c r="GK416" s="2"/>
      <c r="GL416" s="2"/>
      <c r="GM416" s="2"/>
      <c r="GN416" s="2"/>
      <c r="GO416" s="2"/>
      <c r="GP416" s="2"/>
      <c r="GQ416" s="2"/>
      <c r="GR416" s="2"/>
      <c r="GS416" s="2"/>
      <c r="GT416" s="2"/>
      <c r="GU416" s="2"/>
      <c r="GV416" s="2"/>
      <c r="GW416" s="2"/>
      <c r="GX416" s="2"/>
      <c r="GY416" s="2"/>
      <c r="GZ416" s="2"/>
      <c r="HA416" s="2"/>
      <c r="HB416" s="2"/>
      <c r="HC416" s="2"/>
      <c r="HD416" s="2"/>
      <c r="HE416" s="2"/>
      <c r="HF416" s="2"/>
      <c r="HG416" s="2"/>
      <c r="HH416" s="2"/>
      <c r="HI416" s="2"/>
      <c r="HJ416" s="2"/>
      <c r="HK416" s="2"/>
      <c r="HL416" s="2"/>
      <c r="HM416" s="2"/>
      <c r="HN416" s="2"/>
      <c r="HO416" s="2"/>
      <c r="HP416" s="2"/>
      <c r="HQ416" s="2"/>
      <c r="HR416" s="2"/>
      <c r="HS416" s="2"/>
      <c r="HT416" s="2"/>
      <c r="HU416" s="2"/>
      <c r="HV416" s="2"/>
      <c r="HW416" s="2"/>
      <c r="HX416" s="2"/>
      <c r="HY416" s="2"/>
      <c r="HZ416" s="2"/>
      <c r="IA416" s="2"/>
      <c r="IB416" s="2"/>
      <c r="IC416" s="2"/>
    </row>
    <row r="417" spans="1:237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  <c r="ES417" s="2"/>
      <c r="ET417" s="2"/>
      <c r="EU417" s="2"/>
      <c r="EV417" s="2"/>
      <c r="EW417" s="2"/>
      <c r="EX417" s="2"/>
      <c r="EY417" s="2"/>
      <c r="EZ417" s="2"/>
      <c r="FA417" s="2"/>
      <c r="FB417" s="2"/>
      <c r="FC417" s="2"/>
      <c r="FD417" s="2"/>
      <c r="FE417" s="2"/>
      <c r="FF417" s="2"/>
      <c r="FG417" s="2"/>
      <c r="FH417" s="2"/>
      <c r="FI417" s="2"/>
      <c r="FJ417" s="2"/>
      <c r="FK417" s="2"/>
      <c r="FL417" s="2"/>
      <c r="FM417" s="2"/>
      <c r="FN417" s="2"/>
      <c r="FO417" s="2"/>
      <c r="FP417" s="2"/>
      <c r="FQ417" s="2"/>
      <c r="FR417" s="2"/>
      <c r="FS417" s="2"/>
      <c r="FT417" s="2"/>
      <c r="FU417" s="2"/>
      <c r="FV417" s="2"/>
      <c r="FW417" s="2"/>
      <c r="FX417" s="2"/>
      <c r="FY417" s="2"/>
      <c r="FZ417" s="2"/>
      <c r="GA417" s="2"/>
      <c r="GB417" s="2"/>
      <c r="GC417" s="2"/>
      <c r="GD417" s="2"/>
      <c r="GE417" s="2"/>
      <c r="GF417" s="2"/>
      <c r="GG417" s="2"/>
      <c r="GH417" s="2"/>
      <c r="GI417" s="2"/>
      <c r="GJ417" s="2"/>
      <c r="GK417" s="2"/>
      <c r="GL417" s="2"/>
      <c r="GM417" s="2"/>
      <c r="GN417" s="2"/>
      <c r="GO417" s="2"/>
      <c r="GP417" s="2"/>
      <c r="GQ417" s="2"/>
      <c r="GR417" s="2"/>
      <c r="GS417" s="2"/>
      <c r="GT417" s="2"/>
      <c r="GU417" s="2"/>
      <c r="GV417" s="2"/>
      <c r="GW417" s="2"/>
      <c r="GX417" s="2"/>
      <c r="GY417" s="2"/>
      <c r="GZ417" s="2"/>
      <c r="HA417" s="2"/>
      <c r="HB417" s="2"/>
      <c r="HC417" s="2"/>
      <c r="HD417" s="2"/>
      <c r="HE417" s="2"/>
      <c r="HF417" s="2"/>
      <c r="HG417" s="2"/>
      <c r="HH417" s="2"/>
      <c r="HI417" s="2"/>
      <c r="HJ417" s="2"/>
      <c r="HK417" s="2"/>
      <c r="HL417" s="2"/>
      <c r="HM417" s="2"/>
      <c r="HN417" s="2"/>
      <c r="HO417" s="2"/>
      <c r="HP417" s="2"/>
      <c r="HQ417" s="2"/>
      <c r="HR417" s="2"/>
      <c r="HS417" s="2"/>
      <c r="HT417" s="2"/>
      <c r="HU417" s="2"/>
      <c r="HV417" s="2"/>
      <c r="HW417" s="2"/>
      <c r="HX417" s="2"/>
      <c r="HY417" s="2"/>
      <c r="HZ417" s="2"/>
      <c r="IA417" s="2"/>
      <c r="IB417" s="2"/>
      <c r="IC417" s="2"/>
    </row>
    <row r="418" spans="1:237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  <c r="ES418" s="2"/>
      <c r="ET418" s="2"/>
      <c r="EU418" s="2"/>
      <c r="EV418" s="2"/>
      <c r="EW418" s="2"/>
      <c r="EX418" s="2"/>
      <c r="EY418" s="2"/>
      <c r="EZ418" s="2"/>
      <c r="FA418" s="2"/>
      <c r="FB418" s="2"/>
      <c r="FC418" s="2"/>
      <c r="FD418" s="2"/>
      <c r="FE418" s="2"/>
      <c r="FF418" s="2"/>
      <c r="FG418" s="2"/>
      <c r="FH418" s="2"/>
      <c r="FI418" s="2"/>
      <c r="FJ418" s="2"/>
      <c r="FK418" s="2"/>
      <c r="FL418" s="2"/>
      <c r="FM418" s="2"/>
      <c r="FN418" s="2"/>
      <c r="FO418" s="2"/>
      <c r="FP418" s="2"/>
      <c r="FQ418" s="2"/>
      <c r="FR418" s="2"/>
      <c r="FS418" s="2"/>
      <c r="FT418" s="2"/>
      <c r="FU418" s="2"/>
      <c r="FV418" s="2"/>
      <c r="FW418" s="2"/>
      <c r="FX418" s="2"/>
      <c r="FY418" s="2"/>
      <c r="FZ418" s="2"/>
      <c r="GA418" s="2"/>
      <c r="GB418" s="2"/>
      <c r="GC418" s="2"/>
      <c r="GD418" s="2"/>
      <c r="GE418" s="2"/>
      <c r="GF418" s="2"/>
      <c r="GG418" s="2"/>
      <c r="GH418" s="2"/>
      <c r="GI418" s="2"/>
      <c r="GJ418" s="2"/>
      <c r="GK418" s="2"/>
      <c r="GL418" s="2"/>
      <c r="GM418" s="2"/>
      <c r="GN418" s="2"/>
      <c r="GO418" s="2"/>
      <c r="GP418" s="2"/>
      <c r="GQ418" s="2"/>
      <c r="GR418" s="2"/>
      <c r="GS418" s="2"/>
      <c r="GT418" s="2"/>
      <c r="GU418" s="2"/>
      <c r="GV418" s="2"/>
      <c r="GW418" s="2"/>
      <c r="GX418" s="2"/>
      <c r="GY418" s="2"/>
      <c r="GZ418" s="2"/>
      <c r="HA418" s="2"/>
      <c r="HB418" s="2"/>
      <c r="HC418" s="2"/>
      <c r="HD418" s="2"/>
      <c r="HE418" s="2"/>
      <c r="HF418" s="2"/>
      <c r="HG418" s="2"/>
      <c r="HH418" s="2"/>
      <c r="HI418" s="2"/>
      <c r="HJ418" s="2"/>
      <c r="HK418" s="2"/>
      <c r="HL418" s="2"/>
      <c r="HM418" s="2"/>
      <c r="HN418" s="2"/>
      <c r="HO418" s="2"/>
      <c r="HP418" s="2"/>
      <c r="HQ418" s="2"/>
      <c r="HR418" s="2"/>
      <c r="HS418" s="2"/>
      <c r="HT418" s="2"/>
      <c r="HU418" s="2"/>
      <c r="HV418" s="2"/>
      <c r="HW418" s="2"/>
      <c r="HX418" s="2"/>
      <c r="HY418" s="2"/>
      <c r="HZ418" s="2"/>
      <c r="IA418" s="2"/>
      <c r="IB418" s="2"/>
      <c r="IC418" s="2"/>
    </row>
    <row r="419" spans="1:237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  <c r="ES419" s="2"/>
      <c r="ET419" s="2"/>
      <c r="EU419" s="2"/>
      <c r="EV419" s="2"/>
      <c r="EW419" s="2"/>
      <c r="EX419" s="2"/>
      <c r="EY419" s="2"/>
      <c r="EZ419" s="2"/>
      <c r="FA419" s="2"/>
      <c r="FB419" s="2"/>
      <c r="FC419" s="2"/>
      <c r="FD419" s="2"/>
      <c r="FE419" s="2"/>
      <c r="FF419" s="2"/>
      <c r="FG419" s="2"/>
      <c r="FH419" s="2"/>
      <c r="FI419" s="2"/>
      <c r="FJ419" s="2"/>
      <c r="FK419" s="2"/>
      <c r="FL419" s="2"/>
      <c r="FM419" s="2"/>
      <c r="FN419" s="2"/>
      <c r="FO419" s="2"/>
      <c r="FP419" s="2"/>
      <c r="FQ419" s="2"/>
      <c r="FR419" s="2"/>
      <c r="FS419" s="2"/>
      <c r="FT419" s="2"/>
      <c r="FU419" s="2"/>
      <c r="FV419" s="2"/>
      <c r="FW419" s="2"/>
      <c r="FX419" s="2"/>
      <c r="FY419" s="2"/>
      <c r="FZ419" s="2"/>
      <c r="GA419" s="2"/>
      <c r="GB419" s="2"/>
      <c r="GC419" s="2"/>
      <c r="GD419" s="2"/>
      <c r="GE419" s="2"/>
      <c r="GF419" s="2"/>
      <c r="GG419" s="2"/>
      <c r="GH419" s="2"/>
      <c r="GI419" s="2"/>
      <c r="GJ419" s="2"/>
      <c r="GK419" s="2"/>
      <c r="GL419" s="2"/>
      <c r="GM419" s="2"/>
      <c r="GN419" s="2"/>
      <c r="GO419" s="2"/>
      <c r="GP419" s="2"/>
      <c r="GQ419" s="2"/>
      <c r="GR419" s="2"/>
      <c r="GS419" s="2"/>
      <c r="GT419" s="2"/>
      <c r="GU419" s="2"/>
      <c r="GV419" s="2"/>
      <c r="GW419" s="2"/>
      <c r="GX419" s="2"/>
      <c r="GY419" s="2"/>
      <c r="GZ419" s="2"/>
      <c r="HA419" s="2"/>
      <c r="HB419" s="2"/>
      <c r="HC419" s="2"/>
      <c r="HD419" s="2"/>
      <c r="HE419" s="2"/>
      <c r="HF419" s="2"/>
      <c r="HG419" s="2"/>
      <c r="HH419" s="2"/>
      <c r="HI419" s="2"/>
      <c r="HJ419" s="2"/>
      <c r="HK419" s="2"/>
      <c r="HL419" s="2"/>
      <c r="HM419" s="2"/>
      <c r="HN419" s="2"/>
      <c r="HO419" s="2"/>
      <c r="HP419" s="2"/>
      <c r="HQ419" s="2"/>
      <c r="HR419" s="2"/>
      <c r="HS419" s="2"/>
      <c r="HT419" s="2"/>
      <c r="HU419" s="2"/>
      <c r="HV419" s="2"/>
      <c r="HW419" s="2"/>
      <c r="HX419" s="2"/>
      <c r="HY419" s="2"/>
      <c r="HZ419" s="2"/>
      <c r="IA419" s="2"/>
      <c r="IB419" s="2"/>
      <c r="IC419" s="2"/>
    </row>
    <row r="420" spans="1:237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  <c r="ES420" s="2"/>
      <c r="ET420" s="2"/>
      <c r="EU420" s="2"/>
      <c r="EV420" s="2"/>
      <c r="EW420" s="2"/>
      <c r="EX420" s="2"/>
      <c r="EY420" s="2"/>
      <c r="EZ420" s="2"/>
      <c r="FA420" s="2"/>
      <c r="FB420" s="2"/>
      <c r="FC420" s="2"/>
      <c r="FD420" s="2"/>
      <c r="FE420" s="2"/>
      <c r="FF420" s="2"/>
      <c r="FG420" s="2"/>
      <c r="FH420" s="2"/>
      <c r="FI420" s="2"/>
      <c r="FJ420" s="2"/>
      <c r="FK420" s="2"/>
      <c r="FL420" s="2"/>
      <c r="FM420" s="2"/>
      <c r="FN420" s="2"/>
      <c r="FO420" s="2"/>
      <c r="FP420" s="2"/>
      <c r="FQ420" s="2"/>
      <c r="FR420" s="2"/>
      <c r="FS420" s="2"/>
      <c r="FT420" s="2"/>
      <c r="FU420" s="2"/>
      <c r="FV420" s="2"/>
      <c r="FW420" s="2"/>
      <c r="FX420" s="2"/>
      <c r="FY420" s="2"/>
      <c r="FZ420" s="2"/>
      <c r="GA420" s="2"/>
      <c r="GB420" s="2"/>
      <c r="GC420" s="2"/>
      <c r="GD420" s="2"/>
      <c r="GE420" s="2"/>
      <c r="GF420" s="2"/>
      <c r="GG420" s="2"/>
      <c r="GH420" s="2"/>
      <c r="GI420" s="2"/>
      <c r="GJ420" s="2"/>
      <c r="GK420" s="2"/>
      <c r="GL420" s="2"/>
      <c r="GM420" s="2"/>
      <c r="GN420" s="2"/>
      <c r="GO420" s="2"/>
      <c r="GP420" s="2"/>
      <c r="GQ420" s="2"/>
      <c r="GR420" s="2"/>
      <c r="GS420" s="2"/>
      <c r="GT420" s="2"/>
      <c r="GU420" s="2"/>
      <c r="GV420" s="2"/>
      <c r="GW420" s="2"/>
      <c r="GX420" s="2"/>
      <c r="GY420" s="2"/>
      <c r="GZ420" s="2"/>
      <c r="HA420" s="2"/>
      <c r="HB420" s="2"/>
      <c r="HC420" s="2"/>
      <c r="HD420" s="2"/>
      <c r="HE420" s="2"/>
      <c r="HF420" s="2"/>
      <c r="HG420" s="2"/>
      <c r="HH420" s="2"/>
      <c r="HI420" s="2"/>
      <c r="HJ420" s="2"/>
      <c r="HK420" s="2"/>
      <c r="HL420" s="2"/>
      <c r="HM420" s="2"/>
      <c r="HN420" s="2"/>
      <c r="HO420" s="2"/>
      <c r="HP420" s="2"/>
      <c r="HQ420" s="2"/>
      <c r="HR420" s="2"/>
      <c r="HS420" s="2"/>
      <c r="HT420" s="2"/>
      <c r="HU420" s="2"/>
      <c r="HV420" s="2"/>
      <c r="HW420" s="2"/>
      <c r="HX420" s="2"/>
      <c r="HY420" s="2"/>
      <c r="HZ420" s="2"/>
      <c r="IA420" s="2"/>
      <c r="IB420" s="2"/>
      <c r="IC420" s="2"/>
    </row>
    <row r="421" spans="1:237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  <c r="ES421" s="2"/>
      <c r="ET421" s="2"/>
      <c r="EU421" s="2"/>
      <c r="EV421" s="2"/>
      <c r="EW421" s="2"/>
      <c r="EX421" s="2"/>
      <c r="EY421" s="2"/>
      <c r="EZ421" s="2"/>
      <c r="FA421" s="2"/>
      <c r="FB421" s="2"/>
      <c r="FC421" s="2"/>
      <c r="FD421" s="2"/>
      <c r="FE421" s="2"/>
      <c r="FF421" s="2"/>
      <c r="FG421" s="2"/>
      <c r="FH421" s="2"/>
      <c r="FI421" s="2"/>
      <c r="FJ421" s="2"/>
      <c r="FK421" s="2"/>
      <c r="FL421" s="2"/>
      <c r="FM421" s="2"/>
      <c r="FN421" s="2"/>
      <c r="FO421" s="2"/>
      <c r="FP421" s="2"/>
      <c r="FQ421" s="2"/>
      <c r="FR421" s="2"/>
      <c r="FS421" s="2"/>
      <c r="FT421" s="2"/>
      <c r="FU421" s="2"/>
      <c r="FV421" s="2"/>
      <c r="FW421" s="2"/>
      <c r="FX421" s="2"/>
      <c r="FY421" s="2"/>
      <c r="FZ421" s="2"/>
      <c r="GA421" s="2"/>
      <c r="GB421" s="2"/>
      <c r="GC421" s="2"/>
      <c r="GD421" s="2"/>
      <c r="GE421" s="2"/>
      <c r="GF421" s="2"/>
      <c r="GG421" s="2"/>
      <c r="GH421" s="2"/>
      <c r="GI421" s="2"/>
      <c r="GJ421" s="2"/>
      <c r="GK421" s="2"/>
      <c r="GL421" s="2"/>
      <c r="GM421" s="2"/>
      <c r="GN421" s="2"/>
      <c r="GO421" s="2"/>
      <c r="GP421" s="2"/>
      <c r="GQ421" s="2"/>
      <c r="GR421" s="2"/>
      <c r="GS421" s="2"/>
      <c r="GT421" s="2"/>
      <c r="GU421" s="2"/>
      <c r="GV421" s="2"/>
      <c r="GW421" s="2"/>
      <c r="GX421" s="2"/>
      <c r="GY421" s="2"/>
      <c r="GZ421" s="2"/>
      <c r="HA421" s="2"/>
      <c r="HB421" s="2"/>
      <c r="HC421" s="2"/>
      <c r="HD421" s="2"/>
      <c r="HE421" s="2"/>
      <c r="HF421" s="2"/>
      <c r="HG421" s="2"/>
      <c r="HH421" s="2"/>
      <c r="HI421" s="2"/>
      <c r="HJ421" s="2"/>
      <c r="HK421" s="2"/>
      <c r="HL421" s="2"/>
      <c r="HM421" s="2"/>
      <c r="HN421" s="2"/>
      <c r="HO421" s="2"/>
      <c r="HP421" s="2"/>
      <c r="HQ421" s="2"/>
      <c r="HR421" s="2"/>
      <c r="HS421" s="2"/>
      <c r="HT421" s="2"/>
      <c r="HU421" s="2"/>
      <c r="HV421" s="2"/>
      <c r="HW421" s="2"/>
      <c r="HX421" s="2"/>
      <c r="HY421" s="2"/>
      <c r="HZ421" s="2"/>
      <c r="IA421" s="2"/>
      <c r="IB421" s="2"/>
      <c r="IC421" s="2"/>
    </row>
    <row r="422" spans="1:237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  <c r="ES422" s="2"/>
      <c r="ET422" s="2"/>
      <c r="EU422" s="2"/>
      <c r="EV422" s="2"/>
      <c r="EW422" s="2"/>
      <c r="EX422" s="2"/>
      <c r="EY422" s="2"/>
      <c r="EZ422" s="2"/>
      <c r="FA422" s="2"/>
      <c r="FB422" s="2"/>
      <c r="FC422" s="2"/>
      <c r="FD422" s="2"/>
      <c r="FE422" s="2"/>
      <c r="FF422" s="2"/>
      <c r="FG422" s="2"/>
      <c r="FH422" s="2"/>
      <c r="FI422" s="2"/>
      <c r="FJ422" s="2"/>
      <c r="FK422" s="2"/>
      <c r="FL422" s="2"/>
      <c r="FM422" s="2"/>
      <c r="FN422" s="2"/>
      <c r="FO422" s="2"/>
      <c r="FP422" s="2"/>
      <c r="FQ422" s="2"/>
      <c r="FR422" s="2"/>
      <c r="FS422" s="2"/>
      <c r="FT422" s="2"/>
      <c r="FU422" s="2"/>
      <c r="FV422" s="2"/>
      <c r="FW422" s="2"/>
      <c r="FX422" s="2"/>
      <c r="FY422" s="2"/>
      <c r="FZ422" s="2"/>
      <c r="GA422" s="2"/>
      <c r="GB422" s="2"/>
      <c r="GC422" s="2"/>
      <c r="GD422" s="2"/>
      <c r="GE422" s="2"/>
      <c r="GF422" s="2"/>
      <c r="GG422" s="2"/>
      <c r="GH422" s="2"/>
      <c r="GI422" s="2"/>
      <c r="GJ422" s="2"/>
      <c r="GK422" s="2"/>
      <c r="GL422" s="2"/>
      <c r="GM422" s="2"/>
      <c r="GN422" s="2"/>
      <c r="GO422" s="2"/>
      <c r="GP422" s="2"/>
      <c r="GQ422" s="2"/>
      <c r="GR422" s="2"/>
      <c r="GS422" s="2"/>
      <c r="GT422" s="2"/>
      <c r="GU422" s="2"/>
      <c r="GV422" s="2"/>
      <c r="GW422" s="2"/>
      <c r="GX422" s="2"/>
      <c r="GY422" s="2"/>
      <c r="GZ422" s="2"/>
      <c r="HA422" s="2"/>
      <c r="HB422" s="2"/>
      <c r="HC422" s="2"/>
      <c r="HD422" s="2"/>
      <c r="HE422" s="2"/>
      <c r="HF422" s="2"/>
      <c r="HG422" s="2"/>
      <c r="HH422" s="2"/>
      <c r="HI422" s="2"/>
      <c r="HJ422" s="2"/>
      <c r="HK422" s="2"/>
      <c r="HL422" s="2"/>
      <c r="HM422" s="2"/>
      <c r="HN422" s="2"/>
      <c r="HO422" s="2"/>
      <c r="HP422" s="2"/>
      <c r="HQ422" s="2"/>
      <c r="HR422" s="2"/>
      <c r="HS422" s="2"/>
      <c r="HT422" s="2"/>
      <c r="HU422" s="2"/>
      <c r="HV422" s="2"/>
      <c r="HW422" s="2"/>
      <c r="HX422" s="2"/>
      <c r="HY422" s="2"/>
      <c r="HZ422" s="2"/>
      <c r="IA422" s="2"/>
      <c r="IB422" s="2"/>
      <c r="IC422" s="2"/>
    </row>
    <row r="423" spans="1:237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  <c r="ES423" s="2"/>
      <c r="ET423" s="2"/>
      <c r="EU423" s="2"/>
      <c r="EV423" s="2"/>
      <c r="EW423" s="2"/>
      <c r="EX423" s="2"/>
      <c r="EY423" s="2"/>
      <c r="EZ423" s="2"/>
      <c r="FA423" s="2"/>
      <c r="FB423" s="2"/>
      <c r="FC423" s="2"/>
      <c r="FD423" s="2"/>
      <c r="FE423" s="2"/>
      <c r="FF423" s="2"/>
      <c r="FG423" s="2"/>
      <c r="FH423" s="2"/>
      <c r="FI423" s="2"/>
      <c r="FJ423" s="2"/>
      <c r="FK423" s="2"/>
      <c r="FL423" s="2"/>
      <c r="FM423" s="2"/>
      <c r="FN423" s="2"/>
      <c r="FO423" s="2"/>
      <c r="FP423" s="2"/>
      <c r="FQ423" s="2"/>
      <c r="FR423" s="2"/>
      <c r="FS423" s="2"/>
      <c r="FT423" s="2"/>
      <c r="FU423" s="2"/>
      <c r="FV423" s="2"/>
      <c r="FW423" s="2"/>
      <c r="FX423" s="2"/>
      <c r="FY423" s="2"/>
      <c r="FZ423" s="2"/>
      <c r="GA423" s="2"/>
      <c r="GB423" s="2"/>
      <c r="GC423" s="2"/>
      <c r="GD423" s="2"/>
      <c r="GE423" s="2"/>
      <c r="GF423" s="2"/>
      <c r="GG423" s="2"/>
      <c r="GH423" s="2"/>
      <c r="GI423" s="2"/>
      <c r="GJ423" s="2"/>
      <c r="GK423" s="2"/>
      <c r="GL423" s="2"/>
      <c r="GM423" s="2"/>
      <c r="GN423" s="2"/>
      <c r="GO423" s="2"/>
      <c r="GP423" s="2"/>
      <c r="GQ423" s="2"/>
      <c r="GR423" s="2"/>
      <c r="GS423" s="2"/>
      <c r="GT423" s="2"/>
      <c r="GU423" s="2"/>
      <c r="GV423" s="2"/>
      <c r="GW423" s="2"/>
      <c r="GX423" s="2"/>
      <c r="GY423" s="2"/>
      <c r="GZ423" s="2"/>
      <c r="HA423" s="2"/>
      <c r="HB423" s="2"/>
      <c r="HC423" s="2"/>
      <c r="HD423" s="2"/>
      <c r="HE423" s="2"/>
      <c r="HF423" s="2"/>
      <c r="HG423" s="2"/>
      <c r="HH423" s="2"/>
      <c r="HI423" s="2"/>
      <c r="HJ423" s="2"/>
      <c r="HK423" s="2"/>
      <c r="HL423" s="2"/>
      <c r="HM423" s="2"/>
      <c r="HN423" s="2"/>
      <c r="HO423" s="2"/>
      <c r="HP423" s="2"/>
      <c r="HQ423" s="2"/>
      <c r="HR423" s="2"/>
      <c r="HS423" s="2"/>
      <c r="HT423" s="2"/>
      <c r="HU423" s="2"/>
      <c r="HV423" s="2"/>
      <c r="HW423" s="2"/>
      <c r="HX423" s="2"/>
      <c r="HY423" s="2"/>
      <c r="HZ423" s="2"/>
      <c r="IA423" s="2"/>
      <c r="IB423" s="2"/>
      <c r="IC423" s="2"/>
    </row>
    <row r="424" spans="1:237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  <c r="ES424" s="2"/>
      <c r="ET424" s="2"/>
      <c r="EU424" s="2"/>
      <c r="EV424" s="2"/>
      <c r="EW424" s="2"/>
      <c r="EX424" s="2"/>
      <c r="EY424" s="2"/>
      <c r="EZ424" s="2"/>
      <c r="FA424" s="2"/>
      <c r="FB424" s="2"/>
      <c r="FC424" s="2"/>
      <c r="FD424" s="2"/>
      <c r="FE424" s="2"/>
      <c r="FF424" s="2"/>
      <c r="FG424" s="2"/>
      <c r="FH424" s="2"/>
      <c r="FI424" s="2"/>
      <c r="FJ424" s="2"/>
      <c r="FK424" s="2"/>
      <c r="FL424" s="2"/>
      <c r="FM424" s="2"/>
      <c r="FN424" s="2"/>
      <c r="FO424" s="2"/>
      <c r="FP424" s="2"/>
      <c r="FQ424" s="2"/>
      <c r="FR424" s="2"/>
      <c r="FS424" s="2"/>
      <c r="FT424" s="2"/>
      <c r="FU424" s="2"/>
      <c r="FV424" s="2"/>
      <c r="FW424" s="2"/>
      <c r="FX424" s="2"/>
      <c r="FY424" s="2"/>
      <c r="FZ424" s="2"/>
      <c r="GA424" s="2"/>
      <c r="GB424" s="2"/>
      <c r="GC424" s="2"/>
      <c r="GD424" s="2"/>
      <c r="GE424" s="2"/>
      <c r="GF424" s="2"/>
      <c r="GG424" s="2"/>
      <c r="GH424" s="2"/>
      <c r="GI424" s="2"/>
      <c r="GJ424" s="2"/>
      <c r="GK424" s="2"/>
      <c r="GL424" s="2"/>
      <c r="GM424" s="2"/>
      <c r="GN424" s="2"/>
      <c r="GO424" s="2"/>
      <c r="GP424" s="2"/>
      <c r="GQ424" s="2"/>
      <c r="GR424" s="2"/>
      <c r="GS424" s="2"/>
      <c r="GT424" s="2"/>
      <c r="GU424" s="2"/>
      <c r="GV424" s="2"/>
      <c r="GW424" s="2"/>
      <c r="GX424" s="2"/>
      <c r="GY424" s="2"/>
      <c r="GZ424" s="2"/>
      <c r="HA424" s="2"/>
      <c r="HB424" s="2"/>
      <c r="HC424" s="2"/>
      <c r="HD424" s="2"/>
      <c r="HE424" s="2"/>
      <c r="HF424" s="2"/>
      <c r="HG424" s="2"/>
      <c r="HH424" s="2"/>
      <c r="HI424" s="2"/>
      <c r="HJ424" s="2"/>
      <c r="HK424" s="2"/>
      <c r="HL424" s="2"/>
      <c r="HM424" s="2"/>
      <c r="HN424" s="2"/>
      <c r="HO424" s="2"/>
      <c r="HP424" s="2"/>
      <c r="HQ424" s="2"/>
      <c r="HR424" s="2"/>
      <c r="HS424" s="2"/>
      <c r="HT424" s="2"/>
      <c r="HU424" s="2"/>
      <c r="HV424" s="2"/>
      <c r="HW424" s="2"/>
      <c r="HX424" s="2"/>
      <c r="HY424" s="2"/>
      <c r="HZ424" s="2"/>
      <c r="IA424" s="2"/>
      <c r="IB424" s="2"/>
      <c r="IC424" s="2"/>
    </row>
    <row r="425" spans="1:237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  <c r="ES425" s="2"/>
      <c r="ET425" s="2"/>
      <c r="EU425" s="2"/>
      <c r="EV425" s="2"/>
      <c r="EW425" s="2"/>
      <c r="EX425" s="2"/>
      <c r="EY425" s="2"/>
      <c r="EZ425" s="2"/>
      <c r="FA425" s="2"/>
      <c r="FB425" s="2"/>
      <c r="FC425" s="2"/>
      <c r="FD425" s="2"/>
      <c r="FE425" s="2"/>
      <c r="FF425" s="2"/>
      <c r="FG425" s="2"/>
      <c r="FH425" s="2"/>
      <c r="FI425" s="2"/>
      <c r="FJ425" s="2"/>
      <c r="FK425" s="2"/>
      <c r="FL425" s="2"/>
      <c r="FM425" s="2"/>
      <c r="FN425" s="2"/>
      <c r="FO425" s="2"/>
      <c r="FP425" s="2"/>
      <c r="FQ425" s="2"/>
      <c r="FR425" s="2"/>
      <c r="FS425" s="2"/>
      <c r="FT425" s="2"/>
      <c r="FU425" s="2"/>
      <c r="FV425" s="2"/>
      <c r="FW425" s="2"/>
      <c r="FX425" s="2"/>
      <c r="FY425" s="2"/>
      <c r="FZ425" s="2"/>
      <c r="GA425" s="2"/>
      <c r="GB425" s="2"/>
      <c r="GC425" s="2"/>
      <c r="GD425" s="2"/>
      <c r="GE425" s="2"/>
      <c r="GF425" s="2"/>
      <c r="GG425" s="2"/>
      <c r="GH425" s="2"/>
      <c r="GI425" s="2"/>
      <c r="GJ425" s="2"/>
      <c r="GK425" s="2"/>
      <c r="GL425" s="2"/>
      <c r="GM425" s="2"/>
      <c r="GN425" s="2"/>
      <c r="GO425" s="2"/>
      <c r="GP425" s="2"/>
      <c r="GQ425" s="2"/>
      <c r="GR425" s="2"/>
      <c r="GS425" s="2"/>
      <c r="GT425" s="2"/>
      <c r="GU425" s="2"/>
      <c r="GV425" s="2"/>
      <c r="GW425" s="2"/>
      <c r="GX425" s="2"/>
      <c r="GY425" s="2"/>
      <c r="GZ425" s="2"/>
      <c r="HA425" s="2"/>
      <c r="HB425" s="2"/>
      <c r="HC425" s="2"/>
      <c r="HD425" s="2"/>
      <c r="HE425" s="2"/>
      <c r="HF425" s="2"/>
      <c r="HG425" s="2"/>
      <c r="HH425" s="2"/>
      <c r="HI425" s="2"/>
      <c r="HJ425" s="2"/>
      <c r="HK425" s="2"/>
      <c r="HL425" s="2"/>
      <c r="HM425" s="2"/>
      <c r="HN425" s="2"/>
      <c r="HO425" s="2"/>
      <c r="HP425" s="2"/>
      <c r="HQ425" s="2"/>
      <c r="HR425" s="2"/>
      <c r="HS425" s="2"/>
      <c r="HT425" s="2"/>
      <c r="HU425" s="2"/>
      <c r="HV425" s="2"/>
      <c r="HW425" s="2"/>
      <c r="HX425" s="2"/>
      <c r="HY425" s="2"/>
      <c r="HZ425" s="2"/>
      <c r="IA425" s="2"/>
      <c r="IB425" s="2"/>
      <c r="IC425" s="2"/>
    </row>
    <row r="426" spans="1:237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  <c r="ES426" s="2"/>
      <c r="ET426" s="2"/>
      <c r="EU426" s="2"/>
      <c r="EV426" s="2"/>
      <c r="EW426" s="2"/>
      <c r="EX426" s="2"/>
      <c r="EY426" s="2"/>
      <c r="EZ426" s="2"/>
      <c r="FA426" s="2"/>
      <c r="FB426" s="2"/>
      <c r="FC426" s="2"/>
      <c r="FD426" s="2"/>
      <c r="FE426" s="2"/>
      <c r="FF426" s="2"/>
      <c r="FG426" s="2"/>
      <c r="FH426" s="2"/>
      <c r="FI426" s="2"/>
      <c r="FJ426" s="2"/>
      <c r="FK426" s="2"/>
      <c r="FL426" s="2"/>
      <c r="FM426" s="2"/>
      <c r="FN426" s="2"/>
      <c r="FO426" s="2"/>
      <c r="FP426" s="2"/>
      <c r="FQ426" s="2"/>
      <c r="FR426" s="2"/>
      <c r="FS426" s="2"/>
      <c r="FT426" s="2"/>
      <c r="FU426" s="2"/>
      <c r="FV426" s="2"/>
      <c r="FW426" s="2"/>
      <c r="FX426" s="2"/>
      <c r="FY426" s="2"/>
      <c r="FZ426" s="2"/>
      <c r="GA426" s="2"/>
      <c r="GB426" s="2"/>
      <c r="GC426" s="2"/>
      <c r="GD426" s="2"/>
      <c r="GE426" s="2"/>
      <c r="GF426" s="2"/>
      <c r="GG426" s="2"/>
      <c r="GH426" s="2"/>
      <c r="GI426" s="2"/>
      <c r="GJ426" s="2"/>
      <c r="GK426" s="2"/>
      <c r="GL426" s="2"/>
      <c r="GM426" s="2"/>
      <c r="GN426" s="2"/>
      <c r="GO426" s="2"/>
      <c r="GP426" s="2"/>
      <c r="GQ426" s="2"/>
      <c r="GR426" s="2"/>
      <c r="GS426" s="2"/>
      <c r="GT426" s="2"/>
      <c r="GU426" s="2"/>
      <c r="GV426" s="2"/>
      <c r="GW426" s="2"/>
      <c r="GX426" s="2"/>
      <c r="GY426" s="2"/>
      <c r="GZ426" s="2"/>
      <c r="HA426" s="2"/>
      <c r="HB426" s="2"/>
      <c r="HC426" s="2"/>
      <c r="HD426" s="2"/>
      <c r="HE426" s="2"/>
      <c r="HF426" s="2"/>
      <c r="HG426" s="2"/>
      <c r="HH426" s="2"/>
      <c r="HI426" s="2"/>
      <c r="HJ426" s="2"/>
      <c r="HK426" s="2"/>
      <c r="HL426" s="2"/>
      <c r="HM426" s="2"/>
      <c r="HN426" s="2"/>
      <c r="HO426" s="2"/>
      <c r="HP426" s="2"/>
      <c r="HQ426" s="2"/>
      <c r="HR426" s="2"/>
      <c r="HS426" s="2"/>
      <c r="HT426" s="2"/>
      <c r="HU426" s="2"/>
      <c r="HV426" s="2"/>
      <c r="HW426" s="2"/>
      <c r="HX426" s="2"/>
      <c r="HY426" s="2"/>
      <c r="HZ426" s="2"/>
      <c r="IA426" s="2"/>
      <c r="IB426" s="2"/>
      <c r="IC426" s="2"/>
    </row>
    <row r="427" spans="1:237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  <c r="ES427" s="2"/>
      <c r="ET427" s="2"/>
      <c r="EU427" s="2"/>
      <c r="EV427" s="2"/>
      <c r="EW427" s="2"/>
      <c r="EX427" s="2"/>
      <c r="EY427" s="2"/>
      <c r="EZ427" s="2"/>
      <c r="FA427" s="2"/>
      <c r="FB427" s="2"/>
      <c r="FC427" s="2"/>
      <c r="FD427" s="2"/>
      <c r="FE427" s="2"/>
      <c r="FF427" s="2"/>
      <c r="FG427" s="2"/>
      <c r="FH427" s="2"/>
      <c r="FI427" s="2"/>
      <c r="FJ427" s="2"/>
      <c r="FK427" s="2"/>
      <c r="FL427" s="2"/>
      <c r="FM427" s="2"/>
      <c r="FN427" s="2"/>
      <c r="FO427" s="2"/>
      <c r="FP427" s="2"/>
      <c r="FQ427" s="2"/>
      <c r="FR427" s="2"/>
      <c r="FS427" s="2"/>
      <c r="FT427" s="2"/>
      <c r="FU427" s="2"/>
      <c r="FV427" s="2"/>
      <c r="FW427" s="2"/>
      <c r="FX427" s="2"/>
      <c r="FY427" s="2"/>
      <c r="FZ427" s="2"/>
      <c r="GA427" s="2"/>
      <c r="GB427" s="2"/>
      <c r="GC427" s="2"/>
      <c r="GD427" s="2"/>
      <c r="GE427" s="2"/>
      <c r="GF427" s="2"/>
      <c r="GG427" s="2"/>
      <c r="GH427" s="2"/>
      <c r="GI427" s="2"/>
      <c r="GJ427" s="2"/>
      <c r="GK427" s="2"/>
      <c r="GL427" s="2"/>
      <c r="GM427" s="2"/>
      <c r="GN427" s="2"/>
      <c r="GO427" s="2"/>
      <c r="GP427" s="2"/>
      <c r="GQ427" s="2"/>
      <c r="GR427" s="2"/>
      <c r="GS427" s="2"/>
      <c r="GT427" s="2"/>
      <c r="GU427" s="2"/>
      <c r="GV427" s="2"/>
      <c r="GW427" s="2"/>
      <c r="GX427" s="2"/>
      <c r="GY427" s="2"/>
      <c r="GZ427" s="2"/>
      <c r="HA427" s="2"/>
      <c r="HB427" s="2"/>
      <c r="HC427" s="2"/>
      <c r="HD427" s="2"/>
      <c r="HE427" s="2"/>
      <c r="HF427" s="2"/>
      <c r="HG427" s="2"/>
      <c r="HH427" s="2"/>
      <c r="HI427" s="2"/>
      <c r="HJ427" s="2"/>
      <c r="HK427" s="2"/>
      <c r="HL427" s="2"/>
      <c r="HM427" s="2"/>
      <c r="HN427" s="2"/>
      <c r="HO427" s="2"/>
      <c r="HP427" s="2"/>
      <c r="HQ427" s="2"/>
      <c r="HR427" s="2"/>
      <c r="HS427" s="2"/>
      <c r="HT427" s="2"/>
      <c r="HU427" s="2"/>
      <c r="HV427" s="2"/>
      <c r="HW427" s="2"/>
      <c r="HX427" s="2"/>
      <c r="HY427" s="2"/>
      <c r="HZ427" s="2"/>
      <c r="IA427" s="2"/>
      <c r="IB427" s="2"/>
      <c r="IC427" s="2"/>
    </row>
    <row r="428" spans="1:237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  <c r="ES428" s="2"/>
      <c r="ET428" s="2"/>
      <c r="EU428" s="2"/>
      <c r="EV428" s="2"/>
      <c r="EW428" s="2"/>
      <c r="EX428" s="2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  <c r="FN428" s="2"/>
      <c r="FO428" s="2"/>
      <c r="FP428" s="2"/>
      <c r="FQ428" s="2"/>
      <c r="FR428" s="2"/>
      <c r="FS428" s="2"/>
      <c r="FT428" s="2"/>
      <c r="FU428" s="2"/>
      <c r="FV428" s="2"/>
      <c r="FW428" s="2"/>
      <c r="FX428" s="2"/>
      <c r="FY428" s="2"/>
      <c r="FZ428" s="2"/>
      <c r="GA428" s="2"/>
      <c r="GB428" s="2"/>
      <c r="GC428" s="2"/>
      <c r="GD428" s="2"/>
      <c r="GE428" s="2"/>
      <c r="GF428" s="2"/>
      <c r="GG428" s="2"/>
      <c r="GH428" s="2"/>
      <c r="GI428" s="2"/>
      <c r="GJ428" s="2"/>
      <c r="GK428" s="2"/>
      <c r="GL428" s="2"/>
      <c r="GM428" s="2"/>
      <c r="GN428" s="2"/>
      <c r="GO428" s="2"/>
      <c r="GP428" s="2"/>
      <c r="GQ428" s="2"/>
      <c r="GR428" s="2"/>
      <c r="GS428" s="2"/>
      <c r="GT428" s="2"/>
      <c r="GU428" s="2"/>
      <c r="GV428" s="2"/>
      <c r="GW428" s="2"/>
      <c r="GX428" s="2"/>
      <c r="GY428" s="2"/>
      <c r="GZ428" s="2"/>
      <c r="HA428" s="2"/>
      <c r="HB428" s="2"/>
      <c r="HC428" s="2"/>
      <c r="HD428" s="2"/>
      <c r="HE428" s="2"/>
      <c r="HF428" s="2"/>
      <c r="HG428" s="2"/>
      <c r="HH428" s="2"/>
      <c r="HI428" s="2"/>
      <c r="HJ428" s="2"/>
      <c r="HK428" s="2"/>
      <c r="HL428" s="2"/>
      <c r="HM428" s="2"/>
      <c r="HN428" s="2"/>
      <c r="HO428" s="2"/>
      <c r="HP428" s="2"/>
      <c r="HQ428" s="2"/>
      <c r="HR428" s="2"/>
      <c r="HS428" s="2"/>
      <c r="HT428" s="2"/>
      <c r="HU428" s="2"/>
      <c r="HV428" s="2"/>
      <c r="HW428" s="2"/>
      <c r="HX428" s="2"/>
      <c r="HY428" s="2"/>
      <c r="HZ428" s="2"/>
      <c r="IA428" s="2"/>
      <c r="IB428" s="2"/>
      <c r="IC428" s="2"/>
    </row>
    <row r="429" spans="1:237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  <c r="ES429" s="2"/>
      <c r="ET429" s="2"/>
      <c r="EU429" s="2"/>
      <c r="EV429" s="2"/>
      <c r="EW429" s="2"/>
      <c r="EX429" s="2"/>
      <c r="EY429" s="2"/>
      <c r="EZ429" s="2"/>
      <c r="FA429" s="2"/>
      <c r="FB429" s="2"/>
      <c r="FC429" s="2"/>
      <c r="FD429" s="2"/>
      <c r="FE429" s="2"/>
      <c r="FF429" s="2"/>
      <c r="FG429" s="2"/>
      <c r="FH429" s="2"/>
      <c r="FI429" s="2"/>
      <c r="FJ429" s="2"/>
      <c r="FK429" s="2"/>
      <c r="FL429" s="2"/>
      <c r="FM429" s="2"/>
      <c r="FN429" s="2"/>
      <c r="FO429" s="2"/>
      <c r="FP429" s="2"/>
      <c r="FQ429" s="2"/>
      <c r="FR429" s="2"/>
      <c r="FS429" s="2"/>
      <c r="FT429" s="2"/>
      <c r="FU429" s="2"/>
      <c r="FV429" s="2"/>
      <c r="FW429" s="2"/>
      <c r="FX429" s="2"/>
      <c r="FY429" s="2"/>
      <c r="FZ429" s="2"/>
      <c r="GA429" s="2"/>
      <c r="GB429" s="2"/>
      <c r="GC429" s="2"/>
      <c r="GD429" s="2"/>
      <c r="GE429" s="2"/>
      <c r="GF429" s="2"/>
      <c r="GG429" s="2"/>
      <c r="GH429" s="2"/>
      <c r="GI429" s="2"/>
      <c r="GJ429" s="2"/>
      <c r="GK429" s="2"/>
      <c r="GL429" s="2"/>
      <c r="GM429" s="2"/>
      <c r="GN429" s="2"/>
      <c r="GO429" s="2"/>
      <c r="GP429" s="2"/>
      <c r="GQ429" s="2"/>
      <c r="GR429" s="2"/>
      <c r="GS429" s="2"/>
      <c r="GT429" s="2"/>
      <c r="GU429" s="2"/>
      <c r="GV429" s="2"/>
      <c r="GW429" s="2"/>
      <c r="GX429" s="2"/>
      <c r="GY429" s="2"/>
      <c r="GZ429" s="2"/>
      <c r="HA429" s="2"/>
      <c r="HB429" s="2"/>
      <c r="HC429" s="2"/>
      <c r="HD429" s="2"/>
      <c r="HE429" s="2"/>
      <c r="HF429" s="2"/>
      <c r="HG429" s="2"/>
      <c r="HH429" s="2"/>
      <c r="HI429" s="2"/>
      <c r="HJ429" s="2"/>
      <c r="HK429" s="2"/>
      <c r="HL429" s="2"/>
      <c r="HM429" s="2"/>
      <c r="HN429" s="2"/>
      <c r="HO429" s="2"/>
      <c r="HP429" s="2"/>
      <c r="HQ429" s="2"/>
      <c r="HR429" s="2"/>
      <c r="HS429" s="2"/>
      <c r="HT429" s="2"/>
      <c r="HU429" s="2"/>
      <c r="HV429" s="2"/>
      <c r="HW429" s="2"/>
      <c r="HX429" s="2"/>
      <c r="HY429" s="2"/>
      <c r="HZ429" s="2"/>
      <c r="IA429" s="2"/>
      <c r="IB429" s="2"/>
      <c r="IC429" s="2"/>
    </row>
    <row r="430" spans="1:237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  <c r="ES430" s="2"/>
      <c r="ET430" s="2"/>
      <c r="EU430" s="2"/>
      <c r="EV430" s="2"/>
      <c r="EW430" s="2"/>
      <c r="EX430" s="2"/>
      <c r="EY430" s="2"/>
      <c r="EZ430" s="2"/>
      <c r="FA430" s="2"/>
      <c r="FB430" s="2"/>
      <c r="FC430" s="2"/>
      <c r="FD430" s="2"/>
      <c r="FE430" s="2"/>
      <c r="FF430" s="2"/>
      <c r="FG430" s="2"/>
      <c r="FH430" s="2"/>
      <c r="FI430" s="2"/>
      <c r="FJ430" s="2"/>
      <c r="FK430" s="2"/>
      <c r="FL430" s="2"/>
      <c r="FM430" s="2"/>
      <c r="FN430" s="2"/>
      <c r="FO430" s="2"/>
      <c r="FP430" s="2"/>
      <c r="FQ430" s="2"/>
      <c r="FR430" s="2"/>
      <c r="FS430" s="2"/>
      <c r="FT430" s="2"/>
      <c r="FU430" s="2"/>
      <c r="FV430" s="2"/>
      <c r="FW430" s="2"/>
      <c r="FX430" s="2"/>
      <c r="FY430" s="2"/>
      <c r="FZ430" s="2"/>
      <c r="GA430" s="2"/>
      <c r="GB430" s="2"/>
      <c r="GC430" s="2"/>
      <c r="GD430" s="2"/>
      <c r="GE430" s="2"/>
      <c r="GF430" s="2"/>
      <c r="GG430" s="2"/>
      <c r="GH430" s="2"/>
      <c r="GI430" s="2"/>
      <c r="GJ430" s="2"/>
      <c r="GK430" s="2"/>
      <c r="GL430" s="2"/>
      <c r="GM430" s="2"/>
      <c r="GN430" s="2"/>
      <c r="GO430" s="2"/>
      <c r="GP430" s="2"/>
      <c r="GQ430" s="2"/>
      <c r="GR430" s="2"/>
      <c r="GS430" s="2"/>
      <c r="GT430" s="2"/>
      <c r="GU430" s="2"/>
      <c r="GV430" s="2"/>
      <c r="GW430" s="2"/>
      <c r="GX430" s="2"/>
      <c r="GY430" s="2"/>
      <c r="GZ430" s="2"/>
      <c r="HA430" s="2"/>
      <c r="HB430" s="2"/>
      <c r="HC430" s="2"/>
      <c r="HD430" s="2"/>
      <c r="HE430" s="2"/>
      <c r="HF430" s="2"/>
      <c r="HG430" s="2"/>
      <c r="HH430" s="2"/>
      <c r="HI430" s="2"/>
      <c r="HJ430" s="2"/>
      <c r="HK430" s="2"/>
      <c r="HL430" s="2"/>
      <c r="HM430" s="2"/>
      <c r="HN430" s="2"/>
      <c r="HO430" s="2"/>
      <c r="HP430" s="2"/>
      <c r="HQ430" s="2"/>
      <c r="HR430" s="2"/>
      <c r="HS430" s="2"/>
      <c r="HT430" s="2"/>
      <c r="HU430" s="2"/>
      <c r="HV430" s="2"/>
      <c r="HW430" s="2"/>
      <c r="HX430" s="2"/>
      <c r="HY430" s="2"/>
      <c r="HZ430" s="2"/>
      <c r="IA430" s="2"/>
      <c r="IB430" s="2"/>
      <c r="IC430" s="2"/>
    </row>
    <row r="431" spans="1:237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GS431" s="2"/>
      <c r="GT431" s="2"/>
      <c r="GU431" s="2"/>
      <c r="GV431" s="2"/>
      <c r="GW431" s="2"/>
      <c r="GX431" s="2"/>
      <c r="GY431" s="2"/>
      <c r="GZ431" s="2"/>
      <c r="HA431" s="2"/>
      <c r="HB431" s="2"/>
      <c r="HC431" s="2"/>
      <c r="HD431" s="2"/>
      <c r="HE431" s="2"/>
      <c r="HF431" s="2"/>
      <c r="HG431" s="2"/>
      <c r="HH431" s="2"/>
      <c r="HI431" s="2"/>
      <c r="HJ431" s="2"/>
      <c r="HK431" s="2"/>
      <c r="HL431" s="2"/>
      <c r="HM431" s="2"/>
      <c r="HN431" s="2"/>
      <c r="HO431" s="2"/>
      <c r="HP431" s="2"/>
      <c r="HQ431" s="2"/>
      <c r="HR431" s="2"/>
      <c r="HS431" s="2"/>
      <c r="HT431" s="2"/>
      <c r="HU431" s="2"/>
      <c r="HV431" s="2"/>
      <c r="HW431" s="2"/>
      <c r="HX431" s="2"/>
      <c r="HY431" s="2"/>
      <c r="HZ431" s="2"/>
      <c r="IA431" s="2"/>
      <c r="IB431" s="2"/>
      <c r="IC431" s="2"/>
    </row>
    <row r="432" spans="1:237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  <c r="ES432" s="2"/>
      <c r="ET432" s="2"/>
      <c r="EU432" s="2"/>
      <c r="EV432" s="2"/>
      <c r="EW432" s="2"/>
      <c r="EX432" s="2"/>
      <c r="EY432" s="2"/>
      <c r="EZ432" s="2"/>
      <c r="FA432" s="2"/>
      <c r="FB432" s="2"/>
      <c r="FC432" s="2"/>
      <c r="FD432" s="2"/>
      <c r="FE432" s="2"/>
      <c r="FF432" s="2"/>
      <c r="FG432" s="2"/>
      <c r="FH432" s="2"/>
      <c r="FI432" s="2"/>
      <c r="FJ432" s="2"/>
      <c r="FK432" s="2"/>
      <c r="FL432" s="2"/>
      <c r="FM432" s="2"/>
      <c r="FN432" s="2"/>
      <c r="FO432" s="2"/>
      <c r="FP432" s="2"/>
      <c r="FQ432" s="2"/>
      <c r="FR432" s="2"/>
      <c r="FS432" s="2"/>
      <c r="FT432" s="2"/>
      <c r="FU432" s="2"/>
      <c r="FV432" s="2"/>
      <c r="FW432" s="2"/>
      <c r="FX432" s="2"/>
      <c r="FY432" s="2"/>
      <c r="FZ432" s="2"/>
      <c r="GA432" s="2"/>
      <c r="GB432" s="2"/>
      <c r="GC432" s="2"/>
      <c r="GD432" s="2"/>
      <c r="GE432" s="2"/>
      <c r="GF432" s="2"/>
      <c r="GG432" s="2"/>
      <c r="GH432" s="2"/>
      <c r="GI432" s="2"/>
      <c r="GJ432" s="2"/>
      <c r="GK432" s="2"/>
      <c r="GL432" s="2"/>
      <c r="GM432" s="2"/>
      <c r="GN432" s="2"/>
      <c r="GO432" s="2"/>
      <c r="GP432" s="2"/>
      <c r="GQ432" s="2"/>
      <c r="GR432" s="2"/>
      <c r="GS432" s="2"/>
      <c r="GT432" s="2"/>
      <c r="GU432" s="2"/>
      <c r="GV432" s="2"/>
      <c r="GW432" s="2"/>
      <c r="GX432" s="2"/>
      <c r="GY432" s="2"/>
      <c r="GZ432" s="2"/>
      <c r="HA432" s="2"/>
      <c r="HB432" s="2"/>
      <c r="HC432" s="2"/>
      <c r="HD432" s="2"/>
      <c r="HE432" s="2"/>
      <c r="HF432" s="2"/>
      <c r="HG432" s="2"/>
      <c r="HH432" s="2"/>
      <c r="HI432" s="2"/>
      <c r="HJ432" s="2"/>
      <c r="HK432" s="2"/>
      <c r="HL432" s="2"/>
      <c r="HM432" s="2"/>
      <c r="HN432" s="2"/>
      <c r="HO432" s="2"/>
      <c r="HP432" s="2"/>
      <c r="HQ432" s="2"/>
      <c r="HR432" s="2"/>
      <c r="HS432" s="2"/>
      <c r="HT432" s="2"/>
      <c r="HU432" s="2"/>
      <c r="HV432" s="2"/>
      <c r="HW432" s="2"/>
      <c r="HX432" s="2"/>
      <c r="HY432" s="2"/>
      <c r="HZ432" s="2"/>
      <c r="IA432" s="2"/>
      <c r="IB432" s="2"/>
      <c r="IC432" s="2"/>
    </row>
    <row r="433" spans="1:237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  <c r="ES433" s="2"/>
      <c r="ET433" s="2"/>
      <c r="EU433" s="2"/>
      <c r="EV433" s="2"/>
      <c r="EW433" s="2"/>
      <c r="EX433" s="2"/>
      <c r="EY433" s="2"/>
      <c r="EZ433" s="2"/>
      <c r="FA433" s="2"/>
      <c r="FB433" s="2"/>
      <c r="FC433" s="2"/>
      <c r="FD433" s="2"/>
      <c r="FE433" s="2"/>
      <c r="FF433" s="2"/>
      <c r="FG433" s="2"/>
      <c r="FH433" s="2"/>
      <c r="FI433" s="2"/>
      <c r="FJ433" s="2"/>
      <c r="FK433" s="2"/>
      <c r="FL433" s="2"/>
      <c r="FM433" s="2"/>
      <c r="FN433" s="2"/>
      <c r="FO433" s="2"/>
      <c r="FP433" s="2"/>
      <c r="FQ433" s="2"/>
      <c r="FR433" s="2"/>
      <c r="FS433" s="2"/>
      <c r="FT433" s="2"/>
      <c r="FU433" s="2"/>
      <c r="FV433" s="2"/>
      <c r="FW433" s="2"/>
      <c r="FX433" s="2"/>
      <c r="FY433" s="2"/>
      <c r="FZ433" s="2"/>
      <c r="GA433" s="2"/>
      <c r="GB433" s="2"/>
      <c r="GC433" s="2"/>
      <c r="GD433" s="2"/>
      <c r="GE433" s="2"/>
      <c r="GF433" s="2"/>
      <c r="GG433" s="2"/>
      <c r="GH433" s="2"/>
      <c r="GI433" s="2"/>
      <c r="GJ433" s="2"/>
      <c r="GK433" s="2"/>
      <c r="GL433" s="2"/>
      <c r="GM433" s="2"/>
      <c r="GN433" s="2"/>
      <c r="GO433" s="2"/>
      <c r="GP433" s="2"/>
      <c r="GQ433" s="2"/>
      <c r="GR433" s="2"/>
      <c r="GS433" s="2"/>
      <c r="GT433" s="2"/>
      <c r="GU433" s="2"/>
      <c r="GV433" s="2"/>
      <c r="GW433" s="2"/>
      <c r="GX433" s="2"/>
      <c r="GY433" s="2"/>
      <c r="GZ433" s="2"/>
      <c r="HA433" s="2"/>
      <c r="HB433" s="2"/>
      <c r="HC433" s="2"/>
      <c r="HD433" s="2"/>
      <c r="HE433" s="2"/>
      <c r="HF433" s="2"/>
      <c r="HG433" s="2"/>
      <c r="HH433" s="2"/>
      <c r="HI433" s="2"/>
      <c r="HJ433" s="2"/>
      <c r="HK433" s="2"/>
      <c r="HL433" s="2"/>
      <c r="HM433" s="2"/>
      <c r="HN433" s="2"/>
      <c r="HO433" s="2"/>
      <c r="HP433" s="2"/>
      <c r="HQ433" s="2"/>
      <c r="HR433" s="2"/>
      <c r="HS433" s="2"/>
      <c r="HT433" s="2"/>
      <c r="HU433" s="2"/>
      <c r="HV433" s="2"/>
      <c r="HW433" s="2"/>
      <c r="HX433" s="2"/>
      <c r="HY433" s="2"/>
      <c r="HZ433" s="2"/>
      <c r="IA433" s="2"/>
      <c r="IB433" s="2"/>
      <c r="IC433" s="2"/>
    </row>
    <row r="434" spans="1:237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  <c r="ES434" s="2"/>
      <c r="ET434" s="2"/>
      <c r="EU434" s="2"/>
      <c r="EV434" s="2"/>
      <c r="EW434" s="2"/>
      <c r="EX434" s="2"/>
      <c r="EY434" s="2"/>
      <c r="EZ434" s="2"/>
      <c r="FA434" s="2"/>
      <c r="FB434" s="2"/>
      <c r="FC434" s="2"/>
      <c r="FD434" s="2"/>
      <c r="FE434" s="2"/>
      <c r="FF434" s="2"/>
      <c r="FG434" s="2"/>
      <c r="FH434" s="2"/>
      <c r="FI434" s="2"/>
      <c r="FJ434" s="2"/>
      <c r="FK434" s="2"/>
      <c r="FL434" s="2"/>
      <c r="FM434" s="2"/>
      <c r="FN434" s="2"/>
      <c r="FO434" s="2"/>
      <c r="FP434" s="2"/>
      <c r="FQ434" s="2"/>
      <c r="FR434" s="2"/>
      <c r="FS434" s="2"/>
      <c r="FT434" s="2"/>
      <c r="FU434" s="2"/>
      <c r="FV434" s="2"/>
      <c r="FW434" s="2"/>
      <c r="FX434" s="2"/>
      <c r="FY434" s="2"/>
      <c r="FZ434" s="2"/>
      <c r="GA434" s="2"/>
      <c r="GB434" s="2"/>
      <c r="GC434" s="2"/>
      <c r="GD434" s="2"/>
      <c r="GE434" s="2"/>
      <c r="GF434" s="2"/>
      <c r="GG434" s="2"/>
      <c r="GH434" s="2"/>
      <c r="GI434" s="2"/>
      <c r="GJ434" s="2"/>
      <c r="GK434" s="2"/>
      <c r="GL434" s="2"/>
      <c r="GM434" s="2"/>
      <c r="GN434" s="2"/>
      <c r="GO434" s="2"/>
      <c r="GP434" s="2"/>
      <c r="GQ434" s="2"/>
      <c r="GR434" s="2"/>
      <c r="GS434" s="2"/>
      <c r="GT434" s="2"/>
      <c r="GU434" s="2"/>
      <c r="GV434" s="2"/>
      <c r="GW434" s="2"/>
      <c r="GX434" s="2"/>
      <c r="GY434" s="2"/>
      <c r="GZ434" s="2"/>
      <c r="HA434" s="2"/>
      <c r="HB434" s="2"/>
      <c r="HC434" s="2"/>
      <c r="HD434" s="2"/>
      <c r="HE434" s="2"/>
      <c r="HF434" s="2"/>
      <c r="HG434" s="2"/>
      <c r="HH434" s="2"/>
      <c r="HI434" s="2"/>
      <c r="HJ434" s="2"/>
      <c r="HK434" s="2"/>
      <c r="HL434" s="2"/>
      <c r="HM434" s="2"/>
      <c r="HN434" s="2"/>
      <c r="HO434" s="2"/>
      <c r="HP434" s="2"/>
      <c r="HQ434" s="2"/>
      <c r="HR434" s="2"/>
      <c r="HS434" s="2"/>
      <c r="HT434" s="2"/>
      <c r="HU434" s="2"/>
      <c r="HV434" s="2"/>
      <c r="HW434" s="2"/>
      <c r="HX434" s="2"/>
      <c r="HY434" s="2"/>
      <c r="HZ434" s="2"/>
      <c r="IA434" s="2"/>
      <c r="IB434" s="2"/>
      <c r="IC434" s="2"/>
    </row>
    <row r="435" spans="1:237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  <c r="ES435" s="2"/>
      <c r="ET435" s="2"/>
      <c r="EU435" s="2"/>
      <c r="EV435" s="2"/>
      <c r="EW435" s="2"/>
      <c r="EX435" s="2"/>
      <c r="EY435" s="2"/>
      <c r="EZ435" s="2"/>
      <c r="FA435" s="2"/>
      <c r="FB435" s="2"/>
      <c r="FC435" s="2"/>
      <c r="FD435" s="2"/>
      <c r="FE435" s="2"/>
      <c r="FF435" s="2"/>
      <c r="FG435" s="2"/>
      <c r="FH435" s="2"/>
      <c r="FI435" s="2"/>
      <c r="FJ435" s="2"/>
      <c r="FK435" s="2"/>
      <c r="FL435" s="2"/>
      <c r="FM435" s="2"/>
      <c r="FN435" s="2"/>
      <c r="FO435" s="2"/>
      <c r="FP435" s="2"/>
      <c r="FQ435" s="2"/>
      <c r="FR435" s="2"/>
      <c r="FS435" s="2"/>
      <c r="FT435" s="2"/>
      <c r="FU435" s="2"/>
      <c r="FV435" s="2"/>
      <c r="FW435" s="2"/>
      <c r="FX435" s="2"/>
      <c r="FY435" s="2"/>
      <c r="FZ435" s="2"/>
      <c r="GA435" s="2"/>
      <c r="GB435" s="2"/>
      <c r="GC435" s="2"/>
      <c r="GD435" s="2"/>
      <c r="GE435" s="2"/>
      <c r="GF435" s="2"/>
      <c r="GG435" s="2"/>
      <c r="GH435" s="2"/>
      <c r="GI435" s="2"/>
      <c r="GJ435" s="2"/>
      <c r="GK435" s="2"/>
      <c r="GL435" s="2"/>
      <c r="GM435" s="2"/>
      <c r="GN435" s="2"/>
      <c r="GO435" s="2"/>
      <c r="GP435" s="2"/>
      <c r="GQ435" s="2"/>
      <c r="GR435" s="2"/>
      <c r="GS435" s="2"/>
      <c r="GT435" s="2"/>
      <c r="GU435" s="2"/>
      <c r="GV435" s="2"/>
      <c r="GW435" s="2"/>
      <c r="GX435" s="2"/>
      <c r="GY435" s="2"/>
      <c r="GZ435" s="2"/>
      <c r="HA435" s="2"/>
      <c r="HB435" s="2"/>
      <c r="HC435" s="2"/>
      <c r="HD435" s="2"/>
      <c r="HE435" s="2"/>
      <c r="HF435" s="2"/>
      <c r="HG435" s="2"/>
      <c r="HH435" s="2"/>
      <c r="HI435" s="2"/>
      <c r="HJ435" s="2"/>
      <c r="HK435" s="2"/>
      <c r="HL435" s="2"/>
      <c r="HM435" s="2"/>
      <c r="HN435" s="2"/>
      <c r="HO435" s="2"/>
      <c r="HP435" s="2"/>
      <c r="HQ435" s="2"/>
      <c r="HR435" s="2"/>
      <c r="HS435" s="2"/>
      <c r="HT435" s="2"/>
      <c r="HU435" s="2"/>
      <c r="HV435" s="2"/>
      <c r="HW435" s="2"/>
      <c r="HX435" s="2"/>
      <c r="HY435" s="2"/>
      <c r="HZ435" s="2"/>
      <c r="IA435" s="2"/>
      <c r="IB435" s="2"/>
      <c r="IC435" s="2"/>
    </row>
    <row r="436" spans="1:237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  <c r="ES436" s="2"/>
      <c r="ET436" s="2"/>
      <c r="EU436" s="2"/>
      <c r="EV436" s="2"/>
      <c r="EW436" s="2"/>
      <c r="EX436" s="2"/>
      <c r="EY436" s="2"/>
      <c r="EZ436" s="2"/>
      <c r="FA436" s="2"/>
      <c r="FB436" s="2"/>
      <c r="FC436" s="2"/>
      <c r="FD436" s="2"/>
      <c r="FE436" s="2"/>
      <c r="FF436" s="2"/>
      <c r="FG436" s="2"/>
      <c r="FH436" s="2"/>
      <c r="FI436" s="2"/>
      <c r="FJ436" s="2"/>
      <c r="FK436" s="2"/>
      <c r="FL436" s="2"/>
      <c r="FM436" s="2"/>
      <c r="FN436" s="2"/>
      <c r="FO436" s="2"/>
      <c r="FP436" s="2"/>
      <c r="FQ436" s="2"/>
      <c r="FR436" s="2"/>
      <c r="FS436" s="2"/>
      <c r="FT436" s="2"/>
      <c r="FU436" s="2"/>
      <c r="FV436" s="2"/>
      <c r="FW436" s="2"/>
      <c r="FX436" s="2"/>
      <c r="FY436" s="2"/>
      <c r="FZ436" s="2"/>
      <c r="GA436" s="2"/>
      <c r="GB436" s="2"/>
      <c r="GC436" s="2"/>
      <c r="GD436" s="2"/>
      <c r="GE436" s="2"/>
      <c r="GF436" s="2"/>
      <c r="GG436" s="2"/>
      <c r="GH436" s="2"/>
      <c r="GI436" s="2"/>
      <c r="GJ436" s="2"/>
      <c r="GK436" s="2"/>
      <c r="GL436" s="2"/>
      <c r="GM436" s="2"/>
      <c r="GN436" s="2"/>
      <c r="GO436" s="2"/>
      <c r="GP436" s="2"/>
      <c r="GQ436" s="2"/>
      <c r="GR436" s="2"/>
      <c r="GS436" s="2"/>
      <c r="GT436" s="2"/>
      <c r="GU436" s="2"/>
      <c r="GV436" s="2"/>
      <c r="GW436" s="2"/>
      <c r="GX436" s="2"/>
      <c r="GY436" s="2"/>
      <c r="GZ436" s="2"/>
      <c r="HA436" s="2"/>
      <c r="HB436" s="2"/>
      <c r="HC436" s="2"/>
      <c r="HD436" s="2"/>
      <c r="HE436" s="2"/>
      <c r="HF436" s="2"/>
      <c r="HG436" s="2"/>
      <c r="HH436" s="2"/>
      <c r="HI436" s="2"/>
      <c r="HJ436" s="2"/>
      <c r="HK436" s="2"/>
      <c r="HL436" s="2"/>
      <c r="HM436" s="2"/>
      <c r="HN436" s="2"/>
      <c r="HO436" s="2"/>
      <c r="HP436" s="2"/>
      <c r="HQ436" s="2"/>
      <c r="HR436" s="2"/>
      <c r="HS436" s="2"/>
      <c r="HT436" s="2"/>
      <c r="HU436" s="2"/>
      <c r="HV436" s="2"/>
      <c r="HW436" s="2"/>
      <c r="HX436" s="2"/>
      <c r="HY436" s="2"/>
      <c r="HZ436" s="2"/>
      <c r="IA436" s="2"/>
      <c r="IB436" s="2"/>
      <c r="IC436" s="2"/>
    </row>
    <row r="437" spans="1:237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  <c r="ES437" s="2"/>
      <c r="ET437" s="2"/>
      <c r="EU437" s="2"/>
      <c r="EV437" s="2"/>
      <c r="EW437" s="2"/>
      <c r="EX437" s="2"/>
      <c r="EY437" s="2"/>
      <c r="EZ437" s="2"/>
      <c r="FA437" s="2"/>
      <c r="FB437" s="2"/>
      <c r="FC437" s="2"/>
      <c r="FD437" s="2"/>
      <c r="FE437" s="2"/>
      <c r="FF437" s="2"/>
      <c r="FG437" s="2"/>
      <c r="FH437" s="2"/>
      <c r="FI437" s="2"/>
      <c r="FJ437" s="2"/>
      <c r="FK437" s="2"/>
      <c r="FL437" s="2"/>
      <c r="FM437" s="2"/>
      <c r="FN437" s="2"/>
      <c r="FO437" s="2"/>
      <c r="FP437" s="2"/>
      <c r="FQ437" s="2"/>
      <c r="FR437" s="2"/>
      <c r="FS437" s="2"/>
      <c r="FT437" s="2"/>
      <c r="FU437" s="2"/>
      <c r="FV437" s="2"/>
      <c r="FW437" s="2"/>
      <c r="FX437" s="2"/>
      <c r="FY437" s="2"/>
      <c r="FZ437" s="2"/>
      <c r="GA437" s="2"/>
      <c r="GB437" s="2"/>
      <c r="GC437" s="2"/>
      <c r="GD437" s="2"/>
      <c r="GE437" s="2"/>
      <c r="GF437" s="2"/>
      <c r="GG437" s="2"/>
      <c r="GH437" s="2"/>
      <c r="GI437" s="2"/>
      <c r="GJ437" s="2"/>
      <c r="GK437" s="2"/>
      <c r="GL437" s="2"/>
      <c r="GM437" s="2"/>
      <c r="GN437" s="2"/>
      <c r="GO437" s="2"/>
      <c r="GP437" s="2"/>
      <c r="GQ437" s="2"/>
      <c r="GR437" s="2"/>
      <c r="GS437" s="2"/>
      <c r="GT437" s="2"/>
      <c r="GU437" s="2"/>
      <c r="GV437" s="2"/>
      <c r="GW437" s="2"/>
      <c r="GX437" s="2"/>
      <c r="GY437" s="2"/>
      <c r="GZ437" s="2"/>
      <c r="HA437" s="2"/>
      <c r="HB437" s="2"/>
      <c r="HC437" s="2"/>
      <c r="HD437" s="2"/>
      <c r="HE437" s="2"/>
      <c r="HF437" s="2"/>
      <c r="HG437" s="2"/>
      <c r="HH437" s="2"/>
      <c r="HI437" s="2"/>
      <c r="HJ437" s="2"/>
      <c r="HK437" s="2"/>
      <c r="HL437" s="2"/>
      <c r="HM437" s="2"/>
      <c r="HN437" s="2"/>
      <c r="HO437" s="2"/>
      <c r="HP437" s="2"/>
      <c r="HQ437" s="2"/>
      <c r="HR437" s="2"/>
      <c r="HS437" s="2"/>
      <c r="HT437" s="2"/>
      <c r="HU437" s="2"/>
      <c r="HV437" s="2"/>
      <c r="HW437" s="2"/>
      <c r="HX437" s="2"/>
      <c r="HY437" s="2"/>
      <c r="HZ437" s="2"/>
      <c r="IA437" s="2"/>
      <c r="IB437" s="2"/>
      <c r="IC437" s="2"/>
    </row>
    <row r="438" spans="1:237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  <c r="ES438" s="2"/>
      <c r="ET438" s="2"/>
      <c r="EU438" s="2"/>
      <c r="EV438" s="2"/>
      <c r="EW438" s="2"/>
      <c r="EX438" s="2"/>
      <c r="EY438" s="2"/>
      <c r="EZ438" s="2"/>
      <c r="FA438" s="2"/>
      <c r="FB438" s="2"/>
      <c r="FC438" s="2"/>
      <c r="FD438" s="2"/>
      <c r="FE438" s="2"/>
      <c r="FF438" s="2"/>
      <c r="FG438" s="2"/>
      <c r="FH438" s="2"/>
      <c r="FI438" s="2"/>
      <c r="FJ438" s="2"/>
      <c r="FK438" s="2"/>
      <c r="FL438" s="2"/>
      <c r="FM438" s="2"/>
      <c r="FN438" s="2"/>
      <c r="FO438" s="2"/>
      <c r="FP438" s="2"/>
      <c r="FQ438" s="2"/>
      <c r="FR438" s="2"/>
      <c r="FS438" s="2"/>
      <c r="FT438" s="2"/>
      <c r="FU438" s="2"/>
      <c r="FV438" s="2"/>
      <c r="FW438" s="2"/>
      <c r="FX438" s="2"/>
      <c r="FY438" s="2"/>
      <c r="FZ438" s="2"/>
      <c r="GA438" s="2"/>
      <c r="GB438" s="2"/>
      <c r="GC438" s="2"/>
      <c r="GD438" s="2"/>
      <c r="GE438" s="2"/>
      <c r="GF438" s="2"/>
      <c r="GG438" s="2"/>
      <c r="GH438" s="2"/>
      <c r="GI438" s="2"/>
      <c r="GJ438" s="2"/>
      <c r="GK438" s="2"/>
      <c r="GL438" s="2"/>
      <c r="GM438" s="2"/>
      <c r="GN438" s="2"/>
      <c r="GO438" s="2"/>
      <c r="GP438" s="2"/>
      <c r="GQ438" s="2"/>
      <c r="GR438" s="2"/>
      <c r="GS438" s="2"/>
      <c r="GT438" s="2"/>
      <c r="GU438" s="2"/>
      <c r="GV438" s="2"/>
      <c r="GW438" s="2"/>
      <c r="GX438" s="2"/>
      <c r="GY438" s="2"/>
      <c r="GZ438" s="2"/>
      <c r="HA438" s="2"/>
      <c r="HB438" s="2"/>
      <c r="HC438" s="2"/>
      <c r="HD438" s="2"/>
      <c r="HE438" s="2"/>
      <c r="HF438" s="2"/>
      <c r="HG438" s="2"/>
      <c r="HH438" s="2"/>
      <c r="HI438" s="2"/>
      <c r="HJ438" s="2"/>
      <c r="HK438" s="2"/>
      <c r="HL438" s="2"/>
      <c r="HM438" s="2"/>
      <c r="HN438" s="2"/>
      <c r="HO438" s="2"/>
      <c r="HP438" s="2"/>
      <c r="HQ438" s="2"/>
      <c r="HR438" s="2"/>
      <c r="HS438" s="2"/>
      <c r="HT438" s="2"/>
      <c r="HU438" s="2"/>
      <c r="HV438" s="2"/>
      <c r="HW438" s="2"/>
      <c r="HX438" s="2"/>
      <c r="HY438" s="2"/>
      <c r="HZ438" s="2"/>
      <c r="IA438" s="2"/>
      <c r="IB438" s="2"/>
      <c r="IC438" s="2"/>
    </row>
    <row r="439" spans="1:237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  <c r="ES439" s="2"/>
      <c r="ET439" s="2"/>
      <c r="EU439" s="2"/>
      <c r="EV439" s="2"/>
      <c r="EW439" s="2"/>
      <c r="EX439" s="2"/>
      <c r="EY439" s="2"/>
      <c r="EZ439" s="2"/>
      <c r="FA439" s="2"/>
      <c r="FB439" s="2"/>
      <c r="FC439" s="2"/>
      <c r="FD439" s="2"/>
      <c r="FE439" s="2"/>
      <c r="FF439" s="2"/>
      <c r="FG439" s="2"/>
      <c r="FH439" s="2"/>
      <c r="FI439" s="2"/>
      <c r="FJ439" s="2"/>
      <c r="FK439" s="2"/>
      <c r="FL439" s="2"/>
      <c r="FM439" s="2"/>
      <c r="FN439" s="2"/>
      <c r="FO439" s="2"/>
      <c r="FP439" s="2"/>
      <c r="FQ439" s="2"/>
      <c r="FR439" s="2"/>
      <c r="FS439" s="2"/>
      <c r="FT439" s="2"/>
      <c r="FU439" s="2"/>
      <c r="FV439" s="2"/>
      <c r="FW439" s="2"/>
      <c r="FX439" s="2"/>
      <c r="FY439" s="2"/>
      <c r="FZ439" s="2"/>
      <c r="GA439" s="2"/>
      <c r="GB439" s="2"/>
      <c r="GC439" s="2"/>
      <c r="GD439" s="2"/>
      <c r="GE439" s="2"/>
      <c r="GF439" s="2"/>
      <c r="GG439" s="2"/>
      <c r="GH439" s="2"/>
      <c r="GI439" s="2"/>
      <c r="GJ439" s="2"/>
      <c r="GK439" s="2"/>
      <c r="GL439" s="2"/>
      <c r="GM439" s="2"/>
      <c r="GN439" s="2"/>
      <c r="GO439" s="2"/>
      <c r="GP439" s="2"/>
      <c r="GQ439" s="2"/>
      <c r="GR439" s="2"/>
      <c r="GS439" s="2"/>
      <c r="GT439" s="2"/>
      <c r="GU439" s="2"/>
      <c r="GV439" s="2"/>
      <c r="GW439" s="2"/>
      <c r="GX439" s="2"/>
      <c r="GY439" s="2"/>
      <c r="GZ439" s="2"/>
      <c r="HA439" s="2"/>
      <c r="HB439" s="2"/>
      <c r="HC439" s="2"/>
      <c r="HD439" s="2"/>
      <c r="HE439" s="2"/>
      <c r="HF439" s="2"/>
      <c r="HG439" s="2"/>
      <c r="HH439" s="2"/>
      <c r="HI439" s="2"/>
      <c r="HJ439" s="2"/>
      <c r="HK439" s="2"/>
      <c r="HL439" s="2"/>
      <c r="HM439" s="2"/>
      <c r="HN439" s="2"/>
      <c r="HO439" s="2"/>
      <c r="HP439" s="2"/>
      <c r="HQ439" s="2"/>
      <c r="HR439" s="2"/>
      <c r="HS439" s="2"/>
      <c r="HT439" s="2"/>
      <c r="HU439" s="2"/>
      <c r="HV439" s="2"/>
      <c r="HW439" s="2"/>
      <c r="HX439" s="2"/>
      <c r="HY439" s="2"/>
      <c r="HZ439" s="2"/>
      <c r="IA439" s="2"/>
      <c r="IB439" s="2"/>
      <c r="IC439" s="2"/>
    </row>
    <row r="440" spans="1:237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  <c r="ES440" s="2"/>
      <c r="ET440" s="2"/>
      <c r="EU440" s="2"/>
      <c r="EV440" s="2"/>
      <c r="EW440" s="2"/>
      <c r="EX440" s="2"/>
      <c r="EY440" s="2"/>
      <c r="EZ440" s="2"/>
      <c r="FA440" s="2"/>
      <c r="FB440" s="2"/>
      <c r="FC440" s="2"/>
      <c r="FD440" s="2"/>
      <c r="FE440" s="2"/>
      <c r="FF440" s="2"/>
      <c r="FG440" s="2"/>
      <c r="FH440" s="2"/>
      <c r="FI440" s="2"/>
      <c r="FJ440" s="2"/>
      <c r="FK440" s="2"/>
      <c r="FL440" s="2"/>
      <c r="FM440" s="2"/>
      <c r="FN440" s="2"/>
      <c r="FO440" s="2"/>
      <c r="FP440" s="2"/>
      <c r="FQ440" s="2"/>
      <c r="FR440" s="2"/>
      <c r="FS440" s="2"/>
      <c r="FT440" s="2"/>
      <c r="FU440" s="2"/>
      <c r="FV440" s="2"/>
      <c r="FW440" s="2"/>
      <c r="FX440" s="2"/>
      <c r="FY440" s="2"/>
      <c r="FZ440" s="2"/>
      <c r="GA440" s="2"/>
      <c r="GB440" s="2"/>
      <c r="GC440" s="2"/>
      <c r="GD440" s="2"/>
      <c r="GE440" s="2"/>
      <c r="GF440" s="2"/>
      <c r="GG440" s="2"/>
      <c r="GH440" s="2"/>
      <c r="GI440" s="2"/>
      <c r="GJ440" s="2"/>
      <c r="GK440" s="2"/>
      <c r="GL440" s="2"/>
      <c r="GM440" s="2"/>
      <c r="GN440" s="2"/>
      <c r="GO440" s="2"/>
      <c r="GP440" s="2"/>
      <c r="GQ440" s="2"/>
      <c r="GR440" s="2"/>
      <c r="GS440" s="2"/>
      <c r="GT440" s="2"/>
      <c r="GU440" s="2"/>
      <c r="GV440" s="2"/>
      <c r="GW440" s="2"/>
      <c r="GX440" s="2"/>
      <c r="GY440" s="2"/>
      <c r="GZ440" s="2"/>
      <c r="HA440" s="2"/>
      <c r="HB440" s="2"/>
      <c r="HC440" s="2"/>
      <c r="HD440" s="2"/>
      <c r="HE440" s="2"/>
      <c r="HF440" s="2"/>
      <c r="HG440" s="2"/>
      <c r="HH440" s="2"/>
      <c r="HI440" s="2"/>
      <c r="HJ440" s="2"/>
      <c r="HK440" s="2"/>
      <c r="HL440" s="2"/>
      <c r="HM440" s="2"/>
      <c r="HN440" s="2"/>
      <c r="HO440" s="2"/>
      <c r="HP440" s="2"/>
      <c r="HQ440" s="2"/>
      <c r="HR440" s="2"/>
      <c r="HS440" s="2"/>
      <c r="HT440" s="2"/>
      <c r="HU440" s="2"/>
      <c r="HV440" s="2"/>
      <c r="HW440" s="2"/>
      <c r="HX440" s="2"/>
      <c r="HY440" s="2"/>
      <c r="HZ440" s="2"/>
      <c r="IA440" s="2"/>
      <c r="IB440" s="2"/>
      <c r="IC440" s="2"/>
    </row>
    <row r="441" spans="1:237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  <c r="ES441" s="2"/>
      <c r="ET441" s="2"/>
      <c r="EU441" s="2"/>
      <c r="EV441" s="2"/>
      <c r="EW441" s="2"/>
      <c r="EX441" s="2"/>
      <c r="EY441" s="2"/>
      <c r="EZ441" s="2"/>
      <c r="FA441" s="2"/>
      <c r="FB441" s="2"/>
      <c r="FC441" s="2"/>
      <c r="FD441" s="2"/>
      <c r="FE441" s="2"/>
      <c r="FF441" s="2"/>
      <c r="FG441" s="2"/>
      <c r="FH441" s="2"/>
      <c r="FI441" s="2"/>
      <c r="FJ441" s="2"/>
      <c r="FK441" s="2"/>
      <c r="FL441" s="2"/>
      <c r="FM441" s="2"/>
      <c r="FN441" s="2"/>
      <c r="FO441" s="2"/>
      <c r="FP441" s="2"/>
      <c r="FQ441" s="2"/>
      <c r="FR441" s="2"/>
      <c r="FS441" s="2"/>
      <c r="FT441" s="2"/>
      <c r="FU441" s="2"/>
      <c r="FV441" s="2"/>
      <c r="FW441" s="2"/>
      <c r="FX441" s="2"/>
      <c r="FY441" s="2"/>
      <c r="FZ441" s="2"/>
      <c r="GA441" s="2"/>
      <c r="GB441" s="2"/>
      <c r="GC441" s="2"/>
      <c r="GD441" s="2"/>
      <c r="GE441" s="2"/>
      <c r="GF441" s="2"/>
      <c r="GG441" s="2"/>
      <c r="GH441" s="2"/>
      <c r="GI441" s="2"/>
      <c r="GJ441" s="2"/>
      <c r="GK441" s="2"/>
      <c r="GL441" s="2"/>
      <c r="GM441" s="2"/>
      <c r="GN441" s="2"/>
      <c r="GO441" s="2"/>
      <c r="GP441" s="2"/>
      <c r="GQ441" s="2"/>
      <c r="GR441" s="2"/>
      <c r="GS441" s="2"/>
      <c r="GT441" s="2"/>
      <c r="GU441" s="2"/>
      <c r="GV441" s="2"/>
      <c r="GW441" s="2"/>
      <c r="GX441" s="2"/>
      <c r="GY441" s="2"/>
      <c r="GZ441" s="2"/>
      <c r="HA441" s="2"/>
      <c r="HB441" s="2"/>
      <c r="HC441" s="2"/>
      <c r="HD441" s="2"/>
      <c r="HE441" s="2"/>
      <c r="HF441" s="2"/>
      <c r="HG441" s="2"/>
      <c r="HH441" s="2"/>
      <c r="HI441" s="2"/>
      <c r="HJ441" s="2"/>
      <c r="HK441" s="2"/>
      <c r="HL441" s="2"/>
      <c r="HM441" s="2"/>
      <c r="HN441" s="2"/>
      <c r="HO441" s="2"/>
      <c r="HP441" s="2"/>
      <c r="HQ441" s="2"/>
      <c r="HR441" s="2"/>
      <c r="HS441" s="2"/>
      <c r="HT441" s="2"/>
      <c r="HU441" s="2"/>
      <c r="HV441" s="2"/>
      <c r="HW441" s="2"/>
      <c r="HX441" s="2"/>
      <c r="HY441" s="2"/>
      <c r="HZ441" s="2"/>
      <c r="IA441" s="2"/>
      <c r="IB441" s="2"/>
      <c r="IC441" s="2"/>
    </row>
    <row r="442" spans="1:237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  <c r="ES442" s="2"/>
      <c r="ET442" s="2"/>
      <c r="EU442" s="2"/>
      <c r="EV442" s="2"/>
      <c r="EW442" s="2"/>
      <c r="EX442" s="2"/>
      <c r="EY442" s="2"/>
      <c r="EZ442" s="2"/>
      <c r="FA442" s="2"/>
      <c r="FB442" s="2"/>
      <c r="FC442" s="2"/>
      <c r="FD442" s="2"/>
      <c r="FE442" s="2"/>
      <c r="FF442" s="2"/>
      <c r="FG442" s="2"/>
      <c r="FH442" s="2"/>
      <c r="FI442" s="2"/>
      <c r="FJ442" s="2"/>
      <c r="FK442" s="2"/>
      <c r="FL442" s="2"/>
      <c r="FM442" s="2"/>
      <c r="FN442" s="2"/>
      <c r="FO442" s="2"/>
      <c r="FP442" s="2"/>
      <c r="FQ442" s="2"/>
      <c r="FR442" s="2"/>
      <c r="FS442" s="2"/>
      <c r="FT442" s="2"/>
      <c r="FU442" s="2"/>
      <c r="FV442" s="2"/>
      <c r="FW442" s="2"/>
      <c r="FX442" s="2"/>
      <c r="FY442" s="2"/>
      <c r="FZ442" s="2"/>
      <c r="GA442" s="2"/>
      <c r="GB442" s="2"/>
      <c r="GC442" s="2"/>
      <c r="GD442" s="2"/>
      <c r="GE442" s="2"/>
      <c r="GF442" s="2"/>
      <c r="GG442" s="2"/>
      <c r="GH442" s="2"/>
      <c r="GI442" s="2"/>
      <c r="GJ442" s="2"/>
      <c r="GK442" s="2"/>
      <c r="GL442" s="2"/>
      <c r="GM442" s="2"/>
      <c r="GN442" s="2"/>
      <c r="GO442" s="2"/>
      <c r="GP442" s="2"/>
      <c r="GQ442" s="2"/>
      <c r="GR442" s="2"/>
      <c r="GS442" s="2"/>
      <c r="GT442" s="2"/>
      <c r="GU442" s="2"/>
      <c r="GV442" s="2"/>
      <c r="GW442" s="2"/>
      <c r="GX442" s="2"/>
      <c r="GY442" s="2"/>
      <c r="GZ442" s="2"/>
      <c r="HA442" s="2"/>
      <c r="HB442" s="2"/>
      <c r="HC442" s="2"/>
      <c r="HD442" s="2"/>
      <c r="HE442" s="2"/>
      <c r="HF442" s="2"/>
      <c r="HG442" s="2"/>
      <c r="HH442" s="2"/>
      <c r="HI442" s="2"/>
      <c r="HJ442" s="2"/>
      <c r="HK442" s="2"/>
      <c r="HL442" s="2"/>
      <c r="HM442" s="2"/>
      <c r="HN442" s="2"/>
      <c r="HO442" s="2"/>
      <c r="HP442" s="2"/>
      <c r="HQ442" s="2"/>
      <c r="HR442" s="2"/>
      <c r="HS442" s="2"/>
      <c r="HT442" s="2"/>
      <c r="HU442" s="2"/>
      <c r="HV442" s="2"/>
      <c r="HW442" s="2"/>
      <c r="HX442" s="2"/>
      <c r="HY442" s="2"/>
      <c r="HZ442" s="2"/>
      <c r="IA442" s="2"/>
      <c r="IB442" s="2"/>
      <c r="IC442" s="2"/>
    </row>
    <row r="443" spans="1:237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  <c r="FN443" s="2"/>
      <c r="FO443" s="2"/>
      <c r="FP443" s="2"/>
      <c r="FQ443" s="2"/>
      <c r="FR443" s="2"/>
      <c r="FS443" s="2"/>
      <c r="FT443" s="2"/>
      <c r="FU443" s="2"/>
      <c r="FV443" s="2"/>
      <c r="FW443" s="2"/>
      <c r="FX443" s="2"/>
      <c r="FY443" s="2"/>
      <c r="FZ443" s="2"/>
      <c r="GA443" s="2"/>
      <c r="GB443" s="2"/>
      <c r="GC443" s="2"/>
      <c r="GD443" s="2"/>
      <c r="GE443" s="2"/>
      <c r="GF443" s="2"/>
      <c r="GG443" s="2"/>
      <c r="GH443" s="2"/>
      <c r="GI443" s="2"/>
      <c r="GJ443" s="2"/>
      <c r="GK443" s="2"/>
      <c r="GL443" s="2"/>
      <c r="GM443" s="2"/>
      <c r="GN443" s="2"/>
      <c r="GO443" s="2"/>
      <c r="GP443" s="2"/>
      <c r="GQ443" s="2"/>
      <c r="GR443" s="2"/>
      <c r="GS443" s="2"/>
      <c r="GT443" s="2"/>
      <c r="GU443" s="2"/>
      <c r="GV443" s="2"/>
      <c r="GW443" s="2"/>
      <c r="GX443" s="2"/>
      <c r="GY443" s="2"/>
      <c r="GZ443" s="2"/>
      <c r="HA443" s="2"/>
      <c r="HB443" s="2"/>
      <c r="HC443" s="2"/>
      <c r="HD443" s="2"/>
      <c r="HE443" s="2"/>
      <c r="HF443" s="2"/>
      <c r="HG443" s="2"/>
      <c r="HH443" s="2"/>
      <c r="HI443" s="2"/>
      <c r="HJ443" s="2"/>
      <c r="HK443" s="2"/>
      <c r="HL443" s="2"/>
      <c r="HM443" s="2"/>
      <c r="HN443" s="2"/>
      <c r="HO443" s="2"/>
      <c r="HP443" s="2"/>
      <c r="HQ443" s="2"/>
      <c r="HR443" s="2"/>
      <c r="HS443" s="2"/>
      <c r="HT443" s="2"/>
      <c r="HU443" s="2"/>
      <c r="HV443" s="2"/>
      <c r="HW443" s="2"/>
      <c r="HX443" s="2"/>
      <c r="HY443" s="2"/>
      <c r="HZ443" s="2"/>
      <c r="IA443" s="2"/>
      <c r="IB443" s="2"/>
      <c r="IC443" s="2"/>
    </row>
    <row r="444" spans="1:237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2"/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2"/>
      <c r="EE444" s="2"/>
      <c r="EF444" s="2"/>
      <c r="EG444" s="2"/>
      <c r="EH444" s="2"/>
      <c r="EI444" s="2"/>
      <c r="EJ444" s="2"/>
      <c r="EK444" s="2"/>
      <c r="EL444" s="2"/>
      <c r="EM444" s="2"/>
      <c r="EN444" s="2"/>
      <c r="EO444" s="2"/>
      <c r="EP444" s="2"/>
      <c r="EQ444" s="2"/>
      <c r="ER444" s="2"/>
      <c r="ES444" s="2"/>
      <c r="ET444" s="2"/>
      <c r="EU444" s="2"/>
      <c r="EV444" s="2"/>
      <c r="EW444" s="2"/>
      <c r="EX444" s="2"/>
      <c r="EY444" s="2"/>
      <c r="EZ444" s="2"/>
      <c r="FA444" s="2"/>
      <c r="FB444" s="2"/>
      <c r="FC444" s="2"/>
      <c r="FD444" s="2"/>
      <c r="FE444" s="2"/>
      <c r="FF444" s="2"/>
      <c r="FG444" s="2"/>
      <c r="FH444" s="2"/>
      <c r="FI444" s="2"/>
      <c r="FJ444" s="2"/>
      <c r="FK444" s="2"/>
      <c r="FL444" s="2"/>
      <c r="FM444" s="2"/>
      <c r="FN444" s="2"/>
      <c r="FO444" s="2"/>
      <c r="FP444" s="2"/>
      <c r="FQ444" s="2"/>
      <c r="FR444" s="2"/>
      <c r="FS444" s="2"/>
      <c r="FT444" s="2"/>
      <c r="FU444" s="2"/>
      <c r="FV444" s="2"/>
      <c r="FW444" s="2"/>
      <c r="FX444" s="2"/>
      <c r="FY444" s="2"/>
      <c r="FZ444" s="2"/>
      <c r="GA444" s="2"/>
      <c r="GB444" s="2"/>
      <c r="GC444" s="2"/>
      <c r="GD444" s="2"/>
      <c r="GE444" s="2"/>
      <c r="GF444" s="2"/>
      <c r="GG444" s="2"/>
      <c r="GH444" s="2"/>
      <c r="GI444" s="2"/>
      <c r="GJ444" s="2"/>
      <c r="GK444" s="2"/>
      <c r="GL444" s="2"/>
      <c r="GM444" s="2"/>
      <c r="GN444" s="2"/>
      <c r="GO444" s="2"/>
      <c r="GP444" s="2"/>
      <c r="GQ444" s="2"/>
      <c r="GR444" s="2"/>
      <c r="GS444" s="2"/>
      <c r="GT444" s="2"/>
      <c r="GU444" s="2"/>
      <c r="GV444" s="2"/>
      <c r="GW444" s="2"/>
      <c r="GX444" s="2"/>
      <c r="GY444" s="2"/>
      <c r="GZ444" s="2"/>
      <c r="HA444" s="2"/>
      <c r="HB444" s="2"/>
      <c r="HC444" s="2"/>
      <c r="HD444" s="2"/>
      <c r="HE444" s="2"/>
      <c r="HF444" s="2"/>
      <c r="HG444" s="2"/>
      <c r="HH444" s="2"/>
      <c r="HI444" s="2"/>
      <c r="HJ444" s="2"/>
      <c r="HK444" s="2"/>
      <c r="HL444" s="2"/>
      <c r="HM444" s="2"/>
      <c r="HN444" s="2"/>
      <c r="HO444" s="2"/>
      <c r="HP444" s="2"/>
      <c r="HQ444" s="2"/>
      <c r="HR444" s="2"/>
      <c r="HS444" s="2"/>
      <c r="HT444" s="2"/>
      <c r="HU444" s="2"/>
      <c r="HV444" s="2"/>
      <c r="HW444" s="2"/>
      <c r="HX444" s="2"/>
      <c r="HY444" s="2"/>
      <c r="HZ444" s="2"/>
      <c r="IA444" s="2"/>
      <c r="IB444" s="2"/>
      <c r="IC444" s="2"/>
    </row>
    <row r="445" spans="1:237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  <c r="ES445" s="2"/>
      <c r="ET445" s="2"/>
      <c r="EU445" s="2"/>
      <c r="EV445" s="2"/>
      <c r="EW445" s="2"/>
      <c r="EX445" s="2"/>
      <c r="EY445" s="2"/>
      <c r="EZ445" s="2"/>
      <c r="FA445" s="2"/>
      <c r="FB445" s="2"/>
      <c r="FC445" s="2"/>
      <c r="FD445" s="2"/>
      <c r="FE445" s="2"/>
      <c r="FF445" s="2"/>
      <c r="FG445" s="2"/>
      <c r="FH445" s="2"/>
      <c r="FI445" s="2"/>
      <c r="FJ445" s="2"/>
      <c r="FK445" s="2"/>
      <c r="FL445" s="2"/>
      <c r="FM445" s="2"/>
      <c r="FN445" s="2"/>
      <c r="FO445" s="2"/>
      <c r="FP445" s="2"/>
      <c r="FQ445" s="2"/>
      <c r="FR445" s="2"/>
      <c r="FS445" s="2"/>
      <c r="FT445" s="2"/>
      <c r="FU445" s="2"/>
      <c r="FV445" s="2"/>
      <c r="FW445" s="2"/>
      <c r="FX445" s="2"/>
      <c r="FY445" s="2"/>
      <c r="FZ445" s="2"/>
      <c r="GA445" s="2"/>
      <c r="GB445" s="2"/>
      <c r="GC445" s="2"/>
      <c r="GD445" s="2"/>
      <c r="GE445" s="2"/>
      <c r="GF445" s="2"/>
      <c r="GG445" s="2"/>
      <c r="GH445" s="2"/>
      <c r="GI445" s="2"/>
      <c r="GJ445" s="2"/>
      <c r="GK445" s="2"/>
      <c r="GL445" s="2"/>
      <c r="GM445" s="2"/>
      <c r="GN445" s="2"/>
      <c r="GO445" s="2"/>
      <c r="GP445" s="2"/>
      <c r="GQ445" s="2"/>
      <c r="GR445" s="2"/>
      <c r="GS445" s="2"/>
      <c r="GT445" s="2"/>
      <c r="GU445" s="2"/>
      <c r="GV445" s="2"/>
      <c r="GW445" s="2"/>
      <c r="GX445" s="2"/>
      <c r="GY445" s="2"/>
      <c r="GZ445" s="2"/>
      <c r="HA445" s="2"/>
      <c r="HB445" s="2"/>
      <c r="HC445" s="2"/>
      <c r="HD445" s="2"/>
      <c r="HE445" s="2"/>
      <c r="HF445" s="2"/>
      <c r="HG445" s="2"/>
      <c r="HH445" s="2"/>
      <c r="HI445" s="2"/>
      <c r="HJ445" s="2"/>
      <c r="HK445" s="2"/>
      <c r="HL445" s="2"/>
      <c r="HM445" s="2"/>
      <c r="HN445" s="2"/>
      <c r="HO445" s="2"/>
      <c r="HP445" s="2"/>
      <c r="HQ445" s="2"/>
      <c r="HR445" s="2"/>
      <c r="HS445" s="2"/>
      <c r="HT445" s="2"/>
      <c r="HU445" s="2"/>
      <c r="HV445" s="2"/>
      <c r="HW445" s="2"/>
      <c r="HX445" s="2"/>
      <c r="HY445" s="2"/>
      <c r="HZ445" s="2"/>
      <c r="IA445" s="2"/>
      <c r="IB445" s="2"/>
      <c r="IC445" s="2"/>
    </row>
    <row r="446" spans="1:237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  <c r="ES446" s="2"/>
      <c r="ET446" s="2"/>
      <c r="EU446" s="2"/>
      <c r="EV446" s="2"/>
      <c r="EW446" s="2"/>
      <c r="EX446" s="2"/>
      <c r="EY446" s="2"/>
      <c r="EZ446" s="2"/>
      <c r="FA446" s="2"/>
      <c r="FB446" s="2"/>
      <c r="FC446" s="2"/>
      <c r="FD446" s="2"/>
      <c r="FE446" s="2"/>
      <c r="FF446" s="2"/>
      <c r="FG446" s="2"/>
      <c r="FH446" s="2"/>
      <c r="FI446" s="2"/>
      <c r="FJ446" s="2"/>
      <c r="FK446" s="2"/>
      <c r="FL446" s="2"/>
      <c r="FM446" s="2"/>
      <c r="FN446" s="2"/>
      <c r="FO446" s="2"/>
      <c r="FP446" s="2"/>
      <c r="FQ446" s="2"/>
      <c r="FR446" s="2"/>
      <c r="FS446" s="2"/>
      <c r="FT446" s="2"/>
      <c r="FU446" s="2"/>
      <c r="FV446" s="2"/>
      <c r="FW446" s="2"/>
      <c r="FX446" s="2"/>
      <c r="FY446" s="2"/>
      <c r="FZ446" s="2"/>
      <c r="GA446" s="2"/>
      <c r="GB446" s="2"/>
      <c r="GC446" s="2"/>
      <c r="GD446" s="2"/>
      <c r="GE446" s="2"/>
      <c r="GF446" s="2"/>
      <c r="GG446" s="2"/>
      <c r="GH446" s="2"/>
      <c r="GI446" s="2"/>
      <c r="GJ446" s="2"/>
      <c r="GK446" s="2"/>
      <c r="GL446" s="2"/>
      <c r="GM446" s="2"/>
      <c r="GN446" s="2"/>
      <c r="GO446" s="2"/>
      <c r="GP446" s="2"/>
      <c r="GQ446" s="2"/>
      <c r="GR446" s="2"/>
      <c r="GS446" s="2"/>
      <c r="GT446" s="2"/>
      <c r="GU446" s="2"/>
      <c r="GV446" s="2"/>
      <c r="GW446" s="2"/>
      <c r="GX446" s="2"/>
      <c r="GY446" s="2"/>
      <c r="GZ446" s="2"/>
      <c r="HA446" s="2"/>
      <c r="HB446" s="2"/>
      <c r="HC446" s="2"/>
      <c r="HD446" s="2"/>
      <c r="HE446" s="2"/>
      <c r="HF446" s="2"/>
      <c r="HG446" s="2"/>
      <c r="HH446" s="2"/>
      <c r="HI446" s="2"/>
      <c r="HJ446" s="2"/>
      <c r="HK446" s="2"/>
      <c r="HL446" s="2"/>
      <c r="HM446" s="2"/>
      <c r="HN446" s="2"/>
      <c r="HO446" s="2"/>
      <c r="HP446" s="2"/>
      <c r="HQ446" s="2"/>
      <c r="HR446" s="2"/>
      <c r="HS446" s="2"/>
      <c r="HT446" s="2"/>
      <c r="HU446" s="2"/>
      <c r="HV446" s="2"/>
      <c r="HW446" s="2"/>
      <c r="HX446" s="2"/>
      <c r="HY446" s="2"/>
      <c r="HZ446" s="2"/>
      <c r="IA446" s="2"/>
      <c r="IB446" s="2"/>
      <c r="IC446" s="2"/>
    </row>
    <row r="447" spans="1:237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  <c r="ES447" s="2"/>
      <c r="ET447" s="2"/>
      <c r="EU447" s="2"/>
      <c r="EV447" s="2"/>
      <c r="EW447" s="2"/>
      <c r="EX447" s="2"/>
      <c r="EY447" s="2"/>
      <c r="EZ447" s="2"/>
      <c r="FA447" s="2"/>
      <c r="FB447" s="2"/>
      <c r="FC447" s="2"/>
      <c r="FD447" s="2"/>
      <c r="FE447" s="2"/>
      <c r="FF447" s="2"/>
      <c r="FG447" s="2"/>
      <c r="FH447" s="2"/>
      <c r="FI447" s="2"/>
      <c r="FJ447" s="2"/>
      <c r="FK447" s="2"/>
      <c r="FL447" s="2"/>
      <c r="FM447" s="2"/>
      <c r="FN447" s="2"/>
      <c r="FO447" s="2"/>
      <c r="FP447" s="2"/>
      <c r="FQ447" s="2"/>
      <c r="FR447" s="2"/>
      <c r="FS447" s="2"/>
      <c r="FT447" s="2"/>
      <c r="FU447" s="2"/>
      <c r="FV447" s="2"/>
      <c r="FW447" s="2"/>
      <c r="FX447" s="2"/>
      <c r="FY447" s="2"/>
      <c r="FZ447" s="2"/>
      <c r="GA447" s="2"/>
      <c r="GB447" s="2"/>
      <c r="GC447" s="2"/>
      <c r="GD447" s="2"/>
      <c r="GE447" s="2"/>
      <c r="GF447" s="2"/>
      <c r="GG447" s="2"/>
      <c r="GH447" s="2"/>
      <c r="GI447" s="2"/>
      <c r="GJ447" s="2"/>
      <c r="GK447" s="2"/>
      <c r="GL447" s="2"/>
      <c r="GM447" s="2"/>
      <c r="GN447" s="2"/>
      <c r="GO447" s="2"/>
      <c r="GP447" s="2"/>
      <c r="GQ447" s="2"/>
      <c r="GR447" s="2"/>
      <c r="GS447" s="2"/>
      <c r="GT447" s="2"/>
      <c r="GU447" s="2"/>
      <c r="GV447" s="2"/>
      <c r="GW447" s="2"/>
      <c r="GX447" s="2"/>
      <c r="GY447" s="2"/>
      <c r="GZ447" s="2"/>
      <c r="HA447" s="2"/>
      <c r="HB447" s="2"/>
      <c r="HC447" s="2"/>
      <c r="HD447" s="2"/>
      <c r="HE447" s="2"/>
      <c r="HF447" s="2"/>
      <c r="HG447" s="2"/>
      <c r="HH447" s="2"/>
      <c r="HI447" s="2"/>
      <c r="HJ447" s="2"/>
      <c r="HK447" s="2"/>
      <c r="HL447" s="2"/>
      <c r="HM447" s="2"/>
      <c r="HN447" s="2"/>
      <c r="HO447" s="2"/>
      <c r="HP447" s="2"/>
      <c r="HQ447" s="2"/>
      <c r="HR447" s="2"/>
      <c r="HS447" s="2"/>
      <c r="HT447" s="2"/>
      <c r="HU447" s="2"/>
      <c r="HV447" s="2"/>
      <c r="HW447" s="2"/>
      <c r="HX447" s="2"/>
      <c r="HY447" s="2"/>
      <c r="HZ447" s="2"/>
      <c r="IA447" s="2"/>
      <c r="IB447" s="2"/>
      <c r="IC447" s="2"/>
    </row>
    <row r="448" spans="1:237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  <c r="ES448" s="2"/>
      <c r="ET448" s="2"/>
      <c r="EU448" s="2"/>
      <c r="EV448" s="2"/>
      <c r="EW448" s="2"/>
      <c r="EX448" s="2"/>
      <c r="EY448" s="2"/>
      <c r="EZ448" s="2"/>
      <c r="FA448" s="2"/>
      <c r="FB448" s="2"/>
      <c r="FC448" s="2"/>
      <c r="FD448" s="2"/>
      <c r="FE448" s="2"/>
      <c r="FF448" s="2"/>
      <c r="FG448" s="2"/>
      <c r="FH448" s="2"/>
      <c r="FI448" s="2"/>
      <c r="FJ448" s="2"/>
      <c r="FK448" s="2"/>
      <c r="FL448" s="2"/>
      <c r="FM448" s="2"/>
      <c r="FN448" s="2"/>
      <c r="FO448" s="2"/>
      <c r="FP448" s="2"/>
      <c r="FQ448" s="2"/>
      <c r="FR448" s="2"/>
      <c r="FS448" s="2"/>
      <c r="FT448" s="2"/>
      <c r="FU448" s="2"/>
      <c r="FV448" s="2"/>
      <c r="FW448" s="2"/>
      <c r="FX448" s="2"/>
      <c r="FY448" s="2"/>
      <c r="FZ448" s="2"/>
      <c r="GA448" s="2"/>
      <c r="GB448" s="2"/>
      <c r="GC448" s="2"/>
      <c r="GD448" s="2"/>
      <c r="GE448" s="2"/>
      <c r="GF448" s="2"/>
      <c r="GG448" s="2"/>
      <c r="GH448" s="2"/>
      <c r="GI448" s="2"/>
      <c r="GJ448" s="2"/>
      <c r="GK448" s="2"/>
      <c r="GL448" s="2"/>
      <c r="GM448" s="2"/>
      <c r="GN448" s="2"/>
      <c r="GO448" s="2"/>
      <c r="GP448" s="2"/>
      <c r="GQ448" s="2"/>
      <c r="GR448" s="2"/>
      <c r="GS448" s="2"/>
      <c r="GT448" s="2"/>
      <c r="GU448" s="2"/>
      <c r="GV448" s="2"/>
      <c r="GW448" s="2"/>
      <c r="GX448" s="2"/>
      <c r="GY448" s="2"/>
      <c r="GZ448" s="2"/>
      <c r="HA448" s="2"/>
      <c r="HB448" s="2"/>
      <c r="HC448" s="2"/>
      <c r="HD448" s="2"/>
      <c r="HE448" s="2"/>
      <c r="HF448" s="2"/>
      <c r="HG448" s="2"/>
      <c r="HH448" s="2"/>
      <c r="HI448" s="2"/>
      <c r="HJ448" s="2"/>
      <c r="HK448" s="2"/>
      <c r="HL448" s="2"/>
      <c r="HM448" s="2"/>
      <c r="HN448" s="2"/>
      <c r="HO448" s="2"/>
      <c r="HP448" s="2"/>
      <c r="HQ448" s="2"/>
      <c r="HR448" s="2"/>
      <c r="HS448" s="2"/>
      <c r="HT448" s="2"/>
      <c r="HU448" s="2"/>
      <c r="HV448" s="2"/>
      <c r="HW448" s="2"/>
      <c r="HX448" s="2"/>
      <c r="HY448" s="2"/>
      <c r="HZ448" s="2"/>
      <c r="IA448" s="2"/>
      <c r="IB448" s="2"/>
      <c r="IC448" s="2"/>
    </row>
    <row r="449" spans="1:237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  <c r="ES449" s="2"/>
      <c r="ET449" s="2"/>
      <c r="EU449" s="2"/>
      <c r="EV449" s="2"/>
      <c r="EW449" s="2"/>
      <c r="EX449" s="2"/>
      <c r="EY449" s="2"/>
      <c r="EZ449" s="2"/>
      <c r="FA449" s="2"/>
      <c r="FB449" s="2"/>
      <c r="FC449" s="2"/>
      <c r="FD449" s="2"/>
      <c r="FE449" s="2"/>
      <c r="FF449" s="2"/>
      <c r="FG449" s="2"/>
      <c r="FH449" s="2"/>
      <c r="FI449" s="2"/>
      <c r="FJ449" s="2"/>
      <c r="FK449" s="2"/>
      <c r="FL449" s="2"/>
      <c r="FM449" s="2"/>
      <c r="FN449" s="2"/>
      <c r="FO449" s="2"/>
      <c r="FP449" s="2"/>
      <c r="FQ449" s="2"/>
      <c r="FR449" s="2"/>
      <c r="FS449" s="2"/>
      <c r="FT449" s="2"/>
      <c r="FU449" s="2"/>
      <c r="FV449" s="2"/>
      <c r="FW449" s="2"/>
      <c r="FX449" s="2"/>
      <c r="FY449" s="2"/>
      <c r="FZ449" s="2"/>
      <c r="GA449" s="2"/>
      <c r="GB449" s="2"/>
      <c r="GC449" s="2"/>
      <c r="GD449" s="2"/>
      <c r="GE449" s="2"/>
      <c r="GF449" s="2"/>
      <c r="GG449" s="2"/>
      <c r="GH449" s="2"/>
      <c r="GI449" s="2"/>
      <c r="GJ449" s="2"/>
      <c r="GK449" s="2"/>
      <c r="GL449" s="2"/>
      <c r="GM449" s="2"/>
      <c r="GN449" s="2"/>
      <c r="GO449" s="2"/>
      <c r="GP449" s="2"/>
      <c r="GQ449" s="2"/>
      <c r="GR449" s="2"/>
      <c r="GS449" s="2"/>
      <c r="GT449" s="2"/>
      <c r="GU449" s="2"/>
      <c r="GV449" s="2"/>
      <c r="GW449" s="2"/>
      <c r="GX449" s="2"/>
      <c r="GY449" s="2"/>
      <c r="GZ449" s="2"/>
      <c r="HA449" s="2"/>
      <c r="HB449" s="2"/>
      <c r="HC449" s="2"/>
      <c r="HD449" s="2"/>
      <c r="HE449" s="2"/>
      <c r="HF449" s="2"/>
      <c r="HG449" s="2"/>
      <c r="HH449" s="2"/>
      <c r="HI449" s="2"/>
      <c r="HJ449" s="2"/>
      <c r="HK449" s="2"/>
      <c r="HL449" s="2"/>
      <c r="HM449" s="2"/>
      <c r="HN449" s="2"/>
      <c r="HO449" s="2"/>
      <c r="HP449" s="2"/>
      <c r="HQ449" s="2"/>
      <c r="HR449" s="2"/>
      <c r="HS449" s="2"/>
      <c r="HT449" s="2"/>
      <c r="HU449" s="2"/>
      <c r="HV449" s="2"/>
      <c r="HW449" s="2"/>
      <c r="HX449" s="2"/>
      <c r="HY449" s="2"/>
      <c r="HZ449" s="2"/>
      <c r="IA449" s="2"/>
      <c r="IB449" s="2"/>
      <c r="IC449" s="2"/>
    </row>
    <row r="450" spans="1:237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  <c r="ES450" s="2"/>
      <c r="ET450" s="2"/>
      <c r="EU450" s="2"/>
      <c r="EV450" s="2"/>
      <c r="EW450" s="2"/>
      <c r="EX450" s="2"/>
      <c r="EY450" s="2"/>
      <c r="EZ450" s="2"/>
      <c r="FA450" s="2"/>
      <c r="FB450" s="2"/>
      <c r="FC450" s="2"/>
      <c r="FD450" s="2"/>
      <c r="FE450" s="2"/>
      <c r="FF450" s="2"/>
      <c r="FG450" s="2"/>
      <c r="FH450" s="2"/>
      <c r="FI450" s="2"/>
      <c r="FJ450" s="2"/>
      <c r="FK450" s="2"/>
      <c r="FL450" s="2"/>
      <c r="FM450" s="2"/>
      <c r="FN450" s="2"/>
      <c r="FO450" s="2"/>
      <c r="FP450" s="2"/>
      <c r="FQ450" s="2"/>
      <c r="FR450" s="2"/>
      <c r="FS450" s="2"/>
      <c r="FT450" s="2"/>
      <c r="FU450" s="2"/>
      <c r="FV450" s="2"/>
      <c r="FW450" s="2"/>
      <c r="FX450" s="2"/>
      <c r="FY450" s="2"/>
      <c r="FZ450" s="2"/>
      <c r="GA450" s="2"/>
      <c r="GB450" s="2"/>
      <c r="GC450" s="2"/>
      <c r="GD450" s="2"/>
      <c r="GE450" s="2"/>
      <c r="GF450" s="2"/>
      <c r="GG450" s="2"/>
      <c r="GH450" s="2"/>
      <c r="GI450" s="2"/>
      <c r="GJ450" s="2"/>
      <c r="GK450" s="2"/>
      <c r="GL450" s="2"/>
      <c r="GM450" s="2"/>
      <c r="GN450" s="2"/>
      <c r="GO450" s="2"/>
      <c r="GP450" s="2"/>
      <c r="GQ450" s="2"/>
      <c r="GR450" s="2"/>
      <c r="GS450" s="2"/>
      <c r="GT450" s="2"/>
      <c r="GU450" s="2"/>
      <c r="GV450" s="2"/>
      <c r="GW450" s="2"/>
      <c r="GX450" s="2"/>
      <c r="GY450" s="2"/>
      <c r="GZ450" s="2"/>
      <c r="HA450" s="2"/>
      <c r="HB450" s="2"/>
      <c r="HC450" s="2"/>
      <c r="HD450" s="2"/>
      <c r="HE450" s="2"/>
      <c r="HF450" s="2"/>
      <c r="HG450" s="2"/>
      <c r="HH450" s="2"/>
      <c r="HI450" s="2"/>
      <c r="HJ450" s="2"/>
      <c r="HK450" s="2"/>
      <c r="HL450" s="2"/>
      <c r="HM450" s="2"/>
      <c r="HN450" s="2"/>
      <c r="HO450" s="2"/>
      <c r="HP450" s="2"/>
      <c r="HQ450" s="2"/>
      <c r="HR450" s="2"/>
      <c r="HS450" s="2"/>
      <c r="HT450" s="2"/>
      <c r="HU450" s="2"/>
      <c r="HV450" s="2"/>
      <c r="HW450" s="2"/>
      <c r="HX450" s="2"/>
      <c r="HY450" s="2"/>
      <c r="HZ450" s="2"/>
      <c r="IA450" s="2"/>
      <c r="IB450" s="2"/>
      <c r="IC450" s="2"/>
    </row>
    <row r="451" spans="1:237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  <c r="ES451" s="2"/>
      <c r="ET451" s="2"/>
      <c r="EU451" s="2"/>
      <c r="EV451" s="2"/>
      <c r="EW451" s="2"/>
      <c r="EX451" s="2"/>
      <c r="EY451" s="2"/>
      <c r="EZ451" s="2"/>
      <c r="FA451" s="2"/>
      <c r="FB451" s="2"/>
      <c r="FC451" s="2"/>
      <c r="FD451" s="2"/>
      <c r="FE451" s="2"/>
      <c r="FF451" s="2"/>
      <c r="FG451" s="2"/>
      <c r="FH451" s="2"/>
      <c r="FI451" s="2"/>
      <c r="FJ451" s="2"/>
      <c r="FK451" s="2"/>
      <c r="FL451" s="2"/>
      <c r="FM451" s="2"/>
      <c r="FN451" s="2"/>
      <c r="FO451" s="2"/>
      <c r="FP451" s="2"/>
      <c r="FQ451" s="2"/>
      <c r="FR451" s="2"/>
      <c r="FS451" s="2"/>
      <c r="FT451" s="2"/>
      <c r="FU451" s="2"/>
      <c r="FV451" s="2"/>
      <c r="FW451" s="2"/>
      <c r="FX451" s="2"/>
      <c r="FY451" s="2"/>
      <c r="FZ451" s="2"/>
      <c r="GA451" s="2"/>
      <c r="GB451" s="2"/>
      <c r="GC451" s="2"/>
      <c r="GD451" s="2"/>
      <c r="GE451" s="2"/>
      <c r="GF451" s="2"/>
      <c r="GG451" s="2"/>
      <c r="GH451" s="2"/>
      <c r="GI451" s="2"/>
      <c r="GJ451" s="2"/>
      <c r="GK451" s="2"/>
      <c r="GL451" s="2"/>
      <c r="GM451" s="2"/>
      <c r="GN451" s="2"/>
      <c r="GO451" s="2"/>
      <c r="GP451" s="2"/>
      <c r="GQ451" s="2"/>
      <c r="GR451" s="2"/>
      <c r="GS451" s="2"/>
      <c r="GT451" s="2"/>
      <c r="GU451" s="2"/>
      <c r="GV451" s="2"/>
      <c r="GW451" s="2"/>
      <c r="GX451" s="2"/>
      <c r="GY451" s="2"/>
      <c r="GZ451" s="2"/>
      <c r="HA451" s="2"/>
      <c r="HB451" s="2"/>
      <c r="HC451" s="2"/>
      <c r="HD451" s="2"/>
      <c r="HE451" s="2"/>
      <c r="HF451" s="2"/>
      <c r="HG451" s="2"/>
      <c r="HH451" s="2"/>
      <c r="HI451" s="2"/>
      <c r="HJ451" s="2"/>
      <c r="HK451" s="2"/>
      <c r="HL451" s="2"/>
      <c r="HM451" s="2"/>
      <c r="HN451" s="2"/>
      <c r="HO451" s="2"/>
      <c r="HP451" s="2"/>
      <c r="HQ451" s="2"/>
      <c r="HR451" s="2"/>
      <c r="HS451" s="2"/>
      <c r="HT451" s="2"/>
      <c r="HU451" s="2"/>
      <c r="HV451" s="2"/>
      <c r="HW451" s="2"/>
      <c r="HX451" s="2"/>
      <c r="HY451" s="2"/>
      <c r="HZ451" s="2"/>
      <c r="IA451" s="2"/>
      <c r="IB451" s="2"/>
      <c r="IC451" s="2"/>
    </row>
    <row r="452" spans="1:237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  <c r="ES452" s="2"/>
      <c r="ET452" s="2"/>
      <c r="EU452" s="2"/>
      <c r="EV452" s="2"/>
      <c r="EW452" s="2"/>
      <c r="EX452" s="2"/>
      <c r="EY452" s="2"/>
      <c r="EZ452" s="2"/>
      <c r="FA452" s="2"/>
      <c r="FB452" s="2"/>
      <c r="FC452" s="2"/>
      <c r="FD452" s="2"/>
      <c r="FE452" s="2"/>
      <c r="FF452" s="2"/>
      <c r="FG452" s="2"/>
      <c r="FH452" s="2"/>
      <c r="FI452" s="2"/>
      <c r="FJ452" s="2"/>
      <c r="FK452" s="2"/>
      <c r="FL452" s="2"/>
      <c r="FM452" s="2"/>
      <c r="FN452" s="2"/>
      <c r="FO452" s="2"/>
      <c r="FP452" s="2"/>
      <c r="FQ452" s="2"/>
      <c r="FR452" s="2"/>
      <c r="FS452" s="2"/>
      <c r="FT452" s="2"/>
      <c r="FU452" s="2"/>
      <c r="FV452" s="2"/>
      <c r="FW452" s="2"/>
      <c r="FX452" s="2"/>
      <c r="FY452" s="2"/>
      <c r="FZ452" s="2"/>
      <c r="GA452" s="2"/>
      <c r="GB452" s="2"/>
      <c r="GC452" s="2"/>
      <c r="GD452" s="2"/>
      <c r="GE452" s="2"/>
      <c r="GF452" s="2"/>
      <c r="GG452" s="2"/>
      <c r="GH452" s="2"/>
      <c r="GI452" s="2"/>
      <c r="GJ452" s="2"/>
      <c r="GK452" s="2"/>
      <c r="GL452" s="2"/>
      <c r="GM452" s="2"/>
      <c r="GN452" s="2"/>
      <c r="GO452" s="2"/>
      <c r="GP452" s="2"/>
      <c r="GQ452" s="2"/>
      <c r="GR452" s="2"/>
      <c r="GS452" s="2"/>
      <c r="GT452" s="2"/>
      <c r="GU452" s="2"/>
      <c r="GV452" s="2"/>
      <c r="GW452" s="2"/>
      <c r="GX452" s="2"/>
      <c r="GY452" s="2"/>
      <c r="GZ452" s="2"/>
      <c r="HA452" s="2"/>
      <c r="HB452" s="2"/>
      <c r="HC452" s="2"/>
      <c r="HD452" s="2"/>
      <c r="HE452" s="2"/>
      <c r="HF452" s="2"/>
      <c r="HG452" s="2"/>
      <c r="HH452" s="2"/>
      <c r="HI452" s="2"/>
      <c r="HJ452" s="2"/>
      <c r="HK452" s="2"/>
      <c r="HL452" s="2"/>
      <c r="HM452" s="2"/>
      <c r="HN452" s="2"/>
      <c r="HO452" s="2"/>
      <c r="HP452" s="2"/>
      <c r="HQ452" s="2"/>
      <c r="HR452" s="2"/>
      <c r="HS452" s="2"/>
      <c r="HT452" s="2"/>
      <c r="HU452" s="2"/>
      <c r="HV452" s="2"/>
      <c r="HW452" s="2"/>
      <c r="HX452" s="2"/>
      <c r="HY452" s="2"/>
      <c r="HZ452" s="2"/>
      <c r="IA452" s="2"/>
      <c r="IB452" s="2"/>
      <c r="IC452" s="2"/>
    </row>
    <row r="453" spans="1:237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  <c r="ES453" s="2"/>
      <c r="ET453" s="2"/>
      <c r="EU453" s="2"/>
      <c r="EV453" s="2"/>
      <c r="EW453" s="2"/>
      <c r="EX453" s="2"/>
      <c r="EY453" s="2"/>
      <c r="EZ453" s="2"/>
      <c r="FA453" s="2"/>
      <c r="FB453" s="2"/>
      <c r="FC453" s="2"/>
      <c r="FD453" s="2"/>
      <c r="FE453" s="2"/>
      <c r="FF453" s="2"/>
      <c r="FG453" s="2"/>
      <c r="FH453" s="2"/>
      <c r="FI453" s="2"/>
      <c r="FJ453" s="2"/>
      <c r="FK453" s="2"/>
      <c r="FL453" s="2"/>
      <c r="FM453" s="2"/>
      <c r="FN453" s="2"/>
      <c r="FO453" s="2"/>
      <c r="FP453" s="2"/>
      <c r="FQ453" s="2"/>
      <c r="FR453" s="2"/>
      <c r="FS453" s="2"/>
      <c r="FT453" s="2"/>
      <c r="FU453" s="2"/>
      <c r="FV453" s="2"/>
      <c r="FW453" s="2"/>
      <c r="FX453" s="2"/>
      <c r="FY453" s="2"/>
      <c r="FZ453" s="2"/>
      <c r="GA453" s="2"/>
      <c r="GB453" s="2"/>
      <c r="GC453" s="2"/>
      <c r="GD453" s="2"/>
      <c r="GE453" s="2"/>
      <c r="GF453" s="2"/>
      <c r="GG453" s="2"/>
      <c r="GH453" s="2"/>
      <c r="GI453" s="2"/>
      <c r="GJ453" s="2"/>
      <c r="GK453" s="2"/>
      <c r="GL453" s="2"/>
      <c r="GM453" s="2"/>
      <c r="GN453" s="2"/>
      <c r="GO453" s="2"/>
      <c r="GP453" s="2"/>
      <c r="GQ453" s="2"/>
      <c r="GR453" s="2"/>
      <c r="GS453" s="2"/>
      <c r="GT453" s="2"/>
      <c r="GU453" s="2"/>
      <c r="GV453" s="2"/>
      <c r="GW453" s="2"/>
      <c r="GX453" s="2"/>
      <c r="GY453" s="2"/>
      <c r="GZ453" s="2"/>
      <c r="HA453" s="2"/>
      <c r="HB453" s="2"/>
      <c r="HC453" s="2"/>
      <c r="HD453" s="2"/>
      <c r="HE453" s="2"/>
      <c r="HF453" s="2"/>
      <c r="HG453" s="2"/>
      <c r="HH453" s="2"/>
      <c r="HI453" s="2"/>
      <c r="HJ453" s="2"/>
      <c r="HK453" s="2"/>
      <c r="HL453" s="2"/>
      <c r="HM453" s="2"/>
      <c r="HN453" s="2"/>
      <c r="HO453" s="2"/>
      <c r="HP453" s="2"/>
      <c r="HQ453" s="2"/>
      <c r="HR453" s="2"/>
      <c r="HS453" s="2"/>
      <c r="HT453" s="2"/>
      <c r="HU453" s="2"/>
      <c r="HV453" s="2"/>
      <c r="HW453" s="2"/>
      <c r="HX453" s="2"/>
      <c r="HY453" s="2"/>
      <c r="HZ453" s="2"/>
      <c r="IA453" s="2"/>
      <c r="IB453" s="2"/>
      <c r="IC453" s="2"/>
    </row>
    <row r="454" spans="1:237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  <c r="ES454" s="2"/>
      <c r="ET454" s="2"/>
      <c r="EU454" s="2"/>
      <c r="EV454" s="2"/>
      <c r="EW454" s="2"/>
      <c r="EX454" s="2"/>
      <c r="EY454" s="2"/>
      <c r="EZ454" s="2"/>
      <c r="FA454" s="2"/>
      <c r="FB454" s="2"/>
      <c r="FC454" s="2"/>
      <c r="FD454" s="2"/>
      <c r="FE454" s="2"/>
      <c r="FF454" s="2"/>
      <c r="FG454" s="2"/>
      <c r="FH454" s="2"/>
      <c r="FI454" s="2"/>
      <c r="FJ454" s="2"/>
      <c r="FK454" s="2"/>
      <c r="FL454" s="2"/>
      <c r="FM454" s="2"/>
      <c r="FN454" s="2"/>
      <c r="FO454" s="2"/>
      <c r="FP454" s="2"/>
      <c r="FQ454" s="2"/>
      <c r="FR454" s="2"/>
      <c r="FS454" s="2"/>
      <c r="FT454" s="2"/>
      <c r="FU454" s="2"/>
      <c r="FV454" s="2"/>
      <c r="FW454" s="2"/>
      <c r="FX454" s="2"/>
      <c r="FY454" s="2"/>
      <c r="FZ454" s="2"/>
      <c r="GA454" s="2"/>
      <c r="GB454" s="2"/>
      <c r="GC454" s="2"/>
      <c r="GD454" s="2"/>
      <c r="GE454" s="2"/>
      <c r="GF454" s="2"/>
      <c r="GG454" s="2"/>
      <c r="GH454" s="2"/>
      <c r="GI454" s="2"/>
      <c r="GJ454" s="2"/>
      <c r="GK454" s="2"/>
      <c r="GL454" s="2"/>
      <c r="GM454" s="2"/>
      <c r="GN454" s="2"/>
      <c r="GO454" s="2"/>
      <c r="GP454" s="2"/>
      <c r="GQ454" s="2"/>
      <c r="GR454" s="2"/>
      <c r="GS454" s="2"/>
      <c r="GT454" s="2"/>
      <c r="GU454" s="2"/>
      <c r="GV454" s="2"/>
      <c r="GW454" s="2"/>
      <c r="GX454" s="2"/>
      <c r="GY454" s="2"/>
      <c r="GZ454" s="2"/>
      <c r="HA454" s="2"/>
      <c r="HB454" s="2"/>
      <c r="HC454" s="2"/>
      <c r="HD454" s="2"/>
      <c r="HE454" s="2"/>
      <c r="HF454" s="2"/>
      <c r="HG454" s="2"/>
      <c r="HH454" s="2"/>
      <c r="HI454" s="2"/>
      <c r="HJ454" s="2"/>
      <c r="HK454" s="2"/>
      <c r="HL454" s="2"/>
      <c r="HM454" s="2"/>
      <c r="HN454" s="2"/>
      <c r="HO454" s="2"/>
      <c r="HP454" s="2"/>
      <c r="HQ454" s="2"/>
      <c r="HR454" s="2"/>
      <c r="HS454" s="2"/>
      <c r="HT454" s="2"/>
      <c r="HU454" s="2"/>
      <c r="HV454" s="2"/>
      <c r="HW454" s="2"/>
      <c r="HX454" s="2"/>
      <c r="HY454" s="2"/>
      <c r="HZ454" s="2"/>
      <c r="IA454" s="2"/>
      <c r="IB454" s="2"/>
      <c r="IC454" s="2"/>
    </row>
    <row r="455" spans="1:237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  <c r="ES455" s="2"/>
      <c r="ET455" s="2"/>
      <c r="EU455" s="2"/>
      <c r="EV455" s="2"/>
      <c r="EW455" s="2"/>
      <c r="EX455" s="2"/>
      <c r="EY455" s="2"/>
      <c r="EZ455" s="2"/>
      <c r="FA455" s="2"/>
      <c r="FB455" s="2"/>
      <c r="FC455" s="2"/>
      <c r="FD455" s="2"/>
      <c r="FE455" s="2"/>
      <c r="FF455" s="2"/>
      <c r="FG455" s="2"/>
      <c r="FH455" s="2"/>
      <c r="FI455" s="2"/>
      <c r="FJ455" s="2"/>
      <c r="FK455" s="2"/>
      <c r="FL455" s="2"/>
      <c r="FM455" s="2"/>
      <c r="FN455" s="2"/>
      <c r="FO455" s="2"/>
      <c r="FP455" s="2"/>
      <c r="FQ455" s="2"/>
      <c r="FR455" s="2"/>
      <c r="FS455" s="2"/>
      <c r="FT455" s="2"/>
      <c r="FU455" s="2"/>
      <c r="FV455" s="2"/>
      <c r="FW455" s="2"/>
      <c r="FX455" s="2"/>
      <c r="FY455" s="2"/>
      <c r="FZ455" s="2"/>
      <c r="GA455" s="2"/>
      <c r="GB455" s="2"/>
      <c r="GC455" s="2"/>
      <c r="GD455" s="2"/>
      <c r="GE455" s="2"/>
      <c r="GF455" s="2"/>
      <c r="GG455" s="2"/>
      <c r="GH455" s="2"/>
      <c r="GI455" s="2"/>
      <c r="GJ455" s="2"/>
      <c r="GK455" s="2"/>
      <c r="GL455" s="2"/>
      <c r="GM455" s="2"/>
      <c r="GN455" s="2"/>
      <c r="GO455" s="2"/>
      <c r="GP455" s="2"/>
      <c r="GQ455" s="2"/>
      <c r="GR455" s="2"/>
      <c r="GS455" s="2"/>
      <c r="GT455" s="2"/>
      <c r="GU455" s="2"/>
      <c r="GV455" s="2"/>
      <c r="GW455" s="2"/>
      <c r="GX455" s="2"/>
      <c r="GY455" s="2"/>
      <c r="GZ455" s="2"/>
      <c r="HA455" s="2"/>
      <c r="HB455" s="2"/>
      <c r="HC455" s="2"/>
      <c r="HD455" s="2"/>
      <c r="HE455" s="2"/>
      <c r="HF455" s="2"/>
      <c r="HG455" s="2"/>
      <c r="HH455" s="2"/>
      <c r="HI455" s="2"/>
      <c r="HJ455" s="2"/>
      <c r="HK455" s="2"/>
      <c r="HL455" s="2"/>
      <c r="HM455" s="2"/>
      <c r="HN455" s="2"/>
      <c r="HO455" s="2"/>
      <c r="HP455" s="2"/>
      <c r="HQ455" s="2"/>
      <c r="HR455" s="2"/>
      <c r="HS455" s="2"/>
      <c r="HT455" s="2"/>
      <c r="HU455" s="2"/>
      <c r="HV455" s="2"/>
      <c r="HW455" s="2"/>
      <c r="HX455" s="2"/>
      <c r="HY455" s="2"/>
      <c r="HZ455" s="2"/>
      <c r="IA455" s="2"/>
      <c r="IB455" s="2"/>
      <c r="IC455" s="2"/>
    </row>
    <row r="456" spans="1:237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  <c r="ES456" s="2"/>
      <c r="ET456" s="2"/>
      <c r="EU456" s="2"/>
      <c r="EV456" s="2"/>
      <c r="EW456" s="2"/>
      <c r="EX456" s="2"/>
      <c r="EY456" s="2"/>
      <c r="EZ456" s="2"/>
      <c r="FA456" s="2"/>
      <c r="FB456" s="2"/>
      <c r="FC456" s="2"/>
      <c r="FD456" s="2"/>
      <c r="FE456" s="2"/>
      <c r="FF456" s="2"/>
      <c r="FG456" s="2"/>
      <c r="FH456" s="2"/>
      <c r="FI456" s="2"/>
      <c r="FJ456" s="2"/>
      <c r="FK456" s="2"/>
      <c r="FL456" s="2"/>
      <c r="FM456" s="2"/>
      <c r="FN456" s="2"/>
      <c r="FO456" s="2"/>
      <c r="FP456" s="2"/>
      <c r="FQ456" s="2"/>
      <c r="FR456" s="2"/>
      <c r="FS456" s="2"/>
      <c r="FT456" s="2"/>
      <c r="FU456" s="2"/>
      <c r="FV456" s="2"/>
      <c r="FW456" s="2"/>
      <c r="FX456" s="2"/>
      <c r="FY456" s="2"/>
      <c r="FZ456" s="2"/>
      <c r="GA456" s="2"/>
      <c r="GB456" s="2"/>
      <c r="GC456" s="2"/>
      <c r="GD456" s="2"/>
      <c r="GE456" s="2"/>
      <c r="GF456" s="2"/>
      <c r="GG456" s="2"/>
      <c r="GH456" s="2"/>
      <c r="GI456" s="2"/>
      <c r="GJ456" s="2"/>
      <c r="GK456" s="2"/>
      <c r="GL456" s="2"/>
      <c r="GM456" s="2"/>
      <c r="GN456" s="2"/>
      <c r="GO456" s="2"/>
      <c r="GP456" s="2"/>
      <c r="GQ456" s="2"/>
      <c r="GR456" s="2"/>
      <c r="GS456" s="2"/>
      <c r="GT456" s="2"/>
      <c r="GU456" s="2"/>
      <c r="GV456" s="2"/>
      <c r="GW456" s="2"/>
      <c r="GX456" s="2"/>
      <c r="GY456" s="2"/>
      <c r="GZ456" s="2"/>
      <c r="HA456" s="2"/>
      <c r="HB456" s="2"/>
      <c r="HC456" s="2"/>
      <c r="HD456" s="2"/>
      <c r="HE456" s="2"/>
      <c r="HF456" s="2"/>
      <c r="HG456" s="2"/>
      <c r="HH456" s="2"/>
      <c r="HI456" s="2"/>
      <c r="HJ456" s="2"/>
      <c r="HK456" s="2"/>
      <c r="HL456" s="2"/>
      <c r="HM456" s="2"/>
      <c r="HN456" s="2"/>
      <c r="HO456" s="2"/>
      <c r="HP456" s="2"/>
      <c r="HQ456" s="2"/>
      <c r="HR456" s="2"/>
      <c r="HS456" s="2"/>
      <c r="HT456" s="2"/>
      <c r="HU456" s="2"/>
      <c r="HV456" s="2"/>
      <c r="HW456" s="2"/>
      <c r="HX456" s="2"/>
      <c r="HY456" s="2"/>
      <c r="HZ456" s="2"/>
      <c r="IA456" s="2"/>
      <c r="IB456" s="2"/>
      <c r="IC456" s="2"/>
    </row>
    <row r="457" spans="1:237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2"/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2"/>
      <c r="EE457" s="2"/>
      <c r="EF457" s="2"/>
      <c r="EG457" s="2"/>
      <c r="EH457" s="2"/>
      <c r="EI457" s="2"/>
      <c r="EJ457" s="2"/>
      <c r="EK457" s="2"/>
      <c r="EL457" s="2"/>
      <c r="EM457" s="2"/>
      <c r="EN457" s="2"/>
      <c r="EO457" s="2"/>
      <c r="EP457" s="2"/>
      <c r="EQ457" s="2"/>
      <c r="ER457" s="2"/>
      <c r="ES457" s="2"/>
      <c r="ET457" s="2"/>
      <c r="EU457" s="2"/>
      <c r="EV457" s="2"/>
      <c r="EW457" s="2"/>
      <c r="EX457" s="2"/>
      <c r="EY457" s="2"/>
      <c r="EZ457" s="2"/>
      <c r="FA457" s="2"/>
      <c r="FB457" s="2"/>
      <c r="FC457" s="2"/>
      <c r="FD457" s="2"/>
      <c r="FE457" s="2"/>
      <c r="FF457" s="2"/>
      <c r="FG457" s="2"/>
      <c r="FH457" s="2"/>
      <c r="FI457" s="2"/>
      <c r="FJ457" s="2"/>
      <c r="FK457" s="2"/>
      <c r="FL457" s="2"/>
      <c r="FM457" s="2"/>
      <c r="FN457" s="2"/>
      <c r="FO457" s="2"/>
      <c r="FP457" s="2"/>
      <c r="FQ457" s="2"/>
      <c r="FR457" s="2"/>
      <c r="FS457" s="2"/>
      <c r="FT457" s="2"/>
      <c r="FU457" s="2"/>
      <c r="FV457" s="2"/>
      <c r="FW457" s="2"/>
      <c r="FX457" s="2"/>
      <c r="FY457" s="2"/>
      <c r="FZ457" s="2"/>
      <c r="GA457" s="2"/>
      <c r="GB457" s="2"/>
      <c r="GC457" s="2"/>
      <c r="GD457" s="2"/>
      <c r="GE457" s="2"/>
      <c r="GF457" s="2"/>
      <c r="GG457" s="2"/>
      <c r="GH457" s="2"/>
      <c r="GI457" s="2"/>
      <c r="GJ457" s="2"/>
      <c r="GK457" s="2"/>
      <c r="GL457" s="2"/>
      <c r="GM457" s="2"/>
      <c r="GN457" s="2"/>
      <c r="GO457" s="2"/>
      <c r="GP457" s="2"/>
      <c r="GQ457" s="2"/>
      <c r="GR457" s="2"/>
      <c r="GS457" s="2"/>
      <c r="GT457" s="2"/>
      <c r="GU457" s="2"/>
      <c r="GV457" s="2"/>
      <c r="GW457" s="2"/>
      <c r="GX457" s="2"/>
      <c r="GY457" s="2"/>
      <c r="GZ457" s="2"/>
      <c r="HA457" s="2"/>
      <c r="HB457" s="2"/>
      <c r="HC457" s="2"/>
      <c r="HD457" s="2"/>
      <c r="HE457" s="2"/>
      <c r="HF457" s="2"/>
      <c r="HG457" s="2"/>
      <c r="HH457" s="2"/>
      <c r="HI457" s="2"/>
      <c r="HJ457" s="2"/>
      <c r="HK457" s="2"/>
      <c r="HL457" s="2"/>
      <c r="HM457" s="2"/>
      <c r="HN457" s="2"/>
      <c r="HO457" s="2"/>
      <c r="HP457" s="2"/>
      <c r="HQ457" s="2"/>
      <c r="HR457" s="2"/>
      <c r="HS457" s="2"/>
      <c r="HT457" s="2"/>
      <c r="HU457" s="2"/>
      <c r="HV457" s="2"/>
      <c r="HW457" s="2"/>
      <c r="HX457" s="2"/>
      <c r="HY457" s="2"/>
      <c r="HZ457" s="2"/>
      <c r="IA457" s="2"/>
      <c r="IB457" s="2"/>
      <c r="IC457" s="2"/>
    </row>
    <row r="458" spans="1:237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2"/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2"/>
      <c r="EE458" s="2"/>
      <c r="EF458" s="2"/>
      <c r="EG458" s="2"/>
      <c r="EH458" s="2"/>
      <c r="EI458" s="2"/>
      <c r="EJ458" s="2"/>
      <c r="EK458" s="2"/>
      <c r="EL458" s="2"/>
      <c r="EM458" s="2"/>
      <c r="EN458" s="2"/>
      <c r="EO458" s="2"/>
      <c r="EP458" s="2"/>
      <c r="EQ458" s="2"/>
      <c r="ER458" s="2"/>
      <c r="ES458" s="2"/>
      <c r="ET458" s="2"/>
      <c r="EU458" s="2"/>
      <c r="EV458" s="2"/>
      <c r="EW458" s="2"/>
      <c r="EX458" s="2"/>
      <c r="EY458" s="2"/>
      <c r="EZ458" s="2"/>
      <c r="FA458" s="2"/>
      <c r="FB458" s="2"/>
      <c r="FC458" s="2"/>
      <c r="FD458" s="2"/>
      <c r="FE458" s="2"/>
      <c r="FF458" s="2"/>
      <c r="FG458" s="2"/>
      <c r="FH458" s="2"/>
      <c r="FI458" s="2"/>
      <c r="FJ458" s="2"/>
      <c r="FK458" s="2"/>
      <c r="FL458" s="2"/>
      <c r="FM458" s="2"/>
      <c r="FN458" s="2"/>
      <c r="FO458" s="2"/>
      <c r="FP458" s="2"/>
      <c r="FQ458" s="2"/>
      <c r="FR458" s="2"/>
      <c r="FS458" s="2"/>
      <c r="FT458" s="2"/>
      <c r="FU458" s="2"/>
      <c r="FV458" s="2"/>
      <c r="FW458" s="2"/>
      <c r="FX458" s="2"/>
      <c r="FY458" s="2"/>
      <c r="FZ458" s="2"/>
      <c r="GA458" s="2"/>
      <c r="GB458" s="2"/>
      <c r="GC458" s="2"/>
      <c r="GD458" s="2"/>
      <c r="GE458" s="2"/>
      <c r="GF458" s="2"/>
      <c r="GG458" s="2"/>
      <c r="GH458" s="2"/>
      <c r="GI458" s="2"/>
      <c r="GJ458" s="2"/>
      <c r="GK458" s="2"/>
      <c r="GL458" s="2"/>
      <c r="GM458" s="2"/>
      <c r="GN458" s="2"/>
      <c r="GO458" s="2"/>
      <c r="GP458" s="2"/>
      <c r="GQ458" s="2"/>
      <c r="GR458" s="2"/>
      <c r="GS458" s="2"/>
      <c r="GT458" s="2"/>
      <c r="GU458" s="2"/>
      <c r="GV458" s="2"/>
      <c r="GW458" s="2"/>
      <c r="GX458" s="2"/>
      <c r="GY458" s="2"/>
      <c r="GZ458" s="2"/>
      <c r="HA458" s="2"/>
      <c r="HB458" s="2"/>
      <c r="HC458" s="2"/>
      <c r="HD458" s="2"/>
      <c r="HE458" s="2"/>
      <c r="HF458" s="2"/>
      <c r="HG458" s="2"/>
      <c r="HH458" s="2"/>
      <c r="HI458" s="2"/>
      <c r="HJ458" s="2"/>
      <c r="HK458" s="2"/>
      <c r="HL458" s="2"/>
      <c r="HM458" s="2"/>
      <c r="HN458" s="2"/>
      <c r="HO458" s="2"/>
      <c r="HP458" s="2"/>
      <c r="HQ458" s="2"/>
      <c r="HR458" s="2"/>
      <c r="HS458" s="2"/>
      <c r="HT458" s="2"/>
      <c r="HU458" s="2"/>
      <c r="HV458" s="2"/>
      <c r="HW458" s="2"/>
      <c r="HX458" s="2"/>
      <c r="HY458" s="2"/>
      <c r="HZ458" s="2"/>
      <c r="IA458" s="2"/>
      <c r="IB458" s="2"/>
      <c r="IC458" s="2"/>
    </row>
    <row r="459" spans="1:237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  <c r="ES459" s="2"/>
      <c r="ET459" s="2"/>
      <c r="EU459" s="2"/>
      <c r="EV459" s="2"/>
      <c r="EW459" s="2"/>
      <c r="EX459" s="2"/>
      <c r="EY459" s="2"/>
      <c r="EZ459" s="2"/>
      <c r="FA459" s="2"/>
      <c r="FB459" s="2"/>
      <c r="FC459" s="2"/>
      <c r="FD459" s="2"/>
      <c r="FE459" s="2"/>
      <c r="FF459" s="2"/>
      <c r="FG459" s="2"/>
      <c r="FH459" s="2"/>
      <c r="FI459" s="2"/>
      <c r="FJ459" s="2"/>
      <c r="FK459" s="2"/>
      <c r="FL459" s="2"/>
      <c r="FM459" s="2"/>
      <c r="FN459" s="2"/>
      <c r="FO459" s="2"/>
      <c r="FP459" s="2"/>
      <c r="FQ459" s="2"/>
      <c r="FR459" s="2"/>
      <c r="FS459" s="2"/>
      <c r="FT459" s="2"/>
      <c r="FU459" s="2"/>
      <c r="FV459" s="2"/>
      <c r="FW459" s="2"/>
      <c r="FX459" s="2"/>
      <c r="FY459" s="2"/>
      <c r="FZ459" s="2"/>
      <c r="GA459" s="2"/>
      <c r="GB459" s="2"/>
      <c r="GC459" s="2"/>
      <c r="GD459" s="2"/>
      <c r="GE459" s="2"/>
      <c r="GF459" s="2"/>
      <c r="GG459" s="2"/>
      <c r="GH459" s="2"/>
      <c r="GI459" s="2"/>
      <c r="GJ459" s="2"/>
      <c r="GK459" s="2"/>
      <c r="GL459" s="2"/>
      <c r="GM459" s="2"/>
      <c r="GN459" s="2"/>
      <c r="GO459" s="2"/>
      <c r="GP459" s="2"/>
      <c r="GQ459" s="2"/>
      <c r="GR459" s="2"/>
      <c r="GS459" s="2"/>
      <c r="GT459" s="2"/>
      <c r="GU459" s="2"/>
      <c r="GV459" s="2"/>
      <c r="GW459" s="2"/>
      <c r="GX459" s="2"/>
      <c r="GY459" s="2"/>
      <c r="GZ459" s="2"/>
      <c r="HA459" s="2"/>
      <c r="HB459" s="2"/>
      <c r="HC459" s="2"/>
      <c r="HD459" s="2"/>
      <c r="HE459" s="2"/>
      <c r="HF459" s="2"/>
      <c r="HG459" s="2"/>
      <c r="HH459" s="2"/>
      <c r="HI459" s="2"/>
      <c r="HJ459" s="2"/>
      <c r="HK459" s="2"/>
      <c r="HL459" s="2"/>
      <c r="HM459" s="2"/>
      <c r="HN459" s="2"/>
      <c r="HO459" s="2"/>
      <c r="HP459" s="2"/>
      <c r="HQ459" s="2"/>
      <c r="HR459" s="2"/>
      <c r="HS459" s="2"/>
      <c r="HT459" s="2"/>
      <c r="HU459" s="2"/>
      <c r="HV459" s="2"/>
      <c r="HW459" s="2"/>
      <c r="HX459" s="2"/>
      <c r="HY459" s="2"/>
      <c r="HZ459" s="2"/>
      <c r="IA459" s="2"/>
      <c r="IB459" s="2"/>
      <c r="IC459" s="2"/>
    </row>
    <row r="460" spans="1:237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2"/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2"/>
      <c r="EE460" s="2"/>
      <c r="EF460" s="2"/>
      <c r="EG460" s="2"/>
      <c r="EH460" s="2"/>
      <c r="EI460" s="2"/>
      <c r="EJ460" s="2"/>
      <c r="EK460" s="2"/>
      <c r="EL460" s="2"/>
      <c r="EM460" s="2"/>
      <c r="EN460" s="2"/>
      <c r="EO460" s="2"/>
      <c r="EP460" s="2"/>
      <c r="EQ460" s="2"/>
      <c r="ER460" s="2"/>
      <c r="ES460" s="2"/>
      <c r="ET460" s="2"/>
      <c r="EU460" s="2"/>
      <c r="EV460" s="2"/>
      <c r="EW460" s="2"/>
      <c r="EX460" s="2"/>
      <c r="EY460" s="2"/>
      <c r="EZ460" s="2"/>
      <c r="FA460" s="2"/>
      <c r="FB460" s="2"/>
      <c r="FC460" s="2"/>
      <c r="FD460" s="2"/>
      <c r="FE460" s="2"/>
      <c r="FF460" s="2"/>
      <c r="FG460" s="2"/>
      <c r="FH460" s="2"/>
      <c r="FI460" s="2"/>
      <c r="FJ460" s="2"/>
      <c r="FK460" s="2"/>
      <c r="FL460" s="2"/>
      <c r="FM460" s="2"/>
      <c r="FN460" s="2"/>
      <c r="FO460" s="2"/>
      <c r="FP460" s="2"/>
      <c r="FQ460" s="2"/>
      <c r="FR460" s="2"/>
      <c r="FS460" s="2"/>
      <c r="FT460" s="2"/>
      <c r="FU460" s="2"/>
      <c r="FV460" s="2"/>
      <c r="FW460" s="2"/>
      <c r="FX460" s="2"/>
      <c r="FY460" s="2"/>
      <c r="FZ460" s="2"/>
      <c r="GA460" s="2"/>
      <c r="GB460" s="2"/>
      <c r="GC460" s="2"/>
      <c r="GD460" s="2"/>
      <c r="GE460" s="2"/>
      <c r="GF460" s="2"/>
      <c r="GG460" s="2"/>
      <c r="GH460" s="2"/>
      <c r="GI460" s="2"/>
      <c r="GJ460" s="2"/>
      <c r="GK460" s="2"/>
      <c r="GL460" s="2"/>
      <c r="GM460" s="2"/>
      <c r="GN460" s="2"/>
      <c r="GO460" s="2"/>
      <c r="GP460" s="2"/>
      <c r="GQ460" s="2"/>
      <c r="GR460" s="2"/>
      <c r="GS460" s="2"/>
      <c r="GT460" s="2"/>
      <c r="GU460" s="2"/>
      <c r="GV460" s="2"/>
      <c r="GW460" s="2"/>
      <c r="GX460" s="2"/>
      <c r="GY460" s="2"/>
      <c r="GZ460" s="2"/>
      <c r="HA460" s="2"/>
      <c r="HB460" s="2"/>
      <c r="HC460" s="2"/>
      <c r="HD460" s="2"/>
      <c r="HE460" s="2"/>
      <c r="HF460" s="2"/>
      <c r="HG460" s="2"/>
      <c r="HH460" s="2"/>
      <c r="HI460" s="2"/>
      <c r="HJ460" s="2"/>
      <c r="HK460" s="2"/>
      <c r="HL460" s="2"/>
      <c r="HM460" s="2"/>
      <c r="HN460" s="2"/>
      <c r="HO460" s="2"/>
      <c r="HP460" s="2"/>
      <c r="HQ460" s="2"/>
      <c r="HR460" s="2"/>
      <c r="HS460" s="2"/>
      <c r="HT460" s="2"/>
      <c r="HU460" s="2"/>
      <c r="HV460" s="2"/>
      <c r="HW460" s="2"/>
      <c r="HX460" s="2"/>
      <c r="HY460" s="2"/>
      <c r="HZ460" s="2"/>
      <c r="IA460" s="2"/>
      <c r="IB460" s="2"/>
      <c r="IC460" s="2"/>
    </row>
    <row r="461" spans="1:237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2"/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2"/>
      <c r="EE461" s="2"/>
      <c r="EF461" s="2"/>
      <c r="EG461" s="2"/>
      <c r="EH461" s="2"/>
      <c r="EI461" s="2"/>
      <c r="EJ461" s="2"/>
      <c r="EK461" s="2"/>
      <c r="EL461" s="2"/>
      <c r="EM461" s="2"/>
      <c r="EN461" s="2"/>
      <c r="EO461" s="2"/>
      <c r="EP461" s="2"/>
      <c r="EQ461" s="2"/>
      <c r="ER461" s="2"/>
      <c r="ES461" s="2"/>
      <c r="ET461" s="2"/>
      <c r="EU461" s="2"/>
      <c r="EV461" s="2"/>
      <c r="EW461" s="2"/>
      <c r="EX461" s="2"/>
      <c r="EY461" s="2"/>
      <c r="EZ461" s="2"/>
      <c r="FA461" s="2"/>
      <c r="FB461" s="2"/>
      <c r="FC461" s="2"/>
      <c r="FD461" s="2"/>
      <c r="FE461" s="2"/>
      <c r="FF461" s="2"/>
      <c r="FG461" s="2"/>
      <c r="FH461" s="2"/>
      <c r="FI461" s="2"/>
      <c r="FJ461" s="2"/>
      <c r="FK461" s="2"/>
      <c r="FL461" s="2"/>
      <c r="FM461" s="2"/>
      <c r="FN461" s="2"/>
      <c r="FO461" s="2"/>
      <c r="FP461" s="2"/>
      <c r="FQ461" s="2"/>
      <c r="FR461" s="2"/>
      <c r="FS461" s="2"/>
      <c r="FT461" s="2"/>
      <c r="FU461" s="2"/>
      <c r="FV461" s="2"/>
      <c r="FW461" s="2"/>
      <c r="FX461" s="2"/>
      <c r="FY461" s="2"/>
      <c r="FZ461" s="2"/>
      <c r="GA461" s="2"/>
      <c r="GB461" s="2"/>
      <c r="GC461" s="2"/>
      <c r="GD461" s="2"/>
      <c r="GE461" s="2"/>
      <c r="GF461" s="2"/>
      <c r="GG461" s="2"/>
      <c r="GH461" s="2"/>
      <c r="GI461" s="2"/>
      <c r="GJ461" s="2"/>
      <c r="GK461" s="2"/>
      <c r="GL461" s="2"/>
      <c r="GM461" s="2"/>
      <c r="GN461" s="2"/>
      <c r="GO461" s="2"/>
      <c r="GP461" s="2"/>
      <c r="GQ461" s="2"/>
      <c r="GR461" s="2"/>
      <c r="GS461" s="2"/>
      <c r="GT461" s="2"/>
      <c r="GU461" s="2"/>
      <c r="GV461" s="2"/>
      <c r="GW461" s="2"/>
      <c r="GX461" s="2"/>
      <c r="GY461" s="2"/>
      <c r="GZ461" s="2"/>
      <c r="HA461" s="2"/>
      <c r="HB461" s="2"/>
      <c r="HC461" s="2"/>
      <c r="HD461" s="2"/>
      <c r="HE461" s="2"/>
      <c r="HF461" s="2"/>
      <c r="HG461" s="2"/>
      <c r="HH461" s="2"/>
      <c r="HI461" s="2"/>
      <c r="HJ461" s="2"/>
      <c r="HK461" s="2"/>
      <c r="HL461" s="2"/>
      <c r="HM461" s="2"/>
      <c r="HN461" s="2"/>
      <c r="HO461" s="2"/>
      <c r="HP461" s="2"/>
      <c r="HQ461" s="2"/>
      <c r="HR461" s="2"/>
      <c r="HS461" s="2"/>
      <c r="HT461" s="2"/>
      <c r="HU461" s="2"/>
      <c r="HV461" s="2"/>
      <c r="HW461" s="2"/>
      <c r="HX461" s="2"/>
      <c r="HY461" s="2"/>
      <c r="HZ461" s="2"/>
      <c r="IA461" s="2"/>
      <c r="IB461" s="2"/>
      <c r="IC461" s="2"/>
    </row>
    <row r="462" spans="1:237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2"/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2"/>
      <c r="EE462" s="2"/>
      <c r="EF462" s="2"/>
      <c r="EG462" s="2"/>
      <c r="EH462" s="2"/>
      <c r="EI462" s="2"/>
      <c r="EJ462" s="2"/>
      <c r="EK462" s="2"/>
      <c r="EL462" s="2"/>
      <c r="EM462" s="2"/>
      <c r="EN462" s="2"/>
      <c r="EO462" s="2"/>
      <c r="EP462" s="2"/>
      <c r="EQ462" s="2"/>
      <c r="ER462" s="2"/>
      <c r="ES462" s="2"/>
      <c r="ET462" s="2"/>
      <c r="EU462" s="2"/>
      <c r="EV462" s="2"/>
      <c r="EW462" s="2"/>
      <c r="EX462" s="2"/>
      <c r="EY462" s="2"/>
      <c r="EZ462" s="2"/>
      <c r="FA462" s="2"/>
      <c r="FB462" s="2"/>
      <c r="FC462" s="2"/>
      <c r="FD462" s="2"/>
      <c r="FE462" s="2"/>
      <c r="FF462" s="2"/>
      <c r="FG462" s="2"/>
      <c r="FH462" s="2"/>
      <c r="FI462" s="2"/>
      <c r="FJ462" s="2"/>
      <c r="FK462" s="2"/>
      <c r="FL462" s="2"/>
      <c r="FM462" s="2"/>
      <c r="FN462" s="2"/>
      <c r="FO462" s="2"/>
      <c r="FP462" s="2"/>
      <c r="FQ462" s="2"/>
      <c r="FR462" s="2"/>
      <c r="FS462" s="2"/>
      <c r="FT462" s="2"/>
      <c r="FU462" s="2"/>
      <c r="FV462" s="2"/>
      <c r="FW462" s="2"/>
      <c r="FX462" s="2"/>
      <c r="FY462" s="2"/>
      <c r="FZ462" s="2"/>
      <c r="GA462" s="2"/>
      <c r="GB462" s="2"/>
      <c r="GC462" s="2"/>
      <c r="GD462" s="2"/>
      <c r="GE462" s="2"/>
      <c r="GF462" s="2"/>
      <c r="GG462" s="2"/>
      <c r="GH462" s="2"/>
      <c r="GI462" s="2"/>
      <c r="GJ462" s="2"/>
      <c r="GK462" s="2"/>
      <c r="GL462" s="2"/>
      <c r="GM462" s="2"/>
      <c r="GN462" s="2"/>
      <c r="GO462" s="2"/>
      <c r="GP462" s="2"/>
      <c r="GQ462" s="2"/>
      <c r="GR462" s="2"/>
      <c r="GS462" s="2"/>
      <c r="GT462" s="2"/>
      <c r="GU462" s="2"/>
      <c r="GV462" s="2"/>
      <c r="GW462" s="2"/>
      <c r="GX462" s="2"/>
      <c r="GY462" s="2"/>
      <c r="GZ462" s="2"/>
      <c r="HA462" s="2"/>
      <c r="HB462" s="2"/>
      <c r="HC462" s="2"/>
      <c r="HD462" s="2"/>
      <c r="HE462" s="2"/>
      <c r="HF462" s="2"/>
      <c r="HG462" s="2"/>
      <c r="HH462" s="2"/>
      <c r="HI462" s="2"/>
      <c r="HJ462" s="2"/>
      <c r="HK462" s="2"/>
      <c r="HL462" s="2"/>
      <c r="HM462" s="2"/>
      <c r="HN462" s="2"/>
      <c r="HO462" s="2"/>
      <c r="HP462" s="2"/>
      <c r="HQ462" s="2"/>
      <c r="HR462" s="2"/>
      <c r="HS462" s="2"/>
      <c r="HT462" s="2"/>
      <c r="HU462" s="2"/>
      <c r="HV462" s="2"/>
      <c r="HW462" s="2"/>
      <c r="HX462" s="2"/>
      <c r="HY462" s="2"/>
      <c r="HZ462" s="2"/>
      <c r="IA462" s="2"/>
      <c r="IB462" s="2"/>
      <c r="IC462" s="2"/>
    </row>
    <row r="463" spans="1:237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2"/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2"/>
      <c r="EE463" s="2"/>
      <c r="EF463" s="2"/>
      <c r="EG463" s="2"/>
      <c r="EH463" s="2"/>
      <c r="EI463" s="2"/>
      <c r="EJ463" s="2"/>
      <c r="EK463" s="2"/>
      <c r="EL463" s="2"/>
      <c r="EM463" s="2"/>
      <c r="EN463" s="2"/>
      <c r="EO463" s="2"/>
      <c r="EP463" s="2"/>
      <c r="EQ463" s="2"/>
      <c r="ER463" s="2"/>
      <c r="ES463" s="2"/>
      <c r="ET463" s="2"/>
      <c r="EU463" s="2"/>
      <c r="EV463" s="2"/>
      <c r="EW463" s="2"/>
      <c r="EX463" s="2"/>
      <c r="EY463" s="2"/>
      <c r="EZ463" s="2"/>
      <c r="FA463" s="2"/>
      <c r="FB463" s="2"/>
      <c r="FC463" s="2"/>
      <c r="FD463" s="2"/>
      <c r="FE463" s="2"/>
      <c r="FF463" s="2"/>
      <c r="FG463" s="2"/>
      <c r="FH463" s="2"/>
      <c r="FI463" s="2"/>
      <c r="FJ463" s="2"/>
      <c r="FK463" s="2"/>
      <c r="FL463" s="2"/>
      <c r="FM463" s="2"/>
      <c r="FN463" s="2"/>
      <c r="FO463" s="2"/>
      <c r="FP463" s="2"/>
      <c r="FQ463" s="2"/>
      <c r="FR463" s="2"/>
      <c r="FS463" s="2"/>
      <c r="FT463" s="2"/>
      <c r="FU463" s="2"/>
      <c r="FV463" s="2"/>
      <c r="FW463" s="2"/>
      <c r="FX463" s="2"/>
      <c r="FY463" s="2"/>
      <c r="FZ463" s="2"/>
      <c r="GA463" s="2"/>
      <c r="GB463" s="2"/>
      <c r="GC463" s="2"/>
      <c r="GD463" s="2"/>
      <c r="GE463" s="2"/>
      <c r="GF463" s="2"/>
      <c r="GG463" s="2"/>
      <c r="GH463" s="2"/>
      <c r="GI463" s="2"/>
      <c r="GJ463" s="2"/>
      <c r="GK463" s="2"/>
      <c r="GL463" s="2"/>
      <c r="GM463" s="2"/>
      <c r="GN463" s="2"/>
      <c r="GO463" s="2"/>
      <c r="GP463" s="2"/>
      <c r="GQ463" s="2"/>
      <c r="GR463" s="2"/>
      <c r="GS463" s="2"/>
      <c r="GT463" s="2"/>
      <c r="GU463" s="2"/>
      <c r="GV463" s="2"/>
      <c r="GW463" s="2"/>
      <c r="GX463" s="2"/>
      <c r="GY463" s="2"/>
      <c r="GZ463" s="2"/>
      <c r="HA463" s="2"/>
      <c r="HB463" s="2"/>
      <c r="HC463" s="2"/>
      <c r="HD463" s="2"/>
      <c r="HE463" s="2"/>
      <c r="HF463" s="2"/>
      <c r="HG463" s="2"/>
      <c r="HH463" s="2"/>
      <c r="HI463" s="2"/>
      <c r="HJ463" s="2"/>
      <c r="HK463" s="2"/>
      <c r="HL463" s="2"/>
      <c r="HM463" s="2"/>
      <c r="HN463" s="2"/>
      <c r="HO463" s="2"/>
      <c r="HP463" s="2"/>
      <c r="HQ463" s="2"/>
      <c r="HR463" s="2"/>
      <c r="HS463" s="2"/>
      <c r="HT463" s="2"/>
      <c r="HU463" s="2"/>
      <c r="HV463" s="2"/>
      <c r="HW463" s="2"/>
      <c r="HX463" s="2"/>
      <c r="HY463" s="2"/>
      <c r="HZ463" s="2"/>
      <c r="IA463" s="2"/>
      <c r="IB463" s="2"/>
      <c r="IC463" s="2"/>
    </row>
    <row r="464" spans="1:237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2"/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2"/>
      <c r="EE464" s="2"/>
      <c r="EF464" s="2"/>
      <c r="EG464" s="2"/>
      <c r="EH464" s="2"/>
      <c r="EI464" s="2"/>
      <c r="EJ464" s="2"/>
      <c r="EK464" s="2"/>
      <c r="EL464" s="2"/>
      <c r="EM464" s="2"/>
      <c r="EN464" s="2"/>
      <c r="EO464" s="2"/>
      <c r="EP464" s="2"/>
      <c r="EQ464" s="2"/>
      <c r="ER464" s="2"/>
      <c r="ES464" s="2"/>
      <c r="ET464" s="2"/>
      <c r="EU464" s="2"/>
      <c r="EV464" s="2"/>
      <c r="EW464" s="2"/>
      <c r="EX464" s="2"/>
      <c r="EY464" s="2"/>
      <c r="EZ464" s="2"/>
      <c r="FA464" s="2"/>
      <c r="FB464" s="2"/>
      <c r="FC464" s="2"/>
      <c r="FD464" s="2"/>
      <c r="FE464" s="2"/>
      <c r="FF464" s="2"/>
      <c r="FG464" s="2"/>
      <c r="FH464" s="2"/>
      <c r="FI464" s="2"/>
      <c r="FJ464" s="2"/>
      <c r="FK464" s="2"/>
      <c r="FL464" s="2"/>
      <c r="FM464" s="2"/>
      <c r="FN464" s="2"/>
      <c r="FO464" s="2"/>
      <c r="FP464" s="2"/>
      <c r="FQ464" s="2"/>
      <c r="FR464" s="2"/>
      <c r="FS464" s="2"/>
      <c r="FT464" s="2"/>
      <c r="FU464" s="2"/>
      <c r="FV464" s="2"/>
      <c r="FW464" s="2"/>
      <c r="FX464" s="2"/>
      <c r="FY464" s="2"/>
      <c r="FZ464" s="2"/>
      <c r="GA464" s="2"/>
      <c r="GB464" s="2"/>
      <c r="GC464" s="2"/>
      <c r="GD464" s="2"/>
      <c r="GE464" s="2"/>
      <c r="GF464" s="2"/>
      <c r="GG464" s="2"/>
      <c r="GH464" s="2"/>
      <c r="GI464" s="2"/>
      <c r="GJ464" s="2"/>
      <c r="GK464" s="2"/>
      <c r="GL464" s="2"/>
      <c r="GM464" s="2"/>
      <c r="GN464" s="2"/>
      <c r="GO464" s="2"/>
      <c r="GP464" s="2"/>
      <c r="GQ464" s="2"/>
      <c r="GR464" s="2"/>
      <c r="GS464" s="2"/>
      <c r="GT464" s="2"/>
      <c r="GU464" s="2"/>
      <c r="GV464" s="2"/>
      <c r="GW464" s="2"/>
      <c r="GX464" s="2"/>
      <c r="GY464" s="2"/>
      <c r="GZ464" s="2"/>
      <c r="HA464" s="2"/>
      <c r="HB464" s="2"/>
      <c r="HC464" s="2"/>
      <c r="HD464" s="2"/>
      <c r="HE464" s="2"/>
      <c r="HF464" s="2"/>
      <c r="HG464" s="2"/>
      <c r="HH464" s="2"/>
      <c r="HI464" s="2"/>
      <c r="HJ464" s="2"/>
      <c r="HK464" s="2"/>
      <c r="HL464" s="2"/>
      <c r="HM464" s="2"/>
      <c r="HN464" s="2"/>
      <c r="HO464" s="2"/>
      <c r="HP464" s="2"/>
      <c r="HQ464" s="2"/>
      <c r="HR464" s="2"/>
      <c r="HS464" s="2"/>
      <c r="HT464" s="2"/>
      <c r="HU464" s="2"/>
      <c r="HV464" s="2"/>
      <c r="HW464" s="2"/>
      <c r="HX464" s="2"/>
      <c r="HY464" s="2"/>
      <c r="HZ464" s="2"/>
      <c r="IA464" s="2"/>
      <c r="IB464" s="2"/>
      <c r="IC464" s="2"/>
    </row>
    <row r="465" spans="1:237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2"/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2"/>
      <c r="EE465" s="2"/>
      <c r="EF465" s="2"/>
      <c r="EG465" s="2"/>
      <c r="EH465" s="2"/>
      <c r="EI465" s="2"/>
      <c r="EJ465" s="2"/>
      <c r="EK465" s="2"/>
      <c r="EL465" s="2"/>
      <c r="EM465" s="2"/>
      <c r="EN465" s="2"/>
      <c r="EO465" s="2"/>
      <c r="EP465" s="2"/>
      <c r="EQ465" s="2"/>
      <c r="ER465" s="2"/>
      <c r="ES465" s="2"/>
      <c r="ET465" s="2"/>
      <c r="EU465" s="2"/>
      <c r="EV465" s="2"/>
      <c r="EW465" s="2"/>
      <c r="EX465" s="2"/>
      <c r="EY465" s="2"/>
      <c r="EZ465" s="2"/>
      <c r="FA465" s="2"/>
      <c r="FB465" s="2"/>
      <c r="FC465" s="2"/>
      <c r="FD465" s="2"/>
      <c r="FE465" s="2"/>
      <c r="FF465" s="2"/>
      <c r="FG465" s="2"/>
      <c r="FH465" s="2"/>
      <c r="FI465" s="2"/>
      <c r="FJ465" s="2"/>
      <c r="FK465" s="2"/>
      <c r="FL465" s="2"/>
      <c r="FM465" s="2"/>
      <c r="FN465" s="2"/>
      <c r="FO465" s="2"/>
      <c r="FP465" s="2"/>
      <c r="FQ465" s="2"/>
      <c r="FR465" s="2"/>
      <c r="FS465" s="2"/>
      <c r="FT465" s="2"/>
      <c r="FU465" s="2"/>
      <c r="FV465" s="2"/>
      <c r="FW465" s="2"/>
      <c r="FX465" s="2"/>
      <c r="FY465" s="2"/>
      <c r="FZ465" s="2"/>
      <c r="GA465" s="2"/>
      <c r="GB465" s="2"/>
      <c r="GC465" s="2"/>
      <c r="GD465" s="2"/>
      <c r="GE465" s="2"/>
      <c r="GF465" s="2"/>
      <c r="GG465" s="2"/>
      <c r="GH465" s="2"/>
      <c r="GI465" s="2"/>
      <c r="GJ465" s="2"/>
      <c r="GK465" s="2"/>
      <c r="GL465" s="2"/>
      <c r="GM465" s="2"/>
      <c r="GN465" s="2"/>
      <c r="GO465" s="2"/>
      <c r="GP465" s="2"/>
      <c r="GQ465" s="2"/>
      <c r="GR465" s="2"/>
      <c r="GS465" s="2"/>
      <c r="GT465" s="2"/>
      <c r="GU465" s="2"/>
      <c r="GV465" s="2"/>
      <c r="GW465" s="2"/>
      <c r="GX465" s="2"/>
      <c r="GY465" s="2"/>
      <c r="GZ465" s="2"/>
      <c r="HA465" s="2"/>
      <c r="HB465" s="2"/>
      <c r="HC465" s="2"/>
      <c r="HD465" s="2"/>
      <c r="HE465" s="2"/>
      <c r="HF465" s="2"/>
      <c r="HG465" s="2"/>
      <c r="HH465" s="2"/>
      <c r="HI465" s="2"/>
      <c r="HJ465" s="2"/>
      <c r="HK465" s="2"/>
      <c r="HL465" s="2"/>
      <c r="HM465" s="2"/>
      <c r="HN465" s="2"/>
      <c r="HO465" s="2"/>
      <c r="HP465" s="2"/>
      <c r="HQ465" s="2"/>
      <c r="HR465" s="2"/>
      <c r="HS465" s="2"/>
      <c r="HT465" s="2"/>
      <c r="HU465" s="2"/>
      <c r="HV465" s="2"/>
      <c r="HW465" s="2"/>
      <c r="HX465" s="2"/>
      <c r="HY465" s="2"/>
      <c r="HZ465" s="2"/>
      <c r="IA465" s="2"/>
      <c r="IB465" s="2"/>
      <c r="IC465" s="2"/>
    </row>
    <row r="466" spans="1:237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2"/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2"/>
      <c r="EE466" s="2"/>
      <c r="EF466" s="2"/>
      <c r="EG466" s="2"/>
      <c r="EH466" s="2"/>
      <c r="EI466" s="2"/>
      <c r="EJ466" s="2"/>
      <c r="EK466" s="2"/>
      <c r="EL466" s="2"/>
      <c r="EM466" s="2"/>
      <c r="EN466" s="2"/>
      <c r="EO466" s="2"/>
      <c r="EP466" s="2"/>
      <c r="EQ466" s="2"/>
      <c r="ER466" s="2"/>
      <c r="ES466" s="2"/>
      <c r="ET466" s="2"/>
      <c r="EU466" s="2"/>
      <c r="EV466" s="2"/>
      <c r="EW466" s="2"/>
      <c r="EX466" s="2"/>
      <c r="EY466" s="2"/>
      <c r="EZ466" s="2"/>
      <c r="FA466" s="2"/>
      <c r="FB466" s="2"/>
      <c r="FC466" s="2"/>
      <c r="FD466" s="2"/>
      <c r="FE466" s="2"/>
      <c r="FF466" s="2"/>
      <c r="FG466" s="2"/>
      <c r="FH466" s="2"/>
      <c r="FI466" s="2"/>
      <c r="FJ466" s="2"/>
      <c r="FK466" s="2"/>
      <c r="FL466" s="2"/>
      <c r="FM466" s="2"/>
      <c r="FN466" s="2"/>
      <c r="FO466" s="2"/>
      <c r="FP466" s="2"/>
      <c r="FQ466" s="2"/>
      <c r="FR466" s="2"/>
      <c r="FS466" s="2"/>
      <c r="FT466" s="2"/>
      <c r="FU466" s="2"/>
      <c r="FV466" s="2"/>
      <c r="FW466" s="2"/>
      <c r="FX466" s="2"/>
      <c r="FY466" s="2"/>
      <c r="FZ466" s="2"/>
      <c r="GA466" s="2"/>
      <c r="GB466" s="2"/>
      <c r="GC466" s="2"/>
      <c r="GD466" s="2"/>
      <c r="GE466" s="2"/>
      <c r="GF466" s="2"/>
      <c r="GG466" s="2"/>
      <c r="GH466" s="2"/>
      <c r="GI466" s="2"/>
      <c r="GJ466" s="2"/>
      <c r="GK466" s="2"/>
      <c r="GL466" s="2"/>
      <c r="GM466" s="2"/>
      <c r="GN466" s="2"/>
      <c r="GO466" s="2"/>
      <c r="GP466" s="2"/>
      <c r="GQ466" s="2"/>
      <c r="GR466" s="2"/>
      <c r="GS466" s="2"/>
      <c r="GT466" s="2"/>
      <c r="GU466" s="2"/>
      <c r="GV466" s="2"/>
      <c r="GW466" s="2"/>
      <c r="GX466" s="2"/>
      <c r="GY466" s="2"/>
      <c r="GZ466" s="2"/>
      <c r="HA466" s="2"/>
      <c r="HB466" s="2"/>
      <c r="HC466" s="2"/>
      <c r="HD466" s="2"/>
      <c r="HE466" s="2"/>
      <c r="HF466" s="2"/>
      <c r="HG466" s="2"/>
      <c r="HH466" s="2"/>
      <c r="HI466" s="2"/>
      <c r="HJ466" s="2"/>
      <c r="HK466" s="2"/>
      <c r="HL466" s="2"/>
      <c r="HM466" s="2"/>
      <c r="HN466" s="2"/>
      <c r="HO466" s="2"/>
      <c r="HP466" s="2"/>
      <c r="HQ466" s="2"/>
      <c r="HR466" s="2"/>
      <c r="HS466" s="2"/>
      <c r="HT466" s="2"/>
      <c r="HU466" s="2"/>
      <c r="HV466" s="2"/>
      <c r="HW466" s="2"/>
      <c r="HX466" s="2"/>
      <c r="HY466" s="2"/>
      <c r="HZ466" s="2"/>
      <c r="IA466" s="2"/>
      <c r="IB466" s="2"/>
      <c r="IC466" s="2"/>
    </row>
    <row r="467" spans="1:237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2"/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2"/>
      <c r="EE467" s="2"/>
      <c r="EF467" s="2"/>
      <c r="EG467" s="2"/>
      <c r="EH467" s="2"/>
      <c r="EI467" s="2"/>
      <c r="EJ467" s="2"/>
      <c r="EK467" s="2"/>
      <c r="EL467" s="2"/>
      <c r="EM467" s="2"/>
      <c r="EN467" s="2"/>
      <c r="EO467" s="2"/>
      <c r="EP467" s="2"/>
      <c r="EQ467" s="2"/>
      <c r="ER467" s="2"/>
      <c r="ES467" s="2"/>
      <c r="ET467" s="2"/>
      <c r="EU467" s="2"/>
      <c r="EV467" s="2"/>
      <c r="EW467" s="2"/>
      <c r="EX467" s="2"/>
      <c r="EY467" s="2"/>
      <c r="EZ467" s="2"/>
      <c r="FA467" s="2"/>
      <c r="FB467" s="2"/>
      <c r="FC467" s="2"/>
      <c r="FD467" s="2"/>
      <c r="FE467" s="2"/>
      <c r="FF467" s="2"/>
      <c r="FG467" s="2"/>
      <c r="FH467" s="2"/>
      <c r="FI467" s="2"/>
      <c r="FJ467" s="2"/>
      <c r="FK467" s="2"/>
      <c r="FL467" s="2"/>
      <c r="FM467" s="2"/>
      <c r="FN467" s="2"/>
      <c r="FO467" s="2"/>
      <c r="FP467" s="2"/>
      <c r="FQ467" s="2"/>
      <c r="FR467" s="2"/>
      <c r="FS467" s="2"/>
      <c r="FT467" s="2"/>
      <c r="FU467" s="2"/>
      <c r="FV467" s="2"/>
      <c r="FW467" s="2"/>
      <c r="FX467" s="2"/>
      <c r="FY467" s="2"/>
      <c r="FZ467" s="2"/>
      <c r="GA467" s="2"/>
      <c r="GB467" s="2"/>
      <c r="GC467" s="2"/>
      <c r="GD467" s="2"/>
      <c r="GE467" s="2"/>
      <c r="GF467" s="2"/>
      <c r="GG467" s="2"/>
      <c r="GH467" s="2"/>
      <c r="GI467" s="2"/>
      <c r="GJ467" s="2"/>
      <c r="GK467" s="2"/>
      <c r="GL467" s="2"/>
      <c r="GM467" s="2"/>
      <c r="GN467" s="2"/>
      <c r="GO467" s="2"/>
      <c r="GP467" s="2"/>
      <c r="GQ467" s="2"/>
      <c r="GR467" s="2"/>
      <c r="GS467" s="2"/>
      <c r="GT467" s="2"/>
      <c r="GU467" s="2"/>
      <c r="GV467" s="2"/>
      <c r="GW467" s="2"/>
      <c r="GX467" s="2"/>
      <c r="GY467" s="2"/>
      <c r="GZ467" s="2"/>
      <c r="HA467" s="2"/>
      <c r="HB467" s="2"/>
      <c r="HC467" s="2"/>
      <c r="HD467" s="2"/>
      <c r="HE467" s="2"/>
      <c r="HF467" s="2"/>
      <c r="HG467" s="2"/>
      <c r="HH467" s="2"/>
      <c r="HI467" s="2"/>
      <c r="HJ467" s="2"/>
      <c r="HK467" s="2"/>
      <c r="HL467" s="2"/>
      <c r="HM467" s="2"/>
      <c r="HN467" s="2"/>
      <c r="HO467" s="2"/>
      <c r="HP467" s="2"/>
      <c r="HQ467" s="2"/>
      <c r="HR467" s="2"/>
      <c r="HS467" s="2"/>
      <c r="HT467" s="2"/>
      <c r="HU467" s="2"/>
      <c r="HV467" s="2"/>
      <c r="HW467" s="2"/>
      <c r="HX467" s="2"/>
      <c r="HY467" s="2"/>
      <c r="HZ467" s="2"/>
      <c r="IA467" s="2"/>
      <c r="IB467" s="2"/>
      <c r="IC467" s="2"/>
    </row>
    <row r="468" spans="1:237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2"/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2"/>
      <c r="EE468" s="2"/>
      <c r="EF468" s="2"/>
      <c r="EG468" s="2"/>
      <c r="EH468" s="2"/>
      <c r="EI468" s="2"/>
      <c r="EJ468" s="2"/>
      <c r="EK468" s="2"/>
      <c r="EL468" s="2"/>
      <c r="EM468" s="2"/>
      <c r="EN468" s="2"/>
      <c r="EO468" s="2"/>
      <c r="EP468" s="2"/>
      <c r="EQ468" s="2"/>
      <c r="ER468" s="2"/>
      <c r="ES468" s="2"/>
      <c r="ET468" s="2"/>
      <c r="EU468" s="2"/>
      <c r="EV468" s="2"/>
      <c r="EW468" s="2"/>
      <c r="EX468" s="2"/>
      <c r="EY468" s="2"/>
      <c r="EZ468" s="2"/>
      <c r="FA468" s="2"/>
      <c r="FB468" s="2"/>
      <c r="FC468" s="2"/>
      <c r="FD468" s="2"/>
      <c r="FE468" s="2"/>
      <c r="FF468" s="2"/>
      <c r="FG468" s="2"/>
      <c r="FH468" s="2"/>
      <c r="FI468" s="2"/>
      <c r="FJ468" s="2"/>
      <c r="FK468" s="2"/>
      <c r="FL468" s="2"/>
      <c r="FM468" s="2"/>
      <c r="FN468" s="2"/>
      <c r="FO468" s="2"/>
      <c r="FP468" s="2"/>
      <c r="FQ468" s="2"/>
      <c r="FR468" s="2"/>
      <c r="FS468" s="2"/>
      <c r="FT468" s="2"/>
      <c r="FU468" s="2"/>
      <c r="FV468" s="2"/>
      <c r="FW468" s="2"/>
      <c r="FX468" s="2"/>
      <c r="FY468" s="2"/>
      <c r="FZ468" s="2"/>
      <c r="GA468" s="2"/>
      <c r="GB468" s="2"/>
      <c r="GC468" s="2"/>
      <c r="GD468" s="2"/>
      <c r="GE468" s="2"/>
      <c r="GF468" s="2"/>
      <c r="GG468" s="2"/>
      <c r="GH468" s="2"/>
      <c r="GI468" s="2"/>
      <c r="GJ468" s="2"/>
      <c r="GK468" s="2"/>
      <c r="GL468" s="2"/>
      <c r="GM468" s="2"/>
      <c r="GN468" s="2"/>
      <c r="GO468" s="2"/>
      <c r="GP468" s="2"/>
      <c r="GQ468" s="2"/>
      <c r="GR468" s="2"/>
      <c r="GS468" s="2"/>
      <c r="GT468" s="2"/>
      <c r="GU468" s="2"/>
      <c r="GV468" s="2"/>
      <c r="GW468" s="2"/>
      <c r="GX468" s="2"/>
      <c r="GY468" s="2"/>
      <c r="GZ468" s="2"/>
      <c r="HA468" s="2"/>
      <c r="HB468" s="2"/>
      <c r="HC468" s="2"/>
      <c r="HD468" s="2"/>
      <c r="HE468" s="2"/>
      <c r="HF468" s="2"/>
      <c r="HG468" s="2"/>
      <c r="HH468" s="2"/>
      <c r="HI468" s="2"/>
      <c r="HJ468" s="2"/>
      <c r="HK468" s="2"/>
      <c r="HL468" s="2"/>
      <c r="HM468" s="2"/>
      <c r="HN468" s="2"/>
      <c r="HO468" s="2"/>
      <c r="HP468" s="2"/>
      <c r="HQ468" s="2"/>
      <c r="HR468" s="2"/>
      <c r="HS468" s="2"/>
      <c r="HT468" s="2"/>
      <c r="HU468" s="2"/>
      <c r="HV468" s="2"/>
      <c r="HW468" s="2"/>
      <c r="HX468" s="2"/>
      <c r="HY468" s="2"/>
      <c r="HZ468" s="2"/>
      <c r="IA468" s="2"/>
      <c r="IB468" s="2"/>
      <c r="IC468" s="2"/>
    </row>
    <row r="469" spans="1:237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2"/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2"/>
      <c r="EE469" s="2"/>
      <c r="EF469" s="2"/>
      <c r="EG469" s="2"/>
      <c r="EH469" s="2"/>
      <c r="EI469" s="2"/>
      <c r="EJ469" s="2"/>
      <c r="EK469" s="2"/>
      <c r="EL469" s="2"/>
      <c r="EM469" s="2"/>
      <c r="EN469" s="2"/>
      <c r="EO469" s="2"/>
      <c r="EP469" s="2"/>
      <c r="EQ469" s="2"/>
      <c r="ER469" s="2"/>
      <c r="ES469" s="2"/>
      <c r="ET469" s="2"/>
      <c r="EU469" s="2"/>
      <c r="EV469" s="2"/>
      <c r="EW469" s="2"/>
      <c r="EX469" s="2"/>
      <c r="EY469" s="2"/>
      <c r="EZ469" s="2"/>
      <c r="FA469" s="2"/>
      <c r="FB469" s="2"/>
      <c r="FC469" s="2"/>
      <c r="FD469" s="2"/>
      <c r="FE469" s="2"/>
      <c r="FF469" s="2"/>
      <c r="FG469" s="2"/>
      <c r="FH469" s="2"/>
      <c r="FI469" s="2"/>
      <c r="FJ469" s="2"/>
      <c r="FK469" s="2"/>
      <c r="FL469" s="2"/>
      <c r="FM469" s="2"/>
      <c r="FN469" s="2"/>
      <c r="FO469" s="2"/>
      <c r="FP469" s="2"/>
      <c r="FQ469" s="2"/>
      <c r="FR469" s="2"/>
      <c r="FS469" s="2"/>
      <c r="FT469" s="2"/>
      <c r="FU469" s="2"/>
      <c r="FV469" s="2"/>
      <c r="FW469" s="2"/>
      <c r="FX469" s="2"/>
      <c r="FY469" s="2"/>
      <c r="FZ469" s="2"/>
      <c r="GA469" s="2"/>
      <c r="GB469" s="2"/>
      <c r="GC469" s="2"/>
      <c r="GD469" s="2"/>
      <c r="GE469" s="2"/>
      <c r="GF469" s="2"/>
      <c r="GG469" s="2"/>
      <c r="GH469" s="2"/>
      <c r="GI469" s="2"/>
      <c r="GJ469" s="2"/>
      <c r="GK469" s="2"/>
      <c r="GL469" s="2"/>
      <c r="GM469" s="2"/>
      <c r="GN469" s="2"/>
      <c r="GO469" s="2"/>
      <c r="GP469" s="2"/>
      <c r="GQ469" s="2"/>
      <c r="GR469" s="2"/>
      <c r="GS469" s="2"/>
      <c r="GT469" s="2"/>
      <c r="GU469" s="2"/>
      <c r="GV469" s="2"/>
      <c r="GW469" s="2"/>
      <c r="GX469" s="2"/>
      <c r="GY469" s="2"/>
      <c r="GZ469" s="2"/>
      <c r="HA469" s="2"/>
      <c r="HB469" s="2"/>
      <c r="HC469" s="2"/>
      <c r="HD469" s="2"/>
      <c r="HE469" s="2"/>
      <c r="HF469" s="2"/>
      <c r="HG469" s="2"/>
      <c r="HH469" s="2"/>
      <c r="HI469" s="2"/>
      <c r="HJ469" s="2"/>
      <c r="HK469" s="2"/>
      <c r="HL469" s="2"/>
      <c r="HM469" s="2"/>
      <c r="HN469" s="2"/>
      <c r="HO469" s="2"/>
      <c r="HP469" s="2"/>
      <c r="HQ469" s="2"/>
      <c r="HR469" s="2"/>
      <c r="HS469" s="2"/>
      <c r="HT469" s="2"/>
      <c r="HU469" s="2"/>
      <c r="HV469" s="2"/>
      <c r="HW469" s="2"/>
      <c r="HX469" s="2"/>
      <c r="HY469" s="2"/>
      <c r="HZ469" s="2"/>
      <c r="IA469" s="2"/>
      <c r="IB469" s="2"/>
      <c r="IC469" s="2"/>
    </row>
    <row r="470" spans="1:237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2"/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2"/>
      <c r="EE470" s="2"/>
      <c r="EF470" s="2"/>
      <c r="EG470" s="2"/>
      <c r="EH470" s="2"/>
      <c r="EI470" s="2"/>
      <c r="EJ470" s="2"/>
      <c r="EK470" s="2"/>
      <c r="EL470" s="2"/>
      <c r="EM470" s="2"/>
      <c r="EN470" s="2"/>
      <c r="EO470" s="2"/>
      <c r="EP470" s="2"/>
      <c r="EQ470" s="2"/>
      <c r="ER470" s="2"/>
      <c r="ES470" s="2"/>
      <c r="ET470" s="2"/>
      <c r="EU470" s="2"/>
      <c r="EV470" s="2"/>
      <c r="EW470" s="2"/>
      <c r="EX470" s="2"/>
      <c r="EY470" s="2"/>
      <c r="EZ470" s="2"/>
      <c r="FA470" s="2"/>
      <c r="FB470" s="2"/>
      <c r="FC470" s="2"/>
      <c r="FD470" s="2"/>
      <c r="FE470" s="2"/>
      <c r="FF470" s="2"/>
      <c r="FG470" s="2"/>
      <c r="FH470" s="2"/>
      <c r="FI470" s="2"/>
      <c r="FJ470" s="2"/>
      <c r="FK470" s="2"/>
      <c r="FL470" s="2"/>
      <c r="FM470" s="2"/>
      <c r="FN470" s="2"/>
      <c r="FO470" s="2"/>
      <c r="FP470" s="2"/>
      <c r="FQ470" s="2"/>
      <c r="FR470" s="2"/>
      <c r="FS470" s="2"/>
      <c r="FT470" s="2"/>
      <c r="FU470" s="2"/>
      <c r="FV470" s="2"/>
      <c r="FW470" s="2"/>
      <c r="FX470" s="2"/>
      <c r="FY470" s="2"/>
      <c r="FZ470" s="2"/>
      <c r="GA470" s="2"/>
      <c r="GB470" s="2"/>
      <c r="GC470" s="2"/>
      <c r="GD470" s="2"/>
      <c r="GE470" s="2"/>
      <c r="GF470" s="2"/>
      <c r="GG470" s="2"/>
      <c r="GH470" s="2"/>
      <c r="GI470" s="2"/>
      <c r="GJ470" s="2"/>
      <c r="GK470" s="2"/>
      <c r="GL470" s="2"/>
      <c r="GM470" s="2"/>
      <c r="GN470" s="2"/>
      <c r="GO470" s="2"/>
      <c r="GP470" s="2"/>
      <c r="GQ470" s="2"/>
      <c r="GR470" s="2"/>
      <c r="GS470" s="2"/>
      <c r="GT470" s="2"/>
      <c r="GU470" s="2"/>
      <c r="GV470" s="2"/>
      <c r="GW470" s="2"/>
      <c r="GX470" s="2"/>
      <c r="GY470" s="2"/>
      <c r="GZ470" s="2"/>
      <c r="HA470" s="2"/>
      <c r="HB470" s="2"/>
      <c r="HC470" s="2"/>
      <c r="HD470" s="2"/>
      <c r="HE470" s="2"/>
      <c r="HF470" s="2"/>
      <c r="HG470" s="2"/>
      <c r="HH470" s="2"/>
      <c r="HI470" s="2"/>
      <c r="HJ470" s="2"/>
      <c r="HK470" s="2"/>
      <c r="HL470" s="2"/>
      <c r="HM470" s="2"/>
      <c r="HN470" s="2"/>
      <c r="HO470" s="2"/>
      <c r="HP470" s="2"/>
      <c r="HQ470" s="2"/>
      <c r="HR470" s="2"/>
      <c r="HS470" s="2"/>
      <c r="HT470" s="2"/>
      <c r="HU470" s="2"/>
      <c r="HV470" s="2"/>
      <c r="HW470" s="2"/>
      <c r="HX470" s="2"/>
      <c r="HY470" s="2"/>
      <c r="HZ470" s="2"/>
      <c r="IA470" s="2"/>
      <c r="IB470" s="2"/>
      <c r="IC470" s="2"/>
    </row>
    <row r="471" spans="1:237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2"/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2"/>
      <c r="EE471" s="2"/>
      <c r="EF471" s="2"/>
      <c r="EG471" s="2"/>
      <c r="EH471" s="2"/>
      <c r="EI471" s="2"/>
      <c r="EJ471" s="2"/>
      <c r="EK471" s="2"/>
      <c r="EL471" s="2"/>
      <c r="EM471" s="2"/>
      <c r="EN471" s="2"/>
      <c r="EO471" s="2"/>
      <c r="EP471" s="2"/>
      <c r="EQ471" s="2"/>
      <c r="ER471" s="2"/>
      <c r="ES471" s="2"/>
      <c r="ET471" s="2"/>
      <c r="EU471" s="2"/>
      <c r="EV471" s="2"/>
      <c r="EW471" s="2"/>
      <c r="EX471" s="2"/>
      <c r="EY471" s="2"/>
      <c r="EZ471" s="2"/>
      <c r="FA471" s="2"/>
      <c r="FB471" s="2"/>
      <c r="FC471" s="2"/>
      <c r="FD471" s="2"/>
      <c r="FE471" s="2"/>
      <c r="FF471" s="2"/>
      <c r="FG471" s="2"/>
      <c r="FH471" s="2"/>
      <c r="FI471" s="2"/>
      <c r="FJ471" s="2"/>
      <c r="FK471" s="2"/>
      <c r="FL471" s="2"/>
      <c r="FM471" s="2"/>
      <c r="FN471" s="2"/>
      <c r="FO471" s="2"/>
      <c r="FP471" s="2"/>
      <c r="FQ471" s="2"/>
      <c r="FR471" s="2"/>
      <c r="FS471" s="2"/>
      <c r="FT471" s="2"/>
      <c r="FU471" s="2"/>
      <c r="FV471" s="2"/>
      <c r="FW471" s="2"/>
      <c r="FX471" s="2"/>
      <c r="FY471" s="2"/>
      <c r="FZ471" s="2"/>
      <c r="GA471" s="2"/>
      <c r="GB471" s="2"/>
      <c r="GC471" s="2"/>
      <c r="GD471" s="2"/>
      <c r="GE471" s="2"/>
      <c r="GF471" s="2"/>
      <c r="GG471" s="2"/>
      <c r="GH471" s="2"/>
      <c r="GI471" s="2"/>
      <c r="GJ471" s="2"/>
      <c r="GK471" s="2"/>
      <c r="GL471" s="2"/>
      <c r="GM471" s="2"/>
      <c r="GN471" s="2"/>
      <c r="GO471" s="2"/>
      <c r="GP471" s="2"/>
      <c r="GQ471" s="2"/>
      <c r="GR471" s="2"/>
      <c r="GS471" s="2"/>
      <c r="GT471" s="2"/>
      <c r="GU471" s="2"/>
      <c r="GV471" s="2"/>
      <c r="GW471" s="2"/>
      <c r="GX471" s="2"/>
      <c r="GY471" s="2"/>
      <c r="GZ471" s="2"/>
      <c r="HA471" s="2"/>
      <c r="HB471" s="2"/>
      <c r="HC471" s="2"/>
      <c r="HD471" s="2"/>
      <c r="HE471" s="2"/>
      <c r="HF471" s="2"/>
      <c r="HG471" s="2"/>
      <c r="HH471" s="2"/>
      <c r="HI471" s="2"/>
      <c r="HJ471" s="2"/>
      <c r="HK471" s="2"/>
      <c r="HL471" s="2"/>
      <c r="HM471" s="2"/>
      <c r="HN471" s="2"/>
      <c r="HO471" s="2"/>
      <c r="HP471" s="2"/>
      <c r="HQ471" s="2"/>
      <c r="HR471" s="2"/>
      <c r="HS471" s="2"/>
      <c r="HT471" s="2"/>
      <c r="HU471" s="2"/>
      <c r="HV471" s="2"/>
      <c r="HW471" s="2"/>
      <c r="HX471" s="2"/>
      <c r="HY471" s="2"/>
      <c r="HZ471" s="2"/>
      <c r="IA471" s="2"/>
      <c r="IB471" s="2"/>
      <c r="IC471" s="2"/>
    </row>
    <row r="472" spans="1:237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2"/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2"/>
      <c r="EE472" s="2"/>
      <c r="EF472" s="2"/>
      <c r="EG472" s="2"/>
      <c r="EH472" s="2"/>
      <c r="EI472" s="2"/>
      <c r="EJ472" s="2"/>
      <c r="EK472" s="2"/>
      <c r="EL472" s="2"/>
      <c r="EM472" s="2"/>
      <c r="EN472" s="2"/>
      <c r="EO472" s="2"/>
      <c r="EP472" s="2"/>
      <c r="EQ472" s="2"/>
      <c r="ER472" s="2"/>
      <c r="ES472" s="2"/>
      <c r="ET472" s="2"/>
      <c r="EU472" s="2"/>
      <c r="EV472" s="2"/>
      <c r="EW472" s="2"/>
      <c r="EX472" s="2"/>
      <c r="EY472" s="2"/>
      <c r="EZ472" s="2"/>
      <c r="FA472" s="2"/>
      <c r="FB472" s="2"/>
      <c r="FC472" s="2"/>
      <c r="FD472" s="2"/>
      <c r="FE472" s="2"/>
      <c r="FF472" s="2"/>
      <c r="FG472" s="2"/>
      <c r="FH472" s="2"/>
      <c r="FI472" s="2"/>
      <c r="FJ472" s="2"/>
      <c r="FK472" s="2"/>
      <c r="FL472" s="2"/>
      <c r="FM472" s="2"/>
      <c r="FN472" s="2"/>
      <c r="FO472" s="2"/>
      <c r="FP472" s="2"/>
      <c r="FQ472" s="2"/>
      <c r="FR472" s="2"/>
      <c r="FS472" s="2"/>
      <c r="FT472" s="2"/>
      <c r="FU472" s="2"/>
      <c r="FV472" s="2"/>
      <c r="FW472" s="2"/>
      <c r="FX472" s="2"/>
      <c r="FY472" s="2"/>
      <c r="FZ472" s="2"/>
      <c r="GA472" s="2"/>
      <c r="GB472" s="2"/>
      <c r="GC472" s="2"/>
      <c r="GD472" s="2"/>
      <c r="GE472" s="2"/>
      <c r="GF472" s="2"/>
      <c r="GG472" s="2"/>
      <c r="GH472" s="2"/>
      <c r="GI472" s="2"/>
      <c r="GJ472" s="2"/>
      <c r="GK472" s="2"/>
      <c r="GL472" s="2"/>
      <c r="GM472" s="2"/>
      <c r="GN472" s="2"/>
      <c r="GO472" s="2"/>
      <c r="GP472" s="2"/>
      <c r="GQ472" s="2"/>
      <c r="GR472" s="2"/>
      <c r="GS472" s="2"/>
      <c r="GT472" s="2"/>
      <c r="GU472" s="2"/>
      <c r="GV472" s="2"/>
      <c r="GW472" s="2"/>
      <c r="GX472" s="2"/>
      <c r="GY472" s="2"/>
      <c r="GZ472" s="2"/>
      <c r="HA472" s="2"/>
      <c r="HB472" s="2"/>
      <c r="HC472" s="2"/>
      <c r="HD472" s="2"/>
      <c r="HE472" s="2"/>
      <c r="HF472" s="2"/>
      <c r="HG472" s="2"/>
      <c r="HH472" s="2"/>
      <c r="HI472" s="2"/>
      <c r="HJ472" s="2"/>
      <c r="HK472" s="2"/>
      <c r="HL472" s="2"/>
      <c r="HM472" s="2"/>
      <c r="HN472" s="2"/>
      <c r="HO472" s="2"/>
      <c r="HP472" s="2"/>
      <c r="HQ472" s="2"/>
      <c r="HR472" s="2"/>
      <c r="HS472" s="2"/>
      <c r="HT472" s="2"/>
      <c r="HU472" s="2"/>
      <c r="HV472" s="2"/>
      <c r="HW472" s="2"/>
      <c r="HX472" s="2"/>
      <c r="HY472" s="2"/>
      <c r="HZ472" s="2"/>
      <c r="IA472" s="2"/>
      <c r="IB472" s="2"/>
      <c r="IC472" s="2"/>
    </row>
    <row r="473" spans="1:237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2"/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2"/>
      <c r="EE473" s="2"/>
      <c r="EF473" s="2"/>
      <c r="EG473" s="2"/>
      <c r="EH473" s="2"/>
      <c r="EI473" s="2"/>
      <c r="EJ473" s="2"/>
      <c r="EK473" s="2"/>
      <c r="EL473" s="2"/>
      <c r="EM473" s="2"/>
      <c r="EN473" s="2"/>
      <c r="EO473" s="2"/>
      <c r="EP473" s="2"/>
      <c r="EQ473" s="2"/>
      <c r="ER473" s="2"/>
      <c r="ES473" s="2"/>
      <c r="ET473" s="2"/>
      <c r="EU473" s="2"/>
      <c r="EV473" s="2"/>
      <c r="EW473" s="2"/>
      <c r="EX473" s="2"/>
      <c r="EY473" s="2"/>
      <c r="EZ473" s="2"/>
      <c r="FA473" s="2"/>
      <c r="FB473" s="2"/>
      <c r="FC473" s="2"/>
      <c r="FD473" s="2"/>
      <c r="FE473" s="2"/>
      <c r="FF473" s="2"/>
      <c r="FG473" s="2"/>
      <c r="FH473" s="2"/>
      <c r="FI473" s="2"/>
      <c r="FJ473" s="2"/>
      <c r="FK473" s="2"/>
      <c r="FL473" s="2"/>
      <c r="FM473" s="2"/>
      <c r="FN473" s="2"/>
      <c r="FO473" s="2"/>
      <c r="FP473" s="2"/>
      <c r="FQ473" s="2"/>
      <c r="FR473" s="2"/>
      <c r="FS473" s="2"/>
      <c r="FT473" s="2"/>
      <c r="FU473" s="2"/>
      <c r="FV473" s="2"/>
      <c r="FW473" s="2"/>
      <c r="FX473" s="2"/>
      <c r="FY473" s="2"/>
      <c r="FZ473" s="2"/>
      <c r="GA473" s="2"/>
      <c r="GB473" s="2"/>
      <c r="GC473" s="2"/>
      <c r="GD473" s="2"/>
      <c r="GE473" s="2"/>
      <c r="GF473" s="2"/>
      <c r="GG473" s="2"/>
      <c r="GH473" s="2"/>
      <c r="GI473" s="2"/>
      <c r="GJ473" s="2"/>
      <c r="GK473" s="2"/>
      <c r="GL473" s="2"/>
      <c r="GM473" s="2"/>
      <c r="GN473" s="2"/>
      <c r="GO473" s="2"/>
      <c r="GP473" s="2"/>
      <c r="GQ473" s="2"/>
      <c r="GR473" s="2"/>
      <c r="GS473" s="2"/>
      <c r="GT473" s="2"/>
      <c r="GU473" s="2"/>
      <c r="GV473" s="2"/>
      <c r="GW473" s="2"/>
      <c r="GX473" s="2"/>
      <c r="GY473" s="2"/>
      <c r="GZ473" s="2"/>
      <c r="HA473" s="2"/>
      <c r="HB473" s="2"/>
      <c r="HC473" s="2"/>
      <c r="HD473" s="2"/>
      <c r="HE473" s="2"/>
      <c r="HF473" s="2"/>
      <c r="HG473" s="2"/>
      <c r="HH473" s="2"/>
      <c r="HI473" s="2"/>
      <c r="HJ473" s="2"/>
      <c r="HK473" s="2"/>
      <c r="HL473" s="2"/>
      <c r="HM473" s="2"/>
      <c r="HN473" s="2"/>
      <c r="HO473" s="2"/>
      <c r="HP473" s="2"/>
      <c r="HQ473" s="2"/>
      <c r="HR473" s="2"/>
      <c r="HS473" s="2"/>
      <c r="HT473" s="2"/>
      <c r="HU473" s="2"/>
      <c r="HV473" s="2"/>
      <c r="HW473" s="2"/>
      <c r="HX473" s="2"/>
      <c r="HY473" s="2"/>
      <c r="HZ473" s="2"/>
      <c r="IA473" s="2"/>
      <c r="IB473" s="2"/>
      <c r="IC473" s="2"/>
    </row>
    <row r="474" spans="1:237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2"/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2"/>
      <c r="EE474" s="2"/>
      <c r="EF474" s="2"/>
      <c r="EG474" s="2"/>
      <c r="EH474" s="2"/>
      <c r="EI474" s="2"/>
      <c r="EJ474" s="2"/>
      <c r="EK474" s="2"/>
      <c r="EL474" s="2"/>
      <c r="EM474" s="2"/>
      <c r="EN474" s="2"/>
      <c r="EO474" s="2"/>
      <c r="EP474" s="2"/>
      <c r="EQ474" s="2"/>
      <c r="ER474" s="2"/>
      <c r="ES474" s="2"/>
      <c r="ET474" s="2"/>
      <c r="EU474" s="2"/>
      <c r="EV474" s="2"/>
      <c r="EW474" s="2"/>
      <c r="EX474" s="2"/>
      <c r="EY474" s="2"/>
      <c r="EZ474" s="2"/>
      <c r="FA474" s="2"/>
      <c r="FB474" s="2"/>
      <c r="FC474" s="2"/>
      <c r="FD474" s="2"/>
      <c r="FE474" s="2"/>
      <c r="FF474" s="2"/>
      <c r="FG474" s="2"/>
      <c r="FH474" s="2"/>
      <c r="FI474" s="2"/>
      <c r="FJ474" s="2"/>
      <c r="FK474" s="2"/>
      <c r="FL474" s="2"/>
      <c r="FM474" s="2"/>
      <c r="FN474" s="2"/>
      <c r="FO474" s="2"/>
      <c r="FP474" s="2"/>
      <c r="FQ474" s="2"/>
      <c r="FR474" s="2"/>
      <c r="FS474" s="2"/>
      <c r="FT474" s="2"/>
      <c r="FU474" s="2"/>
      <c r="FV474" s="2"/>
      <c r="FW474" s="2"/>
      <c r="FX474" s="2"/>
      <c r="FY474" s="2"/>
      <c r="FZ474" s="2"/>
      <c r="GA474" s="2"/>
      <c r="GB474" s="2"/>
      <c r="GC474" s="2"/>
      <c r="GD474" s="2"/>
      <c r="GE474" s="2"/>
      <c r="GF474" s="2"/>
      <c r="GG474" s="2"/>
      <c r="GH474" s="2"/>
      <c r="GI474" s="2"/>
      <c r="GJ474" s="2"/>
      <c r="GK474" s="2"/>
      <c r="GL474" s="2"/>
      <c r="GM474" s="2"/>
      <c r="GN474" s="2"/>
      <c r="GO474" s="2"/>
      <c r="GP474" s="2"/>
      <c r="GQ474" s="2"/>
      <c r="GR474" s="2"/>
      <c r="GS474" s="2"/>
      <c r="GT474" s="2"/>
      <c r="GU474" s="2"/>
      <c r="GV474" s="2"/>
      <c r="GW474" s="2"/>
      <c r="GX474" s="2"/>
      <c r="GY474" s="2"/>
      <c r="GZ474" s="2"/>
      <c r="HA474" s="2"/>
      <c r="HB474" s="2"/>
      <c r="HC474" s="2"/>
      <c r="HD474" s="2"/>
      <c r="HE474" s="2"/>
      <c r="HF474" s="2"/>
      <c r="HG474" s="2"/>
      <c r="HH474" s="2"/>
      <c r="HI474" s="2"/>
      <c r="HJ474" s="2"/>
      <c r="HK474" s="2"/>
      <c r="HL474" s="2"/>
      <c r="HM474" s="2"/>
      <c r="HN474" s="2"/>
      <c r="HO474" s="2"/>
      <c r="HP474" s="2"/>
      <c r="HQ474" s="2"/>
      <c r="HR474" s="2"/>
      <c r="HS474" s="2"/>
      <c r="HT474" s="2"/>
      <c r="HU474" s="2"/>
      <c r="HV474" s="2"/>
      <c r="HW474" s="2"/>
      <c r="HX474" s="2"/>
      <c r="HY474" s="2"/>
      <c r="HZ474" s="2"/>
      <c r="IA474" s="2"/>
      <c r="IB474" s="2"/>
      <c r="IC474" s="2"/>
    </row>
    <row r="475" spans="1:237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2"/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2"/>
      <c r="EE475" s="2"/>
      <c r="EF475" s="2"/>
      <c r="EG475" s="2"/>
      <c r="EH475" s="2"/>
      <c r="EI475" s="2"/>
      <c r="EJ475" s="2"/>
      <c r="EK475" s="2"/>
      <c r="EL475" s="2"/>
      <c r="EM475" s="2"/>
      <c r="EN475" s="2"/>
      <c r="EO475" s="2"/>
      <c r="EP475" s="2"/>
      <c r="EQ475" s="2"/>
      <c r="ER475" s="2"/>
      <c r="ES475" s="2"/>
      <c r="ET475" s="2"/>
      <c r="EU475" s="2"/>
      <c r="EV475" s="2"/>
      <c r="EW475" s="2"/>
      <c r="EX475" s="2"/>
      <c r="EY475" s="2"/>
      <c r="EZ475" s="2"/>
      <c r="FA475" s="2"/>
      <c r="FB475" s="2"/>
      <c r="FC475" s="2"/>
      <c r="FD475" s="2"/>
      <c r="FE475" s="2"/>
      <c r="FF475" s="2"/>
      <c r="FG475" s="2"/>
      <c r="FH475" s="2"/>
      <c r="FI475" s="2"/>
      <c r="FJ475" s="2"/>
      <c r="FK475" s="2"/>
      <c r="FL475" s="2"/>
      <c r="FM475" s="2"/>
      <c r="FN475" s="2"/>
      <c r="FO475" s="2"/>
      <c r="FP475" s="2"/>
      <c r="FQ475" s="2"/>
      <c r="FR475" s="2"/>
      <c r="FS475" s="2"/>
      <c r="FT475" s="2"/>
      <c r="FU475" s="2"/>
      <c r="FV475" s="2"/>
      <c r="FW475" s="2"/>
      <c r="FX475" s="2"/>
      <c r="FY475" s="2"/>
      <c r="FZ475" s="2"/>
      <c r="GA475" s="2"/>
      <c r="GB475" s="2"/>
      <c r="GC475" s="2"/>
      <c r="GD475" s="2"/>
      <c r="GE475" s="2"/>
      <c r="GF475" s="2"/>
      <c r="GG475" s="2"/>
      <c r="GH475" s="2"/>
      <c r="GI475" s="2"/>
      <c r="GJ475" s="2"/>
      <c r="GK475" s="2"/>
      <c r="GL475" s="2"/>
      <c r="GM475" s="2"/>
      <c r="GN475" s="2"/>
      <c r="GO475" s="2"/>
      <c r="GP475" s="2"/>
      <c r="GQ475" s="2"/>
      <c r="GR475" s="2"/>
      <c r="GS475" s="2"/>
      <c r="GT475" s="2"/>
      <c r="GU475" s="2"/>
      <c r="GV475" s="2"/>
      <c r="GW475" s="2"/>
      <c r="GX475" s="2"/>
      <c r="GY475" s="2"/>
      <c r="GZ475" s="2"/>
      <c r="HA475" s="2"/>
      <c r="HB475" s="2"/>
      <c r="HC475" s="2"/>
      <c r="HD475" s="2"/>
      <c r="HE475" s="2"/>
      <c r="HF475" s="2"/>
      <c r="HG475" s="2"/>
      <c r="HH475" s="2"/>
      <c r="HI475" s="2"/>
      <c r="HJ475" s="2"/>
      <c r="HK475" s="2"/>
      <c r="HL475" s="2"/>
      <c r="HM475" s="2"/>
      <c r="HN475" s="2"/>
      <c r="HO475" s="2"/>
      <c r="HP475" s="2"/>
      <c r="HQ475" s="2"/>
      <c r="HR475" s="2"/>
      <c r="HS475" s="2"/>
      <c r="HT475" s="2"/>
      <c r="HU475" s="2"/>
      <c r="HV475" s="2"/>
      <c r="HW475" s="2"/>
      <c r="HX475" s="2"/>
      <c r="HY475" s="2"/>
      <c r="HZ475" s="2"/>
      <c r="IA475" s="2"/>
      <c r="IB475" s="2"/>
      <c r="IC475" s="2"/>
    </row>
    <row r="476" spans="1:237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2"/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2"/>
      <c r="EE476" s="2"/>
      <c r="EF476" s="2"/>
      <c r="EG476" s="2"/>
      <c r="EH476" s="2"/>
      <c r="EI476" s="2"/>
      <c r="EJ476" s="2"/>
      <c r="EK476" s="2"/>
      <c r="EL476" s="2"/>
      <c r="EM476" s="2"/>
      <c r="EN476" s="2"/>
      <c r="EO476" s="2"/>
      <c r="EP476" s="2"/>
      <c r="EQ476" s="2"/>
      <c r="ER476" s="2"/>
      <c r="ES476" s="2"/>
      <c r="ET476" s="2"/>
      <c r="EU476" s="2"/>
      <c r="EV476" s="2"/>
      <c r="EW476" s="2"/>
      <c r="EX476" s="2"/>
      <c r="EY476" s="2"/>
      <c r="EZ476" s="2"/>
      <c r="FA476" s="2"/>
      <c r="FB476" s="2"/>
      <c r="FC476" s="2"/>
      <c r="FD476" s="2"/>
      <c r="FE476" s="2"/>
      <c r="FF476" s="2"/>
      <c r="FG476" s="2"/>
      <c r="FH476" s="2"/>
      <c r="FI476" s="2"/>
      <c r="FJ476" s="2"/>
      <c r="FK476" s="2"/>
      <c r="FL476" s="2"/>
      <c r="FM476" s="2"/>
      <c r="FN476" s="2"/>
      <c r="FO476" s="2"/>
      <c r="FP476" s="2"/>
      <c r="FQ476" s="2"/>
      <c r="FR476" s="2"/>
      <c r="FS476" s="2"/>
      <c r="FT476" s="2"/>
      <c r="FU476" s="2"/>
      <c r="FV476" s="2"/>
      <c r="FW476" s="2"/>
      <c r="FX476" s="2"/>
      <c r="FY476" s="2"/>
      <c r="FZ476" s="2"/>
      <c r="GA476" s="2"/>
      <c r="GB476" s="2"/>
      <c r="GC476" s="2"/>
      <c r="GD476" s="2"/>
      <c r="GE476" s="2"/>
      <c r="GF476" s="2"/>
      <c r="GG476" s="2"/>
      <c r="GH476" s="2"/>
      <c r="GI476" s="2"/>
      <c r="GJ476" s="2"/>
      <c r="GK476" s="2"/>
      <c r="GL476" s="2"/>
      <c r="GM476" s="2"/>
      <c r="GN476" s="2"/>
      <c r="GO476" s="2"/>
      <c r="GP476" s="2"/>
      <c r="GQ476" s="2"/>
      <c r="GR476" s="2"/>
      <c r="GS476" s="2"/>
      <c r="GT476" s="2"/>
      <c r="GU476" s="2"/>
      <c r="GV476" s="2"/>
      <c r="GW476" s="2"/>
      <c r="GX476" s="2"/>
      <c r="GY476" s="2"/>
      <c r="GZ476" s="2"/>
      <c r="HA476" s="2"/>
      <c r="HB476" s="2"/>
      <c r="HC476" s="2"/>
      <c r="HD476" s="2"/>
      <c r="HE476" s="2"/>
      <c r="HF476" s="2"/>
      <c r="HG476" s="2"/>
      <c r="HH476" s="2"/>
      <c r="HI476" s="2"/>
      <c r="HJ476" s="2"/>
      <c r="HK476" s="2"/>
      <c r="HL476" s="2"/>
      <c r="HM476" s="2"/>
      <c r="HN476" s="2"/>
      <c r="HO476" s="2"/>
      <c r="HP476" s="2"/>
      <c r="HQ476" s="2"/>
      <c r="HR476" s="2"/>
      <c r="HS476" s="2"/>
      <c r="HT476" s="2"/>
      <c r="HU476" s="2"/>
      <c r="HV476" s="2"/>
      <c r="HW476" s="2"/>
      <c r="HX476" s="2"/>
      <c r="HY476" s="2"/>
      <c r="HZ476" s="2"/>
      <c r="IA476" s="2"/>
      <c r="IB476" s="2"/>
      <c r="IC476" s="2"/>
    </row>
    <row r="477" spans="1:237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2"/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2"/>
      <c r="EE477" s="2"/>
      <c r="EF477" s="2"/>
      <c r="EG477" s="2"/>
      <c r="EH477" s="2"/>
      <c r="EI477" s="2"/>
      <c r="EJ477" s="2"/>
      <c r="EK477" s="2"/>
      <c r="EL477" s="2"/>
      <c r="EM477" s="2"/>
      <c r="EN477" s="2"/>
      <c r="EO477" s="2"/>
      <c r="EP477" s="2"/>
      <c r="EQ477" s="2"/>
      <c r="ER477" s="2"/>
      <c r="ES477" s="2"/>
      <c r="ET477" s="2"/>
      <c r="EU477" s="2"/>
      <c r="EV477" s="2"/>
      <c r="EW477" s="2"/>
      <c r="EX477" s="2"/>
      <c r="EY477" s="2"/>
      <c r="EZ477" s="2"/>
      <c r="FA477" s="2"/>
      <c r="FB477" s="2"/>
      <c r="FC477" s="2"/>
      <c r="FD477" s="2"/>
      <c r="FE477" s="2"/>
      <c r="FF477" s="2"/>
      <c r="FG477" s="2"/>
      <c r="FH477" s="2"/>
      <c r="FI477" s="2"/>
      <c r="FJ477" s="2"/>
      <c r="FK477" s="2"/>
      <c r="FL477" s="2"/>
      <c r="FM477" s="2"/>
      <c r="FN477" s="2"/>
      <c r="FO477" s="2"/>
      <c r="FP477" s="2"/>
      <c r="FQ477" s="2"/>
      <c r="FR477" s="2"/>
      <c r="FS477" s="2"/>
      <c r="FT477" s="2"/>
      <c r="FU477" s="2"/>
      <c r="FV477" s="2"/>
      <c r="FW477" s="2"/>
      <c r="FX477" s="2"/>
      <c r="FY477" s="2"/>
      <c r="FZ477" s="2"/>
      <c r="GA477" s="2"/>
      <c r="GB477" s="2"/>
      <c r="GC477" s="2"/>
      <c r="GD477" s="2"/>
      <c r="GE477" s="2"/>
      <c r="GF477" s="2"/>
      <c r="GG477" s="2"/>
      <c r="GH477" s="2"/>
      <c r="GI477" s="2"/>
      <c r="GJ477" s="2"/>
      <c r="GK477" s="2"/>
      <c r="GL477" s="2"/>
      <c r="GM477" s="2"/>
      <c r="GN477" s="2"/>
      <c r="GO477" s="2"/>
      <c r="GP477" s="2"/>
      <c r="GQ477" s="2"/>
      <c r="GR477" s="2"/>
      <c r="GS477" s="2"/>
      <c r="GT477" s="2"/>
      <c r="GU477" s="2"/>
      <c r="GV477" s="2"/>
      <c r="GW477" s="2"/>
      <c r="GX477" s="2"/>
      <c r="GY477" s="2"/>
      <c r="GZ477" s="2"/>
      <c r="HA477" s="2"/>
      <c r="HB477" s="2"/>
      <c r="HC477" s="2"/>
      <c r="HD477" s="2"/>
      <c r="HE477" s="2"/>
      <c r="HF477" s="2"/>
      <c r="HG477" s="2"/>
      <c r="HH477" s="2"/>
      <c r="HI477" s="2"/>
      <c r="HJ477" s="2"/>
      <c r="HK477" s="2"/>
      <c r="HL477" s="2"/>
      <c r="HM477" s="2"/>
      <c r="HN477" s="2"/>
      <c r="HO477" s="2"/>
      <c r="HP477" s="2"/>
      <c r="HQ477" s="2"/>
      <c r="HR477" s="2"/>
      <c r="HS477" s="2"/>
      <c r="HT477" s="2"/>
      <c r="HU477" s="2"/>
      <c r="HV477" s="2"/>
      <c r="HW477" s="2"/>
      <c r="HX477" s="2"/>
      <c r="HY477" s="2"/>
      <c r="HZ477" s="2"/>
      <c r="IA477" s="2"/>
      <c r="IB477" s="2"/>
      <c r="IC477" s="2"/>
    </row>
    <row r="478" spans="1:237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2"/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2"/>
      <c r="EE478" s="2"/>
      <c r="EF478" s="2"/>
      <c r="EG478" s="2"/>
      <c r="EH478" s="2"/>
      <c r="EI478" s="2"/>
      <c r="EJ478" s="2"/>
      <c r="EK478" s="2"/>
      <c r="EL478" s="2"/>
      <c r="EM478" s="2"/>
      <c r="EN478" s="2"/>
      <c r="EO478" s="2"/>
      <c r="EP478" s="2"/>
      <c r="EQ478" s="2"/>
      <c r="ER478" s="2"/>
      <c r="ES478" s="2"/>
      <c r="ET478" s="2"/>
      <c r="EU478" s="2"/>
      <c r="EV478" s="2"/>
      <c r="EW478" s="2"/>
      <c r="EX478" s="2"/>
      <c r="EY478" s="2"/>
      <c r="EZ478" s="2"/>
      <c r="FA478" s="2"/>
      <c r="FB478" s="2"/>
      <c r="FC478" s="2"/>
      <c r="FD478" s="2"/>
      <c r="FE478" s="2"/>
      <c r="FF478" s="2"/>
      <c r="FG478" s="2"/>
      <c r="FH478" s="2"/>
      <c r="FI478" s="2"/>
      <c r="FJ478" s="2"/>
      <c r="FK478" s="2"/>
      <c r="FL478" s="2"/>
      <c r="FM478" s="2"/>
      <c r="FN478" s="2"/>
      <c r="FO478" s="2"/>
      <c r="FP478" s="2"/>
      <c r="FQ478" s="2"/>
      <c r="FR478" s="2"/>
      <c r="FS478" s="2"/>
      <c r="FT478" s="2"/>
      <c r="FU478" s="2"/>
      <c r="FV478" s="2"/>
      <c r="FW478" s="2"/>
      <c r="FX478" s="2"/>
      <c r="FY478" s="2"/>
      <c r="FZ478" s="2"/>
      <c r="GA478" s="2"/>
      <c r="GB478" s="2"/>
      <c r="GC478" s="2"/>
      <c r="GD478" s="2"/>
      <c r="GE478" s="2"/>
      <c r="GF478" s="2"/>
      <c r="GG478" s="2"/>
      <c r="GH478" s="2"/>
      <c r="GI478" s="2"/>
      <c r="GJ478" s="2"/>
      <c r="GK478" s="2"/>
      <c r="GL478" s="2"/>
      <c r="GM478" s="2"/>
      <c r="GN478" s="2"/>
      <c r="GO478" s="2"/>
      <c r="GP478" s="2"/>
      <c r="GQ478" s="2"/>
      <c r="GR478" s="2"/>
      <c r="GS478" s="2"/>
      <c r="GT478" s="2"/>
      <c r="GU478" s="2"/>
      <c r="GV478" s="2"/>
      <c r="GW478" s="2"/>
      <c r="GX478" s="2"/>
      <c r="GY478" s="2"/>
      <c r="GZ478" s="2"/>
      <c r="HA478" s="2"/>
      <c r="HB478" s="2"/>
      <c r="HC478" s="2"/>
      <c r="HD478" s="2"/>
      <c r="HE478" s="2"/>
      <c r="HF478" s="2"/>
      <c r="HG478" s="2"/>
      <c r="HH478" s="2"/>
      <c r="HI478" s="2"/>
      <c r="HJ478" s="2"/>
      <c r="HK478" s="2"/>
      <c r="HL478" s="2"/>
      <c r="HM478" s="2"/>
      <c r="HN478" s="2"/>
      <c r="HO478" s="2"/>
      <c r="HP478" s="2"/>
      <c r="HQ478" s="2"/>
      <c r="HR478" s="2"/>
      <c r="HS478" s="2"/>
      <c r="HT478" s="2"/>
      <c r="HU478" s="2"/>
      <c r="HV478" s="2"/>
      <c r="HW478" s="2"/>
      <c r="HX478" s="2"/>
      <c r="HY478" s="2"/>
      <c r="HZ478" s="2"/>
      <c r="IA478" s="2"/>
      <c r="IB478" s="2"/>
      <c r="IC478" s="2"/>
    </row>
    <row r="479" spans="1:237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2"/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2"/>
      <c r="EE479" s="2"/>
      <c r="EF479" s="2"/>
      <c r="EG479" s="2"/>
      <c r="EH479" s="2"/>
      <c r="EI479" s="2"/>
      <c r="EJ479" s="2"/>
      <c r="EK479" s="2"/>
      <c r="EL479" s="2"/>
      <c r="EM479" s="2"/>
      <c r="EN479" s="2"/>
      <c r="EO479" s="2"/>
      <c r="EP479" s="2"/>
      <c r="EQ479" s="2"/>
      <c r="ER479" s="2"/>
      <c r="ES479" s="2"/>
      <c r="ET479" s="2"/>
      <c r="EU479" s="2"/>
      <c r="EV479" s="2"/>
      <c r="EW479" s="2"/>
      <c r="EX479" s="2"/>
      <c r="EY479" s="2"/>
      <c r="EZ479" s="2"/>
      <c r="FA479" s="2"/>
      <c r="FB479" s="2"/>
      <c r="FC479" s="2"/>
      <c r="FD479" s="2"/>
      <c r="FE479" s="2"/>
      <c r="FF479" s="2"/>
      <c r="FG479" s="2"/>
      <c r="FH479" s="2"/>
      <c r="FI479" s="2"/>
      <c r="FJ479" s="2"/>
      <c r="FK479" s="2"/>
      <c r="FL479" s="2"/>
      <c r="FM479" s="2"/>
      <c r="FN479" s="2"/>
      <c r="FO479" s="2"/>
      <c r="FP479" s="2"/>
      <c r="FQ479" s="2"/>
      <c r="FR479" s="2"/>
      <c r="FS479" s="2"/>
      <c r="FT479" s="2"/>
      <c r="FU479" s="2"/>
      <c r="FV479" s="2"/>
      <c r="FW479" s="2"/>
      <c r="FX479" s="2"/>
      <c r="FY479" s="2"/>
      <c r="FZ479" s="2"/>
      <c r="GA479" s="2"/>
      <c r="GB479" s="2"/>
      <c r="GC479" s="2"/>
      <c r="GD479" s="2"/>
      <c r="GE479" s="2"/>
      <c r="GF479" s="2"/>
      <c r="GG479" s="2"/>
      <c r="GH479" s="2"/>
      <c r="GI479" s="2"/>
      <c r="GJ479" s="2"/>
      <c r="GK479" s="2"/>
      <c r="GL479" s="2"/>
      <c r="GM479" s="2"/>
      <c r="GN479" s="2"/>
      <c r="GO479" s="2"/>
      <c r="GP479" s="2"/>
      <c r="GQ479" s="2"/>
      <c r="GR479" s="2"/>
      <c r="GS479" s="2"/>
      <c r="GT479" s="2"/>
      <c r="GU479" s="2"/>
      <c r="GV479" s="2"/>
      <c r="GW479" s="2"/>
      <c r="GX479" s="2"/>
      <c r="GY479" s="2"/>
      <c r="GZ479" s="2"/>
      <c r="HA479" s="2"/>
      <c r="HB479" s="2"/>
      <c r="HC479" s="2"/>
      <c r="HD479" s="2"/>
      <c r="HE479" s="2"/>
      <c r="HF479" s="2"/>
      <c r="HG479" s="2"/>
      <c r="HH479" s="2"/>
      <c r="HI479" s="2"/>
      <c r="HJ479" s="2"/>
      <c r="HK479" s="2"/>
      <c r="HL479" s="2"/>
      <c r="HM479" s="2"/>
      <c r="HN479" s="2"/>
      <c r="HO479" s="2"/>
      <c r="HP479" s="2"/>
      <c r="HQ479" s="2"/>
      <c r="HR479" s="2"/>
      <c r="HS479" s="2"/>
      <c r="HT479" s="2"/>
      <c r="HU479" s="2"/>
      <c r="HV479" s="2"/>
      <c r="HW479" s="2"/>
      <c r="HX479" s="2"/>
      <c r="HY479" s="2"/>
      <c r="HZ479" s="2"/>
      <c r="IA479" s="2"/>
      <c r="IB479" s="2"/>
      <c r="IC479" s="2"/>
    </row>
    <row r="480" spans="1:237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2"/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2"/>
      <c r="EE480" s="2"/>
      <c r="EF480" s="2"/>
      <c r="EG480" s="2"/>
      <c r="EH480" s="2"/>
      <c r="EI480" s="2"/>
      <c r="EJ480" s="2"/>
      <c r="EK480" s="2"/>
      <c r="EL480" s="2"/>
      <c r="EM480" s="2"/>
      <c r="EN480" s="2"/>
      <c r="EO480" s="2"/>
      <c r="EP480" s="2"/>
      <c r="EQ480" s="2"/>
      <c r="ER480" s="2"/>
      <c r="ES480" s="2"/>
      <c r="ET480" s="2"/>
      <c r="EU480" s="2"/>
      <c r="EV480" s="2"/>
      <c r="EW480" s="2"/>
      <c r="EX480" s="2"/>
      <c r="EY480" s="2"/>
      <c r="EZ480" s="2"/>
      <c r="FA480" s="2"/>
      <c r="FB480" s="2"/>
      <c r="FC480" s="2"/>
      <c r="FD480" s="2"/>
      <c r="FE480" s="2"/>
      <c r="FF480" s="2"/>
      <c r="FG480" s="2"/>
      <c r="FH480" s="2"/>
      <c r="FI480" s="2"/>
      <c r="FJ480" s="2"/>
      <c r="FK480" s="2"/>
      <c r="FL480" s="2"/>
      <c r="FM480" s="2"/>
      <c r="FN480" s="2"/>
      <c r="FO480" s="2"/>
      <c r="FP480" s="2"/>
      <c r="FQ480" s="2"/>
      <c r="FR480" s="2"/>
      <c r="FS480" s="2"/>
      <c r="FT480" s="2"/>
      <c r="FU480" s="2"/>
      <c r="FV480" s="2"/>
      <c r="FW480" s="2"/>
      <c r="FX480" s="2"/>
      <c r="FY480" s="2"/>
      <c r="FZ480" s="2"/>
      <c r="GA480" s="2"/>
      <c r="GB480" s="2"/>
      <c r="GC480" s="2"/>
      <c r="GD480" s="2"/>
      <c r="GE480" s="2"/>
      <c r="GF480" s="2"/>
      <c r="GG480" s="2"/>
      <c r="GH480" s="2"/>
      <c r="GI480" s="2"/>
      <c r="GJ480" s="2"/>
      <c r="GK480" s="2"/>
      <c r="GL480" s="2"/>
      <c r="GM480" s="2"/>
      <c r="GN480" s="2"/>
      <c r="GO480" s="2"/>
      <c r="GP480" s="2"/>
      <c r="GQ480" s="2"/>
      <c r="GR480" s="2"/>
      <c r="GS480" s="2"/>
      <c r="GT480" s="2"/>
      <c r="GU480" s="2"/>
      <c r="GV480" s="2"/>
      <c r="GW480" s="2"/>
      <c r="GX480" s="2"/>
      <c r="GY480" s="2"/>
      <c r="GZ480" s="2"/>
      <c r="HA480" s="2"/>
      <c r="HB480" s="2"/>
      <c r="HC480" s="2"/>
      <c r="HD480" s="2"/>
      <c r="HE480" s="2"/>
      <c r="HF480" s="2"/>
      <c r="HG480" s="2"/>
      <c r="HH480" s="2"/>
      <c r="HI480" s="2"/>
      <c r="HJ480" s="2"/>
      <c r="HK480" s="2"/>
      <c r="HL480" s="2"/>
      <c r="HM480" s="2"/>
      <c r="HN480" s="2"/>
      <c r="HO480" s="2"/>
      <c r="HP480" s="2"/>
      <c r="HQ480" s="2"/>
      <c r="HR480" s="2"/>
      <c r="HS480" s="2"/>
      <c r="HT480" s="2"/>
      <c r="HU480" s="2"/>
      <c r="HV480" s="2"/>
      <c r="HW480" s="2"/>
      <c r="HX480" s="2"/>
      <c r="HY480" s="2"/>
      <c r="HZ480" s="2"/>
      <c r="IA480" s="2"/>
      <c r="IB480" s="2"/>
      <c r="IC480" s="2"/>
    </row>
    <row r="481" spans="1:237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2"/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2"/>
      <c r="EE481" s="2"/>
      <c r="EF481" s="2"/>
      <c r="EG481" s="2"/>
      <c r="EH481" s="2"/>
      <c r="EI481" s="2"/>
      <c r="EJ481" s="2"/>
      <c r="EK481" s="2"/>
      <c r="EL481" s="2"/>
      <c r="EM481" s="2"/>
      <c r="EN481" s="2"/>
      <c r="EO481" s="2"/>
      <c r="EP481" s="2"/>
      <c r="EQ481" s="2"/>
      <c r="ER481" s="2"/>
      <c r="ES481" s="2"/>
      <c r="ET481" s="2"/>
      <c r="EU481" s="2"/>
      <c r="EV481" s="2"/>
      <c r="EW481" s="2"/>
      <c r="EX481" s="2"/>
      <c r="EY481" s="2"/>
      <c r="EZ481" s="2"/>
      <c r="FA481" s="2"/>
      <c r="FB481" s="2"/>
      <c r="FC481" s="2"/>
      <c r="FD481" s="2"/>
      <c r="FE481" s="2"/>
      <c r="FF481" s="2"/>
      <c r="FG481" s="2"/>
      <c r="FH481" s="2"/>
      <c r="FI481" s="2"/>
      <c r="FJ481" s="2"/>
      <c r="FK481" s="2"/>
      <c r="FL481" s="2"/>
      <c r="FM481" s="2"/>
      <c r="FN481" s="2"/>
      <c r="FO481" s="2"/>
      <c r="FP481" s="2"/>
      <c r="FQ481" s="2"/>
      <c r="FR481" s="2"/>
      <c r="FS481" s="2"/>
      <c r="FT481" s="2"/>
      <c r="FU481" s="2"/>
      <c r="FV481" s="2"/>
      <c r="FW481" s="2"/>
      <c r="FX481" s="2"/>
      <c r="FY481" s="2"/>
      <c r="FZ481" s="2"/>
      <c r="GA481" s="2"/>
      <c r="GB481" s="2"/>
      <c r="GC481" s="2"/>
      <c r="GD481" s="2"/>
      <c r="GE481" s="2"/>
      <c r="GF481" s="2"/>
      <c r="GG481" s="2"/>
      <c r="GH481" s="2"/>
      <c r="GI481" s="2"/>
      <c r="GJ481" s="2"/>
      <c r="GK481" s="2"/>
      <c r="GL481" s="2"/>
      <c r="GM481" s="2"/>
      <c r="GN481" s="2"/>
      <c r="GO481" s="2"/>
      <c r="GP481" s="2"/>
      <c r="GQ481" s="2"/>
      <c r="GR481" s="2"/>
      <c r="GS481" s="2"/>
      <c r="GT481" s="2"/>
      <c r="GU481" s="2"/>
      <c r="GV481" s="2"/>
      <c r="GW481" s="2"/>
      <c r="GX481" s="2"/>
      <c r="GY481" s="2"/>
      <c r="GZ481" s="2"/>
      <c r="HA481" s="2"/>
      <c r="HB481" s="2"/>
      <c r="HC481" s="2"/>
      <c r="HD481" s="2"/>
      <c r="HE481" s="2"/>
      <c r="HF481" s="2"/>
      <c r="HG481" s="2"/>
      <c r="HH481" s="2"/>
      <c r="HI481" s="2"/>
      <c r="HJ481" s="2"/>
      <c r="HK481" s="2"/>
      <c r="HL481" s="2"/>
      <c r="HM481" s="2"/>
      <c r="HN481" s="2"/>
      <c r="HO481" s="2"/>
      <c r="HP481" s="2"/>
      <c r="HQ481" s="2"/>
      <c r="HR481" s="2"/>
      <c r="HS481" s="2"/>
      <c r="HT481" s="2"/>
      <c r="HU481" s="2"/>
      <c r="HV481" s="2"/>
      <c r="HW481" s="2"/>
      <c r="HX481" s="2"/>
      <c r="HY481" s="2"/>
      <c r="HZ481" s="2"/>
      <c r="IA481" s="2"/>
      <c r="IB481" s="2"/>
      <c r="IC481" s="2"/>
    </row>
    <row r="482" spans="1:237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  <c r="ES482" s="2"/>
      <c r="ET482" s="2"/>
      <c r="EU482" s="2"/>
      <c r="EV482" s="2"/>
      <c r="EW482" s="2"/>
      <c r="EX482" s="2"/>
      <c r="EY482" s="2"/>
      <c r="EZ482" s="2"/>
      <c r="FA482" s="2"/>
      <c r="FB482" s="2"/>
      <c r="FC482" s="2"/>
      <c r="FD482" s="2"/>
      <c r="FE482" s="2"/>
      <c r="FF482" s="2"/>
      <c r="FG482" s="2"/>
      <c r="FH482" s="2"/>
      <c r="FI482" s="2"/>
      <c r="FJ482" s="2"/>
      <c r="FK482" s="2"/>
      <c r="FL482" s="2"/>
      <c r="FM482" s="2"/>
      <c r="FN482" s="2"/>
      <c r="FO482" s="2"/>
      <c r="FP482" s="2"/>
      <c r="FQ482" s="2"/>
      <c r="FR482" s="2"/>
      <c r="FS482" s="2"/>
      <c r="FT482" s="2"/>
      <c r="FU482" s="2"/>
      <c r="FV482" s="2"/>
      <c r="FW482" s="2"/>
      <c r="FX482" s="2"/>
      <c r="FY482" s="2"/>
      <c r="FZ482" s="2"/>
      <c r="GA482" s="2"/>
      <c r="GB482" s="2"/>
      <c r="GC482" s="2"/>
      <c r="GD482" s="2"/>
      <c r="GE482" s="2"/>
      <c r="GF482" s="2"/>
      <c r="GG482" s="2"/>
      <c r="GH482" s="2"/>
      <c r="GI482" s="2"/>
      <c r="GJ482" s="2"/>
      <c r="GK482" s="2"/>
      <c r="GL482" s="2"/>
      <c r="GM482" s="2"/>
      <c r="GN482" s="2"/>
      <c r="GO482" s="2"/>
      <c r="GP482" s="2"/>
      <c r="GQ482" s="2"/>
      <c r="GR482" s="2"/>
      <c r="GS482" s="2"/>
      <c r="GT482" s="2"/>
      <c r="GU482" s="2"/>
      <c r="GV482" s="2"/>
      <c r="GW482" s="2"/>
      <c r="GX482" s="2"/>
      <c r="GY482" s="2"/>
      <c r="GZ482" s="2"/>
      <c r="HA482" s="2"/>
      <c r="HB482" s="2"/>
      <c r="HC482" s="2"/>
      <c r="HD482" s="2"/>
      <c r="HE482" s="2"/>
      <c r="HF482" s="2"/>
      <c r="HG482" s="2"/>
      <c r="HH482" s="2"/>
      <c r="HI482" s="2"/>
      <c r="HJ482" s="2"/>
      <c r="HK482" s="2"/>
      <c r="HL482" s="2"/>
      <c r="HM482" s="2"/>
      <c r="HN482" s="2"/>
      <c r="HO482" s="2"/>
      <c r="HP482" s="2"/>
      <c r="HQ482" s="2"/>
      <c r="HR482" s="2"/>
      <c r="HS482" s="2"/>
      <c r="HT482" s="2"/>
      <c r="HU482" s="2"/>
      <c r="HV482" s="2"/>
      <c r="HW482" s="2"/>
      <c r="HX482" s="2"/>
      <c r="HY482" s="2"/>
      <c r="HZ482" s="2"/>
      <c r="IA482" s="2"/>
      <c r="IB482" s="2"/>
      <c r="IC482" s="2"/>
    </row>
    <row r="483" spans="1:237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2"/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2"/>
      <c r="EE483" s="2"/>
      <c r="EF483" s="2"/>
      <c r="EG483" s="2"/>
      <c r="EH483" s="2"/>
      <c r="EI483" s="2"/>
      <c r="EJ483" s="2"/>
      <c r="EK483" s="2"/>
      <c r="EL483" s="2"/>
      <c r="EM483" s="2"/>
      <c r="EN483" s="2"/>
      <c r="EO483" s="2"/>
      <c r="EP483" s="2"/>
      <c r="EQ483" s="2"/>
      <c r="ER483" s="2"/>
      <c r="ES483" s="2"/>
      <c r="ET483" s="2"/>
      <c r="EU483" s="2"/>
      <c r="EV483" s="2"/>
      <c r="EW483" s="2"/>
      <c r="EX483" s="2"/>
      <c r="EY483" s="2"/>
      <c r="EZ483" s="2"/>
      <c r="FA483" s="2"/>
      <c r="FB483" s="2"/>
      <c r="FC483" s="2"/>
      <c r="FD483" s="2"/>
      <c r="FE483" s="2"/>
      <c r="FF483" s="2"/>
      <c r="FG483" s="2"/>
      <c r="FH483" s="2"/>
      <c r="FI483" s="2"/>
      <c r="FJ483" s="2"/>
      <c r="FK483" s="2"/>
      <c r="FL483" s="2"/>
      <c r="FM483" s="2"/>
      <c r="FN483" s="2"/>
      <c r="FO483" s="2"/>
      <c r="FP483" s="2"/>
      <c r="FQ483" s="2"/>
      <c r="FR483" s="2"/>
      <c r="FS483" s="2"/>
      <c r="FT483" s="2"/>
      <c r="FU483" s="2"/>
      <c r="FV483" s="2"/>
      <c r="FW483" s="2"/>
      <c r="FX483" s="2"/>
      <c r="FY483" s="2"/>
      <c r="FZ483" s="2"/>
      <c r="GA483" s="2"/>
      <c r="GB483" s="2"/>
      <c r="GC483" s="2"/>
      <c r="GD483" s="2"/>
      <c r="GE483" s="2"/>
      <c r="GF483" s="2"/>
      <c r="GG483" s="2"/>
      <c r="GH483" s="2"/>
      <c r="GI483" s="2"/>
      <c r="GJ483" s="2"/>
      <c r="GK483" s="2"/>
      <c r="GL483" s="2"/>
      <c r="GM483" s="2"/>
      <c r="GN483" s="2"/>
      <c r="GO483" s="2"/>
      <c r="GP483" s="2"/>
      <c r="GQ483" s="2"/>
      <c r="GR483" s="2"/>
      <c r="GS483" s="2"/>
      <c r="GT483" s="2"/>
      <c r="GU483" s="2"/>
      <c r="GV483" s="2"/>
      <c r="GW483" s="2"/>
      <c r="GX483" s="2"/>
      <c r="GY483" s="2"/>
      <c r="GZ483" s="2"/>
      <c r="HA483" s="2"/>
      <c r="HB483" s="2"/>
      <c r="HC483" s="2"/>
      <c r="HD483" s="2"/>
      <c r="HE483" s="2"/>
      <c r="HF483" s="2"/>
      <c r="HG483" s="2"/>
      <c r="HH483" s="2"/>
      <c r="HI483" s="2"/>
      <c r="HJ483" s="2"/>
      <c r="HK483" s="2"/>
      <c r="HL483" s="2"/>
      <c r="HM483" s="2"/>
      <c r="HN483" s="2"/>
      <c r="HO483" s="2"/>
      <c r="HP483" s="2"/>
      <c r="HQ483" s="2"/>
      <c r="HR483" s="2"/>
      <c r="HS483" s="2"/>
      <c r="HT483" s="2"/>
      <c r="HU483" s="2"/>
      <c r="HV483" s="2"/>
      <c r="HW483" s="2"/>
      <c r="HX483" s="2"/>
      <c r="HY483" s="2"/>
      <c r="HZ483" s="2"/>
      <c r="IA483" s="2"/>
      <c r="IB483" s="2"/>
      <c r="IC483" s="2"/>
    </row>
    <row r="484" spans="1:237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2"/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2"/>
      <c r="EE484" s="2"/>
      <c r="EF484" s="2"/>
      <c r="EG484" s="2"/>
      <c r="EH484" s="2"/>
      <c r="EI484" s="2"/>
      <c r="EJ484" s="2"/>
      <c r="EK484" s="2"/>
      <c r="EL484" s="2"/>
      <c r="EM484" s="2"/>
      <c r="EN484" s="2"/>
      <c r="EO484" s="2"/>
      <c r="EP484" s="2"/>
      <c r="EQ484" s="2"/>
      <c r="ER484" s="2"/>
      <c r="ES484" s="2"/>
      <c r="ET484" s="2"/>
      <c r="EU484" s="2"/>
      <c r="EV484" s="2"/>
      <c r="EW484" s="2"/>
      <c r="EX484" s="2"/>
      <c r="EY484" s="2"/>
      <c r="EZ484" s="2"/>
      <c r="FA484" s="2"/>
      <c r="FB484" s="2"/>
      <c r="FC484" s="2"/>
      <c r="FD484" s="2"/>
      <c r="FE484" s="2"/>
      <c r="FF484" s="2"/>
      <c r="FG484" s="2"/>
      <c r="FH484" s="2"/>
      <c r="FI484" s="2"/>
      <c r="FJ484" s="2"/>
      <c r="FK484" s="2"/>
      <c r="FL484" s="2"/>
      <c r="FM484" s="2"/>
      <c r="FN484" s="2"/>
      <c r="FO484" s="2"/>
      <c r="FP484" s="2"/>
      <c r="FQ484" s="2"/>
      <c r="FR484" s="2"/>
      <c r="FS484" s="2"/>
      <c r="FT484" s="2"/>
      <c r="FU484" s="2"/>
      <c r="FV484" s="2"/>
      <c r="FW484" s="2"/>
      <c r="FX484" s="2"/>
      <c r="FY484" s="2"/>
      <c r="FZ484" s="2"/>
      <c r="GA484" s="2"/>
      <c r="GB484" s="2"/>
      <c r="GC484" s="2"/>
      <c r="GD484" s="2"/>
      <c r="GE484" s="2"/>
      <c r="GF484" s="2"/>
      <c r="GG484" s="2"/>
      <c r="GH484" s="2"/>
      <c r="GI484" s="2"/>
      <c r="GJ484" s="2"/>
      <c r="GK484" s="2"/>
      <c r="GL484" s="2"/>
      <c r="GM484" s="2"/>
      <c r="GN484" s="2"/>
      <c r="GO484" s="2"/>
      <c r="GP484" s="2"/>
      <c r="GQ484" s="2"/>
      <c r="GR484" s="2"/>
      <c r="GS484" s="2"/>
      <c r="GT484" s="2"/>
      <c r="GU484" s="2"/>
      <c r="GV484" s="2"/>
      <c r="GW484" s="2"/>
      <c r="GX484" s="2"/>
      <c r="GY484" s="2"/>
      <c r="GZ484" s="2"/>
      <c r="HA484" s="2"/>
      <c r="HB484" s="2"/>
      <c r="HC484" s="2"/>
      <c r="HD484" s="2"/>
      <c r="HE484" s="2"/>
      <c r="HF484" s="2"/>
      <c r="HG484" s="2"/>
      <c r="HH484" s="2"/>
      <c r="HI484" s="2"/>
      <c r="HJ484" s="2"/>
      <c r="HK484" s="2"/>
      <c r="HL484" s="2"/>
      <c r="HM484" s="2"/>
      <c r="HN484" s="2"/>
      <c r="HO484" s="2"/>
      <c r="HP484" s="2"/>
      <c r="HQ484" s="2"/>
      <c r="HR484" s="2"/>
      <c r="HS484" s="2"/>
      <c r="HT484" s="2"/>
      <c r="HU484" s="2"/>
      <c r="HV484" s="2"/>
      <c r="HW484" s="2"/>
      <c r="HX484" s="2"/>
      <c r="HY484" s="2"/>
      <c r="HZ484" s="2"/>
      <c r="IA484" s="2"/>
      <c r="IB484" s="2"/>
      <c r="IC484" s="2"/>
    </row>
    <row r="485" spans="1:237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2"/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2"/>
      <c r="EE485" s="2"/>
      <c r="EF485" s="2"/>
      <c r="EG485" s="2"/>
      <c r="EH485" s="2"/>
      <c r="EI485" s="2"/>
      <c r="EJ485" s="2"/>
      <c r="EK485" s="2"/>
      <c r="EL485" s="2"/>
      <c r="EM485" s="2"/>
      <c r="EN485" s="2"/>
      <c r="EO485" s="2"/>
      <c r="EP485" s="2"/>
      <c r="EQ485" s="2"/>
      <c r="ER485" s="2"/>
      <c r="ES485" s="2"/>
      <c r="ET485" s="2"/>
      <c r="EU485" s="2"/>
      <c r="EV485" s="2"/>
      <c r="EW485" s="2"/>
      <c r="EX485" s="2"/>
      <c r="EY485" s="2"/>
      <c r="EZ485" s="2"/>
      <c r="FA485" s="2"/>
      <c r="FB485" s="2"/>
      <c r="FC485" s="2"/>
      <c r="FD485" s="2"/>
      <c r="FE485" s="2"/>
      <c r="FF485" s="2"/>
      <c r="FG485" s="2"/>
      <c r="FH485" s="2"/>
      <c r="FI485" s="2"/>
      <c r="FJ485" s="2"/>
      <c r="FK485" s="2"/>
      <c r="FL485" s="2"/>
      <c r="FM485" s="2"/>
      <c r="FN485" s="2"/>
      <c r="FO485" s="2"/>
      <c r="FP485" s="2"/>
      <c r="FQ485" s="2"/>
      <c r="FR485" s="2"/>
      <c r="FS485" s="2"/>
      <c r="FT485" s="2"/>
      <c r="FU485" s="2"/>
      <c r="FV485" s="2"/>
      <c r="FW485" s="2"/>
      <c r="FX485" s="2"/>
      <c r="FY485" s="2"/>
      <c r="FZ485" s="2"/>
      <c r="GA485" s="2"/>
      <c r="GB485" s="2"/>
      <c r="GC485" s="2"/>
      <c r="GD485" s="2"/>
      <c r="GE485" s="2"/>
      <c r="GF485" s="2"/>
      <c r="GG485" s="2"/>
      <c r="GH485" s="2"/>
      <c r="GI485" s="2"/>
      <c r="GJ485" s="2"/>
      <c r="GK485" s="2"/>
      <c r="GL485" s="2"/>
      <c r="GM485" s="2"/>
      <c r="GN485" s="2"/>
      <c r="GO485" s="2"/>
      <c r="GP485" s="2"/>
      <c r="GQ485" s="2"/>
      <c r="GR485" s="2"/>
      <c r="GS485" s="2"/>
      <c r="GT485" s="2"/>
      <c r="GU485" s="2"/>
      <c r="GV485" s="2"/>
      <c r="GW485" s="2"/>
      <c r="GX485" s="2"/>
      <c r="GY485" s="2"/>
      <c r="GZ485" s="2"/>
      <c r="HA485" s="2"/>
      <c r="HB485" s="2"/>
      <c r="HC485" s="2"/>
      <c r="HD485" s="2"/>
      <c r="HE485" s="2"/>
      <c r="HF485" s="2"/>
      <c r="HG485" s="2"/>
      <c r="HH485" s="2"/>
      <c r="HI485" s="2"/>
      <c r="HJ485" s="2"/>
      <c r="HK485" s="2"/>
      <c r="HL485" s="2"/>
      <c r="HM485" s="2"/>
      <c r="HN485" s="2"/>
      <c r="HO485" s="2"/>
      <c r="HP485" s="2"/>
      <c r="HQ485" s="2"/>
      <c r="HR485" s="2"/>
      <c r="HS485" s="2"/>
      <c r="HT485" s="2"/>
      <c r="HU485" s="2"/>
      <c r="HV485" s="2"/>
      <c r="HW485" s="2"/>
      <c r="HX485" s="2"/>
      <c r="HY485" s="2"/>
      <c r="HZ485" s="2"/>
      <c r="IA485" s="2"/>
      <c r="IB485" s="2"/>
      <c r="IC485" s="2"/>
    </row>
    <row r="486" spans="1:237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2"/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2"/>
      <c r="EE486" s="2"/>
      <c r="EF486" s="2"/>
      <c r="EG486" s="2"/>
      <c r="EH486" s="2"/>
      <c r="EI486" s="2"/>
      <c r="EJ486" s="2"/>
      <c r="EK486" s="2"/>
      <c r="EL486" s="2"/>
      <c r="EM486" s="2"/>
      <c r="EN486" s="2"/>
      <c r="EO486" s="2"/>
      <c r="EP486" s="2"/>
      <c r="EQ486" s="2"/>
      <c r="ER486" s="2"/>
      <c r="ES486" s="2"/>
      <c r="ET486" s="2"/>
      <c r="EU486" s="2"/>
      <c r="EV486" s="2"/>
      <c r="EW486" s="2"/>
      <c r="EX486" s="2"/>
      <c r="EY486" s="2"/>
      <c r="EZ486" s="2"/>
      <c r="FA486" s="2"/>
      <c r="FB486" s="2"/>
      <c r="FC486" s="2"/>
      <c r="FD486" s="2"/>
      <c r="FE486" s="2"/>
      <c r="FF486" s="2"/>
      <c r="FG486" s="2"/>
      <c r="FH486" s="2"/>
      <c r="FI486" s="2"/>
      <c r="FJ486" s="2"/>
      <c r="FK486" s="2"/>
      <c r="FL486" s="2"/>
      <c r="FM486" s="2"/>
      <c r="FN486" s="2"/>
      <c r="FO486" s="2"/>
      <c r="FP486" s="2"/>
      <c r="FQ486" s="2"/>
      <c r="FR486" s="2"/>
      <c r="FS486" s="2"/>
      <c r="FT486" s="2"/>
      <c r="FU486" s="2"/>
      <c r="FV486" s="2"/>
      <c r="FW486" s="2"/>
      <c r="FX486" s="2"/>
      <c r="FY486" s="2"/>
      <c r="FZ486" s="2"/>
      <c r="GA486" s="2"/>
      <c r="GB486" s="2"/>
      <c r="GC486" s="2"/>
      <c r="GD486" s="2"/>
      <c r="GE486" s="2"/>
      <c r="GF486" s="2"/>
      <c r="GG486" s="2"/>
      <c r="GH486" s="2"/>
      <c r="GI486" s="2"/>
      <c r="GJ486" s="2"/>
      <c r="GK486" s="2"/>
      <c r="GL486" s="2"/>
      <c r="GM486" s="2"/>
      <c r="GN486" s="2"/>
      <c r="GO486" s="2"/>
      <c r="GP486" s="2"/>
      <c r="GQ486" s="2"/>
      <c r="GR486" s="2"/>
      <c r="GS486" s="2"/>
      <c r="GT486" s="2"/>
      <c r="GU486" s="2"/>
      <c r="GV486" s="2"/>
      <c r="GW486" s="2"/>
      <c r="GX486" s="2"/>
      <c r="GY486" s="2"/>
      <c r="GZ486" s="2"/>
      <c r="HA486" s="2"/>
      <c r="HB486" s="2"/>
      <c r="HC486" s="2"/>
      <c r="HD486" s="2"/>
      <c r="HE486" s="2"/>
      <c r="HF486" s="2"/>
      <c r="HG486" s="2"/>
      <c r="HH486" s="2"/>
      <c r="HI486" s="2"/>
      <c r="HJ486" s="2"/>
      <c r="HK486" s="2"/>
      <c r="HL486" s="2"/>
      <c r="HM486" s="2"/>
      <c r="HN486" s="2"/>
      <c r="HO486" s="2"/>
      <c r="HP486" s="2"/>
      <c r="HQ486" s="2"/>
      <c r="HR486" s="2"/>
      <c r="HS486" s="2"/>
      <c r="HT486" s="2"/>
      <c r="HU486" s="2"/>
      <c r="HV486" s="2"/>
      <c r="HW486" s="2"/>
      <c r="HX486" s="2"/>
      <c r="HY486" s="2"/>
      <c r="HZ486" s="2"/>
      <c r="IA486" s="2"/>
      <c r="IB486" s="2"/>
      <c r="IC486" s="2"/>
    </row>
    <row r="487" spans="1:237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2"/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2"/>
      <c r="EE487" s="2"/>
      <c r="EF487" s="2"/>
      <c r="EG487" s="2"/>
      <c r="EH487" s="2"/>
      <c r="EI487" s="2"/>
      <c r="EJ487" s="2"/>
      <c r="EK487" s="2"/>
      <c r="EL487" s="2"/>
      <c r="EM487" s="2"/>
      <c r="EN487" s="2"/>
      <c r="EO487" s="2"/>
      <c r="EP487" s="2"/>
      <c r="EQ487" s="2"/>
      <c r="ER487" s="2"/>
      <c r="ES487" s="2"/>
      <c r="ET487" s="2"/>
      <c r="EU487" s="2"/>
      <c r="EV487" s="2"/>
      <c r="EW487" s="2"/>
      <c r="EX487" s="2"/>
      <c r="EY487" s="2"/>
      <c r="EZ487" s="2"/>
      <c r="FA487" s="2"/>
      <c r="FB487" s="2"/>
      <c r="FC487" s="2"/>
      <c r="FD487" s="2"/>
      <c r="FE487" s="2"/>
      <c r="FF487" s="2"/>
      <c r="FG487" s="2"/>
      <c r="FH487" s="2"/>
      <c r="FI487" s="2"/>
      <c r="FJ487" s="2"/>
      <c r="FK487" s="2"/>
      <c r="FL487" s="2"/>
      <c r="FM487" s="2"/>
      <c r="FN487" s="2"/>
      <c r="FO487" s="2"/>
      <c r="FP487" s="2"/>
      <c r="FQ487" s="2"/>
      <c r="FR487" s="2"/>
      <c r="FS487" s="2"/>
      <c r="FT487" s="2"/>
      <c r="FU487" s="2"/>
      <c r="FV487" s="2"/>
      <c r="FW487" s="2"/>
      <c r="FX487" s="2"/>
      <c r="FY487" s="2"/>
      <c r="FZ487" s="2"/>
      <c r="GA487" s="2"/>
      <c r="GB487" s="2"/>
      <c r="GC487" s="2"/>
      <c r="GD487" s="2"/>
      <c r="GE487" s="2"/>
      <c r="GF487" s="2"/>
      <c r="GG487" s="2"/>
      <c r="GH487" s="2"/>
      <c r="GI487" s="2"/>
      <c r="GJ487" s="2"/>
      <c r="GK487" s="2"/>
      <c r="GL487" s="2"/>
      <c r="GM487" s="2"/>
      <c r="GN487" s="2"/>
      <c r="GO487" s="2"/>
      <c r="GP487" s="2"/>
      <c r="GQ487" s="2"/>
      <c r="GR487" s="2"/>
      <c r="GS487" s="2"/>
      <c r="GT487" s="2"/>
      <c r="GU487" s="2"/>
      <c r="GV487" s="2"/>
      <c r="GW487" s="2"/>
      <c r="GX487" s="2"/>
      <c r="GY487" s="2"/>
      <c r="GZ487" s="2"/>
      <c r="HA487" s="2"/>
      <c r="HB487" s="2"/>
      <c r="HC487" s="2"/>
      <c r="HD487" s="2"/>
      <c r="HE487" s="2"/>
      <c r="HF487" s="2"/>
      <c r="HG487" s="2"/>
      <c r="HH487" s="2"/>
      <c r="HI487" s="2"/>
      <c r="HJ487" s="2"/>
      <c r="HK487" s="2"/>
      <c r="HL487" s="2"/>
      <c r="HM487" s="2"/>
      <c r="HN487" s="2"/>
      <c r="HO487" s="2"/>
      <c r="HP487" s="2"/>
      <c r="HQ487" s="2"/>
      <c r="HR487" s="2"/>
      <c r="HS487" s="2"/>
      <c r="HT487" s="2"/>
      <c r="HU487" s="2"/>
      <c r="HV487" s="2"/>
      <c r="HW487" s="2"/>
      <c r="HX487" s="2"/>
      <c r="HY487" s="2"/>
      <c r="HZ487" s="2"/>
      <c r="IA487" s="2"/>
      <c r="IB487" s="2"/>
      <c r="IC487" s="2"/>
    </row>
    <row r="488" spans="1:237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2"/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2"/>
      <c r="EE488" s="2"/>
      <c r="EF488" s="2"/>
      <c r="EG488" s="2"/>
      <c r="EH488" s="2"/>
      <c r="EI488" s="2"/>
      <c r="EJ488" s="2"/>
      <c r="EK488" s="2"/>
      <c r="EL488" s="2"/>
      <c r="EM488" s="2"/>
      <c r="EN488" s="2"/>
      <c r="EO488" s="2"/>
      <c r="EP488" s="2"/>
      <c r="EQ488" s="2"/>
      <c r="ER488" s="2"/>
      <c r="ES488" s="2"/>
      <c r="ET488" s="2"/>
      <c r="EU488" s="2"/>
      <c r="EV488" s="2"/>
      <c r="EW488" s="2"/>
      <c r="EX488" s="2"/>
      <c r="EY488" s="2"/>
      <c r="EZ488" s="2"/>
      <c r="FA488" s="2"/>
      <c r="FB488" s="2"/>
      <c r="FC488" s="2"/>
      <c r="FD488" s="2"/>
      <c r="FE488" s="2"/>
      <c r="FF488" s="2"/>
      <c r="FG488" s="2"/>
      <c r="FH488" s="2"/>
      <c r="FI488" s="2"/>
      <c r="FJ488" s="2"/>
      <c r="FK488" s="2"/>
      <c r="FL488" s="2"/>
      <c r="FM488" s="2"/>
      <c r="FN488" s="2"/>
      <c r="FO488" s="2"/>
      <c r="FP488" s="2"/>
      <c r="FQ488" s="2"/>
      <c r="FR488" s="2"/>
      <c r="FS488" s="2"/>
      <c r="FT488" s="2"/>
      <c r="FU488" s="2"/>
      <c r="FV488" s="2"/>
      <c r="FW488" s="2"/>
      <c r="FX488" s="2"/>
      <c r="FY488" s="2"/>
      <c r="FZ488" s="2"/>
      <c r="GA488" s="2"/>
      <c r="GB488" s="2"/>
      <c r="GC488" s="2"/>
      <c r="GD488" s="2"/>
      <c r="GE488" s="2"/>
      <c r="GF488" s="2"/>
      <c r="GG488" s="2"/>
      <c r="GH488" s="2"/>
      <c r="GI488" s="2"/>
      <c r="GJ488" s="2"/>
      <c r="GK488" s="2"/>
      <c r="GL488" s="2"/>
      <c r="GM488" s="2"/>
      <c r="GN488" s="2"/>
      <c r="GO488" s="2"/>
      <c r="GP488" s="2"/>
      <c r="GQ488" s="2"/>
      <c r="GR488" s="2"/>
      <c r="GS488" s="2"/>
      <c r="GT488" s="2"/>
      <c r="GU488" s="2"/>
      <c r="GV488" s="2"/>
      <c r="GW488" s="2"/>
      <c r="GX488" s="2"/>
      <c r="GY488" s="2"/>
      <c r="GZ488" s="2"/>
      <c r="HA488" s="2"/>
      <c r="HB488" s="2"/>
      <c r="HC488" s="2"/>
      <c r="HD488" s="2"/>
      <c r="HE488" s="2"/>
      <c r="HF488" s="2"/>
      <c r="HG488" s="2"/>
      <c r="HH488" s="2"/>
      <c r="HI488" s="2"/>
      <c r="HJ488" s="2"/>
      <c r="HK488" s="2"/>
      <c r="HL488" s="2"/>
      <c r="HM488" s="2"/>
      <c r="HN488" s="2"/>
      <c r="HO488" s="2"/>
      <c r="HP488" s="2"/>
      <c r="HQ488" s="2"/>
      <c r="HR488" s="2"/>
      <c r="HS488" s="2"/>
      <c r="HT488" s="2"/>
      <c r="HU488" s="2"/>
      <c r="HV488" s="2"/>
      <c r="HW488" s="2"/>
      <c r="HX488" s="2"/>
      <c r="HY488" s="2"/>
      <c r="HZ488" s="2"/>
      <c r="IA488" s="2"/>
      <c r="IB488" s="2"/>
      <c r="IC488" s="2"/>
    </row>
    <row r="489" spans="1:237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2"/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2"/>
      <c r="EE489" s="2"/>
      <c r="EF489" s="2"/>
      <c r="EG489" s="2"/>
      <c r="EH489" s="2"/>
      <c r="EI489" s="2"/>
      <c r="EJ489" s="2"/>
      <c r="EK489" s="2"/>
      <c r="EL489" s="2"/>
      <c r="EM489" s="2"/>
      <c r="EN489" s="2"/>
      <c r="EO489" s="2"/>
      <c r="EP489" s="2"/>
      <c r="EQ489" s="2"/>
      <c r="ER489" s="2"/>
      <c r="ES489" s="2"/>
      <c r="ET489" s="2"/>
      <c r="EU489" s="2"/>
      <c r="EV489" s="2"/>
      <c r="EW489" s="2"/>
      <c r="EX489" s="2"/>
      <c r="EY489" s="2"/>
      <c r="EZ489" s="2"/>
      <c r="FA489" s="2"/>
      <c r="FB489" s="2"/>
      <c r="FC489" s="2"/>
      <c r="FD489" s="2"/>
      <c r="FE489" s="2"/>
      <c r="FF489" s="2"/>
      <c r="FG489" s="2"/>
      <c r="FH489" s="2"/>
      <c r="FI489" s="2"/>
      <c r="FJ489" s="2"/>
      <c r="FK489" s="2"/>
      <c r="FL489" s="2"/>
      <c r="FM489" s="2"/>
      <c r="FN489" s="2"/>
      <c r="FO489" s="2"/>
      <c r="FP489" s="2"/>
      <c r="FQ489" s="2"/>
      <c r="FR489" s="2"/>
      <c r="FS489" s="2"/>
      <c r="FT489" s="2"/>
      <c r="FU489" s="2"/>
      <c r="FV489" s="2"/>
      <c r="FW489" s="2"/>
      <c r="FX489" s="2"/>
      <c r="FY489" s="2"/>
      <c r="FZ489" s="2"/>
      <c r="GA489" s="2"/>
      <c r="GB489" s="2"/>
      <c r="GC489" s="2"/>
      <c r="GD489" s="2"/>
      <c r="GE489" s="2"/>
      <c r="GF489" s="2"/>
      <c r="GG489" s="2"/>
      <c r="GH489" s="2"/>
      <c r="GI489" s="2"/>
      <c r="GJ489" s="2"/>
      <c r="GK489" s="2"/>
      <c r="GL489" s="2"/>
      <c r="GM489" s="2"/>
      <c r="GN489" s="2"/>
      <c r="GO489" s="2"/>
      <c r="GP489" s="2"/>
      <c r="GQ489" s="2"/>
      <c r="GR489" s="2"/>
      <c r="GS489" s="2"/>
      <c r="GT489" s="2"/>
      <c r="GU489" s="2"/>
      <c r="GV489" s="2"/>
      <c r="GW489" s="2"/>
      <c r="GX489" s="2"/>
      <c r="GY489" s="2"/>
      <c r="GZ489" s="2"/>
      <c r="HA489" s="2"/>
      <c r="HB489" s="2"/>
      <c r="HC489" s="2"/>
      <c r="HD489" s="2"/>
      <c r="HE489" s="2"/>
      <c r="HF489" s="2"/>
      <c r="HG489" s="2"/>
      <c r="HH489" s="2"/>
      <c r="HI489" s="2"/>
      <c r="HJ489" s="2"/>
      <c r="HK489" s="2"/>
      <c r="HL489" s="2"/>
      <c r="HM489" s="2"/>
      <c r="HN489" s="2"/>
      <c r="HO489" s="2"/>
      <c r="HP489" s="2"/>
      <c r="HQ489" s="2"/>
      <c r="HR489" s="2"/>
      <c r="HS489" s="2"/>
      <c r="HT489" s="2"/>
      <c r="HU489" s="2"/>
      <c r="HV489" s="2"/>
      <c r="HW489" s="2"/>
      <c r="HX489" s="2"/>
      <c r="HY489" s="2"/>
      <c r="HZ489" s="2"/>
      <c r="IA489" s="2"/>
      <c r="IB489" s="2"/>
      <c r="IC489" s="2"/>
    </row>
    <row r="490" spans="1:237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2"/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2"/>
      <c r="EE490" s="2"/>
      <c r="EF490" s="2"/>
      <c r="EG490" s="2"/>
      <c r="EH490" s="2"/>
      <c r="EI490" s="2"/>
      <c r="EJ490" s="2"/>
      <c r="EK490" s="2"/>
      <c r="EL490" s="2"/>
      <c r="EM490" s="2"/>
      <c r="EN490" s="2"/>
      <c r="EO490" s="2"/>
      <c r="EP490" s="2"/>
      <c r="EQ490" s="2"/>
      <c r="ER490" s="2"/>
      <c r="ES490" s="2"/>
      <c r="ET490" s="2"/>
      <c r="EU490" s="2"/>
      <c r="EV490" s="2"/>
      <c r="EW490" s="2"/>
      <c r="EX490" s="2"/>
      <c r="EY490" s="2"/>
      <c r="EZ490" s="2"/>
      <c r="FA490" s="2"/>
      <c r="FB490" s="2"/>
      <c r="FC490" s="2"/>
      <c r="FD490" s="2"/>
      <c r="FE490" s="2"/>
      <c r="FF490" s="2"/>
      <c r="FG490" s="2"/>
      <c r="FH490" s="2"/>
      <c r="FI490" s="2"/>
      <c r="FJ490" s="2"/>
      <c r="FK490" s="2"/>
      <c r="FL490" s="2"/>
      <c r="FM490" s="2"/>
      <c r="FN490" s="2"/>
      <c r="FO490" s="2"/>
      <c r="FP490" s="2"/>
      <c r="FQ490" s="2"/>
      <c r="FR490" s="2"/>
      <c r="FS490" s="2"/>
      <c r="FT490" s="2"/>
      <c r="FU490" s="2"/>
      <c r="FV490" s="2"/>
      <c r="FW490" s="2"/>
      <c r="FX490" s="2"/>
      <c r="FY490" s="2"/>
      <c r="FZ490" s="2"/>
      <c r="GA490" s="2"/>
      <c r="GB490" s="2"/>
      <c r="GC490" s="2"/>
      <c r="GD490" s="2"/>
      <c r="GE490" s="2"/>
      <c r="GF490" s="2"/>
      <c r="GG490" s="2"/>
      <c r="GH490" s="2"/>
      <c r="GI490" s="2"/>
      <c r="GJ490" s="2"/>
      <c r="GK490" s="2"/>
      <c r="GL490" s="2"/>
      <c r="GM490" s="2"/>
      <c r="GN490" s="2"/>
      <c r="GO490" s="2"/>
      <c r="GP490" s="2"/>
      <c r="GQ490" s="2"/>
      <c r="GR490" s="2"/>
      <c r="GS490" s="2"/>
      <c r="GT490" s="2"/>
      <c r="GU490" s="2"/>
      <c r="GV490" s="2"/>
      <c r="GW490" s="2"/>
      <c r="GX490" s="2"/>
      <c r="GY490" s="2"/>
      <c r="GZ490" s="2"/>
      <c r="HA490" s="2"/>
      <c r="HB490" s="2"/>
      <c r="HC490" s="2"/>
      <c r="HD490" s="2"/>
      <c r="HE490" s="2"/>
      <c r="HF490" s="2"/>
      <c r="HG490" s="2"/>
      <c r="HH490" s="2"/>
      <c r="HI490" s="2"/>
      <c r="HJ490" s="2"/>
      <c r="HK490" s="2"/>
      <c r="HL490" s="2"/>
      <c r="HM490" s="2"/>
      <c r="HN490" s="2"/>
      <c r="HO490" s="2"/>
      <c r="HP490" s="2"/>
      <c r="HQ490" s="2"/>
      <c r="HR490" s="2"/>
      <c r="HS490" s="2"/>
      <c r="HT490" s="2"/>
      <c r="HU490" s="2"/>
      <c r="HV490" s="2"/>
      <c r="HW490" s="2"/>
      <c r="HX490" s="2"/>
      <c r="HY490" s="2"/>
      <c r="HZ490" s="2"/>
      <c r="IA490" s="2"/>
      <c r="IB490" s="2"/>
      <c r="IC490" s="2"/>
    </row>
    <row r="491" spans="1:237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2"/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2"/>
      <c r="EE491" s="2"/>
      <c r="EF491" s="2"/>
      <c r="EG491" s="2"/>
      <c r="EH491" s="2"/>
      <c r="EI491" s="2"/>
      <c r="EJ491" s="2"/>
      <c r="EK491" s="2"/>
      <c r="EL491" s="2"/>
      <c r="EM491" s="2"/>
      <c r="EN491" s="2"/>
      <c r="EO491" s="2"/>
      <c r="EP491" s="2"/>
      <c r="EQ491" s="2"/>
      <c r="ER491" s="2"/>
      <c r="ES491" s="2"/>
      <c r="ET491" s="2"/>
      <c r="EU491" s="2"/>
      <c r="EV491" s="2"/>
      <c r="EW491" s="2"/>
      <c r="EX491" s="2"/>
      <c r="EY491" s="2"/>
      <c r="EZ491" s="2"/>
      <c r="FA491" s="2"/>
      <c r="FB491" s="2"/>
      <c r="FC491" s="2"/>
      <c r="FD491" s="2"/>
      <c r="FE491" s="2"/>
      <c r="FF491" s="2"/>
      <c r="FG491" s="2"/>
      <c r="FH491" s="2"/>
      <c r="FI491" s="2"/>
      <c r="FJ491" s="2"/>
      <c r="FK491" s="2"/>
      <c r="FL491" s="2"/>
      <c r="FM491" s="2"/>
      <c r="FN491" s="2"/>
      <c r="FO491" s="2"/>
      <c r="FP491" s="2"/>
      <c r="FQ491" s="2"/>
      <c r="FR491" s="2"/>
      <c r="FS491" s="2"/>
      <c r="FT491" s="2"/>
      <c r="FU491" s="2"/>
      <c r="FV491" s="2"/>
      <c r="FW491" s="2"/>
      <c r="FX491" s="2"/>
      <c r="FY491" s="2"/>
      <c r="FZ491" s="2"/>
      <c r="GA491" s="2"/>
      <c r="GB491" s="2"/>
      <c r="GC491" s="2"/>
      <c r="GD491" s="2"/>
      <c r="GE491" s="2"/>
      <c r="GF491" s="2"/>
      <c r="GG491" s="2"/>
      <c r="GH491" s="2"/>
      <c r="GI491" s="2"/>
      <c r="GJ491" s="2"/>
      <c r="GK491" s="2"/>
      <c r="GL491" s="2"/>
      <c r="GM491" s="2"/>
      <c r="GN491" s="2"/>
      <c r="GO491" s="2"/>
      <c r="GP491" s="2"/>
      <c r="GQ491" s="2"/>
      <c r="GR491" s="2"/>
      <c r="GS491" s="2"/>
      <c r="GT491" s="2"/>
      <c r="GU491" s="2"/>
      <c r="GV491" s="2"/>
      <c r="GW491" s="2"/>
      <c r="GX491" s="2"/>
      <c r="GY491" s="2"/>
      <c r="GZ491" s="2"/>
      <c r="HA491" s="2"/>
      <c r="HB491" s="2"/>
      <c r="HC491" s="2"/>
      <c r="HD491" s="2"/>
      <c r="HE491" s="2"/>
      <c r="HF491" s="2"/>
      <c r="HG491" s="2"/>
      <c r="HH491" s="2"/>
      <c r="HI491" s="2"/>
      <c r="HJ491" s="2"/>
      <c r="HK491" s="2"/>
      <c r="HL491" s="2"/>
      <c r="HM491" s="2"/>
      <c r="HN491" s="2"/>
      <c r="HO491" s="2"/>
      <c r="HP491" s="2"/>
      <c r="HQ491" s="2"/>
      <c r="HR491" s="2"/>
      <c r="HS491" s="2"/>
      <c r="HT491" s="2"/>
      <c r="HU491" s="2"/>
      <c r="HV491" s="2"/>
      <c r="HW491" s="2"/>
      <c r="HX491" s="2"/>
      <c r="HY491" s="2"/>
      <c r="HZ491" s="2"/>
      <c r="IA491" s="2"/>
      <c r="IB491" s="2"/>
      <c r="IC491" s="2"/>
    </row>
    <row r="492" spans="1:237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2"/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2"/>
      <c r="EE492" s="2"/>
      <c r="EF492" s="2"/>
      <c r="EG492" s="2"/>
      <c r="EH492" s="2"/>
      <c r="EI492" s="2"/>
      <c r="EJ492" s="2"/>
      <c r="EK492" s="2"/>
      <c r="EL492" s="2"/>
      <c r="EM492" s="2"/>
      <c r="EN492" s="2"/>
      <c r="EO492" s="2"/>
      <c r="EP492" s="2"/>
      <c r="EQ492" s="2"/>
      <c r="ER492" s="2"/>
      <c r="ES492" s="2"/>
      <c r="ET492" s="2"/>
      <c r="EU492" s="2"/>
      <c r="EV492" s="2"/>
      <c r="EW492" s="2"/>
      <c r="EX492" s="2"/>
      <c r="EY492" s="2"/>
      <c r="EZ492" s="2"/>
      <c r="FA492" s="2"/>
      <c r="FB492" s="2"/>
      <c r="FC492" s="2"/>
      <c r="FD492" s="2"/>
      <c r="FE492" s="2"/>
      <c r="FF492" s="2"/>
      <c r="FG492" s="2"/>
      <c r="FH492" s="2"/>
      <c r="FI492" s="2"/>
      <c r="FJ492" s="2"/>
      <c r="FK492" s="2"/>
      <c r="FL492" s="2"/>
      <c r="FM492" s="2"/>
      <c r="FN492" s="2"/>
      <c r="FO492" s="2"/>
      <c r="FP492" s="2"/>
      <c r="FQ492" s="2"/>
      <c r="FR492" s="2"/>
      <c r="FS492" s="2"/>
      <c r="FT492" s="2"/>
      <c r="FU492" s="2"/>
      <c r="FV492" s="2"/>
      <c r="FW492" s="2"/>
      <c r="FX492" s="2"/>
      <c r="FY492" s="2"/>
      <c r="FZ492" s="2"/>
      <c r="GA492" s="2"/>
      <c r="GB492" s="2"/>
      <c r="GC492" s="2"/>
      <c r="GD492" s="2"/>
      <c r="GE492" s="2"/>
      <c r="GF492" s="2"/>
      <c r="GG492" s="2"/>
      <c r="GH492" s="2"/>
      <c r="GI492" s="2"/>
      <c r="GJ492" s="2"/>
      <c r="GK492" s="2"/>
      <c r="GL492" s="2"/>
      <c r="GM492" s="2"/>
      <c r="GN492" s="2"/>
      <c r="GO492" s="2"/>
      <c r="GP492" s="2"/>
      <c r="GQ492" s="2"/>
      <c r="GR492" s="2"/>
      <c r="GS492" s="2"/>
      <c r="GT492" s="2"/>
      <c r="GU492" s="2"/>
      <c r="GV492" s="2"/>
      <c r="GW492" s="2"/>
      <c r="GX492" s="2"/>
      <c r="GY492" s="2"/>
      <c r="GZ492" s="2"/>
      <c r="HA492" s="2"/>
      <c r="HB492" s="2"/>
      <c r="HC492" s="2"/>
      <c r="HD492" s="2"/>
      <c r="HE492" s="2"/>
      <c r="HF492" s="2"/>
      <c r="HG492" s="2"/>
      <c r="HH492" s="2"/>
      <c r="HI492" s="2"/>
      <c r="HJ492" s="2"/>
      <c r="HK492" s="2"/>
      <c r="HL492" s="2"/>
      <c r="HM492" s="2"/>
      <c r="HN492" s="2"/>
      <c r="HO492" s="2"/>
      <c r="HP492" s="2"/>
      <c r="HQ492" s="2"/>
      <c r="HR492" s="2"/>
      <c r="HS492" s="2"/>
      <c r="HT492" s="2"/>
      <c r="HU492" s="2"/>
      <c r="HV492" s="2"/>
      <c r="HW492" s="2"/>
      <c r="HX492" s="2"/>
      <c r="HY492" s="2"/>
      <c r="HZ492" s="2"/>
      <c r="IA492" s="2"/>
      <c r="IB492" s="2"/>
      <c r="IC492" s="2"/>
    </row>
    <row r="493" spans="1:237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2"/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2"/>
      <c r="EE493" s="2"/>
      <c r="EF493" s="2"/>
      <c r="EG493" s="2"/>
      <c r="EH493" s="2"/>
      <c r="EI493" s="2"/>
      <c r="EJ493" s="2"/>
      <c r="EK493" s="2"/>
      <c r="EL493" s="2"/>
      <c r="EM493" s="2"/>
      <c r="EN493" s="2"/>
      <c r="EO493" s="2"/>
      <c r="EP493" s="2"/>
      <c r="EQ493" s="2"/>
      <c r="ER493" s="2"/>
      <c r="ES493" s="2"/>
      <c r="ET493" s="2"/>
      <c r="EU493" s="2"/>
      <c r="EV493" s="2"/>
      <c r="EW493" s="2"/>
      <c r="EX493" s="2"/>
      <c r="EY493" s="2"/>
      <c r="EZ493" s="2"/>
      <c r="FA493" s="2"/>
      <c r="FB493" s="2"/>
      <c r="FC493" s="2"/>
      <c r="FD493" s="2"/>
      <c r="FE493" s="2"/>
      <c r="FF493" s="2"/>
      <c r="FG493" s="2"/>
      <c r="FH493" s="2"/>
      <c r="FI493" s="2"/>
      <c r="FJ493" s="2"/>
      <c r="FK493" s="2"/>
      <c r="FL493" s="2"/>
      <c r="FM493" s="2"/>
      <c r="FN493" s="2"/>
      <c r="FO493" s="2"/>
      <c r="FP493" s="2"/>
      <c r="FQ493" s="2"/>
      <c r="FR493" s="2"/>
      <c r="FS493" s="2"/>
      <c r="FT493" s="2"/>
      <c r="FU493" s="2"/>
      <c r="FV493" s="2"/>
      <c r="FW493" s="2"/>
      <c r="FX493" s="2"/>
      <c r="FY493" s="2"/>
      <c r="FZ493" s="2"/>
      <c r="GA493" s="2"/>
      <c r="GB493" s="2"/>
      <c r="GC493" s="2"/>
      <c r="GD493" s="2"/>
      <c r="GE493" s="2"/>
      <c r="GF493" s="2"/>
      <c r="GG493" s="2"/>
      <c r="GH493" s="2"/>
      <c r="GI493" s="2"/>
      <c r="GJ493" s="2"/>
      <c r="GK493" s="2"/>
      <c r="GL493" s="2"/>
      <c r="GM493" s="2"/>
      <c r="GN493" s="2"/>
      <c r="GO493" s="2"/>
      <c r="GP493" s="2"/>
      <c r="GQ493" s="2"/>
      <c r="GR493" s="2"/>
      <c r="GS493" s="2"/>
      <c r="GT493" s="2"/>
      <c r="GU493" s="2"/>
      <c r="GV493" s="2"/>
      <c r="GW493" s="2"/>
      <c r="GX493" s="2"/>
      <c r="GY493" s="2"/>
      <c r="GZ493" s="2"/>
      <c r="HA493" s="2"/>
      <c r="HB493" s="2"/>
      <c r="HC493" s="2"/>
      <c r="HD493" s="2"/>
      <c r="HE493" s="2"/>
      <c r="HF493" s="2"/>
      <c r="HG493" s="2"/>
      <c r="HH493" s="2"/>
      <c r="HI493" s="2"/>
      <c r="HJ493" s="2"/>
      <c r="HK493" s="2"/>
      <c r="HL493" s="2"/>
      <c r="HM493" s="2"/>
      <c r="HN493" s="2"/>
      <c r="HO493" s="2"/>
      <c r="HP493" s="2"/>
      <c r="HQ493" s="2"/>
      <c r="HR493" s="2"/>
      <c r="HS493" s="2"/>
      <c r="HT493" s="2"/>
      <c r="HU493" s="2"/>
      <c r="HV493" s="2"/>
      <c r="HW493" s="2"/>
      <c r="HX493" s="2"/>
      <c r="HY493" s="2"/>
      <c r="HZ493" s="2"/>
      <c r="IA493" s="2"/>
      <c r="IB493" s="2"/>
      <c r="IC493" s="2"/>
    </row>
    <row r="494" spans="1:237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2"/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2"/>
      <c r="EE494" s="2"/>
      <c r="EF494" s="2"/>
      <c r="EG494" s="2"/>
      <c r="EH494" s="2"/>
      <c r="EI494" s="2"/>
      <c r="EJ494" s="2"/>
      <c r="EK494" s="2"/>
      <c r="EL494" s="2"/>
      <c r="EM494" s="2"/>
      <c r="EN494" s="2"/>
      <c r="EO494" s="2"/>
      <c r="EP494" s="2"/>
      <c r="EQ494" s="2"/>
      <c r="ER494" s="2"/>
      <c r="ES494" s="2"/>
      <c r="ET494" s="2"/>
      <c r="EU494" s="2"/>
      <c r="EV494" s="2"/>
      <c r="EW494" s="2"/>
      <c r="EX494" s="2"/>
      <c r="EY494" s="2"/>
      <c r="EZ494" s="2"/>
      <c r="FA494" s="2"/>
      <c r="FB494" s="2"/>
      <c r="FC494" s="2"/>
      <c r="FD494" s="2"/>
      <c r="FE494" s="2"/>
      <c r="FF494" s="2"/>
      <c r="FG494" s="2"/>
      <c r="FH494" s="2"/>
      <c r="FI494" s="2"/>
      <c r="FJ494" s="2"/>
      <c r="FK494" s="2"/>
      <c r="FL494" s="2"/>
      <c r="FM494" s="2"/>
      <c r="FN494" s="2"/>
      <c r="FO494" s="2"/>
      <c r="FP494" s="2"/>
      <c r="FQ494" s="2"/>
      <c r="FR494" s="2"/>
      <c r="FS494" s="2"/>
      <c r="FT494" s="2"/>
      <c r="FU494" s="2"/>
      <c r="FV494" s="2"/>
      <c r="FW494" s="2"/>
      <c r="FX494" s="2"/>
      <c r="FY494" s="2"/>
      <c r="FZ494" s="2"/>
      <c r="GA494" s="2"/>
      <c r="GB494" s="2"/>
      <c r="GC494" s="2"/>
      <c r="GD494" s="2"/>
      <c r="GE494" s="2"/>
      <c r="GF494" s="2"/>
      <c r="GG494" s="2"/>
      <c r="GH494" s="2"/>
      <c r="GI494" s="2"/>
      <c r="GJ494" s="2"/>
      <c r="GK494" s="2"/>
      <c r="GL494" s="2"/>
      <c r="GM494" s="2"/>
      <c r="GN494" s="2"/>
      <c r="GO494" s="2"/>
      <c r="GP494" s="2"/>
      <c r="GQ494" s="2"/>
      <c r="GR494" s="2"/>
      <c r="GS494" s="2"/>
      <c r="GT494" s="2"/>
      <c r="GU494" s="2"/>
      <c r="GV494" s="2"/>
      <c r="GW494" s="2"/>
      <c r="GX494" s="2"/>
      <c r="GY494" s="2"/>
      <c r="GZ494" s="2"/>
      <c r="HA494" s="2"/>
      <c r="HB494" s="2"/>
      <c r="HC494" s="2"/>
      <c r="HD494" s="2"/>
      <c r="HE494" s="2"/>
      <c r="HF494" s="2"/>
      <c r="HG494" s="2"/>
      <c r="HH494" s="2"/>
      <c r="HI494" s="2"/>
      <c r="HJ494" s="2"/>
      <c r="HK494" s="2"/>
      <c r="HL494" s="2"/>
      <c r="HM494" s="2"/>
      <c r="HN494" s="2"/>
      <c r="HO494" s="2"/>
      <c r="HP494" s="2"/>
      <c r="HQ494" s="2"/>
      <c r="HR494" s="2"/>
      <c r="HS494" s="2"/>
      <c r="HT494" s="2"/>
      <c r="HU494" s="2"/>
      <c r="HV494" s="2"/>
      <c r="HW494" s="2"/>
      <c r="HX494" s="2"/>
      <c r="HY494" s="2"/>
      <c r="HZ494" s="2"/>
      <c r="IA494" s="2"/>
      <c r="IB494" s="2"/>
      <c r="IC494" s="2"/>
    </row>
    <row r="495" spans="1:237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2"/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2"/>
      <c r="EE495" s="2"/>
      <c r="EF495" s="2"/>
      <c r="EG495" s="2"/>
      <c r="EH495" s="2"/>
      <c r="EI495" s="2"/>
      <c r="EJ495" s="2"/>
      <c r="EK495" s="2"/>
      <c r="EL495" s="2"/>
      <c r="EM495" s="2"/>
      <c r="EN495" s="2"/>
      <c r="EO495" s="2"/>
      <c r="EP495" s="2"/>
      <c r="EQ495" s="2"/>
      <c r="ER495" s="2"/>
      <c r="ES495" s="2"/>
      <c r="ET495" s="2"/>
      <c r="EU495" s="2"/>
      <c r="EV495" s="2"/>
      <c r="EW495" s="2"/>
      <c r="EX495" s="2"/>
      <c r="EY495" s="2"/>
      <c r="EZ495" s="2"/>
      <c r="FA495" s="2"/>
      <c r="FB495" s="2"/>
      <c r="FC495" s="2"/>
      <c r="FD495" s="2"/>
      <c r="FE495" s="2"/>
      <c r="FF495" s="2"/>
      <c r="FG495" s="2"/>
      <c r="FH495" s="2"/>
      <c r="FI495" s="2"/>
      <c r="FJ495" s="2"/>
      <c r="FK495" s="2"/>
      <c r="FL495" s="2"/>
      <c r="FM495" s="2"/>
      <c r="FN495" s="2"/>
      <c r="FO495" s="2"/>
      <c r="FP495" s="2"/>
      <c r="FQ495" s="2"/>
      <c r="FR495" s="2"/>
      <c r="FS495" s="2"/>
      <c r="FT495" s="2"/>
      <c r="FU495" s="2"/>
      <c r="FV495" s="2"/>
      <c r="FW495" s="2"/>
      <c r="FX495" s="2"/>
      <c r="FY495" s="2"/>
      <c r="FZ495" s="2"/>
      <c r="GA495" s="2"/>
      <c r="GB495" s="2"/>
      <c r="GC495" s="2"/>
      <c r="GD495" s="2"/>
      <c r="GE495" s="2"/>
      <c r="GF495" s="2"/>
      <c r="GG495" s="2"/>
      <c r="GH495" s="2"/>
      <c r="GI495" s="2"/>
      <c r="GJ495" s="2"/>
      <c r="GK495" s="2"/>
      <c r="GL495" s="2"/>
      <c r="GM495" s="2"/>
      <c r="GN495" s="2"/>
      <c r="GO495" s="2"/>
      <c r="GP495" s="2"/>
      <c r="GQ495" s="2"/>
      <c r="GR495" s="2"/>
      <c r="GS495" s="2"/>
      <c r="GT495" s="2"/>
      <c r="GU495" s="2"/>
      <c r="GV495" s="2"/>
      <c r="GW495" s="2"/>
      <c r="GX495" s="2"/>
      <c r="GY495" s="2"/>
      <c r="GZ495" s="2"/>
      <c r="HA495" s="2"/>
      <c r="HB495" s="2"/>
      <c r="HC495" s="2"/>
      <c r="HD495" s="2"/>
      <c r="HE495" s="2"/>
      <c r="HF495" s="2"/>
      <c r="HG495" s="2"/>
      <c r="HH495" s="2"/>
      <c r="HI495" s="2"/>
      <c r="HJ495" s="2"/>
      <c r="HK495" s="2"/>
      <c r="HL495" s="2"/>
      <c r="HM495" s="2"/>
      <c r="HN495" s="2"/>
      <c r="HO495" s="2"/>
      <c r="HP495" s="2"/>
      <c r="HQ495" s="2"/>
      <c r="HR495" s="2"/>
      <c r="HS495" s="2"/>
      <c r="HT495" s="2"/>
      <c r="HU495" s="2"/>
      <c r="HV495" s="2"/>
      <c r="HW495" s="2"/>
      <c r="HX495" s="2"/>
      <c r="HY495" s="2"/>
      <c r="HZ495" s="2"/>
      <c r="IA495" s="2"/>
      <c r="IB495" s="2"/>
      <c r="IC495" s="2"/>
    </row>
    <row r="496" spans="1:237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2"/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2"/>
      <c r="EE496" s="2"/>
      <c r="EF496" s="2"/>
      <c r="EG496" s="2"/>
      <c r="EH496" s="2"/>
      <c r="EI496" s="2"/>
      <c r="EJ496" s="2"/>
      <c r="EK496" s="2"/>
      <c r="EL496" s="2"/>
      <c r="EM496" s="2"/>
      <c r="EN496" s="2"/>
      <c r="EO496" s="2"/>
      <c r="EP496" s="2"/>
      <c r="EQ496" s="2"/>
      <c r="ER496" s="2"/>
      <c r="ES496" s="2"/>
      <c r="ET496" s="2"/>
      <c r="EU496" s="2"/>
      <c r="EV496" s="2"/>
      <c r="EW496" s="2"/>
      <c r="EX496" s="2"/>
      <c r="EY496" s="2"/>
      <c r="EZ496" s="2"/>
      <c r="FA496" s="2"/>
      <c r="FB496" s="2"/>
      <c r="FC496" s="2"/>
      <c r="FD496" s="2"/>
      <c r="FE496" s="2"/>
      <c r="FF496" s="2"/>
      <c r="FG496" s="2"/>
      <c r="FH496" s="2"/>
      <c r="FI496" s="2"/>
      <c r="FJ496" s="2"/>
      <c r="FK496" s="2"/>
      <c r="FL496" s="2"/>
      <c r="FM496" s="2"/>
      <c r="FN496" s="2"/>
      <c r="FO496" s="2"/>
      <c r="FP496" s="2"/>
      <c r="FQ496" s="2"/>
      <c r="FR496" s="2"/>
      <c r="FS496" s="2"/>
      <c r="FT496" s="2"/>
      <c r="FU496" s="2"/>
      <c r="FV496" s="2"/>
      <c r="FW496" s="2"/>
      <c r="FX496" s="2"/>
      <c r="FY496" s="2"/>
      <c r="FZ496" s="2"/>
      <c r="GA496" s="2"/>
      <c r="GB496" s="2"/>
      <c r="GC496" s="2"/>
      <c r="GD496" s="2"/>
      <c r="GE496" s="2"/>
      <c r="GF496" s="2"/>
      <c r="GG496" s="2"/>
      <c r="GH496" s="2"/>
      <c r="GI496" s="2"/>
      <c r="GJ496" s="2"/>
      <c r="GK496" s="2"/>
      <c r="GL496" s="2"/>
      <c r="GM496" s="2"/>
      <c r="GN496" s="2"/>
      <c r="GO496" s="2"/>
      <c r="GP496" s="2"/>
      <c r="GQ496" s="2"/>
      <c r="GR496" s="2"/>
      <c r="GS496" s="2"/>
      <c r="GT496" s="2"/>
      <c r="GU496" s="2"/>
      <c r="GV496" s="2"/>
      <c r="GW496" s="2"/>
      <c r="GX496" s="2"/>
      <c r="GY496" s="2"/>
      <c r="GZ496" s="2"/>
      <c r="HA496" s="2"/>
      <c r="HB496" s="2"/>
      <c r="HC496" s="2"/>
      <c r="HD496" s="2"/>
      <c r="HE496" s="2"/>
      <c r="HF496" s="2"/>
      <c r="HG496" s="2"/>
      <c r="HH496" s="2"/>
      <c r="HI496" s="2"/>
      <c r="HJ496" s="2"/>
      <c r="HK496" s="2"/>
      <c r="HL496" s="2"/>
      <c r="HM496" s="2"/>
      <c r="HN496" s="2"/>
      <c r="HO496" s="2"/>
      <c r="HP496" s="2"/>
      <c r="HQ496" s="2"/>
      <c r="HR496" s="2"/>
      <c r="HS496" s="2"/>
      <c r="HT496" s="2"/>
      <c r="HU496" s="2"/>
      <c r="HV496" s="2"/>
      <c r="HW496" s="2"/>
      <c r="HX496" s="2"/>
      <c r="HY496" s="2"/>
      <c r="HZ496" s="2"/>
      <c r="IA496" s="2"/>
      <c r="IB496" s="2"/>
      <c r="IC496" s="2"/>
    </row>
    <row r="497" spans="1:237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2"/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2"/>
      <c r="EE497" s="2"/>
      <c r="EF497" s="2"/>
      <c r="EG497" s="2"/>
      <c r="EH497" s="2"/>
      <c r="EI497" s="2"/>
      <c r="EJ497" s="2"/>
      <c r="EK497" s="2"/>
      <c r="EL497" s="2"/>
      <c r="EM497" s="2"/>
      <c r="EN497" s="2"/>
      <c r="EO497" s="2"/>
      <c r="EP497" s="2"/>
      <c r="EQ497" s="2"/>
      <c r="ER497" s="2"/>
      <c r="ES497" s="2"/>
      <c r="ET497" s="2"/>
      <c r="EU497" s="2"/>
      <c r="EV497" s="2"/>
      <c r="EW497" s="2"/>
      <c r="EX497" s="2"/>
      <c r="EY497" s="2"/>
      <c r="EZ497" s="2"/>
      <c r="FA497" s="2"/>
      <c r="FB497" s="2"/>
      <c r="FC497" s="2"/>
      <c r="FD497" s="2"/>
      <c r="FE497" s="2"/>
      <c r="FF497" s="2"/>
      <c r="FG497" s="2"/>
      <c r="FH497" s="2"/>
      <c r="FI497" s="2"/>
      <c r="FJ497" s="2"/>
      <c r="FK497" s="2"/>
      <c r="FL497" s="2"/>
      <c r="FM497" s="2"/>
      <c r="FN497" s="2"/>
      <c r="FO497" s="2"/>
      <c r="FP497" s="2"/>
      <c r="FQ497" s="2"/>
      <c r="FR497" s="2"/>
      <c r="FS497" s="2"/>
      <c r="FT497" s="2"/>
      <c r="FU497" s="2"/>
      <c r="FV497" s="2"/>
      <c r="FW497" s="2"/>
      <c r="FX497" s="2"/>
      <c r="FY497" s="2"/>
      <c r="FZ497" s="2"/>
      <c r="GA497" s="2"/>
      <c r="GB497" s="2"/>
      <c r="GC497" s="2"/>
      <c r="GD497" s="2"/>
      <c r="GE497" s="2"/>
      <c r="GF497" s="2"/>
      <c r="GG497" s="2"/>
      <c r="GH497" s="2"/>
      <c r="GI497" s="2"/>
      <c r="GJ497" s="2"/>
      <c r="GK497" s="2"/>
      <c r="GL497" s="2"/>
      <c r="GM497" s="2"/>
      <c r="GN497" s="2"/>
      <c r="GO497" s="2"/>
      <c r="GP497" s="2"/>
      <c r="GQ497" s="2"/>
      <c r="GR497" s="2"/>
      <c r="GS497" s="2"/>
      <c r="GT497" s="2"/>
      <c r="GU497" s="2"/>
      <c r="GV497" s="2"/>
      <c r="GW497" s="2"/>
      <c r="GX497" s="2"/>
      <c r="GY497" s="2"/>
      <c r="GZ497" s="2"/>
      <c r="HA497" s="2"/>
      <c r="HB497" s="2"/>
      <c r="HC497" s="2"/>
      <c r="HD497" s="2"/>
      <c r="HE497" s="2"/>
      <c r="HF497" s="2"/>
      <c r="HG497" s="2"/>
      <c r="HH497" s="2"/>
      <c r="HI497" s="2"/>
      <c r="HJ497" s="2"/>
      <c r="HK497" s="2"/>
      <c r="HL497" s="2"/>
      <c r="HM497" s="2"/>
      <c r="HN497" s="2"/>
      <c r="HO497" s="2"/>
      <c r="HP497" s="2"/>
      <c r="HQ497" s="2"/>
      <c r="HR497" s="2"/>
      <c r="HS497" s="2"/>
      <c r="HT497" s="2"/>
      <c r="HU497" s="2"/>
      <c r="HV497" s="2"/>
      <c r="HW497" s="2"/>
      <c r="HX497" s="2"/>
      <c r="HY497" s="2"/>
      <c r="HZ497" s="2"/>
      <c r="IA497" s="2"/>
      <c r="IB497" s="2"/>
      <c r="IC497" s="2"/>
    </row>
    <row r="498" spans="1:237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2"/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2"/>
      <c r="EE498" s="2"/>
      <c r="EF498" s="2"/>
      <c r="EG498" s="2"/>
      <c r="EH498" s="2"/>
      <c r="EI498" s="2"/>
      <c r="EJ498" s="2"/>
      <c r="EK498" s="2"/>
      <c r="EL498" s="2"/>
      <c r="EM498" s="2"/>
      <c r="EN498" s="2"/>
      <c r="EO498" s="2"/>
      <c r="EP498" s="2"/>
      <c r="EQ498" s="2"/>
      <c r="ER498" s="2"/>
      <c r="ES498" s="2"/>
      <c r="ET498" s="2"/>
      <c r="EU498" s="2"/>
      <c r="EV498" s="2"/>
      <c r="EW498" s="2"/>
      <c r="EX498" s="2"/>
      <c r="EY498" s="2"/>
      <c r="EZ498" s="2"/>
      <c r="FA498" s="2"/>
      <c r="FB498" s="2"/>
      <c r="FC498" s="2"/>
      <c r="FD498" s="2"/>
      <c r="FE498" s="2"/>
      <c r="FF498" s="2"/>
      <c r="FG498" s="2"/>
      <c r="FH498" s="2"/>
      <c r="FI498" s="2"/>
      <c r="FJ498" s="2"/>
      <c r="FK498" s="2"/>
      <c r="FL498" s="2"/>
      <c r="FM498" s="2"/>
      <c r="FN498" s="2"/>
      <c r="FO498" s="2"/>
      <c r="FP498" s="2"/>
      <c r="FQ498" s="2"/>
      <c r="FR498" s="2"/>
      <c r="FS498" s="2"/>
      <c r="FT498" s="2"/>
      <c r="FU498" s="2"/>
      <c r="FV498" s="2"/>
      <c r="FW498" s="2"/>
      <c r="FX498" s="2"/>
      <c r="FY498" s="2"/>
      <c r="FZ498" s="2"/>
      <c r="GA498" s="2"/>
      <c r="GB498" s="2"/>
      <c r="GC498" s="2"/>
      <c r="GD498" s="2"/>
      <c r="GE498" s="2"/>
      <c r="GF498" s="2"/>
      <c r="GG498" s="2"/>
      <c r="GH498" s="2"/>
      <c r="GI498" s="2"/>
      <c r="GJ498" s="2"/>
      <c r="GK498" s="2"/>
      <c r="GL498" s="2"/>
      <c r="GM498" s="2"/>
      <c r="GN498" s="2"/>
      <c r="GO498" s="2"/>
      <c r="GP498" s="2"/>
      <c r="GQ498" s="2"/>
      <c r="GR498" s="2"/>
      <c r="GS498" s="2"/>
      <c r="GT498" s="2"/>
      <c r="GU498" s="2"/>
      <c r="GV498" s="2"/>
      <c r="GW498" s="2"/>
      <c r="GX498" s="2"/>
      <c r="GY498" s="2"/>
      <c r="GZ498" s="2"/>
      <c r="HA498" s="2"/>
      <c r="HB498" s="2"/>
      <c r="HC498" s="2"/>
      <c r="HD498" s="2"/>
      <c r="HE498" s="2"/>
      <c r="HF498" s="2"/>
      <c r="HG498" s="2"/>
      <c r="HH498" s="2"/>
      <c r="HI498" s="2"/>
      <c r="HJ498" s="2"/>
      <c r="HK498" s="2"/>
      <c r="HL498" s="2"/>
      <c r="HM498" s="2"/>
      <c r="HN498" s="2"/>
      <c r="HO498" s="2"/>
      <c r="HP498" s="2"/>
      <c r="HQ498" s="2"/>
      <c r="HR498" s="2"/>
      <c r="HS498" s="2"/>
      <c r="HT498" s="2"/>
      <c r="HU498" s="2"/>
      <c r="HV498" s="2"/>
      <c r="HW498" s="2"/>
      <c r="HX498" s="2"/>
      <c r="HY498" s="2"/>
      <c r="HZ498" s="2"/>
      <c r="IA498" s="2"/>
      <c r="IB498" s="2"/>
      <c r="IC498" s="2"/>
    </row>
    <row r="499" spans="1:237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2"/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2"/>
      <c r="EE499" s="2"/>
      <c r="EF499" s="2"/>
      <c r="EG499" s="2"/>
      <c r="EH499" s="2"/>
      <c r="EI499" s="2"/>
      <c r="EJ499" s="2"/>
      <c r="EK499" s="2"/>
      <c r="EL499" s="2"/>
      <c r="EM499" s="2"/>
      <c r="EN499" s="2"/>
      <c r="EO499" s="2"/>
      <c r="EP499" s="2"/>
      <c r="EQ499" s="2"/>
      <c r="ER499" s="2"/>
      <c r="ES499" s="2"/>
      <c r="ET499" s="2"/>
      <c r="EU499" s="2"/>
      <c r="EV499" s="2"/>
      <c r="EW499" s="2"/>
      <c r="EX499" s="2"/>
      <c r="EY499" s="2"/>
      <c r="EZ499" s="2"/>
      <c r="FA499" s="2"/>
      <c r="FB499" s="2"/>
      <c r="FC499" s="2"/>
      <c r="FD499" s="2"/>
      <c r="FE499" s="2"/>
      <c r="FF499" s="2"/>
      <c r="FG499" s="2"/>
      <c r="FH499" s="2"/>
      <c r="FI499" s="2"/>
      <c r="FJ499" s="2"/>
      <c r="FK499" s="2"/>
      <c r="FL499" s="2"/>
      <c r="FM499" s="2"/>
      <c r="FN499" s="2"/>
      <c r="FO499" s="2"/>
      <c r="FP499" s="2"/>
      <c r="FQ499" s="2"/>
      <c r="FR499" s="2"/>
      <c r="FS499" s="2"/>
      <c r="FT499" s="2"/>
      <c r="FU499" s="2"/>
      <c r="FV499" s="2"/>
      <c r="FW499" s="2"/>
      <c r="FX499" s="2"/>
      <c r="FY499" s="2"/>
      <c r="FZ499" s="2"/>
      <c r="GA499" s="2"/>
      <c r="GB499" s="2"/>
      <c r="GC499" s="2"/>
      <c r="GD499" s="2"/>
      <c r="GE499" s="2"/>
      <c r="GF499" s="2"/>
      <c r="GG499" s="2"/>
      <c r="GH499" s="2"/>
      <c r="GI499" s="2"/>
      <c r="GJ499" s="2"/>
      <c r="GK499" s="2"/>
      <c r="GL499" s="2"/>
      <c r="GM499" s="2"/>
      <c r="GN499" s="2"/>
      <c r="GO499" s="2"/>
      <c r="GP499" s="2"/>
      <c r="GQ499" s="2"/>
      <c r="GR499" s="2"/>
      <c r="GS499" s="2"/>
      <c r="GT499" s="2"/>
      <c r="GU499" s="2"/>
      <c r="GV499" s="2"/>
      <c r="GW499" s="2"/>
      <c r="GX499" s="2"/>
      <c r="GY499" s="2"/>
      <c r="GZ499" s="2"/>
      <c r="HA499" s="2"/>
      <c r="HB499" s="2"/>
      <c r="HC499" s="2"/>
      <c r="HD499" s="2"/>
      <c r="HE499" s="2"/>
      <c r="HF499" s="2"/>
      <c r="HG499" s="2"/>
      <c r="HH499" s="2"/>
      <c r="HI499" s="2"/>
      <c r="HJ499" s="2"/>
      <c r="HK499" s="2"/>
      <c r="HL499" s="2"/>
      <c r="HM499" s="2"/>
      <c r="HN499" s="2"/>
      <c r="HO499" s="2"/>
      <c r="HP499" s="2"/>
      <c r="HQ499" s="2"/>
      <c r="HR499" s="2"/>
      <c r="HS499" s="2"/>
      <c r="HT499" s="2"/>
      <c r="HU499" s="2"/>
      <c r="HV499" s="2"/>
      <c r="HW499" s="2"/>
      <c r="HX499" s="2"/>
      <c r="HY499" s="2"/>
      <c r="HZ499" s="2"/>
      <c r="IA499" s="2"/>
      <c r="IB499" s="2"/>
      <c r="IC499" s="2"/>
    </row>
    <row r="500" spans="1:237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2"/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2"/>
      <c r="EE500" s="2"/>
      <c r="EF500" s="2"/>
      <c r="EG500" s="2"/>
      <c r="EH500" s="2"/>
      <c r="EI500" s="2"/>
      <c r="EJ500" s="2"/>
      <c r="EK500" s="2"/>
      <c r="EL500" s="2"/>
      <c r="EM500" s="2"/>
      <c r="EN500" s="2"/>
      <c r="EO500" s="2"/>
      <c r="EP500" s="2"/>
      <c r="EQ500" s="2"/>
      <c r="ER500" s="2"/>
      <c r="ES500" s="2"/>
      <c r="ET500" s="2"/>
      <c r="EU500" s="2"/>
      <c r="EV500" s="2"/>
      <c r="EW500" s="2"/>
      <c r="EX500" s="2"/>
      <c r="EY500" s="2"/>
      <c r="EZ500" s="2"/>
      <c r="FA500" s="2"/>
      <c r="FB500" s="2"/>
      <c r="FC500" s="2"/>
      <c r="FD500" s="2"/>
      <c r="FE500" s="2"/>
      <c r="FF500" s="2"/>
      <c r="FG500" s="2"/>
      <c r="FH500" s="2"/>
      <c r="FI500" s="2"/>
      <c r="FJ500" s="2"/>
      <c r="FK500" s="2"/>
      <c r="FL500" s="2"/>
      <c r="FM500" s="2"/>
      <c r="FN500" s="2"/>
      <c r="FO500" s="2"/>
      <c r="FP500" s="2"/>
      <c r="FQ500" s="2"/>
      <c r="FR500" s="2"/>
      <c r="FS500" s="2"/>
      <c r="FT500" s="2"/>
      <c r="FU500" s="2"/>
      <c r="FV500" s="2"/>
      <c r="FW500" s="2"/>
      <c r="FX500" s="2"/>
      <c r="FY500" s="2"/>
      <c r="FZ500" s="2"/>
      <c r="GA500" s="2"/>
      <c r="GB500" s="2"/>
      <c r="GC500" s="2"/>
      <c r="GD500" s="2"/>
      <c r="GE500" s="2"/>
      <c r="GF500" s="2"/>
      <c r="GG500" s="2"/>
      <c r="GH500" s="2"/>
      <c r="GI500" s="2"/>
      <c r="GJ500" s="2"/>
      <c r="GK500" s="2"/>
      <c r="GL500" s="2"/>
      <c r="GM500" s="2"/>
      <c r="GN500" s="2"/>
      <c r="GO500" s="2"/>
      <c r="GP500" s="2"/>
      <c r="GQ500" s="2"/>
      <c r="GR500" s="2"/>
      <c r="GS500" s="2"/>
      <c r="GT500" s="2"/>
      <c r="GU500" s="2"/>
      <c r="GV500" s="2"/>
      <c r="GW500" s="2"/>
      <c r="GX500" s="2"/>
      <c r="GY500" s="2"/>
      <c r="GZ500" s="2"/>
      <c r="HA500" s="2"/>
      <c r="HB500" s="2"/>
      <c r="HC500" s="2"/>
      <c r="HD500" s="2"/>
      <c r="HE500" s="2"/>
      <c r="HF500" s="2"/>
      <c r="HG500" s="2"/>
      <c r="HH500" s="2"/>
      <c r="HI500" s="2"/>
      <c r="HJ500" s="2"/>
      <c r="HK500" s="2"/>
      <c r="HL500" s="2"/>
      <c r="HM500" s="2"/>
      <c r="HN500" s="2"/>
      <c r="HO500" s="2"/>
      <c r="HP500" s="2"/>
      <c r="HQ500" s="2"/>
      <c r="HR500" s="2"/>
      <c r="HS500" s="2"/>
      <c r="HT500" s="2"/>
      <c r="HU500" s="2"/>
      <c r="HV500" s="2"/>
      <c r="HW500" s="2"/>
      <c r="HX500" s="2"/>
      <c r="HY500" s="2"/>
      <c r="HZ500" s="2"/>
      <c r="IA500" s="2"/>
      <c r="IB500" s="2"/>
      <c r="IC500" s="2"/>
    </row>
    <row r="501" spans="1:237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2"/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2"/>
      <c r="EE501" s="2"/>
      <c r="EF501" s="2"/>
      <c r="EG501" s="2"/>
      <c r="EH501" s="2"/>
      <c r="EI501" s="2"/>
      <c r="EJ501" s="2"/>
      <c r="EK501" s="2"/>
      <c r="EL501" s="2"/>
      <c r="EM501" s="2"/>
      <c r="EN501" s="2"/>
      <c r="EO501" s="2"/>
      <c r="EP501" s="2"/>
      <c r="EQ501" s="2"/>
      <c r="ER501" s="2"/>
      <c r="ES501" s="2"/>
      <c r="ET501" s="2"/>
      <c r="EU501" s="2"/>
      <c r="EV501" s="2"/>
      <c r="EW501" s="2"/>
      <c r="EX501" s="2"/>
      <c r="EY501" s="2"/>
      <c r="EZ501" s="2"/>
      <c r="FA501" s="2"/>
      <c r="FB501" s="2"/>
      <c r="FC501" s="2"/>
      <c r="FD501" s="2"/>
      <c r="FE501" s="2"/>
      <c r="FF501" s="2"/>
      <c r="FG501" s="2"/>
      <c r="FH501" s="2"/>
      <c r="FI501" s="2"/>
      <c r="FJ501" s="2"/>
      <c r="FK501" s="2"/>
      <c r="FL501" s="2"/>
      <c r="FM501" s="2"/>
      <c r="FN501" s="2"/>
      <c r="FO501" s="2"/>
      <c r="FP501" s="2"/>
      <c r="FQ501" s="2"/>
      <c r="FR501" s="2"/>
      <c r="FS501" s="2"/>
      <c r="FT501" s="2"/>
      <c r="FU501" s="2"/>
      <c r="FV501" s="2"/>
      <c r="FW501" s="2"/>
      <c r="FX501" s="2"/>
      <c r="FY501" s="2"/>
      <c r="FZ501" s="2"/>
      <c r="GA501" s="2"/>
      <c r="GB501" s="2"/>
      <c r="GC501" s="2"/>
      <c r="GD501" s="2"/>
      <c r="GE501" s="2"/>
      <c r="GF501" s="2"/>
      <c r="GG501" s="2"/>
      <c r="GH501" s="2"/>
      <c r="GI501" s="2"/>
      <c r="GJ501" s="2"/>
      <c r="GK501" s="2"/>
      <c r="GL501" s="2"/>
      <c r="GM501" s="2"/>
      <c r="GN501" s="2"/>
      <c r="GO501" s="2"/>
      <c r="GP501" s="2"/>
      <c r="GQ501" s="2"/>
      <c r="GR501" s="2"/>
      <c r="GS501" s="2"/>
      <c r="GT501" s="2"/>
      <c r="GU501" s="2"/>
      <c r="GV501" s="2"/>
      <c r="GW501" s="2"/>
      <c r="GX501" s="2"/>
      <c r="GY501" s="2"/>
      <c r="GZ501" s="2"/>
      <c r="HA501" s="2"/>
      <c r="HB501" s="2"/>
      <c r="HC501" s="2"/>
      <c r="HD501" s="2"/>
      <c r="HE501" s="2"/>
      <c r="HF501" s="2"/>
      <c r="HG501" s="2"/>
      <c r="HH501" s="2"/>
      <c r="HI501" s="2"/>
      <c r="HJ501" s="2"/>
      <c r="HK501" s="2"/>
      <c r="HL501" s="2"/>
      <c r="HM501" s="2"/>
      <c r="HN501" s="2"/>
      <c r="HO501" s="2"/>
      <c r="HP501" s="2"/>
      <c r="HQ501" s="2"/>
      <c r="HR501" s="2"/>
      <c r="HS501" s="2"/>
      <c r="HT501" s="2"/>
      <c r="HU501" s="2"/>
      <c r="HV501" s="2"/>
      <c r="HW501" s="2"/>
      <c r="HX501" s="2"/>
      <c r="HY501" s="2"/>
      <c r="HZ501" s="2"/>
      <c r="IA501" s="2"/>
      <c r="IB501" s="2"/>
      <c r="IC501" s="2"/>
    </row>
    <row r="502" spans="1:237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2"/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2"/>
      <c r="EE502" s="2"/>
      <c r="EF502" s="2"/>
      <c r="EG502" s="2"/>
      <c r="EH502" s="2"/>
      <c r="EI502" s="2"/>
      <c r="EJ502" s="2"/>
      <c r="EK502" s="2"/>
      <c r="EL502" s="2"/>
      <c r="EM502" s="2"/>
      <c r="EN502" s="2"/>
      <c r="EO502" s="2"/>
      <c r="EP502" s="2"/>
      <c r="EQ502" s="2"/>
      <c r="ER502" s="2"/>
      <c r="ES502" s="2"/>
      <c r="ET502" s="2"/>
      <c r="EU502" s="2"/>
      <c r="EV502" s="2"/>
      <c r="EW502" s="2"/>
      <c r="EX502" s="2"/>
      <c r="EY502" s="2"/>
      <c r="EZ502" s="2"/>
      <c r="FA502" s="2"/>
      <c r="FB502" s="2"/>
      <c r="FC502" s="2"/>
      <c r="FD502" s="2"/>
      <c r="FE502" s="2"/>
      <c r="FF502" s="2"/>
      <c r="FG502" s="2"/>
      <c r="FH502" s="2"/>
      <c r="FI502" s="2"/>
      <c r="FJ502" s="2"/>
      <c r="FK502" s="2"/>
      <c r="FL502" s="2"/>
      <c r="FM502" s="2"/>
      <c r="FN502" s="2"/>
      <c r="FO502" s="2"/>
      <c r="FP502" s="2"/>
      <c r="FQ502" s="2"/>
      <c r="FR502" s="2"/>
      <c r="FS502" s="2"/>
      <c r="FT502" s="2"/>
      <c r="FU502" s="2"/>
      <c r="FV502" s="2"/>
      <c r="FW502" s="2"/>
      <c r="FX502" s="2"/>
      <c r="FY502" s="2"/>
      <c r="FZ502" s="2"/>
      <c r="GA502" s="2"/>
      <c r="GB502" s="2"/>
      <c r="GC502" s="2"/>
      <c r="GD502" s="2"/>
      <c r="GE502" s="2"/>
      <c r="GF502" s="2"/>
      <c r="GG502" s="2"/>
      <c r="GH502" s="2"/>
      <c r="GI502" s="2"/>
      <c r="GJ502" s="2"/>
      <c r="GK502" s="2"/>
      <c r="GL502" s="2"/>
      <c r="GM502" s="2"/>
      <c r="GN502" s="2"/>
      <c r="GO502" s="2"/>
      <c r="GP502" s="2"/>
      <c r="GQ502" s="2"/>
      <c r="GR502" s="2"/>
      <c r="GS502" s="2"/>
      <c r="GT502" s="2"/>
      <c r="GU502" s="2"/>
      <c r="GV502" s="2"/>
      <c r="GW502" s="2"/>
      <c r="GX502" s="2"/>
      <c r="GY502" s="2"/>
      <c r="GZ502" s="2"/>
      <c r="HA502" s="2"/>
      <c r="HB502" s="2"/>
      <c r="HC502" s="2"/>
      <c r="HD502" s="2"/>
      <c r="HE502" s="2"/>
      <c r="HF502" s="2"/>
      <c r="HG502" s="2"/>
      <c r="HH502" s="2"/>
      <c r="HI502" s="2"/>
      <c r="HJ502" s="2"/>
      <c r="HK502" s="2"/>
      <c r="HL502" s="2"/>
      <c r="HM502" s="2"/>
      <c r="HN502" s="2"/>
      <c r="HO502" s="2"/>
      <c r="HP502" s="2"/>
      <c r="HQ502" s="2"/>
      <c r="HR502" s="2"/>
      <c r="HS502" s="2"/>
      <c r="HT502" s="2"/>
      <c r="HU502" s="2"/>
      <c r="HV502" s="2"/>
      <c r="HW502" s="2"/>
      <c r="HX502" s="2"/>
      <c r="HY502" s="2"/>
      <c r="HZ502" s="2"/>
      <c r="IA502" s="2"/>
      <c r="IB502" s="2"/>
      <c r="IC502" s="2"/>
    </row>
    <row r="503" spans="1:237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2"/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2"/>
      <c r="EE503" s="2"/>
      <c r="EF503" s="2"/>
      <c r="EG503" s="2"/>
      <c r="EH503" s="2"/>
      <c r="EI503" s="2"/>
      <c r="EJ503" s="2"/>
      <c r="EK503" s="2"/>
      <c r="EL503" s="2"/>
      <c r="EM503" s="2"/>
      <c r="EN503" s="2"/>
      <c r="EO503" s="2"/>
      <c r="EP503" s="2"/>
      <c r="EQ503" s="2"/>
      <c r="ER503" s="2"/>
      <c r="ES503" s="2"/>
      <c r="ET503" s="2"/>
      <c r="EU503" s="2"/>
      <c r="EV503" s="2"/>
      <c r="EW503" s="2"/>
      <c r="EX503" s="2"/>
      <c r="EY503" s="2"/>
      <c r="EZ503" s="2"/>
      <c r="FA503" s="2"/>
      <c r="FB503" s="2"/>
      <c r="FC503" s="2"/>
      <c r="FD503" s="2"/>
      <c r="FE503" s="2"/>
      <c r="FF503" s="2"/>
      <c r="FG503" s="2"/>
      <c r="FH503" s="2"/>
      <c r="FI503" s="2"/>
      <c r="FJ503" s="2"/>
      <c r="FK503" s="2"/>
      <c r="FL503" s="2"/>
      <c r="FM503" s="2"/>
      <c r="FN503" s="2"/>
      <c r="FO503" s="2"/>
      <c r="FP503" s="2"/>
      <c r="FQ503" s="2"/>
      <c r="FR503" s="2"/>
      <c r="FS503" s="2"/>
      <c r="FT503" s="2"/>
      <c r="FU503" s="2"/>
      <c r="FV503" s="2"/>
      <c r="FW503" s="2"/>
      <c r="FX503" s="2"/>
      <c r="FY503" s="2"/>
      <c r="FZ503" s="2"/>
      <c r="GA503" s="2"/>
      <c r="GB503" s="2"/>
      <c r="GC503" s="2"/>
      <c r="GD503" s="2"/>
      <c r="GE503" s="2"/>
      <c r="GF503" s="2"/>
      <c r="GG503" s="2"/>
      <c r="GH503" s="2"/>
      <c r="GI503" s="2"/>
      <c r="GJ503" s="2"/>
      <c r="GK503" s="2"/>
      <c r="GL503" s="2"/>
      <c r="GM503" s="2"/>
      <c r="GN503" s="2"/>
      <c r="GO503" s="2"/>
      <c r="GP503" s="2"/>
      <c r="GQ503" s="2"/>
      <c r="GR503" s="2"/>
      <c r="GS503" s="2"/>
      <c r="GT503" s="2"/>
      <c r="GU503" s="2"/>
      <c r="GV503" s="2"/>
      <c r="GW503" s="2"/>
      <c r="GX503" s="2"/>
      <c r="GY503" s="2"/>
      <c r="GZ503" s="2"/>
      <c r="HA503" s="2"/>
      <c r="HB503" s="2"/>
      <c r="HC503" s="2"/>
      <c r="HD503" s="2"/>
      <c r="HE503" s="2"/>
      <c r="HF503" s="2"/>
      <c r="HG503" s="2"/>
      <c r="HH503" s="2"/>
      <c r="HI503" s="2"/>
      <c r="HJ503" s="2"/>
      <c r="HK503" s="2"/>
      <c r="HL503" s="2"/>
      <c r="HM503" s="2"/>
      <c r="HN503" s="2"/>
      <c r="HO503" s="2"/>
      <c r="HP503" s="2"/>
      <c r="HQ503" s="2"/>
      <c r="HR503" s="2"/>
      <c r="HS503" s="2"/>
      <c r="HT503" s="2"/>
      <c r="HU503" s="2"/>
      <c r="HV503" s="2"/>
      <c r="HW503" s="2"/>
      <c r="HX503" s="2"/>
      <c r="HY503" s="2"/>
      <c r="HZ503" s="2"/>
      <c r="IA503" s="2"/>
      <c r="IB503" s="2"/>
      <c r="IC503" s="2"/>
    </row>
    <row r="504" spans="1:237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2"/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2"/>
      <c r="EE504" s="2"/>
      <c r="EF504" s="2"/>
      <c r="EG504" s="2"/>
      <c r="EH504" s="2"/>
      <c r="EI504" s="2"/>
      <c r="EJ504" s="2"/>
      <c r="EK504" s="2"/>
      <c r="EL504" s="2"/>
      <c r="EM504" s="2"/>
      <c r="EN504" s="2"/>
      <c r="EO504" s="2"/>
      <c r="EP504" s="2"/>
      <c r="EQ504" s="2"/>
      <c r="ER504" s="2"/>
      <c r="ES504" s="2"/>
      <c r="ET504" s="2"/>
      <c r="EU504" s="2"/>
      <c r="EV504" s="2"/>
      <c r="EW504" s="2"/>
      <c r="EX504" s="2"/>
      <c r="EY504" s="2"/>
      <c r="EZ504" s="2"/>
      <c r="FA504" s="2"/>
      <c r="FB504" s="2"/>
      <c r="FC504" s="2"/>
      <c r="FD504" s="2"/>
      <c r="FE504" s="2"/>
      <c r="FF504" s="2"/>
      <c r="FG504" s="2"/>
      <c r="FH504" s="2"/>
      <c r="FI504" s="2"/>
      <c r="FJ504" s="2"/>
      <c r="FK504" s="2"/>
      <c r="FL504" s="2"/>
      <c r="FM504" s="2"/>
      <c r="FN504" s="2"/>
      <c r="FO504" s="2"/>
      <c r="FP504" s="2"/>
      <c r="FQ504" s="2"/>
      <c r="FR504" s="2"/>
      <c r="FS504" s="2"/>
      <c r="FT504" s="2"/>
      <c r="FU504" s="2"/>
      <c r="FV504" s="2"/>
      <c r="FW504" s="2"/>
      <c r="FX504" s="2"/>
      <c r="FY504" s="2"/>
      <c r="FZ504" s="2"/>
      <c r="GA504" s="2"/>
      <c r="GB504" s="2"/>
      <c r="GC504" s="2"/>
      <c r="GD504" s="2"/>
      <c r="GE504" s="2"/>
      <c r="GF504" s="2"/>
      <c r="GG504" s="2"/>
      <c r="GH504" s="2"/>
      <c r="GI504" s="2"/>
      <c r="GJ504" s="2"/>
      <c r="GK504" s="2"/>
      <c r="GL504" s="2"/>
      <c r="GM504" s="2"/>
      <c r="GN504" s="2"/>
      <c r="GO504" s="2"/>
      <c r="GP504" s="2"/>
      <c r="GQ504" s="2"/>
      <c r="GR504" s="2"/>
      <c r="GS504" s="2"/>
      <c r="GT504" s="2"/>
      <c r="GU504" s="2"/>
      <c r="GV504" s="2"/>
      <c r="GW504" s="2"/>
      <c r="GX504" s="2"/>
      <c r="GY504" s="2"/>
      <c r="GZ504" s="2"/>
      <c r="HA504" s="2"/>
      <c r="HB504" s="2"/>
      <c r="HC504" s="2"/>
      <c r="HD504" s="2"/>
      <c r="HE504" s="2"/>
      <c r="HF504" s="2"/>
      <c r="HG504" s="2"/>
      <c r="HH504" s="2"/>
      <c r="HI504" s="2"/>
      <c r="HJ504" s="2"/>
      <c r="HK504" s="2"/>
      <c r="HL504" s="2"/>
      <c r="HM504" s="2"/>
      <c r="HN504" s="2"/>
      <c r="HO504" s="2"/>
      <c r="HP504" s="2"/>
      <c r="HQ504" s="2"/>
      <c r="HR504" s="2"/>
      <c r="HS504" s="2"/>
      <c r="HT504" s="2"/>
      <c r="HU504" s="2"/>
      <c r="HV504" s="2"/>
      <c r="HW504" s="2"/>
      <c r="HX504" s="2"/>
      <c r="HY504" s="2"/>
      <c r="HZ504" s="2"/>
      <c r="IA504" s="2"/>
      <c r="IB504" s="2"/>
      <c r="IC504" s="2"/>
    </row>
    <row r="505" spans="1:237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2"/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2"/>
      <c r="EE505" s="2"/>
      <c r="EF505" s="2"/>
      <c r="EG505" s="2"/>
      <c r="EH505" s="2"/>
      <c r="EI505" s="2"/>
      <c r="EJ505" s="2"/>
      <c r="EK505" s="2"/>
      <c r="EL505" s="2"/>
      <c r="EM505" s="2"/>
      <c r="EN505" s="2"/>
      <c r="EO505" s="2"/>
      <c r="EP505" s="2"/>
      <c r="EQ505" s="2"/>
      <c r="ER505" s="2"/>
      <c r="ES505" s="2"/>
      <c r="ET505" s="2"/>
      <c r="EU505" s="2"/>
      <c r="EV505" s="2"/>
      <c r="EW505" s="2"/>
      <c r="EX505" s="2"/>
      <c r="EY505" s="2"/>
      <c r="EZ505" s="2"/>
      <c r="FA505" s="2"/>
      <c r="FB505" s="2"/>
      <c r="FC505" s="2"/>
      <c r="FD505" s="2"/>
      <c r="FE505" s="2"/>
      <c r="FF505" s="2"/>
      <c r="FG505" s="2"/>
      <c r="FH505" s="2"/>
      <c r="FI505" s="2"/>
      <c r="FJ505" s="2"/>
      <c r="FK505" s="2"/>
      <c r="FL505" s="2"/>
      <c r="FM505" s="2"/>
      <c r="FN505" s="2"/>
      <c r="FO505" s="2"/>
      <c r="FP505" s="2"/>
      <c r="FQ505" s="2"/>
      <c r="FR505" s="2"/>
      <c r="FS505" s="2"/>
      <c r="FT505" s="2"/>
      <c r="FU505" s="2"/>
      <c r="FV505" s="2"/>
      <c r="FW505" s="2"/>
      <c r="FX505" s="2"/>
      <c r="FY505" s="2"/>
      <c r="FZ505" s="2"/>
      <c r="GA505" s="2"/>
      <c r="GB505" s="2"/>
      <c r="GC505" s="2"/>
      <c r="GD505" s="2"/>
      <c r="GE505" s="2"/>
      <c r="GF505" s="2"/>
      <c r="GG505" s="2"/>
      <c r="GH505" s="2"/>
      <c r="GI505" s="2"/>
      <c r="GJ505" s="2"/>
      <c r="GK505" s="2"/>
      <c r="GL505" s="2"/>
      <c r="GM505" s="2"/>
      <c r="GN505" s="2"/>
      <c r="GO505" s="2"/>
      <c r="GP505" s="2"/>
      <c r="GQ505" s="2"/>
      <c r="GR505" s="2"/>
      <c r="GS505" s="2"/>
      <c r="GT505" s="2"/>
      <c r="GU505" s="2"/>
      <c r="GV505" s="2"/>
      <c r="GW505" s="2"/>
      <c r="GX505" s="2"/>
      <c r="GY505" s="2"/>
      <c r="GZ505" s="2"/>
      <c r="HA505" s="2"/>
      <c r="HB505" s="2"/>
      <c r="HC505" s="2"/>
      <c r="HD505" s="2"/>
      <c r="HE505" s="2"/>
      <c r="HF505" s="2"/>
      <c r="HG505" s="2"/>
      <c r="HH505" s="2"/>
      <c r="HI505" s="2"/>
      <c r="HJ505" s="2"/>
      <c r="HK505" s="2"/>
      <c r="HL505" s="2"/>
      <c r="HM505" s="2"/>
      <c r="HN505" s="2"/>
      <c r="HO505" s="2"/>
      <c r="HP505" s="2"/>
      <c r="HQ505" s="2"/>
      <c r="HR505" s="2"/>
      <c r="HS505" s="2"/>
      <c r="HT505" s="2"/>
      <c r="HU505" s="2"/>
      <c r="HV505" s="2"/>
      <c r="HW505" s="2"/>
      <c r="HX505" s="2"/>
      <c r="HY505" s="2"/>
      <c r="HZ505" s="2"/>
      <c r="IA505" s="2"/>
      <c r="IB505" s="2"/>
      <c r="IC505" s="2"/>
    </row>
    <row r="506" spans="1:237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2"/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2"/>
      <c r="EE506" s="2"/>
      <c r="EF506" s="2"/>
      <c r="EG506" s="2"/>
      <c r="EH506" s="2"/>
      <c r="EI506" s="2"/>
      <c r="EJ506" s="2"/>
      <c r="EK506" s="2"/>
      <c r="EL506" s="2"/>
      <c r="EM506" s="2"/>
      <c r="EN506" s="2"/>
      <c r="EO506" s="2"/>
      <c r="EP506" s="2"/>
      <c r="EQ506" s="2"/>
      <c r="ER506" s="2"/>
      <c r="ES506" s="2"/>
      <c r="ET506" s="2"/>
      <c r="EU506" s="2"/>
      <c r="EV506" s="2"/>
      <c r="EW506" s="2"/>
      <c r="EX506" s="2"/>
      <c r="EY506" s="2"/>
      <c r="EZ506" s="2"/>
      <c r="FA506" s="2"/>
      <c r="FB506" s="2"/>
      <c r="FC506" s="2"/>
      <c r="FD506" s="2"/>
      <c r="FE506" s="2"/>
      <c r="FF506" s="2"/>
      <c r="FG506" s="2"/>
      <c r="FH506" s="2"/>
      <c r="FI506" s="2"/>
      <c r="FJ506" s="2"/>
      <c r="FK506" s="2"/>
      <c r="FL506" s="2"/>
      <c r="FM506" s="2"/>
      <c r="FN506" s="2"/>
      <c r="FO506" s="2"/>
      <c r="FP506" s="2"/>
      <c r="FQ506" s="2"/>
      <c r="FR506" s="2"/>
      <c r="FS506" s="2"/>
      <c r="FT506" s="2"/>
      <c r="FU506" s="2"/>
      <c r="FV506" s="2"/>
      <c r="FW506" s="2"/>
      <c r="FX506" s="2"/>
      <c r="FY506" s="2"/>
      <c r="FZ506" s="2"/>
      <c r="GA506" s="2"/>
      <c r="GB506" s="2"/>
      <c r="GC506" s="2"/>
      <c r="GD506" s="2"/>
      <c r="GE506" s="2"/>
      <c r="GF506" s="2"/>
      <c r="GG506" s="2"/>
      <c r="GH506" s="2"/>
      <c r="GI506" s="2"/>
      <c r="GJ506" s="2"/>
      <c r="GK506" s="2"/>
      <c r="GL506" s="2"/>
      <c r="GM506" s="2"/>
      <c r="GN506" s="2"/>
      <c r="GO506" s="2"/>
      <c r="GP506" s="2"/>
      <c r="GQ506" s="2"/>
      <c r="GR506" s="2"/>
      <c r="GS506" s="2"/>
      <c r="GT506" s="2"/>
      <c r="GU506" s="2"/>
      <c r="GV506" s="2"/>
      <c r="GW506" s="2"/>
      <c r="GX506" s="2"/>
      <c r="GY506" s="2"/>
      <c r="GZ506" s="2"/>
      <c r="HA506" s="2"/>
      <c r="HB506" s="2"/>
      <c r="HC506" s="2"/>
      <c r="HD506" s="2"/>
      <c r="HE506" s="2"/>
      <c r="HF506" s="2"/>
      <c r="HG506" s="2"/>
      <c r="HH506" s="2"/>
      <c r="HI506" s="2"/>
      <c r="HJ506" s="2"/>
      <c r="HK506" s="2"/>
      <c r="HL506" s="2"/>
      <c r="HM506" s="2"/>
      <c r="HN506" s="2"/>
      <c r="HO506" s="2"/>
      <c r="HP506" s="2"/>
      <c r="HQ506" s="2"/>
      <c r="HR506" s="2"/>
      <c r="HS506" s="2"/>
      <c r="HT506" s="2"/>
      <c r="HU506" s="2"/>
      <c r="HV506" s="2"/>
      <c r="HW506" s="2"/>
      <c r="HX506" s="2"/>
      <c r="HY506" s="2"/>
      <c r="HZ506" s="2"/>
      <c r="IA506" s="2"/>
      <c r="IB506" s="2"/>
      <c r="IC506" s="2"/>
    </row>
    <row r="507" spans="1:237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2"/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2"/>
      <c r="EE507" s="2"/>
      <c r="EF507" s="2"/>
      <c r="EG507" s="2"/>
      <c r="EH507" s="2"/>
      <c r="EI507" s="2"/>
      <c r="EJ507" s="2"/>
      <c r="EK507" s="2"/>
      <c r="EL507" s="2"/>
      <c r="EM507" s="2"/>
      <c r="EN507" s="2"/>
      <c r="EO507" s="2"/>
      <c r="EP507" s="2"/>
      <c r="EQ507" s="2"/>
      <c r="ER507" s="2"/>
      <c r="ES507" s="2"/>
      <c r="ET507" s="2"/>
      <c r="EU507" s="2"/>
      <c r="EV507" s="2"/>
      <c r="EW507" s="2"/>
      <c r="EX507" s="2"/>
      <c r="EY507" s="2"/>
      <c r="EZ507" s="2"/>
      <c r="FA507" s="2"/>
      <c r="FB507" s="2"/>
      <c r="FC507" s="2"/>
      <c r="FD507" s="2"/>
      <c r="FE507" s="2"/>
      <c r="FF507" s="2"/>
      <c r="FG507" s="2"/>
      <c r="FH507" s="2"/>
      <c r="FI507" s="2"/>
      <c r="FJ507" s="2"/>
      <c r="FK507" s="2"/>
      <c r="FL507" s="2"/>
      <c r="FM507" s="2"/>
      <c r="FN507" s="2"/>
      <c r="FO507" s="2"/>
      <c r="FP507" s="2"/>
      <c r="FQ507" s="2"/>
      <c r="FR507" s="2"/>
      <c r="FS507" s="2"/>
      <c r="FT507" s="2"/>
      <c r="FU507" s="2"/>
      <c r="FV507" s="2"/>
      <c r="FW507" s="2"/>
      <c r="FX507" s="2"/>
      <c r="FY507" s="2"/>
      <c r="FZ507" s="2"/>
      <c r="GA507" s="2"/>
      <c r="GB507" s="2"/>
      <c r="GC507" s="2"/>
      <c r="GD507" s="2"/>
      <c r="GE507" s="2"/>
      <c r="GF507" s="2"/>
      <c r="GG507" s="2"/>
      <c r="GH507" s="2"/>
      <c r="GI507" s="2"/>
      <c r="GJ507" s="2"/>
      <c r="GK507" s="2"/>
      <c r="GL507" s="2"/>
      <c r="GM507" s="2"/>
      <c r="GN507" s="2"/>
      <c r="GO507" s="2"/>
      <c r="GP507" s="2"/>
      <c r="GQ507" s="2"/>
      <c r="GR507" s="2"/>
      <c r="GS507" s="2"/>
      <c r="GT507" s="2"/>
      <c r="GU507" s="2"/>
      <c r="GV507" s="2"/>
      <c r="GW507" s="2"/>
      <c r="GX507" s="2"/>
      <c r="GY507" s="2"/>
      <c r="GZ507" s="2"/>
      <c r="HA507" s="2"/>
      <c r="HB507" s="2"/>
      <c r="HC507" s="2"/>
      <c r="HD507" s="2"/>
      <c r="HE507" s="2"/>
      <c r="HF507" s="2"/>
      <c r="HG507" s="2"/>
      <c r="HH507" s="2"/>
      <c r="HI507" s="2"/>
      <c r="HJ507" s="2"/>
      <c r="HK507" s="2"/>
      <c r="HL507" s="2"/>
      <c r="HM507" s="2"/>
      <c r="HN507" s="2"/>
      <c r="HO507" s="2"/>
      <c r="HP507" s="2"/>
      <c r="HQ507" s="2"/>
      <c r="HR507" s="2"/>
      <c r="HS507" s="2"/>
      <c r="HT507" s="2"/>
      <c r="HU507" s="2"/>
      <c r="HV507" s="2"/>
      <c r="HW507" s="2"/>
      <c r="HX507" s="2"/>
      <c r="HY507" s="2"/>
      <c r="HZ507" s="2"/>
      <c r="IA507" s="2"/>
      <c r="IB507" s="2"/>
      <c r="IC507" s="2"/>
    </row>
    <row r="508" spans="1:237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2"/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2"/>
      <c r="EE508" s="2"/>
      <c r="EF508" s="2"/>
      <c r="EG508" s="2"/>
      <c r="EH508" s="2"/>
      <c r="EI508" s="2"/>
      <c r="EJ508" s="2"/>
      <c r="EK508" s="2"/>
      <c r="EL508" s="2"/>
      <c r="EM508" s="2"/>
      <c r="EN508" s="2"/>
      <c r="EO508" s="2"/>
      <c r="EP508" s="2"/>
      <c r="EQ508" s="2"/>
      <c r="ER508" s="2"/>
      <c r="ES508" s="2"/>
      <c r="ET508" s="2"/>
      <c r="EU508" s="2"/>
      <c r="EV508" s="2"/>
      <c r="EW508" s="2"/>
      <c r="EX508" s="2"/>
      <c r="EY508" s="2"/>
      <c r="EZ508" s="2"/>
      <c r="FA508" s="2"/>
      <c r="FB508" s="2"/>
      <c r="FC508" s="2"/>
      <c r="FD508" s="2"/>
      <c r="FE508" s="2"/>
      <c r="FF508" s="2"/>
      <c r="FG508" s="2"/>
      <c r="FH508" s="2"/>
      <c r="FI508" s="2"/>
      <c r="FJ508" s="2"/>
      <c r="FK508" s="2"/>
      <c r="FL508" s="2"/>
      <c r="FM508" s="2"/>
      <c r="FN508" s="2"/>
      <c r="FO508" s="2"/>
      <c r="FP508" s="2"/>
      <c r="FQ508" s="2"/>
      <c r="FR508" s="2"/>
      <c r="FS508" s="2"/>
      <c r="FT508" s="2"/>
      <c r="FU508" s="2"/>
      <c r="FV508" s="2"/>
      <c r="FW508" s="2"/>
      <c r="FX508" s="2"/>
      <c r="FY508" s="2"/>
      <c r="FZ508" s="2"/>
      <c r="GA508" s="2"/>
      <c r="GB508" s="2"/>
      <c r="GC508" s="2"/>
      <c r="GD508" s="2"/>
      <c r="GE508" s="2"/>
      <c r="GF508" s="2"/>
      <c r="GG508" s="2"/>
      <c r="GH508" s="2"/>
      <c r="GI508" s="2"/>
      <c r="GJ508" s="2"/>
      <c r="GK508" s="2"/>
      <c r="GL508" s="2"/>
      <c r="GM508" s="2"/>
      <c r="GN508" s="2"/>
      <c r="GO508" s="2"/>
      <c r="GP508" s="2"/>
      <c r="GQ508" s="2"/>
      <c r="GR508" s="2"/>
      <c r="GS508" s="2"/>
      <c r="GT508" s="2"/>
      <c r="GU508" s="2"/>
      <c r="GV508" s="2"/>
      <c r="GW508" s="2"/>
      <c r="GX508" s="2"/>
      <c r="GY508" s="2"/>
      <c r="GZ508" s="2"/>
      <c r="HA508" s="2"/>
      <c r="HB508" s="2"/>
      <c r="HC508" s="2"/>
      <c r="HD508" s="2"/>
      <c r="HE508" s="2"/>
      <c r="HF508" s="2"/>
      <c r="HG508" s="2"/>
      <c r="HH508" s="2"/>
      <c r="HI508" s="2"/>
      <c r="HJ508" s="2"/>
      <c r="HK508" s="2"/>
      <c r="HL508" s="2"/>
      <c r="HM508" s="2"/>
      <c r="HN508" s="2"/>
      <c r="HO508" s="2"/>
      <c r="HP508" s="2"/>
      <c r="HQ508" s="2"/>
      <c r="HR508" s="2"/>
      <c r="HS508" s="2"/>
      <c r="HT508" s="2"/>
      <c r="HU508" s="2"/>
      <c r="HV508" s="2"/>
      <c r="HW508" s="2"/>
      <c r="HX508" s="2"/>
      <c r="HY508" s="2"/>
      <c r="HZ508" s="2"/>
      <c r="IA508" s="2"/>
      <c r="IB508" s="2"/>
      <c r="IC508" s="2"/>
    </row>
    <row r="509" spans="1:237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2"/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2"/>
      <c r="EE509" s="2"/>
      <c r="EF509" s="2"/>
      <c r="EG509" s="2"/>
      <c r="EH509" s="2"/>
      <c r="EI509" s="2"/>
      <c r="EJ509" s="2"/>
      <c r="EK509" s="2"/>
      <c r="EL509" s="2"/>
      <c r="EM509" s="2"/>
      <c r="EN509" s="2"/>
      <c r="EO509" s="2"/>
      <c r="EP509" s="2"/>
      <c r="EQ509" s="2"/>
      <c r="ER509" s="2"/>
      <c r="ES509" s="2"/>
      <c r="ET509" s="2"/>
      <c r="EU509" s="2"/>
      <c r="EV509" s="2"/>
      <c r="EW509" s="2"/>
      <c r="EX509" s="2"/>
      <c r="EY509" s="2"/>
      <c r="EZ509" s="2"/>
      <c r="FA509" s="2"/>
      <c r="FB509" s="2"/>
      <c r="FC509" s="2"/>
      <c r="FD509" s="2"/>
      <c r="FE509" s="2"/>
      <c r="FF509" s="2"/>
      <c r="FG509" s="2"/>
      <c r="FH509" s="2"/>
      <c r="FI509" s="2"/>
      <c r="FJ509" s="2"/>
      <c r="FK509" s="2"/>
      <c r="FL509" s="2"/>
      <c r="FM509" s="2"/>
      <c r="FN509" s="2"/>
      <c r="FO509" s="2"/>
      <c r="FP509" s="2"/>
      <c r="FQ509" s="2"/>
      <c r="FR509" s="2"/>
      <c r="FS509" s="2"/>
      <c r="FT509" s="2"/>
      <c r="FU509" s="2"/>
      <c r="FV509" s="2"/>
      <c r="FW509" s="2"/>
      <c r="FX509" s="2"/>
      <c r="FY509" s="2"/>
      <c r="FZ509" s="2"/>
      <c r="GA509" s="2"/>
      <c r="GB509" s="2"/>
      <c r="GC509" s="2"/>
      <c r="GD509" s="2"/>
      <c r="GE509" s="2"/>
      <c r="GF509" s="2"/>
      <c r="GG509" s="2"/>
      <c r="GH509" s="2"/>
      <c r="GI509" s="2"/>
      <c r="GJ509" s="2"/>
      <c r="GK509" s="2"/>
      <c r="GL509" s="2"/>
      <c r="GM509" s="2"/>
      <c r="GN509" s="2"/>
      <c r="GO509" s="2"/>
      <c r="GP509" s="2"/>
      <c r="GQ509" s="2"/>
      <c r="GR509" s="2"/>
      <c r="GS509" s="2"/>
      <c r="GT509" s="2"/>
      <c r="GU509" s="2"/>
      <c r="GV509" s="2"/>
      <c r="GW509" s="2"/>
      <c r="GX509" s="2"/>
      <c r="GY509" s="2"/>
      <c r="GZ509" s="2"/>
      <c r="HA509" s="2"/>
      <c r="HB509" s="2"/>
      <c r="HC509" s="2"/>
      <c r="HD509" s="2"/>
      <c r="HE509" s="2"/>
      <c r="HF509" s="2"/>
      <c r="HG509" s="2"/>
      <c r="HH509" s="2"/>
      <c r="HI509" s="2"/>
      <c r="HJ509" s="2"/>
      <c r="HK509" s="2"/>
      <c r="HL509" s="2"/>
      <c r="HM509" s="2"/>
      <c r="HN509" s="2"/>
      <c r="HO509" s="2"/>
      <c r="HP509" s="2"/>
      <c r="HQ509" s="2"/>
      <c r="HR509" s="2"/>
      <c r="HS509" s="2"/>
      <c r="HT509" s="2"/>
      <c r="HU509" s="2"/>
      <c r="HV509" s="2"/>
      <c r="HW509" s="2"/>
      <c r="HX509" s="2"/>
      <c r="HY509" s="2"/>
      <c r="HZ509" s="2"/>
      <c r="IA509" s="2"/>
      <c r="IB509" s="2"/>
      <c r="IC509" s="2"/>
    </row>
    <row r="510" spans="1:237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2"/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2"/>
      <c r="EE510" s="2"/>
      <c r="EF510" s="2"/>
      <c r="EG510" s="2"/>
      <c r="EH510" s="2"/>
      <c r="EI510" s="2"/>
      <c r="EJ510" s="2"/>
      <c r="EK510" s="2"/>
      <c r="EL510" s="2"/>
      <c r="EM510" s="2"/>
      <c r="EN510" s="2"/>
      <c r="EO510" s="2"/>
      <c r="EP510" s="2"/>
      <c r="EQ510" s="2"/>
      <c r="ER510" s="2"/>
      <c r="ES510" s="2"/>
      <c r="ET510" s="2"/>
      <c r="EU510" s="2"/>
      <c r="EV510" s="2"/>
      <c r="EW510" s="2"/>
      <c r="EX510" s="2"/>
      <c r="EY510" s="2"/>
      <c r="EZ510" s="2"/>
      <c r="FA510" s="2"/>
      <c r="FB510" s="2"/>
      <c r="FC510" s="2"/>
      <c r="FD510" s="2"/>
      <c r="FE510" s="2"/>
      <c r="FF510" s="2"/>
      <c r="FG510" s="2"/>
      <c r="FH510" s="2"/>
      <c r="FI510" s="2"/>
      <c r="FJ510" s="2"/>
      <c r="FK510" s="2"/>
      <c r="FL510" s="2"/>
      <c r="FM510" s="2"/>
      <c r="FN510" s="2"/>
      <c r="FO510" s="2"/>
      <c r="FP510" s="2"/>
      <c r="FQ510" s="2"/>
      <c r="FR510" s="2"/>
      <c r="FS510" s="2"/>
      <c r="FT510" s="2"/>
      <c r="FU510" s="2"/>
      <c r="FV510" s="2"/>
      <c r="FW510" s="2"/>
      <c r="FX510" s="2"/>
      <c r="FY510" s="2"/>
      <c r="FZ510" s="2"/>
      <c r="GA510" s="2"/>
      <c r="GB510" s="2"/>
      <c r="GC510" s="2"/>
      <c r="GD510" s="2"/>
      <c r="GE510" s="2"/>
      <c r="GF510" s="2"/>
      <c r="GG510" s="2"/>
      <c r="GH510" s="2"/>
      <c r="GI510" s="2"/>
      <c r="GJ510" s="2"/>
      <c r="GK510" s="2"/>
      <c r="GL510" s="2"/>
      <c r="GM510" s="2"/>
      <c r="GN510" s="2"/>
      <c r="GO510" s="2"/>
      <c r="GP510" s="2"/>
      <c r="GQ510" s="2"/>
      <c r="GR510" s="2"/>
      <c r="GS510" s="2"/>
      <c r="GT510" s="2"/>
      <c r="GU510" s="2"/>
      <c r="GV510" s="2"/>
      <c r="GW510" s="2"/>
      <c r="GX510" s="2"/>
      <c r="GY510" s="2"/>
      <c r="GZ510" s="2"/>
      <c r="HA510" s="2"/>
      <c r="HB510" s="2"/>
      <c r="HC510" s="2"/>
      <c r="HD510" s="2"/>
      <c r="HE510" s="2"/>
      <c r="HF510" s="2"/>
      <c r="HG510" s="2"/>
      <c r="HH510" s="2"/>
      <c r="HI510" s="2"/>
      <c r="HJ510" s="2"/>
      <c r="HK510" s="2"/>
      <c r="HL510" s="2"/>
      <c r="HM510" s="2"/>
      <c r="HN510" s="2"/>
      <c r="HO510" s="2"/>
      <c r="HP510" s="2"/>
      <c r="HQ510" s="2"/>
      <c r="HR510" s="2"/>
      <c r="HS510" s="2"/>
      <c r="HT510" s="2"/>
      <c r="HU510" s="2"/>
      <c r="HV510" s="2"/>
      <c r="HW510" s="2"/>
      <c r="HX510" s="2"/>
      <c r="HY510" s="2"/>
      <c r="HZ510" s="2"/>
      <c r="IA510" s="2"/>
      <c r="IB510" s="2"/>
      <c r="IC510" s="2"/>
    </row>
    <row r="511" spans="1:237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2"/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2"/>
      <c r="EE511" s="2"/>
      <c r="EF511" s="2"/>
      <c r="EG511" s="2"/>
      <c r="EH511" s="2"/>
      <c r="EI511" s="2"/>
      <c r="EJ511" s="2"/>
      <c r="EK511" s="2"/>
      <c r="EL511" s="2"/>
      <c r="EM511" s="2"/>
      <c r="EN511" s="2"/>
      <c r="EO511" s="2"/>
      <c r="EP511" s="2"/>
      <c r="EQ511" s="2"/>
      <c r="ER511" s="2"/>
      <c r="ES511" s="2"/>
      <c r="ET511" s="2"/>
      <c r="EU511" s="2"/>
      <c r="EV511" s="2"/>
      <c r="EW511" s="2"/>
      <c r="EX511" s="2"/>
      <c r="EY511" s="2"/>
      <c r="EZ511" s="2"/>
      <c r="FA511" s="2"/>
      <c r="FB511" s="2"/>
      <c r="FC511" s="2"/>
      <c r="FD511" s="2"/>
      <c r="FE511" s="2"/>
      <c r="FF511" s="2"/>
      <c r="FG511" s="2"/>
      <c r="FH511" s="2"/>
      <c r="FI511" s="2"/>
      <c r="FJ511" s="2"/>
      <c r="FK511" s="2"/>
      <c r="FL511" s="2"/>
      <c r="FM511" s="2"/>
      <c r="FN511" s="2"/>
      <c r="FO511" s="2"/>
      <c r="FP511" s="2"/>
      <c r="FQ511" s="2"/>
      <c r="FR511" s="2"/>
      <c r="FS511" s="2"/>
      <c r="FT511" s="2"/>
      <c r="FU511" s="2"/>
      <c r="FV511" s="2"/>
      <c r="FW511" s="2"/>
      <c r="FX511" s="2"/>
      <c r="FY511" s="2"/>
      <c r="FZ511" s="2"/>
      <c r="GA511" s="2"/>
      <c r="GB511" s="2"/>
      <c r="GC511" s="2"/>
      <c r="GD511" s="2"/>
      <c r="GE511" s="2"/>
      <c r="GF511" s="2"/>
      <c r="GG511" s="2"/>
      <c r="GH511" s="2"/>
      <c r="GI511" s="2"/>
      <c r="GJ511" s="2"/>
      <c r="GK511" s="2"/>
      <c r="GL511" s="2"/>
      <c r="GM511" s="2"/>
      <c r="GN511" s="2"/>
      <c r="GO511" s="2"/>
      <c r="GP511" s="2"/>
      <c r="GQ511" s="2"/>
      <c r="GR511" s="2"/>
      <c r="GS511" s="2"/>
      <c r="GT511" s="2"/>
      <c r="GU511" s="2"/>
      <c r="GV511" s="2"/>
      <c r="GW511" s="2"/>
      <c r="GX511" s="2"/>
      <c r="GY511" s="2"/>
      <c r="GZ511" s="2"/>
      <c r="HA511" s="2"/>
      <c r="HB511" s="2"/>
      <c r="HC511" s="2"/>
      <c r="HD511" s="2"/>
      <c r="HE511" s="2"/>
      <c r="HF511" s="2"/>
      <c r="HG511" s="2"/>
      <c r="HH511" s="2"/>
      <c r="HI511" s="2"/>
      <c r="HJ511" s="2"/>
      <c r="HK511" s="2"/>
      <c r="HL511" s="2"/>
      <c r="HM511" s="2"/>
      <c r="HN511" s="2"/>
      <c r="HO511" s="2"/>
      <c r="HP511" s="2"/>
      <c r="HQ511" s="2"/>
      <c r="HR511" s="2"/>
      <c r="HS511" s="2"/>
      <c r="HT511" s="2"/>
      <c r="HU511" s="2"/>
      <c r="HV511" s="2"/>
      <c r="HW511" s="2"/>
      <c r="HX511" s="2"/>
      <c r="HY511" s="2"/>
      <c r="HZ511" s="2"/>
      <c r="IA511" s="2"/>
      <c r="IB511" s="2"/>
      <c r="IC511" s="2"/>
    </row>
    <row r="512" spans="1:237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2"/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2"/>
      <c r="EE512" s="2"/>
      <c r="EF512" s="2"/>
      <c r="EG512" s="2"/>
      <c r="EH512" s="2"/>
      <c r="EI512" s="2"/>
      <c r="EJ512" s="2"/>
      <c r="EK512" s="2"/>
      <c r="EL512" s="2"/>
      <c r="EM512" s="2"/>
      <c r="EN512" s="2"/>
      <c r="EO512" s="2"/>
      <c r="EP512" s="2"/>
      <c r="EQ512" s="2"/>
      <c r="ER512" s="2"/>
      <c r="ES512" s="2"/>
      <c r="ET512" s="2"/>
      <c r="EU512" s="2"/>
      <c r="EV512" s="2"/>
      <c r="EW512" s="2"/>
      <c r="EX512" s="2"/>
      <c r="EY512" s="2"/>
      <c r="EZ512" s="2"/>
      <c r="FA512" s="2"/>
      <c r="FB512" s="2"/>
      <c r="FC512" s="2"/>
      <c r="FD512" s="2"/>
      <c r="FE512" s="2"/>
      <c r="FF512" s="2"/>
      <c r="FG512" s="2"/>
      <c r="FH512" s="2"/>
      <c r="FI512" s="2"/>
      <c r="FJ512" s="2"/>
      <c r="FK512" s="2"/>
      <c r="FL512" s="2"/>
      <c r="FM512" s="2"/>
      <c r="FN512" s="2"/>
      <c r="FO512" s="2"/>
      <c r="FP512" s="2"/>
      <c r="FQ512" s="2"/>
      <c r="FR512" s="2"/>
      <c r="FS512" s="2"/>
      <c r="FT512" s="2"/>
      <c r="FU512" s="2"/>
      <c r="FV512" s="2"/>
      <c r="FW512" s="2"/>
      <c r="FX512" s="2"/>
      <c r="FY512" s="2"/>
      <c r="FZ512" s="2"/>
      <c r="GA512" s="2"/>
      <c r="GB512" s="2"/>
      <c r="GC512" s="2"/>
      <c r="GD512" s="2"/>
      <c r="GE512" s="2"/>
      <c r="GF512" s="2"/>
      <c r="GG512" s="2"/>
      <c r="GH512" s="2"/>
      <c r="GI512" s="2"/>
      <c r="GJ512" s="2"/>
      <c r="GK512" s="2"/>
      <c r="GL512" s="2"/>
      <c r="GM512" s="2"/>
      <c r="GN512" s="2"/>
      <c r="GO512" s="2"/>
      <c r="GP512" s="2"/>
      <c r="GQ512" s="2"/>
      <c r="GR512" s="2"/>
      <c r="GS512" s="2"/>
      <c r="GT512" s="2"/>
      <c r="GU512" s="2"/>
      <c r="GV512" s="2"/>
      <c r="GW512" s="2"/>
      <c r="GX512" s="2"/>
      <c r="GY512" s="2"/>
      <c r="GZ512" s="2"/>
      <c r="HA512" s="2"/>
      <c r="HB512" s="2"/>
      <c r="HC512" s="2"/>
      <c r="HD512" s="2"/>
      <c r="HE512" s="2"/>
      <c r="HF512" s="2"/>
      <c r="HG512" s="2"/>
      <c r="HH512" s="2"/>
      <c r="HI512" s="2"/>
      <c r="HJ512" s="2"/>
      <c r="HK512" s="2"/>
      <c r="HL512" s="2"/>
      <c r="HM512" s="2"/>
      <c r="HN512" s="2"/>
      <c r="HO512" s="2"/>
      <c r="HP512" s="2"/>
      <c r="HQ512" s="2"/>
      <c r="HR512" s="2"/>
      <c r="HS512" s="2"/>
      <c r="HT512" s="2"/>
      <c r="HU512" s="2"/>
      <c r="HV512" s="2"/>
      <c r="HW512" s="2"/>
      <c r="HX512" s="2"/>
      <c r="HY512" s="2"/>
      <c r="HZ512" s="2"/>
      <c r="IA512" s="2"/>
      <c r="IB512" s="2"/>
      <c r="IC512" s="2"/>
    </row>
    <row r="513" spans="1:237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2"/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2"/>
      <c r="EE513" s="2"/>
      <c r="EF513" s="2"/>
      <c r="EG513" s="2"/>
      <c r="EH513" s="2"/>
      <c r="EI513" s="2"/>
      <c r="EJ513" s="2"/>
      <c r="EK513" s="2"/>
      <c r="EL513" s="2"/>
      <c r="EM513" s="2"/>
      <c r="EN513" s="2"/>
      <c r="EO513" s="2"/>
      <c r="EP513" s="2"/>
      <c r="EQ513" s="2"/>
      <c r="ER513" s="2"/>
      <c r="ES513" s="2"/>
      <c r="ET513" s="2"/>
      <c r="EU513" s="2"/>
      <c r="EV513" s="2"/>
      <c r="EW513" s="2"/>
      <c r="EX513" s="2"/>
      <c r="EY513" s="2"/>
      <c r="EZ513" s="2"/>
      <c r="FA513" s="2"/>
      <c r="FB513" s="2"/>
      <c r="FC513" s="2"/>
      <c r="FD513" s="2"/>
      <c r="FE513" s="2"/>
      <c r="FF513" s="2"/>
      <c r="FG513" s="2"/>
      <c r="FH513" s="2"/>
      <c r="FI513" s="2"/>
      <c r="FJ513" s="2"/>
      <c r="FK513" s="2"/>
      <c r="FL513" s="2"/>
      <c r="FM513" s="2"/>
      <c r="FN513" s="2"/>
      <c r="FO513" s="2"/>
      <c r="FP513" s="2"/>
      <c r="FQ513" s="2"/>
      <c r="FR513" s="2"/>
      <c r="FS513" s="2"/>
      <c r="FT513" s="2"/>
      <c r="FU513" s="2"/>
      <c r="FV513" s="2"/>
      <c r="FW513" s="2"/>
      <c r="FX513" s="2"/>
      <c r="FY513" s="2"/>
      <c r="FZ513" s="2"/>
      <c r="GA513" s="2"/>
      <c r="GB513" s="2"/>
      <c r="GC513" s="2"/>
      <c r="GD513" s="2"/>
      <c r="GE513" s="2"/>
      <c r="GF513" s="2"/>
      <c r="GG513" s="2"/>
      <c r="GH513" s="2"/>
      <c r="GI513" s="2"/>
      <c r="GJ513" s="2"/>
      <c r="GK513" s="2"/>
      <c r="GL513" s="2"/>
      <c r="GM513" s="2"/>
      <c r="GN513" s="2"/>
      <c r="GO513" s="2"/>
      <c r="GP513" s="2"/>
      <c r="GQ513" s="2"/>
      <c r="GR513" s="2"/>
      <c r="GS513" s="2"/>
      <c r="GT513" s="2"/>
      <c r="GU513" s="2"/>
      <c r="GV513" s="2"/>
      <c r="GW513" s="2"/>
      <c r="GX513" s="2"/>
      <c r="GY513" s="2"/>
      <c r="GZ513" s="2"/>
      <c r="HA513" s="2"/>
      <c r="HB513" s="2"/>
      <c r="HC513" s="2"/>
      <c r="HD513" s="2"/>
      <c r="HE513" s="2"/>
      <c r="HF513" s="2"/>
      <c r="HG513" s="2"/>
      <c r="HH513" s="2"/>
      <c r="HI513" s="2"/>
      <c r="HJ513" s="2"/>
      <c r="HK513" s="2"/>
      <c r="HL513" s="2"/>
      <c r="HM513" s="2"/>
      <c r="HN513" s="2"/>
      <c r="HO513" s="2"/>
      <c r="HP513" s="2"/>
      <c r="HQ513" s="2"/>
      <c r="HR513" s="2"/>
      <c r="HS513" s="2"/>
      <c r="HT513" s="2"/>
      <c r="HU513" s="2"/>
      <c r="HV513" s="2"/>
      <c r="HW513" s="2"/>
      <c r="HX513" s="2"/>
      <c r="HY513" s="2"/>
      <c r="HZ513" s="2"/>
      <c r="IA513" s="2"/>
      <c r="IB513" s="2"/>
      <c r="IC513" s="2"/>
    </row>
    <row r="514" spans="1:237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2"/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2"/>
      <c r="EE514" s="2"/>
      <c r="EF514" s="2"/>
      <c r="EG514" s="2"/>
      <c r="EH514" s="2"/>
      <c r="EI514" s="2"/>
      <c r="EJ514" s="2"/>
      <c r="EK514" s="2"/>
      <c r="EL514" s="2"/>
      <c r="EM514" s="2"/>
      <c r="EN514" s="2"/>
      <c r="EO514" s="2"/>
      <c r="EP514" s="2"/>
      <c r="EQ514" s="2"/>
      <c r="ER514" s="2"/>
      <c r="ES514" s="2"/>
      <c r="ET514" s="2"/>
      <c r="EU514" s="2"/>
      <c r="EV514" s="2"/>
      <c r="EW514" s="2"/>
      <c r="EX514" s="2"/>
      <c r="EY514" s="2"/>
      <c r="EZ514" s="2"/>
      <c r="FA514" s="2"/>
      <c r="FB514" s="2"/>
      <c r="FC514" s="2"/>
      <c r="FD514" s="2"/>
      <c r="FE514" s="2"/>
      <c r="FF514" s="2"/>
      <c r="FG514" s="2"/>
      <c r="FH514" s="2"/>
      <c r="FI514" s="2"/>
      <c r="FJ514" s="2"/>
      <c r="FK514" s="2"/>
      <c r="FL514" s="2"/>
      <c r="FM514" s="2"/>
      <c r="FN514" s="2"/>
      <c r="FO514" s="2"/>
      <c r="FP514" s="2"/>
      <c r="FQ514" s="2"/>
      <c r="FR514" s="2"/>
      <c r="FS514" s="2"/>
      <c r="FT514" s="2"/>
      <c r="FU514" s="2"/>
      <c r="FV514" s="2"/>
      <c r="FW514" s="2"/>
      <c r="FX514" s="2"/>
      <c r="FY514" s="2"/>
      <c r="FZ514" s="2"/>
      <c r="GA514" s="2"/>
      <c r="GB514" s="2"/>
      <c r="GC514" s="2"/>
      <c r="GD514" s="2"/>
      <c r="GE514" s="2"/>
      <c r="GF514" s="2"/>
      <c r="GG514" s="2"/>
      <c r="GH514" s="2"/>
      <c r="GI514" s="2"/>
      <c r="GJ514" s="2"/>
      <c r="GK514" s="2"/>
      <c r="GL514" s="2"/>
      <c r="GM514" s="2"/>
      <c r="GN514" s="2"/>
      <c r="GO514" s="2"/>
      <c r="GP514" s="2"/>
      <c r="GQ514" s="2"/>
      <c r="GR514" s="2"/>
      <c r="GS514" s="2"/>
      <c r="GT514" s="2"/>
      <c r="GU514" s="2"/>
      <c r="GV514" s="2"/>
      <c r="GW514" s="2"/>
      <c r="GX514" s="2"/>
      <c r="GY514" s="2"/>
      <c r="GZ514" s="2"/>
      <c r="HA514" s="2"/>
      <c r="HB514" s="2"/>
      <c r="HC514" s="2"/>
      <c r="HD514" s="2"/>
      <c r="HE514" s="2"/>
      <c r="HF514" s="2"/>
      <c r="HG514" s="2"/>
      <c r="HH514" s="2"/>
      <c r="HI514" s="2"/>
      <c r="HJ514" s="2"/>
      <c r="HK514" s="2"/>
      <c r="HL514" s="2"/>
      <c r="HM514" s="2"/>
      <c r="HN514" s="2"/>
      <c r="HO514" s="2"/>
      <c r="HP514" s="2"/>
      <c r="HQ514" s="2"/>
      <c r="HR514" s="2"/>
      <c r="HS514" s="2"/>
      <c r="HT514" s="2"/>
      <c r="HU514" s="2"/>
      <c r="HV514" s="2"/>
      <c r="HW514" s="2"/>
      <c r="HX514" s="2"/>
      <c r="HY514" s="2"/>
      <c r="HZ514" s="2"/>
      <c r="IA514" s="2"/>
      <c r="IB514" s="2"/>
      <c r="IC514" s="2"/>
    </row>
    <row r="515" spans="1:237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2"/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2"/>
      <c r="EE515" s="2"/>
      <c r="EF515" s="2"/>
      <c r="EG515" s="2"/>
      <c r="EH515" s="2"/>
      <c r="EI515" s="2"/>
      <c r="EJ515" s="2"/>
      <c r="EK515" s="2"/>
      <c r="EL515" s="2"/>
      <c r="EM515" s="2"/>
      <c r="EN515" s="2"/>
      <c r="EO515" s="2"/>
      <c r="EP515" s="2"/>
      <c r="EQ515" s="2"/>
      <c r="ER515" s="2"/>
      <c r="ES515" s="2"/>
      <c r="ET515" s="2"/>
      <c r="EU515" s="2"/>
      <c r="EV515" s="2"/>
      <c r="EW515" s="2"/>
      <c r="EX515" s="2"/>
      <c r="EY515" s="2"/>
      <c r="EZ515" s="2"/>
      <c r="FA515" s="2"/>
      <c r="FB515" s="2"/>
      <c r="FC515" s="2"/>
      <c r="FD515" s="2"/>
      <c r="FE515" s="2"/>
      <c r="FF515" s="2"/>
      <c r="FG515" s="2"/>
      <c r="FH515" s="2"/>
      <c r="FI515" s="2"/>
      <c r="FJ515" s="2"/>
      <c r="FK515" s="2"/>
      <c r="FL515" s="2"/>
      <c r="FM515" s="2"/>
      <c r="FN515" s="2"/>
      <c r="FO515" s="2"/>
      <c r="FP515" s="2"/>
      <c r="FQ515" s="2"/>
      <c r="FR515" s="2"/>
      <c r="FS515" s="2"/>
      <c r="FT515" s="2"/>
      <c r="FU515" s="2"/>
      <c r="FV515" s="2"/>
      <c r="FW515" s="2"/>
      <c r="FX515" s="2"/>
      <c r="FY515" s="2"/>
      <c r="FZ515" s="2"/>
      <c r="GA515" s="2"/>
      <c r="GB515" s="2"/>
      <c r="GC515" s="2"/>
      <c r="GD515" s="2"/>
      <c r="GE515" s="2"/>
      <c r="GF515" s="2"/>
      <c r="GG515" s="2"/>
      <c r="GH515" s="2"/>
      <c r="GI515" s="2"/>
      <c r="GJ515" s="2"/>
      <c r="GK515" s="2"/>
      <c r="GL515" s="2"/>
      <c r="GM515" s="2"/>
      <c r="GN515" s="2"/>
      <c r="GO515" s="2"/>
      <c r="GP515" s="2"/>
      <c r="GQ515" s="2"/>
      <c r="GR515" s="2"/>
      <c r="GS515" s="2"/>
      <c r="GT515" s="2"/>
      <c r="GU515" s="2"/>
      <c r="GV515" s="2"/>
      <c r="GW515" s="2"/>
      <c r="GX515" s="2"/>
      <c r="GY515" s="2"/>
      <c r="GZ515" s="2"/>
      <c r="HA515" s="2"/>
      <c r="HB515" s="2"/>
      <c r="HC515" s="2"/>
      <c r="HD515" s="2"/>
      <c r="HE515" s="2"/>
      <c r="HF515" s="2"/>
      <c r="HG515" s="2"/>
      <c r="HH515" s="2"/>
      <c r="HI515" s="2"/>
      <c r="HJ515" s="2"/>
      <c r="HK515" s="2"/>
      <c r="HL515" s="2"/>
      <c r="HM515" s="2"/>
      <c r="HN515" s="2"/>
      <c r="HO515" s="2"/>
      <c r="HP515" s="2"/>
      <c r="HQ515" s="2"/>
      <c r="HR515" s="2"/>
      <c r="HS515" s="2"/>
      <c r="HT515" s="2"/>
      <c r="HU515" s="2"/>
      <c r="HV515" s="2"/>
      <c r="HW515" s="2"/>
      <c r="HX515" s="2"/>
      <c r="HY515" s="2"/>
      <c r="HZ515" s="2"/>
      <c r="IA515" s="2"/>
      <c r="IB515" s="2"/>
      <c r="IC515" s="2"/>
    </row>
    <row r="516" spans="1:237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2"/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2"/>
      <c r="EE516" s="2"/>
      <c r="EF516" s="2"/>
      <c r="EG516" s="2"/>
      <c r="EH516" s="2"/>
      <c r="EI516" s="2"/>
      <c r="EJ516" s="2"/>
      <c r="EK516" s="2"/>
      <c r="EL516" s="2"/>
      <c r="EM516" s="2"/>
      <c r="EN516" s="2"/>
      <c r="EO516" s="2"/>
      <c r="EP516" s="2"/>
      <c r="EQ516" s="2"/>
      <c r="ER516" s="2"/>
      <c r="ES516" s="2"/>
      <c r="ET516" s="2"/>
      <c r="EU516" s="2"/>
      <c r="EV516" s="2"/>
      <c r="EW516" s="2"/>
      <c r="EX516" s="2"/>
      <c r="EY516" s="2"/>
      <c r="EZ516" s="2"/>
      <c r="FA516" s="2"/>
      <c r="FB516" s="2"/>
      <c r="FC516" s="2"/>
      <c r="FD516" s="2"/>
      <c r="FE516" s="2"/>
      <c r="FF516" s="2"/>
      <c r="FG516" s="2"/>
      <c r="FH516" s="2"/>
      <c r="FI516" s="2"/>
      <c r="FJ516" s="2"/>
      <c r="FK516" s="2"/>
      <c r="FL516" s="2"/>
      <c r="FM516" s="2"/>
      <c r="FN516" s="2"/>
      <c r="FO516" s="2"/>
      <c r="FP516" s="2"/>
      <c r="FQ516" s="2"/>
      <c r="FR516" s="2"/>
      <c r="FS516" s="2"/>
      <c r="FT516" s="2"/>
      <c r="FU516" s="2"/>
      <c r="FV516" s="2"/>
      <c r="FW516" s="2"/>
      <c r="FX516" s="2"/>
      <c r="FY516" s="2"/>
      <c r="FZ516" s="2"/>
      <c r="GA516" s="2"/>
      <c r="GB516" s="2"/>
      <c r="GC516" s="2"/>
      <c r="GD516" s="2"/>
      <c r="GE516" s="2"/>
      <c r="GF516" s="2"/>
      <c r="GG516" s="2"/>
      <c r="GH516" s="2"/>
      <c r="GI516" s="2"/>
      <c r="GJ516" s="2"/>
      <c r="GK516" s="2"/>
      <c r="GL516" s="2"/>
      <c r="GM516" s="2"/>
      <c r="GN516" s="2"/>
      <c r="GO516" s="2"/>
      <c r="GP516" s="2"/>
      <c r="GQ516" s="2"/>
      <c r="GR516" s="2"/>
      <c r="GS516" s="2"/>
      <c r="GT516" s="2"/>
      <c r="GU516" s="2"/>
      <c r="GV516" s="2"/>
      <c r="GW516" s="2"/>
      <c r="GX516" s="2"/>
      <c r="GY516" s="2"/>
      <c r="GZ516" s="2"/>
      <c r="HA516" s="2"/>
      <c r="HB516" s="2"/>
      <c r="HC516" s="2"/>
      <c r="HD516" s="2"/>
      <c r="HE516" s="2"/>
      <c r="HF516" s="2"/>
      <c r="HG516" s="2"/>
      <c r="HH516" s="2"/>
      <c r="HI516" s="2"/>
      <c r="HJ516" s="2"/>
      <c r="HK516" s="2"/>
      <c r="HL516" s="2"/>
      <c r="HM516" s="2"/>
      <c r="HN516" s="2"/>
      <c r="HO516" s="2"/>
      <c r="HP516" s="2"/>
      <c r="HQ516" s="2"/>
      <c r="HR516" s="2"/>
      <c r="HS516" s="2"/>
      <c r="HT516" s="2"/>
      <c r="HU516" s="2"/>
      <c r="HV516" s="2"/>
      <c r="HW516" s="2"/>
      <c r="HX516" s="2"/>
      <c r="HY516" s="2"/>
      <c r="HZ516" s="2"/>
      <c r="IA516" s="2"/>
      <c r="IB516" s="2"/>
      <c r="IC516" s="2"/>
    </row>
    <row r="517" spans="1:237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2"/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2"/>
      <c r="EE517" s="2"/>
      <c r="EF517" s="2"/>
      <c r="EG517" s="2"/>
      <c r="EH517" s="2"/>
      <c r="EI517" s="2"/>
      <c r="EJ517" s="2"/>
      <c r="EK517" s="2"/>
      <c r="EL517" s="2"/>
      <c r="EM517" s="2"/>
      <c r="EN517" s="2"/>
      <c r="EO517" s="2"/>
      <c r="EP517" s="2"/>
      <c r="EQ517" s="2"/>
      <c r="ER517" s="2"/>
      <c r="ES517" s="2"/>
      <c r="ET517" s="2"/>
      <c r="EU517" s="2"/>
      <c r="EV517" s="2"/>
      <c r="EW517" s="2"/>
      <c r="EX517" s="2"/>
      <c r="EY517" s="2"/>
      <c r="EZ517" s="2"/>
      <c r="FA517" s="2"/>
      <c r="FB517" s="2"/>
      <c r="FC517" s="2"/>
      <c r="FD517" s="2"/>
      <c r="FE517" s="2"/>
      <c r="FF517" s="2"/>
      <c r="FG517" s="2"/>
      <c r="FH517" s="2"/>
      <c r="FI517" s="2"/>
      <c r="FJ517" s="2"/>
      <c r="FK517" s="2"/>
      <c r="FL517" s="2"/>
      <c r="FM517" s="2"/>
      <c r="FN517" s="2"/>
      <c r="FO517" s="2"/>
      <c r="FP517" s="2"/>
      <c r="FQ517" s="2"/>
      <c r="FR517" s="2"/>
      <c r="FS517" s="2"/>
      <c r="FT517" s="2"/>
      <c r="FU517" s="2"/>
      <c r="FV517" s="2"/>
      <c r="FW517" s="2"/>
      <c r="FX517" s="2"/>
      <c r="FY517" s="2"/>
      <c r="FZ517" s="2"/>
      <c r="GA517" s="2"/>
      <c r="GB517" s="2"/>
      <c r="GC517" s="2"/>
      <c r="GD517" s="2"/>
      <c r="GE517" s="2"/>
      <c r="GF517" s="2"/>
      <c r="GG517" s="2"/>
      <c r="GH517" s="2"/>
      <c r="GI517" s="2"/>
      <c r="GJ517" s="2"/>
      <c r="GK517" s="2"/>
      <c r="GL517" s="2"/>
      <c r="GM517" s="2"/>
      <c r="GN517" s="2"/>
      <c r="GO517" s="2"/>
      <c r="GP517" s="2"/>
      <c r="GQ517" s="2"/>
      <c r="GR517" s="2"/>
      <c r="GS517" s="2"/>
      <c r="GT517" s="2"/>
      <c r="GU517" s="2"/>
      <c r="GV517" s="2"/>
      <c r="GW517" s="2"/>
      <c r="GX517" s="2"/>
      <c r="GY517" s="2"/>
      <c r="GZ517" s="2"/>
      <c r="HA517" s="2"/>
      <c r="HB517" s="2"/>
      <c r="HC517" s="2"/>
      <c r="HD517" s="2"/>
      <c r="HE517" s="2"/>
      <c r="HF517" s="2"/>
      <c r="HG517" s="2"/>
      <c r="HH517" s="2"/>
      <c r="HI517" s="2"/>
      <c r="HJ517" s="2"/>
      <c r="HK517" s="2"/>
      <c r="HL517" s="2"/>
      <c r="HM517" s="2"/>
      <c r="HN517" s="2"/>
      <c r="HO517" s="2"/>
      <c r="HP517" s="2"/>
      <c r="HQ517" s="2"/>
      <c r="HR517" s="2"/>
      <c r="HS517" s="2"/>
      <c r="HT517" s="2"/>
      <c r="HU517" s="2"/>
      <c r="HV517" s="2"/>
      <c r="HW517" s="2"/>
      <c r="HX517" s="2"/>
      <c r="HY517" s="2"/>
      <c r="HZ517" s="2"/>
      <c r="IA517" s="2"/>
      <c r="IB517" s="2"/>
      <c r="IC517" s="2"/>
    </row>
    <row r="518" spans="1:237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2"/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2"/>
      <c r="EE518" s="2"/>
      <c r="EF518" s="2"/>
      <c r="EG518" s="2"/>
      <c r="EH518" s="2"/>
      <c r="EI518" s="2"/>
      <c r="EJ518" s="2"/>
      <c r="EK518" s="2"/>
      <c r="EL518" s="2"/>
      <c r="EM518" s="2"/>
      <c r="EN518" s="2"/>
      <c r="EO518" s="2"/>
      <c r="EP518" s="2"/>
      <c r="EQ518" s="2"/>
      <c r="ER518" s="2"/>
      <c r="ES518" s="2"/>
      <c r="ET518" s="2"/>
      <c r="EU518" s="2"/>
      <c r="EV518" s="2"/>
      <c r="EW518" s="2"/>
      <c r="EX518" s="2"/>
      <c r="EY518" s="2"/>
      <c r="EZ518" s="2"/>
      <c r="FA518" s="2"/>
      <c r="FB518" s="2"/>
      <c r="FC518" s="2"/>
      <c r="FD518" s="2"/>
      <c r="FE518" s="2"/>
      <c r="FF518" s="2"/>
      <c r="FG518" s="2"/>
      <c r="FH518" s="2"/>
      <c r="FI518" s="2"/>
      <c r="FJ518" s="2"/>
      <c r="FK518" s="2"/>
      <c r="FL518" s="2"/>
      <c r="FM518" s="2"/>
      <c r="FN518" s="2"/>
      <c r="FO518" s="2"/>
      <c r="FP518" s="2"/>
      <c r="FQ518" s="2"/>
      <c r="FR518" s="2"/>
      <c r="FS518" s="2"/>
      <c r="FT518" s="2"/>
      <c r="FU518" s="2"/>
      <c r="FV518" s="2"/>
      <c r="FW518" s="2"/>
      <c r="FX518" s="2"/>
      <c r="FY518" s="2"/>
      <c r="FZ518" s="2"/>
      <c r="GA518" s="2"/>
      <c r="GB518" s="2"/>
      <c r="GC518" s="2"/>
      <c r="GD518" s="2"/>
      <c r="GE518" s="2"/>
      <c r="GF518" s="2"/>
      <c r="GG518" s="2"/>
      <c r="GH518" s="2"/>
      <c r="GI518" s="2"/>
      <c r="GJ518" s="2"/>
      <c r="GK518" s="2"/>
      <c r="GL518" s="2"/>
      <c r="GM518" s="2"/>
      <c r="GN518" s="2"/>
      <c r="GO518" s="2"/>
      <c r="GP518" s="2"/>
      <c r="GQ518" s="2"/>
      <c r="GR518" s="2"/>
      <c r="GS518" s="2"/>
      <c r="GT518" s="2"/>
      <c r="GU518" s="2"/>
      <c r="GV518" s="2"/>
      <c r="GW518" s="2"/>
      <c r="GX518" s="2"/>
      <c r="GY518" s="2"/>
      <c r="GZ518" s="2"/>
      <c r="HA518" s="2"/>
      <c r="HB518" s="2"/>
      <c r="HC518" s="2"/>
      <c r="HD518" s="2"/>
      <c r="HE518" s="2"/>
      <c r="HF518" s="2"/>
      <c r="HG518" s="2"/>
      <c r="HH518" s="2"/>
      <c r="HI518" s="2"/>
      <c r="HJ518" s="2"/>
      <c r="HK518" s="2"/>
      <c r="HL518" s="2"/>
      <c r="HM518" s="2"/>
      <c r="HN518" s="2"/>
      <c r="HO518" s="2"/>
      <c r="HP518" s="2"/>
      <c r="HQ518" s="2"/>
      <c r="HR518" s="2"/>
      <c r="HS518" s="2"/>
      <c r="HT518" s="2"/>
      <c r="HU518" s="2"/>
      <c r="HV518" s="2"/>
      <c r="HW518" s="2"/>
      <c r="HX518" s="2"/>
      <c r="HY518" s="2"/>
      <c r="HZ518" s="2"/>
      <c r="IA518" s="2"/>
      <c r="IB518" s="2"/>
      <c r="IC518" s="2"/>
    </row>
    <row r="519" spans="1:237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2"/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2"/>
      <c r="EE519" s="2"/>
      <c r="EF519" s="2"/>
      <c r="EG519" s="2"/>
      <c r="EH519" s="2"/>
      <c r="EI519" s="2"/>
      <c r="EJ519" s="2"/>
      <c r="EK519" s="2"/>
      <c r="EL519" s="2"/>
      <c r="EM519" s="2"/>
      <c r="EN519" s="2"/>
      <c r="EO519" s="2"/>
      <c r="EP519" s="2"/>
      <c r="EQ519" s="2"/>
      <c r="ER519" s="2"/>
      <c r="ES519" s="2"/>
      <c r="ET519" s="2"/>
      <c r="EU519" s="2"/>
      <c r="EV519" s="2"/>
      <c r="EW519" s="2"/>
      <c r="EX519" s="2"/>
      <c r="EY519" s="2"/>
      <c r="EZ519" s="2"/>
      <c r="FA519" s="2"/>
      <c r="FB519" s="2"/>
      <c r="FC519" s="2"/>
      <c r="FD519" s="2"/>
      <c r="FE519" s="2"/>
      <c r="FF519" s="2"/>
      <c r="FG519" s="2"/>
      <c r="FH519" s="2"/>
      <c r="FI519" s="2"/>
      <c r="FJ519" s="2"/>
      <c r="FK519" s="2"/>
      <c r="FL519" s="2"/>
      <c r="FM519" s="2"/>
      <c r="FN519" s="2"/>
      <c r="FO519" s="2"/>
      <c r="FP519" s="2"/>
      <c r="FQ519" s="2"/>
      <c r="FR519" s="2"/>
      <c r="FS519" s="2"/>
      <c r="FT519" s="2"/>
      <c r="FU519" s="2"/>
      <c r="FV519" s="2"/>
      <c r="FW519" s="2"/>
      <c r="FX519" s="2"/>
      <c r="FY519" s="2"/>
      <c r="FZ519" s="2"/>
      <c r="GA519" s="2"/>
      <c r="GB519" s="2"/>
      <c r="GC519" s="2"/>
      <c r="GD519" s="2"/>
      <c r="GE519" s="2"/>
      <c r="GF519" s="2"/>
      <c r="GG519" s="2"/>
      <c r="GH519" s="2"/>
      <c r="GI519" s="2"/>
      <c r="GJ519" s="2"/>
      <c r="GK519" s="2"/>
      <c r="GL519" s="2"/>
      <c r="GM519" s="2"/>
      <c r="GN519" s="2"/>
      <c r="GO519" s="2"/>
      <c r="GP519" s="2"/>
      <c r="GQ519" s="2"/>
      <c r="GR519" s="2"/>
      <c r="GS519" s="2"/>
      <c r="GT519" s="2"/>
      <c r="GU519" s="2"/>
      <c r="GV519" s="2"/>
      <c r="GW519" s="2"/>
      <c r="GX519" s="2"/>
      <c r="GY519" s="2"/>
      <c r="GZ519" s="2"/>
      <c r="HA519" s="2"/>
      <c r="HB519" s="2"/>
      <c r="HC519" s="2"/>
      <c r="HD519" s="2"/>
      <c r="HE519" s="2"/>
      <c r="HF519" s="2"/>
      <c r="HG519" s="2"/>
      <c r="HH519" s="2"/>
      <c r="HI519" s="2"/>
      <c r="HJ519" s="2"/>
      <c r="HK519" s="2"/>
      <c r="HL519" s="2"/>
      <c r="HM519" s="2"/>
      <c r="HN519" s="2"/>
      <c r="HO519" s="2"/>
      <c r="HP519" s="2"/>
      <c r="HQ519" s="2"/>
      <c r="HR519" s="2"/>
      <c r="HS519" s="2"/>
      <c r="HT519" s="2"/>
      <c r="HU519" s="2"/>
      <c r="HV519" s="2"/>
      <c r="HW519" s="2"/>
      <c r="HX519" s="2"/>
      <c r="HY519" s="2"/>
      <c r="HZ519" s="2"/>
      <c r="IA519" s="2"/>
      <c r="IB519" s="2"/>
      <c r="IC519" s="2"/>
    </row>
    <row r="520" spans="1:237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2"/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2"/>
      <c r="EE520" s="2"/>
      <c r="EF520" s="2"/>
      <c r="EG520" s="2"/>
      <c r="EH520" s="2"/>
      <c r="EI520" s="2"/>
      <c r="EJ520" s="2"/>
      <c r="EK520" s="2"/>
      <c r="EL520" s="2"/>
      <c r="EM520" s="2"/>
      <c r="EN520" s="2"/>
      <c r="EO520" s="2"/>
      <c r="EP520" s="2"/>
      <c r="EQ520" s="2"/>
      <c r="ER520" s="2"/>
      <c r="ES520" s="2"/>
      <c r="ET520" s="2"/>
      <c r="EU520" s="2"/>
      <c r="EV520" s="2"/>
      <c r="EW520" s="2"/>
      <c r="EX520" s="2"/>
      <c r="EY520" s="2"/>
      <c r="EZ520" s="2"/>
      <c r="FA520" s="2"/>
      <c r="FB520" s="2"/>
      <c r="FC520" s="2"/>
      <c r="FD520" s="2"/>
      <c r="FE520" s="2"/>
      <c r="FF520" s="2"/>
      <c r="FG520" s="2"/>
      <c r="FH520" s="2"/>
      <c r="FI520" s="2"/>
      <c r="FJ520" s="2"/>
      <c r="FK520" s="2"/>
      <c r="FL520" s="2"/>
      <c r="FM520" s="2"/>
      <c r="FN520" s="2"/>
      <c r="FO520" s="2"/>
      <c r="FP520" s="2"/>
      <c r="FQ520" s="2"/>
      <c r="FR520" s="2"/>
      <c r="FS520" s="2"/>
      <c r="FT520" s="2"/>
      <c r="FU520" s="2"/>
      <c r="FV520" s="2"/>
      <c r="FW520" s="2"/>
      <c r="FX520" s="2"/>
      <c r="FY520" s="2"/>
      <c r="FZ520" s="2"/>
      <c r="GA520" s="2"/>
      <c r="GB520" s="2"/>
      <c r="GC520" s="2"/>
      <c r="GD520" s="2"/>
      <c r="GE520" s="2"/>
      <c r="GF520" s="2"/>
      <c r="GG520" s="2"/>
      <c r="GH520" s="2"/>
      <c r="GI520" s="2"/>
      <c r="GJ520" s="2"/>
      <c r="GK520" s="2"/>
      <c r="GL520" s="2"/>
      <c r="GM520" s="2"/>
      <c r="GN520" s="2"/>
      <c r="GO520" s="2"/>
      <c r="GP520" s="2"/>
      <c r="GQ520" s="2"/>
      <c r="GR520" s="2"/>
      <c r="GS520" s="2"/>
      <c r="GT520" s="2"/>
      <c r="GU520" s="2"/>
      <c r="GV520" s="2"/>
      <c r="GW520" s="2"/>
      <c r="GX520" s="2"/>
      <c r="GY520" s="2"/>
      <c r="GZ520" s="2"/>
      <c r="HA520" s="2"/>
      <c r="HB520" s="2"/>
      <c r="HC520" s="2"/>
      <c r="HD520" s="2"/>
      <c r="HE520" s="2"/>
      <c r="HF520" s="2"/>
      <c r="HG520" s="2"/>
      <c r="HH520" s="2"/>
      <c r="HI520" s="2"/>
      <c r="HJ520" s="2"/>
      <c r="HK520" s="2"/>
      <c r="HL520" s="2"/>
      <c r="HM520" s="2"/>
      <c r="HN520" s="2"/>
      <c r="HO520" s="2"/>
      <c r="HP520" s="2"/>
      <c r="HQ520" s="2"/>
      <c r="HR520" s="2"/>
      <c r="HS520" s="2"/>
      <c r="HT520" s="2"/>
      <c r="HU520" s="2"/>
      <c r="HV520" s="2"/>
      <c r="HW520" s="2"/>
      <c r="HX520" s="2"/>
      <c r="HY520" s="2"/>
      <c r="HZ520" s="2"/>
      <c r="IA520" s="2"/>
      <c r="IB520" s="2"/>
      <c r="IC520" s="2"/>
    </row>
    <row r="521" spans="1:237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2"/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2"/>
      <c r="EE521" s="2"/>
      <c r="EF521" s="2"/>
      <c r="EG521" s="2"/>
      <c r="EH521" s="2"/>
      <c r="EI521" s="2"/>
      <c r="EJ521" s="2"/>
      <c r="EK521" s="2"/>
      <c r="EL521" s="2"/>
      <c r="EM521" s="2"/>
      <c r="EN521" s="2"/>
      <c r="EO521" s="2"/>
      <c r="EP521" s="2"/>
      <c r="EQ521" s="2"/>
      <c r="ER521" s="2"/>
      <c r="ES521" s="2"/>
      <c r="ET521" s="2"/>
      <c r="EU521" s="2"/>
      <c r="EV521" s="2"/>
      <c r="EW521" s="2"/>
      <c r="EX521" s="2"/>
      <c r="EY521" s="2"/>
      <c r="EZ521" s="2"/>
      <c r="FA521" s="2"/>
      <c r="FB521" s="2"/>
      <c r="FC521" s="2"/>
      <c r="FD521" s="2"/>
      <c r="FE521" s="2"/>
      <c r="FF521" s="2"/>
      <c r="FG521" s="2"/>
      <c r="FH521" s="2"/>
      <c r="FI521" s="2"/>
      <c r="FJ521" s="2"/>
      <c r="FK521" s="2"/>
      <c r="FL521" s="2"/>
      <c r="FM521" s="2"/>
      <c r="FN521" s="2"/>
      <c r="FO521" s="2"/>
      <c r="FP521" s="2"/>
      <c r="FQ521" s="2"/>
      <c r="FR521" s="2"/>
      <c r="FS521" s="2"/>
      <c r="FT521" s="2"/>
      <c r="FU521" s="2"/>
      <c r="FV521" s="2"/>
      <c r="FW521" s="2"/>
      <c r="FX521" s="2"/>
      <c r="FY521" s="2"/>
      <c r="FZ521" s="2"/>
      <c r="GA521" s="2"/>
      <c r="GB521" s="2"/>
      <c r="GC521" s="2"/>
      <c r="GD521" s="2"/>
      <c r="GE521" s="2"/>
      <c r="GF521" s="2"/>
      <c r="GG521" s="2"/>
      <c r="GH521" s="2"/>
      <c r="GI521" s="2"/>
      <c r="GJ521" s="2"/>
      <c r="GK521" s="2"/>
      <c r="GL521" s="2"/>
      <c r="GM521" s="2"/>
      <c r="GN521" s="2"/>
      <c r="GO521" s="2"/>
      <c r="GP521" s="2"/>
      <c r="GQ521" s="2"/>
      <c r="GR521" s="2"/>
      <c r="GS521" s="2"/>
      <c r="GT521" s="2"/>
      <c r="GU521" s="2"/>
      <c r="GV521" s="2"/>
      <c r="GW521" s="2"/>
      <c r="GX521" s="2"/>
      <c r="GY521" s="2"/>
      <c r="GZ521" s="2"/>
      <c r="HA521" s="2"/>
      <c r="HB521" s="2"/>
      <c r="HC521" s="2"/>
      <c r="HD521" s="2"/>
      <c r="HE521" s="2"/>
      <c r="HF521" s="2"/>
      <c r="HG521" s="2"/>
      <c r="HH521" s="2"/>
      <c r="HI521" s="2"/>
      <c r="HJ521" s="2"/>
      <c r="HK521" s="2"/>
      <c r="HL521" s="2"/>
      <c r="HM521" s="2"/>
      <c r="HN521" s="2"/>
      <c r="HO521" s="2"/>
      <c r="HP521" s="2"/>
      <c r="HQ521" s="2"/>
      <c r="HR521" s="2"/>
      <c r="HS521" s="2"/>
      <c r="HT521" s="2"/>
      <c r="HU521" s="2"/>
      <c r="HV521" s="2"/>
      <c r="HW521" s="2"/>
      <c r="HX521" s="2"/>
      <c r="HY521" s="2"/>
      <c r="HZ521" s="2"/>
      <c r="IA521" s="2"/>
      <c r="IB521" s="2"/>
      <c r="IC521" s="2"/>
    </row>
    <row r="522" spans="1:237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2"/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2"/>
      <c r="EE522" s="2"/>
      <c r="EF522" s="2"/>
      <c r="EG522" s="2"/>
      <c r="EH522" s="2"/>
      <c r="EI522" s="2"/>
      <c r="EJ522" s="2"/>
      <c r="EK522" s="2"/>
      <c r="EL522" s="2"/>
      <c r="EM522" s="2"/>
      <c r="EN522" s="2"/>
      <c r="EO522" s="2"/>
      <c r="EP522" s="2"/>
      <c r="EQ522" s="2"/>
      <c r="ER522" s="2"/>
      <c r="ES522" s="2"/>
      <c r="ET522" s="2"/>
      <c r="EU522" s="2"/>
      <c r="EV522" s="2"/>
      <c r="EW522" s="2"/>
      <c r="EX522" s="2"/>
      <c r="EY522" s="2"/>
      <c r="EZ522" s="2"/>
      <c r="FA522" s="2"/>
      <c r="FB522" s="2"/>
      <c r="FC522" s="2"/>
      <c r="FD522" s="2"/>
      <c r="FE522" s="2"/>
      <c r="FF522" s="2"/>
      <c r="FG522" s="2"/>
      <c r="FH522" s="2"/>
      <c r="FI522" s="2"/>
      <c r="FJ522" s="2"/>
      <c r="FK522" s="2"/>
      <c r="FL522" s="2"/>
      <c r="FM522" s="2"/>
      <c r="FN522" s="2"/>
      <c r="FO522" s="2"/>
      <c r="FP522" s="2"/>
      <c r="FQ522" s="2"/>
      <c r="FR522" s="2"/>
      <c r="FS522" s="2"/>
      <c r="FT522" s="2"/>
      <c r="FU522" s="2"/>
      <c r="FV522" s="2"/>
      <c r="FW522" s="2"/>
      <c r="FX522" s="2"/>
      <c r="FY522" s="2"/>
      <c r="FZ522" s="2"/>
      <c r="GA522" s="2"/>
      <c r="GB522" s="2"/>
      <c r="GC522" s="2"/>
      <c r="GD522" s="2"/>
      <c r="GE522" s="2"/>
      <c r="GF522" s="2"/>
      <c r="GG522" s="2"/>
      <c r="GH522" s="2"/>
      <c r="GI522" s="2"/>
      <c r="GJ522" s="2"/>
      <c r="GK522" s="2"/>
      <c r="GL522" s="2"/>
      <c r="GM522" s="2"/>
      <c r="GN522" s="2"/>
      <c r="GO522" s="2"/>
      <c r="GP522" s="2"/>
      <c r="GQ522" s="2"/>
      <c r="GR522" s="2"/>
      <c r="GS522" s="2"/>
      <c r="GT522" s="2"/>
      <c r="GU522" s="2"/>
      <c r="GV522" s="2"/>
      <c r="GW522" s="2"/>
      <c r="GX522" s="2"/>
      <c r="GY522" s="2"/>
      <c r="GZ522" s="2"/>
      <c r="HA522" s="2"/>
      <c r="HB522" s="2"/>
      <c r="HC522" s="2"/>
      <c r="HD522" s="2"/>
      <c r="HE522" s="2"/>
      <c r="HF522" s="2"/>
      <c r="HG522" s="2"/>
      <c r="HH522" s="2"/>
      <c r="HI522" s="2"/>
      <c r="HJ522" s="2"/>
      <c r="HK522" s="2"/>
      <c r="HL522" s="2"/>
      <c r="HM522" s="2"/>
      <c r="HN522" s="2"/>
      <c r="HO522" s="2"/>
      <c r="HP522" s="2"/>
      <c r="HQ522" s="2"/>
      <c r="HR522" s="2"/>
      <c r="HS522" s="2"/>
      <c r="HT522" s="2"/>
      <c r="HU522" s="2"/>
      <c r="HV522" s="2"/>
      <c r="HW522" s="2"/>
      <c r="HX522" s="2"/>
      <c r="HY522" s="2"/>
      <c r="HZ522" s="2"/>
      <c r="IA522" s="2"/>
      <c r="IB522" s="2"/>
      <c r="IC522" s="2"/>
    </row>
    <row r="523" spans="1:237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2"/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2"/>
      <c r="EE523" s="2"/>
      <c r="EF523" s="2"/>
      <c r="EG523" s="2"/>
      <c r="EH523" s="2"/>
      <c r="EI523" s="2"/>
      <c r="EJ523" s="2"/>
      <c r="EK523" s="2"/>
      <c r="EL523" s="2"/>
      <c r="EM523" s="2"/>
      <c r="EN523" s="2"/>
      <c r="EO523" s="2"/>
      <c r="EP523" s="2"/>
      <c r="EQ523" s="2"/>
      <c r="ER523" s="2"/>
      <c r="ES523" s="2"/>
      <c r="ET523" s="2"/>
      <c r="EU523" s="2"/>
      <c r="EV523" s="2"/>
      <c r="EW523" s="2"/>
      <c r="EX523" s="2"/>
      <c r="EY523" s="2"/>
      <c r="EZ523" s="2"/>
      <c r="FA523" s="2"/>
      <c r="FB523" s="2"/>
      <c r="FC523" s="2"/>
      <c r="FD523" s="2"/>
      <c r="FE523" s="2"/>
      <c r="FF523" s="2"/>
      <c r="FG523" s="2"/>
      <c r="FH523" s="2"/>
      <c r="FI523" s="2"/>
      <c r="FJ523" s="2"/>
      <c r="FK523" s="2"/>
      <c r="FL523" s="2"/>
      <c r="FM523" s="2"/>
      <c r="FN523" s="2"/>
      <c r="FO523" s="2"/>
      <c r="FP523" s="2"/>
      <c r="FQ523" s="2"/>
      <c r="FR523" s="2"/>
      <c r="FS523" s="2"/>
      <c r="FT523" s="2"/>
      <c r="FU523" s="2"/>
      <c r="FV523" s="2"/>
      <c r="FW523" s="2"/>
      <c r="FX523" s="2"/>
      <c r="FY523" s="2"/>
      <c r="FZ523" s="2"/>
      <c r="GA523" s="2"/>
      <c r="GB523" s="2"/>
      <c r="GC523" s="2"/>
      <c r="GD523" s="2"/>
      <c r="GE523" s="2"/>
      <c r="GF523" s="2"/>
      <c r="GG523" s="2"/>
      <c r="GH523" s="2"/>
      <c r="GI523" s="2"/>
      <c r="GJ523" s="2"/>
      <c r="GK523" s="2"/>
      <c r="GL523" s="2"/>
      <c r="GM523" s="2"/>
      <c r="GN523" s="2"/>
      <c r="GO523" s="2"/>
      <c r="GP523" s="2"/>
      <c r="GQ523" s="2"/>
      <c r="GR523" s="2"/>
      <c r="GS523" s="2"/>
      <c r="GT523" s="2"/>
      <c r="GU523" s="2"/>
      <c r="GV523" s="2"/>
      <c r="GW523" s="2"/>
      <c r="GX523" s="2"/>
      <c r="GY523" s="2"/>
      <c r="GZ523" s="2"/>
      <c r="HA523" s="2"/>
      <c r="HB523" s="2"/>
      <c r="HC523" s="2"/>
      <c r="HD523" s="2"/>
      <c r="HE523" s="2"/>
      <c r="HF523" s="2"/>
      <c r="HG523" s="2"/>
      <c r="HH523" s="2"/>
      <c r="HI523" s="2"/>
      <c r="HJ523" s="2"/>
      <c r="HK523" s="2"/>
      <c r="HL523" s="2"/>
      <c r="HM523" s="2"/>
      <c r="HN523" s="2"/>
      <c r="HO523" s="2"/>
      <c r="HP523" s="2"/>
      <c r="HQ523" s="2"/>
      <c r="HR523" s="2"/>
      <c r="HS523" s="2"/>
      <c r="HT523" s="2"/>
      <c r="HU523" s="2"/>
      <c r="HV523" s="2"/>
      <c r="HW523" s="2"/>
      <c r="HX523" s="2"/>
      <c r="HY523" s="2"/>
      <c r="HZ523" s="2"/>
      <c r="IA523" s="2"/>
      <c r="IB523" s="2"/>
      <c r="IC523" s="2"/>
    </row>
    <row r="524" spans="1:237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2"/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2"/>
      <c r="EE524" s="2"/>
      <c r="EF524" s="2"/>
      <c r="EG524" s="2"/>
      <c r="EH524" s="2"/>
      <c r="EI524" s="2"/>
      <c r="EJ524" s="2"/>
      <c r="EK524" s="2"/>
      <c r="EL524" s="2"/>
      <c r="EM524" s="2"/>
      <c r="EN524" s="2"/>
      <c r="EO524" s="2"/>
      <c r="EP524" s="2"/>
      <c r="EQ524" s="2"/>
      <c r="ER524" s="2"/>
      <c r="ES524" s="2"/>
      <c r="ET524" s="2"/>
      <c r="EU524" s="2"/>
      <c r="EV524" s="2"/>
      <c r="EW524" s="2"/>
      <c r="EX524" s="2"/>
      <c r="EY524" s="2"/>
      <c r="EZ524" s="2"/>
      <c r="FA524" s="2"/>
      <c r="FB524" s="2"/>
      <c r="FC524" s="2"/>
      <c r="FD524" s="2"/>
      <c r="FE524" s="2"/>
      <c r="FF524" s="2"/>
      <c r="FG524" s="2"/>
      <c r="FH524" s="2"/>
      <c r="FI524" s="2"/>
      <c r="FJ524" s="2"/>
      <c r="FK524" s="2"/>
      <c r="FL524" s="2"/>
      <c r="FM524" s="2"/>
      <c r="FN524" s="2"/>
      <c r="FO524" s="2"/>
      <c r="FP524" s="2"/>
      <c r="FQ524" s="2"/>
      <c r="FR524" s="2"/>
      <c r="FS524" s="2"/>
      <c r="FT524" s="2"/>
      <c r="FU524" s="2"/>
      <c r="FV524" s="2"/>
      <c r="FW524" s="2"/>
      <c r="FX524" s="2"/>
      <c r="FY524" s="2"/>
      <c r="FZ524" s="2"/>
      <c r="GA524" s="2"/>
      <c r="GB524" s="2"/>
      <c r="GC524" s="2"/>
      <c r="GD524" s="2"/>
      <c r="GE524" s="2"/>
      <c r="GF524" s="2"/>
      <c r="GG524" s="2"/>
      <c r="GH524" s="2"/>
      <c r="GI524" s="2"/>
      <c r="GJ524" s="2"/>
      <c r="GK524" s="2"/>
      <c r="GL524" s="2"/>
      <c r="GM524" s="2"/>
      <c r="GN524" s="2"/>
      <c r="GO524" s="2"/>
      <c r="GP524" s="2"/>
      <c r="GQ524" s="2"/>
      <c r="GR524" s="2"/>
      <c r="GS524" s="2"/>
      <c r="GT524" s="2"/>
      <c r="GU524" s="2"/>
      <c r="GV524" s="2"/>
      <c r="GW524" s="2"/>
      <c r="GX524" s="2"/>
      <c r="GY524" s="2"/>
      <c r="GZ524" s="2"/>
      <c r="HA524" s="2"/>
      <c r="HB524" s="2"/>
      <c r="HC524" s="2"/>
      <c r="HD524" s="2"/>
      <c r="HE524" s="2"/>
      <c r="HF524" s="2"/>
      <c r="HG524" s="2"/>
      <c r="HH524" s="2"/>
      <c r="HI524" s="2"/>
      <c r="HJ524" s="2"/>
      <c r="HK524" s="2"/>
      <c r="HL524" s="2"/>
      <c r="HM524" s="2"/>
      <c r="HN524" s="2"/>
      <c r="HO524" s="2"/>
      <c r="HP524" s="2"/>
      <c r="HQ524" s="2"/>
      <c r="HR524" s="2"/>
      <c r="HS524" s="2"/>
      <c r="HT524" s="2"/>
      <c r="HU524" s="2"/>
      <c r="HV524" s="2"/>
      <c r="HW524" s="2"/>
      <c r="HX524" s="2"/>
      <c r="HY524" s="2"/>
      <c r="HZ524" s="2"/>
      <c r="IA524" s="2"/>
      <c r="IB524" s="2"/>
      <c r="IC524" s="2"/>
    </row>
    <row r="525" spans="1:237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2"/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2"/>
      <c r="EE525" s="2"/>
      <c r="EF525" s="2"/>
      <c r="EG525" s="2"/>
      <c r="EH525" s="2"/>
      <c r="EI525" s="2"/>
      <c r="EJ525" s="2"/>
      <c r="EK525" s="2"/>
      <c r="EL525" s="2"/>
      <c r="EM525" s="2"/>
      <c r="EN525" s="2"/>
      <c r="EO525" s="2"/>
      <c r="EP525" s="2"/>
      <c r="EQ525" s="2"/>
      <c r="ER525" s="2"/>
      <c r="ES525" s="2"/>
      <c r="ET525" s="2"/>
      <c r="EU525" s="2"/>
      <c r="EV525" s="2"/>
      <c r="EW525" s="2"/>
      <c r="EX525" s="2"/>
      <c r="EY525" s="2"/>
      <c r="EZ525" s="2"/>
      <c r="FA525" s="2"/>
      <c r="FB525" s="2"/>
      <c r="FC525" s="2"/>
      <c r="FD525" s="2"/>
      <c r="FE525" s="2"/>
      <c r="FF525" s="2"/>
      <c r="FG525" s="2"/>
      <c r="FH525" s="2"/>
      <c r="FI525" s="2"/>
      <c r="FJ525" s="2"/>
      <c r="FK525" s="2"/>
      <c r="FL525" s="2"/>
      <c r="FM525" s="2"/>
      <c r="FN525" s="2"/>
      <c r="FO525" s="2"/>
      <c r="FP525" s="2"/>
      <c r="FQ525" s="2"/>
      <c r="FR525" s="2"/>
      <c r="FS525" s="2"/>
      <c r="FT525" s="2"/>
      <c r="FU525" s="2"/>
      <c r="FV525" s="2"/>
      <c r="FW525" s="2"/>
      <c r="FX525" s="2"/>
      <c r="FY525" s="2"/>
      <c r="FZ525" s="2"/>
      <c r="GA525" s="2"/>
      <c r="GB525" s="2"/>
      <c r="GC525" s="2"/>
      <c r="GD525" s="2"/>
      <c r="GE525" s="2"/>
      <c r="GF525" s="2"/>
      <c r="GG525" s="2"/>
      <c r="GH525" s="2"/>
      <c r="GI525" s="2"/>
      <c r="GJ525" s="2"/>
      <c r="GK525" s="2"/>
      <c r="GL525" s="2"/>
      <c r="GM525" s="2"/>
      <c r="GN525" s="2"/>
      <c r="GO525" s="2"/>
      <c r="GP525" s="2"/>
      <c r="GQ525" s="2"/>
      <c r="GR525" s="2"/>
      <c r="GS525" s="2"/>
      <c r="GT525" s="2"/>
      <c r="GU525" s="2"/>
      <c r="GV525" s="2"/>
      <c r="GW525" s="2"/>
      <c r="GX525" s="2"/>
      <c r="GY525" s="2"/>
      <c r="GZ525" s="2"/>
      <c r="HA525" s="2"/>
      <c r="HB525" s="2"/>
      <c r="HC525" s="2"/>
      <c r="HD525" s="2"/>
      <c r="HE525" s="2"/>
      <c r="HF525" s="2"/>
      <c r="HG525" s="2"/>
      <c r="HH525" s="2"/>
      <c r="HI525" s="2"/>
      <c r="HJ525" s="2"/>
      <c r="HK525" s="2"/>
      <c r="HL525" s="2"/>
      <c r="HM525" s="2"/>
      <c r="HN525" s="2"/>
      <c r="HO525" s="2"/>
      <c r="HP525" s="2"/>
      <c r="HQ525" s="2"/>
      <c r="HR525" s="2"/>
      <c r="HS525" s="2"/>
      <c r="HT525" s="2"/>
      <c r="HU525" s="2"/>
      <c r="HV525" s="2"/>
      <c r="HW525" s="2"/>
      <c r="HX525" s="2"/>
      <c r="HY525" s="2"/>
      <c r="HZ525" s="2"/>
      <c r="IA525" s="2"/>
      <c r="IB525" s="2"/>
      <c r="IC525" s="2"/>
    </row>
    <row r="526" spans="1:237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2"/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2"/>
      <c r="EE526" s="2"/>
      <c r="EF526" s="2"/>
      <c r="EG526" s="2"/>
      <c r="EH526" s="2"/>
      <c r="EI526" s="2"/>
      <c r="EJ526" s="2"/>
      <c r="EK526" s="2"/>
      <c r="EL526" s="2"/>
      <c r="EM526" s="2"/>
      <c r="EN526" s="2"/>
      <c r="EO526" s="2"/>
      <c r="EP526" s="2"/>
      <c r="EQ526" s="2"/>
      <c r="ER526" s="2"/>
      <c r="ES526" s="2"/>
      <c r="ET526" s="2"/>
      <c r="EU526" s="2"/>
      <c r="EV526" s="2"/>
      <c r="EW526" s="2"/>
      <c r="EX526" s="2"/>
      <c r="EY526" s="2"/>
      <c r="EZ526" s="2"/>
      <c r="FA526" s="2"/>
      <c r="FB526" s="2"/>
      <c r="FC526" s="2"/>
      <c r="FD526" s="2"/>
      <c r="FE526" s="2"/>
      <c r="FF526" s="2"/>
      <c r="FG526" s="2"/>
      <c r="FH526" s="2"/>
      <c r="FI526" s="2"/>
      <c r="FJ526" s="2"/>
      <c r="FK526" s="2"/>
      <c r="FL526" s="2"/>
      <c r="FM526" s="2"/>
      <c r="FN526" s="2"/>
      <c r="FO526" s="2"/>
      <c r="FP526" s="2"/>
      <c r="FQ526" s="2"/>
      <c r="FR526" s="2"/>
      <c r="FS526" s="2"/>
      <c r="FT526" s="2"/>
      <c r="FU526" s="2"/>
      <c r="FV526" s="2"/>
      <c r="FW526" s="2"/>
      <c r="FX526" s="2"/>
      <c r="FY526" s="2"/>
      <c r="FZ526" s="2"/>
      <c r="GA526" s="2"/>
      <c r="GB526" s="2"/>
      <c r="GC526" s="2"/>
      <c r="GD526" s="2"/>
      <c r="GE526" s="2"/>
      <c r="GF526" s="2"/>
      <c r="GG526" s="2"/>
      <c r="GH526" s="2"/>
      <c r="GI526" s="2"/>
      <c r="GJ526" s="2"/>
      <c r="GK526" s="2"/>
      <c r="GL526" s="2"/>
      <c r="GM526" s="2"/>
      <c r="GN526" s="2"/>
      <c r="GO526" s="2"/>
      <c r="GP526" s="2"/>
      <c r="GQ526" s="2"/>
      <c r="GR526" s="2"/>
      <c r="GS526" s="2"/>
      <c r="GT526" s="2"/>
      <c r="GU526" s="2"/>
      <c r="GV526" s="2"/>
      <c r="GW526" s="2"/>
      <c r="GX526" s="2"/>
      <c r="GY526" s="2"/>
      <c r="GZ526" s="2"/>
      <c r="HA526" s="2"/>
      <c r="HB526" s="2"/>
      <c r="HC526" s="2"/>
      <c r="HD526" s="2"/>
      <c r="HE526" s="2"/>
      <c r="HF526" s="2"/>
      <c r="HG526" s="2"/>
      <c r="HH526" s="2"/>
      <c r="HI526" s="2"/>
      <c r="HJ526" s="2"/>
      <c r="HK526" s="2"/>
      <c r="HL526" s="2"/>
      <c r="HM526" s="2"/>
      <c r="HN526" s="2"/>
      <c r="HO526" s="2"/>
      <c r="HP526" s="2"/>
      <c r="HQ526" s="2"/>
      <c r="HR526" s="2"/>
      <c r="HS526" s="2"/>
      <c r="HT526" s="2"/>
      <c r="HU526" s="2"/>
      <c r="HV526" s="2"/>
      <c r="HW526" s="2"/>
      <c r="HX526" s="2"/>
      <c r="HY526" s="2"/>
      <c r="HZ526" s="2"/>
      <c r="IA526" s="2"/>
      <c r="IB526" s="2"/>
      <c r="IC526" s="2"/>
    </row>
    <row r="527" spans="1:237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2"/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2"/>
      <c r="EE527" s="2"/>
      <c r="EF527" s="2"/>
      <c r="EG527" s="2"/>
      <c r="EH527" s="2"/>
      <c r="EI527" s="2"/>
      <c r="EJ527" s="2"/>
      <c r="EK527" s="2"/>
      <c r="EL527" s="2"/>
      <c r="EM527" s="2"/>
      <c r="EN527" s="2"/>
      <c r="EO527" s="2"/>
      <c r="EP527" s="2"/>
      <c r="EQ527" s="2"/>
      <c r="ER527" s="2"/>
      <c r="ES527" s="2"/>
      <c r="ET527" s="2"/>
      <c r="EU527" s="2"/>
      <c r="EV527" s="2"/>
      <c r="EW527" s="2"/>
      <c r="EX527" s="2"/>
      <c r="EY527" s="2"/>
      <c r="EZ527" s="2"/>
      <c r="FA527" s="2"/>
      <c r="FB527" s="2"/>
      <c r="FC527" s="2"/>
      <c r="FD527" s="2"/>
      <c r="FE527" s="2"/>
      <c r="FF527" s="2"/>
      <c r="FG527" s="2"/>
      <c r="FH527" s="2"/>
      <c r="FI527" s="2"/>
      <c r="FJ527" s="2"/>
      <c r="FK527" s="2"/>
      <c r="FL527" s="2"/>
      <c r="FM527" s="2"/>
      <c r="FN527" s="2"/>
      <c r="FO527" s="2"/>
      <c r="FP527" s="2"/>
      <c r="FQ527" s="2"/>
      <c r="FR527" s="2"/>
      <c r="FS527" s="2"/>
      <c r="FT527" s="2"/>
      <c r="FU527" s="2"/>
      <c r="FV527" s="2"/>
      <c r="FW527" s="2"/>
      <c r="FX527" s="2"/>
      <c r="FY527" s="2"/>
      <c r="FZ527" s="2"/>
      <c r="GA527" s="2"/>
      <c r="GB527" s="2"/>
      <c r="GC527" s="2"/>
      <c r="GD527" s="2"/>
      <c r="GE527" s="2"/>
      <c r="GF527" s="2"/>
      <c r="GG527" s="2"/>
      <c r="GH527" s="2"/>
      <c r="GI527" s="2"/>
      <c r="GJ527" s="2"/>
      <c r="GK527" s="2"/>
      <c r="GL527" s="2"/>
      <c r="GM527" s="2"/>
      <c r="GN527" s="2"/>
      <c r="GO527" s="2"/>
      <c r="GP527" s="2"/>
      <c r="GQ527" s="2"/>
      <c r="GR527" s="2"/>
      <c r="GS527" s="2"/>
      <c r="GT527" s="2"/>
      <c r="GU527" s="2"/>
      <c r="GV527" s="2"/>
      <c r="GW527" s="2"/>
      <c r="GX527" s="2"/>
      <c r="GY527" s="2"/>
      <c r="GZ527" s="2"/>
      <c r="HA527" s="2"/>
      <c r="HB527" s="2"/>
      <c r="HC527" s="2"/>
      <c r="HD527" s="2"/>
      <c r="HE527" s="2"/>
      <c r="HF527" s="2"/>
      <c r="HG527" s="2"/>
      <c r="HH527" s="2"/>
      <c r="HI527" s="2"/>
      <c r="HJ527" s="2"/>
      <c r="HK527" s="2"/>
      <c r="HL527" s="2"/>
      <c r="HM527" s="2"/>
      <c r="HN527" s="2"/>
      <c r="HO527" s="2"/>
      <c r="HP527" s="2"/>
      <c r="HQ527" s="2"/>
      <c r="HR527" s="2"/>
      <c r="HS527" s="2"/>
      <c r="HT527" s="2"/>
      <c r="HU527" s="2"/>
      <c r="HV527" s="2"/>
      <c r="HW527" s="2"/>
      <c r="HX527" s="2"/>
      <c r="HY527" s="2"/>
      <c r="HZ527" s="2"/>
      <c r="IA527" s="2"/>
      <c r="IB527" s="2"/>
      <c r="IC527" s="2"/>
    </row>
    <row r="528" spans="1:237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2"/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2"/>
      <c r="EE528" s="2"/>
      <c r="EF528" s="2"/>
      <c r="EG528" s="2"/>
      <c r="EH528" s="2"/>
      <c r="EI528" s="2"/>
      <c r="EJ528" s="2"/>
      <c r="EK528" s="2"/>
      <c r="EL528" s="2"/>
      <c r="EM528" s="2"/>
      <c r="EN528" s="2"/>
      <c r="EO528" s="2"/>
      <c r="EP528" s="2"/>
      <c r="EQ528" s="2"/>
      <c r="ER528" s="2"/>
      <c r="ES528" s="2"/>
      <c r="ET528" s="2"/>
      <c r="EU528" s="2"/>
      <c r="EV528" s="2"/>
      <c r="EW528" s="2"/>
      <c r="EX528" s="2"/>
      <c r="EY528" s="2"/>
      <c r="EZ528" s="2"/>
      <c r="FA528" s="2"/>
      <c r="FB528" s="2"/>
      <c r="FC528" s="2"/>
      <c r="FD528" s="2"/>
      <c r="FE528" s="2"/>
      <c r="FF528" s="2"/>
      <c r="FG528" s="2"/>
      <c r="FH528" s="2"/>
      <c r="FI528" s="2"/>
      <c r="FJ528" s="2"/>
      <c r="FK528" s="2"/>
      <c r="FL528" s="2"/>
      <c r="FM528" s="2"/>
      <c r="FN528" s="2"/>
      <c r="FO528" s="2"/>
      <c r="FP528" s="2"/>
      <c r="FQ528" s="2"/>
      <c r="FR528" s="2"/>
      <c r="FS528" s="2"/>
      <c r="FT528" s="2"/>
      <c r="FU528" s="2"/>
      <c r="FV528" s="2"/>
      <c r="FW528" s="2"/>
      <c r="FX528" s="2"/>
      <c r="FY528" s="2"/>
      <c r="FZ528" s="2"/>
      <c r="GA528" s="2"/>
      <c r="GB528" s="2"/>
      <c r="GC528" s="2"/>
      <c r="GD528" s="2"/>
      <c r="GE528" s="2"/>
      <c r="GF528" s="2"/>
      <c r="GG528" s="2"/>
      <c r="GH528" s="2"/>
      <c r="GI528" s="2"/>
      <c r="GJ528" s="2"/>
      <c r="GK528" s="2"/>
      <c r="GL528" s="2"/>
      <c r="GM528" s="2"/>
      <c r="GN528" s="2"/>
      <c r="GO528" s="2"/>
      <c r="GP528" s="2"/>
      <c r="GQ528" s="2"/>
      <c r="GR528" s="2"/>
      <c r="GS528" s="2"/>
      <c r="GT528" s="2"/>
      <c r="GU528" s="2"/>
      <c r="GV528" s="2"/>
      <c r="GW528" s="2"/>
      <c r="GX528" s="2"/>
      <c r="GY528" s="2"/>
      <c r="GZ528" s="2"/>
      <c r="HA528" s="2"/>
      <c r="HB528" s="2"/>
      <c r="HC528" s="2"/>
      <c r="HD528" s="2"/>
      <c r="HE528" s="2"/>
      <c r="HF528" s="2"/>
      <c r="HG528" s="2"/>
      <c r="HH528" s="2"/>
      <c r="HI528" s="2"/>
      <c r="HJ528" s="2"/>
      <c r="HK528" s="2"/>
      <c r="HL528" s="2"/>
      <c r="HM528" s="2"/>
      <c r="HN528" s="2"/>
      <c r="HO528" s="2"/>
      <c r="HP528" s="2"/>
      <c r="HQ528" s="2"/>
      <c r="HR528" s="2"/>
      <c r="HS528" s="2"/>
      <c r="HT528" s="2"/>
      <c r="HU528" s="2"/>
      <c r="HV528" s="2"/>
      <c r="HW528" s="2"/>
      <c r="HX528" s="2"/>
      <c r="HY528" s="2"/>
      <c r="HZ528" s="2"/>
      <c r="IA528" s="2"/>
      <c r="IB528" s="2"/>
      <c r="IC528" s="2"/>
    </row>
    <row r="529" spans="1:237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2"/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2"/>
      <c r="EE529" s="2"/>
      <c r="EF529" s="2"/>
      <c r="EG529" s="2"/>
      <c r="EH529" s="2"/>
      <c r="EI529" s="2"/>
      <c r="EJ529" s="2"/>
      <c r="EK529" s="2"/>
      <c r="EL529" s="2"/>
      <c r="EM529" s="2"/>
      <c r="EN529" s="2"/>
      <c r="EO529" s="2"/>
      <c r="EP529" s="2"/>
      <c r="EQ529" s="2"/>
      <c r="ER529" s="2"/>
      <c r="ES529" s="2"/>
      <c r="ET529" s="2"/>
      <c r="EU529" s="2"/>
      <c r="EV529" s="2"/>
      <c r="EW529" s="2"/>
      <c r="EX529" s="2"/>
      <c r="EY529" s="2"/>
      <c r="EZ529" s="2"/>
      <c r="FA529" s="2"/>
      <c r="FB529" s="2"/>
      <c r="FC529" s="2"/>
      <c r="FD529" s="2"/>
      <c r="FE529" s="2"/>
      <c r="FF529" s="2"/>
      <c r="FG529" s="2"/>
      <c r="FH529" s="2"/>
      <c r="FI529" s="2"/>
      <c r="FJ529" s="2"/>
      <c r="FK529" s="2"/>
      <c r="FL529" s="2"/>
      <c r="FM529" s="2"/>
      <c r="FN529" s="2"/>
      <c r="FO529" s="2"/>
      <c r="FP529" s="2"/>
      <c r="FQ529" s="2"/>
      <c r="FR529" s="2"/>
      <c r="FS529" s="2"/>
      <c r="FT529" s="2"/>
      <c r="FU529" s="2"/>
      <c r="FV529" s="2"/>
      <c r="FW529" s="2"/>
      <c r="FX529" s="2"/>
      <c r="FY529" s="2"/>
      <c r="FZ529" s="2"/>
      <c r="GA529" s="2"/>
      <c r="GB529" s="2"/>
      <c r="GC529" s="2"/>
      <c r="GD529" s="2"/>
      <c r="GE529" s="2"/>
      <c r="GF529" s="2"/>
      <c r="GG529" s="2"/>
      <c r="GH529" s="2"/>
      <c r="GI529" s="2"/>
      <c r="GJ529" s="2"/>
      <c r="GK529" s="2"/>
      <c r="GL529" s="2"/>
      <c r="GM529" s="2"/>
      <c r="GN529" s="2"/>
      <c r="GO529" s="2"/>
      <c r="GP529" s="2"/>
      <c r="GQ529" s="2"/>
      <c r="GR529" s="2"/>
      <c r="GS529" s="2"/>
      <c r="GT529" s="2"/>
      <c r="GU529" s="2"/>
      <c r="GV529" s="2"/>
      <c r="GW529" s="2"/>
      <c r="GX529" s="2"/>
      <c r="GY529" s="2"/>
      <c r="GZ529" s="2"/>
      <c r="HA529" s="2"/>
      <c r="HB529" s="2"/>
      <c r="HC529" s="2"/>
      <c r="HD529" s="2"/>
      <c r="HE529" s="2"/>
      <c r="HF529" s="2"/>
      <c r="HG529" s="2"/>
      <c r="HH529" s="2"/>
      <c r="HI529" s="2"/>
      <c r="HJ529" s="2"/>
      <c r="HK529" s="2"/>
      <c r="HL529" s="2"/>
      <c r="HM529" s="2"/>
      <c r="HN529" s="2"/>
      <c r="HO529" s="2"/>
      <c r="HP529" s="2"/>
      <c r="HQ529" s="2"/>
      <c r="HR529" s="2"/>
      <c r="HS529" s="2"/>
      <c r="HT529" s="2"/>
      <c r="HU529" s="2"/>
      <c r="HV529" s="2"/>
      <c r="HW529" s="2"/>
      <c r="HX529" s="2"/>
      <c r="HY529" s="2"/>
      <c r="HZ529" s="2"/>
      <c r="IA529" s="2"/>
      <c r="IB529" s="2"/>
      <c r="IC529" s="2"/>
    </row>
    <row r="530" spans="1:237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2"/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2"/>
      <c r="EE530" s="2"/>
      <c r="EF530" s="2"/>
      <c r="EG530" s="2"/>
      <c r="EH530" s="2"/>
      <c r="EI530" s="2"/>
      <c r="EJ530" s="2"/>
      <c r="EK530" s="2"/>
      <c r="EL530" s="2"/>
      <c r="EM530" s="2"/>
      <c r="EN530" s="2"/>
      <c r="EO530" s="2"/>
      <c r="EP530" s="2"/>
      <c r="EQ530" s="2"/>
      <c r="ER530" s="2"/>
      <c r="ES530" s="2"/>
      <c r="ET530" s="2"/>
      <c r="EU530" s="2"/>
      <c r="EV530" s="2"/>
      <c r="EW530" s="2"/>
      <c r="EX530" s="2"/>
      <c r="EY530" s="2"/>
      <c r="EZ530" s="2"/>
      <c r="FA530" s="2"/>
      <c r="FB530" s="2"/>
      <c r="FC530" s="2"/>
      <c r="FD530" s="2"/>
      <c r="FE530" s="2"/>
      <c r="FF530" s="2"/>
      <c r="FG530" s="2"/>
      <c r="FH530" s="2"/>
      <c r="FI530" s="2"/>
      <c r="FJ530" s="2"/>
      <c r="FK530" s="2"/>
      <c r="FL530" s="2"/>
      <c r="FM530" s="2"/>
      <c r="FN530" s="2"/>
      <c r="FO530" s="2"/>
      <c r="FP530" s="2"/>
      <c r="FQ530" s="2"/>
      <c r="FR530" s="2"/>
      <c r="FS530" s="2"/>
      <c r="FT530" s="2"/>
      <c r="FU530" s="2"/>
      <c r="FV530" s="2"/>
      <c r="FW530" s="2"/>
      <c r="FX530" s="2"/>
      <c r="FY530" s="2"/>
      <c r="FZ530" s="2"/>
      <c r="GA530" s="2"/>
      <c r="GB530" s="2"/>
      <c r="GC530" s="2"/>
      <c r="GD530" s="2"/>
      <c r="GE530" s="2"/>
      <c r="GF530" s="2"/>
      <c r="GG530" s="2"/>
      <c r="GH530" s="2"/>
      <c r="GI530" s="2"/>
      <c r="GJ530" s="2"/>
      <c r="GK530" s="2"/>
      <c r="GL530" s="2"/>
      <c r="GM530" s="2"/>
      <c r="GN530" s="2"/>
      <c r="GO530" s="2"/>
      <c r="GP530" s="2"/>
      <c r="GQ530" s="2"/>
      <c r="GR530" s="2"/>
      <c r="GS530" s="2"/>
      <c r="GT530" s="2"/>
      <c r="GU530" s="2"/>
      <c r="GV530" s="2"/>
      <c r="GW530" s="2"/>
      <c r="GX530" s="2"/>
      <c r="GY530" s="2"/>
      <c r="GZ530" s="2"/>
      <c r="HA530" s="2"/>
      <c r="HB530" s="2"/>
      <c r="HC530" s="2"/>
      <c r="HD530" s="2"/>
      <c r="HE530" s="2"/>
      <c r="HF530" s="2"/>
      <c r="HG530" s="2"/>
      <c r="HH530" s="2"/>
      <c r="HI530" s="2"/>
      <c r="HJ530" s="2"/>
      <c r="HK530" s="2"/>
      <c r="HL530" s="2"/>
      <c r="HM530" s="2"/>
      <c r="HN530" s="2"/>
      <c r="HO530" s="2"/>
      <c r="HP530" s="2"/>
      <c r="HQ530" s="2"/>
      <c r="HR530" s="2"/>
      <c r="HS530" s="2"/>
      <c r="HT530" s="2"/>
      <c r="HU530" s="2"/>
      <c r="HV530" s="2"/>
      <c r="HW530" s="2"/>
      <c r="HX530" s="2"/>
      <c r="HY530" s="2"/>
      <c r="HZ530" s="2"/>
      <c r="IA530" s="2"/>
      <c r="IB530" s="2"/>
      <c r="IC530" s="2"/>
    </row>
    <row r="531" spans="1:237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2"/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2"/>
      <c r="EE531" s="2"/>
      <c r="EF531" s="2"/>
      <c r="EG531" s="2"/>
      <c r="EH531" s="2"/>
      <c r="EI531" s="2"/>
      <c r="EJ531" s="2"/>
      <c r="EK531" s="2"/>
      <c r="EL531" s="2"/>
      <c r="EM531" s="2"/>
      <c r="EN531" s="2"/>
      <c r="EO531" s="2"/>
      <c r="EP531" s="2"/>
      <c r="EQ531" s="2"/>
      <c r="ER531" s="2"/>
      <c r="ES531" s="2"/>
      <c r="ET531" s="2"/>
      <c r="EU531" s="2"/>
      <c r="EV531" s="2"/>
      <c r="EW531" s="2"/>
      <c r="EX531" s="2"/>
      <c r="EY531" s="2"/>
      <c r="EZ531" s="2"/>
      <c r="FA531" s="2"/>
      <c r="FB531" s="2"/>
      <c r="FC531" s="2"/>
      <c r="FD531" s="2"/>
      <c r="FE531" s="2"/>
      <c r="FF531" s="2"/>
      <c r="FG531" s="2"/>
      <c r="FH531" s="2"/>
      <c r="FI531" s="2"/>
      <c r="FJ531" s="2"/>
      <c r="FK531" s="2"/>
      <c r="FL531" s="2"/>
      <c r="FM531" s="2"/>
      <c r="FN531" s="2"/>
      <c r="FO531" s="2"/>
      <c r="FP531" s="2"/>
      <c r="FQ531" s="2"/>
      <c r="FR531" s="2"/>
      <c r="FS531" s="2"/>
      <c r="FT531" s="2"/>
      <c r="FU531" s="2"/>
      <c r="FV531" s="2"/>
      <c r="FW531" s="2"/>
      <c r="FX531" s="2"/>
      <c r="FY531" s="2"/>
      <c r="FZ531" s="2"/>
      <c r="GA531" s="2"/>
      <c r="GB531" s="2"/>
      <c r="GC531" s="2"/>
      <c r="GD531" s="2"/>
      <c r="GE531" s="2"/>
      <c r="GF531" s="2"/>
      <c r="GG531" s="2"/>
      <c r="GH531" s="2"/>
      <c r="GI531" s="2"/>
      <c r="GJ531" s="2"/>
      <c r="GK531" s="2"/>
      <c r="GL531" s="2"/>
      <c r="GM531" s="2"/>
      <c r="GN531" s="2"/>
      <c r="GO531" s="2"/>
      <c r="GP531" s="2"/>
      <c r="GQ531" s="2"/>
      <c r="GR531" s="2"/>
      <c r="GS531" s="2"/>
      <c r="GT531" s="2"/>
      <c r="GU531" s="2"/>
      <c r="GV531" s="2"/>
      <c r="GW531" s="2"/>
      <c r="GX531" s="2"/>
      <c r="GY531" s="2"/>
      <c r="GZ531" s="2"/>
      <c r="HA531" s="2"/>
      <c r="HB531" s="2"/>
      <c r="HC531" s="2"/>
      <c r="HD531" s="2"/>
      <c r="HE531" s="2"/>
      <c r="HF531" s="2"/>
      <c r="HG531" s="2"/>
      <c r="HH531" s="2"/>
      <c r="HI531" s="2"/>
      <c r="HJ531" s="2"/>
      <c r="HK531" s="2"/>
      <c r="HL531" s="2"/>
      <c r="HM531" s="2"/>
      <c r="HN531" s="2"/>
      <c r="HO531" s="2"/>
      <c r="HP531" s="2"/>
      <c r="HQ531" s="2"/>
      <c r="HR531" s="2"/>
      <c r="HS531" s="2"/>
      <c r="HT531" s="2"/>
      <c r="HU531" s="2"/>
      <c r="HV531" s="2"/>
      <c r="HW531" s="2"/>
      <c r="HX531" s="2"/>
      <c r="HY531" s="2"/>
      <c r="HZ531" s="2"/>
      <c r="IA531" s="2"/>
      <c r="IB531" s="2"/>
      <c r="IC531" s="2"/>
    </row>
    <row r="532" spans="1:237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2"/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2"/>
      <c r="EE532" s="2"/>
      <c r="EF532" s="2"/>
      <c r="EG532" s="2"/>
      <c r="EH532" s="2"/>
      <c r="EI532" s="2"/>
      <c r="EJ532" s="2"/>
      <c r="EK532" s="2"/>
      <c r="EL532" s="2"/>
      <c r="EM532" s="2"/>
      <c r="EN532" s="2"/>
      <c r="EO532" s="2"/>
      <c r="EP532" s="2"/>
      <c r="EQ532" s="2"/>
      <c r="ER532" s="2"/>
      <c r="ES532" s="2"/>
      <c r="ET532" s="2"/>
      <c r="EU532" s="2"/>
      <c r="EV532" s="2"/>
      <c r="EW532" s="2"/>
      <c r="EX532" s="2"/>
      <c r="EY532" s="2"/>
      <c r="EZ532" s="2"/>
      <c r="FA532" s="2"/>
      <c r="FB532" s="2"/>
      <c r="FC532" s="2"/>
      <c r="FD532" s="2"/>
      <c r="FE532" s="2"/>
      <c r="FF532" s="2"/>
      <c r="FG532" s="2"/>
      <c r="FH532" s="2"/>
      <c r="FI532" s="2"/>
      <c r="FJ532" s="2"/>
      <c r="FK532" s="2"/>
      <c r="FL532" s="2"/>
      <c r="FM532" s="2"/>
      <c r="FN532" s="2"/>
      <c r="FO532" s="2"/>
      <c r="FP532" s="2"/>
      <c r="FQ532" s="2"/>
      <c r="FR532" s="2"/>
      <c r="FS532" s="2"/>
      <c r="FT532" s="2"/>
      <c r="FU532" s="2"/>
      <c r="FV532" s="2"/>
      <c r="FW532" s="2"/>
      <c r="FX532" s="2"/>
      <c r="FY532" s="2"/>
      <c r="FZ532" s="2"/>
      <c r="GA532" s="2"/>
      <c r="GB532" s="2"/>
      <c r="GC532" s="2"/>
      <c r="GD532" s="2"/>
      <c r="GE532" s="2"/>
      <c r="GF532" s="2"/>
      <c r="GG532" s="2"/>
      <c r="GH532" s="2"/>
      <c r="GI532" s="2"/>
      <c r="GJ532" s="2"/>
      <c r="GK532" s="2"/>
      <c r="GL532" s="2"/>
      <c r="GM532" s="2"/>
      <c r="GN532" s="2"/>
      <c r="GO532" s="2"/>
      <c r="GP532" s="2"/>
      <c r="GQ532" s="2"/>
      <c r="GR532" s="2"/>
      <c r="GS532" s="2"/>
      <c r="GT532" s="2"/>
      <c r="GU532" s="2"/>
      <c r="GV532" s="2"/>
      <c r="GW532" s="2"/>
      <c r="GX532" s="2"/>
      <c r="GY532" s="2"/>
      <c r="GZ532" s="2"/>
      <c r="HA532" s="2"/>
      <c r="HB532" s="2"/>
      <c r="HC532" s="2"/>
      <c r="HD532" s="2"/>
      <c r="HE532" s="2"/>
      <c r="HF532" s="2"/>
      <c r="HG532" s="2"/>
      <c r="HH532" s="2"/>
      <c r="HI532" s="2"/>
      <c r="HJ532" s="2"/>
      <c r="HK532" s="2"/>
      <c r="HL532" s="2"/>
      <c r="HM532" s="2"/>
      <c r="HN532" s="2"/>
      <c r="HO532" s="2"/>
      <c r="HP532" s="2"/>
      <c r="HQ532" s="2"/>
      <c r="HR532" s="2"/>
      <c r="HS532" s="2"/>
      <c r="HT532" s="2"/>
      <c r="HU532" s="2"/>
      <c r="HV532" s="2"/>
      <c r="HW532" s="2"/>
      <c r="HX532" s="2"/>
      <c r="HY532" s="2"/>
      <c r="HZ532" s="2"/>
      <c r="IA532" s="2"/>
      <c r="IB532" s="2"/>
      <c r="IC532" s="2"/>
    </row>
    <row r="533" spans="1:237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2"/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2"/>
      <c r="EE533" s="2"/>
      <c r="EF533" s="2"/>
      <c r="EG533" s="2"/>
      <c r="EH533" s="2"/>
      <c r="EI533" s="2"/>
      <c r="EJ533" s="2"/>
      <c r="EK533" s="2"/>
      <c r="EL533" s="2"/>
      <c r="EM533" s="2"/>
      <c r="EN533" s="2"/>
      <c r="EO533" s="2"/>
      <c r="EP533" s="2"/>
      <c r="EQ533" s="2"/>
      <c r="ER533" s="2"/>
      <c r="ES533" s="2"/>
      <c r="ET533" s="2"/>
      <c r="EU533" s="2"/>
      <c r="EV533" s="2"/>
      <c r="EW533" s="2"/>
      <c r="EX533" s="2"/>
      <c r="EY533" s="2"/>
      <c r="EZ533" s="2"/>
      <c r="FA533" s="2"/>
      <c r="FB533" s="2"/>
      <c r="FC533" s="2"/>
      <c r="FD533" s="2"/>
      <c r="FE533" s="2"/>
      <c r="FF533" s="2"/>
      <c r="FG533" s="2"/>
      <c r="FH533" s="2"/>
      <c r="FI533" s="2"/>
      <c r="FJ533" s="2"/>
      <c r="FK533" s="2"/>
      <c r="FL533" s="2"/>
      <c r="FM533" s="2"/>
      <c r="FN533" s="2"/>
      <c r="FO533" s="2"/>
      <c r="FP533" s="2"/>
      <c r="FQ533" s="2"/>
      <c r="FR533" s="2"/>
      <c r="FS533" s="2"/>
      <c r="FT533" s="2"/>
      <c r="FU533" s="2"/>
      <c r="FV533" s="2"/>
      <c r="FW533" s="2"/>
      <c r="FX533" s="2"/>
      <c r="FY533" s="2"/>
      <c r="FZ533" s="2"/>
      <c r="GA533" s="2"/>
      <c r="GB533" s="2"/>
      <c r="GC533" s="2"/>
      <c r="GD533" s="2"/>
      <c r="GE533" s="2"/>
      <c r="GF533" s="2"/>
      <c r="GG533" s="2"/>
      <c r="GH533" s="2"/>
      <c r="GI533" s="2"/>
      <c r="GJ533" s="2"/>
      <c r="GK533" s="2"/>
      <c r="GL533" s="2"/>
      <c r="GM533" s="2"/>
      <c r="GN533" s="2"/>
      <c r="GO533" s="2"/>
      <c r="GP533" s="2"/>
      <c r="GQ533" s="2"/>
      <c r="GR533" s="2"/>
      <c r="GS533" s="2"/>
      <c r="GT533" s="2"/>
      <c r="GU533" s="2"/>
      <c r="GV533" s="2"/>
      <c r="GW533" s="2"/>
      <c r="GX533" s="2"/>
      <c r="GY533" s="2"/>
      <c r="GZ533" s="2"/>
      <c r="HA533" s="2"/>
      <c r="HB533" s="2"/>
      <c r="HC533" s="2"/>
      <c r="HD533" s="2"/>
      <c r="HE533" s="2"/>
      <c r="HF533" s="2"/>
      <c r="HG533" s="2"/>
      <c r="HH533" s="2"/>
      <c r="HI533" s="2"/>
      <c r="HJ533" s="2"/>
      <c r="HK533" s="2"/>
      <c r="HL533" s="2"/>
      <c r="HM533" s="2"/>
      <c r="HN533" s="2"/>
      <c r="HO533" s="2"/>
      <c r="HP533" s="2"/>
      <c r="HQ533" s="2"/>
      <c r="HR533" s="2"/>
      <c r="HS533" s="2"/>
      <c r="HT533" s="2"/>
      <c r="HU533" s="2"/>
      <c r="HV533" s="2"/>
      <c r="HW533" s="2"/>
      <c r="HX533" s="2"/>
      <c r="HY533" s="2"/>
      <c r="HZ533" s="2"/>
      <c r="IA533" s="2"/>
      <c r="IB533" s="2"/>
      <c r="IC533" s="2"/>
    </row>
    <row r="534" spans="1:237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2"/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2"/>
      <c r="EE534" s="2"/>
      <c r="EF534" s="2"/>
      <c r="EG534" s="2"/>
      <c r="EH534" s="2"/>
      <c r="EI534" s="2"/>
      <c r="EJ534" s="2"/>
      <c r="EK534" s="2"/>
      <c r="EL534" s="2"/>
      <c r="EM534" s="2"/>
      <c r="EN534" s="2"/>
      <c r="EO534" s="2"/>
      <c r="EP534" s="2"/>
      <c r="EQ534" s="2"/>
      <c r="ER534" s="2"/>
      <c r="ES534" s="2"/>
      <c r="ET534" s="2"/>
      <c r="EU534" s="2"/>
      <c r="EV534" s="2"/>
      <c r="EW534" s="2"/>
      <c r="EX534" s="2"/>
      <c r="EY534" s="2"/>
      <c r="EZ534" s="2"/>
      <c r="FA534" s="2"/>
      <c r="FB534" s="2"/>
      <c r="FC534" s="2"/>
      <c r="FD534" s="2"/>
      <c r="FE534" s="2"/>
      <c r="FF534" s="2"/>
      <c r="FG534" s="2"/>
      <c r="FH534" s="2"/>
      <c r="FI534" s="2"/>
      <c r="FJ534" s="2"/>
      <c r="FK534" s="2"/>
      <c r="FL534" s="2"/>
      <c r="FM534" s="2"/>
      <c r="FN534" s="2"/>
      <c r="FO534" s="2"/>
      <c r="FP534" s="2"/>
      <c r="FQ534" s="2"/>
      <c r="FR534" s="2"/>
      <c r="FS534" s="2"/>
      <c r="FT534" s="2"/>
      <c r="FU534" s="2"/>
      <c r="FV534" s="2"/>
      <c r="FW534" s="2"/>
      <c r="FX534" s="2"/>
      <c r="FY534" s="2"/>
      <c r="FZ534" s="2"/>
      <c r="GA534" s="2"/>
      <c r="GB534" s="2"/>
      <c r="GC534" s="2"/>
      <c r="GD534" s="2"/>
      <c r="GE534" s="2"/>
      <c r="GF534" s="2"/>
      <c r="GG534" s="2"/>
      <c r="GH534" s="2"/>
      <c r="GI534" s="2"/>
      <c r="GJ534" s="2"/>
      <c r="GK534" s="2"/>
      <c r="GL534" s="2"/>
      <c r="GM534" s="2"/>
      <c r="GN534" s="2"/>
      <c r="GO534" s="2"/>
      <c r="GP534" s="2"/>
      <c r="GQ534" s="2"/>
      <c r="GR534" s="2"/>
      <c r="GS534" s="2"/>
      <c r="GT534" s="2"/>
      <c r="GU534" s="2"/>
      <c r="GV534" s="2"/>
      <c r="GW534" s="2"/>
      <c r="GX534" s="2"/>
      <c r="GY534" s="2"/>
      <c r="GZ534" s="2"/>
      <c r="HA534" s="2"/>
      <c r="HB534" s="2"/>
      <c r="HC534" s="2"/>
      <c r="HD534" s="2"/>
      <c r="HE534" s="2"/>
      <c r="HF534" s="2"/>
      <c r="HG534" s="2"/>
      <c r="HH534" s="2"/>
      <c r="HI534" s="2"/>
      <c r="HJ534" s="2"/>
      <c r="HK534" s="2"/>
      <c r="HL534" s="2"/>
      <c r="HM534" s="2"/>
      <c r="HN534" s="2"/>
      <c r="HO534" s="2"/>
      <c r="HP534" s="2"/>
      <c r="HQ534" s="2"/>
      <c r="HR534" s="2"/>
      <c r="HS534" s="2"/>
      <c r="HT534" s="2"/>
      <c r="HU534" s="2"/>
      <c r="HV534" s="2"/>
      <c r="HW534" s="2"/>
      <c r="HX534" s="2"/>
      <c r="HY534" s="2"/>
      <c r="HZ534" s="2"/>
      <c r="IA534" s="2"/>
      <c r="IB534" s="2"/>
      <c r="IC534" s="2"/>
    </row>
    <row r="535" spans="1:237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2"/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2"/>
      <c r="EE535" s="2"/>
      <c r="EF535" s="2"/>
      <c r="EG535" s="2"/>
      <c r="EH535" s="2"/>
      <c r="EI535" s="2"/>
      <c r="EJ535" s="2"/>
      <c r="EK535" s="2"/>
      <c r="EL535" s="2"/>
      <c r="EM535" s="2"/>
      <c r="EN535" s="2"/>
      <c r="EO535" s="2"/>
      <c r="EP535" s="2"/>
      <c r="EQ535" s="2"/>
      <c r="ER535" s="2"/>
      <c r="ES535" s="2"/>
      <c r="ET535" s="2"/>
      <c r="EU535" s="2"/>
      <c r="EV535" s="2"/>
      <c r="EW535" s="2"/>
      <c r="EX535" s="2"/>
      <c r="EY535" s="2"/>
      <c r="EZ535" s="2"/>
      <c r="FA535" s="2"/>
      <c r="FB535" s="2"/>
      <c r="FC535" s="2"/>
      <c r="FD535" s="2"/>
      <c r="FE535" s="2"/>
      <c r="FF535" s="2"/>
      <c r="FG535" s="2"/>
      <c r="FH535" s="2"/>
      <c r="FI535" s="2"/>
      <c r="FJ535" s="2"/>
      <c r="FK535" s="2"/>
      <c r="FL535" s="2"/>
      <c r="FM535" s="2"/>
      <c r="FN535" s="2"/>
      <c r="FO535" s="2"/>
      <c r="FP535" s="2"/>
      <c r="FQ535" s="2"/>
      <c r="FR535" s="2"/>
      <c r="FS535" s="2"/>
      <c r="FT535" s="2"/>
      <c r="FU535" s="2"/>
      <c r="FV535" s="2"/>
      <c r="FW535" s="2"/>
      <c r="FX535" s="2"/>
      <c r="FY535" s="2"/>
      <c r="FZ535" s="2"/>
      <c r="GA535" s="2"/>
      <c r="GB535" s="2"/>
      <c r="GC535" s="2"/>
      <c r="GD535" s="2"/>
      <c r="GE535" s="2"/>
      <c r="GF535" s="2"/>
      <c r="GG535" s="2"/>
      <c r="GH535" s="2"/>
      <c r="GI535" s="2"/>
      <c r="GJ535" s="2"/>
      <c r="GK535" s="2"/>
      <c r="GL535" s="2"/>
      <c r="GM535" s="2"/>
      <c r="GN535" s="2"/>
      <c r="GO535" s="2"/>
      <c r="GP535" s="2"/>
      <c r="GQ535" s="2"/>
      <c r="GR535" s="2"/>
      <c r="GS535" s="2"/>
      <c r="GT535" s="2"/>
      <c r="GU535" s="2"/>
      <c r="GV535" s="2"/>
      <c r="GW535" s="2"/>
      <c r="GX535" s="2"/>
      <c r="GY535" s="2"/>
      <c r="GZ535" s="2"/>
      <c r="HA535" s="2"/>
      <c r="HB535" s="2"/>
      <c r="HC535" s="2"/>
      <c r="HD535" s="2"/>
      <c r="HE535" s="2"/>
      <c r="HF535" s="2"/>
      <c r="HG535" s="2"/>
      <c r="HH535" s="2"/>
      <c r="HI535" s="2"/>
      <c r="HJ535" s="2"/>
      <c r="HK535" s="2"/>
      <c r="HL535" s="2"/>
      <c r="HM535" s="2"/>
      <c r="HN535" s="2"/>
      <c r="HO535" s="2"/>
      <c r="HP535" s="2"/>
      <c r="HQ535" s="2"/>
      <c r="HR535" s="2"/>
      <c r="HS535" s="2"/>
      <c r="HT535" s="2"/>
      <c r="HU535" s="2"/>
      <c r="HV535" s="2"/>
      <c r="HW535" s="2"/>
      <c r="HX535" s="2"/>
      <c r="HY535" s="2"/>
      <c r="HZ535" s="2"/>
      <c r="IA535" s="2"/>
      <c r="IB535" s="2"/>
      <c r="IC535" s="2"/>
    </row>
    <row r="536" spans="1:237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2"/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2"/>
      <c r="EE536" s="2"/>
      <c r="EF536" s="2"/>
      <c r="EG536" s="2"/>
      <c r="EH536" s="2"/>
      <c r="EI536" s="2"/>
      <c r="EJ536" s="2"/>
      <c r="EK536" s="2"/>
      <c r="EL536" s="2"/>
      <c r="EM536" s="2"/>
      <c r="EN536" s="2"/>
      <c r="EO536" s="2"/>
      <c r="EP536" s="2"/>
      <c r="EQ536" s="2"/>
      <c r="ER536" s="2"/>
      <c r="ES536" s="2"/>
      <c r="ET536" s="2"/>
      <c r="EU536" s="2"/>
      <c r="EV536" s="2"/>
      <c r="EW536" s="2"/>
      <c r="EX536" s="2"/>
      <c r="EY536" s="2"/>
      <c r="EZ536" s="2"/>
      <c r="FA536" s="2"/>
      <c r="FB536" s="2"/>
      <c r="FC536" s="2"/>
      <c r="FD536" s="2"/>
      <c r="FE536" s="2"/>
      <c r="FF536" s="2"/>
      <c r="FG536" s="2"/>
      <c r="FH536" s="2"/>
      <c r="FI536" s="2"/>
      <c r="FJ536" s="2"/>
      <c r="FK536" s="2"/>
      <c r="FL536" s="2"/>
      <c r="FM536" s="2"/>
      <c r="FN536" s="2"/>
      <c r="FO536" s="2"/>
      <c r="FP536" s="2"/>
      <c r="FQ536" s="2"/>
      <c r="FR536" s="2"/>
      <c r="FS536" s="2"/>
      <c r="FT536" s="2"/>
      <c r="FU536" s="2"/>
      <c r="FV536" s="2"/>
      <c r="FW536" s="2"/>
      <c r="FX536" s="2"/>
      <c r="FY536" s="2"/>
      <c r="FZ536" s="2"/>
      <c r="GA536" s="2"/>
      <c r="GB536" s="2"/>
      <c r="GC536" s="2"/>
      <c r="GD536" s="2"/>
      <c r="GE536" s="2"/>
      <c r="GF536" s="2"/>
      <c r="GG536" s="2"/>
      <c r="GH536" s="2"/>
      <c r="GI536" s="2"/>
      <c r="GJ536" s="2"/>
      <c r="GK536" s="2"/>
      <c r="GL536" s="2"/>
      <c r="GM536" s="2"/>
      <c r="GN536" s="2"/>
      <c r="GO536" s="2"/>
      <c r="GP536" s="2"/>
      <c r="GQ536" s="2"/>
      <c r="GR536" s="2"/>
      <c r="GS536" s="2"/>
      <c r="GT536" s="2"/>
      <c r="GU536" s="2"/>
      <c r="GV536" s="2"/>
      <c r="GW536" s="2"/>
      <c r="GX536" s="2"/>
      <c r="GY536" s="2"/>
      <c r="GZ536" s="2"/>
      <c r="HA536" s="2"/>
      <c r="HB536" s="2"/>
      <c r="HC536" s="2"/>
      <c r="HD536" s="2"/>
      <c r="HE536" s="2"/>
      <c r="HF536" s="2"/>
      <c r="HG536" s="2"/>
      <c r="HH536" s="2"/>
      <c r="HI536" s="2"/>
      <c r="HJ536" s="2"/>
      <c r="HK536" s="2"/>
      <c r="HL536" s="2"/>
      <c r="HM536" s="2"/>
      <c r="HN536" s="2"/>
      <c r="HO536" s="2"/>
      <c r="HP536" s="2"/>
      <c r="HQ536" s="2"/>
      <c r="HR536" s="2"/>
      <c r="HS536" s="2"/>
      <c r="HT536" s="2"/>
      <c r="HU536" s="2"/>
      <c r="HV536" s="2"/>
      <c r="HW536" s="2"/>
      <c r="HX536" s="2"/>
      <c r="HY536" s="2"/>
      <c r="HZ536" s="2"/>
      <c r="IA536" s="2"/>
      <c r="IB536" s="2"/>
      <c r="IC536" s="2"/>
    </row>
    <row r="537" spans="1:237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2"/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2"/>
      <c r="EE537" s="2"/>
      <c r="EF537" s="2"/>
      <c r="EG537" s="2"/>
      <c r="EH537" s="2"/>
      <c r="EI537" s="2"/>
      <c r="EJ537" s="2"/>
      <c r="EK537" s="2"/>
      <c r="EL537" s="2"/>
      <c r="EM537" s="2"/>
      <c r="EN537" s="2"/>
      <c r="EO537" s="2"/>
      <c r="EP537" s="2"/>
      <c r="EQ537" s="2"/>
      <c r="ER537" s="2"/>
      <c r="ES537" s="2"/>
      <c r="ET537" s="2"/>
      <c r="EU537" s="2"/>
      <c r="EV537" s="2"/>
      <c r="EW537" s="2"/>
      <c r="EX537" s="2"/>
      <c r="EY537" s="2"/>
      <c r="EZ537" s="2"/>
      <c r="FA537" s="2"/>
      <c r="FB537" s="2"/>
      <c r="FC537" s="2"/>
      <c r="FD537" s="2"/>
      <c r="FE537" s="2"/>
      <c r="FF537" s="2"/>
      <c r="FG537" s="2"/>
      <c r="FH537" s="2"/>
      <c r="FI537" s="2"/>
      <c r="FJ537" s="2"/>
      <c r="FK537" s="2"/>
      <c r="FL537" s="2"/>
      <c r="FM537" s="2"/>
      <c r="FN537" s="2"/>
      <c r="FO537" s="2"/>
      <c r="FP537" s="2"/>
      <c r="FQ537" s="2"/>
      <c r="FR537" s="2"/>
      <c r="FS537" s="2"/>
      <c r="FT537" s="2"/>
      <c r="FU537" s="2"/>
      <c r="FV537" s="2"/>
      <c r="FW537" s="2"/>
      <c r="FX537" s="2"/>
      <c r="FY537" s="2"/>
      <c r="FZ537" s="2"/>
      <c r="GA537" s="2"/>
      <c r="GB537" s="2"/>
      <c r="GC537" s="2"/>
      <c r="GD537" s="2"/>
      <c r="GE537" s="2"/>
      <c r="GF537" s="2"/>
      <c r="GG537" s="2"/>
      <c r="GH537" s="2"/>
      <c r="GI537" s="2"/>
      <c r="GJ537" s="2"/>
      <c r="GK537" s="2"/>
      <c r="GL537" s="2"/>
      <c r="GM537" s="2"/>
      <c r="GN537" s="2"/>
      <c r="GO537" s="2"/>
      <c r="GP537" s="2"/>
      <c r="GQ537" s="2"/>
      <c r="GR537" s="2"/>
      <c r="GS537" s="2"/>
      <c r="GT537" s="2"/>
      <c r="GU537" s="2"/>
      <c r="GV537" s="2"/>
      <c r="GW537" s="2"/>
      <c r="GX537" s="2"/>
      <c r="GY537" s="2"/>
      <c r="GZ537" s="2"/>
      <c r="HA537" s="2"/>
      <c r="HB537" s="2"/>
      <c r="HC537" s="2"/>
      <c r="HD537" s="2"/>
      <c r="HE537" s="2"/>
      <c r="HF537" s="2"/>
      <c r="HG537" s="2"/>
      <c r="HH537" s="2"/>
      <c r="HI537" s="2"/>
      <c r="HJ537" s="2"/>
      <c r="HK537" s="2"/>
      <c r="HL537" s="2"/>
      <c r="HM537" s="2"/>
      <c r="HN537" s="2"/>
      <c r="HO537" s="2"/>
      <c r="HP537" s="2"/>
      <c r="HQ537" s="2"/>
      <c r="HR537" s="2"/>
      <c r="HS537" s="2"/>
      <c r="HT537" s="2"/>
      <c r="HU537" s="2"/>
      <c r="HV537" s="2"/>
      <c r="HW537" s="2"/>
      <c r="HX537" s="2"/>
      <c r="HY537" s="2"/>
      <c r="HZ537" s="2"/>
      <c r="IA537" s="2"/>
      <c r="IB537" s="2"/>
      <c r="IC537" s="2"/>
    </row>
    <row r="538" spans="1:237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2"/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2"/>
      <c r="EE538" s="2"/>
      <c r="EF538" s="2"/>
      <c r="EG538" s="2"/>
      <c r="EH538" s="2"/>
      <c r="EI538" s="2"/>
      <c r="EJ538" s="2"/>
      <c r="EK538" s="2"/>
      <c r="EL538" s="2"/>
      <c r="EM538" s="2"/>
      <c r="EN538" s="2"/>
      <c r="EO538" s="2"/>
      <c r="EP538" s="2"/>
      <c r="EQ538" s="2"/>
      <c r="ER538" s="2"/>
      <c r="ES538" s="2"/>
      <c r="ET538" s="2"/>
      <c r="EU538" s="2"/>
      <c r="EV538" s="2"/>
      <c r="EW538" s="2"/>
      <c r="EX538" s="2"/>
      <c r="EY538" s="2"/>
      <c r="EZ538" s="2"/>
      <c r="FA538" s="2"/>
      <c r="FB538" s="2"/>
      <c r="FC538" s="2"/>
      <c r="FD538" s="2"/>
      <c r="FE538" s="2"/>
      <c r="FF538" s="2"/>
      <c r="FG538" s="2"/>
      <c r="FH538" s="2"/>
      <c r="FI538" s="2"/>
      <c r="FJ538" s="2"/>
      <c r="FK538" s="2"/>
      <c r="FL538" s="2"/>
      <c r="FM538" s="2"/>
      <c r="FN538" s="2"/>
      <c r="FO538" s="2"/>
      <c r="FP538" s="2"/>
      <c r="FQ538" s="2"/>
      <c r="FR538" s="2"/>
      <c r="FS538" s="2"/>
      <c r="FT538" s="2"/>
      <c r="FU538" s="2"/>
      <c r="FV538" s="2"/>
      <c r="FW538" s="2"/>
      <c r="FX538" s="2"/>
      <c r="FY538" s="2"/>
      <c r="FZ538" s="2"/>
      <c r="GA538" s="2"/>
      <c r="GB538" s="2"/>
      <c r="GC538" s="2"/>
      <c r="GD538" s="2"/>
      <c r="GE538" s="2"/>
      <c r="GF538" s="2"/>
      <c r="GG538" s="2"/>
      <c r="GH538" s="2"/>
      <c r="GI538" s="2"/>
      <c r="GJ538" s="2"/>
      <c r="GK538" s="2"/>
      <c r="GL538" s="2"/>
      <c r="GM538" s="2"/>
      <c r="GN538" s="2"/>
      <c r="GO538" s="2"/>
      <c r="GP538" s="2"/>
      <c r="GQ538" s="2"/>
      <c r="GR538" s="2"/>
      <c r="GS538" s="2"/>
      <c r="GT538" s="2"/>
      <c r="GU538" s="2"/>
      <c r="GV538" s="2"/>
      <c r="GW538" s="2"/>
      <c r="GX538" s="2"/>
      <c r="GY538" s="2"/>
      <c r="GZ538" s="2"/>
      <c r="HA538" s="2"/>
      <c r="HB538" s="2"/>
      <c r="HC538" s="2"/>
      <c r="HD538" s="2"/>
      <c r="HE538" s="2"/>
      <c r="HF538" s="2"/>
      <c r="HG538" s="2"/>
      <c r="HH538" s="2"/>
      <c r="HI538" s="2"/>
      <c r="HJ538" s="2"/>
      <c r="HK538" s="2"/>
      <c r="HL538" s="2"/>
      <c r="HM538" s="2"/>
      <c r="HN538" s="2"/>
      <c r="HO538" s="2"/>
      <c r="HP538" s="2"/>
      <c r="HQ538" s="2"/>
      <c r="HR538" s="2"/>
      <c r="HS538" s="2"/>
      <c r="HT538" s="2"/>
      <c r="HU538" s="2"/>
      <c r="HV538" s="2"/>
      <c r="HW538" s="2"/>
      <c r="HX538" s="2"/>
      <c r="HY538" s="2"/>
      <c r="HZ538" s="2"/>
      <c r="IA538" s="2"/>
      <c r="IB538" s="2"/>
      <c r="IC538" s="2"/>
    </row>
    <row r="539" spans="1:237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2"/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2"/>
      <c r="EE539" s="2"/>
      <c r="EF539" s="2"/>
      <c r="EG539" s="2"/>
      <c r="EH539" s="2"/>
      <c r="EI539" s="2"/>
      <c r="EJ539" s="2"/>
      <c r="EK539" s="2"/>
      <c r="EL539" s="2"/>
      <c r="EM539" s="2"/>
      <c r="EN539" s="2"/>
      <c r="EO539" s="2"/>
      <c r="EP539" s="2"/>
      <c r="EQ539" s="2"/>
      <c r="ER539" s="2"/>
      <c r="ES539" s="2"/>
      <c r="ET539" s="2"/>
      <c r="EU539" s="2"/>
      <c r="EV539" s="2"/>
      <c r="EW539" s="2"/>
      <c r="EX539" s="2"/>
      <c r="EY539" s="2"/>
      <c r="EZ539" s="2"/>
      <c r="FA539" s="2"/>
      <c r="FB539" s="2"/>
      <c r="FC539" s="2"/>
      <c r="FD539" s="2"/>
      <c r="FE539" s="2"/>
      <c r="FF539" s="2"/>
      <c r="FG539" s="2"/>
      <c r="FH539" s="2"/>
      <c r="FI539" s="2"/>
      <c r="FJ539" s="2"/>
      <c r="FK539" s="2"/>
      <c r="FL539" s="2"/>
      <c r="FM539" s="2"/>
      <c r="FN539" s="2"/>
      <c r="FO539" s="2"/>
      <c r="FP539" s="2"/>
      <c r="FQ539" s="2"/>
      <c r="FR539" s="2"/>
      <c r="FS539" s="2"/>
      <c r="FT539" s="2"/>
      <c r="FU539" s="2"/>
      <c r="FV539" s="2"/>
      <c r="FW539" s="2"/>
      <c r="FX539" s="2"/>
      <c r="FY539" s="2"/>
      <c r="FZ539" s="2"/>
      <c r="GA539" s="2"/>
      <c r="GB539" s="2"/>
      <c r="GC539" s="2"/>
      <c r="GD539" s="2"/>
      <c r="GE539" s="2"/>
      <c r="GF539" s="2"/>
      <c r="GG539" s="2"/>
      <c r="GH539" s="2"/>
      <c r="GI539" s="2"/>
      <c r="GJ539" s="2"/>
      <c r="GK539" s="2"/>
      <c r="GL539" s="2"/>
      <c r="GM539" s="2"/>
      <c r="GN539" s="2"/>
      <c r="GO539" s="2"/>
      <c r="GP539" s="2"/>
      <c r="GQ539" s="2"/>
      <c r="GR539" s="2"/>
      <c r="GS539" s="2"/>
      <c r="GT539" s="2"/>
      <c r="GU539" s="2"/>
      <c r="GV539" s="2"/>
      <c r="GW539" s="2"/>
      <c r="GX539" s="2"/>
      <c r="GY539" s="2"/>
      <c r="GZ539" s="2"/>
      <c r="HA539" s="2"/>
      <c r="HB539" s="2"/>
      <c r="HC539" s="2"/>
      <c r="HD539" s="2"/>
      <c r="HE539" s="2"/>
      <c r="HF539" s="2"/>
      <c r="HG539" s="2"/>
      <c r="HH539" s="2"/>
      <c r="HI539" s="2"/>
      <c r="HJ539" s="2"/>
      <c r="HK539" s="2"/>
      <c r="HL539" s="2"/>
      <c r="HM539" s="2"/>
      <c r="HN539" s="2"/>
      <c r="HO539" s="2"/>
      <c r="HP539" s="2"/>
      <c r="HQ539" s="2"/>
      <c r="HR539" s="2"/>
      <c r="HS539" s="2"/>
      <c r="HT539" s="2"/>
      <c r="HU539" s="2"/>
      <c r="HV539" s="2"/>
      <c r="HW539" s="2"/>
      <c r="HX539" s="2"/>
      <c r="HY539" s="2"/>
      <c r="HZ539" s="2"/>
      <c r="IA539" s="2"/>
      <c r="IB539" s="2"/>
      <c r="IC539" s="2"/>
    </row>
    <row r="540" spans="1:237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2"/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2"/>
      <c r="EE540" s="2"/>
      <c r="EF540" s="2"/>
      <c r="EG540" s="2"/>
      <c r="EH540" s="2"/>
      <c r="EI540" s="2"/>
      <c r="EJ540" s="2"/>
      <c r="EK540" s="2"/>
      <c r="EL540" s="2"/>
      <c r="EM540" s="2"/>
      <c r="EN540" s="2"/>
      <c r="EO540" s="2"/>
      <c r="EP540" s="2"/>
      <c r="EQ540" s="2"/>
      <c r="ER540" s="2"/>
      <c r="ES540" s="2"/>
      <c r="ET540" s="2"/>
      <c r="EU540" s="2"/>
      <c r="EV540" s="2"/>
      <c r="EW540" s="2"/>
      <c r="EX540" s="2"/>
      <c r="EY540" s="2"/>
      <c r="EZ540" s="2"/>
      <c r="FA540" s="2"/>
      <c r="FB540" s="2"/>
      <c r="FC540" s="2"/>
      <c r="FD540" s="2"/>
      <c r="FE540" s="2"/>
      <c r="FF540" s="2"/>
      <c r="FG540" s="2"/>
      <c r="FH540" s="2"/>
      <c r="FI540" s="2"/>
      <c r="FJ540" s="2"/>
      <c r="FK540" s="2"/>
      <c r="FL540" s="2"/>
      <c r="FM540" s="2"/>
      <c r="FN540" s="2"/>
      <c r="FO540" s="2"/>
      <c r="FP540" s="2"/>
      <c r="FQ540" s="2"/>
      <c r="FR540" s="2"/>
      <c r="FS540" s="2"/>
      <c r="FT540" s="2"/>
      <c r="FU540" s="2"/>
      <c r="FV540" s="2"/>
      <c r="FW540" s="2"/>
      <c r="FX540" s="2"/>
      <c r="FY540" s="2"/>
      <c r="FZ540" s="2"/>
      <c r="GA540" s="2"/>
      <c r="GB540" s="2"/>
      <c r="GC540" s="2"/>
      <c r="GD540" s="2"/>
      <c r="GE540" s="2"/>
      <c r="GF540" s="2"/>
      <c r="GG540" s="2"/>
      <c r="GH540" s="2"/>
      <c r="GI540" s="2"/>
      <c r="GJ540" s="2"/>
      <c r="GK540" s="2"/>
      <c r="GL540" s="2"/>
      <c r="GM540" s="2"/>
      <c r="GN540" s="2"/>
      <c r="GO540" s="2"/>
      <c r="GP540" s="2"/>
      <c r="GQ540" s="2"/>
      <c r="GR540" s="2"/>
      <c r="GS540" s="2"/>
      <c r="GT540" s="2"/>
      <c r="GU540" s="2"/>
      <c r="GV540" s="2"/>
      <c r="GW540" s="2"/>
      <c r="GX540" s="2"/>
      <c r="GY540" s="2"/>
      <c r="GZ540" s="2"/>
      <c r="HA540" s="2"/>
      <c r="HB540" s="2"/>
      <c r="HC540" s="2"/>
      <c r="HD540" s="2"/>
      <c r="HE540" s="2"/>
      <c r="HF540" s="2"/>
      <c r="HG540" s="2"/>
      <c r="HH540" s="2"/>
      <c r="HI540" s="2"/>
      <c r="HJ540" s="2"/>
      <c r="HK540" s="2"/>
      <c r="HL540" s="2"/>
      <c r="HM540" s="2"/>
      <c r="HN540" s="2"/>
      <c r="HO540" s="2"/>
      <c r="HP540" s="2"/>
      <c r="HQ540" s="2"/>
      <c r="HR540" s="2"/>
      <c r="HS540" s="2"/>
      <c r="HT540" s="2"/>
      <c r="HU540" s="2"/>
      <c r="HV540" s="2"/>
      <c r="HW540" s="2"/>
      <c r="HX540" s="2"/>
      <c r="HY540" s="2"/>
      <c r="HZ540" s="2"/>
      <c r="IA540" s="2"/>
      <c r="IB540" s="2"/>
      <c r="IC540" s="2"/>
    </row>
    <row r="541" spans="1:237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2"/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2"/>
      <c r="EE541" s="2"/>
      <c r="EF541" s="2"/>
      <c r="EG541" s="2"/>
      <c r="EH541" s="2"/>
      <c r="EI541" s="2"/>
      <c r="EJ541" s="2"/>
      <c r="EK541" s="2"/>
      <c r="EL541" s="2"/>
      <c r="EM541" s="2"/>
      <c r="EN541" s="2"/>
      <c r="EO541" s="2"/>
      <c r="EP541" s="2"/>
      <c r="EQ541" s="2"/>
      <c r="ER541" s="2"/>
      <c r="ES541" s="2"/>
      <c r="ET541" s="2"/>
      <c r="EU541" s="2"/>
      <c r="EV541" s="2"/>
      <c r="EW541" s="2"/>
      <c r="EX541" s="2"/>
      <c r="EY541" s="2"/>
      <c r="EZ541" s="2"/>
      <c r="FA541" s="2"/>
      <c r="FB541" s="2"/>
      <c r="FC541" s="2"/>
      <c r="FD541" s="2"/>
      <c r="FE541" s="2"/>
      <c r="FF541" s="2"/>
      <c r="FG541" s="2"/>
      <c r="FH541" s="2"/>
      <c r="FI541" s="2"/>
      <c r="FJ541" s="2"/>
      <c r="FK541" s="2"/>
      <c r="FL541" s="2"/>
      <c r="FM541" s="2"/>
      <c r="FN541" s="2"/>
      <c r="FO541" s="2"/>
      <c r="FP541" s="2"/>
      <c r="FQ541" s="2"/>
      <c r="FR541" s="2"/>
      <c r="FS541" s="2"/>
      <c r="FT541" s="2"/>
      <c r="FU541" s="2"/>
      <c r="FV541" s="2"/>
      <c r="FW541" s="2"/>
      <c r="FX541" s="2"/>
      <c r="FY541" s="2"/>
      <c r="FZ541" s="2"/>
      <c r="GA541" s="2"/>
      <c r="GB541" s="2"/>
      <c r="GC541" s="2"/>
      <c r="GD541" s="2"/>
      <c r="GE541" s="2"/>
      <c r="GF541" s="2"/>
      <c r="GG541" s="2"/>
      <c r="GH541" s="2"/>
      <c r="GI541" s="2"/>
      <c r="GJ541" s="2"/>
      <c r="GK541" s="2"/>
      <c r="GL541" s="2"/>
      <c r="GM541" s="2"/>
      <c r="GN541" s="2"/>
      <c r="GO541" s="2"/>
      <c r="GP541" s="2"/>
      <c r="GQ541" s="2"/>
      <c r="GR541" s="2"/>
      <c r="GS541" s="2"/>
      <c r="GT541" s="2"/>
      <c r="GU541" s="2"/>
      <c r="GV541" s="2"/>
      <c r="GW541" s="2"/>
      <c r="GX541" s="2"/>
      <c r="GY541" s="2"/>
      <c r="GZ541" s="2"/>
      <c r="HA541" s="2"/>
      <c r="HB541" s="2"/>
      <c r="HC541" s="2"/>
      <c r="HD541" s="2"/>
      <c r="HE541" s="2"/>
      <c r="HF541" s="2"/>
      <c r="HG541" s="2"/>
      <c r="HH541" s="2"/>
      <c r="HI541" s="2"/>
      <c r="HJ541" s="2"/>
      <c r="HK541" s="2"/>
      <c r="HL541" s="2"/>
      <c r="HM541" s="2"/>
      <c r="HN541" s="2"/>
      <c r="HO541" s="2"/>
      <c r="HP541" s="2"/>
      <c r="HQ541" s="2"/>
      <c r="HR541" s="2"/>
      <c r="HS541" s="2"/>
      <c r="HT541" s="2"/>
      <c r="HU541" s="2"/>
      <c r="HV541" s="2"/>
      <c r="HW541" s="2"/>
      <c r="HX541" s="2"/>
      <c r="HY541" s="2"/>
      <c r="HZ541" s="2"/>
      <c r="IA541" s="2"/>
      <c r="IB541" s="2"/>
      <c r="IC541" s="2"/>
    </row>
    <row r="542" spans="1:237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2"/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2"/>
      <c r="EE542" s="2"/>
      <c r="EF542" s="2"/>
      <c r="EG542" s="2"/>
      <c r="EH542" s="2"/>
      <c r="EI542" s="2"/>
      <c r="EJ542" s="2"/>
      <c r="EK542" s="2"/>
      <c r="EL542" s="2"/>
      <c r="EM542" s="2"/>
      <c r="EN542" s="2"/>
      <c r="EO542" s="2"/>
      <c r="EP542" s="2"/>
      <c r="EQ542" s="2"/>
      <c r="ER542" s="2"/>
      <c r="ES542" s="2"/>
      <c r="ET542" s="2"/>
      <c r="EU542" s="2"/>
      <c r="EV542" s="2"/>
      <c r="EW542" s="2"/>
      <c r="EX542" s="2"/>
      <c r="EY542" s="2"/>
      <c r="EZ542" s="2"/>
      <c r="FA542" s="2"/>
      <c r="FB542" s="2"/>
      <c r="FC542" s="2"/>
      <c r="FD542" s="2"/>
      <c r="FE542" s="2"/>
      <c r="FF542" s="2"/>
      <c r="FG542" s="2"/>
      <c r="FH542" s="2"/>
      <c r="FI542" s="2"/>
      <c r="FJ542" s="2"/>
      <c r="FK542" s="2"/>
      <c r="FL542" s="2"/>
      <c r="FM542" s="2"/>
      <c r="FN542" s="2"/>
      <c r="FO542" s="2"/>
      <c r="FP542" s="2"/>
      <c r="FQ542" s="2"/>
      <c r="FR542" s="2"/>
      <c r="FS542" s="2"/>
      <c r="FT542" s="2"/>
      <c r="FU542" s="2"/>
      <c r="FV542" s="2"/>
      <c r="FW542" s="2"/>
      <c r="FX542" s="2"/>
      <c r="FY542" s="2"/>
      <c r="FZ542" s="2"/>
      <c r="GA542" s="2"/>
      <c r="GB542" s="2"/>
      <c r="GC542" s="2"/>
      <c r="GD542" s="2"/>
      <c r="GE542" s="2"/>
      <c r="GF542" s="2"/>
      <c r="GG542" s="2"/>
      <c r="GH542" s="2"/>
      <c r="GI542" s="2"/>
      <c r="GJ542" s="2"/>
      <c r="GK542" s="2"/>
      <c r="GL542" s="2"/>
      <c r="GM542" s="2"/>
      <c r="GN542" s="2"/>
      <c r="GO542" s="2"/>
      <c r="GP542" s="2"/>
      <c r="GQ542" s="2"/>
      <c r="GR542" s="2"/>
      <c r="GS542" s="2"/>
      <c r="GT542" s="2"/>
      <c r="GU542" s="2"/>
      <c r="GV542" s="2"/>
      <c r="GW542" s="2"/>
      <c r="GX542" s="2"/>
      <c r="GY542" s="2"/>
      <c r="GZ542" s="2"/>
      <c r="HA542" s="2"/>
      <c r="HB542" s="2"/>
      <c r="HC542" s="2"/>
      <c r="HD542" s="2"/>
      <c r="HE542" s="2"/>
      <c r="HF542" s="2"/>
      <c r="HG542" s="2"/>
      <c r="HH542" s="2"/>
      <c r="HI542" s="2"/>
      <c r="HJ542" s="2"/>
      <c r="HK542" s="2"/>
      <c r="HL542" s="2"/>
      <c r="HM542" s="2"/>
      <c r="HN542" s="2"/>
      <c r="HO542" s="2"/>
      <c r="HP542" s="2"/>
      <c r="HQ542" s="2"/>
      <c r="HR542" s="2"/>
      <c r="HS542" s="2"/>
      <c r="HT542" s="2"/>
      <c r="HU542" s="2"/>
      <c r="HV542" s="2"/>
      <c r="HW542" s="2"/>
      <c r="HX542" s="2"/>
      <c r="HY542" s="2"/>
      <c r="HZ542" s="2"/>
      <c r="IA542" s="2"/>
      <c r="IB542" s="2"/>
      <c r="IC542" s="2"/>
    </row>
    <row r="543" spans="1:237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2"/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2"/>
      <c r="EE543" s="2"/>
      <c r="EF543" s="2"/>
      <c r="EG543" s="2"/>
      <c r="EH543" s="2"/>
      <c r="EI543" s="2"/>
      <c r="EJ543" s="2"/>
      <c r="EK543" s="2"/>
      <c r="EL543" s="2"/>
      <c r="EM543" s="2"/>
      <c r="EN543" s="2"/>
      <c r="EO543" s="2"/>
      <c r="EP543" s="2"/>
      <c r="EQ543" s="2"/>
      <c r="ER543" s="2"/>
      <c r="ES543" s="2"/>
      <c r="ET543" s="2"/>
      <c r="EU543" s="2"/>
      <c r="EV543" s="2"/>
      <c r="EW543" s="2"/>
      <c r="EX543" s="2"/>
      <c r="EY543" s="2"/>
      <c r="EZ543" s="2"/>
      <c r="FA543" s="2"/>
      <c r="FB543" s="2"/>
      <c r="FC543" s="2"/>
      <c r="FD543" s="2"/>
      <c r="FE543" s="2"/>
      <c r="FF543" s="2"/>
      <c r="FG543" s="2"/>
      <c r="FH543" s="2"/>
      <c r="FI543" s="2"/>
      <c r="FJ543" s="2"/>
      <c r="FK543" s="2"/>
      <c r="FL543" s="2"/>
      <c r="FM543" s="2"/>
      <c r="FN543" s="2"/>
      <c r="FO543" s="2"/>
      <c r="FP543" s="2"/>
      <c r="FQ543" s="2"/>
      <c r="FR543" s="2"/>
      <c r="FS543" s="2"/>
      <c r="FT543" s="2"/>
      <c r="FU543" s="2"/>
      <c r="FV543" s="2"/>
      <c r="FW543" s="2"/>
      <c r="FX543" s="2"/>
      <c r="FY543" s="2"/>
      <c r="FZ543" s="2"/>
      <c r="GA543" s="2"/>
      <c r="GB543" s="2"/>
      <c r="GC543" s="2"/>
      <c r="GD543" s="2"/>
      <c r="GE543" s="2"/>
      <c r="GF543" s="2"/>
      <c r="GG543" s="2"/>
      <c r="GH543" s="2"/>
      <c r="GI543" s="2"/>
      <c r="GJ543" s="2"/>
      <c r="GK543" s="2"/>
      <c r="GL543" s="2"/>
      <c r="GM543" s="2"/>
      <c r="GN543" s="2"/>
      <c r="GO543" s="2"/>
      <c r="GP543" s="2"/>
      <c r="GQ543" s="2"/>
      <c r="GR543" s="2"/>
      <c r="GS543" s="2"/>
      <c r="GT543" s="2"/>
      <c r="GU543" s="2"/>
      <c r="GV543" s="2"/>
      <c r="GW543" s="2"/>
      <c r="GX543" s="2"/>
      <c r="GY543" s="2"/>
      <c r="GZ543" s="2"/>
      <c r="HA543" s="2"/>
      <c r="HB543" s="2"/>
      <c r="HC543" s="2"/>
      <c r="HD543" s="2"/>
      <c r="HE543" s="2"/>
      <c r="HF543" s="2"/>
      <c r="HG543" s="2"/>
      <c r="HH543" s="2"/>
      <c r="HI543" s="2"/>
      <c r="HJ543" s="2"/>
      <c r="HK543" s="2"/>
      <c r="HL543" s="2"/>
      <c r="HM543" s="2"/>
      <c r="HN543" s="2"/>
      <c r="HO543" s="2"/>
      <c r="HP543" s="2"/>
      <c r="HQ543" s="2"/>
      <c r="HR543" s="2"/>
      <c r="HS543" s="2"/>
      <c r="HT543" s="2"/>
      <c r="HU543" s="2"/>
      <c r="HV543" s="2"/>
      <c r="HW543" s="2"/>
      <c r="HX543" s="2"/>
      <c r="HY543" s="2"/>
      <c r="HZ543" s="2"/>
      <c r="IA543" s="2"/>
      <c r="IB543" s="2"/>
      <c r="IC543" s="2"/>
    </row>
    <row r="544" spans="1:237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2"/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2"/>
      <c r="EE544" s="2"/>
      <c r="EF544" s="2"/>
      <c r="EG544" s="2"/>
      <c r="EH544" s="2"/>
      <c r="EI544" s="2"/>
      <c r="EJ544" s="2"/>
      <c r="EK544" s="2"/>
      <c r="EL544" s="2"/>
      <c r="EM544" s="2"/>
      <c r="EN544" s="2"/>
      <c r="EO544" s="2"/>
      <c r="EP544" s="2"/>
      <c r="EQ544" s="2"/>
      <c r="ER544" s="2"/>
      <c r="ES544" s="2"/>
      <c r="ET544" s="2"/>
      <c r="EU544" s="2"/>
      <c r="EV544" s="2"/>
      <c r="EW544" s="2"/>
      <c r="EX544" s="2"/>
      <c r="EY544" s="2"/>
      <c r="EZ544" s="2"/>
      <c r="FA544" s="2"/>
      <c r="FB544" s="2"/>
      <c r="FC544" s="2"/>
      <c r="FD544" s="2"/>
      <c r="FE544" s="2"/>
      <c r="FF544" s="2"/>
      <c r="FG544" s="2"/>
      <c r="FH544" s="2"/>
      <c r="FI544" s="2"/>
      <c r="FJ544" s="2"/>
      <c r="FK544" s="2"/>
      <c r="FL544" s="2"/>
      <c r="FM544" s="2"/>
      <c r="FN544" s="2"/>
      <c r="FO544" s="2"/>
      <c r="FP544" s="2"/>
      <c r="FQ544" s="2"/>
      <c r="FR544" s="2"/>
      <c r="FS544" s="2"/>
      <c r="FT544" s="2"/>
      <c r="FU544" s="2"/>
      <c r="FV544" s="2"/>
      <c r="FW544" s="2"/>
      <c r="FX544" s="2"/>
      <c r="FY544" s="2"/>
      <c r="FZ544" s="2"/>
      <c r="GA544" s="2"/>
      <c r="GB544" s="2"/>
      <c r="GC544" s="2"/>
      <c r="GD544" s="2"/>
      <c r="GE544" s="2"/>
      <c r="GF544" s="2"/>
      <c r="GG544" s="2"/>
      <c r="GH544" s="2"/>
      <c r="GI544" s="2"/>
      <c r="GJ544" s="2"/>
      <c r="GK544" s="2"/>
      <c r="GL544" s="2"/>
      <c r="GM544" s="2"/>
      <c r="GN544" s="2"/>
      <c r="GO544" s="2"/>
      <c r="GP544" s="2"/>
      <c r="GQ544" s="2"/>
      <c r="GR544" s="2"/>
      <c r="GS544" s="2"/>
      <c r="GT544" s="2"/>
      <c r="GU544" s="2"/>
      <c r="GV544" s="2"/>
      <c r="GW544" s="2"/>
      <c r="GX544" s="2"/>
      <c r="GY544" s="2"/>
      <c r="GZ544" s="2"/>
      <c r="HA544" s="2"/>
      <c r="HB544" s="2"/>
      <c r="HC544" s="2"/>
      <c r="HD544" s="2"/>
      <c r="HE544" s="2"/>
      <c r="HF544" s="2"/>
      <c r="HG544" s="2"/>
      <c r="HH544" s="2"/>
      <c r="HI544" s="2"/>
      <c r="HJ544" s="2"/>
      <c r="HK544" s="2"/>
      <c r="HL544" s="2"/>
      <c r="HM544" s="2"/>
      <c r="HN544" s="2"/>
      <c r="HO544" s="2"/>
      <c r="HP544" s="2"/>
      <c r="HQ544" s="2"/>
      <c r="HR544" s="2"/>
      <c r="HS544" s="2"/>
      <c r="HT544" s="2"/>
      <c r="HU544" s="2"/>
      <c r="HV544" s="2"/>
      <c r="HW544" s="2"/>
      <c r="HX544" s="2"/>
      <c r="HY544" s="2"/>
      <c r="HZ544" s="2"/>
      <c r="IA544" s="2"/>
      <c r="IB544" s="2"/>
      <c r="IC544" s="2"/>
    </row>
    <row r="545" spans="1:237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2"/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2"/>
      <c r="EE545" s="2"/>
      <c r="EF545" s="2"/>
      <c r="EG545" s="2"/>
      <c r="EH545" s="2"/>
      <c r="EI545" s="2"/>
      <c r="EJ545" s="2"/>
      <c r="EK545" s="2"/>
      <c r="EL545" s="2"/>
      <c r="EM545" s="2"/>
      <c r="EN545" s="2"/>
      <c r="EO545" s="2"/>
      <c r="EP545" s="2"/>
      <c r="EQ545" s="2"/>
      <c r="ER545" s="2"/>
      <c r="ES545" s="2"/>
      <c r="ET545" s="2"/>
      <c r="EU545" s="2"/>
      <c r="EV545" s="2"/>
      <c r="EW545" s="2"/>
      <c r="EX545" s="2"/>
      <c r="EY545" s="2"/>
      <c r="EZ545" s="2"/>
      <c r="FA545" s="2"/>
      <c r="FB545" s="2"/>
      <c r="FC545" s="2"/>
      <c r="FD545" s="2"/>
      <c r="FE545" s="2"/>
      <c r="FF545" s="2"/>
      <c r="FG545" s="2"/>
      <c r="FH545" s="2"/>
      <c r="FI545" s="2"/>
      <c r="FJ545" s="2"/>
      <c r="FK545" s="2"/>
      <c r="FL545" s="2"/>
      <c r="FM545" s="2"/>
      <c r="FN545" s="2"/>
      <c r="FO545" s="2"/>
      <c r="FP545" s="2"/>
      <c r="FQ545" s="2"/>
      <c r="FR545" s="2"/>
      <c r="FS545" s="2"/>
      <c r="FT545" s="2"/>
      <c r="FU545" s="2"/>
      <c r="FV545" s="2"/>
      <c r="FW545" s="2"/>
      <c r="FX545" s="2"/>
      <c r="FY545" s="2"/>
      <c r="FZ545" s="2"/>
      <c r="GA545" s="2"/>
      <c r="GB545" s="2"/>
      <c r="GC545" s="2"/>
      <c r="GD545" s="2"/>
      <c r="GE545" s="2"/>
      <c r="GF545" s="2"/>
      <c r="GG545" s="2"/>
      <c r="GH545" s="2"/>
      <c r="GI545" s="2"/>
      <c r="GJ545" s="2"/>
      <c r="GK545" s="2"/>
      <c r="GL545" s="2"/>
      <c r="GM545" s="2"/>
      <c r="GN545" s="2"/>
      <c r="GO545" s="2"/>
      <c r="GP545" s="2"/>
      <c r="GQ545" s="2"/>
      <c r="GR545" s="2"/>
      <c r="GS545" s="2"/>
      <c r="GT545" s="2"/>
      <c r="GU545" s="2"/>
      <c r="GV545" s="2"/>
      <c r="GW545" s="2"/>
      <c r="GX545" s="2"/>
      <c r="GY545" s="2"/>
      <c r="GZ545" s="2"/>
      <c r="HA545" s="2"/>
      <c r="HB545" s="2"/>
      <c r="HC545" s="2"/>
      <c r="HD545" s="2"/>
      <c r="HE545" s="2"/>
      <c r="HF545" s="2"/>
      <c r="HG545" s="2"/>
      <c r="HH545" s="2"/>
      <c r="HI545" s="2"/>
      <c r="HJ545" s="2"/>
      <c r="HK545" s="2"/>
      <c r="HL545" s="2"/>
      <c r="HM545" s="2"/>
      <c r="HN545" s="2"/>
      <c r="HO545" s="2"/>
      <c r="HP545" s="2"/>
      <c r="HQ545" s="2"/>
      <c r="HR545" s="2"/>
      <c r="HS545" s="2"/>
      <c r="HT545" s="2"/>
      <c r="HU545" s="2"/>
      <c r="HV545" s="2"/>
      <c r="HW545" s="2"/>
      <c r="HX545" s="2"/>
      <c r="HY545" s="2"/>
      <c r="HZ545" s="2"/>
      <c r="IA545" s="2"/>
      <c r="IB545" s="2"/>
      <c r="IC545" s="2"/>
    </row>
    <row r="546" spans="1:237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2"/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2"/>
      <c r="EE546" s="2"/>
      <c r="EF546" s="2"/>
      <c r="EG546" s="2"/>
      <c r="EH546" s="2"/>
      <c r="EI546" s="2"/>
      <c r="EJ546" s="2"/>
      <c r="EK546" s="2"/>
      <c r="EL546" s="2"/>
      <c r="EM546" s="2"/>
      <c r="EN546" s="2"/>
      <c r="EO546" s="2"/>
      <c r="EP546" s="2"/>
      <c r="EQ546" s="2"/>
      <c r="ER546" s="2"/>
      <c r="ES546" s="2"/>
      <c r="ET546" s="2"/>
      <c r="EU546" s="2"/>
      <c r="EV546" s="2"/>
      <c r="EW546" s="2"/>
      <c r="EX546" s="2"/>
      <c r="EY546" s="2"/>
      <c r="EZ546" s="2"/>
      <c r="FA546" s="2"/>
      <c r="FB546" s="2"/>
      <c r="FC546" s="2"/>
      <c r="FD546" s="2"/>
      <c r="FE546" s="2"/>
      <c r="FF546" s="2"/>
      <c r="FG546" s="2"/>
      <c r="FH546" s="2"/>
      <c r="FI546" s="2"/>
      <c r="FJ546" s="2"/>
      <c r="FK546" s="2"/>
      <c r="FL546" s="2"/>
      <c r="FM546" s="2"/>
      <c r="FN546" s="2"/>
      <c r="FO546" s="2"/>
      <c r="FP546" s="2"/>
      <c r="FQ546" s="2"/>
      <c r="FR546" s="2"/>
      <c r="FS546" s="2"/>
      <c r="FT546" s="2"/>
      <c r="FU546" s="2"/>
      <c r="FV546" s="2"/>
      <c r="FW546" s="2"/>
      <c r="FX546" s="2"/>
      <c r="FY546" s="2"/>
      <c r="FZ546" s="2"/>
      <c r="GA546" s="2"/>
      <c r="GB546" s="2"/>
      <c r="GC546" s="2"/>
      <c r="GD546" s="2"/>
      <c r="GE546" s="2"/>
      <c r="GF546" s="2"/>
      <c r="GG546" s="2"/>
      <c r="GH546" s="2"/>
      <c r="GI546" s="2"/>
      <c r="GJ546" s="2"/>
      <c r="GK546" s="2"/>
      <c r="GL546" s="2"/>
      <c r="GM546" s="2"/>
      <c r="GN546" s="2"/>
      <c r="GO546" s="2"/>
      <c r="GP546" s="2"/>
      <c r="GQ546" s="2"/>
      <c r="GR546" s="2"/>
      <c r="GS546" s="2"/>
      <c r="GT546" s="2"/>
      <c r="GU546" s="2"/>
      <c r="GV546" s="2"/>
      <c r="GW546" s="2"/>
      <c r="GX546" s="2"/>
      <c r="GY546" s="2"/>
      <c r="GZ546" s="2"/>
      <c r="HA546" s="2"/>
      <c r="HB546" s="2"/>
      <c r="HC546" s="2"/>
      <c r="HD546" s="2"/>
      <c r="HE546" s="2"/>
      <c r="HF546" s="2"/>
      <c r="HG546" s="2"/>
      <c r="HH546" s="2"/>
      <c r="HI546" s="2"/>
      <c r="HJ546" s="2"/>
      <c r="HK546" s="2"/>
      <c r="HL546" s="2"/>
      <c r="HM546" s="2"/>
      <c r="HN546" s="2"/>
      <c r="HO546" s="2"/>
      <c r="HP546" s="2"/>
      <c r="HQ546" s="2"/>
      <c r="HR546" s="2"/>
      <c r="HS546" s="2"/>
      <c r="HT546" s="2"/>
      <c r="HU546" s="2"/>
      <c r="HV546" s="2"/>
      <c r="HW546" s="2"/>
      <c r="HX546" s="2"/>
      <c r="HY546" s="2"/>
      <c r="HZ546" s="2"/>
      <c r="IA546" s="2"/>
      <c r="IB546" s="2"/>
      <c r="IC546" s="2"/>
    </row>
    <row r="547" spans="1:237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2"/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2"/>
      <c r="EE547" s="2"/>
      <c r="EF547" s="2"/>
      <c r="EG547" s="2"/>
      <c r="EH547" s="2"/>
      <c r="EI547" s="2"/>
      <c r="EJ547" s="2"/>
      <c r="EK547" s="2"/>
      <c r="EL547" s="2"/>
      <c r="EM547" s="2"/>
      <c r="EN547" s="2"/>
      <c r="EO547" s="2"/>
      <c r="EP547" s="2"/>
      <c r="EQ547" s="2"/>
      <c r="ER547" s="2"/>
      <c r="ES547" s="2"/>
      <c r="ET547" s="2"/>
      <c r="EU547" s="2"/>
      <c r="EV547" s="2"/>
      <c r="EW547" s="2"/>
      <c r="EX547" s="2"/>
      <c r="EY547" s="2"/>
      <c r="EZ547" s="2"/>
      <c r="FA547" s="2"/>
      <c r="FB547" s="2"/>
      <c r="FC547" s="2"/>
      <c r="FD547" s="2"/>
      <c r="FE547" s="2"/>
      <c r="FF547" s="2"/>
      <c r="FG547" s="2"/>
      <c r="FH547" s="2"/>
      <c r="FI547" s="2"/>
      <c r="FJ547" s="2"/>
      <c r="FK547" s="2"/>
      <c r="FL547" s="2"/>
      <c r="FM547" s="2"/>
      <c r="FN547" s="2"/>
      <c r="FO547" s="2"/>
      <c r="FP547" s="2"/>
      <c r="FQ547" s="2"/>
      <c r="FR547" s="2"/>
      <c r="FS547" s="2"/>
      <c r="FT547" s="2"/>
      <c r="FU547" s="2"/>
      <c r="FV547" s="2"/>
      <c r="FW547" s="2"/>
      <c r="FX547" s="2"/>
      <c r="FY547" s="2"/>
      <c r="FZ547" s="2"/>
      <c r="GA547" s="2"/>
      <c r="GB547" s="2"/>
      <c r="GC547" s="2"/>
      <c r="GD547" s="2"/>
      <c r="GE547" s="2"/>
      <c r="GF547" s="2"/>
      <c r="GG547" s="2"/>
      <c r="GH547" s="2"/>
      <c r="GI547" s="2"/>
      <c r="GJ547" s="2"/>
      <c r="GK547" s="2"/>
      <c r="GL547" s="2"/>
      <c r="GM547" s="2"/>
      <c r="GN547" s="2"/>
      <c r="GO547" s="2"/>
      <c r="GP547" s="2"/>
      <c r="GQ547" s="2"/>
      <c r="GR547" s="2"/>
      <c r="GS547" s="2"/>
      <c r="GT547" s="2"/>
      <c r="GU547" s="2"/>
      <c r="GV547" s="2"/>
      <c r="GW547" s="2"/>
      <c r="GX547" s="2"/>
      <c r="GY547" s="2"/>
      <c r="GZ547" s="2"/>
      <c r="HA547" s="2"/>
      <c r="HB547" s="2"/>
      <c r="HC547" s="2"/>
      <c r="HD547" s="2"/>
      <c r="HE547" s="2"/>
      <c r="HF547" s="2"/>
      <c r="HG547" s="2"/>
      <c r="HH547" s="2"/>
      <c r="HI547" s="2"/>
      <c r="HJ547" s="2"/>
      <c r="HK547" s="2"/>
      <c r="HL547" s="2"/>
      <c r="HM547" s="2"/>
      <c r="HN547" s="2"/>
      <c r="HO547" s="2"/>
      <c r="HP547" s="2"/>
      <c r="HQ547" s="2"/>
      <c r="HR547" s="2"/>
      <c r="HS547" s="2"/>
      <c r="HT547" s="2"/>
      <c r="HU547" s="2"/>
      <c r="HV547" s="2"/>
      <c r="HW547" s="2"/>
      <c r="HX547" s="2"/>
      <c r="HY547" s="2"/>
      <c r="HZ547" s="2"/>
      <c r="IA547" s="2"/>
      <c r="IB547" s="2"/>
      <c r="IC547" s="2"/>
    </row>
    <row r="548" spans="1:237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2"/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2"/>
      <c r="EE548" s="2"/>
      <c r="EF548" s="2"/>
      <c r="EG548" s="2"/>
      <c r="EH548" s="2"/>
      <c r="EI548" s="2"/>
      <c r="EJ548" s="2"/>
      <c r="EK548" s="2"/>
      <c r="EL548" s="2"/>
      <c r="EM548" s="2"/>
      <c r="EN548" s="2"/>
      <c r="EO548" s="2"/>
      <c r="EP548" s="2"/>
      <c r="EQ548" s="2"/>
      <c r="ER548" s="2"/>
      <c r="ES548" s="2"/>
      <c r="ET548" s="2"/>
      <c r="EU548" s="2"/>
      <c r="EV548" s="2"/>
      <c r="EW548" s="2"/>
      <c r="EX548" s="2"/>
      <c r="EY548" s="2"/>
      <c r="EZ548" s="2"/>
      <c r="FA548" s="2"/>
      <c r="FB548" s="2"/>
      <c r="FC548" s="2"/>
      <c r="FD548" s="2"/>
      <c r="FE548" s="2"/>
      <c r="FF548" s="2"/>
      <c r="FG548" s="2"/>
      <c r="FH548" s="2"/>
      <c r="FI548" s="2"/>
      <c r="FJ548" s="2"/>
      <c r="FK548" s="2"/>
      <c r="FL548" s="2"/>
      <c r="FM548" s="2"/>
      <c r="FN548" s="2"/>
      <c r="FO548" s="2"/>
      <c r="FP548" s="2"/>
      <c r="FQ548" s="2"/>
      <c r="FR548" s="2"/>
      <c r="FS548" s="2"/>
      <c r="FT548" s="2"/>
      <c r="FU548" s="2"/>
      <c r="FV548" s="2"/>
      <c r="FW548" s="2"/>
      <c r="FX548" s="2"/>
      <c r="FY548" s="2"/>
      <c r="FZ548" s="2"/>
      <c r="GA548" s="2"/>
      <c r="GB548" s="2"/>
      <c r="GC548" s="2"/>
      <c r="GD548" s="2"/>
      <c r="GE548" s="2"/>
      <c r="GF548" s="2"/>
      <c r="GG548" s="2"/>
      <c r="GH548" s="2"/>
      <c r="GI548" s="2"/>
      <c r="GJ548" s="2"/>
      <c r="GK548" s="2"/>
      <c r="GL548" s="2"/>
      <c r="GM548" s="2"/>
      <c r="GN548" s="2"/>
      <c r="GO548" s="2"/>
      <c r="GP548" s="2"/>
      <c r="GQ548" s="2"/>
      <c r="GR548" s="2"/>
      <c r="GS548" s="2"/>
      <c r="GT548" s="2"/>
      <c r="GU548" s="2"/>
      <c r="GV548" s="2"/>
      <c r="GW548" s="2"/>
      <c r="GX548" s="2"/>
      <c r="GY548" s="2"/>
      <c r="GZ548" s="2"/>
      <c r="HA548" s="2"/>
      <c r="HB548" s="2"/>
      <c r="HC548" s="2"/>
      <c r="HD548" s="2"/>
      <c r="HE548" s="2"/>
      <c r="HF548" s="2"/>
      <c r="HG548" s="2"/>
      <c r="HH548" s="2"/>
      <c r="HI548" s="2"/>
      <c r="HJ548" s="2"/>
      <c r="HK548" s="2"/>
      <c r="HL548" s="2"/>
      <c r="HM548" s="2"/>
      <c r="HN548" s="2"/>
      <c r="HO548" s="2"/>
      <c r="HP548" s="2"/>
      <c r="HQ548" s="2"/>
      <c r="HR548" s="2"/>
      <c r="HS548" s="2"/>
      <c r="HT548" s="2"/>
      <c r="HU548" s="2"/>
      <c r="HV548" s="2"/>
      <c r="HW548" s="2"/>
      <c r="HX548" s="2"/>
      <c r="HY548" s="2"/>
      <c r="HZ548" s="2"/>
      <c r="IA548" s="2"/>
      <c r="IB548" s="2"/>
      <c r="IC548" s="2"/>
    </row>
    <row r="549" spans="1:237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2"/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2"/>
      <c r="EE549" s="2"/>
      <c r="EF549" s="2"/>
      <c r="EG549" s="2"/>
      <c r="EH549" s="2"/>
      <c r="EI549" s="2"/>
      <c r="EJ549" s="2"/>
      <c r="EK549" s="2"/>
      <c r="EL549" s="2"/>
      <c r="EM549" s="2"/>
      <c r="EN549" s="2"/>
      <c r="EO549" s="2"/>
      <c r="EP549" s="2"/>
      <c r="EQ549" s="2"/>
      <c r="ER549" s="2"/>
      <c r="ES549" s="2"/>
      <c r="ET549" s="2"/>
      <c r="EU549" s="2"/>
      <c r="EV549" s="2"/>
      <c r="EW549" s="2"/>
      <c r="EX549" s="2"/>
      <c r="EY549" s="2"/>
      <c r="EZ549" s="2"/>
      <c r="FA549" s="2"/>
      <c r="FB549" s="2"/>
      <c r="FC549" s="2"/>
      <c r="FD549" s="2"/>
      <c r="FE549" s="2"/>
      <c r="FF549" s="2"/>
      <c r="FG549" s="2"/>
      <c r="FH549" s="2"/>
      <c r="FI549" s="2"/>
      <c r="FJ549" s="2"/>
      <c r="FK549" s="2"/>
      <c r="FL549" s="2"/>
      <c r="FM549" s="2"/>
      <c r="FN549" s="2"/>
      <c r="FO549" s="2"/>
      <c r="FP549" s="2"/>
      <c r="FQ549" s="2"/>
      <c r="FR549" s="2"/>
      <c r="FS549" s="2"/>
      <c r="FT549" s="2"/>
      <c r="FU549" s="2"/>
      <c r="FV549" s="2"/>
      <c r="FW549" s="2"/>
      <c r="FX549" s="2"/>
      <c r="FY549" s="2"/>
      <c r="FZ549" s="2"/>
      <c r="GA549" s="2"/>
      <c r="GB549" s="2"/>
      <c r="GC549" s="2"/>
      <c r="GD549" s="2"/>
      <c r="GE549" s="2"/>
      <c r="GF549" s="2"/>
      <c r="GG549" s="2"/>
      <c r="GH549" s="2"/>
      <c r="GI549" s="2"/>
      <c r="GJ549" s="2"/>
      <c r="GK549" s="2"/>
      <c r="GL549" s="2"/>
      <c r="GM549" s="2"/>
      <c r="GN549" s="2"/>
      <c r="GO549" s="2"/>
      <c r="GP549" s="2"/>
      <c r="GQ549" s="2"/>
      <c r="GR549" s="2"/>
      <c r="GS549" s="2"/>
      <c r="GT549" s="2"/>
      <c r="GU549" s="2"/>
      <c r="GV549" s="2"/>
      <c r="GW549" s="2"/>
      <c r="GX549" s="2"/>
      <c r="GY549" s="2"/>
      <c r="GZ549" s="2"/>
      <c r="HA549" s="2"/>
      <c r="HB549" s="2"/>
      <c r="HC549" s="2"/>
      <c r="HD549" s="2"/>
      <c r="HE549" s="2"/>
      <c r="HF549" s="2"/>
      <c r="HG549" s="2"/>
      <c r="HH549" s="2"/>
      <c r="HI549" s="2"/>
      <c r="HJ549" s="2"/>
      <c r="HK549" s="2"/>
      <c r="HL549" s="2"/>
      <c r="HM549" s="2"/>
      <c r="HN549" s="2"/>
      <c r="HO549" s="2"/>
      <c r="HP549" s="2"/>
      <c r="HQ549" s="2"/>
      <c r="HR549" s="2"/>
      <c r="HS549" s="2"/>
      <c r="HT549" s="2"/>
      <c r="HU549" s="2"/>
      <c r="HV549" s="2"/>
      <c r="HW549" s="2"/>
      <c r="HX549" s="2"/>
      <c r="HY549" s="2"/>
      <c r="HZ549" s="2"/>
      <c r="IA549" s="2"/>
      <c r="IB549" s="2"/>
      <c r="IC549" s="2"/>
    </row>
    <row r="550" spans="1:237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2"/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2"/>
      <c r="EE550" s="2"/>
      <c r="EF550" s="2"/>
      <c r="EG550" s="2"/>
      <c r="EH550" s="2"/>
      <c r="EI550" s="2"/>
      <c r="EJ550" s="2"/>
      <c r="EK550" s="2"/>
      <c r="EL550" s="2"/>
      <c r="EM550" s="2"/>
      <c r="EN550" s="2"/>
      <c r="EO550" s="2"/>
      <c r="EP550" s="2"/>
      <c r="EQ550" s="2"/>
      <c r="ER550" s="2"/>
      <c r="ES550" s="2"/>
      <c r="ET550" s="2"/>
      <c r="EU550" s="2"/>
      <c r="EV550" s="2"/>
      <c r="EW550" s="2"/>
      <c r="EX550" s="2"/>
      <c r="EY550" s="2"/>
      <c r="EZ550" s="2"/>
      <c r="FA550" s="2"/>
      <c r="FB550" s="2"/>
      <c r="FC550" s="2"/>
      <c r="FD550" s="2"/>
      <c r="FE550" s="2"/>
      <c r="FF550" s="2"/>
      <c r="FG550" s="2"/>
      <c r="FH550" s="2"/>
      <c r="FI550" s="2"/>
      <c r="FJ550" s="2"/>
      <c r="FK550" s="2"/>
      <c r="FL550" s="2"/>
      <c r="FM550" s="2"/>
      <c r="FN550" s="2"/>
      <c r="FO550" s="2"/>
      <c r="FP550" s="2"/>
      <c r="FQ550" s="2"/>
      <c r="FR550" s="2"/>
      <c r="FS550" s="2"/>
      <c r="FT550" s="2"/>
      <c r="FU550" s="2"/>
      <c r="FV550" s="2"/>
      <c r="FW550" s="2"/>
      <c r="FX550" s="2"/>
      <c r="FY550" s="2"/>
      <c r="FZ550" s="2"/>
      <c r="GA550" s="2"/>
      <c r="GB550" s="2"/>
      <c r="GC550" s="2"/>
      <c r="GD550" s="2"/>
      <c r="GE550" s="2"/>
      <c r="GF550" s="2"/>
      <c r="GG550" s="2"/>
      <c r="GH550" s="2"/>
      <c r="GI550" s="2"/>
      <c r="GJ550" s="2"/>
      <c r="GK550" s="2"/>
      <c r="GL550" s="2"/>
      <c r="GM550" s="2"/>
      <c r="GN550" s="2"/>
      <c r="GO550" s="2"/>
      <c r="GP550" s="2"/>
      <c r="GQ550" s="2"/>
      <c r="GR550" s="2"/>
      <c r="GS550" s="2"/>
      <c r="GT550" s="2"/>
      <c r="GU550" s="2"/>
      <c r="GV550" s="2"/>
      <c r="GW550" s="2"/>
      <c r="GX550" s="2"/>
      <c r="GY550" s="2"/>
      <c r="GZ550" s="2"/>
      <c r="HA550" s="2"/>
      <c r="HB550" s="2"/>
      <c r="HC550" s="2"/>
      <c r="HD550" s="2"/>
      <c r="HE550" s="2"/>
      <c r="HF550" s="2"/>
      <c r="HG550" s="2"/>
      <c r="HH550" s="2"/>
      <c r="HI550" s="2"/>
      <c r="HJ550" s="2"/>
      <c r="HK550" s="2"/>
      <c r="HL550" s="2"/>
      <c r="HM550" s="2"/>
      <c r="HN550" s="2"/>
      <c r="HO550" s="2"/>
      <c r="HP550" s="2"/>
      <c r="HQ550" s="2"/>
      <c r="HR550" s="2"/>
      <c r="HS550" s="2"/>
      <c r="HT550" s="2"/>
      <c r="HU550" s="2"/>
      <c r="HV550" s="2"/>
      <c r="HW550" s="2"/>
      <c r="HX550" s="2"/>
      <c r="HY550" s="2"/>
      <c r="HZ550" s="2"/>
      <c r="IA550" s="2"/>
      <c r="IB550" s="2"/>
      <c r="IC550" s="2"/>
    </row>
    <row r="2204" spans="1:248">
      <c r="A2204" s="2"/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AP2204" s="2"/>
      <c r="AQ2204" s="2"/>
      <c r="AR2204" s="2"/>
      <c r="AS2204" s="2"/>
      <c r="AT2204" s="2"/>
      <c r="AU2204" s="2"/>
      <c r="AV2204" s="2"/>
      <c r="AW2204" s="2"/>
      <c r="AX2204" s="2"/>
      <c r="AY2204" s="2"/>
      <c r="AZ2204" s="2"/>
      <c r="BA2204" s="2"/>
      <c r="BB2204" s="2"/>
      <c r="BC2204" s="2"/>
      <c r="BD2204" s="2"/>
      <c r="BE2204" s="2"/>
      <c r="BF2204" s="2"/>
      <c r="BG2204" s="2"/>
      <c r="BH2204" s="2"/>
      <c r="BI2204" s="2"/>
      <c r="BJ2204" s="2"/>
      <c r="BK2204" s="2"/>
      <c r="BL2204" s="2"/>
      <c r="BM2204" s="2"/>
      <c r="BN2204" s="2"/>
      <c r="BO2204" s="2"/>
      <c r="BP2204" s="2"/>
      <c r="BQ2204" s="2"/>
      <c r="BR2204" s="2"/>
      <c r="BS2204" s="2"/>
      <c r="BT2204" s="2"/>
      <c r="BU2204" s="2"/>
      <c r="BV2204" s="2"/>
      <c r="BW2204" s="2"/>
      <c r="BX2204" s="2"/>
      <c r="BY2204" s="2"/>
      <c r="BZ2204" s="2"/>
      <c r="CA2204" s="2"/>
      <c r="CB2204" s="2"/>
      <c r="CC2204" s="2"/>
      <c r="CD2204" s="2"/>
      <c r="CE2204" s="2"/>
      <c r="CF2204" s="2"/>
      <c r="CG2204" s="2"/>
      <c r="CH2204" s="2"/>
      <c r="CI2204" s="2"/>
      <c r="CJ2204" s="2"/>
      <c r="CK2204" s="2"/>
      <c r="CL2204" s="2"/>
      <c r="CM2204" s="2"/>
      <c r="CN2204" s="2"/>
      <c r="CO2204" s="2"/>
      <c r="CP2204" s="2"/>
      <c r="CQ2204" s="2"/>
      <c r="CR2204" s="2"/>
      <c r="CS2204" s="2"/>
      <c r="CT2204" s="2"/>
      <c r="CU2204" s="2"/>
      <c r="CV2204" s="2"/>
      <c r="CW2204" s="2"/>
      <c r="CX2204" s="2"/>
      <c r="CY2204" s="2"/>
      <c r="CZ2204" s="2"/>
      <c r="DA2204" s="2"/>
      <c r="DB2204" s="2"/>
      <c r="DC2204" s="2"/>
      <c r="DD2204" s="2"/>
      <c r="DE2204" s="2"/>
      <c r="DF2204" s="2"/>
      <c r="DG2204" s="2"/>
      <c r="DH2204" s="2"/>
      <c r="DI2204" s="2"/>
      <c r="DJ2204" s="2"/>
      <c r="DK2204" s="2"/>
      <c r="DL2204" s="2"/>
      <c r="DM2204" s="2"/>
      <c r="DN2204" s="2"/>
      <c r="DO2204" s="2"/>
      <c r="DP2204" s="2"/>
      <c r="DQ2204" s="2"/>
      <c r="DR2204" s="2"/>
      <c r="DS2204" s="2"/>
      <c r="DT2204" s="2"/>
      <c r="DU2204" s="2"/>
      <c r="DV2204" s="2"/>
      <c r="DW2204" s="2"/>
      <c r="DX2204" s="2"/>
      <c r="DY2204" s="2"/>
      <c r="DZ2204" s="2"/>
      <c r="EA2204" s="2"/>
      <c r="EB2204" s="2"/>
      <c r="EC2204" s="2"/>
      <c r="ED2204" s="2"/>
      <c r="EE2204" s="2"/>
      <c r="EF2204" s="2"/>
      <c r="EG2204" s="2"/>
      <c r="EH2204" s="2"/>
      <c r="EI2204" s="2"/>
      <c r="EJ2204" s="2"/>
      <c r="EK2204" s="2"/>
      <c r="EL2204" s="2"/>
      <c r="EM2204" s="2"/>
      <c r="EN2204" s="2"/>
      <c r="EO2204" s="2"/>
      <c r="EP2204" s="2"/>
      <c r="EQ2204" s="2"/>
      <c r="ER2204" s="2"/>
      <c r="ES2204" s="2"/>
      <c r="ET2204" s="2"/>
      <c r="EU2204" s="2"/>
      <c r="EV2204" s="2"/>
      <c r="EW2204" s="2"/>
      <c r="EX2204" s="2"/>
      <c r="EY2204" s="2"/>
      <c r="EZ2204" s="2"/>
      <c r="FA2204" s="2"/>
      <c r="FB2204" s="2"/>
      <c r="FC2204" s="2"/>
      <c r="FD2204" s="2"/>
      <c r="FE2204" s="2"/>
      <c r="FF2204" s="2"/>
      <c r="FG2204" s="2"/>
      <c r="FH2204" s="2"/>
      <c r="FI2204" s="2"/>
      <c r="FJ2204" s="2"/>
      <c r="FK2204" s="2"/>
      <c r="FL2204" s="2"/>
      <c r="FM2204" s="2"/>
      <c r="FN2204" s="2"/>
      <c r="FO2204" s="2"/>
      <c r="FP2204" s="2"/>
      <c r="FQ2204" s="2"/>
      <c r="FR2204" s="2"/>
      <c r="FS2204" s="2"/>
      <c r="FT2204" s="2"/>
      <c r="FU2204" s="2"/>
      <c r="FV2204" s="2"/>
      <c r="FW2204" s="2"/>
      <c r="FX2204" s="2"/>
      <c r="FY2204" s="2"/>
      <c r="FZ2204" s="2"/>
      <c r="GA2204" s="2"/>
      <c r="GB2204" s="2"/>
      <c r="GC2204" s="2"/>
      <c r="GD2204" s="2"/>
      <c r="GE2204" s="2"/>
      <c r="GF2204" s="2"/>
      <c r="GG2204" s="2"/>
      <c r="GH2204" s="2"/>
      <c r="GI2204" s="2"/>
      <c r="GJ2204" s="2"/>
      <c r="GK2204" s="2"/>
      <c r="GL2204" s="2"/>
      <c r="GM2204" s="2"/>
      <c r="GN2204" s="2"/>
      <c r="GO2204" s="2"/>
      <c r="GP2204" s="2"/>
      <c r="GQ2204" s="2"/>
      <c r="GR2204" s="2"/>
      <c r="GS2204" s="2"/>
      <c r="GT2204" s="2"/>
      <c r="GU2204" s="2"/>
      <c r="GV2204" s="2"/>
      <c r="GW2204" s="2"/>
      <c r="GX2204" s="2"/>
      <c r="GY2204" s="2"/>
      <c r="GZ2204" s="2"/>
      <c r="HA2204" s="2"/>
      <c r="HB2204" s="2"/>
      <c r="HC2204" s="2"/>
      <c r="HD2204" s="2"/>
      <c r="HE2204" s="2"/>
      <c r="HF2204" s="2"/>
      <c r="HG2204" s="2"/>
      <c r="HH2204" s="2"/>
      <c r="HI2204" s="2"/>
      <c r="HJ2204" s="2"/>
      <c r="HK2204" s="2"/>
      <c r="HL2204" s="2"/>
      <c r="HM2204" s="2"/>
      <c r="HN2204" s="2"/>
      <c r="HO2204" s="2"/>
      <c r="HP2204" s="2"/>
      <c r="HQ2204" s="2"/>
      <c r="HR2204" s="2"/>
      <c r="HS2204" s="2"/>
      <c r="HT2204" s="2"/>
      <c r="HU2204" s="2"/>
      <c r="HV2204" s="2"/>
      <c r="HW2204" s="2"/>
      <c r="HX2204" s="2"/>
      <c r="HY2204" s="2"/>
      <c r="HZ2204" s="2"/>
      <c r="IA2204" s="2"/>
      <c r="IB2204" s="2"/>
      <c r="IC2204" s="2"/>
      <c r="IL2204" s="17" t="e">
        <f>#REF!</f>
        <v>#REF!</v>
      </c>
      <c r="IM2204" s="17" t="e">
        <f>#REF!</f>
        <v>#REF!</v>
      </c>
      <c r="IN2204" s="17" t="e">
        <f>#REF!</f>
        <v>#REF!</v>
      </c>
    </row>
    <row r="2998" spans="67:67">
      <c r="BO2998" s="1">
        <v>1</v>
      </c>
    </row>
    <row r="29998" spans="1:244">
      <c r="A29998" s="2"/>
      <c r="B29998" s="2"/>
      <c r="C29998" s="2"/>
      <c r="D29998" s="2"/>
      <c r="E29998" s="2"/>
      <c r="F29998" s="2"/>
      <c r="G29998" s="2"/>
      <c r="H29998" s="2"/>
      <c r="I29998" s="2"/>
      <c r="J29998" s="2"/>
      <c r="K29998" s="2"/>
      <c r="L29998" s="2"/>
      <c r="M29998" s="2"/>
      <c r="AP29998" s="2"/>
      <c r="AQ29998" s="2"/>
      <c r="AR29998" s="2"/>
      <c r="AS29998" s="2"/>
      <c r="AT29998" s="2"/>
      <c r="AU29998" s="2"/>
      <c r="AV29998" s="2"/>
      <c r="AW29998" s="2"/>
      <c r="AX29998" s="2"/>
      <c r="AY29998" s="2"/>
      <c r="AZ29998" s="2"/>
      <c r="BA29998" s="2"/>
      <c r="BB29998" s="2"/>
      <c r="BC29998" s="2"/>
      <c r="BD29998" s="2"/>
      <c r="BE29998" s="2"/>
      <c r="BF29998" s="2"/>
      <c r="BG29998" s="2"/>
      <c r="BH29998" s="2"/>
      <c r="BI29998" s="2"/>
      <c r="BJ29998" s="2"/>
      <c r="BK29998" s="2"/>
      <c r="BL29998" s="2"/>
      <c r="BM29998" s="2"/>
      <c r="BN29998" s="2"/>
      <c r="BO29998" s="2"/>
      <c r="BP29998" s="2"/>
      <c r="BQ29998" s="2"/>
      <c r="BR29998" s="2"/>
      <c r="BS29998" s="2"/>
      <c r="BT29998" s="2"/>
      <c r="BU29998" s="2"/>
      <c r="BV29998" s="2"/>
      <c r="BW29998" s="2"/>
      <c r="BX29998" s="2"/>
      <c r="BY29998" s="2"/>
      <c r="BZ29998" s="2"/>
      <c r="CA29998" s="2"/>
      <c r="CB29998" s="2"/>
      <c r="CC29998" s="2"/>
      <c r="CD29998" s="2"/>
      <c r="CE29998" s="2"/>
      <c r="CF29998" s="2"/>
      <c r="CG29998" s="2"/>
      <c r="CH29998" s="2"/>
      <c r="CI29998" s="2"/>
      <c r="CJ29998" s="2"/>
      <c r="CK29998" s="2"/>
      <c r="CL29998" s="2"/>
      <c r="CM29998" s="2"/>
      <c r="CN29998" s="2"/>
      <c r="CO29998" s="2"/>
      <c r="CP29998" s="2"/>
      <c r="CQ29998" s="2"/>
      <c r="CR29998" s="2"/>
      <c r="CS29998" s="2"/>
      <c r="CT29998" s="2"/>
      <c r="CU29998" s="2"/>
      <c r="CV29998" s="2"/>
      <c r="CW29998" s="2"/>
      <c r="CX29998" s="2"/>
      <c r="CY29998" s="2"/>
      <c r="CZ29998" s="2"/>
      <c r="DA29998" s="2"/>
      <c r="DB29998" s="2"/>
      <c r="DC29998" s="2"/>
      <c r="DD29998" s="2"/>
      <c r="DE29998" s="2"/>
      <c r="DF29998" s="2"/>
      <c r="DG29998" s="2"/>
      <c r="DH29998" s="2"/>
      <c r="DI29998" s="2"/>
      <c r="DJ29998" s="2"/>
      <c r="DK29998" s="2"/>
      <c r="DL29998" s="2"/>
      <c r="DM29998" s="2"/>
      <c r="DN29998" s="2"/>
      <c r="DO29998" s="2"/>
      <c r="DP29998" s="2"/>
      <c r="DQ29998" s="2"/>
      <c r="DR29998" s="2"/>
      <c r="DS29998" s="2"/>
      <c r="DT29998" s="2"/>
      <c r="DU29998" s="2"/>
      <c r="DV29998" s="2"/>
      <c r="DW29998" s="2"/>
      <c r="DX29998" s="2"/>
      <c r="DY29998" s="2"/>
      <c r="DZ29998" s="2"/>
      <c r="EA29998" s="2"/>
      <c r="EB29998" s="2"/>
      <c r="EC29998" s="2"/>
      <c r="ED29998" s="2"/>
      <c r="EE29998" s="2"/>
      <c r="EF29998" s="2"/>
      <c r="EG29998" s="2"/>
      <c r="EH29998" s="2"/>
      <c r="EI29998" s="2"/>
      <c r="EJ29998" s="2"/>
      <c r="EK29998" s="2"/>
      <c r="EL29998" s="2"/>
      <c r="EM29998" s="2"/>
      <c r="EN29998" s="2"/>
      <c r="EO29998" s="2"/>
      <c r="EP29998" s="2"/>
      <c r="EQ29998" s="2"/>
      <c r="ER29998" s="2"/>
      <c r="ES29998" s="2"/>
      <c r="ET29998" s="2"/>
      <c r="EU29998" s="2"/>
      <c r="EV29998" s="2"/>
      <c r="EW29998" s="2"/>
      <c r="EX29998" s="2"/>
      <c r="EY29998" s="2"/>
      <c r="EZ29998" s="2"/>
      <c r="FA29998" s="2"/>
      <c r="FB29998" s="2"/>
      <c r="FC29998" s="2"/>
      <c r="FD29998" s="2"/>
      <c r="FE29998" s="2"/>
      <c r="FF29998" s="2"/>
      <c r="FG29998" s="2"/>
      <c r="FH29998" s="2"/>
      <c r="FI29998" s="2"/>
      <c r="FJ29998" s="2"/>
      <c r="FK29998" s="2"/>
      <c r="FL29998" s="2"/>
      <c r="FM29998" s="2"/>
      <c r="FN29998" s="2"/>
      <c r="FO29998" s="2"/>
      <c r="FP29998" s="2"/>
      <c r="FQ29998" s="2"/>
      <c r="FR29998" s="2"/>
      <c r="FS29998" s="2"/>
      <c r="FT29998" s="2"/>
      <c r="FU29998" s="2"/>
      <c r="FV29998" s="2"/>
      <c r="FW29998" s="2"/>
      <c r="FX29998" s="2"/>
      <c r="FY29998" s="2"/>
      <c r="FZ29998" s="2"/>
      <c r="GA29998" s="2"/>
      <c r="GB29998" s="2"/>
      <c r="GC29998" s="2"/>
      <c r="GD29998" s="2"/>
      <c r="GE29998" s="2"/>
      <c r="GF29998" s="2"/>
      <c r="GG29998" s="2"/>
      <c r="GH29998" s="2"/>
      <c r="GI29998" s="2"/>
      <c r="GJ29998" s="2"/>
      <c r="GK29998" s="2"/>
      <c r="GL29998" s="2"/>
      <c r="GM29998" s="2"/>
      <c r="GN29998" s="2"/>
      <c r="GO29998" s="2"/>
      <c r="GP29998" s="2"/>
      <c r="GQ29998" s="2"/>
      <c r="GR29998" s="2"/>
      <c r="GS29998" s="2"/>
      <c r="GT29998" s="2"/>
      <c r="GU29998" s="2"/>
      <c r="GV29998" s="2"/>
      <c r="GW29998" s="2"/>
      <c r="GX29998" s="2"/>
      <c r="GY29998" s="2"/>
      <c r="GZ29998" s="2"/>
      <c r="HA29998" s="2"/>
      <c r="HB29998" s="2"/>
      <c r="HC29998" s="2"/>
      <c r="HD29998" s="2"/>
      <c r="HE29998" s="2"/>
      <c r="HF29998" s="2"/>
      <c r="HG29998" s="2"/>
      <c r="HH29998" s="2"/>
      <c r="HI29998" s="2"/>
      <c r="HJ29998" s="2"/>
      <c r="HK29998" s="2"/>
      <c r="HL29998" s="2"/>
      <c r="HM29998" s="2"/>
      <c r="HN29998" s="2"/>
      <c r="HO29998" s="2"/>
      <c r="HP29998" s="2"/>
      <c r="HQ29998" s="2"/>
      <c r="HR29998" s="2"/>
      <c r="HS29998" s="2"/>
      <c r="HT29998" s="2"/>
      <c r="HU29998" s="2"/>
      <c r="HV29998" s="2"/>
      <c r="HW29998" s="2"/>
      <c r="HX29998" s="2"/>
      <c r="HY29998" s="2"/>
      <c r="HZ29998" s="2"/>
      <c r="IA29998" s="2"/>
      <c r="IB29998" s="2"/>
      <c r="IC29998" s="2"/>
      <c r="IJ29998" s="6" t="s">
        <v>5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dule1.openhwk">
                <anchor moveWithCells="1" sizeWithCells="1">
                  <from>
                    <xdr:col>2</xdr:col>
                    <xdr:colOff>4318000</xdr:colOff>
                    <xdr:row>0</xdr:row>
                    <xdr:rowOff>190500</xdr:rowOff>
                  </from>
                  <to>
                    <xdr:col>2</xdr:col>
                    <xdr:colOff>6223000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35FE2-3F16-014C-8B34-FCE8EF15D95D}">
  <sheetPr codeName="Sheet3"/>
  <dimension ref="A1:GN37519"/>
  <sheetViews>
    <sheetView zoomScaleNormal="100" zoomScalePageLayoutView="85" workbookViewId="0">
      <selection sqref="A1:B1"/>
    </sheetView>
  </sheetViews>
  <sheetFormatPr baseColWidth="10" defaultColWidth="8.83203125" defaultRowHeight="29"/>
  <cols>
    <col min="1" max="1" width="10" style="29" customWidth="1"/>
    <col min="2" max="2" width="7" style="67" customWidth="1"/>
    <col min="3" max="3" width="33.1640625" style="72" customWidth="1"/>
    <col min="4" max="4" width="40.5" style="72" customWidth="1"/>
    <col min="5" max="5" width="36.5" style="67" customWidth="1"/>
    <col min="6" max="6" width="18.83203125" style="67" customWidth="1"/>
    <col min="7" max="7" width="23.33203125" style="45" bestFit="1" customWidth="1"/>
    <col min="8" max="8" width="14" style="45" bestFit="1" customWidth="1"/>
    <col min="9" max="9" width="14.83203125" style="45" customWidth="1"/>
    <col min="10" max="10" width="26" style="45" bestFit="1" customWidth="1"/>
    <col min="11" max="13" width="8.83203125" style="45"/>
    <col min="14" max="38" width="8.83203125" style="66"/>
    <col min="39" max="65" width="8.83203125" style="68"/>
    <col min="66" max="68" width="0" style="68" hidden="1" customWidth="1"/>
    <col min="69" max="208" width="8.83203125" style="68"/>
    <col min="209" max="256" width="0" style="68" hidden="1" customWidth="1"/>
    <col min="257" max="16384" width="8.83203125" style="68"/>
  </cols>
  <sheetData>
    <row r="1" spans="1:38" s="67" customFormat="1" ht="32" customHeight="1">
      <c r="A1" s="125" t="s">
        <v>43</v>
      </c>
      <c r="B1" s="125"/>
      <c r="C1" s="37" t="s">
        <v>44</v>
      </c>
      <c r="D1" s="33"/>
      <c r="E1" s="65"/>
      <c r="F1" s="65"/>
      <c r="G1" s="45"/>
      <c r="H1" s="45"/>
      <c r="I1" s="45"/>
      <c r="J1" s="45"/>
      <c r="K1" s="45"/>
      <c r="L1" s="45"/>
      <c r="M1" s="45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</row>
    <row r="2" spans="1:38" s="67" customFormat="1" ht="41" customHeight="1" thickBot="1">
      <c r="A2" s="64"/>
      <c r="B2" s="64"/>
      <c r="C2" s="126" t="s">
        <v>68</v>
      </c>
      <c r="D2" s="126"/>
      <c r="E2" s="126"/>
      <c r="F2" s="65"/>
      <c r="G2" s="45"/>
      <c r="H2" s="45"/>
      <c r="I2" s="45"/>
      <c r="J2" s="45"/>
      <c r="K2" s="45"/>
      <c r="L2" s="45"/>
      <c r="M2" s="45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</row>
    <row r="3" spans="1:38" ht="25" customHeight="1" thickBot="1">
      <c r="A3" s="35" t="str">
        <f>CONCATENATE(A36," Points")</f>
        <v>18.5 Points</v>
      </c>
      <c r="B3" s="43" t="s">
        <v>0</v>
      </c>
      <c r="C3" s="127" t="s">
        <v>64</v>
      </c>
      <c r="D3" s="128"/>
      <c r="E3" s="128"/>
      <c r="F3" s="56" t="s">
        <v>32</v>
      </c>
      <c r="G3" s="46"/>
    </row>
    <row r="4" spans="1:38" ht="20" customHeight="1">
      <c r="A4" s="35">
        <v>0.25</v>
      </c>
      <c r="B4" s="54" t="s">
        <v>21</v>
      </c>
      <c r="C4" s="122" t="s">
        <v>56</v>
      </c>
      <c r="D4" s="123"/>
      <c r="E4" s="124"/>
      <c r="F4" s="57"/>
    </row>
    <row r="5" spans="1:38" ht="20" customHeight="1">
      <c r="A5" s="35">
        <v>0.25</v>
      </c>
      <c r="B5" s="54" t="s">
        <v>22</v>
      </c>
      <c r="C5" s="114" t="s">
        <v>57</v>
      </c>
      <c r="D5" s="115"/>
      <c r="E5" s="116"/>
      <c r="F5" s="58"/>
    </row>
    <row r="6" spans="1:38" ht="20" customHeight="1">
      <c r="A6" s="35">
        <v>0.25</v>
      </c>
      <c r="B6" s="54" t="s">
        <v>23</v>
      </c>
      <c r="C6" s="114" t="s">
        <v>58</v>
      </c>
      <c r="D6" s="115"/>
      <c r="E6" s="116"/>
      <c r="F6" s="58"/>
    </row>
    <row r="7" spans="1:38" ht="20" customHeight="1">
      <c r="A7" s="35">
        <v>0.25</v>
      </c>
      <c r="B7" s="54" t="s">
        <v>24</v>
      </c>
      <c r="C7" s="114" t="s">
        <v>59</v>
      </c>
      <c r="D7" s="115"/>
      <c r="E7" s="116"/>
      <c r="F7" s="58"/>
    </row>
    <row r="8" spans="1:38" ht="20" customHeight="1" thickBot="1">
      <c r="A8" s="35">
        <v>0.5</v>
      </c>
      <c r="B8" s="55" t="s">
        <v>25</v>
      </c>
      <c r="C8" s="111" t="s">
        <v>60</v>
      </c>
      <c r="D8" s="112"/>
      <c r="E8" s="113"/>
      <c r="F8" s="58" t="s">
        <v>1504</v>
      </c>
    </row>
    <row r="9" spans="1:38" ht="27" thickBot="1">
      <c r="A9" s="35"/>
      <c r="B9" s="43" t="s">
        <v>1</v>
      </c>
      <c r="C9" s="100" t="s">
        <v>65</v>
      </c>
      <c r="D9" s="101"/>
      <c r="E9" s="117"/>
      <c r="F9" s="59"/>
    </row>
    <row r="10" spans="1:38" ht="22.75" customHeight="1">
      <c r="A10" s="35">
        <v>0.5</v>
      </c>
      <c r="B10" s="54" t="s">
        <v>21</v>
      </c>
      <c r="C10" s="118" t="s">
        <v>61</v>
      </c>
      <c r="D10" s="119"/>
      <c r="E10" s="119"/>
      <c r="F10" s="58" t="s">
        <v>1505</v>
      </c>
    </row>
    <row r="11" spans="1:38" ht="22.75" customHeight="1">
      <c r="A11" s="35">
        <v>0.75</v>
      </c>
      <c r="B11" s="54" t="s">
        <v>22</v>
      </c>
      <c r="C11" s="120" t="s">
        <v>1486</v>
      </c>
      <c r="D11" s="121"/>
      <c r="E11" s="121"/>
      <c r="F11" s="58"/>
    </row>
    <row r="12" spans="1:38" ht="26">
      <c r="A12" s="35">
        <v>0.75</v>
      </c>
      <c r="B12" s="54" t="s">
        <v>23</v>
      </c>
      <c r="C12" s="120" t="s">
        <v>1487</v>
      </c>
      <c r="D12" s="121"/>
      <c r="E12" s="121"/>
      <c r="F12" s="58"/>
    </row>
    <row r="13" spans="1:38" ht="22.75" customHeight="1">
      <c r="A13" s="35">
        <v>1.75</v>
      </c>
      <c r="B13" s="54" t="s">
        <v>24</v>
      </c>
      <c r="C13" s="120" t="s">
        <v>1488</v>
      </c>
      <c r="D13" s="121"/>
      <c r="E13" s="121"/>
      <c r="F13" s="58"/>
    </row>
    <row r="14" spans="1:38" ht="24" customHeight="1" thickBot="1">
      <c r="A14" s="35">
        <v>1.5</v>
      </c>
      <c r="B14" s="54" t="s">
        <v>25</v>
      </c>
      <c r="C14" s="120" t="s">
        <v>62</v>
      </c>
      <c r="D14" s="121"/>
      <c r="E14" s="121"/>
      <c r="F14" s="77" t="s">
        <v>1506</v>
      </c>
    </row>
    <row r="15" spans="1:38" ht="34" customHeight="1" thickBot="1">
      <c r="A15" s="35"/>
      <c r="B15" s="43" t="s">
        <v>8</v>
      </c>
      <c r="C15" s="100" t="s">
        <v>1489</v>
      </c>
      <c r="D15" s="101"/>
      <c r="E15" s="101"/>
      <c r="F15" s="60"/>
      <c r="G15" s="46"/>
      <c r="H15" s="26"/>
      <c r="I15" s="46"/>
    </row>
    <row r="16" spans="1:38" ht="30" customHeight="1">
      <c r="A16" s="35">
        <v>0.75</v>
      </c>
      <c r="B16" s="54" t="s">
        <v>21</v>
      </c>
      <c r="C16" s="122" t="s">
        <v>1490</v>
      </c>
      <c r="D16" s="123"/>
      <c r="E16" s="124"/>
      <c r="F16" s="77"/>
      <c r="G16" s="47"/>
      <c r="H16" s="26"/>
      <c r="I16" s="47"/>
      <c r="M16" s="47"/>
    </row>
    <row r="17" spans="1:13" ht="19.75" customHeight="1">
      <c r="A17" s="35">
        <v>0.75</v>
      </c>
      <c r="B17" s="54" t="s">
        <v>22</v>
      </c>
      <c r="C17" s="114" t="s">
        <v>1491</v>
      </c>
      <c r="D17" s="115"/>
      <c r="E17" s="116"/>
      <c r="F17" s="58"/>
      <c r="G17" s="47"/>
      <c r="H17" s="26"/>
      <c r="I17" s="47"/>
      <c r="M17" s="47"/>
    </row>
    <row r="18" spans="1:13" ht="24.5" customHeight="1" thickBot="1">
      <c r="A18" s="35">
        <v>0.75</v>
      </c>
      <c r="B18" s="55" t="s">
        <v>23</v>
      </c>
      <c r="C18" s="111" t="s">
        <v>63</v>
      </c>
      <c r="D18" s="112"/>
      <c r="E18" s="113"/>
      <c r="F18" s="77" t="s">
        <v>1507</v>
      </c>
      <c r="G18" s="47"/>
      <c r="H18" s="26"/>
      <c r="I18" s="47"/>
      <c r="M18" s="47"/>
    </row>
    <row r="19" spans="1:13" ht="39" customHeight="1" thickBot="1">
      <c r="A19" s="35"/>
      <c r="B19" s="43" t="s">
        <v>16</v>
      </c>
      <c r="C19" s="100" t="s">
        <v>66</v>
      </c>
      <c r="D19" s="101"/>
      <c r="E19" s="101"/>
      <c r="F19" s="44"/>
      <c r="G19" s="47"/>
      <c r="I19" s="47"/>
      <c r="M19" s="47"/>
    </row>
    <row r="20" spans="1:13" ht="20" customHeight="1">
      <c r="A20" s="35">
        <v>0.5</v>
      </c>
      <c r="B20" s="54" t="s">
        <v>21</v>
      </c>
      <c r="C20" s="102" t="s">
        <v>67</v>
      </c>
      <c r="D20" s="103"/>
      <c r="E20" s="103"/>
      <c r="F20" s="61"/>
      <c r="G20" s="47"/>
      <c r="H20" s="47"/>
      <c r="I20" s="47"/>
      <c r="J20" s="47"/>
      <c r="M20" s="47"/>
    </row>
    <row r="21" spans="1:13" ht="20" customHeight="1">
      <c r="A21" s="35">
        <v>0.5</v>
      </c>
      <c r="B21" s="54" t="s">
        <v>22</v>
      </c>
      <c r="C21" s="104" t="s">
        <v>1492</v>
      </c>
      <c r="D21" s="105"/>
      <c r="E21" s="105"/>
      <c r="F21" s="58"/>
    </row>
    <row r="22" spans="1:13" ht="20" customHeight="1">
      <c r="A22" s="35">
        <v>0.5</v>
      </c>
      <c r="B22" s="54" t="s">
        <v>23</v>
      </c>
      <c r="C22" s="106" t="s">
        <v>69</v>
      </c>
      <c r="D22" s="107"/>
      <c r="E22" s="107"/>
      <c r="F22" s="58"/>
    </row>
    <row r="23" spans="1:13" ht="20" customHeight="1">
      <c r="A23" s="35">
        <v>1</v>
      </c>
      <c r="B23" s="54" t="s">
        <v>24</v>
      </c>
      <c r="C23" s="104" t="s">
        <v>70</v>
      </c>
      <c r="D23" s="105"/>
      <c r="E23" s="105"/>
      <c r="F23" s="58"/>
    </row>
    <row r="24" spans="1:13" ht="20" customHeight="1" thickBot="1">
      <c r="A24" s="35">
        <v>0.5</v>
      </c>
      <c r="B24" s="54" t="s">
        <v>25</v>
      </c>
      <c r="C24" s="106" t="s">
        <v>71</v>
      </c>
      <c r="D24" s="107"/>
      <c r="E24" s="107"/>
      <c r="F24" s="77"/>
    </row>
    <row r="25" spans="1:13" ht="25" customHeight="1" thickBot="1">
      <c r="A25" s="35"/>
      <c r="B25" s="43" t="s">
        <v>19</v>
      </c>
      <c r="C25" s="100" t="s">
        <v>72</v>
      </c>
      <c r="D25" s="101"/>
      <c r="E25" s="101"/>
      <c r="F25" s="38"/>
    </row>
    <row r="26" spans="1:13" ht="20" customHeight="1">
      <c r="A26" s="35">
        <v>1.75</v>
      </c>
      <c r="B26" s="54" t="s">
        <v>21</v>
      </c>
      <c r="C26" s="106" t="s">
        <v>73</v>
      </c>
      <c r="D26" s="107"/>
      <c r="E26" s="107"/>
      <c r="F26" s="77" t="s">
        <v>1509</v>
      </c>
      <c r="J26" s="48"/>
    </row>
    <row r="27" spans="1:13" ht="31" customHeight="1">
      <c r="A27" s="35"/>
      <c r="B27" s="54" t="s">
        <v>22</v>
      </c>
      <c r="C27" s="108" t="s">
        <v>74</v>
      </c>
      <c r="D27" s="109"/>
      <c r="E27" s="109"/>
      <c r="F27" s="110"/>
      <c r="J27" s="48"/>
    </row>
    <row r="28" spans="1:13" ht="18" customHeight="1">
      <c r="A28" s="35">
        <v>0.25</v>
      </c>
      <c r="B28" s="54"/>
      <c r="C28" s="98" t="s">
        <v>75</v>
      </c>
      <c r="D28" s="99"/>
      <c r="E28" s="99"/>
      <c r="F28" s="77" t="s">
        <v>1510</v>
      </c>
      <c r="H28" s="48"/>
      <c r="J28" s="48"/>
    </row>
    <row r="29" spans="1:13" ht="18" customHeight="1">
      <c r="A29" s="35">
        <v>0.25</v>
      </c>
      <c r="B29" s="54"/>
      <c r="C29" s="98" t="s">
        <v>76</v>
      </c>
      <c r="D29" s="99"/>
      <c r="E29" s="99"/>
      <c r="F29" s="77" t="s">
        <v>1510</v>
      </c>
      <c r="H29" s="48"/>
      <c r="J29" s="48"/>
    </row>
    <row r="30" spans="1:13" ht="18" customHeight="1">
      <c r="A30" s="35">
        <v>0.25</v>
      </c>
      <c r="B30" s="54"/>
      <c r="C30" s="98" t="s">
        <v>77</v>
      </c>
      <c r="D30" s="99"/>
      <c r="E30" s="99"/>
      <c r="F30" s="77" t="s">
        <v>1510</v>
      </c>
      <c r="H30" s="48"/>
      <c r="J30" s="48"/>
    </row>
    <row r="31" spans="1:13" ht="18" customHeight="1">
      <c r="A31" s="35">
        <v>0.25</v>
      </c>
      <c r="B31" s="54"/>
      <c r="C31" s="98" t="s">
        <v>78</v>
      </c>
      <c r="D31" s="99"/>
      <c r="E31" s="99"/>
      <c r="F31" s="77" t="s">
        <v>1510</v>
      </c>
      <c r="H31" s="48"/>
      <c r="J31" s="48"/>
    </row>
    <row r="32" spans="1:13" ht="18" customHeight="1" thickBot="1">
      <c r="A32" s="35">
        <v>0.25</v>
      </c>
      <c r="B32" s="54"/>
      <c r="C32" s="98" t="s">
        <v>79</v>
      </c>
      <c r="D32" s="99"/>
      <c r="E32" s="99"/>
      <c r="F32" s="77" t="s">
        <v>1510</v>
      </c>
      <c r="H32" s="48"/>
      <c r="J32" s="48"/>
    </row>
    <row r="33" spans="1:13" ht="37" customHeight="1" thickBot="1">
      <c r="A33" s="35"/>
      <c r="B33" s="36" t="s">
        <v>26</v>
      </c>
      <c r="C33" s="100" t="s">
        <v>80</v>
      </c>
      <c r="D33" s="101"/>
      <c r="E33" s="101"/>
      <c r="F33" s="38"/>
    </row>
    <row r="34" spans="1:13" ht="38" customHeight="1">
      <c r="A34" s="35">
        <v>1.75</v>
      </c>
      <c r="B34" s="54" t="s">
        <v>21</v>
      </c>
      <c r="C34" s="94" t="s">
        <v>81</v>
      </c>
      <c r="D34" s="95"/>
      <c r="E34" s="95"/>
      <c r="F34" s="61"/>
    </row>
    <row r="35" spans="1:13" ht="27" thickBot="1">
      <c r="A35" s="35">
        <v>1.75</v>
      </c>
      <c r="B35" s="55" t="s">
        <v>22</v>
      </c>
      <c r="C35" s="96" t="s">
        <v>82</v>
      </c>
      <c r="D35" s="97"/>
      <c r="E35" s="97"/>
      <c r="F35" s="77" t="s">
        <v>1510</v>
      </c>
    </row>
    <row r="36" spans="1:13" s="40" customFormat="1" ht="18" customHeight="1">
      <c r="A36" s="42">
        <f>SUM(A4:A35)</f>
        <v>18.5</v>
      </c>
      <c r="B36" s="69"/>
      <c r="G36" s="49"/>
      <c r="H36" s="49"/>
      <c r="I36" s="49"/>
      <c r="J36" s="49"/>
      <c r="K36" s="49"/>
      <c r="L36" s="49"/>
      <c r="M36" s="49"/>
    </row>
    <row r="37" spans="1:13" s="40" customFormat="1" ht="19">
      <c r="B37" s="69"/>
      <c r="G37" s="49"/>
      <c r="H37" s="49"/>
      <c r="I37" s="49"/>
      <c r="J37" s="49"/>
      <c r="K37" s="49"/>
      <c r="L37" s="49"/>
      <c r="M37" s="49"/>
    </row>
    <row r="38" spans="1:13" s="40" customFormat="1" ht="19">
      <c r="A38" s="41"/>
      <c r="C38" s="70"/>
      <c r="D38" s="70"/>
      <c r="G38" s="49"/>
      <c r="H38" s="49"/>
      <c r="I38" s="49"/>
      <c r="J38" s="49"/>
      <c r="K38" s="49"/>
      <c r="L38" s="49"/>
      <c r="M38" s="49"/>
    </row>
    <row r="39" spans="1:13" s="40" customFormat="1" ht="19">
      <c r="A39" s="41"/>
      <c r="C39" s="70"/>
      <c r="D39" s="70"/>
      <c r="G39" s="49"/>
      <c r="H39" s="49"/>
      <c r="I39" s="49"/>
      <c r="J39" s="49"/>
      <c r="K39" s="49"/>
      <c r="L39" s="49"/>
      <c r="M39" s="49"/>
    </row>
    <row r="40" spans="1:13" s="40" customFormat="1" ht="19">
      <c r="A40" s="41"/>
      <c r="C40" s="70"/>
      <c r="D40" s="70"/>
      <c r="G40" s="49"/>
      <c r="H40" s="49"/>
      <c r="I40" s="49"/>
      <c r="J40" s="49"/>
      <c r="K40" s="49"/>
      <c r="L40" s="49"/>
      <c r="M40" s="49"/>
    </row>
    <row r="41" spans="1:13" s="40" customFormat="1" ht="19">
      <c r="A41" s="41"/>
      <c r="C41" s="70"/>
      <c r="D41" s="70"/>
      <c r="G41" s="49"/>
      <c r="H41" s="49"/>
      <c r="I41" s="49"/>
      <c r="J41" s="49"/>
      <c r="K41" s="49"/>
      <c r="L41" s="49"/>
      <c r="M41" s="49"/>
    </row>
    <row r="42" spans="1:13" s="40" customFormat="1" ht="19">
      <c r="A42" s="41"/>
      <c r="C42" s="70"/>
      <c r="D42" s="70"/>
      <c r="G42" s="49"/>
      <c r="H42" s="49"/>
      <c r="I42" s="49"/>
      <c r="J42" s="49"/>
      <c r="K42" s="49"/>
      <c r="L42" s="49"/>
      <c r="M42" s="49"/>
    </row>
    <row r="43" spans="1:13" s="40" customFormat="1" ht="19">
      <c r="A43" s="41"/>
      <c r="C43" s="70"/>
      <c r="D43" s="70"/>
      <c r="G43" s="49"/>
      <c r="H43" s="49"/>
      <c r="I43" s="49"/>
      <c r="J43" s="49"/>
      <c r="K43" s="49"/>
      <c r="L43" s="49"/>
      <c r="M43" s="49"/>
    </row>
    <row r="44" spans="1:13" s="40" customFormat="1" ht="19">
      <c r="A44" s="41"/>
      <c r="C44" s="70"/>
      <c r="D44" s="70"/>
      <c r="G44" s="49"/>
      <c r="H44" s="49"/>
      <c r="I44" s="49"/>
      <c r="J44" s="49"/>
      <c r="K44" s="49"/>
      <c r="L44" s="49"/>
      <c r="M44" s="49"/>
    </row>
    <row r="45" spans="1:13" s="40" customFormat="1" ht="19">
      <c r="A45" s="41"/>
      <c r="C45" s="70"/>
      <c r="D45" s="70"/>
      <c r="G45" s="49"/>
      <c r="H45" s="49"/>
      <c r="I45" s="49"/>
      <c r="J45" s="49"/>
      <c r="K45" s="49"/>
      <c r="L45" s="49"/>
      <c r="M45" s="49"/>
    </row>
    <row r="46" spans="1:13" s="40" customFormat="1" ht="19">
      <c r="A46" s="41"/>
      <c r="C46" s="70"/>
      <c r="D46" s="70"/>
      <c r="G46" s="49"/>
      <c r="H46" s="49"/>
      <c r="I46" s="49"/>
      <c r="J46" s="49"/>
      <c r="K46" s="49"/>
      <c r="L46" s="49"/>
      <c r="M46" s="49"/>
    </row>
    <row r="47" spans="1:13" s="40" customFormat="1" ht="19">
      <c r="A47" s="41"/>
      <c r="C47" s="70"/>
      <c r="D47" s="70"/>
      <c r="G47" s="49"/>
      <c r="H47" s="49"/>
      <c r="I47" s="49"/>
      <c r="J47" s="49"/>
      <c r="K47" s="49"/>
      <c r="L47" s="49"/>
      <c r="M47" s="49"/>
    </row>
    <row r="48" spans="1:13" s="40" customFormat="1" ht="19">
      <c r="A48" s="41"/>
      <c r="C48" s="70"/>
      <c r="D48" s="70"/>
      <c r="G48" s="49"/>
      <c r="H48" s="49"/>
      <c r="I48" s="49"/>
      <c r="J48" s="49"/>
      <c r="K48" s="49"/>
      <c r="L48" s="49"/>
      <c r="M48" s="49"/>
    </row>
    <row r="49" spans="1:13" s="40" customFormat="1" ht="19">
      <c r="A49" s="41"/>
      <c r="C49" s="70"/>
      <c r="D49" s="70"/>
      <c r="G49" s="49"/>
      <c r="H49" s="49"/>
      <c r="I49" s="49"/>
      <c r="J49" s="49"/>
      <c r="K49" s="49"/>
      <c r="L49" s="49"/>
      <c r="M49" s="49"/>
    </row>
    <row r="50" spans="1:13" s="40" customFormat="1" ht="19">
      <c r="A50" s="41"/>
      <c r="C50" s="70"/>
      <c r="D50" s="70"/>
      <c r="G50" s="49"/>
      <c r="H50" s="49"/>
      <c r="I50" s="49"/>
      <c r="J50" s="49"/>
      <c r="K50" s="49"/>
      <c r="L50" s="49"/>
      <c r="M50" s="49"/>
    </row>
    <row r="51" spans="1:13" s="40" customFormat="1" ht="19">
      <c r="A51" s="41"/>
      <c r="C51" s="70"/>
      <c r="D51" s="70"/>
      <c r="G51" s="49"/>
      <c r="H51" s="49"/>
      <c r="I51" s="49"/>
      <c r="J51" s="49"/>
      <c r="K51" s="49"/>
      <c r="L51" s="49"/>
      <c r="M51" s="49"/>
    </row>
    <row r="52" spans="1:13" s="40" customFormat="1" ht="19">
      <c r="A52" s="41"/>
      <c r="C52" s="70"/>
      <c r="D52" s="70"/>
      <c r="G52" s="49"/>
      <c r="H52" s="49"/>
      <c r="I52" s="49"/>
      <c r="J52" s="49"/>
      <c r="K52" s="49"/>
      <c r="L52" s="49"/>
      <c r="M52" s="49"/>
    </row>
    <row r="53" spans="1:13" s="40" customFormat="1" ht="19">
      <c r="A53" s="41"/>
      <c r="C53" s="70"/>
      <c r="D53" s="70"/>
      <c r="G53" s="49"/>
      <c r="H53" s="49"/>
      <c r="I53" s="49"/>
      <c r="J53" s="49"/>
      <c r="K53" s="49"/>
      <c r="L53" s="49"/>
      <c r="M53" s="49"/>
    </row>
    <row r="54" spans="1:13" s="40" customFormat="1" ht="19">
      <c r="A54" s="41"/>
      <c r="C54" s="70"/>
      <c r="D54" s="70"/>
      <c r="G54" s="49"/>
      <c r="H54" s="49"/>
      <c r="I54" s="49"/>
      <c r="J54" s="49"/>
      <c r="K54" s="49"/>
      <c r="L54" s="49"/>
      <c r="M54" s="49"/>
    </row>
    <row r="55" spans="1:13" s="40" customFormat="1" ht="19">
      <c r="A55" s="41"/>
      <c r="C55" s="70"/>
      <c r="D55" s="70"/>
      <c r="G55" s="49"/>
      <c r="H55" s="49"/>
      <c r="I55" s="49"/>
      <c r="J55" s="49"/>
      <c r="K55" s="49"/>
      <c r="L55" s="49"/>
      <c r="M55" s="49"/>
    </row>
    <row r="56" spans="1:13" s="40" customFormat="1" ht="19">
      <c r="A56" s="41"/>
      <c r="C56" s="70"/>
      <c r="D56" s="70"/>
      <c r="G56" s="49"/>
      <c r="H56" s="49"/>
      <c r="I56" s="49"/>
      <c r="J56" s="49"/>
      <c r="K56" s="49"/>
      <c r="L56" s="49"/>
      <c r="M56" s="49"/>
    </row>
    <row r="57" spans="1:13" s="40" customFormat="1" ht="19">
      <c r="A57" s="41"/>
      <c r="C57" s="70"/>
      <c r="D57" s="70"/>
      <c r="G57" s="49"/>
      <c r="H57" s="49"/>
      <c r="I57" s="49"/>
      <c r="J57" s="49"/>
      <c r="K57" s="49"/>
      <c r="L57" s="49"/>
      <c r="M57" s="49"/>
    </row>
    <row r="58" spans="1:13" s="40" customFormat="1" ht="19">
      <c r="A58" s="41"/>
      <c r="C58" s="70"/>
      <c r="D58" s="70"/>
      <c r="G58" s="49"/>
      <c r="H58" s="49"/>
      <c r="I58" s="49"/>
      <c r="J58" s="49"/>
      <c r="K58" s="49"/>
      <c r="L58" s="49"/>
      <c r="M58" s="49"/>
    </row>
    <row r="59" spans="1:13" s="40" customFormat="1" ht="19">
      <c r="A59" s="41"/>
      <c r="C59" s="70"/>
      <c r="D59" s="70"/>
      <c r="G59" s="49"/>
      <c r="H59" s="49"/>
      <c r="I59" s="49"/>
      <c r="J59" s="49"/>
      <c r="K59" s="49"/>
      <c r="L59" s="49"/>
      <c r="M59" s="49"/>
    </row>
    <row r="60" spans="1:13" s="40" customFormat="1" ht="19">
      <c r="A60" s="41"/>
      <c r="C60" s="70"/>
      <c r="D60" s="70"/>
      <c r="G60" s="49"/>
      <c r="H60" s="49"/>
      <c r="I60" s="49"/>
      <c r="J60" s="49"/>
      <c r="K60" s="49"/>
      <c r="L60" s="49"/>
      <c r="M60" s="49"/>
    </row>
    <row r="61" spans="1:13" s="40" customFormat="1" ht="19">
      <c r="A61" s="41"/>
      <c r="C61" s="70"/>
      <c r="D61" s="70"/>
      <c r="G61" s="49"/>
      <c r="H61" s="49"/>
      <c r="I61" s="49"/>
      <c r="J61" s="49"/>
      <c r="K61" s="49"/>
      <c r="L61" s="49"/>
      <c r="M61" s="49"/>
    </row>
    <row r="62" spans="1:13" s="40" customFormat="1" ht="19">
      <c r="A62" s="41"/>
      <c r="C62" s="70"/>
      <c r="D62" s="70"/>
      <c r="G62" s="49"/>
      <c r="H62" s="49"/>
      <c r="I62" s="49"/>
      <c r="J62" s="49"/>
      <c r="K62" s="49"/>
      <c r="L62" s="49"/>
      <c r="M62" s="49"/>
    </row>
    <row r="63" spans="1:13" s="40" customFormat="1" ht="19">
      <c r="A63" s="41"/>
      <c r="C63" s="70"/>
      <c r="D63" s="70"/>
      <c r="G63" s="49"/>
      <c r="H63" s="49"/>
      <c r="I63" s="49"/>
      <c r="J63" s="49"/>
      <c r="K63" s="49"/>
      <c r="L63" s="49"/>
      <c r="M63" s="49"/>
    </row>
    <row r="64" spans="1:13" s="40" customFormat="1" ht="19">
      <c r="A64" s="41"/>
      <c r="C64" s="70"/>
      <c r="D64" s="70"/>
      <c r="G64" s="49"/>
      <c r="H64" s="49"/>
      <c r="I64" s="49"/>
      <c r="J64" s="49"/>
      <c r="K64" s="49"/>
      <c r="L64" s="49"/>
      <c r="M64" s="49"/>
    </row>
    <row r="65" spans="1:13" s="40" customFormat="1" ht="19">
      <c r="A65" s="41"/>
      <c r="C65" s="70"/>
      <c r="D65" s="70"/>
      <c r="G65" s="49"/>
      <c r="H65" s="49"/>
      <c r="I65" s="49"/>
      <c r="J65" s="49"/>
      <c r="K65" s="49"/>
      <c r="L65" s="49"/>
      <c r="M65" s="49"/>
    </row>
    <row r="66" spans="1:13" s="40" customFormat="1" ht="19">
      <c r="A66" s="41"/>
      <c r="C66" s="70"/>
      <c r="D66" s="70"/>
      <c r="G66" s="49"/>
      <c r="H66" s="49"/>
      <c r="I66" s="49"/>
      <c r="J66" s="49"/>
      <c r="K66" s="49"/>
      <c r="L66" s="49"/>
      <c r="M66" s="49"/>
    </row>
    <row r="67" spans="1:13" s="40" customFormat="1" ht="19">
      <c r="A67" s="41"/>
      <c r="C67" s="70"/>
      <c r="D67" s="70"/>
      <c r="G67" s="49"/>
      <c r="H67" s="49"/>
      <c r="I67" s="49"/>
      <c r="J67" s="49"/>
      <c r="K67" s="49"/>
      <c r="L67" s="49"/>
      <c r="M67" s="49"/>
    </row>
    <row r="68" spans="1:13" s="40" customFormat="1" ht="19">
      <c r="A68" s="41"/>
      <c r="C68" s="70"/>
      <c r="D68" s="70"/>
      <c r="G68" s="49"/>
      <c r="H68" s="49"/>
      <c r="I68" s="49"/>
      <c r="J68" s="49"/>
      <c r="K68" s="49"/>
      <c r="L68" s="49"/>
      <c r="M68" s="49"/>
    </row>
    <row r="69" spans="1:13" s="40" customFormat="1" ht="19">
      <c r="A69" s="41"/>
      <c r="C69" s="70"/>
      <c r="D69" s="70"/>
      <c r="G69" s="49"/>
      <c r="H69" s="49"/>
      <c r="I69" s="49"/>
      <c r="J69" s="49"/>
      <c r="K69" s="49"/>
      <c r="L69" s="49"/>
      <c r="M69" s="49"/>
    </row>
    <row r="70" spans="1:13" s="40" customFormat="1" ht="19">
      <c r="A70" s="41"/>
      <c r="C70" s="70"/>
      <c r="D70" s="70"/>
      <c r="G70" s="49"/>
      <c r="H70" s="49"/>
      <c r="I70" s="49"/>
      <c r="J70" s="49"/>
      <c r="K70" s="49"/>
      <c r="L70" s="49"/>
      <c r="M70" s="49"/>
    </row>
    <row r="71" spans="1:13" s="40" customFormat="1" ht="19">
      <c r="A71" s="41"/>
      <c r="C71" s="70"/>
      <c r="D71" s="70"/>
      <c r="G71" s="49"/>
      <c r="H71" s="49"/>
      <c r="I71" s="49"/>
      <c r="J71" s="49"/>
      <c r="K71" s="49"/>
      <c r="L71" s="49"/>
      <c r="M71" s="49"/>
    </row>
    <row r="72" spans="1:13" s="40" customFormat="1" ht="19">
      <c r="A72" s="41"/>
      <c r="C72" s="70"/>
      <c r="D72" s="70"/>
      <c r="G72" s="49"/>
      <c r="H72" s="49"/>
      <c r="I72" s="49"/>
      <c r="J72" s="49"/>
      <c r="K72" s="49"/>
      <c r="L72" s="49"/>
      <c r="M72" s="49"/>
    </row>
    <row r="73" spans="1:13" s="40" customFormat="1" ht="19">
      <c r="A73" s="41"/>
      <c r="C73" s="70"/>
      <c r="D73" s="70"/>
      <c r="G73" s="49"/>
      <c r="H73" s="49"/>
      <c r="I73" s="49"/>
      <c r="J73" s="49"/>
      <c r="K73" s="49"/>
      <c r="L73" s="49"/>
      <c r="M73" s="49"/>
    </row>
    <row r="74" spans="1:13" s="40" customFormat="1" ht="19">
      <c r="A74" s="41"/>
      <c r="C74" s="70"/>
      <c r="D74" s="70"/>
      <c r="G74" s="49"/>
      <c r="H74" s="49"/>
      <c r="I74" s="49"/>
      <c r="J74" s="49"/>
      <c r="K74" s="49"/>
      <c r="L74" s="49"/>
      <c r="M74" s="49"/>
    </row>
    <row r="75" spans="1:13" s="40" customFormat="1" ht="19">
      <c r="A75" s="41"/>
      <c r="C75" s="70"/>
      <c r="D75" s="70"/>
      <c r="G75" s="49"/>
      <c r="H75" s="49"/>
      <c r="I75" s="49"/>
      <c r="J75" s="49"/>
      <c r="K75" s="49"/>
      <c r="L75" s="49"/>
      <c r="M75" s="49"/>
    </row>
    <row r="76" spans="1:13" s="40" customFormat="1" ht="19">
      <c r="A76" s="41"/>
      <c r="C76" s="70"/>
      <c r="D76" s="70"/>
      <c r="G76" s="49"/>
      <c r="H76" s="49"/>
      <c r="I76" s="49"/>
      <c r="J76" s="49"/>
      <c r="K76" s="49"/>
      <c r="L76" s="49"/>
      <c r="M76" s="49"/>
    </row>
    <row r="77" spans="1:13" s="40" customFormat="1" ht="19">
      <c r="A77" s="41"/>
      <c r="C77" s="70"/>
      <c r="D77" s="70"/>
      <c r="G77" s="49"/>
      <c r="H77" s="49"/>
      <c r="I77" s="49"/>
      <c r="J77" s="49"/>
      <c r="K77" s="49"/>
      <c r="L77" s="49"/>
      <c r="M77" s="49"/>
    </row>
    <row r="78" spans="1:13" s="40" customFormat="1" ht="19">
      <c r="A78" s="41"/>
      <c r="C78" s="70"/>
      <c r="D78" s="70"/>
      <c r="G78" s="49"/>
      <c r="H78" s="49"/>
      <c r="I78" s="49"/>
      <c r="J78" s="49"/>
      <c r="K78" s="49"/>
      <c r="L78" s="49"/>
      <c r="M78" s="49"/>
    </row>
    <row r="79" spans="1:13" s="40" customFormat="1" ht="19">
      <c r="A79" s="41"/>
      <c r="C79" s="70"/>
      <c r="D79" s="70"/>
      <c r="G79" s="49"/>
      <c r="H79" s="49"/>
      <c r="I79" s="49"/>
      <c r="J79" s="49"/>
      <c r="K79" s="49"/>
      <c r="L79" s="49"/>
      <c r="M79" s="49"/>
    </row>
    <row r="80" spans="1:13" s="40" customFormat="1" ht="19">
      <c r="A80" s="41"/>
      <c r="C80" s="70"/>
      <c r="D80" s="70"/>
      <c r="G80" s="49"/>
      <c r="H80" s="49"/>
      <c r="I80" s="49"/>
      <c r="J80" s="49"/>
      <c r="K80" s="49"/>
      <c r="L80" s="49"/>
      <c r="M80" s="49"/>
    </row>
    <row r="81" spans="1:13" s="40" customFormat="1" ht="19">
      <c r="A81" s="41"/>
      <c r="C81" s="70"/>
      <c r="D81" s="70"/>
      <c r="G81" s="49"/>
      <c r="H81" s="49"/>
      <c r="I81" s="49"/>
      <c r="J81" s="49"/>
      <c r="K81" s="49"/>
      <c r="L81" s="49"/>
      <c r="M81" s="49"/>
    </row>
    <row r="82" spans="1:13" s="40" customFormat="1" ht="19">
      <c r="A82" s="41"/>
      <c r="C82" s="70"/>
      <c r="D82" s="70"/>
      <c r="G82" s="49"/>
      <c r="H82" s="49"/>
      <c r="I82" s="49"/>
      <c r="J82" s="49"/>
      <c r="K82" s="49"/>
      <c r="L82" s="49"/>
      <c r="M82" s="49"/>
    </row>
    <row r="83" spans="1:13" s="40" customFormat="1" ht="19">
      <c r="A83" s="41"/>
      <c r="C83" s="70"/>
      <c r="D83" s="70"/>
      <c r="G83" s="49"/>
      <c r="H83" s="49"/>
      <c r="I83" s="49"/>
      <c r="J83" s="49"/>
      <c r="K83" s="49"/>
      <c r="L83" s="49"/>
      <c r="M83" s="49"/>
    </row>
    <row r="84" spans="1:13" s="40" customFormat="1" ht="19">
      <c r="A84" s="41"/>
      <c r="C84" s="70"/>
      <c r="D84" s="70"/>
      <c r="G84" s="49"/>
      <c r="H84" s="49"/>
      <c r="I84" s="49"/>
      <c r="J84" s="49"/>
      <c r="K84" s="49"/>
      <c r="L84" s="49"/>
      <c r="M84" s="49"/>
    </row>
    <row r="85" spans="1:13" s="40" customFormat="1" ht="19">
      <c r="A85" s="41"/>
      <c r="C85" s="70"/>
      <c r="D85" s="70"/>
      <c r="G85" s="49"/>
      <c r="H85" s="49"/>
      <c r="I85" s="49"/>
      <c r="J85" s="49"/>
      <c r="K85" s="49"/>
      <c r="L85" s="49"/>
      <c r="M85" s="49"/>
    </row>
    <row r="86" spans="1:13" s="40" customFormat="1" ht="19">
      <c r="A86" s="41"/>
      <c r="C86" s="70"/>
      <c r="D86" s="70"/>
      <c r="G86" s="49"/>
      <c r="H86" s="49"/>
      <c r="I86" s="49"/>
      <c r="J86" s="49"/>
      <c r="K86" s="49"/>
      <c r="L86" s="49"/>
      <c r="M86" s="49"/>
    </row>
    <row r="87" spans="1:13" s="40" customFormat="1" ht="19">
      <c r="A87" s="41"/>
      <c r="C87" s="70"/>
      <c r="D87" s="70"/>
      <c r="G87" s="49"/>
      <c r="H87" s="49"/>
      <c r="I87" s="49"/>
      <c r="J87" s="49"/>
      <c r="K87" s="49"/>
      <c r="L87" s="49"/>
      <c r="M87" s="49"/>
    </row>
    <row r="88" spans="1:13" s="40" customFormat="1" ht="19">
      <c r="A88" s="41"/>
      <c r="C88" s="70"/>
      <c r="D88" s="70"/>
      <c r="G88" s="49"/>
      <c r="H88" s="49"/>
      <c r="I88" s="49"/>
      <c r="J88" s="49"/>
      <c r="K88" s="49"/>
      <c r="L88" s="49"/>
      <c r="M88" s="49"/>
    </row>
    <row r="89" spans="1:13" s="40" customFormat="1" ht="19">
      <c r="A89" s="41"/>
      <c r="C89" s="70"/>
      <c r="D89" s="70"/>
      <c r="G89" s="49"/>
      <c r="H89" s="49"/>
      <c r="I89" s="49"/>
      <c r="J89" s="49"/>
      <c r="K89" s="49"/>
      <c r="L89" s="49"/>
      <c r="M89" s="49"/>
    </row>
    <row r="90" spans="1:13" s="40" customFormat="1" ht="19">
      <c r="A90" s="41"/>
      <c r="C90" s="70"/>
      <c r="D90" s="70"/>
      <c r="G90" s="49"/>
      <c r="H90" s="49"/>
      <c r="I90" s="49"/>
      <c r="J90" s="49"/>
      <c r="K90" s="49"/>
      <c r="L90" s="49"/>
      <c r="M90" s="49"/>
    </row>
    <row r="91" spans="1:13" s="40" customFormat="1" ht="19">
      <c r="A91" s="41"/>
      <c r="C91" s="70"/>
      <c r="D91" s="70"/>
      <c r="G91" s="49"/>
      <c r="H91" s="49"/>
      <c r="I91" s="49"/>
      <c r="J91" s="49"/>
      <c r="K91" s="49"/>
      <c r="L91" s="49"/>
      <c r="M91" s="49"/>
    </row>
    <row r="92" spans="1:13" s="40" customFormat="1" ht="19">
      <c r="A92" s="41"/>
      <c r="C92" s="70"/>
      <c r="D92" s="70"/>
      <c r="G92" s="49"/>
      <c r="H92" s="49"/>
      <c r="I92" s="49"/>
      <c r="J92" s="49"/>
      <c r="K92" s="49"/>
      <c r="L92" s="49"/>
      <c r="M92" s="49"/>
    </row>
    <row r="93" spans="1:13" s="40" customFormat="1" ht="19">
      <c r="A93" s="41"/>
      <c r="C93" s="70"/>
      <c r="D93" s="70"/>
      <c r="G93" s="49"/>
      <c r="H93" s="49"/>
      <c r="I93" s="49"/>
      <c r="J93" s="49"/>
      <c r="K93" s="49"/>
      <c r="L93" s="49"/>
      <c r="M93" s="49"/>
    </row>
    <row r="94" spans="1:13" s="40" customFormat="1" ht="19">
      <c r="A94" s="41"/>
      <c r="C94" s="70"/>
      <c r="D94" s="70"/>
      <c r="G94" s="49"/>
      <c r="H94" s="49"/>
      <c r="I94" s="49"/>
      <c r="J94" s="49"/>
      <c r="K94" s="49"/>
      <c r="L94" s="49"/>
      <c r="M94" s="49"/>
    </row>
    <row r="95" spans="1:13" s="40" customFormat="1" ht="19">
      <c r="A95" s="41"/>
      <c r="C95" s="70"/>
      <c r="D95" s="70"/>
      <c r="G95" s="49"/>
      <c r="H95" s="49"/>
      <c r="I95" s="49"/>
      <c r="J95" s="49"/>
      <c r="K95" s="49"/>
      <c r="L95" s="49"/>
      <c r="M95" s="49"/>
    </row>
    <row r="96" spans="1:13" s="40" customFormat="1" ht="19">
      <c r="A96" s="41"/>
      <c r="C96" s="70"/>
      <c r="D96" s="70"/>
      <c r="G96" s="49"/>
      <c r="H96" s="49"/>
      <c r="I96" s="49"/>
      <c r="J96" s="49"/>
      <c r="K96" s="49"/>
      <c r="L96" s="49"/>
      <c r="M96" s="49"/>
    </row>
    <row r="97" spans="1:13" s="40" customFormat="1" ht="19">
      <c r="A97" s="41"/>
      <c r="C97" s="70"/>
      <c r="D97" s="70"/>
      <c r="G97" s="49"/>
      <c r="H97" s="49"/>
      <c r="I97" s="49"/>
      <c r="J97" s="49"/>
      <c r="K97" s="49"/>
      <c r="L97" s="49"/>
      <c r="M97" s="49"/>
    </row>
    <row r="98" spans="1:13" s="40" customFormat="1" ht="19">
      <c r="A98" s="41"/>
      <c r="C98" s="70"/>
      <c r="D98" s="70"/>
      <c r="G98" s="49"/>
      <c r="H98" s="49"/>
      <c r="I98" s="49"/>
      <c r="J98" s="49"/>
      <c r="K98" s="49"/>
      <c r="L98" s="49"/>
      <c r="M98" s="49"/>
    </row>
    <row r="99" spans="1:13" s="40" customFormat="1" ht="19">
      <c r="A99" s="41"/>
      <c r="C99" s="70"/>
      <c r="D99" s="70"/>
      <c r="G99" s="49"/>
      <c r="H99" s="49"/>
      <c r="I99" s="49"/>
      <c r="J99" s="49"/>
      <c r="K99" s="49"/>
      <c r="L99" s="49"/>
      <c r="M99" s="49"/>
    </row>
    <row r="100" spans="1:13" s="40" customFormat="1" ht="19">
      <c r="A100" s="41"/>
      <c r="C100" s="70"/>
      <c r="D100" s="70"/>
      <c r="G100" s="49"/>
      <c r="H100" s="49"/>
      <c r="I100" s="49"/>
      <c r="J100" s="49"/>
      <c r="K100" s="49"/>
      <c r="L100" s="49"/>
      <c r="M100" s="49"/>
    </row>
    <row r="101" spans="1:13" s="40" customFormat="1" ht="19">
      <c r="A101" s="41"/>
      <c r="C101" s="70"/>
      <c r="D101" s="70"/>
      <c r="G101" s="49"/>
      <c r="H101" s="49"/>
      <c r="I101" s="49"/>
      <c r="J101" s="49"/>
      <c r="K101" s="49"/>
      <c r="L101" s="49"/>
      <c r="M101" s="49"/>
    </row>
    <row r="102" spans="1:13" s="40" customFormat="1" ht="19">
      <c r="A102" s="41"/>
      <c r="C102" s="70"/>
      <c r="D102" s="70"/>
      <c r="G102" s="49"/>
      <c r="H102" s="49"/>
      <c r="I102" s="49"/>
      <c r="J102" s="49"/>
      <c r="K102" s="49"/>
      <c r="L102" s="49"/>
      <c r="M102" s="49"/>
    </row>
    <row r="103" spans="1:13" s="40" customFormat="1" ht="19">
      <c r="A103" s="41"/>
      <c r="C103" s="70"/>
      <c r="D103" s="70"/>
      <c r="G103" s="49"/>
      <c r="H103" s="49"/>
      <c r="I103" s="49"/>
      <c r="J103" s="49"/>
      <c r="K103" s="49"/>
      <c r="L103" s="49"/>
      <c r="M103" s="49"/>
    </row>
    <row r="104" spans="1:13" s="40" customFormat="1" ht="19">
      <c r="A104" s="41"/>
      <c r="C104" s="70"/>
      <c r="D104" s="70"/>
      <c r="G104" s="49"/>
      <c r="H104" s="49"/>
      <c r="I104" s="49"/>
      <c r="J104" s="49"/>
      <c r="K104" s="49"/>
      <c r="L104" s="49"/>
      <c r="M104" s="49"/>
    </row>
    <row r="105" spans="1:13" s="40" customFormat="1" ht="19">
      <c r="A105" s="41"/>
      <c r="C105" s="70"/>
      <c r="D105" s="70"/>
      <c r="G105" s="49"/>
      <c r="H105" s="49"/>
      <c r="I105" s="49"/>
      <c r="J105" s="49"/>
      <c r="K105" s="49"/>
      <c r="L105" s="49"/>
      <c r="M105" s="49"/>
    </row>
    <row r="106" spans="1:13" s="40" customFormat="1" ht="19">
      <c r="A106" s="41"/>
      <c r="C106" s="70"/>
      <c r="D106" s="70"/>
      <c r="G106" s="49"/>
      <c r="H106" s="49"/>
      <c r="I106" s="49"/>
      <c r="J106" s="49"/>
      <c r="K106" s="49"/>
      <c r="L106" s="49"/>
      <c r="M106" s="49"/>
    </row>
    <row r="107" spans="1:13" s="40" customFormat="1" ht="19">
      <c r="A107" s="41"/>
      <c r="C107" s="70"/>
      <c r="D107" s="70"/>
      <c r="G107" s="49"/>
      <c r="H107" s="49"/>
      <c r="I107" s="49"/>
      <c r="J107" s="49"/>
      <c r="K107" s="49"/>
      <c r="L107" s="49"/>
      <c r="M107" s="49"/>
    </row>
    <row r="2996" spans="67:67">
      <c r="BO2996" s="68">
        <v>1</v>
      </c>
    </row>
    <row r="5435" spans="20:20">
      <c r="T5435" s="71"/>
    </row>
    <row r="5436" spans="20:20">
      <c r="T5436" s="71"/>
    </row>
    <row r="37516" spans="196:196">
      <c r="GN37516" s="68">
        <v>1</v>
      </c>
    </row>
    <row r="37519" spans="196:196">
      <c r="GN37519" s="68">
        <v>1</v>
      </c>
    </row>
  </sheetData>
  <mergeCells count="35">
    <mergeCell ref="C6:E6"/>
    <mergeCell ref="A1:B1"/>
    <mergeCell ref="C2:E2"/>
    <mergeCell ref="C3:E3"/>
    <mergeCell ref="C4:E4"/>
    <mergeCell ref="C5:E5"/>
    <mergeCell ref="C33:E33"/>
    <mergeCell ref="C18:E18"/>
    <mergeCell ref="C7:E7"/>
    <mergeCell ref="C8:E8"/>
    <mergeCell ref="C9:E9"/>
    <mergeCell ref="C10:E10"/>
    <mergeCell ref="C11:E11"/>
    <mergeCell ref="C12:E12"/>
    <mergeCell ref="C13:E13"/>
    <mergeCell ref="C14:E14"/>
    <mergeCell ref="C15:E15"/>
    <mergeCell ref="C16:E16"/>
    <mergeCell ref="C17:E17"/>
    <mergeCell ref="C34:E34"/>
    <mergeCell ref="C35:E35"/>
    <mergeCell ref="C29:E29"/>
    <mergeCell ref="C19:E19"/>
    <mergeCell ref="C20:E20"/>
    <mergeCell ref="C21:E21"/>
    <mergeCell ref="C22:E22"/>
    <mergeCell ref="C23:E23"/>
    <mergeCell ref="C24:E24"/>
    <mergeCell ref="C25:E25"/>
    <mergeCell ref="C26:E26"/>
    <mergeCell ref="C27:F27"/>
    <mergeCell ref="C28:E28"/>
    <mergeCell ref="C30:E30"/>
    <mergeCell ref="C31:E31"/>
    <mergeCell ref="C32:E32"/>
  </mergeCells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35385-7542-F44E-9305-5FC4A246FDC1}">
  <sheetPr codeName="Sheet2"/>
  <dimension ref="A1:J1292"/>
  <sheetViews>
    <sheetView zoomScale="95" zoomScaleNormal="95" workbookViewId="0"/>
  </sheetViews>
  <sheetFormatPr baseColWidth="10" defaultRowHeight="15"/>
  <cols>
    <col min="1" max="1" width="59" bestFit="1" customWidth="1"/>
    <col min="2" max="2" width="19" bestFit="1" customWidth="1"/>
    <col min="3" max="3" width="21.83203125" bestFit="1" customWidth="1"/>
    <col min="4" max="4" width="30.6640625" bestFit="1" customWidth="1"/>
    <col min="5" max="5" width="24.6640625" bestFit="1" customWidth="1"/>
    <col min="6" max="6" width="19.6640625" bestFit="1" customWidth="1"/>
    <col min="7" max="7" width="40.83203125" bestFit="1" customWidth="1"/>
    <col min="8" max="8" width="18.5" bestFit="1" customWidth="1"/>
    <col min="9" max="9" width="24.5" bestFit="1" customWidth="1"/>
    <col min="10" max="10" width="18.5" bestFit="1" customWidth="1"/>
  </cols>
  <sheetData>
    <row r="1" spans="1:10" ht="21">
      <c r="A1" s="78" t="s">
        <v>83</v>
      </c>
      <c r="B1" s="78" t="s">
        <v>84</v>
      </c>
      <c r="C1" s="78" t="s">
        <v>85</v>
      </c>
      <c r="D1" s="78" t="s">
        <v>86</v>
      </c>
      <c r="E1" s="78" t="s">
        <v>87</v>
      </c>
      <c r="F1" s="78" t="s">
        <v>88</v>
      </c>
      <c r="G1" s="78" t="s">
        <v>89</v>
      </c>
      <c r="H1" s="78" t="s">
        <v>90</v>
      </c>
      <c r="I1" s="78" t="s">
        <v>91</v>
      </c>
      <c r="J1" s="78" t="s">
        <v>92</v>
      </c>
    </row>
    <row r="2" spans="1:10" ht="16">
      <c r="A2" s="79" t="s">
        <v>354</v>
      </c>
      <c r="B2" s="79" t="s">
        <v>355</v>
      </c>
      <c r="C2" s="80" t="s">
        <v>95</v>
      </c>
      <c r="D2" s="81" t="s">
        <v>101</v>
      </c>
      <c r="E2" s="82">
        <v>16340</v>
      </c>
      <c r="F2" s="82">
        <v>1201</v>
      </c>
      <c r="G2" s="82">
        <v>2451</v>
      </c>
      <c r="H2" s="84">
        <v>39.1</v>
      </c>
      <c r="I2" s="84">
        <v>34061</v>
      </c>
      <c r="J2" s="84">
        <v>28.5</v>
      </c>
    </row>
    <row r="3" spans="1:10" ht="16">
      <c r="A3" s="79" t="s">
        <v>387</v>
      </c>
      <c r="B3" s="79" t="s">
        <v>388</v>
      </c>
      <c r="C3" s="80" t="s">
        <v>126</v>
      </c>
      <c r="D3" s="81" t="s">
        <v>75</v>
      </c>
      <c r="E3" s="82">
        <v>12195</v>
      </c>
      <c r="F3" s="82">
        <v>656</v>
      </c>
      <c r="G3" s="82">
        <v>3171</v>
      </c>
      <c r="H3" s="84">
        <v>39.4</v>
      </c>
      <c r="I3" s="84">
        <v>30276</v>
      </c>
      <c r="J3" s="84">
        <v>41.8</v>
      </c>
    </row>
    <row r="4" spans="1:10" ht="16">
      <c r="A4" s="79" t="s">
        <v>356</v>
      </c>
      <c r="B4" s="79" t="s">
        <v>355</v>
      </c>
      <c r="C4" s="80" t="s">
        <v>95</v>
      </c>
      <c r="D4" s="81" t="s">
        <v>76</v>
      </c>
      <c r="E4" s="82">
        <v>26842</v>
      </c>
      <c r="F4" s="82">
        <v>1864</v>
      </c>
      <c r="G4" s="82">
        <v>2416</v>
      </c>
      <c r="H4" s="84">
        <v>54</v>
      </c>
      <c r="I4" s="84">
        <v>46171</v>
      </c>
      <c r="J4" s="84">
        <v>37.200000000000003</v>
      </c>
    </row>
    <row r="5" spans="1:10" ht="16">
      <c r="A5" s="79" t="s">
        <v>1208</v>
      </c>
      <c r="B5" s="79" t="s">
        <v>1209</v>
      </c>
      <c r="C5" s="80" t="s">
        <v>126</v>
      </c>
      <c r="D5" s="81" t="s">
        <v>77</v>
      </c>
      <c r="E5" s="82">
        <v>6866</v>
      </c>
      <c r="F5" s="82">
        <v>424</v>
      </c>
      <c r="G5" s="82">
        <v>1305</v>
      </c>
      <c r="H5" s="84">
        <v>22.9</v>
      </c>
      <c r="I5" s="84">
        <v>15196</v>
      </c>
      <c r="J5" s="84">
        <v>24.8</v>
      </c>
    </row>
    <row r="6" spans="1:10" ht="16">
      <c r="A6" s="79" t="s">
        <v>492</v>
      </c>
      <c r="B6" s="79" t="s">
        <v>493</v>
      </c>
      <c r="C6" s="80" t="s">
        <v>126</v>
      </c>
      <c r="D6" s="81" t="s">
        <v>75</v>
      </c>
      <c r="E6" s="82">
        <v>4792</v>
      </c>
      <c r="F6" s="82">
        <v>383</v>
      </c>
      <c r="G6" s="82">
        <v>288</v>
      </c>
      <c r="H6" s="84">
        <v>9.1999999999999993</v>
      </c>
      <c r="I6" s="84">
        <v>1445</v>
      </c>
      <c r="J6" s="84">
        <v>39.9</v>
      </c>
    </row>
    <row r="7" spans="1:10" ht="16">
      <c r="A7" s="79" t="s">
        <v>1160</v>
      </c>
      <c r="B7" s="79" t="s">
        <v>1161</v>
      </c>
      <c r="C7" s="80" t="s">
        <v>95</v>
      </c>
      <c r="D7" s="81" t="s">
        <v>79</v>
      </c>
      <c r="E7" s="82">
        <v>2342</v>
      </c>
      <c r="F7" s="82">
        <v>545</v>
      </c>
      <c r="G7" s="82">
        <v>47</v>
      </c>
      <c r="H7" s="84">
        <v>8.6</v>
      </c>
      <c r="I7" s="84">
        <v>646</v>
      </c>
      <c r="J7" s="84">
        <v>22</v>
      </c>
    </row>
    <row r="8" spans="1:10" ht="16">
      <c r="A8" s="79" t="s">
        <v>897</v>
      </c>
      <c r="B8" s="79" t="s">
        <v>898</v>
      </c>
      <c r="C8" s="80" t="s">
        <v>95</v>
      </c>
      <c r="D8" s="81" t="s">
        <v>111</v>
      </c>
      <c r="E8" s="82">
        <v>37634</v>
      </c>
      <c r="F8" s="82">
        <v>2650</v>
      </c>
      <c r="G8" s="82">
        <v>753</v>
      </c>
      <c r="H8" s="84">
        <v>13.4</v>
      </c>
      <c r="I8" s="84">
        <v>4413</v>
      </c>
      <c r="J8" s="84">
        <v>18.100000000000001</v>
      </c>
    </row>
    <row r="9" spans="1:10" ht="16">
      <c r="A9" s="79" t="s">
        <v>899</v>
      </c>
      <c r="B9" s="79" t="s">
        <v>898</v>
      </c>
      <c r="C9" s="80" t="s">
        <v>126</v>
      </c>
      <c r="D9" s="81" t="s">
        <v>103</v>
      </c>
      <c r="E9" s="82">
        <v>28620</v>
      </c>
      <c r="F9" s="82">
        <v>2202</v>
      </c>
      <c r="G9" s="82">
        <v>572</v>
      </c>
      <c r="H9" s="84">
        <v>13.5</v>
      </c>
      <c r="I9" s="84">
        <v>3195</v>
      </c>
      <c r="J9" s="84">
        <v>17.7</v>
      </c>
    </row>
    <row r="10" spans="1:10" ht="16">
      <c r="A10" s="79" t="s">
        <v>660</v>
      </c>
      <c r="B10" s="79" t="s">
        <v>661</v>
      </c>
      <c r="C10" s="80" t="s">
        <v>95</v>
      </c>
      <c r="D10" s="81" t="s">
        <v>103</v>
      </c>
      <c r="E10" s="82">
        <v>1288</v>
      </c>
      <c r="F10" s="82">
        <v>460</v>
      </c>
      <c r="G10" s="82">
        <v>13</v>
      </c>
      <c r="H10" s="84">
        <v>10.8</v>
      </c>
      <c r="I10" s="84">
        <v>3515</v>
      </c>
      <c r="J10" s="84">
        <v>26</v>
      </c>
    </row>
    <row r="11" spans="1:10" ht="16">
      <c r="A11" s="79" t="s">
        <v>362</v>
      </c>
      <c r="B11" s="79" t="s">
        <v>363</v>
      </c>
      <c r="C11" s="80" t="s">
        <v>95</v>
      </c>
      <c r="D11" s="81" t="s">
        <v>76</v>
      </c>
      <c r="E11" s="82">
        <v>179636</v>
      </c>
      <c r="F11" s="82">
        <v>10629</v>
      </c>
      <c r="G11" s="82">
        <v>5389</v>
      </c>
      <c r="H11" s="84">
        <v>10.1</v>
      </c>
      <c r="I11" s="84">
        <v>3211</v>
      </c>
      <c r="J11" s="84">
        <v>21</v>
      </c>
    </row>
    <row r="12" spans="1:10" ht="16">
      <c r="A12" s="79" t="s">
        <v>395</v>
      </c>
      <c r="B12" s="79" t="s">
        <v>396</v>
      </c>
      <c r="C12" s="80" t="s">
        <v>95</v>
      </c>
      <c r="D12" s="81" t="s">
        <v>79</v>
      </c>
      <c r="E12" s="82">
        <v>67857</v>
      </c>
      <c r="F12" s="82">
        <v>4088</v>
      </c>
      <c r="G12" s="82">
        <v>8143</v>
      </c>
      <c r="H12" s="84">
        <v>25.3</v>
      </c>
      <c r="I12" s="84">
        <v>17041</v>
      </c>
      <c r="J12" s="84">
        <v>41.3</v>
      </c>
    </row>
    <row r="13" spans="1:10" ht="16">
      <c r="A13" s="79" t="s">
        <v>1006</v>
      </c>
      <c r="B13" s="79" t="s">
        <v>1007</v>
      </c>
      <c r="C13" s="80" t="s">
        <v>95</v>
      </c>
      <c r="D13" s="81" t="s">
        <v>149</v>
      </c>
      <c r="E13" s="82">
        <v>9906</v>
      </c>
      <c r="F13" s="82">
        <v>877</v>
      </c>
      <c r="G13" s="82">
        <v>693</v>
      </c>
      <c r="H13" s="84">
        <v>23.4</v>
      </c>
      <c r="I13" s="84">
        <v>6999</v>
      </c>
      <c r="J13" s="84">
        <v>23.9</v>
      </c>
    </row>
    <row r="14" spans="1:10" ht="16">
      <c r="A14" s="79" t="s">
        <v>1162</v>
      </c>
      <c r="B14" s="79" t="s">
        <v>1161</v>
      </c>
      <c r="C14" s="80" t="s">
        <v>126</v>
      </c>
      <c r="D14" s="81" t="s">
        <v>101</v>
      </c>
      <c r="E14" s="82">
        <v>42862</v>
      </c>
      <c r="F14" s="82">
        <v>1194</v>
      </c>
      <c r="G14" s="82">
        <v>429</v>
      </c>
      <c r="H14" s="84">
        <v>9</v>
      </c>
      <c r="I14" s="84">
        <v>1255</v>
      </c>
      <c r="J14" s="84">
        <v>15.2</v>
      </c>
    </row>
    <row r="15" spans="1:10" ht="16">
      <c r="A15" s="79" t="s">
        <v>662</v>
      </c>
      <c r="B15" s="79" t="s">
        <v>661</v>
      </c>
      <c r="C15" s="80" t="s">
        <v>126</v>
      </c>
      <c r="D15" s="81" t="s">
        <v>79</v>
      </c>
      <c r="E15" s="82">
        <v>4942</v>
      </c>
      <c r="F15" s="82">
        <v>504</v>
      </c>
      <c r="G15" s="82">
        <v>198</v>
      </c>
      <c r="H15" s="84">
        <v>10.7</v>
      </c>
      <c r="I15" s="84">
        <v>985</v>
      </c>
      <c r="J15" s="84">
        <v>21</v>
      </c>
    </row>
    <row r="16" spans="1:10" ht="16">
      <c r="A16" s="79" t="s">
        <v>364</v>
      </c>
      <c r="B16" s="79" t="s">
        <v>363</v>
      </c>
      <c r="C16" s="80" t="s">
        <v>126</v>
      </c>
      <c r="D16" s="81" t="s">
        <v>103</v>
      </c>
      <c r="E16" s="82">
        <v>342151</v>
      </c>
      <c r="F16" s="82">
        <v>10495</v>
      </c>
      <c r="G16" s="82">
        <v>20529</v>
      </c>
      <c r="H16" s="84">
        <v>8.3000000000000007</v>
      </c>
      <c r="I16" s="84">
        <v>1382</v>
      </c>
      <c r="J16" s="84">
        <v>15.2</v>
      </c>
    </row>
    <row r="17" spans="1:10" ht="16">
      <c r="A17" s="79" t="s">
        <v>771</v>
      </c>
      <c r="B17" s="79" t="s">
        <v>772</v>
      </c>
      <c r="C17" s="80" t="s">
        <v>95</v>
      </c>
      <c r="D17" s="81" t="s">
        <v>75</v>
      </c>
      <c r="E17" s="82">
        <v>33918</v>
      </c>
      <c r="F17" s="82">
        <v>1084</v>
      </c>
      <c r="G17" s="82">
        <v>1357</v>
      </c>
      <c r="H17" s="84">
        <v>8.9</v>
      </c>
      <c r="I17" s="84">
        <v>4735</v>
      </c>
      <c r="J17" s="84">
        <v>11.9</v>
      </c>
    </row>
    <row r="18" spans="1:10" ht="16">
      <c r="A18" s="79" t="s">
        <v>777</v>
      </c>
      <c r="B18" s="79" t="s">
        <v>778</v>
      </c>
      <c r="C18" s="80" t="s">
        <v>95</v>
      </c>
      <c r="D18" s="81" t="s">
        <v>99</v>
      </c>
      <c r="E18" s="82">
        <v>21138</v>
      </c>
      <c r="F18" s="82">
        <v>3775</v>
      </c>
      <c r="G18" s="82">
        <v>2325</v>
      </c>
      <c r="H18" s="84">
        <v>9.6</v>
      </c>
      <c r="I18" s="84">
        <v>2008</v>
      </c>
      <c r="J18" s="84">
        <v>24.3</v>
      </c>
    </row>
    <row r="19" spans="1:10" ht="16">
      <c r="A19" s="79" t="s">
        <v>365</v>
      </c>
      <c r="B19" s="79" t="s">
        <v>363</v>
      </c>
      <c r="C19" s="80" t="s">
        <v>95</v>
      </c>
      <c r="D19" s="81" t="s">
        <v>111</v>
      </c>
      <c r="E19" s="82">
        <v>182129</v>
      </c>
      <c r="F19" s="82">
        <v>6647</v>
      </c>
      <c r="G19" s="82">
        <v>5464</v>
      </c>
      <c r="H19" s="84">
        <v>13.1</v>
      </c>
      <c r="I19" s="84">
        <v>3176</v>
      </c>
      <c r="J19" s="84">
        <v>18.899999999999999</v>
      </c>
    </row>
    <row r="20" spans="1:10" ht="16">
      <c r="A20" s="79" t="s">
        <v>927</v>
      </c>
      <c r="B20" s="79" t="s">
        <v>928</v>
      </c>
      <c r="C20" s="80" t="s">
        <v>95</v>
      </c>
      <c r="D20" s="81" t="s">
        <v>75</v>
      </c>
      <c r="E20" s="82">
        <v>23124</v>
      </c>
      <c r="F20" s="82">
        <v>1278</v>
      </c>
      <c r="G20" s="82">
        <v>1387</v>
      </c>
      <c r="H20" s="84">
        <v>11.1</v>
      </c>
      <c r="I20" s="84">
        <v>1077</v>
      </c>
      <c r="J20" s="84">
        <v>16.7</v>
      </c>
    </row>
    <row r="21" spans="1:10" ht="16">
      <c r="A21" s="79" t="s">
        <v>977</v>
      </c>
      <c r="B21" s="79" t="s">
        <v>978</v>
      </c>
      <c r="C21" s="80" t="s">
        <v>95</v>
      </c>
      <c r="D21" s="81" t="s">
        <v>75</v>
      </c>
      <c r="E21" s="82">
        <v>2566</v>
      </c>
      <c r="F21" s="82">
        <v>247</v>
      </c>
      <c r="G21" s="82">
        <v>872</v>
      </c>
      <c r="H21" s="84">
        <v>21.2</v>
      </c>
      <c r="I21" s="84">
        <v>20172</v>
      </c>
      <c r="J21" s="84">
        <v>19.600000000000001</v>
      </c>
    </row>
    <row r="22" spans="1:10" ht="16">
      <c r="A22" s="79" t="s">
        <v>494</v>
      </c>
      <c r="B22" s="79" t="s">
        <v>493</v>
      </c>
      <c r="C22" s="80" t="s">
        <v>126</v>
      </c>
      <c r="D22" s="81" t="s">
        <v>99</v>
      </c>
      <c r="E22" s="82">
        <v>18783</v>
      </c>
      <c r="F22" s="82">
        <v>1391</v>
      </c>
      <c r="G22" s="82">
        <v>376</v>
      </c>
      <c r="H22" s="84">
        <v>10.4</v>
      </c>
      <c r="I22" s="84">
        <v>4301</v>
      </c>
      <c r="J22" s="84">
        <v>29</v>
      </c>
    </row>
    <row r="23" spans="1:10" ht="16">
      <c r="A23" s="79" t="s">
        <v>555</v>
      </c>
      <c r="B23" s="79" t="s">
        <v>556</v>
      </c>
      <c r="C23" s="80" t="s">
        <v>95</v>
      </c>
      <c r="D23" s="81" t="s">
        <v>101</v>
      </c>
      <c r="E23" s="82">
        <v>10110</v>
      </c>
      <c r="F23" s="82">
        <v>449</v>
      </c>
      <c r="G23" s="82">
        <v>101</v>
      </c>
      <c r="H23" s="84">
        <v>9.9</v>
      </c>
      <c r="I23" s="84">
        <v>1671</v>
      </c>
      <c r="J23" s="84">
        <v>18.100000000000001</v>
      </c>
    </row>
    <row r="24" spans="1:10" ht="16">
      <c r="A24" s="79" t="s">
        <v>616</v>
      </c>
      <c r="B24" s="79" t="s">
        <v>617</v>
      </c>
      <c r="C24" s="80" t="s">
        <v>95</v>
      </c>
      <c r="D24" s="81" t="s">
        <v>76</v>
      </c>
      <c r="E24" s="82">
        <v>13447</v>
      </c>
      <c r="F24" s="82">
        <v>372</v>
      </c>
      <c r="G24" s="82">
        <v>807</v>
      </c>
      <c r="H24" s="84">
        <v>18.899999999999999</v>
      </c>
      <c r="I24" s="84">
        <v>12516</v>
      </c>
      <c r="J24" s="84">
        <v>14.7</v>
      </c>
    </row>
    <row r="25" spans="1:10" ht="16">
      <c r="A25" s="79" t="s">
        <v>1306</v>
      </c>
      <c r="B25" s="79" t="s">
        <v>1307</v>
      </c>
      <c r="C25" s="80" t="s">
        <v>95</v>
      </c>
      <c r="D25" s="81" t="s">
        <v>96</v>
      </c>
      <c r="E25" s="82">
        <v>11750</v>
      </c>
      <c r="F25" s="82">
        <v>1068</v>
      </c>
      <c r="G25" s="82">
        <v>1410</v>
      </c>
      <c r="H25" s="84">
        <v>19.5</v>
      </c>
      <c r="I25" s="84">
        <v>12836</v>
      </c>
      <c r="J25" s="84">
        <v>40.9</v>
      </c>
    </row>
    <row r="26" spans="1:10" ht="16">
      <c r="A26" s="79" t="s">
        <v>366</v>
      </c>
      <c r="B26" s="79" t="s">
        <v>363</v>
      </c>
      <c r="C26" s="80" t="s">
        <v>95</v>
      </c>
      <c r="D26" s="81" t="s">
        <v>77</v>
      </c>
      <c r="E26" s="82">
        <v>5936</v>
      </c>
      <c r="F26" s="82">
        <v>433</v>
      </c>
      <c r="G26" s="82">
        <v>297</v>
      </c>
      <c r="H26" s="84">
        <v>25.1</v>
      </c>
      <c r="I26" s="84">
        <v>5089</v>
      </c>
      <c r="J26" s="84">
        <v>27</v>
      </c>
    </row>
    <row r="27" spans="1:10" ht="16">
      <c r="A27" s="79" t="s">
        <v>788</v>
      </c>
      <c r="B27" s="79" t="s">
        <v>789</v>
      </c>
      <c r="C27" s="80" t="s">
        <v>95</v>
      </c>
      <c r="D27" s="81" t="s">
        <v>99</v>
      </c>
      <c r="E27" s="82">
        <v>8401</v>
      </c>
      <c r="F27" s="82">
        <v>988</v>
      </c>
      <c r="G27" s="82">
        <v>1764</v>
      </c>
      <c r="H27" s="84">
        <v>14.9</v>
      </c>
      <c r="I27" s="84">
        <v>11544</v>
      </c>
      <c r="J27" s="84">
        <v>28.7</v>
      </c>
    </row>
    <row r="28" spans="1:10" ht="16">
      <c r="A28" s="79" t="s">
        <v>1203</v>
      </c>
      <c r="B28" s="79" t="s">
        <v>1204</v>
      </c>
      <c r="C28" s="80" t="s">
        <v>126</v>
      </c>
      <c r="D28" s="81" t="s">
        <v>103</v>
      </c>
      <c r="E28" s="82">
        <v>5652</v>
      </c>
      <c r="F28" s="82">
        <v>404</v>
      </c>
      <c r="G28" s="82">
        <v>4691</v>
      </c>
      <c r="H28" s="84">
        <v>14.8</v>
      </c>
      <c r="I28" s="84">
        <v>3407</v>
      </c>
      <c r="J28" s="84">
        <v>19.2</v>
      </c>
    </row>
    <row r="29" spans="1:10" ht="16">
      <c r="A29" s="79" t="s">
        <v>557</v>
      </c>
      <c r="B29" s="79" t="s">
        <v>556</v>
      </c>
      <c r="C29" s="80" t="s">
        <v>126</v>
      </c>
      <c r="D29" s="81" t="s">
        <v>96</v>
      </c>
      <c r="E29" s="82">
        <v>11580</v>
      </c>
      <c r="F29" s="82">
        <v>536</v>
      </c>
      <c r="G29" s="82">
        <v>232</v>
      </c>
      <c r="H29" s="84">
        <v>31.8</v>
      </c>
      <c r="I29" s="84">
        <v>13740</v>
      </c>
      <c r="J29" s="84">
        <v>34.200000000000003</v>
      </c>
    </row>
    <row r="30" spans="1:10" ht="16">
      <c r="A30" s="79" t="s">
        <v>495</v>
      </c>
      <c r="B30" s="79" t="s">
        <v>493</v>
      </c>
      <c r="C30" s="80" t="s">
        <v>126</v>
      </c>
      <c r="D30" s="81" t="s">
        <v>103</v>
      </c>
      <c r="E30" s="82">
        <v>29623</v>
      </c>
      <c r="F30" s="82">
        <v>1975</v>
      </c>
      <c r="G30" s="82">
        <v>1185</v>
      </c>
      <c r="H30" s="84">
        <v>9.3000000000000007</v>
      </c>
      <c r="I30" s="84">
        <v>1764</v>
      </c>
      <c r="J30" s="84">
        <v>15.7</v>
      </c>
    </row>
    <row r="31" spans="1:10" ht="16">
      <c r="A31" s="79" t="s">
        <v>496</v>
      </c>
      <c r="B31" s="79" t="s">
        <v>493</v>
      </c>
      <c r="C31" s="80" t="s">
        <v>126</v>
      </c>
      <c r="D31" s="81" t="s">
        <v>103</v>
      </c>
      <c r="E31" s="82">
        <v>14689</v>
      </c>
      <c r="F31" s="82">
        <v>1234</v>
      </c>
      <c r="G31" s="82">
        <v>1763</v>
      </c>
      <c r="H31" s="84">
        <v>17</v>
      </c>
      <c r="I31" s="84">
        <v>8136</v>
      </c>
      <c r="J31" s="84">
        <v>26.1</v>
      </c>
    </row>
    <row r="32" spans="1:10" ht="16">
      <c r="A32" s="79" t="s">
        <v>1163</v>
      </c>
      <c r="B32" s="79" t="s">
        <v>1161</v>
      </c>
      <c r="C32" s="80" t="s">
        <v>126</v>
      </c>
      <c r="D32" s="81" t="s">
        <v>75</v>
      </c>
      <c r="E32" s="82">
        <v>830104</v>
      </c>
      <c r="F32" s="82">
        <v>1682</v>
      </c>
      <c r="G32" s="82">
        <v>8301</v>
      </c>
      <c r="H32" s="84">
        <v>24.1</v>
      </c>
      <c r="I32" s="84">
        <v>3979</v>
      </c>
      <c r="J32" s="84">
        <v>13</v>
      </c>
    </row>
    <row r="33" spans="1:10" ht="16">
      <c r="A33" s="79" t="s">
        <v>497</v>
      </c>
      <c r="B33" s="79" t="s">
        <v>493</v>
      </c>
      <c r="C33" s="80" t="s">
        <v>95</v>
      </c>
      <c r="D33" s="81" t="s">
        <v>149</v>
      </c>
      <c r="E33" s="82">
        <v>9785</v>
      </c>
      <c r="F33" s="82">
        <v>589</v>
      </c>
      <c r="G33" s="82">
        <v>196</v>
      </c>
      <c r="H33" s="84">
        <v>10.8</v>
      </c>
      <c r="I33" s="84">
        <v>870</v>
      </c>
      <c r="J33" s="84">
        <v>37.4</v>
      </c>
    </row>
    <row r="34" spans="1:10" ht="16">
      <c r="A34" s="79" t="s">
        <v>1210</v>
      </c>
      <c r="B34" s="79" t="s">
        <v>1209</v>
      </c>
      <c r="C34" s="80" t="s">
        <v>95</v>
      </c>
      <c r="D34" s="81" t="s">
        <v>96</v>
      </c>
      <c r="E34" s="82">
        <v>18022</v>
      </c>
      <c r="F34" s="82">
        <v>780</v>
      </c>
      <c r="G34" s="82">
        <v>5407</v>
      </c>
      <c r="H34" s="84">
        <v>14.4</v>
      </c>
      <c r="I34" s="84">
        <v>14431</v>
      </c>
      <c r="J34" s="84">
        <v>17.899999999999999</v>
      </c>
    </row>
    <row r="35" spans="1:10" ht="16">
      <c r="A35" s="79" t="s">
        <v>1164</v>
      </c>
      <c r="B35" s="79" t="s">
        <v>1161</v>
      </c>
      <c r="C35" s="80" t="s">
        <v>126</v>
      </c>
      <c r="D35" s="81" t="s">
        <v>79</v>
      </c>
      <c r="E35" s="82">
        <v>69737</v>
      </c>
      <c r="F35" s="82">
        <v>3651</v>
      </c>
      <c r="G35" s="82">
        <v>2789</v>
      </c>
      <c r="H35" s="84">
        <v>10</v>
      </c>
      <c r="I35" s="84">
        <v>1391</v>
      </c>
      <c r="J35" s="84">
        <v>19.2</v>
      </c>
    </row>
    <row r="36" spans="1:10" ht="16">
      <c r="A36" s="79" t="s">
        <v>498</v>
      </c>
      <c r="B36" s="79" t="s">
        <v>493</v>
      </c>
      <c r="C36" s="80" t="s">
        <v>126</v>
      </c>
      <c r="D36" s="81" t="s">
        <v>78</v>
      </c>
      <c r="E36" s="82">
        <v>14428</v>
      </c>
      <c r="F36" s="82">
        <v>925</v>
      </c>
      <c r="G36" s="82">
        <v>144</v>
      </c>
      <c r="H36" s="84">
        <v>14.1</v>
      </c>
      <c r="I36" s="84">
        <v>2625</v>
      </c>
      <c r="J36" s="84">
        <v>22.6</v>
      </c>
    </row>
    <row r="37" spans="1:10" ht="16">
      <c r="A37" s="79" t="s">
        <v>499</v>
      </c>
      <c r="B37" s="79" t="s">
        <v>493</v>
      </c>
      <c r="C37" s="80" t="s">
        <v>126</v>
      </c>
      <c r="D37" s="81" t="s">
        <v>103</v>
      </c>
      <c r="E37" s="82">
        <v>23098</v>
      </c>
      <c r="F37" s="82">
        <v>1638</v>
      </c>
      <c r="G37" s="82">
        <v>462</v>
      </c>
      <c r="H37" s="84">
        <v>8.6</v>
      </c>
      <c r="I37" s="84">
        <v>1611</v>
      </c>
      <c r="J37" s="84">
        <v>29.2</v>
      </c>
    </row>
    <row r="38" spans="1:10" ht="16">
      <c r="A38" s="79" t="s">
        <v>663</v>
      </c>
      <c r="B38" s="79" t="s">
        <v>661</v>
      </c>
      <c r="C38" s="80" t="s">
        <v>126</v>
      </c>
      <c r="D38" s="81" t="s">
        <v>99</v>
      </c>
      <c r="E38" s="82">
        <v>19143</v>
      </c>
      <c r="F38" s="82">
        <v>1679</v>
      </c>
      <c r="G38" s="82">
        <v>574</v>
      </c>
      <c r="H38" s="84">
        <v>7.9</v>
      </c>
      <c r="I38" s="84">
        <v>1659</v>
      </c>
      <c r="J38" s="84">
        <v>16.3</v>
      </c>
    </row>
    <row r="39" spans="1:10" ht="16">
      <c r="A39" s="79" t="s">
        <v>466</v>
      </c>
      <c r="B39" s="79" t="s">
        <v>467</v>
      </c>
      <c r="C39" s="80" t="s">
        <v>95</v>
      </c>
      <c r="D39" s="81" t="s">
        <v>77</v>
      </c>
      <c r="E39" s="82">
        <v>46505</v>
      </c>
      <c r="F39" s="82">
        <v>1735</v>
      </c>
      <c r="G39" s="82">
        <v>2325</v>
      </c>
      <c r="H39" s="84">
        <v>16.8</v>
      </c>
      <c r="I39" s="84">
        <v>10856</v>
      </c>
      <c r="J39" s="84">
        <v>19.2</v>
      </c>
    </row>
    <row r="40" spans="1:10" ht="16">
      <c r="A40" s="79" t="s">
        <v>1308</v>
      </c>
      <c r="B40" s="79" t="s">
        <v>1307</v>
      </c>
      <c r="C40" s="80" t="s">
        <v>126</v>
      </c>
      <c r="D40" s="81" t="s">
        <v>78</v>
      </c>
      <c r="E40" s="82">
        <v>46683</v>
      </c>
      <c r="F40" s="82">
        <v>2212</v>
      </c>
      <c r="G40" s="82">
        <v>9803</v>
      </c>
      <c r="H40" s="84">
        <v>50.7</v>
      </c>
      <c r="I40" s="84">
        <v>41424</v>
      </c>
      <c r="J40" s="84">
        <v>39.299999999999997</v>
      </c>
    </row>
    <row r="41" spans="1:10" ht="16">
      <c r="A41" s="79" t="s">
        <v>1099</v>
      </c>
      <c r="B41" s="79" t="s">
        <v>1100</v>
      </c>
      <c r="C41" s="80" t="s">
        <v>95</v>
      </c>
      <c r="D41" s="81" t="s">
        <v>96</v>
      </c>
      <c r="E41" s="82">
        <v>11779</v>
      </c>
      <c r="F41" s="82">
        <v>395</v>
      </c>
      <c r="G41" s="82">
        <v>589</v>
      </c>
      <c r="H41" s="84">
        <v>33.700000000000003</v>
      </c>
      <c r="I41" s="84">
        <v>7758</v>
      </c>
      <c r="J41" s="84">
        <v>17.3</v>
      </c>
    </row>
    <row r="42" spans="1:10" ht="16">
      <c r="A42" s="79" t="s">
        <v>367</v>
      </c>
      <c r="B42" s="79" t="s">
        <v>363</v>
      </c>
      <c r="C42" s="80" t="s">
        <v>126</v>
      </c>
      <c r="D42" s="81" t="s">
        <v>111</v>
      </c>
      <c r="E42" s="82">
        <v>87471</v>
      </c>
      <c r="F42" s="82">
        <v>4440</v>
      </c>
      <c r="G42" s="82">
        <v>875</v>
      </c>
      <c r="H42" s="84">
        <v>9</v>
      </c>
      <c r="I42" s="84">
        <v>2337</v>
      </c>
      <c r="J42" s="84">
        <v>15.2</v>
      </c>
    </row>
    <row r="43" spans="1:10" ht="16">
      <c r="A43" s="79" t="s">
        <v>1211</v>
      </c>
      <c r="B43" s="79" t="s">
        <v>1209</v>
      </c>
      <c r="C43" s="80" t="s">
        <v>126</v>
      </c>
      <c r="D43" s="81" t="s">
        <v>103</v>
      </c>
      <c r="E43" s="82">
        <v>11113</v>
      </c>
      <c r="F43" s="82">
        <v>527</v>
      </c>
      <c r="G43" s="82">
        <v>2889</v>
      </c>
      <c r="H43" s="84">
        <v>24.2</v>
      </c>
      <c r="I43" s="84">
        <v>13336</v>
      </c>
      <c r="J43" s="84">
        <v>21</v>
      </c>
    </row>
    <row r="44" spans="1:10" ht="16">
      <c r="A44" s="79" t="s">
        <v>368</v>
      </c>
      <c r="B44" s="79" t="s">
        <v>363</v>
      </c>
      <c r="C44" s="80" t="s">
        <v>95</v>
      </c>
      <c r="D44" s="81" t="s">
        <v>79</v>
      </c>
      <c r="E44" s="82">
        <v>22393</v>
      </c>
      <c r="F44" s="82">
        <v>549</v>
      </c>
      <c r="G44" s="82">
        <v>501</v>
      </c>
      <c r="H44" s="84">
        <v>8.6999999999999993</v>
      </c>
      <c r="I44" s="84">
        <v>8776</v>
      </c>
      <c r="J44" s="84">
        <v>11.9</v>
      </c>
    </row>
    <row r="45" spans="1:10" ht="16">
      <c r="A45" s="79" t="s">
        <v>468</v>
      </c>
      <c r="B45" s="79" t="s">
        <v>467</v>
      </c>
      <c r="C45" s="80" t="s">
        <v>126</v>
      </c>
      <c r="D45" s="81" t="s">
        <v>79</v>
      </c>
      <c r="E45" s="82">
        <v>9678</v>
      </c>
      <c r="F45" s="82">
        <v>218</v>
      </c>
      <c r="G45" s="82">
        <v>484</v>
      </c>
      <c r="H45" s="84">
        <v>21.2</v>
      </c>
      <c r="I45" s="84">
        <v>8367</v>
      </c>
      <c r="J45" s="84">
        <v>17.8</v>
      </c>
    </row>
    <row r="46" spans="1:10" ht="16">
      <c r="A46" s="79" t="s">
        <v>1165</v>
      </c>
      <c r="B46" s="79" t="s">
        <v>1161</v>
      </c>
      <c r="C46" s="80" t="s">
        <v>126</v>
      </c>
      <c r="D46" s="81" t="s">
        <v>149</v>
      </c>
      <c r="E46" s="82">
        <v>9862</v>
      </c>
      <c r="F46" s="82">
        <v>587</v>
      </c>
      <c r="G46" s="82">
        <v>592</v>
      </c>
      <c r="H46" s="84">
        <v>8.8000000000000007</v>
      </c>
      <c r="I46" s="84">
        <v>3470</v>
      </c>
      <c r="J46" s="84">
        <v>14.7</v>
      </c>
    </row>
    <row r="47" spans="1:10" ht="16">
      <c r="A47" s="79" t="s">
        <v>1309</v>
      </c>
      <c r="B47" s="79" t="s">
        <v>1307</v>
      </c>
      <c r="C47" s="80" t="s">
        <v>95</v>
      </c>
      <c r="D47" s="81" t="s">
        <v>99</v>
      </c>
      <c r="E47" s="82">
        <v>26641</v>
      </c>
      <c r="F47" s="82">
        <v>1417</v>
      </c>
      <c r="G47" s="82">
        <v>2398</v>
      </c>
      <c r="H47" s="84">
        <v>21.1</v>
      </c>
      <c r="I47" s="84">
        <v>9174</v>
      </c>
      <c r="J47" s="84">
        <v>32.700000000000003</v>
      </c>
    </row>
    <row r="48" spans="1:10" ht="16">
      <c r="A48" s="79" t="s">
        <v>852</v>
      </c>
      <c r="B48" s="79" t="s">
        <v>853</v>
      </c>
      <c r="C48" s="80" t="s">
        <v>95</v>
      </c>
      <c r="D48" s="81" t="s">
        <v>111</v>
      </c>
      <c r="E48" s="82">
        <v>18035</v>
      </c>
      <c r="F48" s="82">
        <v>1055</v>
      </c>
      <c r="G48" s="82">
        <v>8476</v>
      </c>
      <c r="H48" s="84">
        <v>18.399999999999999</v>
      </c>
      <c r="I48" s="84">
        <v>18053</v>
      </c>
      <c r="J48" s="84">
        <v>19.7</v>
      </c>
    </row>
    <row r="49" spans="1:10" ht="16">
      <c r="A49" s="79" t="s">
        <v>230</v>
      </c>
      <c r="B49" s="79" t="s">
        <v>231</v>
      </c>
      <c r="C49" s="80" t="s">
        <v>126</v>
      </c>
      <c r="D49" s="81" t="s">
        <v>101</v>
      </c>
      <c r="E49" s="82">
        <v>15575</v>
      </c>
      <c r="F49" s="82">
        <v>880</v>
      </c>
      <c r="G49" s="82">
        <v>312</v>
      </c>
      <c r="H49" s="84">
        <v>12.2</v>
      </c>
      <c r="I49" s="84">
        <v>2792</v>
      </c>
      <c r="J49" s="84">
        <v>15</v>
      </c>
    </row>
    <row r="50" spans="1:10" ht="16">
      <c r="A50" s="79" t="s">
        <v>107</v>
      </c>
      <c r="B50" s="79" t="s">
        <v>108</v>
      </c>
      <c r="C50" s="80" t="s">
        <v>95</v>
      </c>
      <c r="D50" s="81" t="s">
        <v>75</v>
      </c>
      <c r="E50" s="82">
        <v>23886</v>
      </c>
      <c r="F50" s="82">
        <v>549</v>
      </c>
      <c r="G50" s="82">
        <v>2866</v>
      </c>
      <c r="H50" s="84">
        <v>27.5</v>
      </c>
      <c r="I50" s="84">
        <v>20231</v>
      </c>
      <c r="J50" s="84">
        <v>20.6</v>
      </c>
    </row>
    <row r="51" spans="1:10" ht="16">
      <c r="A51" s="79" t="s">
        <v>109</v>
      </c>
      <c r="B51" s="79" t="s">
        <v>108</v>
      </c>
      <c r="C51" s="80" t="s">
        <v>95</v>
      </c>
      <c r="D51" s="81" t="s">
        <v>99</v>
      </c>
      <c r="E51" s="82">
        <v>17359</v>
      </c>
      <c r="F51" s="82">
        <v>975</v>
      </c>
      <c r="G51" s="82">
        <v>7638</v>
      </c>
      <c r="H51" s="84">
        <v>69.7</v>
      </c>
      <c r="I51" s="84">
        <v>61684</v>
      </c>
      <c r="J51" s="84">
        <v>54.4</v>
      </c>
    </row>
    <row r="52" spans="1:10" ht="16">
      <c r="A52" s="79" t="s">
        <v>816</v>
      </c>
      <c r="B52" s="79" t="s">
        <v>817</v>
      </c>
      <c r="C52" s="80" t="s">
        <v>95</v>
      </c>
      <c r="D52" s="81" t="s">
        <v>149</v>
      </c>
      <c r="E52" s="82">
        <v>59507</v>
      </c>
      <c r="F52" s="82">
        <v>3362</v>
      </c>
      <c r="G52" s="82">
        <v>1190</v>
      </c>
      <c r="H52" s="84">
        <v>8.8000000000000007</v>
      </c>
      <c r="I52" s="84">
        <v>683</v>
      </c>
      <c r="J52" s="84">
        <v>13.7</v>
      </c>
    </row>
    <row r="53" spans="1:10" ht="16">
      <c r="A53" s="79" t="s">
        <v>1038</v>
      </c>
      <c r="B53" s="79" t="s">
        <v>1039</v>
      </c>
      <c r="C53" s="80" t="s">
        <v>95</v>
      </c>
      <c r="D53" s="81" t="s">
        <v>111</v>
      </c>
      <c r="E53" s="82">
        <v>31877</v>
      </c>
      <c r="F53" s="82">
        <v>2530</v>
      </c>
      <c r="G53" s="82">
        <v>5100</v>
      </c>
      <c r="H53" s="84">
        <v>36.1</v>
      </c>
      <c r="I53" s="84">
        <v>33625</v>
      </c>
      <c r="J53" s="84">
        <v>40.9</v>
      </c>
    </row>
    <row r="54" spans="1:10" ht="16">
      <c r="A54" s="79" t="s">
        <v>818</v>
      </c>
      <c r="B54" s="79" t="s">
        <v>817</v>
      </c>
      <c r="C54" s="80" t="s">
        <v>95</v>
      </c>
      <c r="D54" s="81" t="s">
        <v>96</v>
      </c>
      <c r="E54" s="82">
        <v>34995</v>
      </c>
      <c r="F54" s="82">
        <v>1923</v>
      </c>
      <c r="G54" s="82">
        <v>350</v>
      </c>
      <c r="H54" s="84">
        <v>8.1999999999999993</v>
      </c>
      <c r="I54" s="84">
        <v>692</v>
      </c>
      <c r="J54" s="84">
        <v>15</v>
      </c>
    </row>
    <row r="55" spans="1:10" ht="16">
      <c r="A55" s="79" t="s">
        <v>1040</v>
      </c>
      <c r="B55" s="79" t="s">
        <v>1039</v>
      </c>
      <c r="C55" s="80" t="s">
        <v>95</v>
      </c>
      <c r="D55" s="81" t="s">
        <v>79</v>
      </c>
      <c r="E55" s="82">
        <v>29576</v>
      </c>
      <c r="F55" s="82">
        <v>2207</v>
      </c>
      <c r="G55" s="82">
        <v>4141</v>
      </c>
      <c r="H55" s="84">
        <v>28.7</v>
      </c>
      <c r="I55" s="84">
        <v>21435</v>
      </c>
      <c r="J55" s="84">
        <v>40.1</v>
      </c>
    </row>
    <row r="56" spans="1:10" ht="16">
      <c r="A56" s="79" t="s">
        <v>819</v>
      </c>
      <c r="B56" s="79" t="s">
        <v>817</v>
      </c>
      <c r="C56" s="80" t="s">
        <v>95</v>
      </c>
      <c r="D56" s="81" t="s">
        <v>79</v>
      </c>
      <c r="E56" s="82">
        <v>69982</v>
      </c>
      <c r="F56" s="82">
        <v>2108</v>
      </c>
      <c r="G56" s="82">
        <v>700</v>
      </c>
      <c r="H56" s="84">
        <v>7.9</v>
      </c>
      <c r="I56" s="84">
        <v>968</v>
      </c>
      <c r="J56" s="84">
        <v>16</v>
      </c>
    </row>
    <row r="57" spans="1:10" ht="16">
      <c r="A57" s="79" t="s">
        <v>820</v>
      </c>
      <c r="B57" s="79" t="s">
        <v>817</v>
      </c>
      <c r="C57" s="80" t="s">
        <v>95</v>
      </c>
      <c r="D57" s="81" t="s">
        <v>99</v>
      </c>
      <c r="E57" s="82">
        <v>32012</v>
      </c>
      <c r="F57" s="82">
        <v>3370</v>
      </c>
      <c r="G57" s="82">
        <v>320</v>
      </c>
      <c r="H57" s="84">
        <v>7.4</v>
      </c>
      <c r="I57" s="84">
        <v>888</v>
      </c>
      <c r="J57" s="84">
        <v>17.8</v>
      </c>
    </row>
    <row r="58" spans="1:10" ht="16">
      <c r="A58" s="79" t="s">
        <v>821</v>
      </c>
      <c r="B58" s="79" t="s">
        <v>817</v>
      </c>
      <c r="C58" s="80" t="s">
        <v>95</v>
      </c>
      <c r="D58" s="81" t="s">
        <v>79</v>
      </c>
      <c r="E58" s="82">
        <v>72792</v>
      </c>
      <c r="F58" s="82">
        <v>3386</v>
      </c>
      <c r="G58" s="82">
        <v>5065</v>
      </c>
      <c r="H58" s="84">
        <v>7.9</v>
      </c>
      <c r="I58" s="84">
        <v>1141</v>
      </c>
      <c r="J58" s="84">
        <v>13.3</v>
      </c>
    </row>
    <row r="59" spans="1:10" ht="16">
      <c r="A59" s="79" t="s">
        <v>822</v>
      </c>
      <c r="B59" s="79" t="s">
        <v>817</v>
      </c>
      <c r="C59" s="80" t="s">
        <v>95</v>
      </c>
      <c r="D59" s="81" t="s">
        <v>149</v>
      </c>
      <c r="E59" s="82">
        <v>57588</v>
      </c>
      <c r="F59" s="82">
        <v>2594</v>
      </c>
      <c r="G59" s="82">
        <v>576</v>
      </c>
      <c r="H59" s="84">
        <v>9.1999999999999993</v>
      </c>
      <c r="I59" s="84">
        <v>636</v>
      </c>
      <c r="J59" s="84">
        <v>14.4</v>
      </c>
    </row>
    <row r="60" spans="1:10" ht="16">
      <c r="A60" s="79" t="s">
        <v>558</v>
      </c>
      <c r="B60" s="79" t="s">
        <v>556</v>
      </c>
      <c r="C60" s="80" t="s">
        <v>95</v>
      </c>
      <c r="D60" s="81" t="s">
        <v>99</v>
      </c>
      <c r="E60" s="82">
        <v>6329</v>
      </c>
      <c r="F60" s="82">
        <v>265</v>
      </c>
      <c r="G60" s="82">
        <v>291</v>
      </c>
      <c r="H60" s="84">
        <v>12.6</v>
      </c>
      <c r="I60" s="84">
        <v>2992</v>
      </c>
      <c r="J60" s="84">
        <v>18.100000000000001</v>
      </c>
    </row>
    <row r="61" spans="1:10" ht="16">
      <c r="A61" s="79" t="s">
        <v>929</v>
      </c>
      <c r="B61" s="79" t="s">
        <v>928</v>
      </c>
      <c r="C61" s="80" t="s">
        <v>95</v>
      </c>
      <c r="D61" s="81" t="s">
        <v>75</v>
      </c>
      <c r="E61" s="82">
        <v>37168</v>
      </c>
      <c r="F61" s="82">
        <v>1511</v>
      </c>
      <c r="G61" s="82">
        <v>1487</v>
      </c>
      <c r="H61" s="84">
        <v>14.1</v>
      </c>
      <c r="I61" s="84">
        <v>5208</v>
      </c>
      <c r="J61" s="84">
        <v>16.7</v>
      </c>
    </row>
    <row r="62" spans="1:10" ht="16">
      <c r="A62" s="79" t="s">
        <v>559</v>
      </c>
      <c r="B62" s="79" t="s">
        <v>556</v>
      </c>
      <c r="C62" s="80" t="s">
        <v>126</v>
      </c>
      <c r="D62" s="81" t="s">
        <v>75</v>
      </c>
      <c r="E62" s="82">
        <v>5744</v>
      </c>
      <c r="F62" s="82">
        <v>194</v>
      </c>
      <c r="G62" s="82">
        <v>400</v>
      </c>
      <c r="H62" s="84">
        <v>21.2</v>
      </c>
      <c r="I62" s="84">
        <v>21203</v>
      </c>
      <c r="J62" s="84">
        <v>15.3</v>
      </c>
    </row>
    <row r="63" spans="1:10" ht="16">
      <c r="A63" s="79" t="s">
        <v>876</v>
      </c>
      <c r="B63" s="79" t="s">
        <v>877</v>
      </c>
      <c r="C63" s="80" t="s">
        <v>126</v>
      </c>
      <c r="D63" s="81" t="s">
        <v>96</v>
      </c>
      <c r="E63" s="82">
        <v>28135</v>
      </c>
      <c r="F63" s="82">
        <v>816</v>
      </c>
      <c r="G63" s="82">
        <v>1958</v>
      </c>
      <c r="H63" s="84">
        <v>9</v>
      </c>
      <c r="I63" s="84">
        <v>1791</v>
      </c>
      <c r="J63" s="84">
        <v>13.6</v>
      </c>
    </row>
    <row r="64" spans="1:10" ht="16">
      <c r="A64" s="79" t="s">
        <v>1166</v>
      </c>
      <c r="B64" s="79" t="s">
        <v>1161</v>
      </c>
      <c r="C64" s="80" t="s">
        <v>126</v>
      </c>
      <c r="D64" s="81" t="s">
        <v>77</v>
      </c>
      <c r="E64" s="82">
        <v>16458</v>
      </c>
      <c r="F64" s="82">
        <v>430</v>
      </c>
      <c r="G64" s="82">
        <v>1975</v>
      </c>
      <c r="H64" s="84">
        <v>14.8</v>
      </c>
      <c r="I64" s="84">
        <v>2185</v>
      </c>
      <c r="J64" s="84">
        <v>18.5</v>
      </c>
    </row>
    <row r="65" spans="1:10" ht="16">
      <c r="A65" s="79" t="s">
        <v>500</v>
      </c>
      <c r="B65" s="79" t="s">
        <v>493</v>
      </c>
      <c r="C65" s="80" t="s">
        <v>126</v>
      </c>
      <c r="D65" s="81" t="s">
        <v>103</v>
      </c>
      <c r="E65" s="82">
        <v>14953</v>
      </c>
      <c r="F65" s="82">
        <v>1323</v>
      </c>
      <c r="G65" s="82">
        <v>449</v>
      </c>
      <c r="H65" s="84">
        <v>16.399999999999999</v>
      </c>
      <c r="I65" s="84">
        <v>7671</v>
      </c>
      <c r="J65" s="84">
        <v>30.8</v>
      </c>
    </row>
    <row r="66" spans="1:10" ht="16">
      <c r="A66" s="79" t="s">
        <v>501</v>
      </c>
      <c r="B66" s="79" t="s">
        <v>493</v>
      </c>
      <c r="C66" s="80" t="s">
        <v>95</v>
      </c>
      <c r="D66" s="81" t="s">
        <v>96</v>
      </c>
      <c r="E66" s="82">
        <v>10355</v>
      </c>
      <c r="F66" s="82">
        <v>542</v>
      </c>
      <c r="G66" s="82">
        <v>414</v>
      </c>
      <c r="H66" s="84">
        <v>10</v>
      </c>
      <c r="I66" s="84">
        <v>1110</v>
      </c>
      <c r="J66" s="84">
        <v>33</v>
      </c>
    </row>
    <row r="67" spans="1:10" ht="16">
      <c r="A67" s="79" t="s">
        <v>548</v>
      </c>
      <c r="B67" s="79" t="s">
        <v>549</v>
      </c>
      <c r="C67" s="80" t="s">
        <v>126</v>
      </c>
      <c r="D67" s="81" t="s">
        <v>75</v>
      </c>
      <c r="E67" s="82">
        <v>17382</v>
      </c>
      <c r="F67" s="82">
        <v>1655</v>
      </c>
      <c r="G67" s="82">
        <v>348</v>
      </c>
      <c r="H67" s="84">
        <v>16.7</v>
      </c>
      <c r="I67" s="84">
        <v>2731</v>
      </c>
      <c r="J67" s="84">
        <v>22</v>
      </c>
    </row>
    <row r="68" spans="1:10" ht="16">
      <c r="A68" s="79" t="s">
        <v>1212</v>
      </c>
      <c r="B68" s="79" t="s">
        <v>1209</v>
      </c>
      <c r="C68" s="80" t="s">
        <v>95</v>
      </c>
      <c r="D68" s="81" t="s">
        <v>75</v>
      </c>
      <c r="E68" s="82">
        <v>9590</v>
      </c>
      <c r="F68" s="82">
        <v>588</v>
      </c>
      <c r="G68" s="82">
        <v>2206</v>
      </c>
      <c r="H68" s="84">
        <v>20.7</v>
      </c>
      <c r="I68" s="84">
        <v>13766</v>
      </c>
      <c r="J68" s="84">
        <v>22.4</v>
      </c>
    </row>
    <row r="69" spans="1:10" ht="16">
      <c r="A69" s="79" t="s">
        <v>609</v>
      </c>
      <c r="B69" s="79" t="s">
        <v>610</v>
      </c>
      <c r="C69" s="80" t="s">
        <v>95</v>
      </c>
      <c r="D69" s="81" t="s">
        <v>78</v>
      </c>
      <c r="E69" s="82">
        <v>16723</v>
      </c>
      <c r="F69" s="82">
        <v>956</v>
      </c>
      <c r="G69" s="82">
        <v>836</v>
      </c>
      <c r="H69" s="84">
        <v>36.5</v>
      </c>
      <c r="I69" s="84">
        <v>16176</v>
      </c>
      <c r="J69" s="84">
        <v>29.9</v>
      </c>
    </row>
    <row r="70" spans="1:10" ht="16">
      <c r="A70" s="79" t="s">
        <v>937</v>
      </c>
      <c r="B70" s="79" t="s">
        <v>938</v>
      </c>
      <c r="C70" s="80" t="s">
        <v>95</v>
      </c>
      <c r="D70" s="81" t="s">
        <v>149</v>
      </c>
      <c r="E70" s="82">
        <v>15236</v>
      </c>
      <c r="F70" s="82">
        <v>1373</v>
      </c>
      <c r="G70" s="82">
        <v>457</v>
      </c>
      <c r="H70" s="84">
        <v>8.1</v>
      </c>
      <c r="I70" s="84">
        <v>365</v>
      </c>
      <c r="J70" s="84">
        <v>17</v>
      </c>
    </row>
    <row r="71" spans="1:10" ht="16">
      <c r="A71" s="79" t="s">
        <v>1167</v>
      </c>
      <c r="B71" s="79" t="s">
        <v>1161</v>
      </c>
      <c r="C71" s="80" t="s">
        <v>95</v>
      </c>
      <c r="D71" s="81" t="s">
        <v>99</v>
      </c>
      <c r="E71" s="82">
        <v>12516</v>
      </c>
      <c r="F71" s="82">
        <v>1138</v>
      </c>
      <c r="G71" s="82">
        <v>1188</v>
      </c>
      <c r="H71" s="84">
        <v>10.9</v>
      </c>
      <c r="I71" s="84">
        <v>524</v>
      </c>
      <c r="J71" s="84">
        <v>21.4</v>
      </c>
    </row>
    <row r="72" spans="1:10" ht="16">
      <c r="A72" s="79" t="s">
        <v>939</v>
      </c>
      <c r="B72" s="79" t="s">
        <v>938</v>
      </c>
      <c r="C72" s="80" t="s">
        <v>126</v>
      </c>
      <c r="D72" s="81" t="s">
        <v>103</v>
      </c>
      <c r="E72" s="82">
        <v>19785</v>
      </c>
      <c r="F72" s="82">
        <v>4122</v>
      </c>
      <c r="G72" s="82">
        <v>1583</v>
      </c>
      <c r="H72" s="84">
        <v>17.399999999999999</v>
      </c>
      <c r="I72" s="84">
        <v>2929</v>
      </c>
      <c r="J72" s="84">
        <v>34</v>
      </c>
    </row>
    <row r="73" spans="1:10" ht="16">
      <c r="A73" s="79" t="s">
        <v>1310</v>
      </c>
      <c r="B73" s="79" t="s">
        <v>1307</v>
      </c>
      <c r="C73" s="80" t="s">
        <v>95</v>
      </c>
      <c r="D73" s="81" t="s">
        <v>96</v>
      </c>
      <c r="E73" s="82">
        <v>17078</v>
      </c>
      <c r="F73" s="82">
        <v>1054</v>
      </c>
      <c r="G73" s="82">
        <v>1025</v>
      </c>
      <c r="H73" s="84">
        <v>18.2</v>
      </c>
      <c r="I73" s="84">
        <v>9831</v>
      </c>
      <c r="J73" s="84">
        <v>32.1</v>
      </c>
    </row>
    <row r="74" spans="1:10" ht="16">
      <c r="A74" s="79" t="s">
        <v>241</v>
      </c>
      <c r="B74" s="79" t="s">
        <v>242</v>
      </c>
      <c r="C74" s="80" t="s">
        <v>126</v>
      </c>
      <c r="D74" s="81" t="s">
        <v>149</v>
      </c>
      <c r="E74" s="82">
        <v>29952</v>
      </c>
      <c r="F74" s="82">
        <v>2186</v>
      </c>
      <c r="G74" s="82">
        <v>1797</v>
      </c>
      <c r="H74" s="84">
        <v>34.200000000000003</v>
      </c>
      <c r="I74" s="84">
        <v>13065</v>
      </c>
      <c r="J74" s="84">
        <v>30.4</v>
      </c>
    </row>
    <row r="75" spans="1:10" ht="16">
      <c r="A75" s="79" t="s">
        <v>243</v>
      </c>
      <c r="B75" s="79" t="s">
        <v>242</v>
      </c>
      <c r="C75" s="80" t="s">
        <v>126</v>
      </c>
      <c r="D75" s="81" t="s">
        <v>99</v>
      </c>
      <c r="E75" s="82">
        <v>30608</v>
      </c>
      <c r="F75" s="82">
        <v>2301</v>
      </c>
      <c r="G75" s="82">
        <v>2449</v>
      </c>
      <c r="H75" s="84">
        <v>32.1</v>
      </c>
      <c r="I75" s="84">
        <v>10528</v>
      </c>
      <c r="J75" s="84">
        <v>30.6</v>
      </c>
    </row>
    <row r="76" spans="1:10" ht="16">
      <c r="A76" s="79" t="s">
        <v>244</v>
      </c>
      <c r="B76" s="79" t="s">
        <v>242</v>
      </c>
      <c r="C76" s="80" t="s">
        <v>95</v>
      </c>
      <c r="D76" s="81" t="s">
        <v>78</v>
      </c>
      <c r="E76" s="82">
        <v>26457</v>
      </c>
      <c r="F76" s="82">
        <v>1890</v>
      </c>
      <c r="G76" s="82">
        <v>2117</v>
      </c>
      <c r="H76" s="84">
        <v>23.5</v>
      </c>
      <c r="I76" s="84">
        <v>4782</v>
      </c>
      <c r="J76" s="84">
        <v>23.4</v>
      </c>
    </row>
    <row r="77" spans="1:10" ht="16">
      <c r="A77" s="79" t="s">
        <v>245</v>
      </c>
      <c r="B77" s="79" t="s">
        <v>242</v>
      </c>
      <c r="C77" s="80" t="s">
        <v>95</v>
      </c>
      <c r="D77" s="81" t="s">
        <v>78</v>
      </c>
      <c r="E77" s="82">
        <v>23524</v>
      </c>
      <c r="F77" s="82">
        <v>1528</v>
      </c>
      <c r="G77" s="82">
        <v>2588</v>
      </c>
      <c r="H77" s="84">
        <v>39.6</v>
      </c>
      <c r="I77" s="84">
        <v>19278</v>
      </c>
      <c r="J77" s="84">
        <v>46.5</v>
      </c>
    </row>
    <row r="78" spans="1:10" ht="16">
      <c r="A78" s="79" t="s">
        <v>160</v>
      </c>
      <c r="B78" s="79" t="s">
        <v>161</v>
      </c>
      <c r="C78" s="80" t="s">
        <v>95</v>
      </c>
      <c r="D78" s="81" t="s">
        <v>76</v>
      </c>
      <c r="E78" s="82">
        <v>27101</v>
      </c>
      <c r="F78" s="82">
        <v>3226</v>
      </c>
      <c r="G78" s="82">
        <v>2439</v>
      </c>
      <c r="H78" s="84">
        <v>9.6999999999999993</v>
      </c>
      <c r="I78" s="84">
        <v>1300</v>
      </c>
      <c r="J78" s="84">
        <v>21.3</v>
      </c>
    </row>
    <row r="79" spans="1:10" ht="16">
      <c r="A79" s="79" t="s">
        <v>940</v>
      </c>
      <c r="B79" s="79" t="s">
        <v>938</v>
      </c>
      <c r="C79" s="80" t="s">
        <v>95</v>
      </c>
      <c r="D79" s="81" t="s">
        <v>77</v>
      </c>
      <c r="E79" s="82">
        <v>13175</v>
      </c>
      <c r="F79" s="82">
        <v>983</v>
      </c>
      <c r="G79" s="82">
        <v>2372</v>
      </c>
      <c r="H79" s="84">
        <v>9.9</v>
      </c>
      <c r="I79" s="84">
        <v>2039</v>
      </c>
      <c r="J79" s="84">
        <v>19.100000000000001</v>
      </c>
    </row>
    <row r="80" spans="1:10" ht="16">
      <c r="A80" s="79" t="s">
        <v>369</v>
      </c>
      <c r="B80" s="79" t="s">
        <v>363</v>
      </c>
      <c r="C80" s="80" t="s">
        <v>126</v>
      </c>
      <c r="D80" s="81" t="s">
        <v>79</v>
      </c>
      <c r="E80" s="82">
        <v>97843</v>
      </c>
      <c r="F80" s="82">
        <v>3208</v>
      </c>
      <c r="G80" s="82">
        <v>4892</v>
      </c>
      <c r="H80" s="84">
        <v>7.5</v>
      </c>
      <c r="I80" s="84">
        <v>4097</v>
      </c>
      <c r="J80" s="84">
        <v>14.8</v>
      </c>
    </row>
    <row r="81" spans="1:10" ht="16">
      <c r="A81" s="79" t="s">
        <v>370</v>
      </c>
      <c r="B81" s="79" t="s">
        <v>363</v>
      </c>
      <c r="C81" s="80" t="s">
        <v>126</v>
      </c>
      <c r="D81" s="81" t="s">
        <v>101</v>
      </c>
      <c r="E81" s="82">
        <v>67981</v>
      </c>
      <c r="F81" s="82">
        <v>2687</v>
      </c>
      <c r="G81" s="82">
        <v>680</v>
      </c>
      <c r="H81" s="84">
        <v>7.4</v>
      </c>
      <c r="I81" s="84">
        <v>4508</v>
      </c>
      <c r="J81" s="84">
        <v>14.7</v>
      </c>
    </row>
    <row r="82" spans="1:10" ht="16">
      <c r="A82" s="79" t="s">
        <v>420</v>
      </c>
      <c r="B82" s="79" t="s">
        <v>421</v>
      </c>
      <c r="C82" s="80" t="s">
        <v>95</v>
      </c>
      <c r="D82" s="81" t="s">
        <v>96</v>
      </c>
      <c r="E82" s="82">
        <v>24875</v>
      </c>
      <c r="F82" s="82">
        <v>321</v>
      </c>
      <c r="G82" s="82">
        <v>1990</v>
      </c>
      <c r="H82" s="84">
        <v>42.7</v>
      </c>
      <c r="I82" s="84">
        <v>38912</v>
      </c>
      <c r="J82" s="84">
        <v>36.1</v>
      </c>
    </row>
    <row r="83" spans="1:10" ht="16">
      <c r="A83" s="79" t="s">
        <v>1168</v>
      </c>
      <c r="B83" s="79" t="s">
        <v>1161</v>
      </c>
      <c r="C83" s="80" t="s">
        <v>126</v>
      </c>
      <c r="D83" s="81" t="s">
        <v>78</v>
      </c>
      <c r="E83" s="82">
        <v>10374</v>
      </c>
      <c r="F83" s="82">
        <v>715</v>
      </c>
      <c r="G83" s="82">
        <v>934</v>
      </c>
      <c r="H83" s="84">
        <v>24.7</v>
      </c>
      <c r="I83" s="84">
        <v>13150</v>
      </c>
      <c r="J83" s="84">
        <v>24.5</v>
      </c>
    </row>
    <row r="84" spans="1:10" ht="16">
      <c r="A84" s="79" t="s">
        <v>1311</v>
      </c>
      <c r="B84" s="79" t="s">
        <v>1307</v>
      </c>
      <c r="C84" s="80" t="s">
        <v>126</v>
      </c>
      <c r="D84" s="81" t="s">
        <v>76</v>
      </c>
      <c r="E84" s="82">
        <v>17848</v>
      </c>
      <c r="F84" s="82">
        <v>766</v>
      </c>
      <c r="G84" s="82">
        <v>2499</v>
      </c>
      <c r="H84" s="84">
        <v>21.9</v>
      </c>
      <c r="I84" s="84">
        <v>13604</v>
      </c>
      <c r="J84" s="84">
        <v>22.8</v>
      </c>
    </row>
    <row r="85" spans="1:10" ht="16">
      <c r="A85" s="79" t="s">
        <v>1213</v>
      </c>
      <c r="B85" s="79" t="s">
        <v>1209</v>
      </c>
      <c r="C85" s="80" t="s">
        <v>95</v>
      </c>
      <c r="D85" s="81" t="s">
        <v>78</v>
      </c>
      <c r="E85" s="82">
        <v>8631</v>
      </c>
      <c r="F85" s="82">
        <v>546</v>
      </c>
      <c r="G85" s="82">
        <v>3280</v>
      </c>
      <c r="H85" s="84">
        <v>31.5</v>
      </c>
      <c r="I85" s="84">
        <v>19835</v>
      </c>
      <c r="J85" s="84">
        <v>27.6</v>
      </c>
    </row>
    <row r="86" spans="1:10" ht="16">
      <c r="A86" s="79" t="s">
        <v>502</v>
      </c>
      <c r="B86" s="79" t="s">
        <v>493</v>
      </c>
      <c r="C86" s="80" t="s">
        <v>126</v>
      </c>
      <c r="D86" s="81" t="s">
        <v>76</v>
      </c>
      <c r="E86" s="82">
        <v>13535</v>
      </c>
      <c r="F86" s="82">
        <v>778</v>
      </c>
      <c r="G86" s="82">
        <v>135</v>
      </c>
      <c r="H86" s="84">
        <v>10.9</v>
      </c>
      <c r="I86" s="84">
        <v>3381</v>
      </c>
      <c r="J86" s="84">
        <v>19.7</v>
      </c>
    </row>
    <row r="87" spans="1:10" ht="16">
      <c r="A87" s="79" t="s">
        <v>1214</v>
      </c>
      <c r="B87" s="79" t="s">
        <v>1209</v>
      </c>
      <c r="C87" s="80" t="s">
        <v>95</v>
      </c>
      <c r="D87" s="81" t="s">
        <v>103</v>
      </c>
      <c r="E87" s="82">
        <v>19975</v>
      </c>
      <c r="F87" s="82">
        <v>1104</v>
      </c>
      <c r="G87" s="82">
        <v>4594</v>
      </c>
      <c r="H87" s="84">
        <v>10.3</v>
      </c>
      <c r="I87" s="84">
        <v>3879</v>
      </c>
      <c r="J87" s="84">
        <v>16</v>
      </c>
    </row>
    <row r="88" spans="1:10" ht="16">
      <c r="A88" s="79" t="s">
        <v>1169</v>
      </c>
      <c r="B88" s="79" t="s">
        <v>1161</v>
      </c>
      <c r="C88" s="80" t="s">
        <v>126</v>
      </c>
      <c r="D88" s="81" t="s">
        <v>96</v>
      </c>
      <c r="E88" s="82">
        <v>13202</v>
      </c>
      <c r="F88" s="82">
        <v>569</v>
      </c>
      <c r="G88" s="82">
        <v>396</v>
      </c>
      <c r="H88" s="84">
        <v>21.2</v>
      </c>
      <c r="I88" s="84">
        <v>10521</v>
      </c>
      <c r="J88" s="84">
        <v>23.2</v>
      </c>
    </row>
    <row r="89" spans="1:10" ht="16">
      <c r="A89" s="79" t="s">
        <v>550</v>
      </c>
      <c r="B89" s="79" t="s">
        <v>549</v>
      </c>
      <c r="C89" s="80" t="s">
        <v>95</v>
      </c>
      <c r="D89" s="81" t="s">
        <v>78</v>
      </c>
      <c r="E89" s="82">
        <v>22289</v>
      </c>
      <c r="F89" s="82">
        <v>1798</v>
      </c>
      <c r="G89" s="82">
        <v>669</v>
      </c>
      <c r="H89" s="84">
        <v>10.6</v>
      </c>
      <c r="I89" s="84">
        <v>946</v>
      </c>
      <c r="J89" s="84">
        <v>19</v>
      </c>
    </row>
    <row r="90" spans="1:10" ht="16">
      <c r="A90" s="79" t="s">
        <v>110</v>
      </c>
      <c r="B90" s="79" t="s">
        <v>108</v>
      </c>
      <c r="C90" s="80" t="s">
        <v>95</v>
      </c>
      <c r="D90" s="81" t="s">
        <v>111</v>
      </c>
      <c r="E90" s="82">
        <v>3341</v>
      </c>
      <c r="F90" s="82">
        <v>324</v>
      </c>
      <c r="G90" s="82">
        <v>1437</v>
      </c>
      <c r="H90" s="84">
        <v>19.600000000000001</v>
      </c>
      <c r="I90" s="84">
        <v>12667</v>
      </c>
      <c r="J90" s="84">
        <v>21.1</v>
      </c>
    </row>
    <row r="91" spans="1:10" ht="16">
      <c r="A91" s="79" t="s">
        <v>1312</v>
      </c>
      <c r="B91" s="79" t="s">
        <v>1307</v>
      </c>
      <c r="C91" s="80" t="s">
        <v>95</v>
      </c>
      <c r="D91" s="81" t="s">
        <v>75</v>
      </c>
      <c r="E91" s="82">
        <v>12904</v>
      </c>
      <c r="F91" s="82">
        <v>822</v>
      </c>
      <c r="G91" s="82">
        <v>1419</v>
      </c>
      <c r="H91" s="84">
        <v>33.700000000000003</v>
      </c>
      <c r="I91" s="84">
        <v>23388</v>
      </c>
      <c r="J91" s="84">
        <v>36.700000000000003</v>
      </c>
    </row>
    <row r="92" spans="1:10" ht="16">
      <c r="A92" s="79" t="s">
        <v>1313</v>
      </c>
      <c r="B92" s="79" t="s">
        <v>1307</v>
      </c>
      <c r="C92" s="80" t="s">
        <v>95</v>
      </c>
      <c r="D92" s="81" t="s">
        <v>96</v>
      </c>
      <c r="E92" s="82">
        <v>25662</v>
      </c>
      <c r="F92" s="82">
        <v>2212</v>
      </c>
      <c r="G92" s="82">
        <v>6929</v>
      </c>
      <c r="H92" s="84">
        <v>55.6</v>
      </c>
      <c r="I92" s="84">
        <v>53302</v>
      </c>
      <c r="J92" s="84">
        <v>57.3</v>
      </c>
    </row>
    <row r="93" spans="1:10" ht="16">
      <c r="A93" s="79" t="s">
        <v>1215</v>
      </c>
      <c r="B93" s="79" t="s">
        <v>1209</v>
      </c>
      <c r="C93" s="80" t="s">
        <v>95</v>
      </c>
      <c r="D93" s="81" t="s">
        <v>111</v>
      </c>
      <c r="E93" s="82">
        <v>13692</v>
      </c>
      <c r="F93" s="82">
        <v>801</v>
      </c>
      <c r="G93" s="82">
        <v>2465</v>
      </c>
      <c r="H93" s="84">
        <v>18.7</v>
      </c>
      <c r="I93" s="84">
        <v>10429</v>
      </c>
      <c r="J93" s="84">
        <v>33.200000000000003</v>
      </c>
    </row>
    <row r="94" spans="1:10" ht="16">
      <c r="A94" s="79" t="s">
        <v>1314</v>
      </c>
      <c r="B94" s="79" t="s">
        <v>1307</v>
      </c>
      <c r="C94" s="80" t="s">
        <v>95</v>
      </c>
      <c r="D94" s="81" t="s">
        <v>77</v>
      </c>
      <c r="E94" s="82">
        <v>5375</v>
      </c>
      <c r="F94" s="82">
        <v>441</v>
      </c>
      <c r="G94" s="82">
        <v>1451</v>
      </c>
      <c r="H94" s="84">
        <v>22.9</v>
      </c>
      <c r="I94" s="84">
        <v>22937</v>
      </c>
      <c r="J94" s="84">
        <v>28.5</v>
      </c>
    </row>
    <row r="95" spans="1:10" ht="16">
      <c r="A95" s="79" t="s">
        <v>1216</v>
      </c>
      <c r="B95" s="79" t="s">
        <v>1209</v>
      </c>
      <c r="C95" s="80" t="s">
        <v>95</v>
      </c>
      <c r="D95" s="81" t="s">
        <v>149</v>
      </c>
      <c r="E95" s="82">
        <v>879</v>
      </c>
      <c r="F95" s="82">
        <v>78</v>
      </c>
      <c r="G95" s="82">
        <v>132</v>
      </c>
      <c r="H95" s="84">
        <v>19.899999999999999</v>
      </c>
      <c r="I95" s="84">
        <v>19983</v>
      </c>
      <c r="J95" s="84">
        <v>15.9</v>
      </c>
    </row>
    <row r="96" spans="1:10" ht="16">
      <c r="A96" s="79" t="s">
        <v>340</v>
      </c>
      <c r="B96" s="79" t="s">
        <v>341</v>
      </c>
      <c r="C96" s="80" t="s">
        <v>126</v>
      </c>
      <c r="D96" s="81" t="s">
        <v>149</v>
      </c>
      <c r="E96" s="82">
        <v>20275</v>
      </c>
      <c r="F96" s="82">
        <v>1034</v>
      </c>
      <c r="G96" s="82">
        <v>4461</v>
      </c>
      <c r="H96" s="84">
        <v>15.6</v>
      </c>
      <c r="I96" s="84">
        <v>3399</v>
      </c>
      <c r="J96" s="84">
        <v>18.600000000000001</v>
      </c>
    </row>
    <row r="97" spans="1:10" ht="16">
      <c r="A97" s="79" t="s">
        <v>1315</v>
      </c>
      <c r="B97" s="79" t="s">
        <v>1307</v>
      </c>
      <c r="C97" s="80" t="s">
        <v>126</v>
      </c>
      <c r="D97" s="81" t="s">
        <v>77</v>
      </c>
      <c r="E97" s="82">
        <v>9391</v>
      </c>
      <c r="F97" s="82">
        <v>870</v>
      </c>
      <c r="G97" s="82">
        <v>1878</v>
      </c>
      <c r="H97" s="84">
        <v>56.1</v>
      </c>
      <c r="I97" s="84">
        <v>53282</v>
      </c>
      <c r="J97" s="84">
        <v>64</v>
      </c>
    </row>
    <row r="98" spans="1:10" ht="16">
      <c r="A98" s="79" t="s">
        <v>1217</v>
      </c>
      <c r="B98" s="79" t="s">
        <v>1209</v>
      </c>
      <c r="C98" s="80" t="s">
        <v>126</v>
      </c>
      <c r="D98" s="81" t="s">
        <v>77</v>
      </c>
      <c r="E98" s="82">
        <v>10961</v>
      </c>
      <c r="F98" s="82">
        <v>672</v>
      </c>
      <c r="G98" s="82">
        <v>3946</v>
      </c>
      <c r="H98" s="84">
        <v>26.9</v>
      </c>
      <c r="I98" s="84">
        <v>17046</v>
      </c>
      <c r="J98" s="84">
        <v>26.9</v>
      </c>
    </row>
    <row r="99" spans="1:10" ht="16">
      <c r="A99" s="79" t="s">
        <v>560</v>
      </c>
      <c r="B99" s="79" t="s">
        <v>556</v>
      </c>
      <c r="C99" s="80" t="s">
        <v>95</v>
      </c>
      <c r="D99" s="81" t="s">
        <v>75</v>
      </c>
      <c r="E99" s="82">
        <v>11609</v>
      </c>
      <c r="F99" s="82">
        <v>441</v>
      </c>
      <c r="G99" s="82">
        <v>116</v>
      </c>
      <c r="H99" s="84">
        <v>15.3</v>
      </c>
      <c r="I99" s="84">
        <v>3967</v>
      </c>
      <c r="J99" s="84">
        <v>22.2</v>
      </c>
    </row>
    <row r="100" spans="1:10" ht="16">
      <c r="A100" s="79" t="s">
        <v>930</v>
      </c>
      <c r="B100" s="79" t="s">
        <v>928</v>
      </c>
      <c r="C100" s="80" t="s">
        <v>95</v>
      </c>
      <c r="D100" s="81" t="s">
        <v>75</v>
      </c>
      <c r="E100" s="82">
        <v>22022</v>
      </c>
      <c r="F100" s="82">
        <v>1488</v>
      </c>
      <c r="G100" s="82">
        <v>661</v>
      </c>
      <c r="H100" s="84">
        <v>10</v>
      </c>
      <c r="I100" s="84">
        <v>5325</v>
      </c>
      <c r="J100" s="84">
        <v>15.4</v>
      </c>
    </row>
    <row r="101" spans="1:10" ht="16">
      <c r="A101" s="79" t="s">
        <v>484</v>
      </c>
      <c r="B101" s="79" t="s">
        <v>485</v>
      </c>
      <c r="C101" s="80" t="s">
        <v>126</v>
      </c>
      <c r="D101" s="81" t="s">
        <v>101</v>
      </c>
      <c r="E101" s="82">
        <v>18219</v>
      </c>
      <c r="F101" s="82">
        <v>1078</v>
      </c>
      <c r="G101" s="82">
        <v>1275</v>
      </c>
      <c r="H101" s="84">
        <v>15.8</v>
      </c>
      <c r="I101" s="84">
        <v>4016</v>
      </c>
      <c r="J101" s="84">
        <v>17.399999999999999</v>
      </c>
    </row>
    <row r="102" spans="1:10" ht="16">
      <c r="A102" s="79" t="s">
        <v>371</v>
      </c>
      <c r="B102" s="79" t="s">
        <v>363</v>
      </c>
      <c r="C102" s="80" t="s">
        <v>126</v>
      </c>
      <c r="D102" s="81" t="s">
        <v>99</v>
      </c>
      <c r="E102" s="82">
        <v>223275</v>
      </c>
      <c r="F102" s="82">
        <v>5499</v>
      </c>
      <c r="G102" s="82">
        <v>4466</v>
      </c>
      <c r="H102" s="84">
        <v>13.7</v>
      </c>
      <c r="I102" s="84">
        <v>7101</v>
      </c>
      <c r="J102" s="84">
        <v>21.8</v>
      </c>
    </row>
    <row r="103" spans="1:10" ht="16">
      <c r="A103" s="79" t="s">
        <v>1316</v>
      </c>
      <c r="B103" s="79" t="s">
        <v>1307</v>
      </c>
      <c r="C103" s="80" t="s">
        <v>126</v>
      </c>
      <c r="D103" s="81" t="s">
        <v>149</v>
      </c>
      <c r="E103" s="82">
        <v>2240</v>
      </c>
      <c r="F103" s="82">
        <v>350</v>
      </c>
      <c r="G103" s="82">
        <v>672</v>
      </c>
      <c r="H103" s="84">
        <v>97.2</v>
      </c>
      <c r="I103" s="84">
        <v>95230</v>
      </c>
      <c r="J103" s="84">
        <v>92.1</v>
      </c>
    </row>
    <row r="104" spans="1:10" ht="16">
      <c r="A104" s="79" t="s">
        <v>1317</v>
      </c>
      <c r="B104" s="79" t="s">
        <v>1307</v>
      </c>
      <c r="C104" s="80" t="s">
        <v>95</v>
      </c>
      <c r="D104" s="81" t="s">
        <v>96</v>
      </c>
      <c r="E104" s="82">
        <v>30595</v>
      </c>
      <c r="F104" s="82">
        <v>1553</v>
      </c>
      <c r="G104" s="82">
        <v>1224</v>
      </c>
      <c r="H104" s="84">
        <v>10.1</v>
      </c>
      <c r="I104" s="84">
        <v>2773</v>
      </c>
      <c r="J104" s="84">
        <v>23.1</v>
      </c>
    </row>
    <row r="105" spans="1:10" ht="16">
      <c r="A105" s="79" t="s">
        <v>1170</v>
      </c>
      <c r="B105" s="79" t="s">
        <v>1161</v>
      </c>
      <c r="C105" s="80" t="s">
        <v>126</v>
      </c>
      <c r="D105" s="81" t="s">
        <v>78</v>
      </c>
      <c r="E105" s="82">
        <v>9164</v>
      </c>
      <c r="F105" s="82">
        <v>323</v>
      </c>
      <c r="G105" s="82">
        <v>183</v>
      </c>
      <c r="H105" s="84">
        <v>11.4</v>
      </c>
      <c r="I105" s="84">
        <v>11423</v>
      </c>
      <c r="J105" s="84">
        <v>14.9</v>
      </c>
    </row>
    <row r="106" spans="1:10" ht="16">
      <c r="A106" s="79" t="s">
        <v>1218</v>
      </c>
      <c r="B106" s="79" t="s">
        <v>1209</v>
      </c>
      <c r="C106" s="80" t="s">
        <v>95</v>
      </c>
      <c r="D106" s="81" t="s">
        <v>75</v>
      </c>
      <c r="E106" s="82">
        <v>11386</v>
      </c>
      <c r="F106" s="82">
        <v>674</v>
      </c>
      <c r="G106" s="82">
        <v>1366</v>
      </c>
      <c r="H106" s="84">
        <v>11.3</v>
      </c>
      <c r="I106" s="84">
        <v>2286</v>
      </c>
      <c r="J106" s="84">
        <v>16.399999999999999</v>
      </c>
    </row>
    <row r="107" spans="1:10" ht="16">
      <c r="A107" s="79" t="s">
        <v>246</v>
      </c>
      <c r="B107" s="79" t="s">
        <v>242</v>
      </c>
      <c r="C107" s="80" t="s">
        <v>95</v>
      </c>
      <c r="D107" s="81" t="s">
        <v>99</v>
      </c>
      <c r="E107" s="82">
        <v>13178</v>
      </c>
      <c r="F107" s="82">
        <v>1938</v>
      </c>
      <c r="G107" s="82">
        <v>659</v>
      </c>
      <c r="H107" s="84">
        <v>20.2</v>
      </c>
      <c r="I107" s="84">
        <v>4991</v>
      </c>
      <c r="J107" s="84">
        <v>30.2</v>
      </c>
    </row>
    <row r="108" spans="1:10" ht="16">
      <c r="A108" s="79" t="s">
        <v>1219</v>
      </c>
      <c r="B108" s="79" t="s">
        <v>1209</v>
      </c>
      <c r="C108" s="80" t="s">
        <v>95</v>
      </c>
      <c r="D108" s="81" t="s">
        <v>76</v>
      </c>
      <c r="E108" s="82">
        <v>8661</v>
      </c>
      <c r="F108" s="82">
        <v>525</v>
      </c>
      <c r="G108" s="82">
        <v>1472</v>
      </c>
      <c r="H108" s="84">
        <v>10.8</v>
      </c>
      <c r="I108" s="84">
        <v>4441</v>
      </c>
      <c r="J108" s="84">
        <v>16.5</v>
      </c>
    </row>
    <row r="109" spans="1:10" ht="16">
      <c r="A109" s="79" t="s">
        <v>1220</v>
      </c>
      <c r="B109" s="79" t="s">
        <v>1209</v>
      </c>
      <c r="C109" s="80" t="s">
        <v>95</v>
      </c>
      <c r="D109" s="81" t="s">
        <v>99</v>
      </c>
      <c r="E109" s="82">
        <v>25501</v>
      </c>
      <c r="F109" s="82">
        <v>1889</v>
      </c>
      <c r="G109" s="82">
        <v>6885</v>
      </c>
      <c r="H109" s="84">
        <v>35.5</v>
      </c>
      <c r="I109" s="84">
        <v>30992</v>
      </c>
      <c r="J109" s="84">
        <v>32.5</v>
      </c>
    </row>
    <row r="110" spans="1:10" ht="16">
      <c r="A110" s="79" t="s">
        <v>202</v>
      </c>
      <c r="B110" s="79" t="s">
        <v>203</v>
      </c>
      <c r="C110" s="80" t="s">
        <v>126</v>
      </c>
      <c r="D110" s="81" t="s">
        <v>149</v>
      </c>
      <c r="E110" s="82">
        <v>27570</v>
      </c>
      <c r="F110" s="82">
        <v>928</v>
      </c>
      <c r="G110" s="82">
        <v>5790</v>
      </c>
      <c r="H110" s="84">
        <v>27.2</v>
      </c>
      <c r="I110" s="84">
        <v>15584</v>
      </c>
      <c r="J110" s="84">
        <v>20.2</v>
      </c>
    </row>
    <row r="111" spans="1:10" ht="16">
      <c r="A111" s="79" t="s">
        <v>1041</v>
      </c>
      <c r="B111" s="79" t="s">
        <v>1039</v>
      </c>
      <c r="C111" s="80" t="s">
        <v>126</v>
      </c>
      <c r="D111" s="81" t="s">
        <v>75</v>
      </c>
      <c r="E111" s="82">
        <v>17265</v>
      </c>
      <c r="F111" s="82">
        <v>1570</v>
      </c>
      <c r="G111" s="82">
        <v>2590</v>
      </c>
      <c r="H111" s="84">
        <v>16.3</v>
      </c>
      <c r="I111" s="84">
        <v>5699</v>
      </c>
      <c r="J111" s="84">
        <v>24.4</v>
      </c>
    </row>
    <row r="112" spans="1:10" ht="16">
      <c r="A112" s="79" t="s">
        <v>1318</v>
      </c>
      <c r="B112" s="79" t="s">
        <v>1307</v>
      </c>
      <c r="C112" s="80" t="s">
        <v>126</v>
      </c>
      <c r="D112" s="81" t="s">
        <v>96</v>
      </c>
      <c r="E112" s="82">
        <v>13430</v>
      </c>
      <c r="F112" s="82">
        <v>988</v>
      </c>
      <c r="G112" s="82">
        <v>6446</v>
      </c>
      <c r="H112" s="84">
        <v>82.7</v>
      </c>
      <c r="I112" s="84">
        <v>81228</v>
      </c>
      <c r="J112" s="84">
        <v>65.900000000000006</v>
      </c>
    </row>
    <row r="113" spans="1:10" ht="16">
      <c r="A113" s="79" t="s">
        <v>1319</v>
      </c>
      <c r="B113" s="79" t="s">
        <v>1307</v>
      </c>
      <c r="C113" s="80" t="s">
        <v>126</v>
      </c>
      <c r="D113" s="81" t="s">
        <v>77</v>
      </c>
      <c r="E113" s="82">
        <v>10654</v>
      </c>
      <c r="F113" s="82">
        <v>1211</v>
      </c>
      <c r="G113" s="82">
        <v>2450</v>
      </c>
      <c r="H113" s="84">
        <v>39.9</v>
      </c>
      <c r="I113" s="84">
        <v>38101</v>
      </c>
      <c r="J113" s="84">
        <v>48.4</v>
      </c>
    </row>
    <row r="114" spans="1:10" ht="16">
      <c r="A114" s="79" t="s">
        <v>911</v>
      </c>
      <c r="B114" s="79" t="s">
        <v>912</v>
      </c>
      <c r="C114" s="80" t="s">
        <v>95</v>
      </c>
      <c r="D114" s="81" t="s">
        <v>79</v>
      </c>
      <c r="E114" s="82">
        <v>10998</v>
      </c>
      <c r="F114" s="82">
        <v>412</v>
      </c>
      <c r="G114" s="82">
        <v>1100</v>
      </c>
      <c r="H114" s="84">
        <v>15</v>
      </c>
      <c r="I114" s="84">
        <v>14234</v>
      </c>
      <c r="J114" s="84">
        <v>18.3</v>
      </c>
    </row>
    <row r="115" spans="1:10" ht="16">
      <c r="A115" s="79" t="s">
        <v>232</v>
      </c>
      <c r="B115" s="79" t="s">
        <v>231</v>
      </c>
      <c r="C115" s="80" t="s">
        <v>126</v>
      </c>
      <c r="D115" s="81" t="s">
        <v>103</v>
      </c>
      <c r="E115" s="82">
        <v>11871</v>
      </c>
      <c r="F115" s="82">
        <v>606</v>
      </c>
      <c r="G115" s="82">
        <v>237</v>
      </c>
      <c r="H115" s="84">
        <v>14.2</v>
      </c>
      <c r="I115" s="84">
        <v>2689</v>
      </c>
      <c r="J115" s="84">
        <v>14.8</v>
      </c>
    </row>
    <row r="116" spans="1:10" ht="16">
      <c r="A116" s="79" t="s">
        <v>618</v>
      </c>
      <c r="B116" s="79" t="s">
        <v>617</v>
      </c>
      <c r="C116" s="80" t="s">
        <v>95</v>
      </c>
      <c r="D116" s="81" t="s">
        <v>101</v>
      </c>
      <c r="E116" s="82">
        <v>28725</v>
      </c>
      <c r="F116" s="82">
        <v>1330</v>
      </c>
      <c r="G116" s="82">
        <v>2011</v>
      </c>
      <c r="H116" s="84">
        <v>20.9</v>
      </c>
      <c r="I116" s="84">
        <v>15220</v>
      </c>
      <c r="J116" s="84">
        <v>18.399999999999999</v>
      </c>
    </row>
    <row r="117" spans="1:10" ht="16">
      <c r="A117" s="79" t="s">
        <v>112</v>
      </c>
      <c r="B117" s="79" t="s">
        <v>108</v>
      </c>
      <c r="C117" s="80" t="s">
        <v>95</v>
      </c>
      <c r="D117" s="81" t="s">
        <v>101</v>
      </c>
      <c r="E117" s="82">
        <v>14701</v>
      </c>
      <c r="F117" s="82">
        <v>707</v>
      </c>
      <c r="G117" s="82">
        <v>4557</v>
      </c>
      <c r="H117" s="84">
        <v>12.9</v>
      </c>
      <c r="I117" s="84">
        <v>6477</v>
      </c>
      <c r="J117" s="84">
        <v>16.899999999999999</v>
      </c>
    </row>
    <row r="118" spans="1:10" ht="16">
      <c r="A118" s="79" t="s">
        <v>247</v>
      </c>
      <c r="B118" s="79" t="s">
        <v>242</v>
      </c>
      <c r="C118" s="80" t="s">
        <v>95</v>
      </c>
      <c r="D118" s="81" t="s">
        <v>149</v>
      </c>
      <c r="E118" s="82">
        <v>51546</v>
      </c>
      <c r="F118" s="82">
        <v>2801</v>
      </c>
      <c r="G118" s="82">
        <v>1031</v>
      </c>
      <c r="H118" s="84">
        <v>33.9</v>
      </c>
      <c r="I118" s="84">
        <v>19006</v>
      </c>
      <c r="J118" s="84">
        <v>32</v>
      </c>
    </row>
    <row r="119" spans="1:10" ht="16">
      <c r="A119" s="79" t="s">
        <v>397</v>
      </c>
      <c r="B119" s="79" t="s">
        <v>396</v>
      </c>
      <c r="C119" s="80" t="s">
        <v>126</v>
      </c>
      <c r="D119" s="81" t="s">
        <v>79</v>
      </c>
      <c r="E119" s="82">
        <v>1706</v>
      </c>
      <c r="F119" s="82">
        <v>106</v>
      </c>
      <c r="G119" s="82">
        <v>768</v>
      </c>
      <c r="H119" s="84">
        <v>29.6</v>
      </c>
      <c r="I119" s="84">
        <v>14393</v>
      </c>
      <c r="J119" s="84">
        <v>30.4</v>
      </c>
    </row>
    <row r="120" spans="1:10" ht="16">
      <c r="A120" s="79" t="s">
        <v>1080</v>
      </c>
      <c r="B120" s="79" t="s">
        <v>1081</v>
      </c>
      <c r="C120" s="80" t="s">
        <v>126</v>
      </c>
      <c r="D120" s="81" t="s">
        <v>78</v>
      </c>
      <c r="E120" s="82">
        <v>9209</v>
      </c>
      <c r="F120" s="82">
        <v>737</v>
      </c>
      <c r="G120" s="82">
        <v>1566</v>
      </c>
      <c r="H120" s="84">
        <v>42.1</v>
      </c>
      <c r="I120" s="84">
        <v>25304</v>
      </c>
      <c r="J120" s="84">
        <v>36.1</v>
      </c>
    </row>
    <row r="121" spans="1:10" ht="16">
      <c r="A121" s="79" t="s">
        <v>1101</v>
      </c>
      <c r="B121" s="79" t="s">
        <v>1100</v>
      </c>
      <c r="C121" s="80" t="s">
        <v>126</v>
      </c>
      <c r="D121" s="81" t="s">
        <v>79</v>
      </c>
      <c r="E121" s="82">
        <v>7556</v>
      </c>
      <c r="F121" s="82">
        <v>614</v>
      </c>
      <c r="G121" s="82">
        <v>378</v>
      </c>
      <c r="H121" s="84">
        <v>26.3</v>
      </c>
      <c r="I121" s="84">
        <v>7852</v>
      </c>
      <c r="J121" s="84">
        <v>23.3</v>
      </c>
    </row>
    <row r="122" spans="1:10" ht="16">
      <c r="A122" s="79" t="s">
        <v>1102</v>
      </c>
      <c r="B122" s="79" t="s">
        <v>1100</v>
      </c>
      <c r="C122" s="80" t="s">
        <v>95</v>
      </c>
      <c r="D122" s="81" t="s">
        <v>79</v>
      </c>
      <c r="E122" s="82">
        <v>16787</v>
      </c>
      <c r="F122" s="82">
        <v>401</v>
      </c>
      <c r="G122" s="82">
        <v>1343</v>
      </c>
      <c r="H122" s="84">
        <v>12.2</v>
      </c>
      <c r="I122" s="84">
        <v>867</v>
      </c>
      <c r="J122" s="84">
        <v>13.7</v>
      </c>
    </row>
    <row r="123" spans="1:10" ht="16">
      <c r="A123" s="79" t="s">
        <v>113</v>
      </c>
      <c r="B123" s="79" t="s">
        <v>108</v>
      </c>
      <c r="C123" s="80" t="s">
        <v>95</v>
      </c>
      <c r="D123" s="81" t="s">
        <v>103</v>
      </c>
      <c r="E123" s="82">
        <v>6314</v>
      </c>
      <c r="F123" s="82">
        <v>277</v>
      </c>
      <c r="G123" s="82">
        <v>2020</v>
      </c>
      <c r="H123" s="84">
        <v>24.3</v>
      </c>
      <c r="I123" s="84">
        <v>12541</v>
      </c>
      <c r="J123" s="84">
        <v>19.899999999999999</v>
      </c>
    </row>
    <row r="124" spans="1:10" ht="16">
      <c r="A124" s="79" t="s">
        <v>342</v>
      </c>
      <c r="B124" s="79" t="s">
        <v>341</v>
      </c>
      <c r="C124" s="80" t="s">
        <v>95</v>
      </c>
      <c r="D124" s="81" t="s">
        <v>101</v>
      </c>
      <c r="E124" s="82">
        <v>48623</v>
      </c>
      <c r="F124" s="82">
        <v>3829</v>
      </c>
      <c r="G124" s="82">
        <v>8752</v>
      </c>
      <c r="H124" s="84">
        <v>25.9</v>
      </c>
      <c r="I124" s="84">
        <v>13748</v>
      </c>
      <c r="J124" s="84">
        <v>32.9</v>
      </c>
    </row>
    <row r="125" spans="1:10" ht="16">
      <c r="A125" s="79" t="s">
        <v>422</v>
      </c>
      <c r="B125" s="79" t="s">
        <v>421</v>
      </c>
      <c r="C125" s="80" t="s">
        <v>126</v>
      </c>
      <c r="D125" s="81" t="s">
        <v>75</v>
      </c>
      <c r="E125" s="82">
        <v>10473</v>
      </c>
      <c r="F125" s="82">
        <v>229</v>
      </c>
      <c r="G125" s="82">
        <v>2514</v>
      </c>
      <c r="H125" s="84">
        <v>26.5</v>
      </c>
      <c r="I125" s="84">
        <v>7119</v>
      </c>
      <c r="J125" s="84">
        <v>33</v>
      </c>
    </row>
    <row r="126" spans="1:10" ht="16">
      <c r="A126" s="79" t="s">
        <v>1138</v>
      </c>
      <c r="B126" s="79" t="s">
        <v>1139</v>
      </c>
      <c r="C126" s="80" t="s">
        <v>95</v>
      </c>
      <c r="D126" s="81" t="s">
        <v>101</v>
      </c>
      <c r="E126" s="82">
        <v>35013</v>
      </c>
      <c r="F126" s="82">
        <v>2259</v>
      </c>
      <c r="G126" s="82">
        <v>700</v>
      </c>
      <c r="H126" s="84">
        <v>14.2</v>
      </c>
      <c r="I126" s="84">
        <v>2563</v>
      </c>
      <c r="J126" s="84">
        <v>20.8</v>
      </c>
    </row>
    <row r="127" spans="1:10" ht="16">
      <c r="A127" s="79" t="s">
        <v>664</v>
      </c>
      <c r="B127" s="79" t="s">
        <v>661</v>
      </c>
      <c r="C127" s="80" t="s">
        <v>126</v>
      </c>
      <c r="D127" s="81" t="s">
        <v>75</v>
      </c>
      <c r="E127" s="82">
        <v>9763</v>
      </c>
      <c r="F127" s="82">
        <v>321</v>
      </c>
      <c r="G127" s="82">
        <v>98</v>
      </c>
      <c r="H127" s="84">
        <v>9.1</v>
      </c>
      <c r="I127" s="84">
        <v>625</v>
      </c>
      <c r="J127" s="84">
        <v>14.6</v>
      </c>
    </row>
    <row r="128" spans="1:10" ht="16">
      <c r="A128" s="79" t="s">
        <v>665</v>
      </c>
      <c r="B128" s="79" t="s">
        <v>661</v>
      </c>
      <c r="C128" s="80" t="s">
        <v>126</v>
      </c>
      <c r="D128" s="81" t="s">
        <v>111</v>
      </c>
      <c r="E128" s="82">
        <v>13764</v>
      </c>
      <c r="F128" s="82">
        <v>1404</v>
      </c>
      <c r="G128" s="82">
        <v>688</v>
      </c>
      <c r="H128" s="84">
        <v>19.100000000000001</v>
      </c>
      <c r="I128" s="84">
        <v>6266</v>
      </c>
      <c r="J128" s="84">
        <v>28.7</v>
      </c>
    </row>
    <row r="129" spans="1:10" ht="16">
      <c r="A129" s="79" t="s">
        <v>248</v>
      </c>
      <c r="B129" s="79" t="s">
        <v>242</v>
      </c>
      <c r="C129" s="80" t="s">
        <v>95</v>
      </c>
      <c r="D129" s="81" t="s">
        <v>79</v>
      </c>
      <c r="E129" s="82">
        <v>19586</v>
      </c>
      <c r="F129" s="82">
        <v>1688</v>
      </c>
      <c r="G129" s="82">
        <v>196</v>
      </c>
      <c r="H129" s="84">
        <v>26.2</v>
      </c>
      <c r="I129" s="84">
        <v>10672</v>
      </c>
      <c r="J129" s="84">
        <v>34.9</v>
      </c>
    </row>
    <row r="130" spans="1:10" ht="16">
      <c r="A130" s="79" t="s">
        <v>1103</v>
      </c>
      <c r="B130" s="79" t="s">
        <v>1100</v>
      </c>
      <c r="C130" s="80" t="s">
        <v>95</v>
      </c>
      <c r="D130" s="81" t="s">
        <v>101</v>
      </c>
      <c r="E130" s="82">
        <v>7603</v>
      </c>
      <c r="F130" s="82">
        <v>461</v>
      </c>
      <c r="G130" s="82">
        <v>608</v>
      </c>
      <c r="H130" s="84">
        <v>32.4</v>
      </c>
      <c r="I130" s="84">
        <v>14907</v>
      </c>
      <c r="J130" s="84">
        <v>25.8</v>
      </c>
    </row>
    <row r="131" spans="1:10" ht="16">
      <c r="A131" s="79" t="s">
        <v>249</v>
      </c>
      <c r="B131" s="79" t="s">
        <v>242</v>
      </c>
      <c r="C131" s="80" t="s">
        <v>95</v>
      </c>
      <c r="D131" s="81" t="s">
        <v>77</v>
      </c>
      <c r="E131" s="82">
        <v>16144</v>
      </c>
      <c r="F131" s="82">
        <v>897</v>
      </c>
      <c r="G131" s="82">
        <v>484</v>
      </c>
      <c r="H131" s="84">
        <v>13.1</v>
      </c>
      <c r="I131" s="84">
        <v>4661</v>
      </c>
      <c r="J131" s="84">
        <v>22.9</v>
      </c>
    </row>
    <row r="132" spans="1:10" ht="16">
      <c r="A132" s="79" t="s">
        <v>250</v>
      </c>
      <c r="B132" s="79" t="s">
        <v>242</v>
      </c>
      <c r="C132" s="80" t="s">
        <v>126</v>
      </c>
      <c r="D132" s="81" t="s">
        <v>79</v>
      </c>
      <c r="E132" s="82">
        <v>17752</v>
      </c>
      <c r="F132" s="82">
        <v>1168</v>
      </c>
      <c r="G132" s="82">
        <v>178</v>
      </c>
      <c r="H132" s="84">
        <v>14.2</v>
      </c>
      <c r="I132" s="84">
        <v>5639</v>
      </c>
      <c r="J132" s="84">
        <v>24.7</v>
      </c>
    </row>
    <row r="133" spans="1:10" ht="16">
      <c r="A133" s="79" t="s">
        <v>251</v>
      </c>
      <c r="B133" s="79" t="s">
        <v>242</v>
      </c>
      <c r="C133" s="80" t="s">
        <v>95</v>
      </c>
      <c r="D133" s="81" t="s">
        <v>79</v>
      </c>
      <c r="E133" s="82">
        <v>28934</v>
      </c>
      <c r="F133" s="82">
        <v>1733</v>
      </c>
      <c r="G133" s="82">
        <v>1157</v>
      </c>
      <c r="H133" s="84">
        <v>17.2</v>
      </c>
      <c r="I133" s="84">
        <v>7418</v>
      </c>
      <c r="J133" s="84">
        <v>20.5</v>
      </c>
    </row>
    <row r="134" spans="1:10" ht="16">
      <c r="A134" s="79" t="s">
        <v>252</v>
      </c>
      <c r="B134" s="79" t="s">
        <v>242</v>
      </c>
      <c r="C134" s="80" t="s">
        <v>126</v>
      </c>
      <c r="D134" s="81" t="s">
        <v>99</v>
      </c>
      <c r="E134" s="82">
        <v>47225</v>
      </c>
      <c r="F134" s="82">
        <v>2539</v>
      </c>
      <c r="G134" s="82">
        <v>945</v>
      </c>
      <c r="H134" s="84">
        <v>13.6</v>
      </c>
      <c r="I134" s="84">
        <v>6472</v>
      </c>
      <c r="J134" s="84">
        <v>19.899999999999999</v>
      </c>
    </row>
    <row r="135" spans="1:10" ht="16">
      <c r="A135" s="79" t="s">
        <v>253</v>
      </c>
      <c r="B135" s="79" t="s">
        <v>242</v>
      </c>
      <c r="C135" s="80" t="s">
        <v>126</v>
      </c>
      <c r="D135" s="81" t="s">
        <v>103</v>
      </c>
      <c r="E135" s="82">
        <v>15150</v>
      </c>
      <c r="F135" s="82">
        <v>810</v>
      </c>
      <c r="G135" s="82">
        <v>606</v>
      </c>
      <c r="H135" s="84">
        <v>26.1</v>
      </c>
      <c r="I135" s="84">
        <v>10265</v>
      </c>
      <c r="J135" s="84">
        <v>24</v>
      </c>
    </row>
    <row r="136" spans="1:10" ht="16">
      <c r="A136" s="79" t="s">
        <v>477</v>
      </c>
      <c r="B136" s="79" t="s">
        <v>478</v>
      </c>
      <c r="C136" s="80" t="s">
        <v>126</v>
      </c>
      <c r="D136" s="81" t="s">
        <v>149</v>
      </c>
      <c r="E136" s="82">
        <v>18340</v>
      </c>
      <c r="F136" s="82">
        <v>986</v>
      </c>
      <c r="G136" s="82">
        <v>5869</v>
      </c>
      <c r="H136" s="84">
        <v>62.8</v>
      </c>
      <c r="I136" s="84">
        <v>53115</v>
      </c>
      <c r="J136" s="84">
        <v>55.8</v>
      </c>
    </row>
    <row r="137" spans="1:10" ht="16">
      <c r="A137" s="79" t="s">
        <v>1008</v>
      </c>
      <c r="B137" s="79" t="s">
        <v>1007</v>
      </c>
      <c r="C137" s="80" t="s">
        <v>126</v>
      </c>
      <c r="D137" s="81" t="s">
        <v>103</v>
      </c>
      <c r="E137" s="82">
        <v>20601</v>
      </c>
      <c r="F137" s="82">
        <v>995</v>
      </c>
      <c r="G137" s="82">
        <v>1030</v>
      </c>
      <c r="H137" s="84">
        <v>20.399999999999999</v>
      </c>
      <c r="I137" s="84">
        <v>4867</v>
      </c>
      <c r="J137" s="84">
        <v>22.9</v>
      </c>
    </row>
    <row r="138" spans="1:10" ht="16">
      <c r="A138" s="79" t="s">
        <v>254</v>
      </c>
      <c r="B138" s="79" t="s">
        <v>242</v>
      </c>
      <c r="C138" s="80" t="s">
        <v>95</v>
      </c>
      <c r="D138" s="81" t="s">
        <v>149</v>
      </c>
      <c r="E138" s="82">
        <v>44394</v>
      </c>
      <c r="F138" s="82">
        <v>2775</v>
      </c>
      <c r="G138" s="82">
        <v>1776</v>
      </c>
      <c r="H138" s="84">
        <v>21.3</v>
      </c>
      <c r="I138" s="84">
        <v>7529</v>
      </c>
      <c r="J138" s="84">
        <v>23.2</v>
      </c>
    </row>
    <row r="139" spans="1:10" ht="16">
      <c r="A139" s="79" t="s">
        <v>1009</v>
      </c>
      <c r="B139" s="79" t="s">
        <v>1007</v>
      </c>
      <c r="C139" s="80" t="s">
        <v>126</v>
      </c>
      <c r="D139" s="81" t="s">
        <v>78</v>
      </c>
      <c r="E139" s="82">
        <v>22469</v>
      </c>
      <c r="F139" s="82">
        <v>1330</v>
      </c>
      <c r="G139" s="82">
        <v>1348</v>
      </c>
      <c r="H139" s="84">
        <v>20.2</v>
      </c>
      <c r="I139" s="84">
        <v>5994</v>
      </c>
      <c r="J139" s="84">
        <v>21.3</v>
      </c>
    </row>
    <row r="140" spans="1:10" ht="16">
      <c r="A140" s="79" t="s">
        <v>666</v>
      </c>
      <c r="B140" s="79" t="s">
        <v>661</v>
      </c>
      <c r="C140" s="80" t="s">
        <v>126</v>
      </c>
      <c r="D140" s="81" t="s">
        <v>75</v>
      </c>
      <c r="E140" s="82">
        <v>12533</v>
      </c>
      <c r="F140" s="82">
        <v>520</v>
      </c>
      <c r="G140" s="82">
        <v>125</v>
      </c>
      <c r="H140" s="84">
        <v>9.6999999999999993</v>
      </c>
      <c r="I140" s="84">
        <v>1713</v>
      </c>
      <c r="J140" s="84">
        <v>13.6</v>
      </c>
    </row>
    <row r="141" spans="1:10" ht="16">
      <c r="A141" s="79" t="s">
        <v>1140</v>
      </c>
      <c r="B141" s="79" t="s">
        <v>1139</v>
      </c>
      <c r="C141" s="80" t="s">
        <v>95</v>
      </c>
      <c r="D141" s="81" t="s">
        <v>75</v>
      </c>
      <c r="E141" s="82">
        <v>38531</v>
      </c>
      <c r="F141" s="82">
        <v>2752</v>
      </c>
      <c r="G141" s="82">
        <v>1541</v>
      </c>
      <c r="H141" s="84">
        <v>21.7</v>
      </c>
      <c r="I141" s="84">
        <v>4825</v>
      </c>
      <c r="J141" s="84">
        <v>31.5</v>
      </c>
    </row>
    <row r="142" spans="1:10" ht="16">
      <c r="A142" s="79" t="s">
        <v>1104</v>
      </c>
      <c r="B142" s="79" t="s">
        <v>1100</v>
      </c>
      <c r="C142" s="80" t="s">
        <v>126</v>
      </c>
      <c r="D142" s="81" t="s">
        <v>96</v>
      </c>
      <c r="E142" s="82">
        <v>15926</v>
      </c>
      <c r="F142" s="82">
        <v>484</v>
      </c>
      <c r="G142" s="82">
        <v>1752</v>
      </c>
      <c r="H142" s="84">
        <v>24.6</v>
      </c>
      <c r="I142" s="84">
        <v>3648</v>
      </c>
      <c r="J142" s="84">
        <v>16.8</v>
      </c>
    </row>
    <row r="143" spans="1:10" ht="16">
      <c r="A143" s="79" t="s">
        <v>1010</v>
      </c>
      <c r="B143" s="79" t="s">
        <v>1007</v>
      </c>
      <c r="C143" s="80" t="s">
        <v>126</v>
      </c>
      <c r="D143" s="81" t="s">
        <v>103</v>
      </c>
      <c r="E143" s="82">
        <v>16681</v>
      </c>
      <c r="F143" s="82">
        <v>755</v>
      </c>
      <c r="G143" s="82">
        <v>3003</v>
      </c>
      <c r="H143" s="84">
        <v>37</v>
      </c>
      <c r="I143" s="84">
        <v>9328</v>
      </c>
      <c r="J143" s="84">
        <v>37.9</v>
      </c>
    </row>
    <row r="144" spans="1:10" ht="16">
      <c r="A144" s="79" t="s">
        <v>1011</v>
      </c>
      <c r="B144" s="79" t="s">
        <v>1007</v>
      </c>
      <c r="C144" s="80" t="s">
        <v>126</v>
      </c>
      <c r="D144" s="81" t="s">
        <v>79</v>
      </c>
      <c r="E144" s="82">
        <v>21908</v>
      </c>
      <c r="F144" s="82">
        <v>1101</v>
      </c>
      <c r="G144" s="82">
        <v>876</v>
      </c>
      <c r="H144" s="84">
        <v>21.1</v>
      </c>
      <c r="I144" s="84">
        <v>2556</v>
      </c>
      <c r="J144" s="84">
        <v>22.7</v>
      </c>
    </row>
    <row r="145" spans="1:10" ht="16">
      <c r="A145" s="79" t="s">
        <v>667</v>
      </c>
      <c r="B145" s="79" t="s">
        <v>661</v>
      </c>
      <c r="C145" s="80" t="s">
        <v>126</v>
      </c>
      <c r="D145" s="81" t="s">
        <v>101</v>
      </c>
      <c r="E145" s="82">
        <v>26302</v>
      </c>
      <c r="F145" s="82">
        <v>707</v>
      </c>
      <c r="G145" s="82">
        <v>1052</v>
      </c>
      <c r="H145" s="84">
        <v>10.3</v>
      </c>
      <c r="I145" s="84">
        <v>2380</v>
      </c>
      <c r="J145" s="84">
        <v>27.2</v>
      </c>
    </row>
    <row r="146" spans="1:10" ht="16">
      <c r="A146" s="79" t="s">
        <v>479</v>
      </c>
      <c r="B146" s="79" t="s">
        <v>478</v>
      </c>
      <c r="C146" s="80" t="s">
        <v>95</v>
      </c>
      <c r="D146" s="81" t="s">
        <v>76</v>
      </c>
      <c r="E146" s="82">
        <v>9587</v>
      </c>
      <c r="F146" s="82">
        <v>872</v>
      </c>
      <c r="G146" s="82">
        <v>4314</v>
      </c>
      <c r="H146" s="84">
        <v>48.9</v>
      </c>
      <c r="I146" s="84">
        <v>38021</v>
      </c>
      <c r="J146" s="84">
        <v>41</v>
      </c>
    </row>
    <row r="147" spans="1:10" ht="16">
      <c r="A147" s="79" t="s">
        <v>1221</v>
      </c>
      <c r="B147" s="79" t="s">
        <v>1209</v>
      </c>
      <c r="C147" s="80" t="s">
        <v>95</v>
      </c>
      <c r="D147" s="81" t="s">
        <v>103</v>
      </c>
      <c r="E147" s="82">
        <v>14362</v>
      </c>
      <c r="F147" s="82">
        <v>776</v>
      </c>
      <c r="G147" s="82">
        <v>7325</v>
      </c>
      <c r="H147" s="84">
        <v>27.8</v>
      </c>
      <c r="I147" s="84">
        <v>16091</v>
      </c>
      <c r="J147" s="84">
        <v>26.1</v>
      </c>
    </row>
    <row r="148" spans="1:10" ht="16">
      <c r="A148" s="79" t="s">
        <v>1320</v>
      </c>
      <c r="B148" s="79" t="s">
        <v>1307</v>
      </c>
      <c r="C148" s="80" t="s">
        <v>95</v>
      </c>
      <c r="D148" s="81" t="s">
        <v>103</v>
      </c>
      <c r="E148" s="82">
        <v>3045</v>
      </c>
      <c r="F148" s="82">
        <v>265</v>
      </c>
      <c r="G148" s="82">
        <v>700</v>
      </c>
      <c r="H148" s="84">
        <v>22.7</v>
      </c>
      <c r="I148" s="84">
        <v>18039</v>
      </c>
      <c r="J148" s="84">
        <v>24</v>
      </c>
    </row>
    <row r="149" spans="1:10" ht="16">
      <c r="A149" s="79" t="s">
        <v>398</v>
      </c>
      <c r="B149" s="79" t="s">
        <v>396</v>
      </c>
      <c r="C149" s="80" t="s">
        <v>95</v>
      </c>
      <c r="D149" s="81" t="s">
        <v>76</v>
      </c>
      <c r="E149" s="82">
        <v>26875</v>
      </c>
      <c r="F149" s="82">
        <v>2116</v>
      </c>
      <c r="G149" s="82">
        <v>3494</v>
      </c>
      <c r="H149" s="84">
        <v>24</v>
      </c>
      <c r="I149" s="84">
        <v>13971</v>
      </c>
      <c r="J149" s="84">
        <v>26</v>
      </c>
    </row>
    <row r="150" spans="1:10" ht="16">
      <c r="A150" s="79" t="s">
        <v>1321</v>
      </c>
      <c r="B150" s="79" t="s">
        <v>1307</v>
      </c>
      <c r="C150" s="80" t="s">
        <v>126</v>
      </c>
      <c r="D150" s="81" t="s">
        <v>111</v>
      </c>
      <c r="E150" s="82">
        <v>21436</v>
      </c>
      <c r="F150" s="82">
        <v>1261</v>
      </c>
      <c r="G150" s="82">
        <v>1501</v>
      </c>
      <c r="H150" s="84">
        <v>21.2</v>
      </c>
      <c r="I150" s="84">
        <v>9156</v>
      </c>
      <c r="J150" s="84">
        <v>25</v>
      </c>
    </row>
    <row r="151" spans="1:10" ht="16">
      <c r="A151" s="79" t="s">
        <v>503</v>
      </c>
      <c r="B151" s="79" t="s">
        <v>493</v>
      </c>
      <c r="C151" s="80" t="s">
        <v>126</v>
      </c>
      <c r="D151" s="81" t="s">
        <v>103</v>
      </c>
      <c r="E151" s="82">
        <v>8271</v>
      </c>
      <c r="F151" s="82">
        <v>447</v>
      </c>
      <c r="G151" s="82">
        <v>185</v>
      </c>
      <c r="H151" s="84">
        <v>10.7</v>
      </c>
      <c r="I151" s="84">
        <v>830</v>
      </c>
      <c r="J151" s="84">
        <v>23.3</v>
      </c>
    </row>
    <row r="152" spans="1:10" ht="16">
      <c r="A152" s="79" t="s">
        <v>1322</v>
      </c>
      <c r="B152" s="79" t="s">
        <v>1307</v>
      </c>
      <c r="C152" s="80" t="s">
        <v>126</v>
      </c>
      <c r="D152" s="81" t="s">
        <v>78</v>
      </c>
      <c r="E152" s="82">
        <v>5768</v>
      </c>
      <c r="F152" s="82">
        <v>345</v>
      </c>
      <c r="G152" s="82">
        <v>634</v>
      </c>
      <c r="H152" s="84">
        <v>25.1</v>
      </c>
      <c r="I152" s="84">
        <v>20033</v>
      </c>
      <c r="J152" s="84">
        <v>30.1</v>
      </c>
    </row>
    <row r="153" spans="1:10" ht="16">
      <c r="A153" s="79" t="s">
        <v>1323</v>
      </c>
      <c r="B153" s="79" t="s">
        <v>1307</v>
      </c>
      <c r="C153" s="80" t="s">
        <v>95</v>
      </c>
      <c r="D153" s="81" t="s">
        <v>149</v>
      </c>
      <c r="E153" s="82">
        <v>26014</v>
      </c>
      <c r="F153" s="82">
        <v>1596</v>
      </c>
      <c r="G153" s="82">
        <v>1561</v>
      </c>
      <c r="H153" s="84">
        <v>25.3</v>
      </c>
      <c r="I153" s="84">
        <v>16243</v>
      </c>
      <c r="J153" s="84">
        <v>27.8</v>
      </c>
    </row>
    <row r="154" spans="1:10" ht="16">
      <c r="A154" s="79" t="s">
        <v>1324</v>
      </c>
      <c r="B154" s="79" t="s">
        <v>1307</v>
      </c>
      <c r="C154" s="80" t="s">
        <v>126</v>
      </c>
      <c r="D154" s="81" t="s">
        <v>149</v>
      </c>
      <c r="E154" s="82">
        <v>26586</v>
      </c>
      <c r="F154" s="82">
        <v>4584</v>
      </c>
      <c r="G154" s="82">
        <v>9837</v>
      </c>
      <c r="H154" s="84">
        <v>82.6</v>
      </c>
      <c r="I154" s="84">
        <v>81149</v>
      </c>
      <c r="J154" s="84">
        <v>85.6</v>
      </c>
    </row>
    <row r="155" spans="1:10" ht="16">
      <c r="A155" s="79" t="s">
        <v>988</v>
      </c>
      <c r="B155" s="79" t="s">
        <v>989</v>
      </c>
      <c r="C155" s="80" t="s">
        <v>95</v>
      </c>
      <c r="D155" s="81" t="s">
        <v>96</v>
      </c>
      <c r="E155" s="82">
        <v>20056</v>
      </c>
      <c r="F155" s="82">
        <v>2047</v>
      </c>
      <c r="G155" s="82">
        <v>2808</v>
      </c>
      <c r="H155" s="84">
        <v>13.1</v>
      </c>
      <c r="I155" s="84">
        <v>2924</v>
      </c>
      <c r="J155" s="84">
        <v>22.2</v>
      </c>
    </row>
    <row r="156" spans="1:10" ht="16">
      <c r="A156" s="79" t="s">
        <v>1042</v>
      </c>
      <c r="B156" s="79" t="s">
        <v>1039</v>
      </c>
      <c r="C156" s="80" t="s">
        <v>95</v>
      </c>
      <c r="D156" s="81" t="s">
        <v>76</v>
      </c>
      <c r="E156" s="82">
        <v>62624</v>
      </c>
      <c r="F156" s="82">
        <v>3179</v>
      </c>
      <c r="G156" s="82">
        <v>8141</v>
      </c>
      <c r="H156" s="84">
        <v>28.9</v>
      </c>
      <c r="I156" s="84">
        <v>13688</v>
      </c>
      <c r="J156" s="84">
        <v>35.4</v>
      </c>
    </row>
    <row r="157" spans="1:10" ht="16">
      <c r="A157" s="79" t="s">
        <v>878</v>
      </c>
      <c r="B157" s="79" t="s">
        <v>877</v>
      </c>
      <c r="C157" s="80" t="s">
        <v>126</v>
      </c>
      <c r="D157" s="81" t="s">
        <v>76</v>
      </c>
      <c r="E157" s="82">
        <v>33030</v>
      </c>
      <c r="F157" s="82">
        <v>2897</v>
      </c>
      <c r="G157" s="82">
        <v>330</v>
      </c>
      <c r="H157" s="84">
        <v>9.9</v>
      </c>
      <c r="I157" s="84">
        <v>6547</v>
      </c>
      <c r="J157" s="84">
        <v>16.899999999999999</v>
      </c>
    </row>
    <row r="158" spans="1:10" ht="16">
      <c r="A158" s="79" t="s">
        <v>204</v>
      </c>
      <c r="B158" s="79" t="s">
        <v>203</v>
      </c>
      <c r="C158" s="80" t="s">
        <v>126</v>
      </c>
      <c r="D158" s="81" t="s">
        <v>149</v>
      </c>
      <c r="E158" s="82">
        <v>33543</v>
      </c>
      <c r="F158" s="82">
        <v>1038</v>
      </c>
      <c r="G158" s="82">
        <v>9727</v>
      </c>
      <c r="H158" s="84">
        <v>25.9</v>
      </c>
      <c r="I158" s="84">
        <v>11948</v>
      </c>
      <c r="J158" s="84">
        <v>20.9</v>
      </c>
    </row>
    <row r="159" spans="1:10" ht="16">
      <c r="A159" s="79" t="s">
        <v>357</v>
      </c>
      <c r="B159" s="79" t="s">
        <v>355</v>
      </c>
      <c r="C159" s="80" t="s">
        <v>126</v>
      </c>
      <c r="D159" s="81" t="s">
        <v>149</v>
      </c>
      <c r="E159" s="82">
        <v>16317</v>
      </c>
      <c r="F159" s="82">
        <v>528</v>
      </c>
      <c r="G159" s="82">
        <v>4079</v>
      </c>
      <c r="H159" s="84">
        <v>32.4</v>
      </c>
      <c r="I159" s="84">
        <v>27181</v>
      </c>
      <c r="J159" s="84">
        <v>25.3</v>
      </c>
    </row>
    <row r="160" spans="1:10" ht="16">
      <c r="A160" s="79" t="s">
        <v>1325</v>
      </c>
      <c r="B160" s="79" t="s">
        <v>1307</v>
      </c>
      <c r="C160" s="80" t="s">
        <v>126</v>
      </c>
      <c r="D160" s="81" t="s">
        <v>103</v>
      </c>
      <c r="E160" s="82">
        <v>22319</v>
      </c>
      <c r="F160" s="82">
        <v>2277</v>
      </c>
      <c r="G160" s="82">
        <v>5580</v>
      </c>
      <c r="H160" s="84">
        <v>86</v>
      </c>
      <c r="I160" s="84">
        <v>83113</v>
      </c>
      <c r="J160" s="84">
        <v>79.7</v>
      </c>
    </row>
    <row r="161" spans="1:10" ht="16">
      <c r="A161" s="79" t="s">
        <v>486</v>
      </c>
      <c r="B161" s="79" t="s">
        <v>485</v>
      </c>
      <c r="C161" s="80" t="s">
        <v>95</v>
      </c>
      <c r="D161" s="81" t="s">
        <v>78</v>
      </c>
      <c r="E161" s="82">
        <v>11023</v>
      </c>
      <c r="F161" s="82">
        <v>475</v>
      </c>
      <c r="G161" s="82">
        <v>1653</v>
      </c>
      <c r="H161" s="84">
        <v>13.7</v>
      </c>
      <c r="I161" s="84">
        <v>3255</v>
      </c>
      <c r="J161" s="84">
        <v>17.8</v>
      </c>
    </row>
    <row r="162" spans="1:10" ht="16">
      <c r="A162" s="79" t="s">
        <v>861</v>
      </c>
      <c r="B162" s="79" t="s">
        <v>862</v>
      </c>
      <c r="C162" s="80" t="s">
        <v>126</v>
      </c>
      <c r="D162" s="81" t="s">
        <v>111</v>
      </c>
      <c r="E162" s="82">
        <v>8768</v>
      </c>
      <c r="F162" s="82">
        <v>558</v>
      </c>
      <c r="G162" s="82">
        <v>610</v>
      </c>
      <c r="H162" s="84">
        <v>14.7</v>
      </c>
      <c r="I162" s="84">
        <v>11538</v>
      </c>
      <c r="J162" s="84">
        <v>27.2</v>
      </c>
    </row>
    <row r="163" spans="1:10" ht="16">
      <c r="A163" s="79" t="s">
        <v>1222</v>
      </c>
      <c r="B163" s="79" t="s">
        <v>1209</v>
      </c>
      <c r="C163" s="80" t="s">
        <v>126</v>
      </c>
      <c r="D163" s="81" t="s">
        <v>99</v>
      </c>
      <c r="E163" s="82">
        <v>27531</v>
      </c>
      <c r="F163" s="82">
        <v>1679</v>
      </c>
      <c r="G163" s="82">
        <v>12664</v>
      </c>
      <c r="H163" s="84">
        <v>12.7</v>
      </c>
      <c r="I163" s="84">
        <v>5634</v>
      </c>
      <c r="J163" s="84">
        <v>17.399999999999999</v>
      </c>
    </row>
    <row r="164" spans="1:10" ht="16">
      <c r="A164" s="79" t="s">
        <v>1326</v>
      </c>
      <c r="B164" s="79" t="s">
        <v>1307</v>
      </c>
      <c r="C164" s="80" t="s">
        <v>95</v>
      </c>
      <c r="D164" s="81" t="s">
        <v>78</v>
      </c>
      <c r="E164" s="82">
        <v>8228</v>
      </c>
      <c r="F164" s="82">
        <v>741</v>
      </c>
      <c r="G164" s="82">
        <v>658</v>
      </c>
      <c r="H164" s="84">
        <v>11.6</v>
      </c>
      <c r="I164" s="84">
        <v>4847</v>
      </c>
      <c r="J164" s="84">
        <v>42</v>
      </c>
    </row>
    <row r="165" spans="1:10" ht="16">
      <c r="A165" s="79" t="s">
        <v>1171</v>
      </c>
      <c r="B165" s="79" t="s">
        <v>1161</v>
      </c>
      <c r="C165" s="80" t="s">
        <v>126</v>
      </c>
      <c r="D165" s="81" t="s">
        <v>96</v>
      </c>
      <c r="E165" s="82">
        <v>42418</v>
      </c>
      <c r="F165" s="82">
        <v>2164</v>
      </c>
      <c r="G165" s="82">
        <v>1273</v>
      </c>
      <c r="H165" s="84">
        <v>12.5</v>
      </c>
      <c r="I165" s="84">
        <v>1956</v>
      </c>
      <c r="J165" s="84">
        <v>15.2</v>
      </c>
    </row>
    <row r="166" spans="1:10" ht="16">
      <c r="A166" s="79" t="s">
        <v>114</v>
      </c>
      <c r="B166" s="79" t="s">
        <v>108</v>
      </c>
      <c r="C166" s="80" t="s">
        <v>95</v>
      </c>
      <c r="D166" s="81" t="s">
        <v>78</v>
      </c>
      <c r="E166" s="82">
        <v>29214</v>
      </c>
      <c r="F166" s="82">
        <v>1446</v>
      </c>
      <c r="G166" s="82">
        <v>9056</v>
      </c>
      <c r="H166" s="84">
        <v>30.4</v>
      </c>
      <c r="I166" s="84">
        <v>25325</v>
      </c>
      <c r="J166" s="84">
        <v>23.4</v>
      </c>
    </row>
    <row r="167" spans="1:10" ht="16">
      <c r="A167" s="79" t="s">
        <v>337</v>
      </c>
      <c r="B167" s="79" t="s">
        <v>338</v>
      </c>
      <c r="C167" s="80" t="s">
        <v>95</v>
      </c>
      <c r="D167" s="81" t="s">
        <v>101</v>
      </c>
      <c r="E167" s="82">
        <v>3228</v>
      </c>
      <c r="F167" s="82">
        <v>186</v>
      </c>
      <c r="G167" s="82">
        <v>258</v>
      </c>
      <c r="H167" s="84">
        <v>16.3</v>
      </c>
      <c r="I167" s="84">
        <v>16071</v>
      </c>
      <c r="J167" s="84">
        <v>17.2</v>
      </c>
    </row>
    <row r="168" spans="1:10" ht="16">
      <c r="A168" s="79" t="s">
        <v>343</v>
      </c>
      <c r="B168" s="79" t="s">
        <v>341</v>
      </c>
      <c r="C168" s="80" t="s">
        <v>126</v>
      </c>
      <c r="D168" s="81" t="s">
        <v>78</v>
      </c>
      <c r="E168" s="82">
        <v>19499</v>
      </c>
      <c r="F168" s="82">
        <v>1840</v>
      </c>
      <c r="G168" s="82">
        <v>3705</v>
      </c>
      <c r="H168" s="84">
        <v>17.399999999999999</v>
      </c>
      <c r="I168" s="84">
        <v>4093</v>
      </c>
      <c r="J168" s="84">
        <v>20.8</v>
      </c>
    </row>
    <row r="169" spans="1:10" ht="16">
      <c r="A169" s="79" t="s">
        <v>344</v>
      </c>
      <c r="B169" s="79" t="s">
        <v>341</v>
      </c>
      <c r="C169" s="80" t="s">
        <v>95</v>
      </c>
      <c r="D169" s="81" t="s">
        <v>103</v>
      </c>
      <c r="E169" s="82">
        <v>17065</v>
      </c>
      <c r="F169" s="82">
        <v>837</v>
      </c>
      <c r="G169" s="82">
        <v>3413</v>
      </c>
      <c r="H169" s="84">
        <v>13.1</v>
      </c>
      <c r="I169" s="84">
        <v>2451</v>
      </c>
      <c r="J169" s="84">
        <v>17.399999999999999</v>
      </c>
    </row>
    <row r="170" spans="1:10" ht="16">
      <c r="A170" s="79" t="s">
        <v>205</v>
      </c>
      <c r="B170" s="79" t="s">
        <v>203</v>
      </c>
      <c r="C170" s="80" t="s">
        <v>95</v>
      </c>
      <c r="D170" s="81" t="s">
        <v>101</v>
      </c>
      <c r="E170" s="82">
        <v>15196</v>
      </c>
      <c r="F170" s="82">
        <v>1034</v>
      </c>
      <c r="G170" s="82">
        <v>3495</v>
      </c>
      <c r="H170" s="84">
        <v>29.6</v>
      </c>
      <c r="I170" s="84">
        <v>23604</v>
      </c>
      <c r="J170" s="84">
        <v>27.7</v>
      </c>
    </row>
    <row r="171" spans="1:10" ht="16">
      <c r="A171" s="79" t="s">
        <v>255</v>
      </c>
      <c r="B171" s="79" t="s">
        <v>242</v>
      </c>
      <c r="C171" s="80" t="s">
        <v>126</v>
      </c>
      <c r="D171" s="81" t="s">
        <v>101</v>
      </c>
      <c r="E171" s="82">
        <v>39665</v>
      </c>
      <c r="F171" s="82">
        <v>2526</v>
      </c>
      <c r="G171" s="82">
        <v>1190</v>
      </c>
      <c r="H171" s="84">
        <v>23.7</v>
      </c>
      <c r="I171" s="84">
        <v>9541</v>
      </c>
      <c r="J171" s="84">
        <v>24.6</v>
      </c>
    </row>
    <row r="172" spans="1:10" ht="16">
      <c r="A172" s="79" t="s">
        <v>1327</v>
      </c>
      <c r="B172" s="79" t="s">
        <v>1307</v>
      </c>
      <c r="C172" s="80" t="s">
        <v>126</v>
      </c>
      <c r="D172" s="81" t="s">
        <v>78</v>
      </c>
      <c r="E172" s="82">
        <v>6247</v>
      </c>
      <c r="F172" s="82">
        <v>811</v>
      </c>
      <c r="G172" s="82">
        <v>937</v>
      </c>
      <c r="H172" s="84">
        <v>39.9</v>
      </c>
      <c r="I172" s="84">
        <v>38557</v>
      </c>
      <c r="J172" s="84">
        <v>58.4</v>
      </c>
    </row>
    <row r="173" spans="1:10" ht="16">
      <c r="A173" s="79" t="s">
        <v>894</v>
      </c>
      <c r="B173" s="79" t="s">
        <v>895</v>
      </c>
      <c r="C173" s="80" t="s">
        <v>126</v>
      </c>
      <c r="D173" s="81" t="s">
        <v>75</v>
      </c>
      <c r="E173" s="82">
        <v>15604</v>
      </c>
      <c r="F173" s="82">
        <v>877</v>
      </c>
      <c r="G173" s="82">
        <v>468</v>
      </c>
      <c r="H173" s="84">
        <v>12.9</v>
      </c>
      <c r="I173" s="84">
        <v>3417</v>
      </c>
      <c r="J173" s="84">
        <v>17.100000000000001</v>
      </c>
    </row>
    <row r="174" spans="1:10" ht="16">
      <c r="A174" s="79" t="s">
        <v>1223</v>
      </c>
      <c r="B174" s="79" t="s">
        <v>1209</v>
      </c>
      <c r="C174" s="80" t="s">
        <v>95</v>
      </c>
      <c r="D174" s="81" t="s">
        <v>77</v>
      </c>
      <c r="E174" s="82">
        <v>19093</v>
      </c>
      <c r="F174" s="82">
        <v>979</v>
      </c>
      <c r="G174" s="82">
        <v>5155</v>
      </c>
      <c r="H174" s="84">
        <v>13.8</v>
      </c>
      <c r="I174" s="84">
        <v>6974</v>
      </c>
      <c r="J174" s="84">
        <v>16.899999999999999</v>
      </c>
    </row>
    <row r="175" spans="1:10" ht="16">
      <c r="A175" s="79" t="s">
        <v>115</v>
      </c>
      <c r="B175" s="79" t="s">
        <v>108</v>
      </c>
      <c r="C175" s="80" t="s">
        <v>95</v>
      </c>
      <c r="D175" s="81" t="s">
        <v>96</v>
      </c>
      <c r="E175" s="82">
        <v>39305</v>
      </c>
      <c r="F175" s="82">
        <v>1374</v>
      </c>
      <c r="G175" s="82">
        <v>8647</v>
      </c>
      <c r="H175" s="84">
        <v>29.6</v>
      </c>
      <c r="I175" s="84">
        <v>21820</v>
      </c>
      <c r="J175" s="84">
        <v>23.8</v>
      </c>
    </row>
    <row r="176" spans="1:10" ht="16">
      <c r="A176" s="79" t="s">
        <v>322</v>
      </c>
      <c r="B176" s="79" t="s">
        <v>323</v>
      </c>
      <c r="C176" s="80" t="s">
        <v>95</v>
      </c>
      <c r="D176" s="81" t="s">
        <v>79</v>
      </c>
      <c r="E176" s="82">
        <v>10339</v>
      </c>
      <c r="F176" s="82">
        <v>801</v>
      </c>
      <c r="G176" s="82">
        <v>103</v>
      </c>
      <c r="H176" s="84">
        <v>9.6</v>
      </c>
      <c r="I176" s="84">
        <v>1482</v>
      </c>
      <c r="J176" s="84">
        <v>16.5</v>
      </c>
    </row>
    <row r="177" spans="1:10" ht="16">
      <c r="A177" s="79" t="s">
        <v>838</v>
      </c>
      <c r="B177" s="79" t="s">
        <v>839</v>
      </c>
      <c r="C177" s="80" t="s">
        <v>126</v>
      </c>
      <c r="D177" s="81" t="s">
        <v>99</v>
      </c>
      <c r="E177" s="82">
        <v>18743</v>
      </c>
      <c r="F177" s="82">
        <v>928</v>
      </c>
      <c r="G177" s="82">
        <v>5623</v>
      </c>
      <c r="H177" s="84">
        <v>72.3</v>
      </c>
      <c r="I177" s="84">
        <v>45705</v>
      </c>
      <c r="J177" s="84">
        <v>55.3</v>
      </c>
    </row>
    <row r="178" spans="1:10" ht="16">
      <c r="A178" s="79" t="s">
        <v>504</v>
      </c>
      <c r="B178" s="79" t="s">
        <v>493</v>
      </c>
      <c r="C178" s="80" t="s">
        <v>126</v>
      </c>
      <c r="D178" s="81" t="s">
        <v>75</v>
      </c>
      <c r="E178" s="82">
        <v>8242</v>
      </c>
      <c r="F178" s="82">
        <v>354</v>
      </c>
      <c r="G178" s="82">
        <v>379</v>
      </c>
      <c r="H178" s="84">
        <v>13.1</v>
      </c>
      <c r="I178" s="84">
        <v>4915</v>
      </c>
      <c r="J178" s="84">
        <v>15.8</v>
      </c>
    </row>
    <row r="179" spans="1:10" ht="16">
      <c r="A179" s="79" t="s">
        <v>469</v>
      </c>
      <c r="B179" s="79" t="s">
        <v>467</v>
      </c>
      <c r="C179" s="80" t="s">
        <v>95</v>
      </c>
      <c r="D179" s="81" t="s">
        <v>101</v>
      </c>
      <c r="E179" s="82">
        <v>30414</v>
      </c>
      <c r="F179" s="82">
        <v>611</v>
      </c>
      <c r="G179" s="82">
        <v>912</v>
      </c>
      <c r="H179" s="84">
        <v>11.6</v>
      </c>
      <c r="I179" s="84">
        <v>3737</v>
      </c>
      <c r="J179" s="84">
        <v>14.9</v>
      </c>
    </row>
    <row r="180" spans="1:10" ht="16">
      <c r="A180" s="79" t="s">
        <v>233</v>
      </c>
      <c r="B180" s="79" t="s">
        <v>231</v>
      </c>
      <c r="C180" s="80" t="s">
        <v>126</v>
      </c>
      <c r="D180" s="81" t="s">
        <v>111</v>
      </c>
      <c r="E180" s="82">
        <v>17287</v>
      </c>
      <c r="F180" s="82">
        <v>1160</v>
      </c>
      <c r="G180" s="82">
        <v>346</v>
      </c>
      <c r="H180" s="84">
        <v>10.5</v>
      </c>
      <c r="I180" s="84">
        <v>10089</v>
      </c>
      <c r="J180" s="84">
        <v>14.7</v>
      </c>
    </row>
    <row r="181" spans="1:10" ht="16">
      <c r="A181" s="79" t="s">
        <v>1172</v>
      </c>
      <c r="B181" s="79" t="s">
        <v>1161</v>
      </c>
      <c r="C181" s="80" t="s">
        <v>126</v>
      </c>
      <c r="D181" s="81" t="s">
        <v>78</v>
      </c>
      <c r="E181" s="82">
        <v>62844</v>
      </c>
      <c r="F181" s="82">
        <v>3256</v>
      </c>
      <c r="G181" s="82">
        <v>1257</v>
      </c>
      <c r="H181" s="84">
        <v>9.5</v>
      </c>
      <c r="I181" s="84">
        <v>1883</v>
      </c>
      <c r="J181" s="84">
        <v>15.1</v>
      </c>
    </row>
    <row r="182" spans="1:10" ht="16">
      <c r="A182" s="79" t="s">
        <v>668</v>
      </c>
      <c r="B182" s="79" t="s">
        <v>661</v>
      </c>
      <c r="C182" s="80" t="s">
        <v>126</v>
      </c>
      <c r="D182" s="81" t="s">
        <v>103</v>
      </c>
      <c r="E182" s="82">
        <v>28309</v>
      </c>
      <c r="F182" s="82">
        <v>1506</v>
      </c>
      <c r="G182" s="82">
        <v>1132</v>
      </c>
      <c r="H182" s="84">
        <v>9.8000000000000007</v>
      </c>
      <c r="I182" s="84">
        <v>755</v>
      </c>
      <c r="J182" s="84">
        <v>15.6</v>
      </c>
    </row>
    <row r="183" spans="1:10" ht="16">
      <c r="A183" s="79" t="s">
        <v>1328</v>
      </c>
      <c r="B183" s="79" t="s">
        <v>1307</v>
      </c>
      <c r="C183" s="80" t="s">
        <v>126</v>
      </c>
      <c r="D183" s="81" t="s">
        <v>76</v>
      </c>
      <c r="E183" s="82">
        <v>19801</v>
      </c>
      <c r="F183" s="82">
        <v>1784</v>
      </c>
      <c r="G183" s="82">
        <v>3366</v>
      </c>
      <c r="H183" s="84">
        <v>20.399999999999999</v>
      </c>
      <c r="I183" s="84">
        <v>13205</v>
      </c>
      <c r="J183" s="84">
        <v>35.799999999999997</v>
      </c>
    </row>
    <row r="184" spans="1:10" ht="16">
      <c r="A184" s="79" t="s">
        <v>599</v>
      </c>
      <c r="B184" s="79" t="s">
        <v>600</v>
      </c>
      <c r="C184" s="80" t="s">
        <v>95</v>
      </c>
      <c r="D184" s="81" t="s">
        <v>76</v>
      </c>
      <c r="E184" s="82">
        <v>12619</v>
      </c>
      <c r="F184" s="82">
        <v>526</v>
      </c>
      <c r="G184" s="82">
        <v>1262</v>
      </c>
      <c r="H184" s="84">
        <v>25.2</v>
      </c>
      <c r="I184" s="84">
        <v>12547</v>
      </c>
      <c r="J184" s="84">
        <v>21</v>
      </c>
    </row>
    <row r="185" spans="1:10" ht="16">
      <c r="A185" s="79" t="s">
        <v>1329</v>
      </c>
      <c r="B185" s="79" t="s">
        <v>1307</v>
      </c>
      <c r="C185" s="80" t="s">
        <v>126</v>
      </c>
      <c r="D185" s="81" t="s">
        <v>78</v>
      </c>
      <c r="E185" s="82">
        <v>15309</v>
      </c>
      <c r="F185" s="82">
        <v>3560</v>
      </c>
      <c r="G185" s="82">
        <v>2909</v>
      </c>
      <c r="H185" s="84">
        <v>76.8</v>
      </c>
      <c r="I185" s="84">
        <v>74544</v>
      </c>
      <c r="J185" s="84">
        <v>82.4</v>
      </c>
    </row>
    <row r="186" spans="1:10" ht="16">
      <c r="A186" s="79" t="s">
        <v>1224</v>
      </c>
      <c r="B186" s="79" t="s">
        <v>1209</v>
      </c>
      <c r="C186" s="80" t="s">
        <v>95</v>
      </c>
      <c r="D186" s="81" t="s">
        <v>77</v>
      </c>
      <c r="E186" s="82">
        <v>16963</v>
      </c>
      <c r="F186" s="82">
        <v>1146</v>
      </c>
      <c r="G186" s="82">
        <v>5089</v>
      </c>
      <c r="H186" s="84">
        <v>47.8</v>
      </c>
      <c r="I186" s="84">
        <v>36117</v>
      </c>
      <c r="J186" s="84">
        <v>45.5</v>
      </c>
    </row>
    <row r="187" spans="1:10" ht="16">
      <c r="A187" s="79" t="s">
        <v>256</v>
      </c>
      <c r="B187" s="79" t="s">
        <v>242</v>
      </c>
      <c r="C187" s="80" t="s">
        <v>95</v>
      </c>
      <c r="D187" s="81" t="s">
        <v>79</v>
      </c>
      <c r="E187" s="82">
        <v>25747</v>
      </c>
      <c r="F187" s="82">
        <v>2239</v>
      </c>
      <c r="G187" s="82">
        <v>4377</v>
      </c>
      <c r="H187" s="84">
        <v>23.5</v>
      </c>
      <c r="I187" s="84">
        <v>11917</v>
      </c>
      <c r="J187" s="84">
        <v>30.5</v>
      </c>
    </row>
    <row r="188" spans="1:10" ht="16">
      <c r="A188" s="79" t="s">
        <v>257</v>
      </c>
      <c r="B188" s="79" t="s">
        <v>242</v>
      </c>
      <c r="C188" s="80" t="s">
        <v>126</v>
      </c>
      <c r="D188" s="81" t="s">
        <v>77</v>
      </c>
      <c r="E188" s="82">
        <v>25519</v>
      </c>
      <c r="F188" s="82">
        <v>1636</v>
      </c>
      <c r="G188" s="82">
        <v>510</v>
      </c>
      <c r="H188" s="84">
        <v>19.100000000000001</v>
      </c>
      <c r="I188" s="84">
        <v>8430</v>
      </c>
      <c r="J188" s="84">
        <v>22</v>
      </c>
    </row>
    <row r="189" spans="1:10" ht="16">
      <c r="A189" s="79" t="s">
        <v>866</v>
      </c>
      <c r="B189" s="79" t="s">
        <v>867</v>
      </c>
      <c r="C189" s="80" t="s">
        <v>126</v>
      </c>
      <c r="D189" s="81" t="s">
        <v>78</v>
      </c>
      <c r="E189" s="82">
        <v>18865</v>
      </c>
      <c r="F189" s="82">
        <v>696</v>
      </c>
      <c r="G189" s="82">
        <v>15658</v>
      </c>
      <c r="H189" s="84">
        <v>11.7</v>
      </c>
      <c r="I189" s="84">
        <v>3592</v>
      </c>
      <c r="J189" s="84">
        <v>17</v>
      </c>
    </row>
    <row r="190" spans="1:10" ht="16">
      <c r="A190" s="79" t="s">
        <v>1225</v>
      </c>
      <c r="B190" s="79" t="s">
        <v>1209</v>
      </c>
      <c r="C190" s="80" t="s">
        <v>95</v>
      </c>
      <c r="D190" s="81" t="s">
        <v>103</v>
      </c>
      <c r="E190" s="82">
        <v>12185</v>
      </c>
      <c r="F190" s="82">
        <v>786</v>
      </c>
      <c r="G190" s="82">
        <v>609</v>
      </c>
      <c r="H190" s="84">
        <v>10.199999999999999</v>
      </c>
      <c r="I190" s="84">
        <v>3382</v>
      </c>
      <c r="J190" s="84">
        <v>14.8</v>
      </c>
    </row>
    <row r="191" spans="1:10" ht="16">
      <c r="A191" s="79" t="s">
        <v>1226</v>
      </c>
      <c r="B191" s="79" t="s">
        <v>1209</v>
      </c>
      <c r="C191" s="80" t="s">
        <v>95</v>
      </c>
      <c r="D191" s="81" t="s">
        <v>96</v>
      </c>
      <c r="E191" s="82">
        <v>10668</v>
      </c>
      <c r="F191" s="82">
        <v>567</v>
      </c>
      <c r="G191" s="82">
        <v>3520</v>
      </c>
      <c r="H191" s="84">
        <v>13.9</v>
      </c>
      <c r="I191" s="84">
        <v>5634</v>
      </c>
      <c r="J191" s="84">
        <v>16.7</v>
      </c>
    </row>
    <row r="192" spans="1:10" ht="16">
      <c r="A192" s="79" t="s">
        <v>116</v>
      </c>
      <c r="B192" s="79" t="s">
        <v>108</v>
      </c>
      <c r="C192" s="80" t="s">
        <v>95</v>
      </c>
      <c r="D192" s="81" t="s">
        <v>101</v>
      </c>
      <c r="E192" s="82">
        <v>17560</v>
      </c>
      <c r="F192" s="82">
        <v>561</v>
      </c>
      <c r="G192" s="82">
        <v>4566</v>
      </c>
      <c r="H192" s="84">
        <v>21.9</v>
      </c>
      <c r="I192" s="84">
        <v>14849</v>
      </c>
      <c r="J192" s="84">
        <v>18.7</v>
      </c>
    </row>
    <row r="193" spans="1:10" ht="16">
      <c r="A193" s="79" t="s">
        <v>1173</v>
      </c>
      <c r="B193" s="79" t="s">
        <v>1161</v>
      </c>
      <c r="C193" s="80" t="s">
        <v>126</v>
      </c>
      <c r="D193" s="81" t="s">
        <v>103</v>
      </c>
      <c r="E193" s="82">
        <v>46056</v>
      </c>
      <c r="F193" s="82">
        <v>2193</v>
      </c>
      <c r="G193" s="82">
        <v>1382</v>
      </c>
      <c r="H193" s="84">
        <v>10.199999999999999</v>
      </c>
      <c r="I193" s="84">
        <v>1384</v>
      </c>
      <c r="J193" s="84">
        <v>17.2</v>
      </c>
    </row>
    <row r="194" spans="1:10" ht="16">
      <c r="A194" s="79" t="s">
        <v>669</v>
      </c>
      <c r="B194" s="79" t="s">
        <v>661</v>
      </c>
      <c r="C194" s="80" t="s">
        <v>126</v>
      </c>
      <c r="D194" s="81" t="s">
        <v>103</v>
      </c>
      <c r="E194" s="82">
        <v>9333</v>
      </c>
      <c r="F194" s="82">
        <v>712</v>
      </c>
      <c r="G194" s="82">
        <v>187</v>
      </c>
      <c r="H194" s="84">
        <v>14.6</v>
      </c>
      <c r="I194" s="84">
        <v>3011</v>
      </c>
      <c r="J194" s="84">
        <v>21.3</v>
      </c>
    </row>
    <row r="195" spans="1:10" ht="16">
      <c r="A195" s="79" t="s">
        <v>840</v>
      </c>
      <c r="B195" s="79" t="s">
        <v>839</v>
      </c>
      <c r="C195" s="80" t="s">
        <v>126</v>
      </c>
      <c r="D195" s="81" t="s">
        <v>99</v>
      </c>
      <c r="E195" s="82">
        <v>8917</v>
      </c>
      <c r="F195" s="82">
        <v>431</v>
      </c>
      <c r="G195" s="82">
        <v>1694</v>
      </c>
      <c r="H195" s="84">
        <v>48.8</v>
      </c>
      <c r="I195" s="84">
        <v>29782</v>
      </c>
      <c r="J195" s="84">
        <v>44.6</v>
      </c>
    </row>
    <row r="196" spans="1:10" ht="16">
      <c r="A196" s="79" t="s">
        <v>1330</v>
      </c>
      <c r="B196" s="79" t="s">
        <v>1307</v>
      </c>
      <c r="C196" s="80" t="s">
        <v>126</v>
      </c>
      <c r="D196" s="81" t="s">
        <v>96</v>
      </c>
      <c r="E196" s="82">
        <v>16340</v>
      </c>
      <c r="F196" s="82">
        <v>973</v>
      </c>
      <c r="G196" s="82">
        <v>1471</v>
      </c>
      <c r="H196" s="84">
        <v>9.1999999999999993</v>
      </c>
      <c r="I196" s="84">
        <v>4112</v>
      </c>
      <c r="J196" s="84">
        <v>16.899999999999999</v>
      </c>
    </row>
    <row r="197" spans="1:10" ht="16">
      <c r="A197" s="79" t="s">
        <v>1331</v>
      </c>
      <c r="B197" s="79" t="s">
        <v>1307</v>
      </c>
      <c r="C197" s="80" t="s">
        <v>95</v>
      </c>
      <c r="D197" s="81" t="s">
        <v>76</v>
      </c>
      <c r="E197" s="82">
        <v>12735</v>
      </c>
      <c r="F197" s="82">
        <v>3184</v>
      </c>
      <c r="G197" s="82">
        <v>2547</v>
      </c>
      <c r="H197" s="84">
        <v>40.4</v>
      </c>
      <c r="I197" s="84">
        <v>40010</v>
      </c>
      <c r="J197" s="84">
        <v>56</v>
      </c>
    </row>
    <row r="198" spans="1:10" ht="16">
      <c r="A198" s="79" t="s">
        <v>841</v>
      </c>
      <c r="B198" s="79" t="s">
        <v>839</v>
      </c>
      <c r="C198" s="80" t="s">
        <v>95</v>
      </c>
      <c r="D198" s="81" t="s">
        <v>79</v>
      </c>
      <c r="E198" s="82">
        <v>23167</v>
      </c>
      <c r="F198" s="82">
        <v>1136</v>
      </c>
      <c r="G198" s="82">
        <v>5328</v>
      </c>
      <c r="H198" s="84">
        <v>57.3</v>
      </c>
      <c r="I198" s="84">
        <v>55656</v>
      </c>
      <c r="J198" s="84">
        <v>39.4</v>
      </c>
    </row>
    <row r="199" spans="1:10" ht="16">
      <c r="A199" s="79" t="s">
        <v>1174</v>
      </c>
      <c r="B199" s="79" t="s">
        <v>1161</v>
      </c>
      <c r="C199" s="80" t="s">
        <v>126</v>
      </c>
      <c r="D199" s="81" t="s">
        <v>103</v>
      </c>
      <c r="E199" s="82">
        <v>39178</v>
      </c>
      <c r="F199" s="82">
        <v>1346</v>
      </c>
      <c r="G199" s="82">
        <v>1175</v>
      </c>
      <c r="H199" s="84">
        <v>16.3</v>
      </c>
      <c r="I199" s="84">
        <v>3358</v>
      </c>
      <c r="J199" s="84">
        <v>19.7</v>
      </c>
    </row>
    <row r="200" spans="1:10" ht="16">
      <c r="A200" s="79" t="s">
        <v>1090</v>
      </c>
      <c r="B200" s="79" t="s">
        <v>1091</v>
      </c>
      <c r="C200" s="80" t="s">
        <v>126</v>
      </c>
      <c r="D200" s="81" t="s">
        <v>77</v>
      </c>
      <c r="E200" s="82">
        <v>18956</v>
      </c>
      <c r="F200" s="82">
        <v>1516</v>
      </c>
      <c r="G200" s="82">
        <v>7393</v>
      </c>
      <c r="H200" s="84">
        <v>92.8</v>
      </c>
      <c r="I200" s="84">
        <v>83855</v>
      </c>
      <c r="J200" s="84">
        <v>81.8</v>
      </c>
    </row>
    <row r="201" spans="1:10" ht="16">
      <c r="A201" s="79" t="s">
        <v>1012</v>
      </c>
      <c r="B201" s="79" t="s">
        <v>1007</v>
      </c>
      <c r="C201" s="80" t="s">
        <v>126</v>
      </c>
      <c r="D201" s="81" t="s">
        <v>99</v>
      </c>
      <c r="E201" s="82">
        <v>14510</v>
      </c>
      <c r="F201" s="82">
        <v>859</v>
      </c>
      <c r="G201" s="82">
        <v>2177</v>
      </c>
      <c r="H201" s="84">
        <v>30.8</v>
      </c>
      <c r="I201" s="84">
        <v>9701</v>
      </c>
      <c r="J201" s="84">
        <v>29.9</v>
      </c>
    </row>
    <row r="202" spans="1:10" ht="16">
      <c r="A202" s="79" t="s">
        <v>941</v>
      </c>
      <c r="B202" s="79" t="s">
        <v>938</v>
      </c>
      <c r="C202" s="80" t="s">
        <v>126</v>
      </c>
      <c r="D202" s="81" t="s">
        <v>149</v>
      </c>
      <c r="E202" s="82">
        <v>15601</v>
      </c>
      <c r="F202" s="82">
        <v>1515</v>
      </c>
      <c r="G202" s="82">
        <v>2964</v>
      </c>
      <c r="H202" s="84">
        <v>11.1</v>
      </c>
      <c r="I202" s="84">
        <v>1329</v>
      </c>
      <c r="J202" s="84">
        <v>21.2</v>
      </c>
    </row>
    <row r="203" spans="1:10" ht="16">
      <c r="A203" s="79" t="s">
        <v>372</v>
      </c>
      <c r="B203" s="79" t="s">
        <v>363</v>
      </c>
      <c r="C203" s="80" t="s">
        <v>126</v>
      </c>
      <c r="D203" s="81" t="s">
        <v>96</v>
      </c>
      <c r="E203" s="82">
        <v>33084</v>
      </c>
      <c r="F203" s="82">
        <v>2346</v>
      </c>
      <c r="G203" s="82">
        <v>331</v>
      </c>
      <c r="H203" s="84">
        <v>9.8000000000000007</v>
      </c>
      <c r="I203" s="84">
        <v>3205</v>
      </c>
      <c r="J203" s="84">
        <v>15.7</v>
      </c>
    </row>
    <row r="204" spans="1:10" ht="16">
      <c r="A204" s="79" t="s">
        <v>168</v>
      </c>
      <c r="B204" s="79" t="s">
        <v>169</v>
      </c>
      <c r="C204" s="80" t="s">
        <v>126</v>
      </c>
      <c r="D204" s="81" t="s">
        <v>77</v>
      </c>
      <c r="E204" s="82">
        <v>5872</v>
      </c>
      <c r="F204" s="82">
        <v>763</v>
      </c>
      <c r="G204" s="82">
        <v>404</v>
      </c>
      <c r="H204" s="84">
        <v>7.7</v>
      </c>
      <c r="I204" s="84">
        <v>132</v>
      </c>
      <c r="J204" s="84">
        <v>27.5</v>
      </c>
    </row>
    <row r="205" spans="1:10" ht="16">
      <c r="A205" s="79" t="s">
        <v>170</v>
      </c>
      <c r="B205" s="79" t="s">
        <v>169</v>
      </c>
      <c r="C205" s="80" t="s">
        <v>126</v>
      </c>
      <c r="D205" s="81" t="s">
        <v>111</v>
      </c>
      <c r="E205" s="82">
        <v>14422</v>
      </c>
      <c r="F205" s="82">
        <v>690</v>
      </c>
      <c r="G205" s="82">
        <v>144</v>
      </c>
      <c r="H205" s="84">
        <v>11.8</v>
      </c>
      <c r="I205" s="84">
        <v>2862</v>
      </c>
      <c r="J205" s="84">
        <v>15.9</v>
      </c>
    </row>
    <row r="206" spans="1:10" ht="16">
      <c r="A206" s="79" t="s">
        <v>171</v>
      </c>
      <c r="B206" s="79" t="s">
        <v>169</v>
      </c>
      <c r="C206" s="80" t="s">
        <v>95</v>
      </c>
      <c r="D206" s="81" t="s">
        <v>101</v>
      </c>
      <c r="E206" s="82">
        <v>24077</v>
      </c>
      <c r="F206" s="82">
        <v>1824</v>
      </c>
      <c r="G206" s="82">
        <v>1204</v>
      </c>
      <c r="H206" s="84">
        <v>6.8</v>
      </c>
      <c r="I206" s="84">
        <v>841</v>
      </c>
      <c r="J206" s="84">
        <v>16.5</v>
      </c>
    </row>
    <row r="207" spans="1:10" ht="16">
      <c r="A207" s="79" t="s">
        <v>172</v>
      </c>
      <c r="B207" s="79" t="s">
        <v>169</v>
      </c>
      <c r="C207" s="80" t="s">
        <v>95</v>
      </c>
      <c r="D207" s="81" t="s">
        <v>78</v>
      </c>
      <c r="E207" s="82">
        <v>40848</v>
      </c>
      <c r="F207" s="82">
        <v>2569</v>
      </c>
      <c r="G207" s="82">
        <v>2812</v>
      </c>
      <c r="H207" s="84">
        <v>13.7</v>
      </c>
      <c r="I207" s="84">
        <v>2580</v>
      </c>
      <c r="J207" s="84">
        <v>21.8</v>
      </c>
    </row>
    <row r="208" spans="1:10" ht="16">
      <c r="A208" s="79" t="s">
        <v>173</v>
      </c>
      <c r="B208" s="79" t="s">
        <v>169</v>
      </c>
      <c r="C208" s="80" t="s">
        <v>95</v>
      </c>
      <c r="D208" s="81" t="s">
        <v>77</v>
      </c>
      <c r="E208" s="82">
        <v>3621</v>
      </c>
      <c r="F208" s="82">
        <v>338</v>
      </c>
      <c r="G208" s="82">
        <v>72</v>
      </c>
      <c r="H208" s="84">
        <v>10.5</v>
      </c>
      <c r="I208" s="84">
        <v>1366</v>
      </c>
      <c r="J208" s="84">
        <v>20.3</v>
      </c>
    </row>
    <row r="209" spans="1:10" ht="16">
      <c r="A209" s="79" t="s">
        <v>174</v>
      </c>
      <c r="B209" s="79" t="s">
        <v>169</v>
      </c>
      <c r="C209" s="80" t="s">
        <v>126</v>
      </c>
      <c r="D209" s="81" t="s">
        <v>78</v>
      </c>
      <c r="E209" s="82">
        <v>14024</v>
      </c>
      <c r="F209" s="82">
        <v>723</v>
      </c>
      <c r="G209" s="82">
        <v>140</v>
      </c>
      <c r="H209" s="84">
        <v>16.8</v>
      </c>
      <c r="I209" s="84">
        <v>1885</v>
      </c>
      <c r="J209" s="84">
        <v>23.9</v>
      </c>
    </row>
    <row r="210" spans="1:10" ht="16">
      <c r="A210" s="79" t="s">
        <v>175</v>
      </c>
      <c r="B210" s="79" t="s">
        <v>169</v>
      </c>
      <c r="C210" s="80" t="s">
        <v>126</v>
      </c>
      <c r="D210" s="81" t="s">
        <v>101</v>
      </c>
      <c r="E210" s="82">
        <v>25018</v>
      </c>
      <c r="F210" s="82">
        <v>1390</v>
      </c>
      <c r="G210" s="82">
        <v>1722</v>
      </c>
      <c r="H210" s="84">
        <v>6.9</v>
      </c>
      <c r="I210" s="84">
        <v>515</v>
      </c>
      <c r="J210" s="84">
        <v>17.100000000000001</v>
      </c>
    </row>
    <row r="211" spans="1:10" ht="16">
      <c r="A211" s="79" t="s">
        <v>176</v>
      </c>
      <c r="B211" s="79" t="s">
        <v>169</v>
      </c>
      <c r="C211" s="80" t="s">
        <v>95</v>
      </c>
      <c r="D211" s="81" t="s">
        <v>149</v>
      </c>
      <c r="E211" s="82">
        <v>43899</v>
      </c>
      <c r="F211" s="82">
        <v>3484</v>
      </c>
      <c r="G211" s="82">
        <v>878</v>
      </c>
      <c r="H211" s="84">
        <v>17.899999999999999</v>
      </c>
      <c r="I211" s="84">
        <v>9338</v>
      </c>
      <c r="J211" s="84">
        <v>30.2</v>
      </c>
    </row>
    <row r="212" spans="1:10" ht="16">
      <c r="A212" s="79" t="s">
        <v>177</v>
      </c>
      <c r="B212" s="79" t="s">
        <v>169</v>
      </c>
      <c r="C212" s="80" t="s">
        <v>95</v>
      </c>
      <c r="D212" s="81" t="s">
        <v>99</v>
      </c>
      <c r="E212" s="82">
        <v>13823</v>
      </c>
      <c r="F212" s="82">
        <v>848</v>
      </c>
      <c r="G212" s="82">
        <v>138</v>
      </c>
      <c r="H212" s="84">
        <v>9.6</v>
      </c>
      <c r="I212" s="84">
        <v>1868</v>
      </c>
      <c r="J212" s="84">
        <v>16.3</v>
      </c>
    </row>
    <row r="213" spans="1:10" ht="16">
      <c r="A213" s="79" t="s">
        <v>178</v>
      </c>
      <c r="B213" s="79" t="s">
        <v>169</v>
      </c>
      <c r="C213" s="80" t="s">
        <v>95</v>
      </c>
      <c r="D213" s="81" t="s">
        <v>103</v>
      </c>
      <c r="E213" s="82">
        <v>23198</v>
      </c>
      <c r="F213" s="82">
        <v>1333</v>
      </c>
      <c r="G213" s="82">
        <v>1160</v>
      </c>
      <c r="H213" s="84">
        <v>11</v>
      </c>
      <c r="I213" s="84">
        <v>5368</v>
      </c>
      <c r="J213" s="84">
        <v>17.899999999999999</v>
      </c>
    </row>
    <row r="214" spans="1:10" ht="16">
      <c r="A214" s="79" t="s">
        <v>179</v>
      </c>
      <c r="B214" s="79" t="s">
        <v>169</v>
      </c>
      <c r="C214" s="80" t="s">
        <v>126</v>
      </c>
      <c r="D214" s="81" t="s">
        <v>103</v>
      </c>
      <c r="E214" s="82">
        <v>34072</v>
      </c>
      <c r="F214" s="82">
        <v>2662</v>
      </c>
      <c r="G214" s="82">
        <v>341</v>
      </c>
      <c r="H214" s="84">
        <v>9.1999999999999993</v>
      </c>
      <c r="I214" s="84">
        <v>1328</v>
      </c>
      <c r="J214" s="84">
        <v>26.9</v>
      </c>
    </row>
    <row r="215" spans="1:10" ht="16">
      <c r="A215" s="79" t="s">
        <v>180</v>
      </c>
      <c r="B215" s="79" t="s">
        <v>169</v>
      </c>
      <c r="C215" s="80" t="s">
        <v>95</v>
      </c>
      <c r="D215" s="81" t="s">
        <v>101</v>
      </c>
      <c r="E215" s="82">
        <v>48675</v>
      </c>
      <c r="F215" s="82">
        <v>3957</v>
      </c>
      <c r="G215" s="82">
        <v>974</v>
      </c>
      <c r="H215" s="84">
        <v>22</v>
      </c>
      <c r="I215" s="84">
        <v>5765</v>
      </c>
      <c r="J215" s="84">
        <v>34.4</v>
      </c>
    </row>
    <row r="216" spans="1:10" ht="16">
      <c r="A216" s="79" t="s">
        <v>181</v>
      </c>
      <c r="B216" s="79" t="s">
        <v>169</v>
      </c>
      <c r="C216" s="80" t="s">
        <v>95</v>
      </c>
      <c r="D216" s="81" t="s">
        <v>79</v>
      </c>
      <c r="E216" s="82">
        <v>42573</v>
      </c>
      <c r="F216" s="82">
        <v>2490</v>
      </c>
      <c r="G216" s="82">
        <v>2931</v>
      </c>
      <c r="H216" s="84">
        <v>8.6999999999999993</v>
      </c>
      <c r="I216" s="84">
        <v>1669</v>
      </c>
      <c r="J216" s="84">
        <v>19.600000000000001</v>
      </c>
    </row>
    <row r="217" spans="1:10" ht="16">
      <c r="A217" s="79" t="s">
        <v>182</v>
      </c>
      <c r="B217" s="79" t="s">
        <v>169</v>
      </c>
      <c r="C217" s="80" t="s">
        <v>95</v>
      </c>
      <c r="D217" s="81" t="s">
        <v>149</v>
      </c>
      <c r="E217" s="82">
        <v>52579</v>
      </c>
      <c r="F217" s="82">
        <v>2710</v>
      </c>
      <c r="G217" s="82">
        <v>526</v>
      </c>
      <c r="H217" s="84">
        <v>18.3</v>
      </c>
      <c r="I217" s="84">
        <v>9024</v>
      </c>
      <c r="J217" s="84">
        <v>29.6</v>
      </c>
    </row>
    <row r="218" spans="1:10" ht="16">
      <c r="A218" s="79" t="s">
        <v>183</v>
      </c>
      <c r="B218" s="79" t="s">
        <v>169</v>
      </c>
      <c r="C218" s="80" t="s">
        <v>126</v>
      </c>
      <c r="D218" s="81" t="s">
        <v>101</v>
      </c>
      <c r="E218" s="82">
        <v>38719</v>
      </c>
      <c r="F218" s="82">
        <v>2332</v>
      </c>
      <c r="G218" s="82">
        <v>774</v>
      </c>
      <c r="H218" s="84">
        <v>13.1</v>
      </c>
      <c r="I218" s="84">
        <v>6898</v>
      </c>
      <c r="J218" s="84">
        <v>28.4</v>
      </c>
    </row>
    <row r="219" spans="1:10" ht="16">
      <c r="A219" s="79" t="s">
        <v>184</v>
      </c>
      <c r="B219" s="79" t="s">
        <v>169</v>
      </c>
      <c r="C219" s="80" t="s">
        <v>95</v>
      </c>
      <c r="D219" s="81" t="s">
        <v>77</v>
      </c>
      <c r="E219" s="82">
        <v>27285</v>
      </c>
      <c r="F219" s="82">
        <v>1935</v>
      </c>
      <c r="G219" s="82">
        <v>1879</v>
      </c>
      <c r="H219" s="84">
        <v>8.8000000000000007</v>
      </c>
      <c r="I219" s="84">
        <v>1191</v>
      </c>
      <c r="J219" s="84">
        <v>20.399999999999999</v>
      </c>
    </row>
    <row r="220" spans="1:10" ht="16">
      <c r="A220" s="79" t="s">
        <v>1105</v>
      </c>
      <c r="B220" s="79" t="s">
        <v>1100</v>
      </c>
      <c r="C220" s="80" t="s">
        <v>126</v>
      </c>
      <c r="D220" s="81" t="s">
        <v>99</v>
      </c>
      <c r="E220" s="82">
        <v>19840</v>
      </c>
      <c r="F220" s="82">
        <v>859</v>
      </c>
      <c r="G220" s="82">
        <v>3174</v>
      </c>
      <c r="H220" s="84">
        <v>17.3</v>
      </c>
      <c r="I220" s="84">
        <v>2984</v>
      </c>
      <c r="J220" s="84">
        <v>17.7</v>
      </c>
    </row>
    <row r="221" spans="1:10" ht="16">
      <c r="A221" s="79" t="s">
        <v>561</v>
      </c>
      <c r="B221" s="79" t="s">
        <v>556</v>
      </c>
      <c r="C221" s="80" t="s">
        <v>95</v>
      </c>
      <c r="D221" s="81" t="s">
        <v>79</v>
      </c>
      <c r="E221" s="82">
        <v>23992</v>
      </c>
      <c r="F221" s="82">
        <v>813</v>
      </c>
      <c r="G221" s="82">
        <v>1200</v>
      </c>
      <c r="H221" s="84">
        <v>18.5</v>
      </c>
      <c r="I221" s="84">
        <v>4285</v>
      </c>
      <c r="J221" s="84">
        <v>25.9</v>
      </c>
    </row>
    <row r="222" spans="1:10" ht="16">
      <c r="A222" s="79" t="s">
        <v>117</v>
      </c>
      <c r="B222" s="79" t="s">
        <v>108</v>
      </c>
      <c r="C222" s="80" t="s">
        <v>95</v>
      </c>
      <c r="D222" s="81" t="s">
        <v>78</v>
      </c>
      <c r="E222" s="82">
        <v>16844</v>
      </c>
      <c r="F222" s="82">
        <v>653</v>
      </c>
      <c r="G222" s="82">
        <v>5727</v>
      </c>
      <c r="H222" s="84">
        <v>29.9</v>
      </c>
      <c r="I222" s="84">
        <v>25246</v>
      </c>
      <c r="J222" s="84">
        <v>22.5</v>
      </c>
    </row>
    <row r="223" spans="1:10" ht="16">
      <c r="A223" s="79" t="s">
        <v>1332</v>
      </c>
      <c r="B223" s="79" t="s">
        <v>1307</v>
      </c>
      <c r="C223" s="80" t="s">
        <v>95</v>
      </c>
      <c r="D223" s="81" t="s">
        <v>78</v>
      </c>
      <c r="E223" s="82">
        <v>23658</v>
      </c>
      <c r="F223" s="82">
        <v>1293</v>
      </c>
      <c r="G223" s="82">
        <v>2366</v>
      </c>
      <c r="H223" s="84">
        <v>19.100000000000001</v>
      </c>
      <c r="I223" s="84">
        <v>7190</v>
      </c>
      <c r="J223" s="84">
        <v>21</v>
      </c>
    </row>
    <row r="224" spans="1:10" ht="16">
      <c r="A224" s="79" t="s">
        <v>1333</v>
      </c>
      <c r="B224" s="79" t="s">
        <v>1307</v>
      </c>
      <c r="C224" s="80" t="s">
        <v>126</v>
      </c>
      <c r="D224" s="81" t="s">
        <v>76</v>
      </c>
      <c r="E224" s="82">
        <v>5344</v>
      </c>
      <c r="F224" s="82">
        <v>379</v>
      </c>
      <c r="G224" s="82">
        <v>1764</v>
      </c>
      <c r="H224" s="84">
        <v>14.6</v>
      </c>
      <c r="I224" s="84">
        <v>4601</v>
      </c>
      <c r="J224" s="84">
        <v>22.7</v>
      </c>
    </row>
    <row r="225" spans="1:10" ht="16">
      <c r="A225" s="79" t="s">
        <v>1334</v>
      </c>
      <c r="B225" s="79" t="s">
        <v>1307</v>
      </c>
      <c r="C225" s="80" t="s">
        <v>95</v>
      </c>
      <c r="D225" s="81" t="s">
        <v>79</v>
      </c>
      <c r="E225" s="82">
        <v>34203</v>
      </c>
      <c r="F225" s="82">
        <v>1437</v>
      </c>
      <c r="G225" s="82">
        <v>2736</v>
      </c>
      <c r="H225" s="84">
        <v>22.6</v>
      </c>
      <c r="I225" s="84">
        <v>14100</v>
      </c>
      <c r="J225" s="84">
        <v>30.4</v>
      </c>
    </row>
    <row r="226" spans="1:10" ht="16">
      <c r="A226" s="79" t="s">
        <v>1335</v>
      </c>
      <c r="B226" s="79" t="s">
        <v>1307</v>
      </c>
      <c r="C226" s="80" t="s">
        <v>95</v>
      </c>
      <c r="D226" s="81" t="s">
        <v>103</v>
      </c>
      <c r="E226" s="82">
        <v>38520</v>
      </c>
      <c r="F226" s="82">
        <v>1598</v>
      </c>
      <c r="G226" s="82">
        <v>2696</v>
      </c>
      <c r="H226" s="84">
        <v>40.1</v>
      </c>
      <c r="I226" s="84">
        <v>27749</v>
      </c>
      <c r="J226" s="84">
        <v>38</v>
      </c>
    </row>
    <row r="227" spans="1:10" ht="16">
      <c r="A227" s="79" t="s">
        <v>185</v>
      </c>
      <c r="B227" s="79" t="s">
        <v>169</v>
      </c>
      <c r="C227" s="80" t="s">
        <v>126</v>
      </c>
      <c r="D227" s="81" t="s">
        <v>99</v>
      </c>
      <c r="E227" s="82">
        <v>55502</v>
      </c>
      <c r="F227" s="82">
        <v>3604</v>
      </c>
      <c r="G227" s="82">
        <v>3821</v>
      </c>
      <c r="H227" s="84">
        <v>11.3</v>
      </c>
      <c r="I227" s="84">
        <v>1680</v>
      </c>
      <c r="J227" s="84">
        <v>20</v>
      </c>
    </row>
    <row r="228" spans="1:10" ht="16">
      <c r="A228" s="79" t="s">
        <v>423</v>
      </c>
      <c r="B228" s="79" t="s">
        <v>421</v>
      </c>
      <c r="C228" s="80" t="s">
        <v>95</v>
      </c>
      <c r="D228" s="81" t="s">
        <v>76</v>
      </c>
      <c r="E228" s="82">
        <v>35894</v>
      </c>
      <c r="F228" s="82">
        <v>617</v>
      </c>
      <c r="G228" s="82">
        <v>7538</v>
      </c>
      <c r="H228" s="84">
        <v>63.3</v>
      </c>
      <c r="I228" s="84">
        <v>36991</v>
      </c>
      <c r="J228" s="84">
        <v>57.2</v>
      </c>
    </row>
    <row r="229" spans="1:10" ht="16">
      <c r="A229" s="79" t="s">
        <v>619</v>
      </c>
      <c r="B229" s="79" t="s">
        <v>617</v>
      </c>
      <c r="C229" s="80" t="s">
        <v>95</v>
      </c>
      <c r="D229" s="81" t="s">
        <v>103</v>
      </c>
      <c r="E229" s="82">
        <v>3891</v>
      </c>
      <c r="F229" s="82">
        <v>324</v>
      </c>
      <c r="G229" s="82">
        <v>506</v>
      </c>
      <c r="H229" s="84">
        <v>13.1</v>
      </c>
      <c r="I229" s="84">
        <v>10265</v>
      </c>
      <c r="J229" s="84">
        <v>20.6</v>
      </c>
    </row>
    <row r="230" spans="1:10" ht="16">
      <c r="A230" s="79" t="s">
        <v>1106</v>
      </c>
      <c r="B230" s="79" t="s">
        <v>1100</v>
      </c>
      <c r="C230" s="80" t="s">
        <v>95</v>
      </c>
      <c r="D230" s="81" t="s">
        <v>78</v>
      </c>
      <c r="E230" s="82">
        <v>20450</v>
      </c>
      <c r="F230" s="82">
        <v>988</v>
      </c>
      <c r="G230" s="82">
        <v>1841</v>
      </c>
      <c r="H230" s="84">
        <v>19.899999999999999</v>
      </c>
      <c r="I230" s="84">
        <v>6247</v>
      </c>
      <c r="J230" s="84">
        <v>18.7</v>
      </c>
    </row>
    <row r="231" spans="1:10" ht="16">
      <c r="A231" s="79" t="s">
        <v>258</v>
      </c>
      <c r="B231" s="79" t="s">
        <v>242</v>
      </c>
      <c r="C231" s="80" t="s">
        <v>95</v>
      </c>
      <c r="D231" s="81" t="s">
        <v>103</v>
      </c>
      <c r="E231" s="82">
        <v>32537</v>
      </c>
      <c r="F231" s="82">
        <v>2905</v>
      </c>
      <c r="G231" s="82">
        <v>3904</v>
      </c>
      <c r="H231" s="84">
        <v>58.6</v>
      </c>
      <c r="I231" s="84">
        <v>39951</v>
      </c>
      <c r="J231" s="84">
        <v>61.9</v>
      </c>
    </row>
    <row r="232" spans="1:10" ht="16">
      <c r="A232" s="79" t="s">
        <v>670</v>
      </c>
      <c r="B232" s="79" t="s">
        <v>661</v>
      </c>
      <c r="C232" s="80" t="s">
        <v>95</v>
      </c>
      <c r="D232" s="81" t="s">
        <v>96</v>
      </c>
      <c r="E232" s="82">
        <v>2942</v>
      </c>
      <c r="F232" s="82">
        <v>919</v>
      </c>
      <c r="G232" s="82">
        <v>205</v>
      </c>
      <c r="H232" s="84">
        <v>9.6999999999999993</v>
      </c>
      <c r="I232" s="84">
        <v>8904</v>
      </c>
      <c r="J232" s="84">
        <v>24.5</v>
      </c>
    </row>
    <row r="233" spans="1:10" ht="16">
      <c r="A233" s="79" t="s">
        <v>259</v>
      </c>
      <c r="B233" s="79" t="s">
        <v>242</v>
      </c>
      <c r="C233" s="80" t="s">
        <v>126</v>
      </c>
      <c r="D233" s="81" t="s">
        <v>78</v>
      </c>
      <c r="E233" s="82">
        <v>34979</v>
      </c>
      <c r="F233" s="82">
        <v>2200</v>
      </c>
      <c r="G233" s="82">
        <v>700</v>
      </c>
      <c r="H233" s="84">
        <v>12.1</v>
      </c>
      <c r="I233" s="84">
        <v>6642</v>
      </c>
      <c r="J233" s="84">
        <v>16.600000000000001</v>
      </c>
    </row>
    <row r="234" spans="1:10" ht="16">
      <c r="A234" s="79" t="s">
        <v>1175</v>
      </c>
      <c r="B234" s="79" t="s">
        <v>1161</v>
      </c>
      <c r="C234" s="80" t="s">
        <v>126</v>
      </c>
      <c r="D234" s="81" t="s">
        <v>78</v>
      </c>
      <c r="E234" s="82">
        <v>77346</v>
      </c>
      <c r="F234" s="82">
        <v>2553</v>
      </c>
      <c r="G234" s="82">
        <v>2320</v>
      </c>
      <c r="H234" s="84">
        <v>10.6</v>
      </c>
      <c r="I234" s="84">
        <v>1408</v>
      </c>
      <c r="J234" s="84">
        <v>18.8</v>
      </c>
    </row>
    <row r="235" spans="1:10" ht="16">
      <c r="A235" s="79" t="s">
        <v>1176</v>
      </c>
      <c r="B235" s="79" t="s">
        <v>1161</v>
      </c>
      <c r="C235" s="80" t="s">
        <v>126</v>
      </c>
      <c r="D235" s="81" t="s">
        <v>78</v>
      </c>
      <c r="E235" s="82">
        <v>37903</v>
      </c>
      <c r="F235" s="82">
        <v>995</v>
      </c>
      <c r="G235" s="82">
        <v>2274</v>
      </c>
      <c r="H235" s="84">
        <v>9</v>
      </c>
      <c r="I235" s="84">
        <v>1415</v>
      </c>
      <c r="J235" s="84">
        <v>17.3</v>
      </c>
    </row>
    <row r="236" spans="1:10" ht="16">
      <c r="A236" s="79" t="s">
        <v>900</v>
      </c>
      <c r="B236" s="79" t="s">
        <v>898</v>
      </c>
      <c r="C236" s="80" t="s">
        <v>126</v>
      </c>
      <c r="D236" s="81" t="s">
        <v>79</v>
      </c>
      <c r="E236" s="82">
        <v>16834</v>
      </c>
      <c r="F236" s="82">
        <v>1137</v>
      </c>
      <c r="G236" s="82">
        <v>673</v>
      </c>
      <c r="H236" s="84">
        <v>12.1</v>
      </c>
      <c r="I236" s="84">
        <v>4495</v>
      </c>
      <c r="J236" s="84">
        <v>17.100000000000001</v>
      </c>
    </row>
    <row r="237" spans="1:10" ht="16">
      <c r="A237" s="79" t="s">
        <v>1177</v>
      </c>
      <c r="B237" s="79" t="s">
        <v>1161</v>
      </c>
      <c r="C237" s="80" t="s">
        <v>126</v>
      </c>
      <c r="D237" s="81" t="s">
        <v>79</v>
      </c>
      <c r="E237" s="82">
        <v>7487</v>
      </c>
      <c r="F237" s="82">
        <v>273</v>
      </c>
      <c r="G237" s="82">
        <v>150</v>
      </c>
      <c r="H237" s="84">
        <v>14.1</v>
      </c>
      <c r="I237" s="84">
        <v>2745</v>
      </c>
      <c r="J237" s="84">
        <v>21</v>
      </c>
    </row>
    <row r="238" spans="1:10" ht="16">
      <c r="A238" s="79" t="s">
        <v>1336</v>
      </c>
      <c r="B238" s="79" t="s">
        <v>1307</v>
      </c>
      <c r="C238" s="80" t="s">
        <v>95</v>
      </c>
      <c r="D238" s="81" t="s">
        <v>99</v>
      </c>
      <c r="E238" s="82">
        <v>29377</v>
      </c>
      <c r="F238" s="82">
        <v>1632</v>
      </c>
      <c r="G238" s="82">
        <v>2938</v>
      </c>
      <c r="H238" s="84">
        <v>26.3</v>
      </c>
      <c r="I238" s="84">
        <v>23586</v>
      </c>
      <c r="J238" s="84">
        <v>29.9</v>
      </c>
    </row>
    <row r="239" spans="1:10" ht="16">
      <c r="A239" s="79" t="s">
        <v>1337</v>
      </c>
      <c r="B239" s="79" t="s">
        <v>1307</v>
      </c>
      <c r="C239" s="80" t="s">
        <v>95</v>
      </c>
      <c r="D239" s="81" t="s">
        <v>103</v>
      </c>
      <c r="E239" s="82">
        <v>23488</v>
      </c>
      <c r="F239" s="82">
        <v>1793</v>
      </c>
      <c r="G239" s="82">
        <v>4228</v>
      </c>
      <c r="H239" s="84">
        <v>32.4</v>
      </c>
      <c r="I239" s="84">
        <v>26462</v>
      </c>
      <c r="J239" s="84">
        <v>48.6</v>
      </c>
    </row>
    <row r="240" spans="1:10" ht="16">
      <c r="A240" s="79" t="s">
        <v>1338</v>
      </c>
      <c r="B240" s="79" t="s">
        <v>1307</v>
      </c>
      <c r="C240" s="80" t="s">
        <v>95</v>
      </c>
      <c r="D240" s="81" t="s">
        <v>77</v>
      </c>
      <c r="E240" s="82">
        <v>16279</v>
      </c>
      <c r="F240" s="82">
        <v>1915</v>
      </c>
      <c r="G240" s="82">
        <v>2930</v>
      </c>
      <c r="H240" s="84">
        <v>37.9</v>
      </c>
      <c r="I240" s="84">
        <v>35669</v>
      </c>
      <c r="J240" s="84">
        <v>57.3</v>
      </c>
    </row>
    <row r="241" spans="1:10" ht="16">
      <c r="A241" s="79" t="s">
        <v>1339</v>
      </c>
      <c r="B241" s="79" t="s">
        <v>1307</v>
      </c>
      <c r="C241" s="80" t="s">
        <v>126</v>
      </c>
      <c r="D241" s="81" t="s">
        <v>103</v>
      </c>
      <c r="E241" s="82">
        <v>21372</v>
      </c>
      <c r="F241" s="82">
        <v>1168</v>
      </c>
      <c r="G241" s="82">
        <v>5770</v>
      </c>
      <c r="H241" s="84">
        <v>76.400000000000006</v>
      </c>
      <c r="I241" s="84">
        <v>69090</v>
      </c>
      <c r="J241" s="84">
        <v>60.2</v>
      </c>
    </row>
    <row r="242" spans="1:10" ht="16">
      <c r="A242" s="79" t="s">
        <v>1340</v>
      </c>
      <c r="B242" s="79" t="s">
        <v>1307</v>
      </c>
      <c r="C242" s="80" t="s">
        <v>95</v>
      </c>
      <c r="D242" s="81" t="s">
        <v>101</v>
      </c>
      <c r="E242" s="82">
        <v>29290</v>
      </c>
      <c r="F242" s="82">
        <v>2034</v>
      </c>
      <c r="G242" s="82">
        <v>1757</v>
      </c>
      <c r="H242" s="84">
        <v>27.2</v>
      </c>
      <c r="I242" s="84">
        <v>17154</v>
      </c>
      <c r="J242" s="84">
        <v>33.9</v>
      </c>
    </row>
    <row r="243" spans="1:10" ht="16">
      <c r="A243" s="79" t="s">
        <v>162</v>
      </c>
      <c r="B243" s="79" t="s">
        <v>163</v>
      </c>
      <c r="C243" s="80" t="s">
        <v>95</v>
      </c>
      <c r="D243" s="81" t="s">
        <v>75</v>
      </c>
      <c r="E243" s="82">
        <v>38080</v>
      </c>
      <c r="F243" s="82">
        <v>1029</v>
      </c>
      <c r="G243" s="82">
        <v>3808</v>
      </c>
      <c r="H243" s="84">
        <v>55.5</v>
      </c>
      <c r="I243" s="84">
        <v>43558</v>
      </c>
      <c r="J243" s="84">
        <v>43.3</v>
      </c>
    </row>
    <row r="244" spans="1:10" ht="16">
      <c r="A244" s="79" t="s">
        <v>671</v>
      </c>
      <c r="B244" s="79" t="s">
        <v>661</v>
      </c>
      <c r="C244" s="80" t="s">
        <v>126</v>
      </c>
      <c r="D244" s="81" t="s">
        <v>78</v>
      </c>
      <c r="E244" s="82">
        <v>7194</v>
      </c>
      <c r="F244" s="82">
        <v>947</v>
      </c>
      <c r="G244" s="82">
        <v>288</v>
      </c>
      <c r="H244" s="84">
        <v>11.8</v>
      </c>
      <c r="I244" s="84">
        <v>2000</v>
      </c>
      <c r="J244" s="84">
        <v>23.5</v>
      </c>
    </row>
    <row r="245" spans="1:10" ht="16">
      <c r="A245" s="79" t="s">
        <v>505</v>
      </c>
      <c r="B245" s="79" t="s">
        <v>493</v>
      </c>
      <c r="C245" s="80" t="s">
        <v>126</v>
      </c>
      <c r="D245" s="81" t="s">
        <v>96</v>
      </c>
      <c r="E245" s="82">
        <v>17226</v>
      </c>
      <c r="F245" s="82">
        <v>1213</v>
      </c>
      <c r="G245" s="82">
        <v>345</v>
      </c>
      <c r="H245" s="84">
        <v>7.7</v>
      </c>
      <c r="I245" s="84">
        <v>1160</v>
      </c>
      <c r="J245" s="84">
        <v>16.7</v>
      </c>
    </row>
    <row r="246" spans="1:10" ht="16">
      <c r="A246" s="79" t="s">
        <v>1227</v>
      </c>
      <c r="B246" s="79" t="s">
        <v>1209</v>
      </c>
      <c r="C246" s="80" t="s">
        <v>95</v>
      </c>
      <c r="D246" s="81" t="s">
        <v>111</v>
      </c>
      <c r="E246" s="82">
        <v>12637</v>
      </c>
      <c r="F246" s="82">
        <v>635</v>
      </c>
      <c r="G246" s="82">
        <v>2148</v>
      </c>
      <c r="H246" s="84">
        <v>12.2</v>
      </c>
      <c r="I246" s="84">
        <v>6865</v>
      </c>
      <c r="J246" s="84">
        <v>15.7</v>
      </c>
    </row>
    <row r="247" spans="1:10" ht="16">
      <c r="A247" s="79" t="s">
        <v>424</v>
      </c>
      <c r="B247" s="79" t="s">
        <v>421</v>
      </c>
      <c r="C247" s="80" t="s">
        <v>95</v>
      </c>
      <c r="D247" s="81" t="s">
        <v>96</v>
      </c>
      <c r="E247" s="82">
        <v>47141</v>
      </c>
      <c r="F247" s="82">
        <v>2405</v>
      </c>
      <c r="G247" s="82">
        <v>7071</v>
      </c>
      <c r="H247" s="84">
        <v>29.5</v>
      </c>
      <c r="I247" s="84">
        <v>22344</v>
      </c>
      <c r="J247" s="84">
        <v>31.7</v>
      </c>
    </row>
    <row r="248" spans="1:10" ht="16">
      <c r="A248" s="79" t="s">
        <v>1228</v>
      </c>
      <c r="B248" s="79" t="s">
        <v>1209</v>
      </c>
      <c r="C248" s="80" t="s">
        <v>95</v>
      </c>
      <c r="D248" s="81" t="s">
        <v>149</v>
      </c>
      <c r="E248" s="82">
        <v>8486</v>
      </c>
      <c r="F248" s="82">
        <v>555</v>
      </c>
      <c r="G248" s="82">
        <v>2970</v>
      </c>
      <c r="H248" s="84">
        <v>28.6</v>
      </c>
      <c r="I248" s="84">
        <v>17330</v>
      </c>
      <c r="J248" s="84">
        <v>33.799999999999997</v>
      </c>
    </row>
    <row r="249" spans="1:10" ht="16">
      <c r="A249" s="79" t="s">
        <v>879</v>
      </c>
      <c r="B249" s="79" t="s">
        <v>877</v>
      </c>
      <c r="C249" s="80" t="s">
        <v>126</v>
      </c>
      <c r="D249" s="81" t="s">
        <v>149</v>
      </c>
      <c r="E249" s="82">
        <v>9986</v>
      </c>
      <c r="F249" s="82">
        <v>414</v>
      </c>
      <c r="G249" s="82">
        <v>100</v>
      </c>
      <c r="H249" s="84">
        <v>9.1</v>
      </c>
      <c r="I249" s="84">
        <v>519</v>
      </c>
      <c r="J249" s="84">
        <v>14</v>
      </c>
    </row>
    <row r="250" spans="1:10" ht="16">
      <c r="A250" s="79" t="s">
        <v>145</v>
      </c>
      <c r="B250" s="79" t="s">
        <v>146</v>
      </c>
      <c r="C250" s="80" t="s">
        <v>126</v>
      </c>
      <c r="D250" s="81" t="s">
        <v>76</v>
      </c>
      <c r="E250" s="82">
        <v>6370</v>
      </c>
      <c r="F250" s="82">
        <v>637</v>
      </c>
      <c r="G250" s="82">
        <v>1274</v>
      </c>
      <c r="H250" s="84">
        <v>17.5</v>
      </c>
      <c r="I250" s="84">
        <v>8800</v>
      </c>
      <c r="J250" s="84">
        <v>30.5</v>
      </c>
    </row>
    <row r="251" spans="1:10" ht="16">
      <c r="A251" s="79" t="s">
        <v>399</v>
      </c>
      <c r="B251" s="79" t="s">
        <v>396</v>
      </c>
      <c r="C251" s="80" t="s">
        <v>95</v>
      </c>
      <c r="D251" s="81" t="s">
        <v>77</v>
      </c>
      <c r="E251" s="82">
        <v>41411</v>
      </c>
      <c r="F251" s="82">
        <v>2353</v>
      </c>
      <c r="G251" s="82">
        <v>5383</v>
      </c>
      <c r="H251" s="84">
        <v>30.4</v>
      </c>
      <c r="I251" s="84">
        <v>21249</v>
      </c>
      <c r="J251" s="84">
        <v>34</v>
      </c>
    </row>
    <row r="252" spans="1:10" ht="16">
      <c r="A252" s="79" t="s">
        <v>118</v>
      </c>
      <c r="B252" s="79" t="s">
        <v>108</v>
      </c>
      <c r="C252" s="80" t="s">
        <v>95</v>
      </c>
      <c r="D252" s="81" t="s">
        <v>111</v>
      </c>
      <c r="E252" s="82">
        <v>34120</v>
      </c>
      <c r="F252" s="82">
        <v>1446</v>
      </c>
      <c r="G252" s="82">
        <v>5800</v>
      </c>
      <c r="H252" s="84">
        <v>32.700000000000003</v>
      </c>
      <c r="I252" s="84">
        <v>28137</v>
      </c>
      <c r="J252" s="84">
        <v>25.5</v>
      </c>
    </row>
    <row r="253" spans="1:10" ht="16">
      <c r="A253" s="79" t="s">
        <v>931</v>
      </c>
      <c r="B253" s="79" t="s">
        <v>928</v>
      </c>
      <c r="C253" s="80" t="s">
        <v>95</v>
      </c>
      <c r="D253" s="81" t="s">
        <v>76</v>
      </c>
      <c r="E253" s="82">
        <v>9375</v>
      </c>
      <c r="F253" s="82">
        <v>845</v>
      </c>
      <c r="G253" s="82">
        <v>2625</v>
      </c>
      <c r="H253" s="84">
        <v>7.7</v>
      </c>
      <c r="I253" s="84">
        <v>1124</v>
      </c>
      <c r="J253" s="84">
        <v>17.600000000000001</v>
      </c>
    </row>
    <row r="254" spans="1:10" ht="16">
      <c r="A254" s="79" t="s">
        <v>260</v>
      </c>
      <c r="B254" s="79" t="s">
        <v>242</v>
      </c>
      <c r="C254" s="80" t="s">
        <v>126</v>
      </c>
      <c r="D254" s="81" t="s">
        <v>76</v>
      </c>
      <c r="E254" s="82">
        <v>43815</v>
      </c>
      <c r="F254" s="82">
        <v>2224</v>
      </c>
      <c r="G254" s="82">
        <v>3017</v>
      </c>
      <c r="H254" s="84">
        <v>13.1</v>
      </c>
      <c r="I254" s="84">
        <v>7207</v>
      </c>
      <c r="J254" s="84">
        <v>14.2</v>
      </c>
    </row>
    <row r="255" spans="1:10" ht="16">
      <c r="A255" s="79" t="s">
        <v>261</v>
      </c>
      <c r="B255" s="79" t="s">
        <v>242</v>
      </c>
      <c r="C255" s="80" t="s">
        <v>126</v>
      </c>
      <c r="D255" s="81" t="s">
        <v>77</v>
      </c>
      <c r="E255" s="82">
        <v>36083</v>
      </c>
      <c r="F255" s="82">
        <v>2135</v>
      </c>
      <c r="G255" s="82">
        <v>1443</v>
      </c>
      <c r="H255" s="84">
        <v>11.3</v>
      </c>
      <c r="I255" s="84">
        <v>2038</v>
      </c>
      <c r="J255" s="84">
        <v>16.100000000000001</v>
      </c>
    </row>
    <row r="256" spans="1:10" ht="16">
      <c r="A256" s="79" t="s">
        <v>942</v>
      </c>
      <c r="B256" s="79" t="s">
        <v>938</v>
      </c>
      <c r="C256" s="80" t="s">
        <v>126</v>
      </c>
      <c r="D256" s="81" t="s">
        <v>103</v>
      </c>
      <c r="E256" s="82">
        <v>8406</v>
      </c>
      <c r="F256" s="82">
        <v>712</v>
      </c>
      <c r="G256" s="82">
        <v>588</v>
      </c>
      <c r="H256" s="84">
        <v>11.5</v>
      </c>
      <c r="I256" s="84">
        <v>949</v>
      </c>
      <c r="J256" s="84">
        <v>17.8</v>
      </c>
    </row>
    <row r="257" spans="1:10" ht="16">
      <c r="A257" s="79" t="s">
        <v>672</v>
      </c>
      <c r="B257" s="79" t="s">
        <v>661</v>
      </c>
      <c r="C257" s="80" t="s">
        <v>126</v>
      </c>
      <c r="D257" s="81" t="s">
        <v>111</v>
      </c>
      <c r="E257" s="82">
        <v>6473</v>
      </c>
      <c r="F257" s="82">
        <v>841</v>
      </c>
      <c r="G257" s="82">
        <v>194</v>
      </c>
      <c r="H257" s="84">
        <v>12.9</v>
      </c>
      <c r="I257" s="84">
        <v>2312</v>
      </c>
      <c r="J257" s="84">
        <v>27.4</v>
      </c>
    </row>
    <row r="258" spans="1:10" ht="16">
      <c r="A258" s="79" t="s">
        <v>1013</v>
      </c>
      <c r="B258" s="79" t="s">
        <v>1007</v>
      </c>
      <c r="C258" s="80" t="s">
        <v>126</v>
      </c>
      <c r="D258" s="81" t="s">
        <v>111</v>
      </c>
      <c r="E258" s="82">
        <v>2098</v>
      </c>
      <c r="F258" s="82">
        <v>173</v>
      </c>
      <c r="G258" s="82">
        <v>126</v>
      </c>
      <c r="H258" s="84">
        <v>39.299999999999997</v>
      </c>
      <c r="I258" s="84">
        <v>15462</v>
      </c>
      <c r="J258" s="84">
        <v>40</v>
      </c>
    </row>
    <row r="259" spans="1:10" ht="16">
      <c r="A259" s="79" t="s">
        <v>1178</v>
      </c>
      <c r="B259" s="79" t="s">
        <v>1161</v>
      </c>
      <c r="C259" s="80" t="s">
        <v>126</v>
      </c>
      <c r="D259" s="81" t="s">
        <v>76</v>
      </c>
      <c r="E259" s="82">
        <v>48591</v>
      </c>
      <c r="F259" s="82">
        <v>2505</v>
      </c>
      <c r="G259" s="82">
        <v>1944</v>
      </c>
      <c r="H259" s="84">
        <v>8.5</v>
      </c>
      <c r="I259" s="84">
        <v>1518</v>
      </c>
      <c r="J259" s="84">
        <v>15.5</v>
      </c>
    </row>
    <row r="260" spans="1:10" ht="16">
      <c r="A260" s="79" t="s">
        <v>1014</v>
      </c>
      <c r="B260" s="79" t="s">
        <v>1007</v>
      </c>
      <c r="C260" s="80" t="s">
        <v>126</v>
      </c>
      <c r="D260" s="81" t="s">
        <v>103</v>
      </c>
      <c r="E260" s="82">
        <v>8108</v>
      </c>
      <c r="F260" s="82">
        <v>827</v>
      </c>
      <c r="G260" s="82">
        <v>405</v>
      </c>
      <c r="H260" s="84">
        <v>15.2</v>
      </c>
      <c r="I260" s="84">
        <v>2443</v>
      </c>
      <c r="J260" s="84">
        <v>19</v>
      </c>
    </row>
    <row r="261" spans="1:10" ht="16">
      <c r="A261" s="79" t="s">
        <v>673</v>
      </c>
      <c r="B261" s="79" t="s">
        <v>661</v>
      </c>
      <c r="C261" s="80" t="s">
        <v>126</v>
      </c>
      <c r="D261" s="81" t="s">
        <v>75</v>
      </c>
      <c r="E261" s="82">
        <v>1210</v>
      </c>
      <c r="F261" s="82">
        <v>318</v>
      </c>
      <c r="G261" s="82">
        <v>12</v>
      </c>
      <c r="H261" s="84">
        <v>13.7</v>
      </c>
      <c r="I261" s="84">
        <v>3332</v>
      </c>
      <c r="J261" s="84">
        <v>29</v>
      </c>
    </row>
    <row r="262" spans="1:10" ht="16">
      <c r="A262" s="79" t="s">
        <v>425</v>
      </c>
      <c r="B262" s="79" t="s">
        <v>421</v>
      </c>
      <c r="C262" s="80" t="s">
        <v>126</v>
      </c>
      <c r="D262" s="81" t="s">
        <v>75</v>
      </c>
      <c r="E262" s="82">
        <v>5216</v>
      </c>
      <c r="F262" s="82">
        <v>148</v>
      </c>
      <c r="G262" s="82">
        <v>991</v>
      </c>
      <c r="H262" s="84">
        <v>23.9</v>
      </c>
      <c r="I262" s="84">
        <v>10182</v>
      </c>
      <c r="J262" s="84">
        <v>36.200000000000003</v>
      </c>
    </row>
    <row r="263" spans="1:10" ht="16">
      <c r="A263" s="79" t="s">
        <v>1479</v>
      </c>
      <c r="B263" s="79" t="s">
        <v>1480</v>
      </c>
      <c r="C263" s="80" t="s">
        <v>126</v>
      </c>
      <c r="D263" s="81" t="s">
        <v>149</v>
      </c>
      <c r="E263" s="82">
        <v>32161</v>
      </c>
      <c r="F263" s="82">
        <v>1503</v>
      </c>
      <c r="G263" s="82">
        <v>322</v>
      </c>
      <c r="H263" s="84">
        <v>8.4</v>
      </c>
      <c r="I263" s="84">
        <v>3553</v>
      </c>
      <c r="J263" s="84">
        <v>14.7</v>
      </c>
    </row>
    <row r="264" spans="1:10" ht="16">
      <c r="A264" s="79" t="s">
        <v>1015</v>
      </c>
      <c r="B264" s="79" t="s">
        <v>1007</v>
      </c>
      <c r="C264" s="80" t="s">
        <v>95</v>
      </c>
      <c r="D264" s="81" t="s">
        <v>99</v>
      </c>
      <c r="E264" s="82">
        <v>20087</v>
      </c>
      <c r="F264" s="82">
        <v>1279</v>
      </c>
      <c r="G264" s="82">
        <v>4218</v>
      </c>
      <c r="H264" s="84">
        <v>40</v>
      </c>
      <c r="I264" s="84">
        <v>16059</v>
      </c>
      <c r="J264" s="84">
        <v>39.1</v>
      </c>
    </row>
    <row r="265" spans="1:10" ht="16">
      <c r="A265" s="79" t="s">
        <v>262</v>
      </c>
      <c r="B265" s="79" t="s">
        <v>242</v>
      </c>
      <c r="C265" s="80" t="s">
        <v>126</v>
      </c>
      <c r="D265" s="81" t="s">
        <v>96</v>
      </c>
      <c r="E265" s="82">
        <v>29603</v>
      </c>
      <c r="F265" s="82">
        <v>2990</v>
      </c>
      <c r="G265" s="82">
        <v>3552</v>
      </c>
      <c r="H265" s="84">
        <v>36.799999999999997</v>
      </c>
      <c r="I265" s="84">
        <v>16232</v>
      </c>
      <c r="J265" s="84">
        <v>39.5</v>
      </c>
    </row>
    <row r="266" spans="1:10" ht="16">
      <c r="A266" s="79" t="s">
        <v>1341</v>
      </c>
      <c r="B266" s="79" t="s">
        <v>1307</v>
      </c>
      <c r="C266" s="80" t="s">
        <v>126</v>
      </c>
      <c r="D266" s="81" t="s">
        <v>76</v>
      </c>
      <c r="E266" s="82">
        <v>20823</v>
      </c>
      <c r="F266" s="82">
        <v>2263</v>
      </c>
      <c r="G266" s="82">
        <v>4998</v>
      </c>
      <c r="H266" s="84">
        <v>98.6</v>
      </c>
      <c r="I266" s="84">
        <v>97781</v>
      </c>
      <c r="J266" s="84">
        <v>89.2</v>
      </c>
    </row>
    <row r="267" spans="1:10" ht="16">
      <c r="A267" s="79" t="s">
        <v>773</v>
      </c>
      <c r="B267" s="79" t="s">
        <v>772</v>
      </c>
      <c r="C267" s="80" t="s">
        <v>95</v>
      </c>
      <c r="D267" s="81" t="s">
        <v>149</v>
      </c>
      <c r="E267" s="82">
        <v>15654</v>
      </c>
      <c r="F267" s="82">
        <v>879</v>
      </c>
      <c r="G267" s="82">
        <v>1096</v>
      </c>
      <c r="H267" s="84">
        <v>11.3</v>
      </c>
      <c r="I267" s="84">
        <v>944</v>
      </c>
      <c r="J267" s="84">
        <v>13.5</v>
      </c>
    </row>
    <row r="268" spans="1:10" ht="16">
      <c r="A268" s="79" t="s">
        <v>164</v>
      </c>
      <c r="B268" s="79" t="s">
        <v>163</v>
      </c>
      <c r="C268" s="80" t="s">
        <v>126</v>
      </c>
      <c r="D268" s="81" t="s">
        <v>99</v>
      </c>
      <c r="E268" s="82">
        <v>5189</v>
      </c>
      <c r="F268" s="82">
        <v>167</v>
      </c>
      <c r="G268" s="82">
        <v>675</v>
      </c>
      <c r="H268" s="84">
        <v>38.1</v>
      </c>
      <c r="I268" s="84">
        <v>21572</v>
      </c>
      <c r="J268" s="84">
        <v>28.3</v>
      </c>
    </row>
    <row r="269" spans="1:10" ht="16">
      <c r="A269" s="79" t="s">
        <v>611</v>
      </c>
      <c r="B269" s="79" t="s">
        <v>610</v>
      </c>
      <c r="C269" s="80" t="s">
        <v>95</v>
      </c>
      <c r="D269" s="81" t="s">
        <v>101</v>
      </c>
      <c r="E269" s="82">
        <v>16137</v>
      </c>
      <c r="F269" s="82">
        <v>1345</v>
      </c>
      <c r="G269" s="82">
        <v>807</v>
      </c>
      <c r="H269" s="84">
        <v>45.1</v>
      </c>
      <c r="I269" s="84">
        <v>28117</v>
      </c>
      <c r="J269" s="84">
        <v>48.2</v>
      </c>
    </row>
    <row r="270" spans="1:10" ht="16">
      <c r="A270" s="79" t="s">
        <v>426</v>
      </c>
      <c r="B270" s="79" t="s">
        <v>421</v>
      </c>
      <c r="C270" s="80" t="s">
        <v>95</v>
      </c>
      <c r="D270" s="81" t="s">
        <v>76</v>
      </c>
      <c r="E270" s="82">
        <v>20800</v>
      </c>
      <c r="F270" s="82">
        <v>1292</v>
      </c>
      <c r="G270" s="82">
        <v>3744</v>
      </c>
      <c r="H270" s="84">
        <v>60.3</v>
      </c>
      <c r="I270" s="84">
        <v>58011</v>
      </c>
      <c r="J270" s="84">
        <v>67.099999999999994</v>
      </c>
    </row>
    <row r="271" spans="1:10" ht="16">
      <c r="A271" s="79" t="s">
        <v>373</v>
      </c>
      <c r="B271" s="79" t="s">
        <v>363</v>
      </c>
      <c r="C271" s="80" t="s">
        <v>95</v>
      </c>
      <c r="D271" s="81" t="s">
        <v>75</v>
      </c>
      <c r="E271" s="82">
        <v>113043</v>
      </c>
      <c r="F271" s="82">
        <v>5162</v>
      </c>
      <c r="G271" s="82">
        <v>1130</v>
      </c>
      <c r="H271" s="84">
        <v>8.6</v>
      </c>
      <c r="I271" s="84">
        <v>1734</v>
      </c>
      <c r="J271" s="84">
        <v>14.7</v>
      </c>
    </row>
    <row r="272" spans="1:10" ht="16">
      <c r="A272" s="79" t="s">
        <v>1229</v>
      </c>
      <c r="B272" s="79" t="s">
        <v>1209</v>
      </c>
      <c r="C272" s="80" t="s">
        <v>126</v>
      </c>
      <c r="D272" s="81" t="s">
        <v>75</v>
      </c>
      <c r="E272" s="82">
        <v>9189</v>
      </c>
      <c r="F272" s="82">
        <v>534</v>
      </c>
      <c r="G272" s="82">
        <v>3216</v>
      </c>
      <c r="H272" s="84">
        <v>26.7</v>
      </c>
      <c r="I272" s="84">
        <v>20141</v>
      </c>
      <c r="J272" s="84">
        <v>28.4</v>
      </c>
    </row>
    <row r="273" spans="1:10" ht="16">
      <c r="A273" s="79" t="s">
        <v>943</v>
      </c>
      <c r="B273" s="79" t="s">
        <v>938</v>
      </c>
      <c r="C273" s="80" t="s">
        <v>95</v>
      </c>
      <c r="D273" s="81" t="s">
        <v>101</v>
      </c>
      <c r="E273" s="82">
        <v>22111</v>
      </c>
      <c r="F273" s="82">
        <v>1688</v>
      </c>
      <c r="G273" s="82">
        <v>1990</v>
      </c>
      <c r="H273" s="84">
        <v>37.299999999999997</v>
      </c>
      <c r="I273" s="84">
        <v>29165</v>
      </c>
      <c r="J273" s="84">
        <v>35.9</v>
      </c>
    </row>
    <row r="274" spans="1:10" ht="16">
      <c r="A274" s="79" t="s">
        <v>674</v>
      </c>
      <c r="B274" s="79" t="s">
        <v>661</v>
      </c>
      <c r="C274" s="80" t="s">
        <v>126</v>
      </c>
      <c r="D274" s="81" t="s">
        <v>75</v>
      </c>
      <c r="E274" s="82">
        <v>15077</v>
      </c>
      <c r="F274" s="82">
        <v>1675</v>
      </c>
      <c r="G274" s="82">
        <v>1508</v>
      </c>
      <c r="H274" s="84">
        <v>22.4</v>
      </c>
      <c r="I274" s="84">
        <v>7084</v>
      </c>
      <c r="J274" s="84">
        <v>28.9</v>
      </c>
    </row>
    <row r="275" spans="1:10" ht="16">
      <c r="A275" s="79" t="s">
        <v>1342</v>
      </c>
      <c r="B275" s="79" t="s">
        <v>1307</v>
      </c>
      <c r="C275" s="80" t="s">
        <v>95</v>
      </c>
      <c r="D275" s="81" t="s">
        <v>76</v>
      </c>
      <c r="E275" s="82">
        <v>10066</v>
      </c>
      <c r="F275" s="82">
        <v>724</v>
      </c>
      <c r="G275" s="82">
        <v>906</v>
      </c>
      <c r="H275" s="84">
        <v>13.2</v>
      </c>
      <c r="I275" s="84">
        <v>10535</v>
      </c>
      <c r="J275" s="84">
        <v>38.4</v>
      </c>
    </row>
    <row r="276" spans="1:10" ht="16">
      <c r="A276" s="79" t="s">
        <v>675</v>
      </c>
      <c r="B276" s="79" t="s">
        <v>661</v>
      </c>
      <c r="C276" s="80" t="s">
        <v>126</v>
      </c>
      <c r="D276" s="81" t="s">
        <v>149</v>
      </c>
      <c r="E276" s="82">
        <v>18225</v>
      </c>
      <c r="F276" s="82">
        <v>2250</v>
      </c>
      <c r="G276" s="82">
        <v>2005</v>
      </c>
      <c r="H276" s="84">
        <v>40.1</v>
      </c>
      <c r="I276" s="84">
        <v>12038</v>
      </c>
      <c r="J276" s="84">
        <v>45.7</v>
      </c>
    </row>
    <row r="277" spans="1:10" ht="16">
      <c r="A277" s="79" t="s">
        <v>480</v>
      </c>
      <c r="B277" s="79" t="s">
        <v>478</v>
      </c>
      <c r="C277" s="80" t="s">
        <v>95</v>
      </c>
      <c r="D277" s="81" t="s">
        <v>111</v>
      </c>
      <c r="E277" s="82">
        <v>8759</v>
      </c>
      <c r="F277" s="82">
        <v>755</v>
      </c>
      <c r="G277" s="82">
        <v>3942</v>
      </c>
      <c r="H277" s="84">
        <v>22</v>
      </c>
      <c r="I277" s="84">
        <v>12809</v>
      </c>
      <c r="J277" s="84">
        <v>27.9</v>
      </c>
    </row>
    <row r="278" spans="1:10" ht="16">
      <c r="A278" s="79" t="s">
        <v>481</v>
      </c>
      <c r="B278" s="79" t="s">
        <v>478</v>
      </c>
      <c r="C278" s="80" t="s">
        <v>95</v>
      </c>
      <c r="D278" s="81" t="s">
        <v>77</v>
      </c>
      <c r="E278" s="82">
        <v>20388</v>
      </c>
      <c r="F278" s="82">
        <v>883</v>
      </c>
      <c r="G278" s="82">
        <v>5097</v>
      </c>
      <c r="H278" s="84">
        <v>46.6</v>
      </c>
      <c r="I278" s="84">
        <v>33485</v>
      </c>
      <c r="J278" s="84">
        <v>41</v>
      </c>
    </row>
    <row r="279" spans="1:10" ht="16">
      <c r="A279" s="79" t="s">
        <v>676</v>
      </c>
      <c r="B279" s="79" t="s">
        <v>661</v>
      </c>
      <c r="C279" s="80" t="s">
        <v>126</v>
      </c>
      <c r="D279" s="81" t="s">
        <v>96</v>
      </c>
      <c r="E279" s="82">
        <v>30969</v>
      </c>
      <c r="F279" s="82">
        <v>761</v>
      </c>
      <c r="G279" s="82">
        <v>619</v>
      </c>
      <c r="H279" s="84">
        <v>9.6999999999999993</v>
      </c>
      <c r="I279" s="84">
        <v>2515</v>
      </c>
      <c r="J279" s="84">
        <v>16.8</v>
      </c>
    </row>
    <row r="280" spans="1:10" ht="16">
      <c r="A280" s="79" t="s">
        <v>1343</v>
      </c>
      <c r="B280" s="79" t="s">
        <v>1307</v>
      </c>
      <c r="C280" s="80" t="s">
        <v>95</v>
      </c>
      <c r="D280" s="81" t="s">
        <v>77</v>
      </c>
      <c r="E280" s="82">
        <v>8449</v>
      </c>
      <c r="F280" s="82">
        <v>1127</v>
      </c>
      <c r="G280" s="82">
        <v>676</v>
      </c>
      <c r="H280" s="84">
        <v>15.3</v>
      </c>
      <c r="I280" s="84">
        <v>15187</v>
      </c>
      <c r="J280" s="84">
        <v>42.8</v>
      </c>
    </row>
    <row r="281" spans="1:10" ht="16">
      <c r="A281" s="79" t="s">
        <v>263</v>
      </c>
      <c r="B281" s="79" t="s">
        <v>242</v>
      </c>
      <c r="C281" s="80" t="s">
        <v>126</v>
      </c>
      <c r="D281" s="81" t="s">
        <v>101</v>
      </c>
      <c r="E281" s="82">
        <v>30491</v>
      </c>
      <c r="F281" s="82">
        <v>1723</v>
      </c>
      <c r="G281" s="82">
        <v>3354</v>
      </c>
      <c r="H281" s="84">
        <v>11.3</v>
      </c>
      <c r="I281" s="84">
        <v>3086</v>
      </c>
      <c r="J281" s="84">
        <v>14.7</v>
      </c>
    </row>
    <row r="282" spans="1:10" ht="16">
      <c r="A282" s="79" t="s">
        <v>264</v>
      </c>
      <c r="B282" s="79" t="s">
        <v>242</v>
      </c>
      <c r="C282" s="80" t="s">
        <v>95</v>
      </c>
      <c r="D282" s="81" t="s">
        <v>75</v>
      </c>
      <c r="E282" s="82">
        <v>25956</v>
      </c>
      <c r="F282" s="82">
        <v>1492</v>
      </c>
      <c r="G282" s="82">
        <v>519</v>
      </c>
      <c r="H282" s="84">
        <v>15.1</v>
      </c>
      <c r="I282" s="84">
        <v>7543</v>
      </c>
      <c r="J282" s="84">
        <v>21.8</v>
      </c>
    </row>
    <row r="283" spans="1:10" ht="16">
      <c r="A283" s="79" t="s">
        <v>265</v>
      </c>
      <c r="B283" s="79" t="s">
        <v>242</v>
      </c>
      <c r="C283" s="80" t="s">
        <v>126</v>
      </c>
      <c r="D283" s="81" t="s">
        <v>103</v>
      </c>
      <c r="E283" s="82">
        <v>56379</v>
      </c>
      <c r="F283" s="82">
        <v>3417</v>
      </c>
      <c r="G283" s="82">
        <v>2819</v>
      </c>
      <c r="H283" s="84">
        <v>39.1</v>
      </c>
      <c r="I283" s="84">
        <v>23438</v>
      </c>
      <c r="J283" s="84">
        <v>41</v>
      </c>
    </row>
    <row r="284" spans="1:10" ht="16">
      <c r="A284" s="79" t="s">
        <v>427</v>
      </c>
      <c r="B284" s="79" t="s">
        <v>421</v>
      </c>
      <c r="C284" s="80" t="s">
        <v>126</v>
      </c>
      <c r="D284" s="81" t="s">
        <v>78</v>
      </c>
      <c r="E284" s="82">
        <v>33463</v>
      </c>
      <c r="F284" s="82">
        <v>596</v>
      </c>
      <c r="G284" s="82">
        <v>5689</v>
      </c>
      <c r="H284" s="84">
        <v>66.8</v>
      </c>
      <c r="I284" s="84">
        <v>45360</v>
      </c>
      <c r="J284" s="84">
        <v>61.8</v>
      </c>
    </row>
    <row r="285" spans="1:10" ht="16">
      <c r="A285" s="79" t="s">
        <v>266</v>
      </c>
      <c r="B285" s="79" t="s">
        <v>242</v>
      </c>
      <c r="C285" s="80" t="s">
        <v>126</v>
      </c>
      <c r="D285" s="81" t="s">
        <v>76</v>
      </c>
      <c r="E285" s="82">
        <v>40715</v>
      </c>
      <c r="F285" s="82">
        <v>1996</v>
      </c>
      <c r="G285" s="82">
        <v>814</v>
      </c>
      <c r="H285" s="84">
        <v>24.1</v>
      </c>
      <c r="I285" s="84">
        <v>18124</v>
      </c>
      <c r="J285" s="84">
        <v>23.6</v>
      </c>
    </row>
    <row r="286" spans="1:10" ht="16">
      <c r="A286" s="79" t="s">
        <v>677</v>
      </c>
      <c r="B286" s="79" t="s">
        <v>661</v>
      </c>
      <c r="C286" s="80" t="s">
        <v>126</v>
      </c>
      <c r="D286" s="81" t="s">
        <v>96</v>
      </c>
      <c r="E286" s="82">
        <v>888</v>
      </c>
      <c r="F286" s="82">
        <v>444</v>
      </c>
      <c r="G286" s="82">
        <v>9</v>
      </c>
      <c r="H286" s="84">
        <v>12.4</v>
      </c>
      <c r="I286" s="84">
        <v>5430</v>
      </c>
      <c r="J286" s="84">
        <v>30.2</v>
      </c>
    </row>
    <row r="287" spans="1:10" ht="16">
      <c r="A287" s="79" t="s">
        <v>1107</v>
      </c>
      <c r="B287" s="79" t="s">
        <v>1100</v>
      </c>
      <c r="C287" s="80" t="s">
        <v>126</v>
      </c>
      <c r="D287" s="81" t="s">
        <v>96</v>
      </c>
      <c r="E287" s="82">
        <v>13970</v>
      </c>
      <c r="F287" s="82">
        <v>490</v>
      </c>
      <c r="G287" s="82">
        <v>1956</v>
      </c>
      <c r="H287" s="84">
        <v>17</v>
      </c>
      <c r="I287" s="84">
        <v>2262</v>
      </c>
      <c r="J287" s="84">
        <v>15.1</v>
      </c>
    </row>
    <row r="288" spans="1:10" ht="16">
      <c r="A288" s="79" t="s">
        <v>678</v>
      </c>
      <c r="B288" s="79" t="s">
        <v>661</v>
      </c>
      <c r="C288" s="80" t="s">
        <v>126</v>
      </c>
      <c r="D288" s="81" t="s">
        <v>75</v>
      </c>
      <c r="E288" s="82">
        <v>8181</v>
      </c>
      <c r="F288" s="82">
        <v>538</v>
      </c>
      <c r="G288" s="82">
        <v>245</v>
      </c>
      <c r="H288" s="84">
        <v>10</v>
      </c>
      <c r="I288" s="84">
        <v>818</v>
      </c>
      <c r="J288" s="84">
        <v>16.399999999999999</v>
      </c>
    </row>
    <row r="289" spans="1:10" ht="16">
      <c r="A289" s="79" t="s">
        <v>612</v>
      </c>
      <c r="B289" s="79" t="s">
        <v>610</v>
      </c>
      <c r="C289" s="80" t="s">
        <v>95</v>
      </c>
      <c r="D289" s="81" t="s">
        <v>96</v>
      </c>
      <c r="E289" s="82">
        <v>6908</v>
      </c>
      <c r="F289" s="82">
        <v>147</v>
      </c>
      <c r="G289" s="82">
        <v>1658</v>
      </c>
      <c r="H289" s="84">
        <v>10.1</v>
      </c>
      <c r="I289" s="84">
        <v>6337</v>
      </c>
      <c r="J289" s="84">
        <v>14.1</v>
      </c>
    </row>
    <row r="290" spans="1:10" ht="16">
      <c r="A290" s="79" t="s">
        <v>428</v>
      </c>
      <c r="B290" s="79" t="s">
        <v>421</v>
      </c>
      <c r="C290" s="80" t="s">
        <v>126</v>
      </c>
      <c r="D290" s="81" t="s">
        <v>77</v>
      </c>
      <c r="E290" s="82">
        <v>5807</v>
      </c>
      <c r="F290" s="82">
        <v>328</v>
      </c>
      <c r="G290" s="82">
        <v>1278</v>
      </c>
      <c r="H290" s="84">
        <v>16.8</v>
      </c>
      <c r="I290" s="84">
        <v>5030</v>
      </c>
      <c r="J290" s="84">
        <v>25.1</v>
      </c>
    </row>
    <row r="291" spans="1:10" ht="16">
      <c r="A291" s="79" t="s">
        <v>979</v>
      </c>
      <c r="B291" s="79" t="s">
        <v>978</v>
      </c>
      <c r="C291" s="80" t="s">
        <v>95</v>
      </c>
      <c r="D291" s="81" t="s">
        <v>78</v>
      </c>
      <c r="E291" s="82">
        <v>24763</v>
      </c>
      <c r="F291" s="82">
        <v>2913</v>
      </c>
      <c r="G291" s="82">
        <v>991</v>
      </c>
      <c r="H291" s="84">
        <v>8</v>
      </c>
      <c r="I291" s="84">
        <v>1235</v>
      </c>
      <c r="J291" s="84">
        <v>21.1</v>
      </c>
    </row>
    <row r="292" spans="1:10" ht="16">
      <c r="A292" s="79" t="s">
        <v>562</v>
      </c>
      <c r="B292" s="79" t="s">
        <v>556</v>
      </c>
      <c r="C292" s="80" t="s">
        <v>95</v>
      </c>
      <c r="D292" s="81" t="s">
        <v>79</v>
      </c>
      <c r="E292" s="82">
        <v>8330</v>
      </c>
      <c r="F292" s="82">
        <v>291</v>
      </c>
      <c r="G292" s="82">
        <v>583</v>
      </c>
      <c r="H292" s="84">
        <v>8.5</v>
      </c>
      <c r="I292" s="84">
        <v>6691</v>
      </c>
      <c r="J292" s="84">
        <v>12.3</v>
      </c>
    </row>
    <row r="293" spans="1:10" ht="16">
      <c r="A293" s="79" t="s">
        <v>1230</v>
      </c>
      <c r="B293" s="79" t="s">
        <v>1209</v>
      </c>
      <c r="C293" s="80" t="s">
        <v>126</v>
      </c>
      <c r="D293" s="81" t="s">
        <v>75</v>
      </c>
      <c r="E293" s="82">
        <v>16760</v>
      </c>
      <c r="F293" s="82">
        <v>1432</v>
      </c>
      <c r="G293" s="82">
        <v>9386</v>
      </c>
      <c r="H293" s="84">
        <v>87.6</v>
      </c>
      <c r="I293" s="84">
        <v>85011</v>
      </c>
      <c r="J293" s="84">
        <v>84.5</v>
      </c>
    </row>
    <row r="294" spans="1:10" ht="16">
      <c r="A294" s="79" t="s">
        <v>400</v>
      </c>
      <c r="B294" s="79" t="s">
        <v>396</v>
      </c>
      <c r="C294" s="80" t="s">
        <v>126</v>
      </c>
      <c r="D294" s="81" t="s">
        <v>96</v>
      </c>
      <c r="E294" s="82">
        <v>1676</v>
      </c>
      <c r="F294" s="82">
        <v>204</v>
      </c>
      <c r="G294" s="82">
        <v>737</v>
      </c>
      <c r="H294" s="84">
        <v>28.5</v>
      </c>
      <c r="I294" s="84">
        <v>15157</v>
      </c>
      <c r="J294" s="84">
        <v>34.4</v>
      </c>
    </row>
    <row r="295" spans="1:10" ht="16">
      <c r="A295" s="79" t="s">
        <v>1016</v>
      </c>
      <c r="B295" s="79" t="s">
        <v>1007</v>
      </c>
      <c r="C295" s="80" t="s">
        <v>126</v>
      </c>
      <c r="D295" s="81" t="s">
        <v>96</v>
      </c>
      <c r="E295" s="82">
        <v>13499</v>
      </c>
      <c r="F295" s="82">
        <v>605</v>
      </c>
      <c r="G295" s="82">
        <v>405</v>
      </c>
      <c r="H295" s="84">
        <v>17</v>
      </c>
      <c r="I295" s="84">
        <v>3725</v>
      </c>
      <c r="J295" s="84">
        <v>16.100000000000001</v>
      </c>
    </row>
    <row r="296" spans="1:10" ht="16">
      <c r="A296" s="79" t="s">
        <v>506</v>
      </c>
      <c r="B296" s="79" t="s">
        <v>493</v>
      </c>
      <c r="C296" s="80" t="s">
        <v>126</v>
      </c>
      <c r="D296" s="81" t="s">
        <v>76</v>
      </c>
      <c r="E296" s="82">
        <v>4128</v>
      </c>
      <c r="F296" s="82">
        <v>430</v>
      </c>
      <c r="G296" s="82">
        <v>41</v>
      </c>
      <c r="H296" s="84">
        <v>55.3</v>
      </c>
      <c r="I296" s="84">
        <v>17929</v>
      </c>
      <c r="J296" s="84">
        <v>58.6</v>
      </c>
    </row>
    <row r="297" spans="1:10" ht="16">
      <c r="A297" s="79" t="s">
        <v>507</v>
      </c>
      <c r="B297" s="79" t="s">
        <v>493</v>
      </c>
      <c r="C297" s="80" t="s">
        <v>126</v>
      </c>
      <c r="D297" s="81" t="s">
        <v>149</v>
      </c>
      <c r="E297" s="82">
        <v>1335</v>
      </c>
      <c r="F297" s="82">
        <v>113</v>
      </c>
      <c r="G297" s="82">
        <v>30</v>
      </c>
      <c r="H297" s="84">
        <v>10.8</v>
      </c>
      <c r="I297" s="84">
        <v>3102</v>
      </c>
      <c r="J297" s="84">
        <v>28.1</v>
      </c>
    </row>
    <row r="298" spans="1:10" ht="16">
      <c r="A298" s="79" t="s">
        <v>508</v>
      </c>
      <c r="B298" s="79" t="s">
        <v>493</v>
      </c>
      <c r="C298" s="80" t="s">
        <v>126</v>
      </c>
      <c r="D298" s="81" t="s">
        <v>79</v>
      </c>
      <c r="E298" s="82">
        <v>1274</v>
      </c>
      <c r="F298" s="82">
        <v>134</v>
      </c>
      <c r="G298" s="82">
        <v>29</v>
      </c>
      <c r="H298" s="84">
        <v>19.5</v>
      </c>
      <c r="I298" s="84">
        <v>10575</v>
      </c>
      <c r="J298" s="84">
        <v>31.7</v>
      </c>
    </row>
    <row r="299" spans="1:10" ht="16">
      <c r="A299" s="79" t="s">
        <v>509</v>
      </c>
      <c r="B299" s="79" t="s">
        <v>493</v>
      </c>
      <c r="C299" s="80" t="s">
        <v>126</v>
      </c>
      <c r="D299" s="81" t="s">
        <v>111</v>
      </c>
      <c r="E299" s="82">
        <v>7833</v>
      </c>
      <c r="F299" s="82">
        <v>312</v>
      </c>
      <c r="G299" s="82">
        <v>78</v>
      </c>
      <c r="H299" s="84">
        <v>13.5</v>
      </c>
      <c r="I299" s="84">
        <v>5057</v>
      </c>
      <c r="J299" s="84">
        <v>21.5</v>
      </c>
    </row>
    <row r="300" spans="1:10" ht="16">
      <c r="A300" s="79" t="s">
        <v>510</v>
      </c>
      <c r="B300" s="79" t="s">
        <v>493</v>
      </c>
      <c r="C300" s="80" t="s">
        <v>126</v>
      </c>
      <c r="D300" s="81" t="s">
        <v>111</v>
      </c>
      <c r="E300" s="82">
        <v>1237</v>
      </c>
      <c r="F300" s="82">
        <v>116</v>
      </c>
      <c r="G300" s="82">
        <v>57</v>
      </c>
      <c r="H300" s="84">
        <v>11.3</v>
      </c>
      <c r="I300" s="84">
        <v>6008</v>
      </c>
      <c r="J300" s="84">
        <v>27</v>
      </c>
    </row>
    <row r="301" spans="1:10" ht="16">
      <c r="A301" s="79" t="s">
        <v>511</v>
      </c>
      <c r="B301" s="79" t="s">
        <v>493</v>
      </c>
      <c r="C301" s="80" t="s">
        <v>126</v>
      </c>
      <c r="D301" s="81" t="s">
        <v>149</v>
      </c>
      <c r="E301" s="82">
        <v>10267</v>
      </c>
      <c r="F301" s="82">
        <v>638</v>
      </c>
      <c r="G301" s="82">
        <v>103</v>
      </c>
      <c r="H301" s="84">
        <v>39.6</v>
      </c>
      <c r="I301" s="84">
        <v>13843</v>
      </c>
      <c r="J301" s="84">
        <v>44.7</v>
      </c>
    </row>
    <row r="302" spans="1:10" ht="16">
      <c r="A302" s="79" t="s">
        <v>512</v>
      </c>
      <c r="B302" s="79" t="s">
        <v>493</v>
      </c>
      <c r="C302" s="80" t="s">
        <v>126</v>
      </c>
      <c r="D302" s="81" t="s">
        <v>149</v>
      </c>
      <c r="E302" s="82">
        <v>7284</v>
      </c>
      <c r="F302" s="82">
        <v>492</v>
      </c>
      <c r="G302" s="82">
        <v>73</v>
      </c>
      <c r="H302" s="84">
        <v>27.9</v>
      </c>
      <c r="I302" s="84">
        <v>13710</v>
      </c>
      <c r="J302" s="84">
        <v>48.5</v>
      </c>
    </row>
    <row r="303" spans="1:10" ht="16">
      <c r="A303" s="79" t="s">
        <v>513</v>
      </c>
      <c r="B303" s="79" t="s">
        <v>493</v>
      </c>
      <c r="C303" s="80" t="s">
        <v>126</v>
      </c>
      <c r="D303" s="81" t="s">
        <v>78</v>
      </c>
      <c r="E303" s="82">
        <v>1222</v>
      </c>
      <c r="F303" s="82">
        <v>109</v>
      </c>
      <c r="G303" s="82">
        <v>27</v>
      </c>
      <c r="H303" s="84">
        <v>11.5</v>
      </c>
      <c r="I303" s="84">
        <v>8796</v>
      </c>
      <c r="J303" s="84">
        <v>21.1</v>
      </c>
    </row>
    <row r="304" spans="1:10" ht="16">
      <c r="A304" s="79" t="s">
        <v>514</v>
      </c>
      <c r="B304" s="79" t="s">
        <v>493</v>
      </c>
      <c r="C304" s="80" t="s">
        <v>126</v>
      </c>
      <c r="D304" s="81" t="s">
        <v>149</v>
      </c>
      <c r="E304" s="82">
        <v>5699</v>
      </c>
      <c r="F304" s="82">
        <v>422</v>
      </c>
      <c r="G304" s="82">
        <v>57</v>
      </c>
      <c r="H304" s="84">
        <v>22</v>
      </c>
      <c r="I304" s="84">
        <v>8190</v>
      </c>
      <c r="J304" s="84">
        <v>33.700000000000003</v>
      </c>
    </row>
    <row r="305" spans="1:10" ht="16">
      <c r="A305" s="79" t="s">
        <v>515</v>
      </c>
      <c r="B305" s="79" t="s">
        <v>493</v>
      </c>
      <c r="C305" s="80" t="s">
        <v>126</v>
      </c>
      <c r="D305" s="81" t="s">
        <v>111</v>
      </c>
      <c r="E305" s="82">
        <v>2088</v>
      </c>
      <c r="F305" s="82">
        <v>175</v>
      </c>
      <c r="G305" s="82">
        <v>96</v>
      </c>
      <c r="H305" s="84">
        <v>18</v>
      </c>
      <c r="I305" s="84">
        <v>9478</v>
      </c>
      <c r="J305" s="84">
        <v>25.3</v>
      </c>
    </row>
    <row r="306" spans="1:10" ht="16">
      <c r="A306" s="79" t="s">
        <v>516</v>
      </c>
      <c r="B306" s="79" t="s">
        <v>493</v>
      </c>
      <c r="C306" s="80" t="s">
        <v>126</v>
      </c>
      <c r="D306" s="81" t="s">
        <v>103</v>
      </c>
      <c r="E306" s="82">
        <v>1128</v>
      </c>
      <c r="F306" s="82">
        <v>116</v>
      </c>
      <c r="G306" s="82">
        <v>52</v>
      </c>
      <c r="H306" s="84">
        <v>23.7</v>
      </c>
      <c r="I306" s="84">
        <v>18333</v>
      </c>
      <c r="J306" s="84">
        <v>32.5</v>
      </c>
    </row>
    <row r="307" spans="1:10" ht="16">
      <c r="A307" s="79" t="s">
        <v>517</v>
      </c>
      <c r="B307" s="79" t="s">
        <v>493</v>
      </c>
      <c r="C307" s="80" t="s">
        <v>126</v>
      </c>
      <c r="D307" s="81" t="s">
        <v>103</v>
      </c>
      <c r="E307" s="82">
        <v>6860</v>
      </c>
      <c r="F307" s="82">
        <v>504</v>
      </c>
      <c r="G307" s="82">
        <v>315</v>
      </c>
      <c r="H307" s="84">
        <v>24.5</v>
      </c>
      <c r="I307" s="84">
        <v>8641</v>
      </c>
      <c r="J307" s="84">
        <v>37.799999999999997</v>
      </c>
    </row>
    <row r="308" spans="1:10" ht="16">
      <c r="A308" s="79" t="s">
        <v>518</v>
      </c>
      <c r="B308" s="79" t="s">
        <v>493</v>
      </c>
      <c r="C308" s="80" t="s">
        <v>126</v>
      </c>
      <c r="D308" s="81" t="s">
        <v>75</v>
      </c>
      <c r="E308" s="82">
        <v>9167</v>
      </c>
      <c r="F308" s="82">
        <v>745</v>
      </c>
      <c r="G308" s="82">
        <v>421</v>
      </c>
      <c r="H308" s="84">
        <v>38.9</v>
      </c>
      <c r="I308" s="84">
        <v>15208</v>
      </c>
      <c r="J308" s="84">
        <v>41.3</v>
      </c>
    </row>
    <row r="309" spans="1:10" ht="16">
      <c r="A309" s="79" t="s">
        <v>519</v>
      </c>
      <c r="B309" s="79" t="s">
        <v>493</v>
      </c>
      <c r="C309" s="80" t="s">
        <v>126</v>
      </c>
      <c r="D309" s="81" t="s">
        <v>76</v>
      </c>
      <c r="E309" s="82">
        <v>9241</v>
      </c>
      <c r="F309" s="82">
        <v>592</v>
      </c>
      <c r="G309" s="82">
        <v>92</v>
      </c>
      <c r="H309" s="84">
        <v>30.6</v>
      </c>
      <c r="I309" s="84">
        <v>7774</v>
      </c>
      <c r="J309" s="84">
        <v>44.9</v>
      </c>
    </row>
    <row r="310" spans="1:10" ht="16">
      <c r="A310" s="79" t="s">
        <v>520</v>
      </c>
      <c r="B310" s="79" t="s">
        <v>493</v>
      </c>
      <c r="C310" s="80" t="s">
        <v>126</v>
      </c>
      <c r="D310" s="81" t="s">
        <v>111</v>
      </c>
      <c r="E310" s="82">
        <v>1387</v>
      </c>
      <c r="F310" s="82">
        <v>110</v>
      </c>
      <c r="G310" s="82">
        <v>64</v>
      </c>
      <c r="H310" s="84">
        <v>8.3000000000000007</v>
      </c>
      <c r="I310" s="84">
        <v>3500</v>
      </c>
      <c r="J310" s="84">
        <v>17.600000000000001</v>
      </c>
    </row>
    <row r="311" spans="1:10" ht="16">
      <c r="A311" s="79" t="s">
        <v>521</v>
      </c>
      <c r="B311" s="79" t="s">
        <v>493</v>
      </c>
      <c r="C311" s="80" t="s">
        <v>126</v>
      </c>
      <c r="D311" s="81" t="s">
        <v>77</v>
      </c>
      <c r="E311" s="82">
        <v>7561</v>
      </c>
      <c r="F311" s="82">
        <v>461</v>
      </c>
      <c r="G311" s="82">
        <v>151</v>
      </c>
      <c r="H311" s="84">
        <v>28.2</v>
      </c>
      <c r="I311" s="84">
        <v>13162</v>
      </c>
      <c r="J311" s="84">
        <v>38.9</v>
      </c>
    </row>
    <row r="312" spans="1:10" ht="16">
      <c r="A312" s="79" t="s">
        <v>522</v>
      </c>
      <c r="B312" s="79" t="s">
        <v>493</v>
      </c>
      <c r="C312" s="80" t="s">
        <v>126</v>
      </c>
      <c r="D312" s="81" t="s">
        <v>79</v>
      </c>
      <c r="E312" s="82">
        <v>1119</v>
      </c>
      <c r="F312" s="82">
        <v>147</v>
      </c>
      <c r="G312" s="82">
        <v>51</v>
      </c>
      <c r="H312" s="84">
        <v>12.8</v>
      </c>
      <c r="I312" s="84">
        <v>12828</v>
      </c>
      <c r="J312" s="84">
        <v>28.1</v>
      </c>
    </row>
    <row r="313" spans="1:10" ht="16">
      <c r="A313" s="79" t="s">
        <v>1344</v>
      </c>
      <c r="B313" s="79" t="s">
        <v>1307</v>
      </c>
      <c r="C313" s="80" t="s">
        <v>95</v>
      </c>
      <c r="D313" s="81" t="s">
        <v>75</v>
      </c>
      <c r="E313" s="82">
        <v>66872</v>
      </c>
      <c r="F313" s="82">
        <v>4917</v>
      </c>
      <c r="G313" s="82">
        <v>10031</v>
      </c>
      <c r="H313" s="84">
        <v>49.7</v>
      </c>
      <c r="I313" s="84">
        <v>38163</v>
      </c>
      <c r="J313" s="84">
        <v>50.8</v>
      </c>
    </row>
    <row r="314" spans="1:10" ht="16">
      <c r="A314" s="79" t="s">
        <v>324</v>
      </c>
      <c r="B314" s="79" t="s">
        <v>323</v>
      </c>
      <c r="C314" s="80" t="s">
        <v>126</v>
      </c>
      <c r="D314" s="81" t="s">
        <v>149</v>
      </c>
      <c r="E314" s="82">
        <v>20851</v>
      </c>
      <c r="F314" s="82">
        <v>851</v>
      </c>
      <c r="G314" s="82">
        <v>1436</v>
      </c>
      <c r="H314" s="84">
        <v>9.9</v>
      </c>
      <c r="I314" s="84">
        <v>3494</v>
      </c>
      <c r="J314" s="84">
        <v>14.5</v>
      </c>
    </row>
    <row r="315" spans="1:10" ht="16">
      <c r="A315" s="79" t="s">
        <v>1017</v>
      </c>
      <c r="B315" s="79" t="s">
        <v>1007</v>
      </c>
      <c r="C315" s="80" t="s">
        <v>126</v>
      </c>
      <c r="D315" s="81" t="s">
        <v>99</v>
      </c>
      <c r="E315" s="82">
        <v>19196</v>
      </c>
      <c r="F315" s="82">
        <v>817</v>
      </c>
      <c r="G315" s="82">
        <v>1152</v>
      </c>
      <c r="H315" s="84">
        <v>20.7</v>
      </c>
      <c r="I315" s="84">
        <v>4931</v>
      </c>
      <c r="J315" s="84">
        <v>23.8</v>
      </c>
    </row>
    <row r="316" spans="1:10" ht="16">
      <c r="A316" s="79" t="s">
        <v>523</v>
      </c>
      <c r="B316" s="79" t="s">
        <v>493</v>
      </c>
      <c r="C316" s="80" t="s">
        <v>126</v>
      </c>
      <c r="D316" s="81" t="s">
        <v>96</v>
      </c>
      <c r="E316" s="82">
        <v>2146</v>
      </c>
      <c r="F316" s="82">
        <v>118</v>
      </c>
      <c r="G316" s="82">
        <v>48</v>
      </c>
      <c r="H316" s="84">
        <v>24.1</v>
      </c>
      <c r="I316" s="84">
        <v>11376</v>
      </c>
      <c r="J316" s="84">
        <v>38.299999999999997</v>
      </c>
    </row>
    <row r="317" spans="1:10" ht="16">
      <c r="A317" s="79" t="s">
        <v>880</v>
      </c>
      <c r="B317" s="79" t="s">
        <v>877</v>
      </c>
      <c r="C317" s="80" t="s">
        <v>126</v>
      </c>
      <c r="D317" s="81" t="s">
        <v>78</v>
      </c>
      <c r="E317" s="82">
        <v>30614</v>
      </c>
      <c r="F317" s="82">
        <v>1554</v>
      </c>
      <c r="G317" s="82">
        <v>2449</v>
      </c>
      <c r="H317" s="84">
        <v>7.5</v>
      </c>
      <c r="I317" s="84">
        <v>3999</v>
      </c>
      <c r="J317" s="84">
        <v>14.4</v>
      </c>
    </row>
    <row r="318" spans="1:10" ht="16">
      <c r="A318" s="79" t="s">
        <v>1345</v>
      </c>
      <c r="B318" s="79" t="s">
        <v>1307</v>
      </c>
      <c r="C318" s="80" t="s">
        <v>126</v>
      </c>
      <c r="D318" s="81" t="s">
        <v>75</v>
      </c>
      <c r="E318" s="82">
        <v>32469</v>
      </c>
      <c r="F318" s="82">
        <v>1727</v>
      </c>
      <c r="G318" s="82">
        <v>3896</v>
      </c>
      <c r="H318" s="84">
        <v>33</v>
      </c>
      <c r="I318" s="84">
        <v>19984</v>
      </c>
      <c r="J318" s="84">
        <v>29.5</v>
      </c>
    </row>
    <row r="319" spans="1:10" ht="16">
      <c r="A319" s="79" t="s">
        <v>563</v>
      </c>
      <c r="B319" s="79" t="s">
        <v>556</v>
      </c>
      <c r="C319" s="80" t="s">
        <v>95</v>
      </c>
      <c r="D319" s="81" t="s">
        <v>75</v>
      </c>
      <c r="E319" s="82">
        <v>8673</v>
      </c>
      <c r="F319" s="82">
        <v>964</v>
      </c>
      <c r="G319" s="82">
        <v>260</v>
      </c>
      <c r="H319" s="84">
        <v>10</v>
      </c>
      <c r="I319" s="84">
        <v>5312</v>
      </c>
      <c r="J319" s="84">
        <v>37.700000000000003</v>
      </c>
    </row>
    <row r="320" spans="1:10" ht="16">
      <c r="A320" s="79" t="s">
        <v>564</v>
      </c>
      <c r="B320" s="79" t="s">
        <v>556</v>
      </c>
      <c r="C320" s="80" t="s">
        <v>126</v>
      </c>
      <c r="D320" s="81" t="s">
        <v>101</v>
      </c>
      <c r="E320" s="82">
        <v>13273</v>
      </c>
      <c r="F320" s="82">
        <v>419</v>
      </c>
      <c r="G320" s="82">
        <v>133</v>
      </c>
      <c r="H320" s="84">
        <v>33</v>
      </c>
      <c r="I320" s="84">
        <v>14100</v>
      </c>
      <c r="J320" s="84">
        <v>27.8</v>
      </c>
    </row>
    <row r="321" spans="1:10" ht="16">
      <c r="A321" s="79" t="s">
        <v>913</v>
      </c>
      <c r="B321" s="79" t="s">
        <v>912</v>
      </c>
      <c r="C321" s="80" t="s">
        <v>126</v>
      </c>
      <c r="D321" s="81" t="s">
        <v>99</v>
      </c>
      <c r="E321" s="82">
        <v>8898</v>
      </c>
      <c r="F321" s="82">
        <v>368</v>
      </c>
      <c r="G321" s="82">
        <v>1068</v>
      </c>
      <c r="H321" s="84">
        <v>26.4</v>
      </c>
      <c r="I321" s="84">
        <v>7750</v>
      </c>
      <c r="J321" s="84">
        <v>23</v>
      </c>
    </row>
    <row r="322" spans="1:10" ht="16">
      <c r="A322" s="79" t="s">
        <v>565</v>
      </c>
      <c r="B322" s="79" t="s">
        <v>556</v>
      </c>
      <c r="C322" s="80" t="s">
        <v>95</v>
      </c>
      <c r="D322" s="81" t="s">
        <v>149</v>
      </c>
      <c r="E322" s="82">
        <v>11340</v>
      </c>
      <c r="F322" s="82">
        <v>922</v>
      </c>
      <c r="G322" s="82">
        <v>113</v>
      </c>
      <c r="H322" s="84">
        <v>11.9</v>
      </c>
      <c r="I322" s="84">
        <v>2680</v>
      </c>
      <c r="J322" s="84">
        <v>40.9</v>
      </c>
    </row>
    <row r="323" spans="1:10" ht="16">
      <c r="A323" s="79" t="s">
        <v>566</v>
      </c>
      <c r="B323" s="79" t="s">
        <v>556</v>
      </c>
      <c r="C323" s="80" t="s">
        <v>126</v>
      </c>
      <c r="D323" s="81" t="s">
        <v>79</v>
      </c>
      <c r="E323" s="82">
        <v>10064</v>
      </c>
      <c r="F323" s="82">
        <v>486</v>
      </c>
      <c r="G323" s="82">
        <v>101</v>
      </c>
      <c r="H323" s="84">
        <v>23.4</v>
      </c>
      <c r="I323" s="84">
        <v>9766</v>
      </c>
      <c r="J323" s="84">
        <v>25.4</v>
      </c>
    </row>
    <row r="324" spans="1:10" ht="16">
      <c r="A324" s="79" t="s">
        <v>1179</v>
      </c>
      <c r="B324" s="79" t="s">
        <v>1161</v>
      </c>
      <c r="C324" s="80" t="s">
        <v>95</v>
      </c>
      <c r="D324" s="81" t="s">
        <v>149</v>
      </c>
      <c r="E324" s="82">
        <v>26215</v>
      </c>
      <c r="F324" s="82">
        <v>892</v>
      </c>
      <c r="G324" s="82">
        <v>524</v>
      </c>
      <c r="H324" s="84">
        <v>9.3000000000000007</v>
      </c>
      <c r="I324" s="84">
        <v>1011</v>
      </c>
      <c r="J324" s="84">
        <v>12.5</v>
      </c>
    </row>
    <row r="325" spans="1:10" ht="16">
      <c r="A325" s="79" t="s">
        <v>1180</v>
      </c>
      <c r="B325" s="79" t="s">
        <v>1161</v>
      </c>
      <c r="C325" s="80" t="s">
        <v>126</v>
      </c>
      <c r="D325" s="81" t="s">
        <v>149</v>
      </c>
      <c r="E325" s="82">
        <v>34825</v>
      </c>
      <c r="F325" s="82">
        <v>1514</v>
      </c>
      <c r="G325" s="82">
        <v>1393</v>
      </c>
      <c r="H325" s="84">
        <v>28</v>
      </c>
      <c r="I325" s="84">
        <v>8461</v>
      </c>
      <c r="J325" s="84">
        <v>25.2</v>
      </c>
    </row>
    <row r="326" spans="1:10" ht="16">
      <c r="A326" s="79" t="s">
        <v>1181</v>
      </c>
      <c r="B326" s="79" t="s">
        <v>1161</v>
      </c>
      <c r="C326" s="80" t="s">
        <v>95</v>
      </c>
      <c r="D326" s="81" t="s">
        <v>79</v>
      </c>
      <c r="E326" s="82">
        <v>122002</v>
      </c>
      <c r="F326" s="82">
        <v>2044</v>
      </c>
      <c r="G326" s="82">
        <v>7320</v>
      </c>
      <c r="H326" s="84">
        <v>24.4</v>
      </c>
      <c r="I326" s="84">
        <v>5772</v>
      </c>
      <c r="J326" s="84">
        <v>25.8</v>
      </c>
    </row>
    <row r="327" spans="1:10" ht="16">
      <c r="A327" s="79" t="s">
        <v>944</v>
      </c>
      <c r="B327" s="79" t="s">
        <v>938</v>
      </c>
      <c r="C327" s="80" t="s">
        <v>126</v>
      </c>
      <c r="D327" s="81" t="s">
        <v>101</v>
      </c>
      <c r="E327" s="82">
        <v>10206</v>
      </c>
      <c r="F327" s="82">
        <v>779</v>
      </c>
      <c r="G327" s="82">
        <v>1633</v>
      </c>
      <c r="H327" s="84">
        <v>28</v>
      </c>
      <c r="I327" s="84">
        <v>13974</v>
      </c>
      <c r="J327" s="84">
        <v>30.6</v>
      </c>
    </row>
    <row r="328" spans="1:10" ht="16">
      <c r="A328" s="79" t="s">
        <v>1196</v>
      </c>
      <c r="B328" s="79" t="s">
        <v>1197</v>
      </c>
      <c r="C328" s="80" t="s">
        <v>95</v>
      </c>
      <c r="D328" s="81" t="s">
        <v>101</v>
      </c>
      <c r="E328" s="82">
        <v>16220</v>
      </c>
      <c r="F328" s="82">
        <v>1886</v>
      </c>
      <c r="G328" s="82">
        <v>162</v>
      </c>
      <c r="H328" s="84">
        <v>7.9</v>
      </c>
      <c r="I328" s="84">
        <v>341</v>
      </c>
      <c r="J328" s="84">
        <v>21.6</v>
      </c>
    </row>
    <row r="329" spans="1:10" ht="16">
      <c r="A329" s="79" t="s">
        <v>418</v>
      </c>
      <c r="B329" s="79" t="s">
        <v>419</v>
      </c>
      <c r="C329" s="80" t="s">
        <v>95</v>
      </c>
      <c r="D329" s="81" t="s">
        <v>76</v>
      </c>
      <c r="E329" s="82">
        <v>19670</v>
      </c>
      <c r="F329" s="82">
        <v>823</v>
      </c>
      <c r="G329" s="82">
        <v>393</v>
      </c>
      <c r="H329" s="84">
        <v>9.4</v>
      </c>
      <c r="I329" s="84">
        <v>436</v>
      </c>
      <c r="J329" s="84">
        <v>14.7</v>
      </c>
    </row>
    <row r="330" spans="1:10" ht="16">
      <c r="A330" s="79" t="s">
        <v>679</v>
      </c>
      <c r="B330" s="79" t="s">
        <v>661</v>
      </c>
      <c r="C330" s="80" t="s">
        <v>126</v>
      </c>
      <c r="D330" s="81" t="s">
        <v>101</v>
      </c>
      <c r="E330" s="82">
        <v>5516</v>
      </c>
      <c r="F330" s="82">
        <v>400</v>
      </c>
      <c r="G330" s="82">
        <v>165</v>
      </c>
      <c r="H330" s="84">
        <v>9.8000000000000007</v>
      </c>
      <c r="I330" s="84">
        <v>1185</v>
      </c>
      <c r="J330" s="84">
        <v>19.5</v>
      </c>
    </row>
    <row r="331" spans="1:10" ht="16">
      <c r="A331" s="79" t="s">
        <v>1182</v>
      </c>
      <c r="B331" s="79" t="s">
        <v>1161</v>
      </c>
      <c r="C331" s="80" t="s">
        <v>126</v>
      </c>
      <c r="D331" s="81" t="s">
        <v>99</v>
      </c>
      <c r="E331" s="82">
        <v>5090</v>
      </c>
      <c r="F331" s="82">
        <v>260</v>
      </c>
      <c r="G331" s="82">
        <v>204</v>
      </c>
      <c r="H331" s="84">
        <v>11</v>
      </c>
      <c r="I331" s="84">
        <v>3258</v>
      </c>
      <c r="J331" s="84">
        <v>19.399999999999999</v>
      </c>
    </row>
    <row r="332" spans="1:10" ht="16">
      <c r="A332" s="79" t="s">
        <v>429</v>
      </c>
      <c r="B332" s="79" t="s">
        <v>421</v>
      </c>
      <c r="C332" s="80" t="s">
        <v>126</v>
      </c>
      <c r="D332" s="81" t="s">
        <v>101</v>
      </c>
      <c r="E332" s="82">
        <v>1142</v>
      </c>
      <c r="F332" s="82">
        <v>70</v>
      </c>
      <c r="G332" s="82">
        <v>868</v>
      </c>
      <c r="H332" s="84">
        <v>33.200000000000003</v>
      </c>
      <c r="I332" s="84">
        <v>16838</v>
      </c>
      <c r="J332" s="84">
        <v>40.6</v>
      </c>
    </row>
    <row r="333" spans="1:10" ht="16">
      <c r="A333" s="79" t="s">
        <v>524</v>
      </c>
      <c r="B333" s="79" t="s">
        <v>493</v>
      </c>
      <c r="C333" s="80" t="s">
        <v>126</v>
      </c>
      <c r="D333" s="81" t="s">
        <v>111</v>
      </c>
      <c r="E333" s="82">
        <v>11528</v>
      </c>
      <c r="F333" s="82">
        <v>627</v>
      </c>
      <c r="G333" s="82">
        <v>115</v>
      </c>
      <c r="H333" s="84">
        <v>22.3</v>
      </c>
      <c r="I333" s="84">
        <v>6357</v>
      </c>
      <c r="J333" s="84">
        <v>33.799999999999997</v>
      </c>
    </row>
    <row r="334" spans="1:10" ht="16">
      <c r="A334" s="79" t="s">
        <v>901</v>
      </c>
      <c r="B334" s="79" t="s">
        <v>898</v>
      </c>
      <c r="C334" s="80" t="s">
        <v>95</v>
      </c>
      <c r="D334" s="81" t="s">
        <v>101</v>
      </c>
      <c r="E334" s="82">
        <v>40608</v>
      </c>
      <c r="F334" s="82">
        <v>3726</v>
      </c>
      <c r="G334" s="82">
        <v>3655</v>
      </c>
      <c r="H334" s="84">
        <v>17</v>
      </c>
      <c r="I334" s="84">
        <v>10444</v>
      </c>
      <c r="J334" s="84">
        <v>25.5</v>
      </c>
    </row>
    <row r="335" spans="1:10" ht="16">
      <c r="A335" s="79" t="s">
        <v>119</v>
      </c>
      <c r="B335" s="79" t="s">
        <v>108</v>
      </c>
      <c r="C335" s="80" t="s">
        <v>95</v>
      </c>
      <c r="D335" s="81" t="s">
        <v>76</v>
      </c>
      <c r="E335" s="82">
        <v>11491</v>
      </c>
      <c r="F335" s="82">
        <v>542</v>
      </c>
      <c r="G335" s="82">
        <v>1264</v>
      </c>
      <c r="H335" s="84">
        <v>28.4</v>
      </c>
      <c r="I335" s="84">
        <v>26522</v>
      </c>
      <c r="J335" s="84">
        <v>23.3</v>
      </c>
    </row>
    <row r="336" spans="1:10" ht="16">
      <c r="A336" s="79" t="s">
        <v>525</v>
      </c>
      <c r="B336" s="79" t="s">
        <v>493</v>
      </c>
      <c r="C336" s="80" t="s">
        <v>126</v>
      </c>
      <c r="D336" s="81" t="s">
        <v>78</v>
      </c>
      <c r="E336" s="82">
        <v>10653</v>
      </c>
      <c r="F336" s="82">
        <v>1098</v>
      </c>
      <c r="G336" s="82">
        <v>320</v>
      </c>
      <c r="H336" s="84">
        <v>8.6999999999999993</v>
      </c>
      <c r="I336" s="84">
        <v>4156</v>
      </c>
      <c r="J336" s="84">
        <v>29.4</v>
      </c>
    </row>
    <row r="337" spans="1:10" ht="16">
      <c r="A337" s="79" t="s">
        <v>1043</v>
      </c>
      <c r="B337" s="79" t="s">
        <v>1039</v>
      </c>
      <c r="C337" s="80" t="s">
        <v>95</v>
      </c>
      <c r="D337" s="81" t="s">
        <v>78</v>
      </c>
      <c r="E337" s="82">
        <v>12182</v>
      </c>
      <c r="F337" s="82">
        <v>781</v>
      </c>
      <c r="G337" s="82">
        <v>1096</v>
      </c>
      <c r="H337" s="84">
        <v>16.3</v>
      </c>
      <c r="I337" s="84">
        <v>8128</v>
      </c>
      <c r="J337" s="84">
        <v>22.5</v>
      </c>
    </row>
    <row r="338" spans="1:10" ht="16">
      <c r="A338" s="79" t="s">
        <v>526</v>
      </c>
      <c r="B338" s="79" t="s">
        <v>493</v>
      </c>
      <c r="C338" s="80" t="s">
        <v>95</v>
      </c>
      <c r="D338" s="81" t="s">
        <v>76</v>
      </c>
      <c r="E338" s="82">
        <v>7938</v>
      </c>
      <c r="F338" s="82">
        <v>571</v>
      </c>
      <c r="G338" s="82">
        <v>318</v>
      </c>
      <c r="H338" s="84">
        <v>17.3</v>
      </c>
      <c r="I338" s="84">
        <v>4617</v>
      </c>
      <c r="J338" s="84">
        <v>43.9</v>
      </c>
    </row>
    <row r="339" spans="1:10" ht="16">
      <c r="A339" s="79" t="s">
        <v>267</v>
      </c>
      <c r="B339" s="79" t="s">
        <v>242</v>
      </c>
      <c r="C339" s="80" t="s">
        <v>126</v>
      </c>
      <c r="D339" s="81" t="s">
        <v>101</v>
      </c>
      <c r="E339" s="82">
        <v>21455</v>
      </c>
      <c r="F339" s="82">
        <v>1500</v>
      </c>
      <c r="G339" s="82">
        <v>429</v>
      </c>
      <c r="H339" s="84">
        <v>11</v>
      </c>
      <c r="I339" s="84">
        <v>6705</v>
      </c>
      <c r="J339" s="84">
        <v>15.1</v>
      </c>
    </row>
    <row r="340" spans="1:10" ht="16">
      <c r="A340" s="79" t="s">
        <v>268</v>
      </c>
      <c r="B340" s="79" t="s">
        <v>242</v>
      </c>
      <c r="C340" s="80" t="s">
        <v>126</v>
      </c>
      <c r="D340" s="81" t="s">
        <v>101</v>
      </c>
      <c r="E340" s="82">
        <v>35335</v>
      </c>
      <c r="F340" s="82">
        <v>3719</v>
      </c>
      <c r="G340" s="82">
        <v>1767</v>
      </c>
      <c r="H340" s="84">
        <v>10.4</v>
      </c>
      <c r="I340" s="84">
        <v>3469</v>
      </c>
      <c r="J340" s="84">
        <v>18.8</v>
      </c>
    </row>
    <row r="341" spans="1:10" ht="16">
      <c r="A341" s="79" t="s">
        <v>680</v>
      </c>
      <c r="B341" s="79" t="s">
        <v>661</v>
      </c>
      <c r="C341" s="80" t="s">
        <v>126</v>
      </c>
      <c r="D341" s="81" t="s">
        <v>99</v>
      </c>
      <c r="E341" s="82">
        <v>1078</v>
      </c>
      <c r="F341" s="82">
        <v>1198</v>
      </c>
      <c r="G341" s="82">
        <v>11</v>
      </c>
      <c r="H341" s="84">
        <v>8.6</v>
      </c>
      <c r="I341" s="84">
        <v>4459</v>
      </c>
      <c r="J341" s="84">
        <v>28.4</v>
      </c>
    </row>
    <row r="342" spans="1:10" ht="16">
      <c r="A342" s="79" t="s">
        <v>269</v>
      </c>
      <c r="B342" s="79" t="s">
        <v>242</v>
      </c>
      <c r="C342" s="80" t="s">
        <v>126</v>
      </c>
      <c r="D342" s="81" t="s">
        <v>103</v>
      </c>
      <c r="E342" s="82">
        <v>70450</v>
      </c>
      <c r="F342" s="82">
        <v>6523</v>
      </c>
      <c r="G342" s="82">
        <v>2114</v>
      </c>
      <c r="H342" s="84">
        <v>16.2</v>
      </c>
      <c r="I342" s="84">
        <v>4441</v>
      </c>
      <c r="J342" s="84">
        <v>27.3</v>
      </c>
    </row>
    <row r="343" spans="1:10" ht="16">
      <c r="A343" s="79" t="s">
        <v>270</v>
      </c>
      <c r="B343" s="79" t="s">
        <v>242</v>
      </c>
      <c r="C343" s="80" t="s">
        <v>95</v>
      </c>
      <c r="D343" s="81" t="s">
        <v>76</v>
      </c>
      <c r="E343" s="82">
        <v>34904</v>
      </c>
      <c r="F343" s="82">
        <v>2493</v>
      </c>
      <c r="G343" s="82">
        <v>11867</v>
      </c>
      <c r="H343" s="84">
        <v>14.9</v>
      </c>
      <c r="I343" s="84">
        <v>5741</v>
      </c>
      <c r="J343" s="84">
        <v>21.6</v>
      </c>
    </row>
    <row r="344" spans="1:10" ht="16">
      <c r="A344" s="79" t="s">
        <v>430</v>
      </c>
      <c r="B344" s="79" t="s">
        <v>421</v>
      </c>
      <c r="C344" s="80" t="s">
        <v>95</v>
      </c>
      <c r="D344" s="81" t="s">
        <v>103</v>
      </c>
      <c r="E344" s="82">
        <v>31919</v>
      </c>
      <c r="F344" s="82">
        <v>1187</v>
      </c>
      <c r="G344" s="82">
        <v>3511</v>
      </c>
      <c r="H344" s="84">
        <v>22.6</v>
      </c>
      <c r="I344" s="84">
        <v>17543</v>
      </c>
      <c r="J344" s="84">
        <v>35.200000000000003</v>
      </c>
    </row>
    <row r="345" spans="1:10" ht="16">
      <c r="A345" s="79" t="s">
        <v>147</v>
      </c>
      <c r="B345" s="79" t="s">
        <v>146</v>
      </c>
      <c r="C345" s="80" t="s">
        <v>95</v>
      </c>
      <c r="D345" s="81" t="s">
        <v>75</v>
      </c>
      <c r="E345" s="82">
        <v>6122</v>
      </c>
      <c r="F345" s="82">
        <v>583</v>
      </c>
      <c r="G345" s="82">
        <v>673</v>
      </c>
      <c r="H345" s="84">
        <v>19.7</v>
      </c>
      <c r="I345" s="84">
        <v>9265</v>
      </c>
      <c r="J345" s="84">
        <v>28.1</v>
      </c>
    </row>
    <row r="346" spans="1:10" ht="16">
      <c r="A346" s="79" t="s">
        <v>1346</v>
      </c>
      <c r="B346" s="79" t="s">
        <v>1307</v>
      </c>
      <c r="C346" s="80" t="s">
        <v>95</v>
      </c>
      <c r="D346" s="81" t="s">
        <v>99</v>
      </c>
      <c r="E346" s="82">
        <v>16171</v>
      </c>
      <c r="F346" s="82">
        <v>3594</v>
      </c>
      <c r="G346" s="82">
        <v>4204</v>
      </c>
      <c r="H346" s="84">
        <v>91.4</v>
      </c>
      <c r="I346" s="84">
        <v>89899</v>
      </c>
      <c r="J346" s="84">
        <v>81.7</v>
      </c>
    </row>
    <row r="347" spans="1:10" ht="16">
      <c r="A347" s="79" t="s">
        <v>774</v>
      </c>
      <c r="B347" s="79" t="s">
        <v>772</v>
      </c>
      <c r="C347" s="80" t="s">
        <v>95</v>
      </c>
      <c r="D347" s="81" t="s">
        <v>79</v>
      </c>
      <c r="E347" s="82">
        <v>21512</v>
      </c>
      <c r="F347" s="82">
        <v>1605</v>
      </c>
      <c r="G347" s="82">
        <v>3657</v>
      </c>
      <c r="H347" s="84">
        <v>9</v>
      </c>
      <c r="I347" s="84">
        <v>9092</v>
      </c>
      <c r="J347" s="84">
        <v>15.8</v>
      </c>
    </row>
    <row r="348" spans="1:10" ht="16">
      <c r="A348" s="79" t="s">
        <v>681</v>
      </c>
      <c r="B348" s="79" t="s">
        <v>661</v>
      </c>
      <c r="C348" s="80" t="s">
        <v>95</v>
      </c>
      <c r="D348" s="81" t="s">
        <v>76</v>
      </c>
      <c r="E348" s="82">
        <v>4653</v>
      </c>
      <c r="F348" s="82">
        <v>1224</v>
      </c>
      <c r="G348" s="82">
        <v>93</v>
      </c>
      <c r="H348" s="84">
        <v>13.5</v>
      </c>
      <c r="I348" s="84">
        <v>3769</v>
      </c>
      <c r="J348" s="84">
        <v>34.6</v>
      </c>
    </row>
    <row r="349" spans="1:10" ht="16">
      <c r="A349" s="79" t="s">
        <v>431</v>
      </c>
      <c r="B349" s="79" t="s">
        <v>421</v>
      </c>
      <c r="C349" s="80" t="s">
        <v>95</v>
      </c>
      <c r="D349" s="81" t="s">
        <v>96</v>
      </c>
      <c r="E349" s="82">
        <v>28575</v>
      </c>
      <c r="F349" s="82">
        <v>611</v>
      </c>
      <c r="G349" s="82">
        <v>2572</v>
      </c>
      <c r="H349" s="84">
        <v>34.1</v>
      </c>
      <c r="I349" s="84">
        <v>18350</v>
      </c>
      <c r="J349" s="84">
        <v>37.700000000000003</v>
      </c>
    </row>
    <row r="350" spans="1:10" ht="16">
      <c r="A350" s="79" t="s">
        <v>567</v>
      </c>
      <c r="B350" s="79" t="s">
        <v>556</v>
      </c>
      <c r="C350" s="80" t="s">
        <v>126</v>
      </c>
      <c r="D350" s="81" t="s">
        <v>75</v>
      </c>
      <c r="E350" s="82">
        <v>6582</v>
      </c>
      <c r="F350" s="82">
        <v>295</v>
      </c>
      <c r="G350" s="82">
        <v>66</v>
      </c>
      <c r="H350" s="84">
        <v>23.7</v>
      </c>
      <c r="I350" s="84">
        <v>5958</v>
      </c>
      <c r="J350" s="84">
        <v>24.6</v>
      </c>
    </row>
    <row r="351" spans="1:10" ht="16">
      <c r="A351" s="79" t="s">
        <v>374</v>
      </c>
      <c r="B351" s="79" t="s">
        <v>363</v>
      </c>
      <c r="C351" s="80" t="s">
        <v>95</v>
      </c>
      <c r="D351" s="81" t="s">
        <v>75</v>
      </c>
      <c r="E351" s="82">
        <v>74546</v>
      </c>
      <c r="F351" s="82">
        <v>1878</v>
      </c>
      <c r="G351" s="82">
        <v>745</v>
      </c>
      <c r="H351" s="84">
        <v>7.9</v>
      </c>
      <c r="I351" s="84">
        <v>5354</v>
      </c>
      <c r="J351" s="84">
        <v>13</v>
      </c>
    </row>
    <row r="352" spans="1:10" ht="16">
      <c r="A352" s="79" t="s">
        <v>682</v>
      </c>
      <c r="B352" s="79" t="s">
        <v>661</v>
      </c>
      <c r="C352" s="80" t="s">
        <v>126</v>
      </c>
      <c r="D352" s="81" t="s">
        <v>99</v>
      </c>
      <c r="E352" s="82">
        <v>6392</v>
      </c>
      <c r="F352" s="82">
        <v>659</v>
      </c>
      <c r="G352" s="82">
        <v>128</v>
      </c>
      <c r="H352" s="84">
        <v>11.7</v>
      </c>
      <c r="I352" s="84">
        <v>3357</v>
      </c>
      <c r="J352" s="84">
        <v>20.9</v>
      </c>
    </row>
    <row r="353" spans="1:10" ht="16">
      <c r="A353" s="79" t="s">
        <v>683</v>
      </c>
      <c r="B353" s="79" t="s">
        <v>661</v>
      </c>
      <c r="C353" s="80" t="s">
        <v>126</v>
      </c>
      <c r="D353" s="81" t="s">
        <v>149</v>
      </c>
      <c r="E353" s="82">
        <v>10541</v>
      </c>
      <c r="F353" s="82">
        <v>1044</v>
      </c>
      <c r="G353" s="82">
        <v>316</v>
      </c>
      <c r="H353" s="84">
        <v>11.4</v>
      </c>
      <c r="I353" s="84">
        <v>2053</v>
      </c>
      <c r="J353" s="84">
        <v>21.4</v>
      </c>
    </row>
    <row r="354" spans="1:10" ht="16">
      <c r="A354" s="79" t="s">
        <v>684</v>
      </c>
      <c r="B354" s="79" t="s">
        <v>661</v>
      </c>
      <c r="C354" s="80" t="s">
        <v>126</v>
      </c>
      <c r="D354" s="81" t="s">
        <v>99</v>
      </c>
      <c r="E354" s="82">
        <v>18104</v>
      </c>
      <c r="F354" s="82">
        <v>1240</v>
      </c>
      <c r="G354" s="82">
        <v>543</v>
      </c>
      <c r="H354" s="84">
        <v>7.5</v>
      </c>
      <c r="I354" s="84">
        <v>932</v>
      </c>
      <c r="J354" s="84">
        <v>14.6</v>
      </c>
    </row>
    <row r="355" spans="1:10" ht="16">
      <c r="A355" s="79" t="s">
        <v>685</v>
      </c>
      <c r="B355" s="79" t="s">
        <v>661</v>
      </c>
      <c r="C355" s="80" t="s">
        <v>126</v>
      </c>
      <c r="D355" s="81" t="s">
        <v>103</v>
      </c>
      <c r="E355" s="82">
        <v>10420</v>
      </c>
      <c r="F355" s="82">
        <v>1063</v>
      </c>
      <c r="G355" s="82">
        <v>521</v>
      </c>
      <c r="H355" s="84">
        <v>17.7</v>
      </c>
      <c r="I355" s="84">
        <v>5043</v>
      </c>
      <c r="J355" s="84">
        <v>26.8</v>
      </c>
    </row>
    <row r="356" spans="1:10" ht="16">
      <c r="A356" s="79" t="s">
        <v>1018</v>
      </c>
      <c r="B356" s="79" t="s">
        <v>1007</v>
      </c>
      <c r="C356" s="80" t="s">
        <v>126</v>
      </c>
      <c r="D356" s="81" t="s">
        <v>99</v>
      </c>
      <c r="E356" s="82">
        <v>23127</v>
      </c>
      <c r="F356" s="82">
        <v>1001</v>
      </c>
      <c r="G356" s="82">
        <v>694</v>
      </c>
      <c r="H356" s="84">
        <v>15</v>
      </c>
      <c r="I356" s="84">
        <v>2683</v>
      </c>
      <c r="J356" s="84">
        <v>17.600000000000001</v>
      </c>
    </row>
    <row r="357" spans="1:10" ht="16">
      <c r="A357" s="79" t="s">
        <v>686</v>
      </c>
      <c r="B357" s="79" t="s">
        <v>661</v>
      </c>
      <c r="C357" s="80" t="s">
        <v>126</v>
      </c>
      <c r="D357" s="81" t="s">
        <v>76</v>
      </c>
      <c r="E357" s="82">
        <v>841</v>
      </c>
      <c r="F357" s="82">
        <v>765</v>
      </c>
      <c r="G357" s="82">
        <v>25</v>
      </c>
      <c r="H357" s="84">
        <v>8.6999999999999993</v>
      </c>
      <c r="I357" s="84">
        <v>6117</v>
      </c>
      <c r="J357" s="84">
        <v>32.299999999999997</v>
      </c>
    </row>
    <row r="358" spans="1:10" ht="16">
      <c r="A358" s="79" t="s">
        <v>687</v>
      </c>
      <c r="B358" s="79" t="s">
        <v>661</v>
      </c>
      <c r="C358" s="80" t="s">
        <v>126</v>
      </c>
      <c r="D358" s="81" t="s">
        <v>101</v>
      </c>
      <c r="E358" s="82">
        <v>30346</v>
      </c>
      <c r="F358" s="82">
        <v>2709</v>
      </c>
      <c r="G358" s="82">
        <v>910</v>
      </c>
      <c r="H358" s="84">
        <v>8</v>
      </c>
      <c r="I358" s="84">
        <v>556</v>
      </c>
      <c r="J358" s="84">
        <v>24.3</v>
      </c>
    </row>
    <row r="359" spans="1:10" ht="16">
      <c r="A359" s="79" t="s">
        <v>1347</v>
      </c>
      <c r="B359" s="79" t="s">
        <v>1307</v>
      </c>
      <c r="C359" s="80" t="s">
        <v>126</v>
      </c>
      <c r="D359" s="81" t="s">
        <v>111</v>
      </c>
      <c r="E359" s="82">
        <v>21536</v>
      </c>
      <c r="F359" s="82">
        <v>1506</v>
      </c>
      <c r="G359" s="82">
        <v>1938</v>
      </c>
      <c r="H359" s="84">
        <v>20.399999999999999</v>
      </c>
      <c r="I359" s="84">
        <v>9375</v>
      </c>
      <c r="J359" s="84">
        <v>25</v>
      </c>
    </row>
    <row r="360" spans="1:10" ht="16">
      <c r="A360" s="79" t="s">
        <v>1108</v>
      </c>
      <c r="B360" s="79" t="s">
        <v>1100</v>
      </c>
      <c r="C360" s="80" t="s">
        <v>95</v>
      </c>
      <c r="D360" s="81" t="s">
        <v>77</v>
      </c>
      <c r="E360" s="82">
        <v>6881</v>
      </c>
      <c r="F360" s="82">
        <v>564</v>
      </c>
      <c r="G360" s="82">
        <v>482</v>
      </c>
      <c r="H360" s="84">
        <v>23.3</v>
      </c>
      <c r="I360" s="84">
        <v>6045</v>
      </c>
      <c r="J360" s="84">
        <v>22.5</v>
      </c>
    </row>
    <row r="361" spans="1:10" ht="16">
      <c r="A361" s="79" t="s">
        <v>432</v>
      </c>
      <c r="B361" s="79" t="s">
        <v>421</v>
      </c>
      <c r="C361" s="80" t="s">
        <v>126</v>
      </c>
      <c r="D361" s="81" t="s">
        <v>79</v>
      </c>
      <c r="E361" s="82">
        <v>27255</v>
      </c>
      <c r="F361" s="82">
        <v>1065</v>
      </c>
      <c r="G361" s="82">
        <v>5996</v>
      </c>
      <c r="H361" s="84">
        <v>47.8</v>
      </c>
      <c r="I361" s="84">
        <v>31826</v>
      </c>
      <c r="J361" s="84">
        <v>45.4</v>
      </c>
    </row>
    <row r="362" spans="1:10" ht="16">
      <c r="A362" s="79" t="s">
        <v>1082</v>
      </c>
      <c r="B362" s="79" t="s">
        <v>1081</v>
      </c>
      <c r="C362" s="80" t="s">
        <v>95</v>
      </c>
      <c r="D362" s="81" t="s">
        <v>77</v>
      </c>
      <c r="E362" s="82">
        <v>8552</v>
      </c>
      <c r="F362" s="82">
        <v>668</v>
      </c>
      <c r="G362" s="82">
        <v>7184</v>
      </c>
      <c r="H362" s="84">
        <v>13.2</v>
      </c>
      <c r="I362" s="84">
        <v>6308</v>
      </c>
      <c r="J362" s="84">
        <v>16.8</v>
      </c>
    </row>
    <row r="363" spans="1:10" ht="16">
      <c r="A363" s="79" t="s">
        <v>1083</v>
      </c>
      <c r="B363" s="79" t="s">
        <v>1081</v>
      </c>
      <c r="C363" s="80" t="s">
        <v>95</v>
      </c>
      <c r="D363" s="81" t="s">
        <v>149</v>
      </c>
      <c r="E363" s="82">
        <v>7777</v>
      </c>
      <c r="F363" s="82">
        <v>864</v>
      </c>
      <c r="G363" s="82">
        <v>1555</v>
      </c>
      <c r="H363" s="84">
        <v>71.400000000000006</v>
      </c>
      <c r="I363" s="84">
        <v>68703</v>
      </c>
      <c r="J363" s="84">
        <v>55.4</v>
      </c>
    </row>
    <row r="364" spans="1:10" ht="16">
      <c r="A364" s="79" t="s">
        <v>1141</v>
      </c>
      <c r="B364" s="79" t="s">
        <v>1139</v>
      </c>
      <c r="C364" s="80" t="s">
        <v>95</v>
      </c>
      <c r="D364" s="81" t="s">
        <v>75</v>
      </c>
      <c r="E364" s="82">
        <v>68067</v>
      </c>
      <c r="F364" s="82">
        <v>3066</v>
      </c>
      <c r="G364" s="82">
        <v>681</v>
      </c>
      <c r="H364" s="84">
        <v>12.8</v>
      </c>
      <c r="I364" s="84">
        <v>1320</v>
      </c>
      <c r="J364" s="84">
        <v>18.600000000000001</v>
      </c>
    </row>
    <row r="365" spans="1:10" ht="16">
      <c r="A365" s="79" t="s">
        <v>791</v>
      </c>
      <c r="B365" s="79" t="s">
        <v>792</v>
      </c>
      <c r="C365" s="80" t="s">
        <v>126</v>
      </c>
      <c r="D365" s="81" t="s">
        <v>79</v>
      </c>
      <c r="E365" s="82">
        <v>9956</v>
      </c>
      <c r="F365" s="82">
        <v>677</v>
      </c>
      <c r="G365" s="82">
        <v>597</v>
      </c>
      <c r="H365" s="84">
        <v>11.4</v>
      </c>
      <c r="I365" s="84">
        <v>640</v>
      </c>
      <c r="J365" s="84">
        <v>16.5</v>
      </c>
    </row>
    <row r="366" spans="1:10" ht="16">
      <c r="A366" s="79" t="s">
        <v>945</v>
      </c>
      <c r="B366" s="79" t="s">
        <v>938</v>
      </c>
      <c r="C366" s="80" t="s">
        <v>95</v>
      </c>
      <c r="D366" s="81" t="s">
        <v>103</v>
      </c>
      <c r="E366" s="82">
        <v>26670</v>
      </c>
      <c r="F366" s="82">
        <v>2469</v>
      </c>
      <c r="G366" s="82">
        <v>3467</v>
      </c>
      <c r="H366" s="84">
        <v>16.899999999999999</v>
      </c>
      <c r="I366" s="84">
        <v>8096</v>
      </c>
      <c r="J366" s="84">
        <v>28.7</v>
      </c>
    </row>
    <row r="367" spans="1:10" ht="16">
      <c r="A367" s="79" t="s">
        <v>946</v>
      </c>
      <c r="B367" s="79" t="s">
        <v>938</v>
      </c>
      <c r="C367" s="80" t="s">
        <v>126</v>
      </c>
      <c r="D367" s="81" t="s">
        <v>111</v>
      </c>
      <c r="E367" s="82">
        <v>15260</v>
      </c>
      <c r="F367" s="82">
        <v>1426</v>
      </c>
      <c r="G367" s="82">
        <v>1679</v>
      </c>
      <c r="H367" s="84">
        <v>8.4</v>
      </c>
      <c r="I367" s="84">
        <v>886</v>
      </c>
      <c r="J367" s="84">
        <v>17.8</v>
      </c>
    </row>
    <row r="368" spans="1:10" ht="16">
      <c r="A368" s="79" t="s">
        <v>1231</v>
      </c>
      <c r="B368" s="79" t="s">
        <v>1209</v>
      </c>
      <c r="C368" s="80" t="s">
        <v>95</v>
      </c>
      <c r="D368" s="81" t="s">
        <v>78</v>
      </c>
      <c r="E368" s="82">
        <v>9004</v>
      </c>
      <c r="F368" s="82">
        <v>600</v>
      </c>
      <c r="G368" s="82">
        <v>1711</v>
      </c>
      <c r="H368" s="84">
        <v>22.4</v>
      </c>
      <c r="I368" s="84">
        <v>14399</v>
      </c>
      <c r="J368" s="84">
        <v>20.3</v>
      </c>
    </row>
    <row r="369" spans="1:10" ht="16">
      <c r="A369" s="79" t="s">
        <v>688</v>
      </c>
      <c r="B369" s="79" t="s">
        <v>661</v>
      </c>
      <c r="C369" s="80" t="s">
        <v>126</v>
      </c>
      <c r="D369" s="81" t="s">
        <v>96</v>
      </c>
      <c r="E369" s="82">
        <v>34916</v>
      </c>
      <c r="F369" s="82">
        <v>3357</v>
      </c>
      <c r="G369" s="82">
        <v>2793</v>
      </c>
      <c r="H369" s="84">
        <v>25.7</v>
      </c>
      <c r="I369" s="84">
        <v>9492</v>
      </c>
      <c r="J369" s="84">
        <v>32.1</v>
      </c>
    </row>
    <row r="370" spans="1:10" ht="16">
      <c r="A370" s="79" t="s">
        <v>1348</v>
      </c>
      <c r="B370" s="79" t="s">
        <v>1307</v>
      </c>
      <c r="C370" s="80" t="s">
        <v>95</v>
      </c>
      <c r="D370" s="81" t="s">
        <v>103</v>
      </c>
      <c r="E370" s="82">
        <v>24559</v>
      </c>
      <c r="F370" s="82">
        <v>1204</v>
      </c>
      <c r="G370" s="82">
        <v>2210</v>
      </c>
      <c r="H370" s="84">
        <v>19</v>
      </c>
      <c r="I370" s="84">
        <v>10610</v>
      </c>
      <c r="J370" s="84">
        <v>23.6</v>
      </c>
    </row>
    <row r="371" spans="1:10" ht="16">
      <c r="A371" s="79" t="s">
        <v>1205</v>
      </c>
      <c r="B371" s="79" t="s">
        <v>1204</v>
      </c>
      <c r="C371" s="80" t="s">
        <v>95</v>
      </c>
      <c r="D371" s="81" t="s">
        <v>103</v>
      </c>
      <c r="E371" s="82">
        <v>3651</v>
      </c>
      <c r="F371" s="82">
        <v>384</v>
      </c>
      <c r="G371" s="82">
        <v>949</v>
      </c>
      <c r="H371" s="84">
        <v>32.9</v>
      </c>
      <c r="I371" s="84">
        <v>17780</v>
      </c>
      <c r="J371" s="84">
        <v>27.7</v>
      </c>
    </row>
    <row r="372" spans="1:10" ht="16">
      <c r="A372" s="79" t="s">
        <v>568</v>
      </c>
      <c r="B372" s="79" t="s">
        <v>556</v>
      </c>
      <c r="C372" s="80" t="s">
        <v>95</v>
      </c>
      <c r="D372" s="81" t="s">
        <v>99</v>
      </c>
      <c r="E372" s="82">
        <v>12656</v>
      </c>
      <c r="F372" s="82">
        <v>606</v>
      </c>
      <c r="G372" s="82">
        <v>127</v>
      </c>
      <c r="H372" s="84">
        <v>12.7</v>
      </c>
      <c r="I372" s="84">
        <v>2696</v>
      </c>
      <c r="J372" s="84">
        <v>28</v>
      </c>
    </row>
    <row r="373" spans="1:10" ht="16">
      <c r="A373" s="79" t="s">
        <v>1142</v>
      </c>
      <c r="B373" s="79" t="s">
        <v>1139</v>
      </c>
      <c r="C373" s="80" t="s">
        <v>95</v>
      </c>
      <c r="D373" s="81" t="s">
        <v>103</v>
      </c>
      <c r="E373" s="82">
        <v>38655</v>
      </c>
      <c r="F373" s="82">
        <v>1962</v>
      </c>
      <c r="G373" s="82">
        <v>773</v>
      </c>
      <c r="H373" s="84">
        <v>12</v>
      </c>
      <c r="I373" s="84">
        <v>2173</v>
      </c>
      <c r="J373" s="84">
        <v>21.6</v>
      </c>
    </row>
    <row r="374" spans="1:10" ht="16">
      <c r="A374" s="79" t="s">
        <v>527</v>
      </c>
      <c r="B374" s="79" t="s">
        <v>493</v>
      </c>
      <c r="C374" s="80" t="s">
        <v>126</v>
      </c>
      <c r="D374" s="81" t="s">
        <v>103</v>
      </c>
      <c r="E374" s="82">
        <v>21390</v>
      </c>
      <c r="F374" s="82">
        <v>1633</v>
      </c>
      <c r="G374" s="82">
        <v>428</v>
      </c>
      <c r="H374" s="84">
        <v>11.5</v>
      </c>
      <c r="I374" s="84">
        <v>2982</v>
      </c>
      <c r="J374" s="84">
        <v>16.899999999999999</v>
      </c>
    </row>
    <row r="375" spans="1:10" ht="16">
      <c r="A375" s="79" t="s">
        <v>689</v>
      </c>
      <c r="B375" s="79" t="s">
        <v>661</v>
      </c>
      <c r="C375" s="80" t="s">
        <v>126</v>
      </c>
      <c r="D375" s="81" t="s">
        <v>79</v>
      </c>
      <c r="E375" s="82">
        <v>33125</v>
      </c>
      <c r="F375" s="82">
        <v>2436</v>
      </c>
      <c r="G375" s="82">
        <v>663</v>
      </c>
      <c r="H375" s="84">
        <v>11.4</v>
      </c>
      <c r="I375" s="84">
        <v>6681</v>
      </c>
      <c r="J375" s="84">
        <v>20.100000000000001</v>
      </c>
    </row>
    <row r="376" spans="1:10" ht="16">
      <c r="A376" s="79" t="s">
        <v>980</v>
      </c>
      <c r="B376" s="79" t="s">
        <v>978</v>
      </c>
      <c r="C376" s="80" t="s">
        <v>95</v>
      </c>
      <c r="D376" s="81" t="s">
        <v>79</v>
      </c>
      <c r="E376" s="82">
        <v>32853</v>
      </c>
      <c r="F376" s="82">
        <v>4159</v>
      </c>
      <c r="G376" s="82">
        <v>6899</v>
      </c>
      <c r="H376" s="84">
        <v>16.5</v>
      </c>
      <c r="I376" s="84">
        <v>15961</v>
      </c>
      <c r="J376" s="84">
        <v>29.5</v>
      </c>
    </row>
    <row r="377" spans="1:10" ht="16">
      <c r="A377" s="79" t="s">
        <v>981</v>
      </c>
      <c r="B377" s="79" t="s">
        <v>978</v>
      </c>
      <c r="C377" s="80" t="s">
        <v>126</v>
      </c>
      <c r="D377" s="81" t="s">
        <v>149</v>
      </c>
      <c r="E377" s="82">
        <v>6882</v>
      </c>
      <c r="F377" s="82">
        <v>1012</v>
      </c>
      <c r="G377" s="82">
        <v>895</v>
      </c>
      <c r="H377" s="84">
        <v>15.9</v>
      </c>
      <c r="I377" s="84">
        <v>8226</v>
      </c>
      <c r="J377" s="84">
        <v>27.2</v>
      </c>
    </row>
    <row r="378" spans="1:10" ht="16">
      <c r="A378" s="79" t="s">
        <v>982</v>
      </c>
      <c r="B378" s="79" t="s">
        <v>978</v>
      </c>
      <c r="C378" s="80" t="s">
        <v>95</v>
      </c>
      <c r="D378" s="81" t="s">
        <v>111</v>
      </c>
      <c r="E378" s="82">
        <v>38865</v>
      </c>
      <c r="F378" s="82">
        <v>4798</v>
      </c>
      <c r="G378" s="82">
        <v>4275</v>
      </c>
      <c r="H378" s="84">
        <v>7.1</v>
      </c>
      <c r="I378" s="84">
        <v>3825</v>
      </c>
      <c r="J378" s="84">
        <v>21.6</v>
      </c>
    </row>
    <row r="379" spans="1:10" ht="16">
      <c r="A379" s="79" t="s">
        <v>1143</v>
      </c>
      <c r="B379" s="79" t="s">
        <v>1139</v>
      </c>
      <c r="C379" s="80" t="s">
        <v>126</v>
      </c>
      <c r="D379" s="81" t="s">
        <v>103</v>
      </c>
      <c r="E379" s="82">
        <v>26846</v>
      </c>
      <c r="F379" s="82">
        <v>1078</v>
      </c>
      <c r="G379" s="82">
        <v>2549</v>
      </c>
      <c r="H379" s="84">
        <v>9.9</v>
      </c>
      <c r="I379" s="84">
        <v>1004</v>
      </c>
      <c r="J379" s="84">
        <v>15.1</v>
      </c>
    </row>
    <row r="380" spans="1:10" ht="16">
      <c r="A380" s="79" t="s">
        <v>983</v>
      </c>
      <c r="B380" s="79" t="s">
        <v>978</v>
      </c>
      <c r="C380" s="80" t="s">
        <v>95</v>
      </c>
      <c r="D380" s="81" t="s">
        <v>78</v>
      </c>
      <c r="E380" s="82">
        <v>11708</v>
      </c>
      <c r="F380" s="82">
        <v>1697</v>
      </c>
      <c r="G380" s="82">
        <v>117</v>
      </c>
      <c r="H380" s="84">
        <v>7.7</v>
      </c>
      <c r="I380" s="84">
        <v>5221</v>
      </c>
      <c r="J380" s="84">
        <v>29.9</v>
      </c>
    </row>
    <row r="381" spans="1:10" ht="16">
      <c r="A381" s="79" t="s">
        <v>984</v>
      </c>
      <c r="B381" s="79" t="s">
        <v>978</v>
      </c>
      <c r="C381" s="80" t="s">
        <v>95</v>
      </c>
      <c r="D381" s="81" t="s">
        <v>78</v>
      </c>
      <c r="E381" s="82">
        <v>38971</v>
      </c>
      <c r="F381" s="82">
        <v>3747</v>
      </c>
      <c r="G381" s="82">
        <v>3897</v>
      </c>
      <c r="H381" s="84">
        <v>25.8</v>
      </c>
      <c r="I381" s="84">
        <v>12833</v>
      </c>
      <c r="J381" s="84">
        <v>24.6</v>
      </c>
    </row>
    <row r="382" spans="1:10" ht="16">
      <c r="A382" s="79" t="s">
        <v>1232</v>
      </c>
      <c r="B382" s="79" t="s">
        <v>1209</v>
      </c>
      <c r="C382" s="80" t="s">
        <v>95</v>
      </c>
      <c r="D382" s="81" t="s">
        <v>103</v>
      </c>
      <c r="E382" s="82">
        <v>15700</v>
      </c>
      <c r="F382" s="82">
        <v>892</v>
      </c>
      <c r="G382" s="82">
        <v>5652</v>
      </c>
      <c r="H382" s="84">
        <v>15.6</v>
      </c>
      <c r="I382" s="84">
        <v>5200</v>
      </c>
      <c r="J382" s="84">
        <v>17.600000000000001</v>
      </c>
    </row>
    <row r="383" spans="1:10" ht="16">
      <c r="A383" s="79" t="s">
        <v>690</v>
      </c>
      <c r="B383" s="79" t="s">
        <v>661</v>
      </c>
      <c r="C383" s="80" t="s">
        <v>95</v>
      </c>
      <c r="D383" s="81" t="s">
        <v>149</v>
      </c>
      <c r="E383" s="82">
        <v>8503</v>
      </c>
      <c r="F383" s="82">
        <v>1575</v>
      </c>
      <c r="G383" s="82">
        <v>592</v>
      </c>
      <c r="H383" s="84">
        <v>9.9</v>
      </c>
      <c r="I383" s="84">
        <v>1819</v>
      </c>
      <c r="J383" s="84">
        <v>24</v>
      </c>
    </row>
    <row r="384" spans="1:10" ht="16">
      <c r="A384" s="79" t="s">
        <v>691</v>
      </c>
      <c r="B384" s="79" t="s">
        <v>661</v>
      </c>
      <c r="C384" s="80" t="s">
        <v>126</v>
      </c>
      <c r="D384" s="81" t="s">
        <v>99</v>
      </c>
      <c r="E384" s="82">
        <v>15593</v>
      </c>
      <c r="F384" s="82">
        <v>1641</v>
      </c>
      <c r="G384" s="82">
        <v>1092</v>
      </c>
      <c r="H384" s="84">
        <v>22.8</v>
      </c>
      <c r="I384" s="84">
        <v>7117</v>
      </c>
      <c r="J384" s="84">
        <v>32.4</v>
      </c>
    </row>
    <row r="385" spans="1:10" ht="16">
      <c r="A385" s="79" t="s">
        <v>1183</v>
      </c>
      <c r="B385" s="79" t="s">
        <v>1161</v>
      </c>
      <c r="C385" s="80" t="s">
        <v>95</v>
      </c>
      <c r="D385" s="81" t="s">
        <v>103</v>
      </c>
      <c r="E385" s="82">
        <v>5381</v>
      </c>
      <c r="F385" s="82">
        <v>345</v>
      </c>
      <c r="G385" s="82">
        <v>323</v>
      </c>
      <c r="H385" s="84">
        <v>34.4</v>
      </c>
      <c r="I385" s="84">
        <v>16937</v>
      </c>
      <c r="J385" s="84">
        <v>26.9</v>
      </c>
    </row>
    <row r="386" spans="1:10" ht="16">
      <c r="A386" s="79" t="s">
        <v>692</v>
      </c>
      <c r="B386" s="79" t="s">
        <v>661</v>
      </c>
      <c r="C386" s="80" t="s">
        <v>126</v>
      </c>
      <c r="D386" s="81" t="s">
        <v>99</v>
      </c>
      <c r="E386" s="82">
        <v>5469</v>
      </c>
      <c r="F386" s="82">
        <v>675</v>
      </c>
      <c r="G386" s="82">
        <v>55</v>
      </c>
      <c r="H386" s="84">
        <v>10.7</v>
      </c>
      <c r="I386" s="84">
        <v>2225</v>
      </c>
      <c r="J386" s="84">
        <v>19.899999999999999</v>
      </c>
    </row>
    <row r="387" spans="1:10" ht="16">
      <c r="A387" s="79" t="s">
        <v>693</v>
      </c>
      <c r="B387" s="79" t="s">
        <v>661</v>
      </c>
      <c r="C387" s="80" t="s">
        <v>126</v>
      </c>
      <c r="D387" s="81" t="s">
        <v>79</v>
      </c>
      <c r="E387" s="82">
        <v>6505</v>
      </c>
      <c r="F387" s="82">
        <v>374</v>
      </c>
      <c r="G387" s="82">
        <v>65</v>
      </c>
      <c r="H387" s="84">
        <v>9.8000000000000007</v>
      </c>
      <c r="I387" s="84">
        <v>869</v>
      </c>
      <c r="J387" s="84">
        <v>17.2</v>
      </c>
    </row>
    <row r="388" spans="1:10" ht="16">
      <c r="A388" s="79" t="s">
        <v>1019</v>
      </c>
      <c r="B388" s="79" t="s">
        <v>1007</v>
      </c>
      <c r="C388" s="80" t="s">
        <v>95</v>
      </c>
      <c r="D388" s="81" t="s">
        <v>111</v>
      </c>
      <c r="E388" s="82">
        <v>12225</v>
      </c>
      <c r="F388" s="82">
        <v>527</v>
      </c>
      <c r="G388" s="82">
        <v>1956</v>
      </c>
      <c r="H388" s="84">
        <v>37.9</v>
      </c>
      <c r="I388" s="84">
        <v>10440</v>
      </c>
      <c r="J388" s="84">
        <v>33</v>
      </c>
    </row>
    <row r="389" spans="1:10" ht="16">
      <c r="A389" s="79" t="s">
        <v>1020</v>
      </c>
      <c r="B389" s="79" t="s">
        <v>1007</v>
      </c>
      <c r="C389" s="80" t="s">
        <v>126</v>
      </c>
      <c r="D389" s="81" t="s">
        <v>101</v>
      </c>
      <c r="E389" s="82">
        <v>17081</v>
      </c>
      <c r="F389" s="82">
        <v>1512</v>
      </c>
      <c r="G389" s="82">
        <v>1708</v>
      </c>
      <c r="H389" s="84">
        <v>10.4</v>
      </c>
      <c r="I389" s="84">
        <v>1707</v>
      </c>
      <c r="J389" s="84">
        <v>18.2</v>
      </c>
    </row>
    <row r="390" spans="1:10" ht="16">
      <c r="A390" s="79" t="s">
        <v>1021</v>
      </c>
      <c r="B390" s="79" t="s">
        <v>1007</v>
      </c>
      <c r="C390" s="80" t="s">
        <v>126</v>
      </c>
      <c r="D390" s="81" t="s">
        <v>76</v>
      </c>
      <c r="E390" s="82">
        <v>9481</v>
      </c>
      <c r="F390" s="82">
        <v>930</v>
      </c>
      <c r="G390" s="82">
        <v>758</v>
      </c>
      <c r="H390" s="84">
        <v>66.400000000000006</v>
      </c>
      <c r="I390" s="84">
        <v>38617</v>
      </c>
      <c r="J390" s="84">
        <v>62.6</v>
      </c>
    </row>
    <row r="391" spans="1:10" ht="16">
      <c r="A391" s="79" t="s">
        <v>1022</v>
      </c>
      <c r="B391" s="79" t="s">
        <v>1007</v>
      </c>
      <c r="C391" s="80" t="s">
        <v>126</v>
      </c>
      <c r="D391" s="81" t="s">
        <v>101</v>
      </c>
      <c r="E391" s="82">
        <v>22965</v>
      </c>
      <c r="F391" s="82">
        <v>1435</v>
      </c>
      <c r="G391" s="82">
        <v>5052</v>
      </c>
      <c r="H391" s="84">
        <v>50.2</v>
      </c>
      <c r="I391" s="84">
        <v>32385</v>
      </c>
      <c r="J391" s="84">
        <v>48.4</v>
      </c>
    </row>
    <row r="392" spans="1:10" ht="16">
      <c r="A392" s="79" t="s">
        <v>1084</v>
      </c>
      <c r="B392" s="79" t="s">
        <v>1081</v>
      </c>
      <c r="C392" s="80" t="s">
        <v>126</v>
      </c>
      <c r="D392" s="81" t="s">
        <v>78</v>
      </c>
      <c r="E392" s="82">
        <v>12659</v>
      </c>
      <c r="F392" s="82">
        <v>806</v>
      </c>
      <c r="G392" s="82">
        <v>2532</v>
      </c>
      <c r="H392" s="84">
        <v>42.7</v>
      </c>
      <c r="I392" s="84">
        <v>26647</v>
      </c>
      <c r="J392" s="84">
        <v>40.5</v>
      </c>
    </row>
    <row r="393" spans="1:10" ht="16">
      <c r="A393" s="79" t="s">
        <v>165</v>
      </c>
      <c r="B393" s="79" t="s">
        <v>163</v>
      </c>
      <c r="C393" s="80" t="s">
        <v>126</v>
      </c>
      <c r="D393" s="81" t="s">
        <v>99</v>
      </c>
      <c r="E393" s="82">
        <v>45049</v>
      </c>
      <c r="F393" s="82">
        <v>1241</v>
      </c>
      <c r="G393" s="82">
        <v>6757</v>
      </c>
      <c r="H393" s="84">
        <v>73.900000000000006</v>
      </c>
      <c r="I393" s="84">
        <v>63102</v>
      </c>
      <c r="J393" s="84">
        <v>58.7</v>
      </c>
    </row>
    <row r="394" spans="1:10" ht="16">
      <c r="A394" s="79" t="s">
        <v>694</v>
      </c>
      <c r="B394" s="79" t="s">
        <v>661</v>
      </c>
      <c r="C394" s="80" t="s">
        <v>126</v>
      </c>
      <c r="D394" s="81" t="s">
        <v>76</v>
      </c>
      <c r="E394" s="82">
        <v>10032</v>
      </c>
      <c r="F394" s="82">
        <v>1320</v>
      </c>
      <c r="G394" s="82">
        <v>702</v>
      </c>
      <c r="H394" s="84">
        <v>14.1</v>
      </c>
      <c r="I394" s="84">
        <v>3291</v>
      </c>
      <c r="J394" s="84">
        <v>26</v>
      </c>
    </row>
    <row r="395" spans="1:10" ht="16">
      <c r="A395" s="79" t="s">
        <v>695</v>
      </c>
      <c r="B395" s="79" t="s">
        <v>661</v>
      </c>
      <c r="C395" s="80" t="s">
        <v>126</v>
      </c>
      <c r="D395" s="81" t="s">
        <v>149</v>
      </c>
      <c r="E395" s="82">
        <v>4850</v>
      </c>
      <c r="F395" s="82">
        <v>664</v>
      </c>
      <c r="G395" s="82">
        <v>97</v>
      </c>
      <c r="H395" s="84">
        <v>10.1</v>
      </c>
      <c r="I395" s="84">
        <v>5550</v>
      </c>
      <c r="J395" s="84">
        <v>21.5</v>
      </c>
    </row>
    <row r="396" spans="1:10" ht="16">
      <c r="A396" s="79" t="s">
        <v>782</v>
      </c>
      <c r="B396" s="79" t="s">
        <v>783</v>
      </c>
      <c r="C396" s="80" t="s">
        <v>95</v>
      </c>
      <c r="D396" s="81" t="s">
        <v>79</v>
      </c>
      <c r="E396" s="82">
        <v>36551</v>
      </c>
      <c r="F396" s="82">
        <v>1549</v>
      </c>
      <c r="G396" s="82">
        <v>5483</v>
      </c>
      <c r="H396" s="84">
        <v>9.9</v>
      </c>
      <c r="I396" s="84">
        <v>3151</v>
      </c>
      <c r="J396" s="84">
        <v>19.100000000000001</v>
      </c>
    </row>
    <row r="397" spans="1:10" ht="16">
      <c r="A397" s="79" t="s">
        <v>696</v>
      </c>
      <c r="B397" s="79" t="s">
        <v>661</v>
      </c>
      <c r="C397" s="80" t="s">
        <v>126</v>
      </c>
      <c r="D397" s="81" t="s">
        <v>103</v>
      </c>
      <c r="E397" s="82">
        <v>24766</v>
      </c>
      <c r="F397" s="82">
        <v>1041</v>
      </c>
      <c r="G397" s="82">
        <v>743</v>
      </c>
      <c r="H397" s="84">
        <v>9</v>
      </c>
      <c r="I397" s="84">
        <v>1210</v>
      </c>
      <c r="J397" s="84">
        <v>15.4</v>
      </c>
    </row>
    <row r="398" spans="1:10" ht="16">
      <c r="A398" s="79" t="s">
        <v>697</v>
      </c>
      <c r="B398" s="79" t="s">
        <v>661</v>
      </c>
      <c r="C398" s="80" t="s">
        <v>126</v>
      </c>
      <c r="D398" s="81" t="s">
        <v>75</v>
      </c>
      <c r="E398" s="82">
        <v>3989</v>
      </c>
      <c r="F398" s="82">
        <v>307</v>
      </c>
      <c r="G398" s="82">
        <v>199</v>
      </c>
      <c r="H398" s="84">
        <v>15.9</v>
      </c>
      <c r="I398" s="84">
        <v>1644</v>
      </c>
      <c r="J398" s="84">
        <v>21.5</v>
      </c>
    </row>
    <row r="399" spans="1:10" ht="16">
      <c r="A399" s="79" t="s">
        <v>698</v>
      </c>
      <c r="B399" s="79" t="s">
        <v>661</v>
      </c>
      <c r="C399" s="80" t="s">
        <v>126</v>
      </c>
      <c r="D399" s="81" t="s">
        <v>96</v>
      </c>
      <c r="E399" s="82">
        <v>1330</v>
      </c>
      <c r="F399" s="82">
        <v>391</v>
      </c>
      <c r="G399" s="82">
        <v>13</v>
      </c>
      <c r="H399" s="84">
        <v>13.3</v>
      </c>
      <c r="I399" s="84">
        <v>4515</v>
      </c>
      <c r="J399" s="84">
        <v>32.6</v>
      </c>
    </row>
    <row r="400" spans="1:10" ht="16">
      <c r="A400" s="79" t="s">
        <v>699</v>
      </c>
      <c r="B400" s="79" t="s">
        <v>661</v>
      </c>
      <c r="C400" s="80" t="s">
        <v>126</v>
      </c>
      <c r="D400" s="81" t="s">
        <v>78</v>
      </c>
      <c r="E400" s="82">
        <v>22566</v>
      </c>
      <c r="F400" s="82">
        <v>2507</v>
      </c>
      <c r="G400" s="82">
        <v>2031</v>
      </c>
      <c r="H400" s="84">
        <v>78.099999999999994</v>
      </c>
      <c r="I400" s="84">
        <v>46829</v>
      </c>
      <c r="J400" s="84">
        <v>73.7</v>
      </c>
    </row>
    <row r="401" spans="1:10" ht="16">
      <c r="A401" s="79" t="s">
        <v>1023</v>
      </c>
      <c r="B401" s="79" t="s">
        <v>1007</v>
      </c>
      <c r="C401" s="80" t="s">
        <v>95</v>
      </c>
      <c r="D401" s="81" t="s">
        <v>103</v>
      </c>
      <c r="E401" s="82">
        <v>22102</v>
      </c>
      <c r="F401" s="82">
        <v>1278</v>
      </c>
      <c r="G401" s="82">
        <v>4862</v>
      </c>
      <c r="H401" s="84">
        <v>40.5</v>
      </c>
      <c r="I401" s="84">
        <v>22885</v>
      </c>
      <c r="J401" s="84">
        <v>33.799999999999997</v>
      </c>
    </row>
    <row r="402" spans="1:10" ht="16">
      <c r="A402" s="79" t="s">
        <v>1024</v>
      </c>
      <c r="B402" s="79" t="s">
        <v>1007</v>
      </c>
      <c r="C402" s="80" t="s">
        <v>126</v>
      </c>
      <c r="D402" s="81" t="s">
        <v>99</v>
      </c>
      <c r="E402" s="82">
        <v>24155</v>
      </c>
      <c r="F402" s="82">
        <v>1028</v>
      </c>
      <c r="G402" s="82">
        <v>1449</v>
      </c>
      <c r="H402" s="84">
        <v>28</v>
      </c>
      <c r="I402" s="84">
        <v>7019</v>
      </c>
      <c r="J402" s="84">
        <v>24.5</v>
      </c>
    </row>
    <row r="403" spans="1:10" ht="16">
      <c r="A403" s="79" t="s">
        <v>700</v>
      </c>
      <c r="B403" s="79" t="s">
        <v>661</v>
      </c>
      <c r="C403" s="80" t="s">
        <v>126</v>
      </c>
      <c r="D403" s="81" t="s">
        <v>76</v>
      </c>
      <c r="E403" s="82">
        <v>5653</v>
      </c>
      <c r="F403" s="82">
        <v>349</v>
      </c>
      <c r="G403" s="82">
        <v>226</v>
      </c>
      <c r="H403" s="84">
        <v>12.4</v>
      </c>
      <c r="I403" s="84">
        <v>3853</v>
      </c>
      <c r="J403" s="84">
        <v>18.7</v>
      </c>
    </row>
    <row r="404" spans="1:10" ht="16">
      <c r="A404" s="79" t="s">
        <v>701</v>
      </c>
      <c r="B404" s="79" t="s">
        <v>661</v>
      </c>
      <c r="C404" s="80" t="s">
        <v>126</v>
      </c>
      <c r="D404" s="81" t="s">
        <v>101</v>
      </c>
      <c r="E404" s="82">
        <v>18643</v>
      </c>
      <c r="F404" s="82">
        <v>2119</v>
      </c>
      <c r="G404" s="82">
        <v>2424</v>
      </c>
      <c r="H404" s="84">
        <v>39.200000000000003</v>
      </c>
      <c r="I404" s="84">
        <v>13448</v>
      </c>
      <c r="J404" s="84">
        <v>44.2</v>
      </c>
    </row>
    <row r="405" spans="1:10" ht="16">
      <c r="A405" s="79" t="s">
        <v>779</v>
      </c>
      <c r="B405" s="79" t="s">
        <v>778</v>
      </c>
      <c r="C405" s="80" t="s">
        <v>126</v>
      </c>
      <c r="D405" s="81" t="s">
        <v>96</v>
      </c>
      <c r="E405" s="82">
        <v>17205</v>
      </c>
      <c r="F405" s="82">
        <v>3246</v>
      </c>
      <c r="G405" s="82">
        <v>688</v>
      </c>
      <c r="H405" s="84">
        <v>7.5</v>
      </c>
      <c r="I405" s="84">
        <v>1257</v>
      </c>
      <c r="J405" s="84">
        <v>21.6</v>
      </c>
    </row>
    <row r="406" spans="1:10" ht="16">
      <c r="A406" s="79" t="s">
        <v>120</v>
      </c>
      <c r="B406" s="79" t="s">
        <v>108</v>
      </c>
      <c r="C406" s="80" t="s">
        <v>95</v>
      </c>
      <c r="D406" s="81" t="s">
        <v>103</v>
      </c>
      <c r="E406" s="82">
        <v>22292</v>
      </c>
      <c r="F406" s="82">
        <v>658</v>
      </c>
      <c r="G406" s="82">
        <v>6465</v>
      </c>
      <c r="H406" s="84">
        <v>33.1</v>
      </c>
      <c r="I406" s="84">
        <v>24272</v>
      </c>
      <c r="J406" s="84">
        <v>27.1</v>
      </c>
    </row>
    <row r="407" spans="1:10" ht="16">
      <c r="A407" s="79" t="s">
        <v>881</v>
      </c>
      <c r="B407" s="79" t="s">
        <v>877</v>
      </c>
      <c r="C407" s="80" t="s">
        <v>126</v>
      </c>
      <c r="D407" s="81" t="s">
        <v>111</v>
      </c>
      <c r="E407" s="82">
        <v>3859</v>
      </c>
      <c r="F407" s="82">
        <v>264</v>
      </c>
      <c r="G407" s="82">
        <v>39</v>
      </c>
      <c r="H407" s="84">
        <v>12.7</v>
      </c>
      <c r="I407" s="84">
        <v>4332</v>
      </c>
      <c r="J407" s="84">
        <v>19.5</v>
      </c>
    </row>
    <row r="408" spans="1:10" ht="16">
      <c r="A408" s="79" t="s">
        <v>206</v>
      </c>
      <c r="B408" s="79" t="s">
        <v>203</v>
      </c>
      <c r="C408" s="80" t="s">
        <v>95</v>
      </c>
      <c r="D408" s="81" t="s">
        <v>76</v>
      </c>
      <c r="E408" s="82">
        <v>8050</v>
      </c>
      <c r="F408" s="82">
        <v>329</v>
      </c>
      <c r="G408" s="82">
        <v>1047</v>
      </c>
      <c r="H408" s="84">
        <v>19.5</v>
      </c>
      <c r="I408" s="84">
        <v>9167</v>
      </c>
      <c r="J408" s="84">
        <v>17.600000000000001</v>
      </c>
    </row>
    <row r="409" spans="1:10" ht="16">
      <c r="A409" s="79" t="s">
        <v>1233</v>
      </c>
      <c r="B409" s="79" t="s">
        <v>1209</v>
      </c>
      <c r="C409" s="80" t="s">
        <v>95</v>
      </c>
      <c r="D409" s="81" t="s">
        <v>76</v>
      </c>
      <c r="E409" s="82">
        <v>12657</v>
      </c>
      <c r="F409" s="82">
        <v>1013</v>
      </c>
      <c r="G409" s="82">
        <v>4810</v>
      </c>
      <c r="H409" s="84">
        <v>39.4</v>
      </c>
      <c r="I409" s="84">
        <v>36457</v>
      </c>
      <c r="J409" s="84">
        <v>34.700000000000003</v>
      </c>
    </row>
    <row r="410" spans="1:10" ht="16">
      <c r="A410" s="79" t="s">
        <v>389</v>
      </c>
      <c r="B410" s="79" t="s">
        <v>388</v>
      </c>
      <c r="C410" s="80" t="s">
        <v>126</v>
      </c>
      <c r="D410" s="81" t="s">
        <v>78</v>
      </c>
      <c r="E410" s="82">
        <v>3851</v>
      </c>
      <c r="F410" s="82">
        <v>137</v>
      </c>
      <c r="G410" s="82">
        <v>732</v>
      </c>
      <c r="H410" s="84">
        <v>30.1</v>
      </c>
      <c r="I410" s="84">
        <v>13001</v>
      </c>
      <c r="J410" s="84">
        <v>28.3</v>
      </c>
    </row>
    <row r="411" spans="1:10" ht="16">
      <c r="A411" s="79" t="s">
        <v>784</v>
      </c>
      <c r="B411" s="79" t="s">
        <v>785</v>
      </c>
      <c r="C411" s="80" t="s">
        <v>126</v>
      </c>
      <c r="D411" s="81" t="s">
        <v>149</v>
      </c>
      <c r="E411" s="82">
        <v>4216</v>
      </c>
      <c r="F411" s="82">
        <v>114</v>
      </c>
      <c r="G411" s="82">
        <v>42</v>
      </c>
      <c r="H411" s="84">
        <v>17.600000000000001</v>
      </c>
      <c r="I411" s="84">
        <v>919</v>
      </c>
      <c r="J411" s="84">
        <v>17.399999999999999</v>
      </c>
    </row>
    <row r="412" spans="1:10" ht="16">
      <c r="A412" s="79" t="s">
        <v>207</v>
      </c>
      <c r="B412" s="79" t="s">
        <v>203</v>
      </c>
      <c r="C412" s="80" t="s">
        <v>95</v>
      </c>
      <c r="D412" s="81" t="s">
        <v>76</v>
      </c>
      <c r="E412" s="82">
        <v>29250</v>
      </c>
      <c r="F412" s="82">
        <v>1691</v>
      </c>
      <c r="G412" s="82">
        <v>3803</v>
      </c>
      <c r="H412" s="84">
        <v>31.8</v>
      </c>
      <c r="I412" s="84">
        <v>21508</v>
      </c>
      <c r="J412" s="84">
        <v>40.1</v>
      </c>
    </row>
    <row r="413" spans="1:10" ht="16">
      <c r="A413" s="79" t="s">
        <v>790</v>
      </c>
      <c r="B413" s="79" t="s">
        <v>789</v>
      </c>
      <c r="C413" s="80" t="s">
        <v>126</v>
      </c>
      <c r="D413" s="81" t="s">
        <v>79</v>
      </c>
      <c r="E413" s="82">
        <v>7866</v>
      </c>
      <c r="F413" s="82">
        <v>587</v>
      </c>
      <c r="G413" s="82">
        <v>1416</v>
      </c>
      <c r="H413" s="84">
        <v>10.1</v>
      </c>
      <c r="I413" s="84">
        <v>2542</v>
      </c>
      <c r="J413" s="84">
        <v>30.5</v>
      </c>
    </row>
    <row r="414" spans="1:10" ht="16">
      <c r="A414" s="79" t="s">
        <v>1234</v>
      </c>
      <c r="B414" s="79" t="s">
        <v>1209</v>
      </c>
      <c r="C414" s="80" t="s">
        <v>95</v>
      </c>
      <c r="D414" s="81" t="s">
        <v>103</v>
      </c>
      <c r="E414" s="82">
        <v>19726</v>
      </c>
      <c r="F414" s="82">
        <v>1012</v>
      </c>
      <c r="G414" s="82">
        <v>2367</v>
      </c>
      <c r="H414" s="84">
        <v>13.9</v>
      </c>
      <c r="I414" s="84">
        <v>5512</v>
      </c>
      <c r="J414" s="84">
        <v>16.600000000000001</v>
      </c>
    </row>
    <row r="415" spans="1:10" ht="16">
      <c r="A415" s="79" t="s">
        <v>1349</v>
      </c>
      <c r="B415" s="79" t="s">
        <v>1307</v>
      </c>
      <c r="C415" s="80" t="s">
        <v>126</v>
      </c>
      <c r="D415" s="81" t="s">
        <v>101</v>
      </c>
      <c r="E415" s="82">
        <v>6462</v>
      </c>
      <c r="F415" s="82">
        <v>598</v>
      </c>
      <c r="G415" s="82">
        <v>1099</v>
      </c>
      <c r="H415" s="84">
        <v>20.8</v>
      </c>
      <c r="I415" s="84">
        <v>10611</v>
      </c>
      <c r="J415" s="84">
        <v>27.4</v>
      </c>
    </row>
    <row r="416" spans="1:10" ht="16">
      <c r="A416" s="79" t="s">
        <v>433</v>
      </c>
      <c r="B416" s="79" t="s">
        <v>421</v>
      </c>
      <c r="C416" s="80" t="s">
        <v>126</v>
      </c>
      <c r="D416" s="81" t="s">
        <v>77</v>
      </c>
      <c r="E416" s="82">
        <v>27625</v>
      </c>
      <c r="F416" s="82">
        <v>512</v>
      </c>
      <c r="G416" s="82">
        <v>3868</v>
      </c>
      <c r="H416" s="84">
        <v>29.9</v>
      </c>
      <c r="I416" s="84">
        <v>13814</v>
      </c>
      <c r="J416" s="84">
        <v>36.799999999999997</v>
      </c>
    </row>
    <row r="417" spans="1:10" ht="16">
      <c r="A417" s="79" t="s">
        <v>842</v>
      </c>
      <c r="B417" s="79" t="s">
        <v>839</v>
      </c>
      <c r="C417" s="80" t="s">
        <v>95</v>
      </c>
      <c r="D417" s="81" t="s">
        <v>96</v>
      </c>
      <c r="E417" s="82">
        <v>28741</v>
      </c>
      <c r="F417" s="82">
        <v>1537</v>
      </c>
      <c r="G417" s="82">
        <v>4599</v>
      </c>
      <c r="H417" s="84">
        <v>65</v>
      </c>
      <c r="I417" s="84">
        <v>54077</v>
      </c>
      <c r="J417" s="84">
        <v>48.3</v>
      </c>
    </row>
    <row r="418" spans="1:10" ht="16">
      <c r="A418" s="79" t="s">
        <v>854</v>
      </c>
      <c r="B418" s="79" t="s">
        <v>853</v>
      </c>
      <c r="C418" s="80" t="s">
        <v>126</v>
      </c>
      <c r="D418" s="81" t="s">
        <v>99</v>
      </c>
      <c r="E418" s="82">
        <v>2476</v>
      </c>
      <c r="F418" s="82">
        <v>183</v>
      </c>
      <c r="G418" s="82">
        <v>966</v>
      </c>
      <c r="H418" s="84">
        <v>19.899999999999999</v>
      </c>
      <c r="I418" s="84">
        <v>9562</v>
      </c>
      <c r="J418" s="84">
        <v>24.4</v>
      </c>
    </row>
    <row r="419" spans="1:10" ht="16">
      <c r="A419" s="79" t="s">
        <v>1235</v>
      </c>
      <c r="B419" s="79" t="s">
        <v>1209</v>
      </c>
      <c r="C419" s="80" t="s">
        <v>95</v>
      </c>
      <c r="D419" s="81" t="s">
        <v>101</v>
      </c>
      <c r="E419" s="82">
        <v>19461</v>
      </c>
      <c r="F419" s="82">
        <v>1118</v>
      </c>
      <c r="G419" s="82">
        <v>2725</v>
      </c>
      <c r="H419" s="84">
        <v>17.5</v>
      </c>
      <c r="I419" s="84">
        <v>13688</v>
      </c>
      <c r="J419" s="84">
        <v>17.7</v>
      </c>
    </row>
    <row r="420" spans="1:10" ht="16">
      <c r="A420" s="79" t="s">
        <v>434</v>
      </c>
      <c r="B420" s="79" t="s">
        <v>421</v>
      </c>
      <c r="C420" s="80" t="s">
        <v>95</v>
      </c>
      <c r="D420" s="81" t="s">
        <v>103</v>
      </c>
      <c r="E420" s="82">
        <v>34519</v>
      </c>
      <c r="F420" s="82">
        <v>995</v>
      </c>
      <c r="G420" s="82">
        <v>5868</v>
      </c>
      <c r="H420" s="84">
        <v>77</v>
      </c>
      <c r="I420" s="84">
        <v>68455</v>
      </c>
      <c r="J420" s="84">
        <v>68.400000000000006</v>
      </c>
    </row>
    <row r="421" spans="1:10" ht="16">
      <c r="A421" s="79" t="s">
        <v>947</v>
      </c>
      <c r="B421" s="79" t="s">
        <v>938</v>
      </c>
      <c r="C421" s="80" t="s">
        <v>95</v>
      </c>
      <c r="D421" s="81" t="s">
        <v>77</v>
      </c>
      <c r="E421" s="82">
        <v>18077</v>
      </c>
      <c r="F421" s="82">
        <v>2288</v>
      </c>
      <c r="G421" s="82">
        <v>1265</v>
      </c>
      <c r="H421" s="84">
        <v>11.6</v>
      </c>
      <c r="I421" s="84">
        <v>1446</v>
      </c>
      <c r="J421" s="84">
        <v>25.6</v>
      </c>
    </row>
    <row r="422" spans="1:10" ht="16">
      <c r="A422" s="79" t="s">
        <v>902</v>
      </c>
      <c r="B422" s="79" t="s">
        <v>898</v>
      </c>
      <c r="C422" s="80" t="s">
        <v>126</v>
      </c>
      <c r="D422" s="81" t="s">
        <v>101</v>
      </c>
      <c r="E422" s="82">
        <v>16372</v>
      </c>
      <c r="F422" s="82">
        <v>1259</v>
      </c>
      <c r="G422" s="82">
        <v>655</v>
      </c>
      <c r="H422" s="84">
        <v>11.1</v>
      </c>
      <c r="I422" s="84">
        <v>2003</v>
      </c>
      <c r="J422" s="84">
        <v>16.3</v>
      </c>
    </row>
    <row r="423" spans="1:10" ht="16">
      <c r="A423" s="79" t="s">
        <v>948</v>
      </c>
      <c r="B423" s="79" t="s">
        <v>938</v>
      </c>
      <c r="C423" s="80" t="s">
        <v>126</v>
      </c>
      <c r="D423" s="81" t="s">
        <v>76</v>
      </c>
      <c r="E423" s="82">
        <v>29235</v>
      </c>
      <c r="F423" s="82">
        <v>4005</v>
      </c>
      <c r="G423" s="82">
        <v>8478</v>
      </c>
      <c r="H423" s="84">
        <v>63</v>
      </c>
      <c r="I423" s="84">
        <v>9840</v>
      </c>
      <c r="J423" s="84">
        <v>78.2</v>
      </c>
    </row>
    <row r="424" spans="1:10" ht="16">
      <c r="A424" s="79" t="s">
        <v>1236</v>
      </c>
      <c r="B424" s="79" t="s">
        <v>1209</v>
      </c>
      <c r="C424" s="80" t="s">
        <v>95</v>
      </c>
      <c r="D424" s="81" t="s">
        <v>103</v>
      </c>
      <c r="E424" s="82">
        <v>10570</v>
      </c>
      <c r="F424" s="82">
        <v>874</v>
      </c>
      <c r="G424" s="82">
        <v>7505</v>
      </c>
      <c r="H424" s="84">
        <v>83</v>
      </c>
      <c r="I424" s="84">
        <v>77081</v>
      </c>
      <c r="J424" s="84">
        <v>69</v>
      </c>
    </row>
    <row r="425" spans="1:10" ht="16">
      <c r="A425" s="79" t="s">
        <v>1237</v>
      </c>
      <c r="B425" s="79" t="s">
        <v>1209</v>
      </c>
      <c r="C425" s="80" t="s">
        <v>95</v>
      </c>
      <c r="D425" s="81" t="s">
        <v>79</v>
      </c>
      <c r="E425" s="82">
        <v>12168</v>
      </c>
      <c r="F425" s="82">
        <v>737</v>
      </c>
      <c r="G425" s="82">
        <v>4015</v>
      </c>
      <c r="H425" s="84">
        <v>10.4</v>
      </c>
      <c r="I425" s="84">
        <v>1887</v>
      </c>
      <c r="J425" s="84">
        <v>15.4</v>
      </c>
    </row>
    <row r="426" spans="1:10" ht="16">
      <c r="A426" s="79" t="s">
        <v>186</v>
      </c>
      <c r="B426" s="79" t="s">
        <v>169</v>
      </c>
      <c r="C426" s="80" t="s">
        <v>95</v>
      </c>
      <c r="D426" s="81" t="s">
        <v>78</v>
      </c>
      <c r="E426" s="82">
        <v>26685</v>
      </c>
      <c r="F426" s="82">
        <v>1744</v>
      </c>
      <c r="G426" s="82">
        <v>267</v>
      </c>
      <c r="H426" s="84">
        <v>13.3</v>
      </c>
      <c r="I426" s="84">
        <v>2172</v>
      </c>
      <c r="J426" s="84">
        <v>21.4</v>
      </c>
    </row>
    <row r="427" spans="1:10" ht="16">
      <c r="A427" s="79" t="s">
        <v>1238</v>
      </c>
      <c r="B427" s="79" t="s">
        <v>1209</v>
      </c>
      <c r="C427" s="80" t="s">
        <v>126</v>
      </c>
      <c r="D427" s="81" t="s">
        <v>76</v>
      </c>
      <c r="E427" s="82">
        <v>14749</v>
      </c>
      <c r="F427" s="82">
        <v>1031</v>
      </c>
      <c r="G427" s="82">
        <v>3687</v>
      </c>
      <c r="H427" s="84">
        <v>34.299999999999997</v>
      </c>
      <c r="I427" s="84">
        <v>18194</v>
      </c>
      <c r="J427" s="84">
        <v>33.799999999999997</v>
      </c>
    </row>
    <row r="428" spans="1:10" ht="16">
      <c r="A428" s="79" t="s">
        <v>1350</v>
      </c>
      <c r="B428" s="79" t="s">
        <v>1307</v>
      </c>
      <c r="C428" s="80" t="s">
        <v>95</v>
      </c>
      <c r="D428" s="81" t="s">
        <v>103</v>
      </c>
      <c r="E428" s="82">
        <v>29169</v>
      </c>
      <c r="F428" s="82">
        <v>1409</v>
      </c>
      <c r="G428" s="82">
        <v>1750</v>
      </c>
      <c r="H428" s="84">
        <v>26.3</v>
      </c>
      <c r="I428" s="84">
        <v>14569</v>
      </c>
      <c r="J428" s="84">
        <v>34.5</v>
      </c>
    </row>
    <row r="429" spans="1:10" ht="16">
      <c r="A429" s="79" t="s">
        <v>1351</v>
      </c>
      <c r="B429" s="79" t="s">
        <v>1307</v>
      </c>
      <c r="C429" s="80" t="s">
        <v>126</v>
      </c>
      <c r="D429" s="81" t="s">
        <v>103</v>
      </c>
      <c r="E429" s="82">
        <v>11210</v>
      </c>
      <c r="F429" s="82">
        <v>496</v>
      </c>
      <c r="G429" s="82">
        <v>448</v>
      </c>
      <c r="H429" s="84">
        <v>9.6999999999999993</v>
      </c>
      <c r="I429" s="84">
        <v>4279</v>
      </c>
      <c r="J429" s="84">
        <v>17.3</v>
      </c>
    </row>
    <row r="430" spans="1:10" ht="16">
      <c r="A430" s="79" t="s">
        <v>1085</v>
      </c>
      <c r="B430" s="79" t="s">
        <v>1081</v>
      </c>
      <c r="C430" s="80" t="s">
        <v>95</v>
      </c>
      <c r="D430" s="81" t="s">
        <v>77</v>
      </c>
      <c r="E430" s="82">
        <v>27266</v>
      </c>
      <c r="F430" s="82">
        <v>2253</v>
      </c>
      <c r="G430" s="82">
        <v>5181</v>
      </c>
      <c r="H430" s="84">
        <v>54.3</v>
      </c>
      <c r="I430" s="84">
        <v>46868</v>
      </c>
      <c r="J430" s="84">
        <v>40.700000000000003</v>
      </c>
    </row>
    <row r="431" spans="1:10" ht="16">
      <c r="A431" s="79" t="s">
        <v>1198</v>
      </c>
      <c r="B431" s="79" t="s">
        <v>1197</v>
      </c>
      <c r="C431" s="80" t="s">
        <v>126</v>
      </c>
      <c r="D431" s="81" t="s">
        <v>79</v>
      </c>
      <c r="E431" s="82">
        <v>21560</v>
      </c>
      <c r="F431" s="82">
        <v>2053</v>
      </c>
      <c r="G431" s="82">
        <v>216</v>
      </c>
      <c r="H431" s="84">
        <v>8.6999999999999993</v>
      </c>
      <c r="I431" s="84">
        <v>4346</v>
      </c>
      <c r="J431" s="84">
        <v>17.899999999999999</v>
      </c>
    </row>
    <row r="432" spans="1:10" ht="16">
      <c r="A432" s="79" t="s">
        <v>843</v>
      </c>
      <c r="B432" s="79" t="s">
        <v>839</v>
      </c>
      <c r="C432" s="80" t="s">
        <v>95</v>
      </c>
      <c r="D432" s="81" t="s">
        <v>103</v>
      </c>
      <c r="E432" s="82">
        <v>16857</v>
      </c>
      <c r="F432" s="82">
        <v>906</v>
      </c>
      <c r="G432" s="82">
        <v>9103</v>
      </c>
      <c r="H432" s="84">
        <v>48.3</v>
      </c>
      <c r="I432" s="84">
        <v>37247</v>
      </c>
      <c r="J432" s="84">
        <v>40.200000000000003</v>
      </c>
    </row>
    <row r="433" spans="1:10" ht="16">
      <c r="A433" s="79" t="s">
        <v>797</v>
      </c>
      <c r="B433" s="79" t="s">
        <v>798</v>
      </c>
      <c r="C433" s="80" t="s">
        <v>95</v>
      </c>
      <c r="D433" s="81" t="s">
        <v>96</v>
      </c>
      <c r="E433" s="82">
        <v>9924</v>
      </c>
      <c r="F433" s="82">
        <v>407</v>
      </c>
      <c r="G433" s="82">
        <v>7840</v>
      </c>
      <c r="H433" s="84">
        <v>22.4</v>
      </c>
      <c r="I433" s="84">
        <v>18636</v>
      </c>
      <c r="J433" s="84">
        <v>27.1</v>
      </c>
    </row>
    <row r="434" spans="1:10" ht="16">
      <c r="A434" s="79" t="s">
        <v>121</v>
      </c>
      <c r="B434" s="79" t="s">
        <v>108</v>
      </c>
      <c r="C434" s="80" t="s">
        <v>95</v>
      </c>
      <c r="D434" s="81" t="s">
        <v>79</v>
      </c>
      <c r="E434" s="82">
        <v>30234</v>
      </c>
      <c r="F434" s="82">
        <v>441</v>
      </c>
      <c r="G434" s="82">
        <v>8768</v>
      </c>
      <c r="H434" s="84">
        <v>42.6</v>
      </c>
      <c r="I434" s="84">
        <v>30616</v>
      </c>
      <c r="J434" s="84">
        <v>37.799999999999997</v>
      </c>
    </row>
    <row r="435" spans="1:10" ht="16">
      <c r="A435" s="79" t="s">
        <v>1144</v>
      </c>
      <c r="B435" s="79" t="s">
        <v>1139</v>
      </c>
      <c r="C435" s="80" t="s">
        <v>95</v>
      </c>
      <c r="D435" s="81" t="s">
        <v>103</v>
      </c>
      <c r="E435" s="82">
        <v>13534</v>
      </c>
      <c r="F435" s="82">
        <v>607</v>
      </c>
      <c r="G435" s="82">
        <v>541</v>
      </c>
      <c r="H435" s="84">
        <v>9</v>
      </c>
      <c r="I435" s="84">
        <v>6720</v>
      </c>
      <c r="J435" s="84">
        <v>14.4</v>
      </c>
    </row>
    <row r="436" spans="1:10" ht="16">
      <c r="A436" s="79" t="s">
        <v>528</v>
      </c>
      <c r="B436" s="79" t="s">
        <v>493</v>
      </c>
      <c r="C436" s="80" t="s">
        <v>95</v>
      </c>
      <c r="D436" s="81" t="s">
        <v>103</v>
      </c>
      <c r="E436" s="82">
        <v>39252</v>
      </c>
      <c r="F436" s="82">
        <v>1443</v>
      </c>
      <c r="G436" s="82">
        <v>879</v>
      </c>
      <c r="H436" s="84">
        <v>9.3000000000000007</v>
      </c>
      <c r="I436" s="84">
        <v>1607</v>
      </c>
      <c r="J436" s="84">
        <v>14.1</v>
      </c>
    </row>
    <row r="437" spans="1:10" ht="16">
      <c r="A437" s="79" t="s">
        <v>1145</v>
      </c>
      <c r="B437" s="79" t="s">
        <v>1139</v>
      </c>
      <c r="C437" s="80" t="s">
        <v>95</v>
      </c>
      <c r="D437" s="81" t="s">
        <v>101</v>
      </c>
      <c r="E437" s="82">
        <v>38192</v>
      </c>
      <c r="F437" s="82">
        <v>1303</v>
      </c>
      <c r="G437" s="82">
        <v>3626</v>
      </c>
      <c r="H437" s="84">
        <v>8</v>
      </c>
      <c r="I437" s="84">
        <v>883</v>
      </c>
      <c r="J437" s="84">
        <v>18.5</v>
      </c>
    </row>
    <row r="438" spans="1:10" ht="16">
      <c r="A438" s="79" t="s">
        <v>1146</v>
      </c>
      <c r="B438" s="79" t="s">
        <v>1139</v>
      </c>
      <c r="C438" s="80" t="s">
        <v>126</v>
      </c>
      <c r="D438" s="81" t="s">
        <v>79</v>
      </c>
      <c r="E438" s="82">
        <v>28476</v>
      </c>
      <c r="F438" s="82">
        <v>2792</v>
      </c>
      <c r="G438" s="82">
        <v>1139</v>
      </c>
      <c r="H438" s="84">
        <v>21</v>
      </c>
      <c r="I438" s="84">
        <v>9510</v>
      </c>
      <c r="J438" s="84">
        <v>31.6</v>
      </c>
    </row>
    <row r="439" spans="1:10" ht="16">
      <c r="A439" s="79" t="s">
        <v>1194</v>
      </c>
      <c r="B439" s="79" t="s">
        <v>1195</v>
      </c>
      <c r="C439" s="80" t="s">
        <v>126</v>
      </c>
      <c r="D439" s="81" t="s">
        <v>99</v>
      </c>
      <c r="E439" s="82">
        <v>34651</v>
      </c>
      <c r="F439" s="82">
        <v>1468</v>
      </c>
      <c r="G439" s="82">
        <v>2772</v>
      </c>
      <c r="H439" s="84">
        <v>12.7</v>
      </c>
      <c r="I439" s="84">
        <v>8869</v>
      </c>
      <c r="J439" s="84">
        <v>16.7</v>
      </c>
    </row>
    <row r="440" spans="1:10" ht="16">
      <c r="A440" s="79" t="s">
        <v>1239</v>
      </c>
      <c r="B440" s="79" t="s">
        <v>1209</v>
      </c>
      <c r="C440" s="80" t="s">
        <v>95</v>
      </c>
      <c r="D440" s="81" t="s">
        <v>77</v>
      </c>
      <c r="E440" s="82">
        <v>28146</v>
      </c>
      <c r="F440" s="82">
        <v>1864</v>
      </c>
      <c r="G440" s="82">
        <v>4503</v>
      </c>
      <c r="H440" s="84">
        <v>14.2</v>
      </c>
      <c r="I440" s="84">
        <v>7902</v>
      </c>
      <c r="J440" s="84">
        <v>20.100000000000001</v>
      </c>
    </row>
    <row r="441" spans="1:10" ht="16">
      <c r="A441" s="79" t="s">
        <v>529</v>
      </c>
      <c r="B441" s="79" t="s">
        <v>493</v>
      </c>
      <c r="C441" s="80" t="s">
        <v>126</v>
      </c>
      <c r="D441" s="81" t="s">
        <v>76</v>
      </c>
      <c r="E441" s="82">
        <v>23082</v>
      </c>
      <c r="F441" s="82">
        <v>2684</v>
      </c>
      <c r="G441" s="82">
        <v>2539</v>
      </c>
      <c r="H441" s="84">
        <v>11.6</v>
      </c>
      <c r="I441" s="84">
        <v>1081</v>
      </c>
      <c r="J441" s="84">
        <v>24.1</v>
      </c>
    </row>
    <row r="442" spans="1:10" ht="16">
      <c r="A442" s="79" t="s">
        <v>375</v>
      </c>
      <c r="B442" s="79" t="s">
        <v>363</v>
      </c>
      <c r="C442" s="80" t="s">
        <v>95</v>
      </c>
      <c r="D442" s="81" t="s">
        <v>99</v>
      </c>
      <c r="E442" s="82">
        <v>140126</v>
      </c>
      <c r="F442" s="82">
        <v>5628</v>
      </c>
      <c r="G442" s="82">
        <v>4204</v>
      </c>
      <c r="H442" s="84">
        <v>9.1999999999999993</v>
      </c>
      <c r="I442" s="84">
        <v>8153</v>
      </c>
      <c r="J442" s="84">
        <v>19.100000000000001</v>
      </c>
    </row>
    <row r="443" spans="1:10" ht="16">
      <c r="A443" s="79" t="s">
        <v>620</v>
      </c>
      <c r="B443" s="79" t="s">
        <v>617</v>
      </c>
      <c r="C443" s="80" t="s">
        <v>126</v>
      </c>
      <c r="D443" s="81" t="s">
        <v>101</v>
      </c>
      <c r="E443" s="82">
        <v>10603</v>
      </c>
      <c r="F443" s="82">
        <v>512</v>
      </c>
      <c r="G443" s="82">
        <v>424</v>
      </c>
      <c r="H443" s="84">
        <v>18.899999999999999</v>
      </c>
      <c r="I443" s="84">
        <v>12453</v>
      </c>
      <c r="J443" s="84">
        <v>22.1</v>
      </c>
    </row>
    <row r="444" spans="1:10" ht="16">
      <c r="A444" s="79" t="s">
        <v>1184</v>
      </c>
      <c r="B444" s="79" t="s">
        <v>1161</v>
      </c>
      <c r="C444" s="80" t="s">
        <v>126</v>
      </c>
      <c r="D444" s="81" t="s">
        <v>101</v>
      </c>
      <c r="E444" s="82">
        <v>59480</v>
      </c>
      <c r="F444" s="82">
        <v>2044</v>
      </c>
      <c r="G444" s="82">
        <v>2379</v>
      </c>
      <c r="H444" s="84">
        <v>8.9</v>
      </c>
      <c r="I444" s="84">
        <v>1736</v>
      </c>
      <c r="J444" s="84">
        <v>21.3</v>
      </c>
    </row>
    <row r="445" spans="1:10" ht="16">
      <c r="A445" s="79" t="s">
        <v>1352</v>
      </c>
      <c r="B445" s="79" t="s">
        <v>1307</v>
      </c>
      <c r="C445" s="80" t="s">
        <v>95</v>
      </c>
      <c r="D445" s="81" t="s">
        <v>79</v>
      </c>
      <c r="E445" s="82">
        <v>10472</v>
      </c>
      <c r="F445" s="82">
        <v>873</v>
      </c>
      <c r="G445" s="82">
        <v>419</v>
      </c>
      <c r="H445" s="84">
        <v>14.4</v>
      </c>
      <c r="I445" s="84">
        <v>4953</v>
      </c>
      <c r="J445" s="84">
        <v>36</v>
      </c>
    </row>
    <row r="446" spans="1:10" ht="16">
      <c r="A446" s="79" t="s">
        <v>345</v>
      </c>
      <c r="B446" s="79" t="s">
        <v>341</v>
      </c>
      <c r="C446" s="80" t="s">
        <v>95</v>
      </c>
      <c r="D446" s="81" t="s">
        <v>76</v>
      </c>
      <c r="E446" s="82">
        <v>31611</v>
      </c>
      <c r="F446" s="82">
        <v>1565</v>
      </c>
      <c r="G446" s="82">
        <v>6638</v>
      </c>
      <c r="H446" s="84">
        <v>25.4</v>
      </c>
      <c r="I446" s="84">
        <v>9244</v>
      </c>
      <c r="J446" s="84">
        <v>22.6</v>
      </c>
    </row>
    <row r="447" spans="1:10" ht="16">
      <c r="A447" s="79" t="s">
        <v>569</v>
      </c>
      <c r="B447" s="79" t="s">
        <v>556</v>
      </c>
      <c r="C447" s="80" t="s">
        <v>95</v>
      </c>
      <c r="D447" s="81" t="s">
        <v>77</v>
      </c>
      <c r="E447" s="82">
        <v>9134</v>
      </c>
      <c r="F447" s="82">
        <v>862</v>
      </c>
      <c r="G447" s="82">
        <v>274</v>
      </c>
      <c r="H447" s="84">
        <v>12.3</v>
      </c>
      <c r="I447" s="84">
        <v>8995</v>
      </c>
      <c r="J447" s="84">
        <v>28.1</v>
      </c>
    </row>
    <row r="448" spans="1:10" ht="16">
      <c r="A448" s="79" t="s">
        <v>1353</v>
      </c>
      <c r="B448" s="79" t="s">
        <v>1307</v>
      </c>
      <c r="C448" s="80" t="s">
        <v>126</v>
      </c>
      <c r="D448" s="81" t="s">
        <v>103</v>
      </c>
      <c r="E448" s="82">
        <v>11247</v>
      </c>
      <c r="F448" s="82">
        <v>1308</v>
      </c>
      <c r="G448" s="82">
        <v>3824</v>
      </c>
      <c r="H448" s="84">
        <v>92.4</v>
      </c>
      <c r="I448" s="84">
        <v>91974</v>
      </c>
      <c r="J448" s="84">
        <v>90.5</v>
      </c>
    </row>
    <row r="449" spans="1:10" ht="16">
      <c r="A449" s="79" t="s">
        <v>855</v>
      </c>
      <c r="B449" s="79" t="s">
        <v>853</v>
      </c>
      <c r="C449" s="80" t="s">
        <v>95</v>
      </c>
      <c r="D449" s="81" t="s">
        <v>77</v>
      </c>
      <c r="E449" s="82">
        <v>18653</v>
      </c>
      <c r="F449" s="82">
        <v>1151</v>
      </c>
      <c r="G449" s="82">
        <v>5782</v>
      </c>
      <c r="H449" s="84">
        <v>18.899999999999999</v>
      </c>
      <c r="I449" s="84">
        <v>9291</v>
      </c>
      <c r="J449" s="84">
        <v>22.9</v>
      </c>
    </row>
    <row r="450" spans="1:10" ht="16">
      <c r="A450" s="79" t="s">
        <v>601</v>
      </c>
      <c r="B450" s="79" t="s">
        <v>600</v>
      </c>
      <c r="C450" s="80" t="s">
        <v>95</v>
      </c>
      <c r="D450" s="81" t="s">
        <v>76</v>
      </c>
      <c r="E450" s="82">
        <v>9291</v>
      </c>
      <c r="F450" s="82">
        <v>328</v>
      </c>
      <c r="G450" s="82">
        <v>1115</v>
      </c>
      <c r="H450" s="84">
        <v>29.8</v>
      </c>
      <c r="I450" s="84">
        <v>24010</v>
      </c>
      <c r="J450" s="84">
        <v>20.3</v>
      </c>
    </row>
    <row r="451" spans="1:10" ht="16">
      <c r="A451" s="79" t="s">
        <v>208</v>
      </c>
      <c r="B451" s="79" t="s">
        <v>203</v>
      </c>
      <c r="C451" s="80" t="s">
        <v>95</v>
      </c>
      <c r="D451" s="81" t="s">
        <v>101</v>
      </c>
      <c r="E451" s="82">
        <v>31294</v>
      </c>
      <c r="F451" s="82">
        <v>2407</v>
      </c>
      <c r="G451" s="82">
        <v>9075</v>
      </c>
      <c r="H451" s="84">
        <v>71.900000000000006</v>
      </c>
      <c r="I451" s="84">
        <v>60974</v>
      </c>
      <c r="J451" s="84">
        <v>65</v>
      </c>
    </row>
    <row r="452" spans="1:10" ht="16">
      <c r="A452" s="79" t="s">
        <v>209</v>
      </c>
      <c r="B452" s="79" t="s">
        <v>203</v>
      </c>
      <c r="C452" s="80" t="s">
        <v>95</v>
      </c>
      <c r="D452" s="81" t="s">
        <v>99</v>
      </c>
      <c r="E452" s="82">
        <v>24412</v>
      </c>
      <c r="F452" s="82">
        <v>869</v>
      </c>
      <c r="G452" s="82">
        <v>4150</v>
      </c>
      <c r="H452" s="84">
        <v>50.1</v>
      </c>
      <c r="I452" s="84">
        <v>47566</v>
      </c>
      <c r="J452" s="84">
        <v>44.5</v>
      </c>
    </row>
    <row r="453" spans="1:10" ht="16">
      <c r="A453" s="79" t="s">
        <v>148</v>
      </c>
      <c r="B453" s="79" t="s">
        <v>146</v>
      </c>
      <c r="C453" s="80" t="s">
        <v>95</v>
      </c>
      <c r="D453" s="81" t="s">
        <v>149</v>
      </c>
      <c r="E453" s="82">
        <v>3352</v>
      </c>
      <c r="F453" s="82">
        <v>308</v>
      </c>
      <c r="G453" s="82">
        <v>804</v>
      </c>
      <c r="H453" s="84">
        <v>25.1</v>
      </c>
      <c r="I453" s="84">
        <v>23081</v>
      </c>
      <c r="J453" s="84">
        <v>30.9</v>
      </c>
    </row>
    <row r="454" spans="1:10" ht="16">
      <c r="A454" s="79" t="s">
        <v>150</v>
      </c>
      <c r="B454" s="79" t="s">
        <v>146</v>
      </c>
      <c r="C454" s="80" t="s">
        <v>95</v>
      </c>
      <c r="D454" s="81" t="s">
        <v>79</v>
      </c>
      <c r="E454" s="82">
        <v>2966</v>
      </c>
      <c r="F454" s="82">
        <v>690</v>
      </c>
      <c r="G454" s="82">
        <v>1305</v>
      </c>
      <c r="H454" s="84">
        <v>14.2</v>
      </c>
      <c r="I454" s="84">
        <v>12725</v>
      </c>
      <c r="J454" s="84">
        <v>30.5</v>
      </c>
    </row>
    <row r="455" spans="1:10" ht="16">
      <c r="A455" s="79" t="s">
        <v>151</v>
      </c>
      <c r="B455" s="79" t="s">
        <v>146</v>
      </c>
      <c r="C455" s="80" t="s">
        <v>95</v>
      </c>
      <c r="D455" s="81" t="s">
        <v>149</v>
      </c>
      <c r="E455" s="82">
        <v>7142</v>
      </c>
      <c r="F455" s="82">
        <v>882</v>
      </c>
      <c r="G455" s="82">
        <v>2143</v>
      </c>
      <c r="H455" s="84">
        <v>23.5</v>
      </c>
      <c r="I455" s="84">
        <v>21264</v>
      </c>
      <c r="J455" s="84">
        <v>33.4</v>
      </c>
    </row>
    <row r="456" spans="1:10" ht="16">
      <c r="A456" s="79" t="s">
        <v>702</v>
      </c>
      <c r="B456" s="79" t="s">
        <v>661</v>
      </c>
      <c r="C456" s="80" t="s">
        <v>126</v>
      </c>
      <c r="D456" s="81" t="s">
        <v>111</v>
      </c>
      <c r="E456" s="82">
        <v>33309</v>
      </c>
      <c r="F456" s="82">
        <v>2847</v>
      </c>
      <c r="G456" s="82">
        <v>1332</v>
      </c>
      <c r="H456" s="84">
        <v>8.6</v>
      </c>
      <c r="I456" s="84">
        <v>982</v>
      </c>
      <c r="J456" s="84">
        <v>17.7</v>
      </c>
    </row>
    <row r="457" spans="1:10" ht="16">
      <c r="A457" s="79" t="s">
        <v>703</v>
      </c>
      <c r="B457" s="79" t="s">
        <v>661</v>
      </c>
      <c r="C457" s="80" t="s">
        <v>126</v>
      </c>
      <c r="D457" s="81" t="s">
        <v>111</v>
      </c>
      <c r="E457" s="82">
        <v>15412</v>
      </c>
      <c r="F457" s="82">
        <v>491</v>
      </c>
      <c r="G457" s="82">
        <v>154</v>
      </c>
      <c r="H457" s="84">
        <v>10</v>
      </c>
      <c r="I457" s="84">
        <v>1165</v>
      </c>
      <c r="J457" s="84">
        <v>15.6</v>
      </c>
    </row>
    <row r="458" spans="1:10" ht="16">
      <c r="A458" s="79" t="s">
        <v>210</v>
      </c>
      <c r="B458" s="79" t="s">
        <v>203</v>
      </c>
      <c r="C458" s="80" t="s">
        <v>95</v>
      </c>
      <c r="D458" s="81" t="s">
        <v>99</v>
      </c>
      <c r="E458" s="82">
        <v>15127</v>
      </c>
      <c r="F458" s="82">
        <v>1104</v>
      </c>
      <c r="G458" s="82">
        <v>2723</v>
      </c>
      <c r="H458" s="84">
        <v>19.899999999999999</v>
      </c>
      <c r="I458" s="84">
        <v>11514</v>
      </c>
      <c r="J458" s="84">
        <v>20.5</v>
      </c>
    </row>
    <row r="459" spans="1:10" ht="16">
      <c r="A459" s="79" t="s">
        <v>346</v>
      </c>
      <c r="B459" s="79" t="s">
        <v>341</v>
      </c>
      <c r="C459" s="80" t="s">
        <v>95</v>
      </c>
      <c r="D459" s="81" t="s">
        <v>79</v>
      </c>
      <c r="E459" s="82">
        <v>7215</v>
      </c>
      <c r="F459" s="82">
        <v>501</v>
      </c>
      <c r="G459" s="82">
        <v>1154</v>
      </c>
      <c r="H459" s="84">
        <v>14.7</v>
      </c>
      <c r="I459" s="84">
        <v>1079</v>
      </c>
      <c r="J459" s="84">
        <v>18.399999999999999</v>
      </c>
    </row>
    <row r="460" spans="1:10" ht="16">
      <c r="A460" s="79" t="s">
        <v>376</v>
      </c>
      <c r="B460" s="79" t="s">
        <v>363</v>
      </c>
      <c r="C460" s="80" t="s">
        <v>126</v>
      </c>
      <c r="D460" s="81" t="s">
        <v>76</v>
      </c>
      <c r="E460" s="82">
        <v>84587</v>
      </c>
      <c r="F460" s="82">
        <v>2324</v>
      </c>
      <c r="G460" s="82">
        <v>846</v>
      </c>
      <c r="H460" s="84">
        <v>7.9</v>
      </c>
      <c r="I460" s="84">
        <v>1989</v>
      </c>
      <c r="J460" s="84">
        <v>15</v>
      </c>
    </row>
    <row r="461" spans="1:10" ht="16">
      <c r="A461" s="79" t="s">
        <v>823</v>
      </c>
      <c r="B461" s="79" t="s">
        <v>817</v>
      </c>
      <c r="C461" s="80" t="s">
        <v>126</v>
      </c>
      <c r="D461" s="81" t="s">
        <v>79</v>
      </c>
      <c r="E461" s="82">
        <v>57827</v>
      </c>
      <c r="F461" s="82">
        <v>2891</v>
      </c>
      <c r="G461" s="82">
        <v>4024</v>
      </c>
      <c r="H461" s="84">
        <v>16.3</v>
      </c>
      <c r="I461" s="84">
        <v>11249</v>
      </c>
      <c r="J461" s="84">
        <v>16.600000000000001</v>
      </c>
    </row>
    <row r="462" spans="1:10" ht="16">
      <c r="A462" s="79" t="s">
        <v>1354</v>
      </c>
      <c r="B462" s="79" t="s">
        <v>1307</v>
      </c>
      <c r="C462" s="80" t="s">
        <v>95</v>
      </c>
      <c r="D462" s="81" t="s">
        <v>96</v>
      </c>
      <c r="E462" s="82">
        <v>44789</v>
      </c>
      <c r="F462" s="82">
        <v>2714</v>
      </c>
      <c r="G462" s="82">
        <v>7166</v>
      </c>
      <c r="H462" s="84">
        <v>57.4</v>
      </c>
      <c r="I462" s="84">
        <v>45990</v>
      </c>
      <c r="J462" s="84">
        <v>56.6</v>
      </c>
    </row>
    <row r="463" spans="1:10" ht="16">
      <c r="A463" s="79" t="s">
        <v>1185</v>
      </c>
      <c r="B463" s="79" t="s">
        <v>1161</v>
      </c>
      <c r="C463" s="80" t="s">
        <v>126</v>
      </c>
      <c r="D463" s="81" t="s">
        <v>99</v>
      </c>
      <c r="E463" s="82">
        <v>27455</v>
      </c>
      <c r="F463" s="82">
        <v>869</v>
      </c>
      <c r="G463" s="82">
        <v>1647</v>
      </c>
      <c r="H463" s="84">
        <v>23.2</v>
      </c>
      <c r="I463" s="84">
        <v>7148</v>
      </c>
      <c r="J463" s="84">
        <v>28.7</v>
      </c>
    </row>
    <row r="464" spans="1:10" ht="16">
      <c r="A464" s="79" t="s">
        <v>1240</v>
      </c>
      <c r="B464" s="79" t="s">
        <v>1209</v>
      </c>
      <c r="C464" s="80" t="s">
        <v>95</v>
      </c>
      <c r="D464" s="81" t="s">
        <v>111</v>
      </c>
      <c r="E464" s="82">
        <v>15649</v>
      </c>
      <c r="F464" s="82">
        <v>869</v>
      </c>
      <c r="G464" s="82">
        <v>7042</v>
      </c>
      <c r="H464" s="84">
        <v>17.3</v>
      </c>
      <c r="I464" s="84">
        <v>12864</v>
      </c>
      <c r="J464" s="84">
        <v>19.399999999999999</v>
      </c>
    </row>
    <row r="465" spans="1:10" ht="16">
      <c r="A465" s="79" t="s">
        <v>704</v>
      </c>
      <c r="B465" s="79" t="s">
        <v>661</v>
      </c>
      <c r="C465" s="80" t="s">
        <v>126</v>
      </c>
      <c r="D465" s="81" t="s">
        <v>79</v>
      </c>
      <c r="E465" s="82">
        <v>7118</v>
      </c>
      <c r="F465" s="82">
        <v>749</v>
      </c>
      <c r="G465" s="82">
        <v>214</v>
      </c>
      <c r="H465" s="84">
        <v>11.8</v>
      </c>
      <c r="I465" s="84">
        <v>2444</v>
      </c>
      <c r="J465" s="84">
        <v>20.9</v>
      </c>
    </row>
    <row r="466" spans="1:10" ht="16">
      <c r="A466" s="79" t="s">
        <v>1109</v>
      </c>
      <c r="B466" s="79" t="s">
        <v>1100</v>
      </c>
      <c r="C466" s="80" t="s">
        <v>95</v>
      </c>
      <c r="D466" s="81" t="s">
        <v>79</v>
      </c>
      <c r="E466" s="82">
        <v>18590</v>
      </c>
      <c r="F466" s="82">
        <v>819</v>
      </c>
      <c r="G466" s="82">
        <v>2231</v>
      </c>
      <c r="H466" s="84">
        <v>11.1</v>
      </c>
      <c r="I466" s="84">
        <v>1146</v>
      </c>
      <c r="J466" s="84">
        <v>13.6</v>
      </c>
    </row>
    <row r="467" spans="1:10" ht="16">
      <c r="A467" s="79" t="s">
        <v>377</v>
      </c>
      <c r="B467" s="79" t="s">
        <v>363</v>
      </c>
      <c r="C467" s="80" t="s">
        <v>95</v>
      </c>
      <c r="D467" s="81" t="s">
        <v>75</v>
      </c>
      <c r="E467" s="82">
        <v>59181</v>
      </c>
      <c r="F467" s="82">
        <v>3794</v>
      </c>
      <c r="G467" s="82">
        <v>592</v>
      </c>
      <c r="H467" s="84">
        <v>7.2</v>
      </c>
      <c r="I467" s="84">
        <v>1714</v>
      </c>
      <c r="J467" s="84">
        <v>15.5</v>
      </c>
    </row>
    <row r="468" spans="1:10" ht="16">
      <c r="A468" s="79" t="s">
        <v>949</v>
      </c>
      <c r="B468" s="79" t="s">
        <v>938</v>
      </c>
      <c r="C468" s="80" t="s">
        <v>126</v>
      </c>
      <c r="D468" s="81" t="s">
        <v>111</v>
      </c>
      <c r="E468" s="82">
        <v>19965</v>
      </c>
      <c r="F468" s="82">
        <v>1174</v>
      </c>
      <c r="G468" s="82">
        <v>599</v>
      </c>
      <c r="H468" s="84">
        <v>9.6</v>
      </c>
      <c r="I468" s="84">
        <v>413</v>
      </c>
      <c r="J468" s="84">
        <v>15.1</v>
      </c>
    </row>
    <row r="469" spans="1:10" ht="16">
      <c r="A469" s="79" t="s">
        <v>1355</v>
      </c>
      <c r="B469" s="79" t="s">
        <v>1307</v>
      </c>
      <c r="C469" s="80" t="s">
        <v>95</v>
      </c>
      <c r="D469" s="81" t="s">
        <v>75</v>
      </c>
      <c r="E469" s="82">
        <v>26121</v>
      </c>
      <c r="F469" s="82">
        <v>1375</v>
      </c>
      <c r="G469" s="82">
        <v>784</v>
      </c>
      <c r="H469" s="84">
        <v>15.8</v>
      </c>
      <c r="I469" s="84">
        <v>6911</v>
      </c>
      <c r="J469" s="84">
        <v>21.8</v>
      </c>
    </row>
    <row r="470" spans="1:10" ht="16">
      <c r="A470" s="79" t="s">
        <v>1356</v>
      </c>
      <c r="B470" s="79" t="s">
        <v>1307</v>
      </c>
      <c r="C470" s="80" t="s">
        <v>126</v>
      </c>
      <c r="D470" s="81" t="s">
        <v>75</v>
      </c>
      <c r="E470" s="82">
        <v>8084</v>
      </c>
      <c r="F470" s="82">
        <v>364</v>
      </c>
      <c r="G470" s="82">
        <v>1132</v>
      </c>
      <c r="H470" s="84">
        <v>24.6</v>
      </c>
      <c r="I470" s="84">
        <v>14584</v>
      </c>
      <c r="J470" s="84">
        <v>24.2</v>
      </c>
    </row>
    <row r="471" spans="1:10" ht="16">
      <c r="A471" s="79" t="s">
        <v>832</v>
      </c>
      <c r="B471" s="79" t="s">
        <v>833</v>
      </c>
      <c r="C471" s="80" t="s">
        <v>95</v>
      </c>
      <c r="D471" s="81" t="s">
        <v>77</v>
      </c>
      <c r="E471" s="82">
        <v>81914</v>
      </c>
      <c r="F471" s="82">
        <v>2453</v>
      </c>
      <c r="G471" s="82">
        <v>4096</v>
      </c>
      <c r="H471" s="84">
        <v>9.9</v>
      </c>
      <c r="I471" s="84">
        <v>1665</v>
      </c>
      <c r="J471" s="84">
        <v>28.2</v>
      </c>
    </row>
    <row r="472" spans="1:10" ht="16">
      <c r="A472" s="79" t="s">
        <v>122</v>
      </c>
      <c r="B472" s="79" t="s">
        <v>108</v>
      </c>
      <c r="C472" s="80" t="s">
        <v>95</v>
      </c>
      <c r="D472" s="81" t="s">
        <v>99</v>
      </c>
      <c r="E472" s="82">
        <v>52989</v>
      </c>
      <c r="F472" s="82">
        <v>1563</v>
      </c>
      <c r="G472" s="82">
        <v>20666</v>
      </c>
      <c r="H472" s="84">
        <v>56.6</v>
      </c>
      <c r="I472" s="84">
        <v>47439</v>
      </c>
      <c r="J472" s="84">
        <v>47.3</v>
      </c>
    </row>
    <row r="473" spans="1:10" ht="16">
      <c r="A473" s="79" t="s">
        <v>1357</v>
      </c>
      <c r="B473" s="79" t="s">
        <v>1307</v>
      </c>
      <c r="C473" s="80" t="s">
        <v>126</v>
      </c>
      <c r="D473" s="81" t="s">
        <v>77</v>
      </c>
      <c r="E473" s="82">
        <v>14357</v>
      </c>
      <c r="F473" s="82">
        <v>740</v>
      </c>
      <c r="G473" s="82">
        <v>431</v>
      </c>
      <c r="H473" s="84">
        <v>19.399999999999999</v>
      </c>
      <c r="I473" s="84">
        <v>13063</v>
      </c>
      <c r="J473" s="84">
        <v>18.600000000000001</v>
      </c>
    </row>
    <row r="474" spans="1:10" ht="16">
      <c r="A474" s="79" t="s">
        <v>824</v>
      </c>
      <c r="B474" s="79" t="s">
        <v>817</v>
      </c>
      <c r="C474" s="80" t="s">
        <v>126</v>
      </c>
      <c r="D474" s="81" t="s">
        <v>149</v>
      </c>
      <c r="E474" s="82">
        <v>14343</v>
      </c>
      <c r="F474" s="82">
        <v>885</v>
      </c>
      <c r="G474" s="82">
        <v>1578</v>
      </c>
      <c r="H474" s="84">
        <v>18.2</v>
      </c>
      <c r="I474" s="84">
        <v>7623</v>
      </c>
      <c r="J474" s="84">
        <v>20.5</v>
      </c>
    </row>
    <row r="475" spans="1:10" ht="16">
      <c r="A475" s="79" t="s">
        <v>401</v>
      </c>
      <c r="B475" s="79" t="s">
        <v>396</v>
      </c>
      <c r="C475" s="80" t="s">
        <v>95</v>
      </c>
      <c r="D475" s="81" t="s">
        <v>76</v>
      </c>
      <c r="E475" s="82">
        <v>39405</v>
      </c>
      <c r="F475" s="82">
        <v>2021</v>
      </c>
      <c r="G475" s="82">
        <v>5911</v>
      </c>
      <c r="H475" s="84">
        <v>27.1</v>
      </c>
      <c r="I475" s="84">
        <v>18224</v>
      </c>
      <c r="J475" s="84">
        <v>36.299999999999997</v>
      </c>
    </row>
    <row r="476" spans="1:10" ht="16">
      <c r="A476" s="79" t="s">
        <v>950</v>
      </c>
      <c r="B476" s="79" t="s">
        <v>938</v>
      </c>
      <c r="C476" s="80" t="s">
        <v>126</v>
      </c>
      <c r="D476" s="81" t="s">
        <v>79</v>
      </c>
      <c r="E476" s="82">
        <v>15248</v>
      </c>
      <c r="F476" s="82">
        <v>1303</v>
      </c>
      <c r="G476" s="82">
        <v>1372</v>
      </c>
      <c r="H476" s="84">
        <v>11.7</v>
      </c>
      <c r="I476" s="84">
        <v>353</v>
      </c>
      <c r="J476" s="84">
        <v>24.1</v>
      </c>
    </row>
    <row r="477" spans="1:10" ht="16">
      <c r="A477" s="79" t="s">
        <v>951</v>
      </c>
      <c r="B477" s="79" t="s">
        <v>938</v>
      </c>
      <c r="C477" s="80" t="s">
        <v>126</v>
      </c>
      <c r="D477" s="81" t="s">
        <v>77</v>
      </c>
      <c r="E477" s="82">
        <v>5716</v>
      </c>
      <c r="F477" s="82">
        <v>510</v>
      </c>
      <c r="G477" s="82">
        <v>857</v>
      </c>
      <c r="H477" s="84">
        <v>45.6</v>
      </c>
      <c r="I477" s="84">
        <v>21558</v>
      </c>
      <c r="J477" s="84">
        <v>53.3</v>
      </c>
    </row>
    <row r="478" spans="1:10" ht="16">
      <c r="A478" s="79" t="s">
        <v>952</v>
      </c>
      <c r="B478" s="79" t="s">
        <v>938</v>
      </c>
      <c r="C478" s="80" t="s">
        <v>126</v>
      </c>
      <c r="D478" s="81" t="s">
        <v>79</v>
      </c>
      <c r="E478" s="82">
        <v>11422</v>
      </c>
      <c r="F478" s="82">
        <v>777</v>
      </c>
      <c r="G478" s="82">
        <v>1142</v>
      </c>
      <c r="H478" s="84">
        <v>10.7</v>
      </c>
      <c r="I478" s="84">
        <v>623</v>
      </c>
      <c r="J478" s="84">
        <v>18.7</v>
      </c>
    </row>
    <row r="479" spans="1:10" ht="16">
      <c r="A479" s="79" t="s">
        <v>800</v>
      </c>
      <c r="B479" s="79" t="s">
        <v>801</v>
      </c>
      <c r="C479" s="80" t="s">
        <v>126</v>
      </c>
      <c r="D479" s="81" t="s">
        <v>77</v>
      </c>
      <c r="E479" s="82">
        <v>11080</v>
      </c>
      <c r="F479" s="82">
        <v>833</v>
      </c>
      <c r="G479" s="82">
        <v>997</v>
      </c>
      <c r="H479" s="84">
        <v>9.6</v>
      </c>
      <c r="I479" s="84">
        <v>1095</v>
      </c>
      <c r="J479" s="84">
        <v>16.5</v>
      </c>
    </row>
    <row r="480" spans="1:10" ht="16">
      <c r="A480" s="79" t="s">
        <v>123</v>
      </c>
      <c r="B480" s="79" t="s">
        <v>108</v>
      </c>
      <c r="C480" s="80" t="s">
        <v>95</v>
      </c>
      <c r="D480" s="81" t="s">
        <v>101</v>
      </c>
      <c r="E480" s="82">
        <v>14905</v>
      </c>
      <c r="F480" s="82">
        <v>538</v>
      </c>
      <c r="G480" s="82">
        <v>5515</v>
      </c>
      <c r="H480" s="84">
        <v>24.9</v>
      </c>
      <c r="I480" s="84">
        <v>15430</v>
      </c>
      <c r="J480" s="84">
        <v>18.5</v>
      </c>
    </row>
    <row r="481" spans="1:10" ht="16">
      <c r="A481" s="79" t="s">
        <v>705</v>
      </c>
      <c r="B481" s="79" t="s">
        <v>661</v>
      </c>
      <c r="C481" s="80" t="s">
        <v>126</v>
      </c>
      <c r="D481" s="81" t="s">
        <v>149</v>
      </c>
      <c r="E481" s="82">
        <v>3365</v>
      </c>
      <c r="F481" s="82">
        <v>192</v>
      </c>
      <c r="G481" s="82">
        <v>135</v>
      </c>
      <c r="H481" s="84">
        <v>9.4</v>
      </c>
      <c r="I481" s="84">
        <v>4019</v>
      </c>
      <c r="J481" s="84">
        <v>15.4</v>
      </c>
    </row>
    <row r="482" spans="1:10" ht="16">
      <c r="A482" s="79" t="s">
        <v>706</v>
      </c>
      <c r="B482" s="79" t="s">
        <v>661</v>
      </c>
      <c r="C482" s="80" t="s">
        <v>126</v>
      </c>
      <c r="D482" s="81" t="s">
        <v>77</v>
      </c>
      <c r="E482" s="82">
        <v>2300</v>
      </c>
      <c r="F482" s="82">
        <v>215</v>
      </c>
      <c r="G482" s="82">
        <v>276</v>
      </c>
      <c r="H482" s="84">
        <v>14.6</v>
      </c>
      <c r="I482" s="84">
        <v>1720</v>
      </c>
      <c r="J482" s="84">
        <v>24.7</v>
      </c>
    </row>
    <row r="483" spans="1:10" ht="16">
      <c r="A483" s="79" t="s">
        <v>707</v>
      </c>
      <c r="B483" s="79" t="s">
        <v>661</v>
      </c>
      <c r="C483" s="80" t="s">
        <v>126</v>
      </c>
      <c r="D483" s="81" t="s">
        <v>103</v>
      </c>
      <c r="E483" s="82">
        <v>9163</v>
      </c>
      <c r="F483" s="82">
        <v>1309</v>
      </c>
      <c r="G483" s="82">
        <v>367</v>
      </c>
      <c r="H483" s="84">
        <v>14.4</v>
      </c>
      <c r="I483" s="84">
        <v>3366</v>
      </c>
      <c r="J483" s="84">
        <v>25.9</v>
      </c>
    </row>
    <row r="484" spans="1:10" ht="16">
      <c r="A484" s="79" t="s">
        <v>708</v>
      </c>
      <c r="B484" s="79" t="s">
        <v>661</v>
      </c>
      <c r="C484" s="80" t="s">
        <v>95</v>
      </c>
      <c r="D484" s="81" t="s">
        <v>78</v>
      </c>
      <c r="E484" s="82">
        <v>4444</v>
      </c>
      <c r="F484" s="82">
        <v>585</v>
      </c>
      <c r="G484" s="82">
        <v>89</v>
      </c>
      <c r="H484" s="84">
        <v>14</v>
      </c>
      <c r="I484" s="84">
        <v>3883</v>
      </c>
      <c r="J484" s="84">
        <v>23.2</v>
      </c>
    </row>
    <row r="485" spans="1:10" ht="16">
      <c r="A485" s="79" t="s">
        <v>709</v>
      </c>
      <c r="B485" s="79" t="s">
        <v>661</v>
      </c>
      <c r="C485" s="80" t="s">
        <v>126</v>
      </c>
      <c r="D485" s="81" t="s">
        <v>149</v>
      </c>
      <c r="E485" s="82">
        <v>5661</v>
      </c>
      <c r="F485" s="82">
        <v>349</v>
      </c>
      <c r="G485" s="82">
        <v>226</v>
      </c>
      <c r="H485" s="84">
        <v>19.399999999999999</v>
      </c>
      <c r="I485" s="84">
        <v>2490</v>
      </c>
      <c r="J485" s="84">
        <v>18.8</v>
      </c>
    </row>
    <row r="486" spans="1:10" ht="16">
      <c r="A486" s="79" t="s">
        <v>710</v>
      </c>
      <c r="B486" s="79" t="s">
        <v>661</v>
      </c>
      <c r="C486" s="80" t="s">
        <v>126</v>
      </c>
      <c r="D486" s="81" t="s">
        <v>75</v>
      </c>
      <c r="E486" s="82">
        <v>15676</v>
      </c>
      <c r="F486" s="82">
        <v>1704</v>
      </c>
      <c r="G486" s="82">
        <v>1724</v>
      </c>
      <c r="H486" s="84">
        <v>47.8</v>
      </c>
      <c r="I486" s="84">
        <v>20768</v>
      </c>
      <c r="J486" s="84">
        <v>47.8</v>
      </c>
    </row>
    <row r="487" spans="1:10" ht="16">
      <c r="A487" s="79" t="s">
        <v>271</v>
      </c>
      <c r="B487" s="79" t="s">
        <v>242</v>
      </c>
      <c r="C487" s="80" t="s">
        <v>95</v>
      </c>
      <c r="D487" s="81" t="s">
        <v>111</v>
      </c>
      <c r="E487" s="82">
        <v>25963</v>
      </c>
      <c r="F487" s="82">
        <v>1633</v>
      </c>
      <c r="G487" s="82">
        <v>779</v>
      </c>
      <c r="H487" s="84">
        <v>17.2</v>
      </c>
      <c r="I487" s="84">
        <v>7439</v>
      </c>
      <c r="J487" s="84">
        <v>23.4</v>
      </c>
    </row>
    <row r="488" spans="1:10" ht="16">
      <c r="A488" s="79" t="s">
        <v>272</v>
      </c>
      <c r="B488" s="79" t="s">
        <v>242</v>
      </c>
      <c r="C488" s="80" t="s">
        <v>126</v>
      </c>
      <c r="D488" s="81" t="s">
        <v>78</v>
      </c>
      <c r="E488" s="82">
        <v>15420</v>
      </c>
      <c r="F488" s="82">
        <v>1713</v>
      </c>
      <c r="G488" s="82">
        <v>771</v>
      </c>
      <c r="H488" s="84">
        <v>25.9</v>
      </c>
      <c r="I488" s="84">
        <v>9348</v>
      </c>
      <c r="J488" s="84">
        <v>38.200000000000003</v>
      </c>
    </row>
    <row r="489" spans="1:10" ht="16">
      <c r="A489" s="79" t="s">
        <v>273</v>
      </c>
      <c r="B489" s="79" t="s">
        <v>242</v>
      </c>
      <c r="C489" s="80" t="s">
        <v>95</v>
      </c>
      <c r="D489" s="81" t="s">
        <v>149</v>
      </c>
      <c r="E489" s="82">
        <v>27490</v>
      </c>
      <c r="F489" s="82">
        <v>2083</v>
      </c>
      <c r="G489" s="82">
        <v>825</v>
      </c>
      <c r="H489" s="84">
        <v>12.1</v>
      </c>
      <c r="I489" s="84">
        <v>6610</v>
      </c>
      <c r="J489" s="84">
        <v>20.2</v>
      </c>
    </row>
    <row r="490" spans="1:10" ht="16">
      <c r="A490" s="79" t="s">
        <v>274</v>
      </c>
      <c r="B490" s="79" t="s">
        <v>242</v>
      </c>
      <c r="C490" s="80" t="s">
        <v>95</v>
      </c>
      <c r="D490" s="81" t="s">
        <v>77</v>
      </c>
      <c r="E490" s="82">
        <v>33175</v>
      </c>
      <c r="F490" s="82">
        <v>2387</v>
      </c>
      <c r="G490" s="82">
        <v>664</v>
      </c>
      <c r="H490" s="84">
        <v>12.1</v>
      </c>
      <c r="I490" s="84">
        <v>6454</v>
      </c>
      <c r="J490" s="84">
        <v>17.7</v>
      </c>
    </row>
    <row r="491" spans="1:10" ht="16">
      <c r="A491" s="79" t="s">
        <v>275</v>
      </c>
      <c r="B491" s="79" t="s">
        <v>242</v>
      </c>
      <c r="C491" s="80" t="s">
        <v>126</v>
      </c>
      <c r="D491" s="81" t="s">
        <v>96</v>
      </c>
      <c r="E491" s="82">
        <v>34569</v>
      </c>
      <c r="F491" s="82">
        <v>2230</v>
      </c>
      <c r="G491" s="82">
        <v>3457</v>
      </c>
      <c r="H491" s="84">
        <v>48</v>
      </c>
      <c r="I491" s="84">
        <v>34482</v>
      </c>
      <c r="J491" s="84">
        <v>50.7</v>
      </c>
    </row>
    <row r="492" spans="1:10" ht="16">
      <c r="A492" s="79" t="s">
        <v>276</v>
      </c>
      <c r="B492" s="79" t="s">
        <v>242</v>
      </c>
      <c r="C492" s="80" t="s">
        <v>126</v>
      </c>
      <c r="D492" s="81" t="s">
        <v>96</v>
      </c>
      <c r="E492" s="82">
        <v>29542</v>
      </c>
      <c r="F492" s="82">
        <v>1780</v>
      </c>
      <c r="G492" s="82">
        <v>886</v>
      </c>
      <c r="H492" s="84">
        <v>21.1</v>
      </c>
      <c r="I492" s="84">
        <v>4195</v>
      </c>
      <c r="J492" s="84">
        <v>20.8</v>
      </c>
    </row>
    <row r="493" spans="1:10" ht="16">
      <c r="A493" s="79" t="s">
        <v>277</v>
      </c>
      <c r="B493" s="79" t="s">
        <v>242</v>
      </c>
      <c r="C493" s="80" t="s">
        <v>126</v>
      </c>
      <c r="D493" s="81" t="s">
        <v>99</v>
      </c>
      <c r="E493" s="82">
        <v>21857</v>
      </c>
      <c r="F493" s="82">
        <v>1410</v>
      </c>
      <c r="G493" s="82">
        <v>656</v>
      </c>
      <c r="H493" s="84">
        <v>14.9</v>
      </c>
      <c r="I493" s="84">
        <v>10478</v>
      </c>
      <c r="J493" s="84">
        <v>16.7</v>
      </c>
    </row>
    <row r="494" spans="1:10" ht="16">
      <c r="A494" s="79" t="s">
        <v>278</v>
      </c>
      <c r="B494" s="79" t="s">
        <v>242</v>
      </c>
      <c r="C494" s="80" t="s">
        <v>95</v>
      </c>
      <c r="D494" s="81" t="s">
        <v>111</v>
      </c>
      <c r="E494" s="82">
        <v>28061</v>
      </c>
      <c r="F494" s="82">
        <v>2110</v>
      </c>
      <c r="G494" s="82">
        <v>1964</v>
      </c>
      <c r="H494" s="84">
        <v>21.8</v>
      </c>
      <c r="I494" s="84">
        <v>16526</v>
      </c>
      <c r="J494" s="84">
        <v>35.700000000000003</v>
      </c>
    </row>
    <row r="495" spans="1:10" ht="16">
      <c r="A495" s="79" t="s">
        <v>985</v>
      </c>
      <c r="B495" s="79" t="s">
        <v>986</v>
      </c>
      <c r="C495" s="80" t="s">
        <v>126</v>
      </c>
      <c r="D495" s="81" t="s">
        <v>79</v>
      </c>
      <c r="E495" s="82">
        <v>25088</v>
      </c>
      <c r="F495" s="82">
        <v>1578</v>
      </c>
      <c r="G495" s="82">
        <v>6774</v>
      </c>
      <c r="H495" s="84">
        <v>70.400000000000006</v>
      </c>
      <c r="I495" s="84">
        <v>59780</v>
      </c>
      <c r="J495" s="84">
        <v>57.6</v>
      </c>
    </row>
    <row r="496" spans="1:10" ht="16">
      <c r="A496" s="79" t="s">
        <v>711</v>
      </c>
      <c r="B496" s="79" t="s">
        <v>661</v>
      </c>
      <c r="C496" s="80" t="s">
        <v>126</v>
      </c>
      <c r="D496" s="81" t="s">
        <v>111</v>
      </c>
      <c r="E496" s="82">
        <v>1240</v>
      </c>
      <c r="F496" s="82">
        <v>376</v>
      </c>
      <c r="G496" s="82">
        <v>12</v>
      </c>
      <c r="H496" s="84">
        <v>11</v>
      </c>
      <c r="I496" s="84">
        <v>2348</v>
      </c>
      <c r="J496" s="84">
        <v>24.8</v>
      </c>
    </row>
    <row r="497" spans="1:10" ht="16">
      <c r="A497" s="79" t="s">
        <v>1147</v>
      </c>
      <c r="B497" s="79" t="s">
        <v>1139</v>
      </c>
      <c r="C497" s="80" t="s">
        <v>95</v>
      </c>
      <c r="D497" s="81" t="s">
        <v>79</v>
      </c>
      <c r="E497" s="82">
        <v>22863</v>
      </c>
      <c r="F497" s="82">
        <v>1466</v>
      </c>
      <c r="G497" s="82">
        <v>229</v>
      </c>
      <c r="H497" s="84">
        <v>7.8</v>
      </c>
      <c r="I497" s="84">
        <v>987</v>
      </c>
      <c r="J497" s="84">
        <v>16.7</v>
      </c>
    </row>
    <row r="498" spans="1:10" ht="16">
      <c r="A498" s="79" t="s">
        <v>470</v>
      </c>
      <c r="B498" s="79" t="s">
        <v>467</v>
      </c>
      <c r="C498" s="80" t="s">
        <v>95</v>
      </c>
      <c r="D498" s="81" t="s">
        <v>149</v>
      </c>
      <c r="E498" s="82">
        <v>57697</v>
      </c>
      <c r="F498" s="82">
        <v>2032</v>
      </c>
      <c r="G498" s="82">
        <v>5770</v>
      </c>
      <c r="H498" s="84">
        <v>15</v>
      </c>
      <c r="I498" s="84">
        <v>10958</v>
      </c>
      <c r="J498" s="84">
        <v>21.8</v>
      </c>
    </row>
    <row r="499" spans="1:10" ht="16">
      <c r="A499" s="79" t="s">
        <v>825</v>
      </c>
      <c r="B499" s="79" t="s">
        <v>817</v>
      </c>
      <c r="C499" s="80" t="s">
        <v>95</v>
      </c>
      <c r="D499" s="81" t="s">
        <v>103</v>
      </c>
      <c r="E499" s="82">
        <v>161718</v>
      </c>
      <c r="F499" s="82">
        <v>9457</v>
      </c>
      <c r="G499" s="82">
        <v>12937</v>
      </c>
      <c r="H499" s="84">
        <v>30.4</v>
      </c>
      <c r="I499" s="84">
        <v>5753</v>
      </c>
      <c r="J499" s="84">
        <v>31.9</v>
      </c>
    </row>
    <row r="500" spans="1:10" ht="16">
      <c r="A500" s="79" t="s">
        <v>1110</v>
      </c>
      <c r="B500" s="79" t="s">
        <v>1100</v>
      </c>
      <c r="C500" s="80" t="s">
        <v>126</v>
      </c>
      <c r="D500" s="81" t="s">
        <v>79</v>
      </c>
      <c r="E500" s="82">
        <v>10838</v>
      </c>
      <c r="F500" s="82">
        <v>1153</v>
      </c>
      <c r="G500" s="82">
        <v>1084</v>
      </c>
      <c r="H500" s="84">
        <v>22.6</v>
      </c>
      <c r="I500" s="84">
        <v>5014</v>
      </c>
      <c r="J500" s="84">
        <v>25</v>
      </c>
    </row>
    <row r="501" spans="1:10" ht="16">
      <c r="A501" s="79" t="s">
        <v>1111</v>
      </c>
      <c r="B501" s="79" t="s">
        <v>1100</v>
      </c>
      <c r="C501" s="80" t="s">
        <v>95</v>
      </c>
      <c r="D501" s="81" t="s">
        <v>75</v>
      </c>
      <c r="E501" s="82">
        <v>8180</v>
      </c>
      <c r="F501" s="82">
        <v>375</v>
      </c>
      <c r="G501" s="82">
        <v>654</v>
      </c>
      <c r="H501" s="84">
        <v>18.600000000000001</v>
      </c>
      <c r="I501" s="84">
        <v>2253</v>
      </c>
      <c r="J501" s="84">
        <v>20.3</v>
      </c>
    </row>
    <row r="502" spans="1:10" ht="16">
      <c r="A502" s="79" t="s">
        <v>1112</v>
      </c>
      <c r="B502" s="79" t="s">
        <v>1100</v>
      </c>
      <c r="C502" s="80" t="s">
        <v>126</v>
      </c>
      <c r="D502" s="81" t="s">
        <v>103</v>
      </c>
      <c r="E502" s="82">
        <v>20663</v>
      </c>
      <c r="F502" s="82">
        <v>1508</v>
      </c>
      <c r="G502" s="82">
        <v>2686</v>
      </c>
      <c r="H502" s="84">
        <v>41.1</v>
      </c>
      <c r="I502" s="84">
        <v>9423</v>
      </c>
      <c r="J502" s="84">
        <v>32.799999999999997</v>
      </c>
    </row>
    <row r="503" spans="1:10" ht="16">
      <c r="A503" s="79" t="s">
        <v>1113</v>
      </c>
      <c r="B503" s="79" t="s">
        <v>1100</v>
      </c>
      <c r="C503" s="80" t="s">
        <v>95</v>
      </c>
      <c r="D503" s="81" t="s">
        <v>111</v>
      </c>
      <c r="E503" s="82">
        <v>13558</v>
      </c>
      <c r="F503" s="82">
        <v>869</v>
      </c>
      <c r="G503" s="82">
        <v>2169</v>
      </c>
      <c r="H503" s="84">
        <v>29.3</v>
      </c>
      <c r="I503" s="84">
        <v>3877</v>
      </c>
      <c r="J503" s="84">
        <v>23.4</v>
      </c>
    </row>
    <row r="504" spans="1:10" ht="16">
      <c r="A504" s="79" t="s">
        <v>1114</v>
      </c>
      <c r="B504" s="79" t="s">
        <v>1100</v>
      </c>
      <c r="C504" s="80" t="s">
        <v>126</v>
      </c>
      <c r="D504" s="81" t="s">
        <v>79</v>
      </c>
      <c r="E504" s="82">
        <v>12017</v>
      </c>
      <c r="F504" s="82">
        <v>720</v>
      </c>
      <c r="G504" s="82">
        <v>1442</v>
      </c>
      <c r="H504" s="84">
        <v>43.3</v>
      </c>
      <c r="I504" s="84">
        <v>11107</v>
      </c>
      <c r="J504" s="84">
        <v>35.799999999999997</v>
      </c>
    </row>
    <row r="505" spans="1:10" ht="16">
      <c r="A505" s="79" t="s">
        <v>1115</v>
      </c>
      <c r="B505" s="79" t="s">
        <v>1100</v>
      </c>
      <c r="C505" s="80" t="s">
        <v>126</v>
      </c>
      <c r="D505" s="81" t="s">
        <v>101</v>
      </c>
      <c r="E505" s="82">
        <v>12219</v>
      </c>
      <c r="F505" s="82">
        <v>465</v>
      </c>
      <c r="G505" s="82">
        <v>367</v>
      </c>
      <c r="H505" s="84">
        <v>12.1</v>
      </c>
      <c r="I505" s="84">
        <v>994</v>
      </c>
      <c r="J505" s="84">
        <v>14.8</v>
      </c>
    </row>
    <row r="506" spans="1:10" ht="16">
      <c r="A506" s="79" t="s">
        <v>1116</v>
      </c>
      <c r="B506" s="79" t="s">
        <v>1100</v>
      </c>
      <c r="C506" s="80" t="s">
        <v>126</v>
      </c>
      <c r="D506" s="81" t="s">
        <v>99</v>
      </c>
      <c r="E506" s="82">
        <v>7158</v>
      </c>
      <c r="F506" s="82">
        <v>287</v>
      </c>
      <c r="G506" s="82">
        <v>286</v>
      </c>
      <c r="H506" s="84">
        <v>19.399999999999999</v>
      </c>
      <c r="I506" s="84">
        <v>857</v>
      </c>
      <c r="J506" s="84">
        <v>14</v>
      </c>
    </row>
    <row r="507" spans="1:10" ht="16">
      <c r="A507" s="79" t="s">
        <v>1117</v>
      </c>
      <c r="B507" s="79" t="s">
        <v>1100</v>
      </c>
      <c r="C507" s="80" t="s">
        <v>126</v>
      </c>
      <c r="D507" s="81" t="s">
        <v>111</v>
      </c>
      <c r="E507" s="82">
        <v>10161</v>
      </c>
      <c r="F507" s="82">
        <v>682</v>
      </c>
      <c r="G507" s="82">
        <v>508</v>
      </c>
      <c r="H507" s="84">
        <v>18.3</v>
      </c>
      <c r="I507" s="84">
        <v>2508</v>
      </c>
      <c r="J507" s="84">
        <v>19.100000000000001</v>
      </c>
    </row>
    <row r="508" spans="1:10" ht="16">
      <c r="A508" s="79" t="s">
        <v>1118</v>
      </c>
      <c r="B508" s="79" t="s">
        <v>1100</v>
      </c>
      <c r="C508" s="80" t="s">
        <v>126</v>
      </c>
      <c r="D508" s="81" t="s">
        <v>78</v>
      </c>
      <c r="E508" s="82">
        <v>15077</v>
      </c>
      <c r="F508" s="82">
        <v>1012</v>
      </c>
      <c r="G508" s="82">
        <v>754</v>
      </c>
      <c r="H508" s="84">
        <v>16.5</v>
      </c>
      <c r="I508" s="84">
        <v>3143</v>
      </c>
      <c r="J508" s="84">
        <v>20.8</v>
      </c>
    </row>
    <row r="509" spans="1:10" ht="16">
      <c r="A509" s="79" t="s">
        <v>1119</v>
      </c>
      <c r="B509" s="79" t="s">
        <v>1100</v>
      </c>
      <c r="C509" s="80" t="s">
        <v>95</v>
      </c>
      <c r="D509" s="81" t="s">
        <v>99</v>
      </c>
      <c r="E509" s="82">
        <v>10269</v>
      </c>
      <c r="F509" s="82">
        <v>567</v>
      </c>
      <c r="G509" s="82">
        <v>924</v>
      </c>
      <c r="H509" s="84">
        <v>24.6</v>
      </c>
      <c r="I509" s="84">
        <v>7126</v>
      </c>
      <c r="J509" s="84">
        <v>16.3</v>
      </c>
    </row>
    <row r="510" spans="1:10" ht="16">
      <c r="A510" s="79" t="s">
        <v>402</v>
      </c>
      <c r="B510" s="79" t="s">
        <v>396</v>
      </c>
      <c r="C510" s="80" t="s">
        <v>126</v>
      </c>
      <c r="D510" s="81" t="s">
        <v>103</v>
      </c>
      <c r="E510" s="82">
        <v>6173</v>
      </c>
      <c r="F510" s="82">
        <v>315</v>
      </c>
      <c r="G510" s="82">
        <v>1728</v>
      </c>
      <c r="H510" s="84">
        <v>25.5</v>
      </c>
      <c r="I510" s="84">
        <v>8626</v>
      </c>
      <c r="J510" s="84">
        <v>29.8</v>
      </c>
    </row>
    <row r="511" spans="1:10" ht="16">
      <c r="A511" s="79" t="s">
        <v>530</v>
      </c>
      <c r="B511" s="79" t="s">
        <v>493</v>
      </c>
      <c r="C511" s="80" t="s">
        <v>126</v>
      </c>
      <c r="D511" s="81" t="s">
        <v>79</v>
      </c>
      <c r="E511" s="82">
        <v>5851</v>
      </c>
      <c r="F511" s="82">
        <v>311</v>
      </c>
      <c r="G511" s="82">
        <v>234</v>
      </c>
      <c r="H511" s="84">
        <v>15.1</v>
      </c>
      <c r="I511" s="84">
        <v>6785</v>
      </c>
      <c r="J511" s="84">
        <v>26.4</v>
      </c>
    </row>
    <row r="512" spans="1:10" ht="16">
      <c r="A512" s="79" t="s">
        <v>531</v>
      </c>
      <c r="B512" s="79" t="s">
        <v>493</v>
      </c>
      <c r="C512" s="80" t="s">
        <v>126</v>
      </c>
      <c r="D512" s="81" t="s">
        <v>99</v>
      </c>
      <c r="E512" s="82">
        <v>6081</v>
      </c>
      <c r="F512" s="82">
        <v>318</v>
      </c>
      <c r="G512" s="82">
        <v>486</v>
      </c>
      <c r="H512" s="84">
        <v>17.399999999999999</v>
      </c>
      <c r="I512" s="84">
        <v>5735</v>
      </c>
      <c r="J512" s="84">
        <v>25</v>
      </c>
    </row>
    <row r="513" spans="1:10" ht="16">
      <c r="A513" s="79" t="s">
        <v>826</v>
      </c>
      <c r="B513" s="79" t="s">
        <v>817</v>
      </c>
      <c r="C513" s="80" t="s">
        <v>126</v>
      </c>
      <c r="D513" s="81" t="s">
        <v>79</v>
      </c>
      <c r="E513" s="82">
        <v>177983</v>
      </c>
      <c r="F513" s="82">
        <v>16480</v>
      </c>
      <c r="G513" s="82">
        <v>12385</v>
      </c>
      <c r="H513" s="84">
        <v>9</v>
      </c>
      <c r="I513" s="84">
        <v>971</v>
      </c>
      <c r="J513" s="84">
        <v>17.600000000000001</v>
      </c>
    </row>
    <row r="514" spans="1:10" ht="16">
      <c r="A514" s="79" t="s">
        <v>953</v>
      </c>
      <c r="B514" s="79" t="s">
        <v>938</v>
      </c>
      <c r="C514" s="80" t="s">
        <v>126</v>
      </c>
      <c r="D514" s="81" t="s">
        <v>111</v>
      </c>
      <c r="E514" s="82">
        <v>6489</v>
      </c>
      <c r="F514" s="82">
        <v>601</v>
      </c>
      <c r="G514" s="82">
        <v>1557</v>
      </c>
      <c r="H514" s="84">
        <v>36.1</v>
      </c>
      <c r="I514" s="84">
        <v>12155</v>
      </c>
      <c r="J514" s="84">
        <v>37.5</v>
      </c>
    </row>
    <row r="515" spans="1:10" ht="16">
      <c r="A515" s="79" t="s">
        <v>954</v>
      </c>
      <c r="B515" s="79" t="s">
        <v>938</v>
      </c>
      <c r="C515" s="80" t="s">
        <v>95</v>
      </c>
      <c r="D515" s="81" t="s">
        <v>96</v>
      </c>
      <c r="E515" s="82">
        <v>9847</v>
      </c>
      <c r="F515" s="82">
        <v>1015</v>
      </c>
      <c r="G515" s="82">
        <v>689</v>
      </c>
      <c r="H515" s="84">
        <v>11.7</v>
      </c>
      <c r="I515" s="84">
        <v>3011</v>
      </c>
      <c r="J515" s="84">
        <v>20.7</v>
      </c>
    </row>
    <row r="516" spans="1:10" ht="16">
      <c r="A516" s="79" t="s">
        <v>1120</v>
      </c>
      <c r="B516" s="79" t="s">
        <v>1100</v>
      </c>
      <c r="C516" s="80" t="s">
        <v>126</v>
      </c>
      <c r="D516" s="81" t="s">
        <v>77</v>
      </c>
      <c r="E516" s="82">
        <v>9190</v>
      </c>
      <c r="F516" s="82">
        <v>696</v>
      </c>
      <c r="G516" s="82">
        <v>551</v>
      </c>
      <c r="H516" s="84">
        <v>28</v>
      </c>
      <c r="I516" s="84">
        <v>6139</v>
      </c>
      <c r="J516" s="84">
        <v>24.4</v>
      </c>
    </row>
    <row r="517" spans="1:10" ht="16">
      <c r="A517" s="79" t="s">
        <v>1121</v>
      </c>
      <c r="B517" s="79" t="s">
        <v>1100</v>
      </c>
      <c r="C517" s="80" t="s">
        <v>95</v>
      </c>
      <c r="D517" s="81" t="s">
        <v>103</v>
      </c>
      <c r="E517" s="82">
        <v>8645</v>
      </c>
      <c r="F517" s="82">
        <v>509</v>
      </c>
      <c r="G517" s="82">
        <v>346</v>
      </c>
      <c r="H517" s="84">
        <v>14.9</v>
      </c>
      <c r="I517" s="84">
        <v>3770</v>
      </c>
      <c r="J517" s="84">
        <v>19.5</v>
      </c>
    </row>
    <row r="518" spans="1:10" ht="16">
      <c r="A518" s="79" t="s">
        <v>1122</v>
      </c>
      <c r="B518" s="79" t="s">
        <v>1100</v>
      </c>
      <c r="C518" s="80" t="s">
        <v>126</v>
      </c>
      <c r="D518" s="81" t="s">
        <v>101</v>
      </c>
      <c r="E518" s="82">
        <v>9994</v>
      </c>
      <c r="F518" s="82">
        <v>629</v>
      </c>
      <c r="G518" s="82">
        <v>800</v>
      </c>
      <c r="H518" s="84">
        <v>20.2</v>
      </c>
      <c r="I518" s="84">
        <v>4545</v>
      </c>
      <c r="J518" s="84">
        <v>21.8</v>
      </c>
    </row>
    <row r="519" spans="1:10" ht="16">
      <c r="A519" s="79" t="s">
        <v>1123</v>
      </c>
      <c r="B519" s="79" t="s">
        <v>1100</v>
      </c>
      <c r="C519" s="80" t="s">
        <v>126</v>
      </c>
      <c r="D519" s="81" t="s">
        <v>149</v>
      </c>
      <c r="E519" s="82">
        <v>10789</v>
      </c>
      <c r="F519" s="82">
        <v>892</v>
      </c>
      <c r="G519" s="82">
        <v>2589</v>
      </c>
      <c r="H519" s="84">
        <v>37.299999999999997</v>
      </c>
      <c r="I519" s="84">
        <v>8513</v>
      </c>
      <c r="J519" s="84">
        <v>32</v>
      </c>
    </row>
    <row r="520" spans="1:10" ht="16">
      <c r="A520" s="79" t="s">
        <v>1124</v>
      </c>
      <c r="B520" s="79" t="s">
        <v>1100</v>
      </c>
      <c r="C520" s="80" t="s">
        <v>126</v>
      </c>
      <c r="D520" s="81" t="s">
        <v>103</v>
      </c>
      <c r="E520" s="82">
        <v>8652</v>
      </c>
      <c r="F520" s="82">
        <v>401</v>
      </c>
      <c r="G520" s="82">
        <v>779</v>
      </c>
      <c r="H520" s="84">
        <v>21.5</v>
      </c>
      <c r="I520" s="84">
        <v>3684</v>
      </c>
      <c r="J520" s="84">
        <v>18.5</v>
      </c>
    </row>
    <row r="521" spans="1:10" ht="16">
      <c r="A521" s="79" t="s">
        <v>1125</v>
      </c>
      <c r="B521" s="79" t="s">
        <v>1100</v>
      </c>
      <c r="C521" s="80" t="s">
        <v>126</v>
      </c>
      <c r="D521" s="81" t="s">
        <v>77</v>
      </c>
      <c r="E521" s="82">
        <v>27254</v>
      </c>
      <c r="F521" s="82">
        <v>2455</v>
      </c>
      <c r="G521" s="82">
        <v>2998</v>
      </c>
      <c r="H521" s="84">
        <v>62.7</v>
      </c>
      <c r="I521" s="84">
        <v>40179</v>
      </c>
      <c r="J521" s="84">
        <v>57</v>
      </c>
    </row>
    <row r="522" spans="1:10" ht="16">
      <c r="A522" s="79" t="s">
        <v>1126</v>
      </c>
      <c r="B522" s="79" t="s">
        <v>1100</v>
      </c>
      <c r="C522" s="80" t="s">
        <v>126</v>
      </c>
      <c r="D522" s="81" t="s">
        <v>76</v>
      </c>
      <c r="E522" s="82">
        <v>8340</v>
      </c>
      <c r="F522" s="82">
        <v>428</v>
      </c>
      <c r="G522" s="82">
        <v>1251</v>
      </c>
      <c r="H522" s="84">
        <v>41.8</v>
      </c>
      <c r="I522" s="84">
        <v>16516</v>
      </c>
      <c r="J522" s="84">
        <v>29.7</v>
      </c>
    </row>
    <row r="523" spans="1:10" ht="16">
      <c r="A523" s="79" t="s">
        <v>1199</v>
      </c>
      <c r="B523" s="79" t="s">
        <v>1197</v>
      </c>
      <c r="C523" s="80" t="s">
        <v>126</v>
      </c>
      <c r="D523" s="81" t="s">
        <v>75</v>
      </c>
      <c r="E523" s="82">
        <v>13411</v>
      </c>
      <c r="F523" s="82">
        <v>1597</v>
      </c>
      <c r="G523" s="82">
        <v>1207</v>
      </c>
      <c r="H523" s="84">
        <v>7.8</v>
      </c>
      <c r="I523" s="84">
        <v>422</v>
      </c>
      <c r="J523" s="84">
        <v>19.600000000000001</v>
      </c>
    </row>
    <row r="524" spans="1:10" ht="16">
      <c r="A524" s="79" t="s">
        <v>471</v>
      </c>
      <c r="B524" s="79" t="s">
        <v>467</v>
      </c>
      <c r="C524" s="80" t="s">
        <v>126</v>
      </c>
      <c r="D524" s="81" t="s">
        <v>96</v>
      </c>
      <c r="E524" s="82">
        <v>14133</v>
      </c>
      <c r="F524" s="82">
        <v>686</v>
      </c>
      <c r="G524" s="82">
        <v>1131</v>
      </c>
      <c r="H524" s="84">
        <v>12.8</v>
      </c>
      <c r="I524" s="84">
        <v>5783</v>
      </c>
      <c r="J524" s="84">
        <v>23</v>
      </c>
    </row>
    <row r="525" spans="1:10" ht="16">
      <c r="A525" s="79" t="s">
        <v>1127</v>
      </c>
      <c r="B525" s="79" t="s">
        <v>1100</v>
      </c>
      <c r="C525" s="80" t="s">
        <v>126</v>
      </c>
      <c r="D525" s="81" t="s">
        <v>103</v>
      </c>
      <c r="E525" s="82">
        <v>14853</v>
      </c>
      <c r="F525" s="82">
        <v>825</v>
      </c>
      <c r="G525" s="82">
        <v>1485</v>
      </c>
      <c r="H525" s="84">
        <v>46.2</v>
      </c>
      <c r="I525" s="84">
        <v>23184</v>
      </c>
      <c r="J525" s="84">
        <v>35.4</v>
      </c>
    </row>
    <row r="526" spans="1:10" ht="16">
      <c r="A526" s="79" t="s">
        <v>325</v>
      </c>
      <c r="B526" s="79" t="s">
        <v>323</v>
      </c>
      <c r="C526" s="80" t="s">
        <v>126</v>
      </c>
      <c r="D526" s="81" t="s">
        <v>75</v>
      </c>
      <c r="E526" s="82">
        <v>52085</v>
      </c>
      <c r="F526" s="82">
        <v>2325</v>
      </c>
      <c r="G526" s="82">
        <v>521</v>
      </c>
      <c r="H526" s="84">
        <v>14.5</v>
      </c>
      <c r="I526" s="84">
        <v>3788</v>
      </c>
      <c r="J526" s="84">
        <v>19</v>
      </c>
    </row>
    <row r="527" spans="1:10" ht="16">
      <c r="A527" s="79" t="s">
        <v>104</v>
      </c>
      <c r="B527" s="79" t="s">
        <v>105</v>
      </c>
      <c r="C527" s="80" t="s">
        <v>95</v>
      </c>
      <c r="D527" s="81" t="s">
        <v>96</v>
      </c>
      <c r="E527" s="82">
        <v>46096</v>
      </c>
      <c r="F527" s="82">
        <v>4802</v>
      </c>
      <c r="G527" s="82">
        <v>922</v>
      </c>
      <c r="H527" s="84">
        <v>7.1</v>
      </c>
      <c r="I527" s="84">
        <v>1830</v>
      </c>
      <c r="J527" s="84">
        <v>18</v>
      </c>
    </row>
    <row r="528" spans="1:10" ht="16">
      <c r="A528" s="79" t="s">
        <v>602</v>
      </c>
      <c r="B528" s="79" t="s">
        <v>600</v>
      </c>
      <c r="C528" s="80" t="s">
        <v>95</v>
      </c>
      <c r="D528" s="81" t="s">
        <v>149</v>
      </c>
      <c r="E528" s="82">
        <v>13911</v>
      </c>
      <c r="F528" s="82">
        <v>523</v>
      </c>
      <c r="G528" s="82">
        <v>2365</v>
      </c>
      <c r="H528" s="84">
        <v>29.9</v>
      </c>
      <c r="I528" s="84">
        <v>22878</v>
      </c>
      <c r="J528" s="84">
        <v>27.1</v>
      </c>
    </row>
    <row r="529" spans="1:10" ht="16">
      <c r="A529" s="79" t="s">
        <v>1128</v>
      </c>
      <c r="B529" s="79" t="s">
        <v>1100</v>
      </c>
      <c r="C529" s="80" t="s">
        <v>126</v>
      </c>
      <c r="D529" s="81" t="s">
        <v>75</v>
      </c>
      <c r="E529" s="82">
        <v>5550</v>
      </c>
      <c r="F529" s="82">
        <v>238</v>
      </c>
      <c r="G529" s="82">
        <v>222</v>
      </c>
      <c r="H529" s="84">
        <v>16.100000000000001</v>
      </c>
      <c r="I529" s="84">
        <v>985</v>
      </c>
      <c r="J529" s="84">
        <v>13.6</v>
      </c>
    </row>
    <row r="530" spans="1:10" ht="16">
      <c r="A530" s="79" t="s">
        <v>955</v>
      </c>
      <c r="B530" s="79" t="s">
        <v>938</v>
      </c>
      <c r="C530" s="80" t="s">
        <v>126</v>
      </c>
      <c r="D530" s="81" t="s">
        <v>77</v>
      </c>
      <c r="E530" s="82">
        <v>7090</v>
      </c>
      <c r="F530" s="82">
        <v>627</v>
      </c>
      <c r="G530" s="82">
        <v>1843</v>
      </c>
      <c r="H530" s="84">
        <v>23.7</v>
      </c>
      <c r="I530" s="84">
        <v>6899</v>
      </c>
      <c r="J530" s="84">
        <v>24.3</v>
      </c>
    </row>
    <row r="531" spans="1:10" ht="16">
      <c r="A531" s="79" t="s">
        <v>882</v>
      </c>
      <c r="B531" s="79" t="s">
        <v>877</v>
      </c>
      <c r="C531" s="80" t="s">
        <v>126</v>
      </c>
      <c r="D531" s="81" t="s">
        <v>77</v>
      </c>
      <c r="E531" s="82">
        <v>10645</v>
      </c>
      <c r="F531" s="82">
        <v>1314</v>
      </c>
      <c r="G531" s="82">
        <v>319</v>
      </c>
      <c r="H531" s="84">
        <v>11.7</v>
      </c>
      <c r="I531" s="84">
        <v>4120</v>
      </c>
      <c r="J531" s="84">
        <v>21.1</v>
      </c>
    </row>
    <row r="532" spans="1:10" ht="16">
      <c r="A532" s="79" t="s">
        <v>987</v>
      </c>
      <c r="B532" s="79" t="s">
        <v>986</v>
      </c>
      <c r="C532" s="80" t="s">
        <v>95</v>
      </c>
      <c r="D532" s="81" t="s">
        <v>96</v>
      </c>
      <c r="E532" s="82">
        <v>30869</v>
      </c>
      <c r="F532" s="82">
        <v>1725</v>
      </c>
      <c r="G532" s="82">
        <v>8643</v>
      </c>
      <c r="H532" s="84">
        <v>90.4</v>
      </c>
      <c r="I532" s="84">
        <v>69580</v>
      </c>
      <c r="J532" s="84">
        <v>76.8</v>
      </c>
    </row>
    <row r="533" spans="1:10" ht="16">
      <c r="A533" s="79" t="s">
        <v>106</v>
      </c>
      <c r="B533" s="79" t="s">
        <v>105</v>
      </c>
      <c r="C533" s="80" t="s">
        <v>95</v>
      </c>
      <c r="D533" s="81" t="s">
        <v>75</v>
      </c>
      <c r="E533" s="82">
        <v>20987</v>
      </c>
      <c r="F533" s="82">
        <v>1312</v>
      </c>
      <c r="G533" s="82">
        <v>2099</v>
      </c>
      <c r="H533" s="84">
        <v>7.4</v>
      </c>
      <c r="I533" s="84">
        <v>574</v>
      </c>
      <c r="J533" s="84">
        <v>16.399999999999999</v>
      </c>
    </row>
    <row r="534" spans="1:10" ht="16">
      <c r="A534" s="79" t="s">
        <v>1129</v>
      </c>
      <c r="B534" s="79" t="s">
        <v>1100</v>
      </c>
      <c r="C534" s="80" t="s">
        <v>126</v>
      </c>
      <c r="D534" s="81" t="s">
        <v>96</v>
      </c>
      <c r="E534" s="82">
        <v>4258</v>
      </c>
      <c r="F534" s="82">
        <v>835</v>
      </c>
      <c r="G534" s="82">
        <v>85</v>
      </c>
      <c r="H534" s="84">
        <v>18.8</v>
      </c>
      <c r="I534" s="84">
        <v>11328</v>
      </c>
      <c r="J534" s="84">
        <v>38.700000000000003</v>
      </c>
    </row>
    <row r="535" spans="1:10" ht="16">
      <c r="A535" s="79" t="s">
        <v>1130</v>
      </c>
      <c r="B535" s="79" t="s">
        <v>1100</v>
      </c>
      <c r="C535" s="80" t="s">
        <v>126</v>
      </c>
      <c r="D535" s="81" t="s">
        <v>149</v>
      </c>
      <c r="E535" s="82">
        <v>9215</v>
      </c>
      <c r="F535" s="82">
        <v>370</v>
      </c>
      <c r="G535" s="82">
        <v>369</v>
      </c>
      <c r="H535" s="84">
        <v>26.4</v>
      </c>
      <c r="I535" s="84">
        <v>1928</v>
      </c>
      <c r="J535" s="84">
        <v>17.2</v>
      </c>
    </row>
    <row r="536" spans="1:10" ht="16">
      <c r="A536" s="79" t="s">
        <v>1358</v>
      </c>
      <c r="B536" s="79" t="s">
        <v>1307</v>
      </c>
      <c r="C536" s="80" t="s">
        <v>126</v>
      </c>
      <c r="D536" s="81" t="s">
        <v>111</v>
      </c>
      <c r="E536" s="82">
        <v>9279</v>
      </c>
      <c r="F536" s="82">
        <v>615</v>
      </c>
      <c r="G536" s="82">
        <v>1577</v>
      </c>
      <c r="H536" s="84">
        <v>19.2</v>
      </c>
      <c r="I536" s="84">
        <v>11190</v>
      </c>
      <c r="J536" s="84">
        <v>21.3</v>
      </c>
    </row>
    <row r="537" spans="1:10" ht="16">
      <c r="A537" s="79" t="s">
        <v>1359</v>
      </c>
      <c r="B537" s="79" t="s">
        <v>1307</v>
      </c>
      <c r="C537" s="80" t="s">
        <v>126</v>
      </c>
      <c r="D537" s="81" t="s">
        <v>78</v>
      </c>
      <c r="E537" s="82">
        <v>1809</v>
      </c>
      <c r="F537" s="82">
        <v>160</v>
      </c>
      <c r="G537" s="82">
        <v>145</v>
      </c>
      <c r="H537" s="84">
        <v>14.6</v>
      </c>
      <c r="I537" s="84">
        <v>10371</v>
      </c>
      <c r="J537" s="84">
        <v>22.3</v>
      </c>
    </row>
    <row r="538" spans="1:10" ht="16">
      <c r="A538" s="79" t="s">
        <v>1360</v>
      </c>
      <c r="B538" s="79" t="s">
        <v>1307</v>
      </c>
      <c r="C538" s="80" t="s">
        <v>95</v>
      </c>
      <c r="D538" s="81" t="s">
        <v>96</v>
      </c>
      <c r="E538" s="82">
        <v>12753</v>
      </c>
      <c r="F538" s="82">
        <v>773</v>
      </c>
      <c r="G538" s="82">
        <v>1020</v>
      </c>
      <c r="H538" s="84">
        <v>14.7</v>
      </c>
      <c r="I538" s="84">
        <v>7967</v>
      </c>
      <c r="J538" s="84">
        <v>21.5</v>
      </c>
    </row>
    <row r="539" spans="1:10" ht="16">
      <c r="A539" s="79" t="s">
        <v>1361</v>
      </c>
      <c r="B539" s="79" t="s">
        <v>1307</v>
      </c>
      <c r="C539" s="80" t="s">
        <v>95</v>
      </c>
      <c r="D539" s="81" t="s">
        <v>149</v>
      </c>
      <c r="E539" s="82">
        <v>44466</v>
      </c>
      <c r="F539" s="82">
        <v>4996</v>
      </c>
      <c r="G539" s="82">
        <v>14674</v>
      </c>
      <c r="H539" s="84">
        <v>77.5</v>
      </c>
      <c r="I539" s="84">
        <v>74848</v>
      </c>
      <c r="J539" s="84">
        <v>76.8</v>
      </c>
    </row>
    <row r="540" spans="1:10" ht="16">
      <c r="A540" s="79" t="s">
        <v>1241</v>
      </c>
      <c r="B540" s="79" t="s">
        <v>1209</v>
      </c>
      <c r="C540" s="80" t="s">
        <v>95</v>
      </c>
      <c r="D540" s="81" t="s">
        <v>111</v>
      </c>
      <c r="E540" s="82">
        <v>22691</v>
      </c>
      <c r="F540" s="82">
        <v>1609</v>
      </c>
      <c r="G540" s="82">
        <v>6127</v>
      </c>
      <c r="H540" s="84">
        <v>36.200000000000003</v>
      </c>
      <c r="I540" s="84">
        <v>31016</v>
      </c>
      <c r="J540" s="84">
        <v>31.5</v>
      </c>
    </row>
    <row r="541" spans="1:10" ht="16">
      <c r="A541" s="79" t="s">
        <v>903</v>
      </c>
      <c r="B541" s="79" t="s">
        <v>898</v>
      </c>
      <c r="C541" s="80" t="s">
        <v>95</v>
      </c>
      <c r="D541" s="81" t="s">
        <v>149</v>
      </c>
      <c r="E541" s="82">
        <v>22438</v>
      </c>
      <c r="F541" s="82">
        <v>2021</v>
      </c>
      <c r="G541" s="82">
        <v>449</v>
      </c>
      <c r="H541" s="84">
        <v>10.5</v>
      </c>
      <c r="I541" s="84">
        <v>2354</v>
      </c>
      <c r="J541" s="84">
        <v>18.8</v>
      </c>
    </row>
    <row r="542" spans="1:10" ht="16">
      <c r="A542" s="79" t="s">
        <v>712</v>
      </c>
      <c r="B542" s="79" t="s">
        <v>661</v>
      </c>
      <c r="C542" s="80" t="s">
        <v>126</v>
      </c>
      <c r="D542" s="81" t="s">
        <v>75</v>
      </c>
      <c r="E542" s="82">
        <v>12158</v>
      </c>
      <c r="F542" s="82">
        <v>1539</v>
      </c>
      <c r="G542" s="82">
        <v>243</v>
      </c>
      <c r="H542" s="84">
        <v>13</v>
      </c>
      <c r="I542" s="84">
        <v>5392</v>
      </c>
      <c r="J542" s="84">
        <v>23.9</v>
      </c>
    </row>
    <row r="543" spans="1:10" ht="16">
      <c r="A543" s="79" t="s">
        <v>713</v>
      </c>
      <c r="B543" s="79" t="s">
        <v>661</v>
      </c>
      <c r="C543" s="80" t="s">
        <v>126</v>
      </c>
      <c r="D543" s="81" t="s">
        <v>149</v>
      </c>
      <c r="E543" s="82">
        <v>850</v>
      </c>
      <c r="F543" s="82">
        <v>944</v>
      </c>
      <c r="G543" s="82">
        <v>59</v>
      </c>
      <c r="H543" s="84">
        <v>8.8000000000000007</v>
      </c>
      <c r="I543" s="84">
        <v>4877</v>
      </c>
      <c r="J543" s="84">
        <v>25.7</v>
      </c>
    </row>
    <row r="544" spans="1:10" ht="16">
      <c r="A544" s="79" t="s">
        <v>403</v>
      </c>
      <c r="B544" s="79" t="s">
        <v>396</v>
      </c>
      <c r="C544" s="80" t="s">
        <v>95</v>
      </c>
      <c r="D544" s="81" t="s">
        <v>111</v>
      </c>
      <c r="E544" s="82">
        <v>68013</v>
      </c>
      <c r="F544" s="82">
        <v>3350</v>
      </c>
      <c r="G544" s="82">
        <v>7481</v>
      </c>
      <c r="H544" s="84">
        <v>12.9</v>
      </c>
      <c r="I544" s="84">
        <v>5012</v>
      </c>
      <c r="J544" s="84">
        <v>17.399999999999999</v>
      </c>
    </row>
    <row r="545" spans="1:10" ht="16">
      <c r="A545" s="79" t="s">
        <v>1362</v>
      </c>
      <c r="B545" s="79" t="s">
        <v>1307</v>
      </c>
      <c r="C545" s="80" t="s">
        <v>126</v>
      </c>
      <c r="D545" s="81" t="s">
        <v>149</v>
      </c>
      <c r="E545" s="82">
        <v>30231</v>
      </c>
      <c r="F545" s="82">
        <v>2418</v>
      </c>
      <c r="G545" s="82">
        <v>4535</v>
      </c>
      <c r="H545" s="84">
        <v>35.299999999999997</v>
      </c>
      <c r="I545" s="84">
        <v>22886</v>
      </c>
      <c r="J545" s="84">
        <v>36.700000000000003</v>
      </c>
    </row>
    <row r="546" spans="1:10" ht="16">
      <c r="A546" s="79" t="s">
        <v>279</v>
      </c>
      <c r="B546" s="79" t="s">
        <v>242</v>
      </c>
      <c r="C546" s="80" t="s">
        <v>126</v>
      </c>
      <c r="D546" s="81" t="s">
        <v>103</v>
      </c>
      <c r="E546" s="82">
        <v>30733</v>
      </c>
      <c r="F546" s="82">
        <v>1851</v>
      </c>
      <c r="G546" s="82">
        <v>615</v>
      </c>
      <c r="H546" s="84">
        <v>11.9</v>
      </c>
      <c r="I546" s="84">
        <v>3406</v>
      </c>
      <c r="J546" s="84">
        <v>17.3</v>
      </c>
    </row>
    <row r="547" spans="1:10" ht="16">
      <c r="A547" s="79" t="s">
        <v>995</v>
      </c>
      <c r="B547" s="79" t="s">
        <v>996</v>
      </c>
      <c r="C547" s="80" t="s">
        <v>95</v>
      </c>
      <c r="D547" s="81" t="s">
        <v>75</v>
      </c>
      <c r="E547" s="82">
        <v>36749</v>
      </c>
      <c r="F547" s="82">
        <v>1229</v>
      </c>
      <c r="G547" s="82">
        <v>1470</v>
      </c>
      <c r="H547" s="84">
        <v>17.100000000000001</v>
      </c>
      <c r="I547" s="84">
        <v>12019</v>
      </c>
      <c r="J547" s="84">
        <v>20.100000000000001</v>
      </c>
    </row>
    <row r="548" spans="1:10" ht="16">
      <c r="A548" s="79" t="s">
        <v>280</v>
      </c>
      <c r="B548" s="79" t="s">
        <v>242</v>
      </c>
      <c r="C548" s="80" t="s">
        <v>95</v>
      </c>
      <c r="D548" s="81" t="s">
        <v>99</v>
      </c>
      <c r="E548" s="82">
        <v>25425</v>
      </c>
      <c r="F548" s="82">
        <v>1730</v>
      </c>
      <c r="G548" s="82">
        <v>509</v>
      </c>
      <c r="H548" s="84">
        <v>10.3</v>
      </c>
      <c r="I548" s="84">
        <v>5018</v>
      </c>
      <c r="J548" s="84">
        <v>24.3</v>
      </c>
    </row>
    <row r="549" spans="1:10" ht="16">
      <c r="A549" s="79" t="s">
        <v>281</v>
      </c>
      <c r="B549" s="79" t="s">
        <v>242</v>
      </c>
      <c r="C549" s="80" t="s">
        <v>95</v>
      </c>
      <c r="D549" s="81" t="s">
        <v>101</v>
      </c>
      <c r="E549" s="82">
        <v>36015</v>
      </c>
      <c r="F549" s="82">
        <v>2484</v>
      </c>
      <c r="G549" s="82">
        <v>1441</v>
      </c>
      <c r="H549" s="84">
        <v>22.1</v>
      </c>
      <c r="I549" s="84">
        <v>4275</v>
      </c>
      <c r="J549" s="84">
        <v>24.8</v>
      </c>
    </row>
    <row r="550" spans="1:10" ht="16">
      <c r="A550" s="79" t="s">
        <v>281</v>
      </c>
      <c r="B550" s="79" t="s">
        <v>1307</v>
      </c>
      <c r="C550" s="80" t="s">
        <v>126</v>
      </c>
      <c r="D550" s="81" t="s">
        <v>99</v>
      </c>
      <c r="E550" s="82">
        <v>19575</v>
      </c>
      <c r="F550" s="82">
        <v>1408</v>
      </c>
      <c r="G550" s="82">
        <v>6851</v>
      </c>
      <c r="H550" s="84">
        <v>27.9</v>
      </c>
      <c r="I550" s="84">
        <v>27246</v>
      </c>
      <c r="J550" s="84">
        <v>38</v>
      </c>
    </row>
    <row r="551" spans="1:10" ht="16">
      <c r="A551" s="79" t="s">
        <v>1363</v>
      </c>
      <c r="B551" s="79" t="s">
        <v>1307</v>
      </c>
      <c r="C551" s="80" t="s">
        <v>95</v>
      </c>
      <c r="D551" s="81" t="s">
        <v>99</v>
      </c>
      <c r="E551" s="82">
        <v>29684</v>
      </c>
      <c r="F551" s="82">
        <v>1056</v>
      </c>
      <c r="G551" s="82">
        <v>1484</v>
      </c>
      <c r="H551" s="84">
        <v>14.7</v>
      </c>
      <c r="I551" s="84">
        <v>12118</v>
      </c>
      <c r="J551" s="84">
        <v>20.2</v>
      </c>
    </row>
    <row r="552" spans="1:10" ht="16">
      <c r="A552" s="79" t="s">
        <v>1242</v>
      </c>
      <c r="B552" s="79" t="s">
        <v>1209</v>
      </c>
      <c r="C552" s="80" t="s">
        <v>95</v>
      </c>
      <c r="D552" s="81" t="s">
        <v>96</v>
      </c>
      <c r="E552" s="82">
        <v>21811</v>
      </c>
      <c r="F552" s="82">
        <v>1246</v>
      </c>
      <c r="G552" s="82">
        <v>3708</v>
      </c>
      <c r="H552" s="84">
        <v>18.100000000000001</v>
      </c>
      <c r="I552" s="84">
        <v>15508</v>
      </c>
      <c r="J552" s="84">
        <v>19.399999999999999</v>
      </c>
    </row>
    <row r="553" spans="1:10" ht="16">
      <c r="A553" s="79" t="s">
        <v>282</v>
      </c>
      <c r="B553" s="79" t="s">
        <v>242</v>
      </c>
      <c r="C553" s="80" t="s">
        <v>95</v>
      </c>
      <c r="D553" s="81" t="s">
        <v>77</v>
      </c>
      <c r="E553" s="82">
        <v>29327</v>
      </c>
      <c r="F553" s="82">
        <v>1917</v>
      </c>
      <c r="G553" s="82">
        <v>293</v>
      </c>
      <c r="H553" s="84">
        <v>13.1</v>
      </c>
      <c r="I553" s="84">
        <v>4959</v>
      </c>
      <c r="J553" s="84">
        <v>20.100000000000001</v>
      </c>
    </row>
    <row r="554" spans="1:10" ht="16">
      <c r="A554" s="79" t="s">
        <v>283</v>
      </c>
      <c r="B554" s="79" t="s">
        <v>242</v>
      </c>
      <c r="C554" s="80" t="s">
        <v>95</v>
      </c>
      <c r="D554" s="81" t="s">
        <v>96</v>
      </c>
      <c r="E554" s="82">
        <v>24237</v>
      </c>
      <c r="F554" s="82">
        <v>1638</v>
      </c>
      <c r="G554" s="82">
        <v>969</v>
      </c>
      <c r="H554" s="84">
        <v>12.7</v>
      </c>
      <c r="I554" s="84">
        <v>4788</v>
      </c>
      <c r="J554" s="84">
        <v>19.3</v>
      </c>
    </row>
    <row r="555" spans="1:10" ht="16">
      <c r="A555" s="79" t="s">
        <v>284</v>
      </c>
      <c r="B555" s="79" t="s">
        <v>242</v>
      </c>
      <c r="C555" s="80" t="s">
        <v>126</v>
      </c>
      <c r="D555" s="81" t="s">
        <v>149</v>
      </c>
      <c r="E555" s="82">
        <v>28432</v>
      </c>
      <c r="F555" s="82">
        <v>2045</v>
      </c>
      <c r="G555" s="82">
        <v>1137</v>
      </c>
      <c r="H555" s="84">
        <v>33.6</v>
      </c>
      <c r="I555" s="84">
        <v>13521</v>
      </c>
      <c r="J555" s="84">
        <v>26.2</v>
      </c>
    </row>
    <row r="556" spans="1:10" ht="16">
      <c r="A556" s="79" t="s">
        <v>1364</v>
      </c>
      <c r="B556" s="79" t="s">
        <v>1307</v>
      </c>
      <c r="C556" s="80" t="s">
        <v>126</v>
      </c>
      <c r="D556" s="81" t="s">
        <v>103</v>
      </c>
      <c r="E556" s="82">
        <v>17951</v>
      </c>
      <c r="F556" s="82">
        <v>1402</v>
      </c>
      <c r="G556" s="82">
        <v>3590</v>
      </c>
      <c r="H556" s="84">
        <v>83.8</v>
      </c>
      <c r="I556" s="84">
        <v>82042</v>
      </c>
      <c r="J556" s="84">
        <v>74.2</v>
      </c>
    </row>
    <row r="557" spans="1:10" ht="16">
      <c r="A557" s="79" t="s">
        <v>868</v>
      </c>
      <c r="B557" s="79" t="s">
        <v>869</v>
      </c>
      <c r="C557" s="80" t="s">
        <v>95</v>
      </c>
      <c r="D557" s="81" t="s">
        <v>75</v>
      </c>
      <c r="E557" s="82">
        <v>5790</v>
      </c>
      <c r="F557" s="82">
        <v>839</v>
      </c>
      <c r="G557" s="82">
        <v>1216</v>
      </c>
      <c r="H557" s="84">
        <v>10.5</v>
      </c>
      <c r="I557" s="84">
        <v>6992</v>
      </c>
      <c r="J557" s="84">
        <v>26.5</v>
      </c>
    </row>
    <row r="558" spans="1:10" ht="16">
      <c r="A558" s="79" t="s">
        <v>870</v>
      </c>
      <c r="B558" s="79" t="s">
        <v>869</v>
      </c>
      <c r="C558" s="80" t="s">
        <v>126</v>
      </c>
      <c r="D558" s="81" t="s">
        <v>103</v>
      </c>
      <c r="E558" s="82">
        <v>35181</v>
      </c>
      <c r="F558" s="82">
        <v>2227</v>
      </c>
      <c r="G558" s="82">
        <v>2814</v>
      </c>
      <c r="H558" s="84">
        <v>28.3</v>
      </c>
      <c r="I558" s="84">
        <v>18236</v>
      </c>
      <c r="J558" s="84">
        <v>26.2</v>
      </c>
    </row>
    <row r="559" spans="1:10" ht="16">
      <c r="A559" s="79" t="s">
        <v>1243</v>
      </c>
      <c r="B559" s="79" t="s">
        <v>1209</v>
      </c>
      <c r="C559" s="80" t="s">
        <v>95</v>
      </c>
      <c r="D559" s="81" t="s">
        <v>78</v>
      </c>
      <c r="E559" s="82">
        <v>24140</v>
      </c>
      <c r="F559" s="82">
        <v>1609</v>
      </c>
      <c r="G559" s="82">
        <v>4587</v>
      </c>
      <c r="H559" s="84">
        <v>12.9</v>
      </c>
      <c r="I559" s="84">
        <v>7684</v>
      </c>
      <c r="J559" s="84">
        <v>17.7</v>
      </c>
    </row>
    <row r="560" spans="1:10" ht="16">
      <c r="A560" s="79" t="s">
        <v>1365</v>
      </c>
      <c r="B560" s="79" t="s">
        <v>1307</v>
      </c>
      <c r="C560" s="80" t="s">
        <v>95</v>
      </c>
      <c r="D560" s="81" t="s">
        <v>79</v>
      </c>
      <c r="E560" s="82">
        <v>17785</v>
      </c>
      <c r="F560" s="82">
        <v>760</v>
      </c>
      <c r="G560" s="82">
        <v>1067</v>
      </c>
      <c r="H560" s="84">
        <v>10.3</v>
      </c>
      <c r="I560" s="84">
        <v>10275</v>
      </c>
      <c r="J560" s="84">
        <v>33.799999999999997</v>
      </c>
    </row>
    <row r="561" spans="1:10" ht="16">
      <c r="A561" s="79" t="s">
        <v>914</v>
      </c>
      <c r="B561" s="79" t="s">
        <v>912</v>
      </c>
      <c r="C561" s="80" t="s">
        <v>126</v>
      </c>
      <c r="D561" s="81" t="s">
        <v>101</v>
      </c>
      <c r="E561" s="82">
        <v>19694</v>
      </c>
      <c r="F561" s="82">
        <v>1088</v>
      </c>
      <c r="G561" s="82">
        <v>3348</v>
      </c>
      <c r="H561" s="84">
        <v>25.7</v>
      </c>
      <c r="I561" s="84">
        <v>12003</v>
      </c>
      <c r="J561" s="84">
        <v>24.9</v>
      </c>
    </row>
    <row r="562" spans="1:10" ht="16">
      <c r="A562" s="79" t="s">
        <v>956</v>
      </c>
      <c r="B562" s="79" t="s">
        <v>938</v>
      </c>
      <c r="C562" s="80" t="s">
        <v>126</v>
      </c>
      <c r="D562" s="81" t="s">
        <v>79</v>
      </c>
      <c r="E562" s="82">
        <v>11640</v>
      </c>
      <c r="F562" s="82">
        <v>1021</v>
      </c>
      <c r="G562" s="82">
        <v>2328</v>
      </c>
      <c r="H562" s="84">
        <v>12.6</v>
      </c>
      <c r="I562" s="84">
        <v>1886</v>
      </c>
      <c r="J562" s="84">
        <v>20.5</v>
      </c>
    </row>
    <row r="563" spans="1:10" ht="16">
      <c r="A563" s="79" t="s">
        <v>957</v>
      </c>
      <c r="B563" s="79" t="s">
        <v>938</v>
      </c>
      <c r="C563" s="80" t="s">
        <v>126</v>
      </c>
      <c r="D563" s="81" t="s">
        <v>99</v>
      </c>
      <c r="E563" s="82">
        <v>7123</v>
      </c>
      <c r="F563" s="82">
        <v>1149</v>
      </c>
      <c r="G563" s="82">
        <v>1425</v>
      </c>
      <c r="H563" s="84">
        <v>31.9</v>
      </c>
      <c r="I563" s="84">
        <v>9674</v>
      </c>
      <c r="J563" s="84">
        <v>42.8</v>
      </c>
    </row>
    <row r="564" spans="1:10" ht="16">
      <c r="A564" s="79" t="s">
        <v>1366</v>
      </c>
      <c r="B564" s="79" t="s">
        <v>1307</v>
      </c>
      <c r="C564" s="80" t="s">
        <v>95</v>
      </c>
      <c r="D564" s="81" t="s">
        <v>111</v>
      </c>
      <c r="E564" s="82">
        <v>15887</v>
      </c>
      <c r="F564" s="82">
        <v>841</v>
      </c>
      <c r="G564" s="82">
        <v>635</v>
      </c>
      <c r="H564" s="84">
        <v>12.7</v>
      </c>
      <c r="I564" s="84">
        <v>3114</v>
      </c>
      <c r="J564" s="84">
        <v>25.5</v>
      </c>
    </row>
    <row r="565" spans="1:10" ht="16">
      <c r="A565" s="79" t="s">
        <v>285</v>
      </c>
      <c r="B565" s="79" t="s">
        <v>242</v>
      </c>
      <c r="C565" s="80" t="s">
        <v>95</v>
      </c>
      <c r="D565" s="81" t="s">
        <v>149</v>
      </c>
      <c r="E565" s="82">
        <v>32059</v>
      </c>
      <c r="F565" s="82">
        <v>1832</v>
      </c>
      <c r="G565" s="82">
        <v>1282</v>
      </c>
      <c r="H565" s="84">
        <v>15.6</v>
      </c>
      <c r="I565" s="84">
        <v>4088</v>
      </c>
      <c r="J565" s="84">
        <v>20.3</v>
      </c>
    </row>
    <row r="566" spans="1:10" ht="16">
      <c r="A566" s="79" t="s">
        <v>714</v>
      </c>
      <c r="B566" s="79" t="s">
        <v>661</v>
      </c>
      <c r="C566" s="80" t="s">
        <v>126</v>
      </c>
      <c r="D566" s="81" t="s">
        <v>103</v>
      </c>
      <c r="E566" s="82">
        <v>2775</v>
      </c>
      <c r="F566" s="82">
        <v>188</v>
      </c>
      <c r="G566" s="82">
        <v>111</v>
      </c>
      <c r="H566" s="84">
        <v>12.7</v>
      </c>
      <c r="I566" s="84">
        <v>1658</v>
      </c>
      <c r="J566" s="84">
        <v>23.3</v>
      </c>
    </row>
    <row r="567" spans="1:10" ht="16">
      <c r="A567" s="79" t="s">
        <v>1367</v>
      </c>
      <c r="B567" s="79" t="s">
        <v>1307</v>
      </c>
      <c r="C567" s="80" t="s">
        <v>126</v>
      </c>
      <c r="D567" s="81" t="s">
        <v>78</v>
      </c>
      <c r="E567" s="82">
        <v>54372</v>
      </c>
      <c r="F567" s="82">
        <v>4350</v>
      </c>
      <c r="G567" s="82">
        <v>7068</v>
      </c>
      <c r="H567" s="84">
        <v>56.1</v>
      </c>
      <c r="I567" s="84">
        <v>48999</v>
      </c>
      <c r="J567" s="84">
        <v>57.5</v>
      </c>
    </row>
    <row r="568" spans="1:10" ht="16">
      <c r="A568" s="79" t="s">
        <v>1368</v>
      </c>
      <c r="B568" s="79" t="s">
        <v>1307</v>
      </c>
      <c r="C568" s="80" t="s">
        <v>95</v>
      </c>
      <c r="D568" s="81" t="s">
        <v>79</v>
      </c>
      <c r="E568" s="82">
        <v>25013</v>
      </c>
      <c r="F568" s="82">
        <v>1122</v>
      </c>
      <c r="G568" s="82">
        <v>1251</v>
      </c>
      <c r="H568" s="84">
        <v>17.399999999999999</v>
      </c>
      <c r="I568" s="84">
        <v>7585</v>
      </c>
      <c r="J568" s="84">
        <v>28.5</v>
      </c>
    </row>
    <row r="569" spans="1:10" ht="16">
      <c r="A569" s="79" t="s">
        <v>715</v>
      </c>
      <c r="B569" s="79" t="s">
        <v>661</v>
      </c>
      <c r="C569" s="80" t="s">
        <v>126</v>
      </c>
      <c r="D569" s="81" t="s">
        <v>103</v>
      </c>
      <c r="E569" s="82">
        <v>5693</v>
      </c>
      <c r="F569" s="82">
        <v>619</v>
      </c>
      <c r="G569" s="82">
        <v>57</v>
      </c>
      <c r="H569" s="84">
        <v>9.1999999999999993</v>
      </c>
      <c r="I569" s="84">
        <v>1895</v>
      </c>
      <c r="J569" s="84">
        <v>19.399999999999999</v>
      </c>
    </row>
    <row r="570" spans="1:10" ht="16">
      <c r="A570" s="79" t="s">
        <v>716</v>
      </c>
      <c r="B570" s="79" t="s">
        <v>661</v>
      </c>
      <c r="C570" s="80" t="s">
        <v>126</v>
      </c>
      <c r="D570" s="81" t="s">
        <v>101</v>
      </c>
      <c r="E570" s="82">
        <v>13099</v>
      </c>
      <c r="F570" s="82">
        <v>1637</v>
      </c>
      <c r="G570" s="82">
        <v>1048</v>
      </c>
      <c r="H570" s="84">
        <v>16.600000000000001</v>
      </c>
      <c r="I570" s="84">
        <v>4505</v>
      </c>
      <c r="J570" s="84">
        <v>25.6</v>
      </c>
    </row>
    <row r="571" spans="1:10" ht="16">
      <c r="A571" s="79" t="s">
        <v>1369</v>
      </c>
      <c r="B571" s="79" t="s">
        <v>1307</v>
      </c>
      <c r="C571" s="80" t="s">
        <v>126</v>
      </c>
      <c r="D571" s="81" t="s">
        <v>101</v>
      </c>
      <c r="E571" s="82">
        <v>21494</v>
      </c>
      <c r="F571" s="82">
        <v>1360</v>
      </c>
      <c r="G571" s="82">
        <v>1505</v>
      </c>
      <c r="H571" s="84">
        <v>21.5</v>
      </c>
      <c r="I571" s="84">
        <v>15322</v>
      </c>
      <c r="J571" s="84">
        <v>24.1</v>
      </c>
    </row>
    <row r="572" spans="1:10" ht="16">
      <c r="A572" s="79" t="s">
        <v>1370</v>
      </c>
      <c r="B572" s="79" t="s">
        <v>1307</v>
      </c>
      <c r="C572" s="80" t="s">
        <v>95</v>
      </c>
      <c r="D572" s="81" t="s">
        <v>111</v>
      </c>
      <c r="E572" s="82">
        <v>18878</v>
      </c>
      <c r="F572" s="82">
        <v>1037</v>
      </c>
      <c r="G572" s="82">
        <v>566</v>
      </c>
      <c r="H572" s="84">
        <v>19.2</v>
      </c>
      <c r="I572" s="84">
        <v>9982</v>
      </c>
      <c r="J572" s="84">
        <v>22.7</v>
      </c>
    </row>
    <row r="573" spans="1:10" ht="16">
      <c r="A573" s="79" t="s">
        <v>1186</v>
      </c>
      <c r="B573" s="79" t="s">
        <v>1161</v>
      </c>
      <c r="C573" s="80" t="s">
        <v>95</v>
      </c>
      <c r="D573" s="81" t="s">
        <v>101</v>
      </c>
      <c r="E573" s="82">
        <v>36179</v>
      </c>
      <c r="F573" s="82">
        <v>1096</v>
      </c>
      <c r="G573" s="82">
        <v>2171</v>
      </c>
      <c r="H573" s="84">
        <v>8.9</v>
      </c>
      <c r="I573" s="84">
        <v>601</v>
      </c>
      <c r="J573" s="84">
        <v>15.5</v>
      </c>
    </row>
    <row r="574" spans="1:10" ht="16">
      <c r="A574" s="79" t="s">
        <v>1044</v>
      </c>
      <c r="B574" s="79" t="s">
        <v>1039</v>
      </c>
      <c r="C574" s="80" t="s">
        <v>95</v>
      </c>
      <c r="D574" s="81" t="s">
        <v>99</v>
      </c>
      <c r="E574" s="82">
        <v>22962</v>
      </c>
      <c r="F574" s="82">
        <v>272</v>
      </c>
      <c r="G574" s="82">
        <v>459</v>
      </c>
      <c r="H574" s="84">
        <v>14.2</v>
      </c>
      <c r="I574" s="84">
        <v>10566</v>
      </c>
      <c r="J574" s="84">
        <v>16.5</v>
      </c>
    </row>
    <row r="575" spans="1:10" ht="16">
      <c r="A575" s="79" t="s">
        <v>1371</v>
      </c>
      <c r="B575" s="79" t="s">
        <v>1307</v>
      </c>
      <c r="C575" s="80" t="s">
        <v>95</v>
      </c>
      <c r="D575" s="81" t="s">
        <v>75</v>
      </c>
      <c r="E575" s="82">
        <v>2895</v>
      </c>
      <c r="F575" s="82">
        <v>2895</v>
      </c>
      <c r="G575" s="82">
        <v>87</v>
      </c>
      <c r="H575" s="84">
        <v>16.7</v>
      </c>
      <c r="I575" s="84">
        <v>16730</v>
      </c>
      <c r="J575" s="84">
        <v>35.700000000000003</v>
      </c>
    </row>
    <row r="576" spans="1:10" ht="16">
      <c r="A576" s="79" t="s">
        <v>1372</v>
      </c>
      <c r="B576" s="79" t="s">
        <v>1307</v>
      </c>
      <c r="C576" s="80" t="s">
        <v>126</v>
      </c>
      <c r="D576" s="81" t="s">
        <v>111</v>
      </c>
      <c r="E576" s="82">
        <v>24798</v>
      </c>
      <c r="F576" s="82">
        <v>1550</v>
      </c>
      <c r="G576" s="82">
        <v>2728</v>
      </c>
      <c r="H576" s="84">
        <v>30.1</v>
      </c>
      <c r="I576" s="84">
        <v>20274</v>
      </c>
      <c r="J576" s="84">
        <v>30.9</v>
      </c>
    </row>
    <row r="577" spans="1:10" ht="16">
      <c r="A577" s="79" t="s">
        <v>717</v>
      </c>
      <c r="B577" s="79" t="s">
        <v>661</v>
      </c>
      <c r="C577" s="80" t="s">
        <v>126</v>
      </c>
      <c r="D577" s="81" t="s">
        <v>78</v>
      </c>
      <c r="E577" s="82">
        <v>8279</v>
      </c>
      <c r="F577" s="82">
        <v>930</v>
      </c>
      <c r="G577" s="82">
        <v>331</v>
      </c>
      <c r="H577" s="84">
        <v>14.3</v>
      </c>
      <c r="I577" s="84">
        <v>3836</v>
      </c>
      <c r="J577" s="84">
        <v>24.9</v>
      </c>
    </row>
    <row r="578" spans="1:10" ht="16">
      <c r="A578" s="79" t="s">
        <v>718</v>
      </c>
      <c r="B578" s="79" t="s">
        <v>661</v>
      </c>
      <c r="C578" s="80" t="s">
        <v>126</v>
      </c>
      <c r="D578" s="81" t="s">
        <v>79</v>
      </c>
      <c r="E578" s="82">
        <v>1248</v>
      </c>
      <c r="F578" s="82">
        <v>462</v>
      </c>
      <c r="G578" s="82">
        <v>12</v>
      </c>
      <c r="H578" s="84">
        <v>10.3</v>
      </c>
      <c r="I578" s="84">
        <v>1284</v>
      </c>
      <c r="J578" s="84">
        <v>27.2</v>
      </c>
    </row>
    <row r="579" spans="1:10" ht="16">
      <c r="A579" s="79" t="s">
        <v>719</v>
      </c>
      <c r="B579" s="79" t="s">
        <v>661</v>
      </c>
      <c r="C579" s="80" t="s">
        <v>126</v>
      </c>
      <c r="D579" s="81" t="s">
        <v>79</v>
      </c>
      <c r="E579" s="82">
        <v>7746</v>
      </c>
      <c r="F579" s="82">
        <v>767</v>
      </c>
      <c r="G579" s="82">
        <v>310</v>
      </c>
      <c r="H579" s="84">
        <v>13.5</v>
      </c>
      <c r="I579" s="84">
        <v>2743</v>
      </c>
      <c r="J579" s="84">
        <v>22.4</v>
      </c>
    </row>
    <row r="580" spans="1:10" ht="16">
      <c r="A580" s="79" t="s">
        <v>720</v>
      </c>
      <c r="B580" s="79" t="s">
        <v>661</v>
      </c>
      <c r="C580" s="80" t="s">
        <v>126</v>
      </c>
      <c r="D580" s="81" t="s">
        <v>101</v>
      </c>
      <c r="E580" s="82">
        <v>22892</v>
      </c>
      <c r="F580" s="82">
        <v>3094</v>
      </c>
      <c r="G580" s="82">
        <v>2518</v>
      </c>
      <c r="H580" s="84">
        <v>49</v>
      </c>
      <c r="I580" s="84">
        <v>16958</v>
      </c>
      <c r="J580" s="84">
        <v>51.5</v>
      </c>
    </row>
    <row r="581" spans="1:10" ht="16">
      <c r="A581" s="79" t="s">
        <v>532</v>
      </c>
      <c r="B581" s="79" t="s">
        <v>493</v>
      </c>
      <c r="C581" s="80" t="s">
        <v>126</v>
      </c>
      <c r="D581" s="81" t="s">
        <v>96</v>
      </c>
      <c r="E581" s="82">
        <v>12454</v>
      </c>
      <c r="F581" s="82">
        <v>700</v>
      </c>
      <c r="G581" s="82">
        <v>249</v>
      </c>
      <c r="H581" s="84">
        <v>10.199999999999999</v>
      </c>
      <c r="I581" s="84">
        <v>3238</v>
      </c>
      <c r="J581" s="84">
        <v>36</v>
      </c>
    </row>
    <row r="582" spans="1:10" ht="16">
      <c r="A582" s="79" t="s">
        <v>1244</v>
      </c>
      <c r="B582" s="79" t="s">
        <v>1209</v>
      </c>
      <c r="C582" s="80" t="s">
        <v>95</v>
      </c>
      <c r="D582" s="81" t="s">
        <v>96</v>
      </c>
      <c r="E582" s="82">
        <v>13915</v>
      </c>
      <c r="F582" s="82">
        <v>859</v>
      </c>
      <c r="G582" s="82">
        <v>3896</v>
      </c>
      <c r="H582" s="84">
        <v>24</v>
      </c>
      <c r="I582" s="84">
        <v>9008</v>
      </c>
      <c r="J582" s="84">
        <v>28.5</v>
      </c>
    </row>
    <row r="583" spans="1:10" ht="16">
      <c r="A583" s="79" t="s">
        <v>1187</v>
      </c>
      <c r="B583" s="79" t="s">
        <v>1161</v>
      </c>
      <c r="C583" s="80" t="s">
        <v>95</v>
      </c>
      <c r="D583" s="81" t="s">
        <v>99</v>
      </c>
      <c r="E583" s="82">
        <v>47035</v>
      </c>
      <c r="F583" s="82">
        <v>2138</v>
      </c>
      <c r="G583" s="82">
        <v>1881</v>
      </c>
      <c r="H583" s="84">
        <v>13.1</v>
      </c>
      <c r="I583" s="84">
        <v>9298</v>
      </c>
      <c r="J583" s="84">
        <v>28.4</v>
      </c>
    </row>
    <row r="584" spans="1:10" ht="16">
      <c r="A584" s="79" t="s">
        <v>1188</v>
      </c>
      <c r="B584" s="79" t="s">
        <v>1161</v>
      </c>
      <c r="C584" s="80" t="s">
        <v>126</v>
      </c>
      <c r="D584" s="81" t="s">
        <v>78</v>
      </c>
      <c r="E584" s="82">
        <v>46705</v>
      </c>
      <c r="F584" s="82">
        <v>1698</v>
      </c>
      <c r="G584" s="82">
        <v>1401</v>
      </c>
      <c r="H584" s="84">
        <v>8.4</v>
      </c>
      <c r="I584" s="84">
        <v>975</v>
      </c>
      <c r="J584" s="84">
        <v>11.2</v>
      </c>
    </row>
    <row r="585" spans="1:10" ht="16">
      <c r="A585" s="79" t="s">
        <v>1045</v>
      </c>
      <c r="B585" s="79" t="s">
        <v>1039</v>
      </c>
      <c r="C585" s="80" t="s">
        <v>95</v>
      </c>
      <c r="D585" s="81" t="s">
        <v>111</v>
      </c>
      <c r="E585" s="82">
        <v>12113</v>
      </c>
      <c r="F585" s="82">
        <v>841</v>
      </c>
      <c r="G585" s="82">
        <v>2180</v>
      </c>
      <c r="H585" s="84">
        <v>14.2</v>
      </c>
      <c r="I585" s="84">
        <v>5976</v>
      </c>
      <c r="J585" s="84">
        <v>21.5</v>
      </c>
    </row>
    <row r="586" spans="1:10" ht="16">
      <c r="A586" s="79" t="s">
        <v>533</v>
      </c>
      <c r="B586" s="79" t="s">
        <v>493</v>
      </c>
      <c r="C586" s="80" t="s">
        <v>126</v>
      </c>
      <c r="D586" s="81" t="s">
        <v>79</v>
      </c>
      <c r="E586" s="82">
        <v>19912</v>
      </c>
      <c r="F586" s="82">
        <v>851</v>
      </c>
      <c r="G586" s="82">
        <v>199</v>
      </c>
      <c r="H586" s="84">
        <v>14.4</v>
      </c>
      <c r="I586" s="84">
        <v>8175</v>
      </c>
      <c r="J586" s="84">
        <v>27</v>
      </c>
    </row>
    <row r="587" spans="1:10" ht="16">
      <c r="A587" s="79" t="s">
        <v>404</v>
      </c>
      <c r="B587" s="79" t="s">
        <v>396</v>
      </c>
      <c r="C587" s="80" t="s">
        <v>95</v>
      </c>
      <c r="D587" s="81" t="s">
        <v>79</v>
      </c>
      <c r="E587" s="82">
        <v>33434</v>
      </c>
      <c r="F587" s="82">
        <v>921</v>
      </c>
      <c r="G587" s="82">
        <v>5684</v>
      </c>
      <c r="H587" s="84">
        <v>16.8</v>
      </c>
      <c r="I587" s="84">
        <v>2340</v>
      </c>
      <c r="J587" s="84">
        <v>23.8</v>
      </c>
    </row>
    <row r="588" spans="1:10" ht="16">
      <c r="A588" s="79" t="s">
        <v>405</v>
      </c>
      <c r="B588" s="79" t="s">
        <v>396</v>
      </c>
      <c r="C588" s="80" t="s">
        <v>95</v>
      </c>
      <c r="D588" s="81" t="s">
        <v>99</v>
      </c>
      <c r="E588" s="82">
        <v>28726</v>
      </c>
      <c r="F588" s="82">
        <v>1981</v>
      </c>
      <c r="G588" s="82">
        <v>4883</v>
      </c>
      <c r="H588" s="84">
        <v>32.299999999999997</v>
      </c>
      <c r="I588" s="84">
        <v>27819</v>
      </c>
      <c r="J588" s="84">
        <v>33.700000000000003</v>
      </c>
    </row>
    <row r="589" spans="1:10" ht="16">
      <c r="A589" s="79" t="s">
        <v>286</v>
      </c>
      <c r="B589" s="79" t="s">
        <v>242</v>
      </c>
      <c r="C589" s="80" t="s">
        <v>126</v>
      </c>
      <c r="D589" s="81" t="s">
        <v>103</v>
      </c>
      <c r="E589" s="82">
        <v>39575</v>
      </c>
      <c r="F589" s="82">
        <v>3441</v>
      </c>
      <c r="G589" s="82">
        <v>5936</v>
      </c>
      <c r="H589" s="84">
        <v>90</v>
      </c>
      <c r="I589" s="84">
        <v>65926</v>
      </c>
      <c r="J589" s="84">
        <v>89.1</v>
      </c>
    </row>
    <row r="590" spans="1:10" ht="16">
      <c r="A590" s="79" t="s">
        <v>1373</v>
      </c>
      <c r="B590" s="79" t="s">
        <v>1307</v>
      </c>
      <c r="C590" s="80" t="s">
        <v>126</v>
      </c>
      <c r="D590" s="81" t="s">
        <v>96</v>
      </c>
      <c r="E590" s="82">
        <v>46204</v>
      </c>
      <c r="F590" s="82">
        <v>3020</v>
      </c>
      <c r="G590" s="82">
        <v>7393</v>
      </c>
      <c r="H590" s="84">
        <v>67.099999999999994</v>
      </c>
      <c r="I590" s="84">
        <v>50862</v>
      </c>
      <c r="J590" s="84">
        <v>55.2</v>
      </c>
    </row>
    <row r="591" spans="1:10" ht="16">
      <c r="A591" s="79" t="s">
        <v>958</v>
      </c>
      <c r="B591" s="79" t="s">
        <v>938</v>
      </c>
      <c r="C591" s="80" t="s">
        <v>126</v>
      </c>
      <c r="D591" s="81" t="s">
        <v>79</v>
      </c>
      <c r="E591" s="82">
        <v>8922</v>
      </c>
      <c r="F591" s="82">
        <v>991</v>
      </c>
      <c r="G591" s="82">
        <v>625</v>
      </c>
      <c r="H591" s="84">
        <v>10.5</v>
      </c>
      <c r="I591" s="84">
        <v>221</v>
      </c>
      <c r="J591" s="84">
        <v>19.3</v>
      </c>
    </row>
    <row r="592" spans="1:10" ht="16">
      <c r="A592" s="79" t="s">
        <v>959</v>
      </c>
      <c r="B592" s="79" t="s">
        <v>938</v>
      </c>
      <c r="C592" s="80" t="s">
        <v>95</v>
      </c>
      <c r="D592" s="81" t="s">
        <v>96</v>
      </c>
      <c r="E592" s="82">
        <v>9252</v>
      </c>
      <c r="F592" s="82">
        <v>881</v>
      </c>
      <c r="G592" s="82">
        <v>93</v>
      </c>
      <c r="H592" s="84">
        <v>9.6999999999999993</v>
      </c>
      <c r="I592" s="84">
        <v>321</v>
      </c>
      <c r="J592" s="84">
        <v>18.100000000000001</v>
      </c>
    </row>
    <row r="593" spans="1:10" ht="16">
      <c r="A593" s="79" t="s">
        <v>960</v>
      </c>
      <c r="B593" s="79" t="s">
        <v>938</v>
      </c>
      <c r="C593" s="80" t="s">
        <v>126</v>
      </c>
      <c r="D593" s="81" t="s">
        <v>77</v>
      </c>
      <c r="E593" s="82">
        <v>18251</v>
      </c>
      <c r="F593" s="82">
        <v>2028</v>
      </c>
      <c r="G593" s="82">
        <v>5110</v>
      </c>
      <c r="H593" s="84">
        <v>15.9</v>
      </c>
      <c r="I593" s="84">
        <v>9832</v>
      </c>
      <c r="J593" s="84">
        <v>26.2</v>
      </c>
    </row>
    <row r="594" spans="1:10" ht="16">
      <c r="A594" s="79" t="s">
        <v>961</v>
      </c>
      <c r="B594" s="79" t="s">
        <v>938</v>
      </c>
      <c r="C594" s="80" t="s">
        <v>95</v>
      </c>
      <c r="D594" s="81" t="s">
        <v>103</v>
      </c>
      <c r="E594" s="82">
        <v>8078</v>
      </c>
      <c r="F594" s="82">
        <v>1282</v>
      </c>
      <c r="G594" s="82">
        <v>485</v>
      </c>
      <c r="H594" s="84">
        <v>9.5</v>
      </c>
      <c r="I594" s="84">
        <v>333</v>
      </c>
      <c r="J594" s="84">
        <v>23.2</v>
      </c>
    </row>
    <row r="595" spans="1:10" ht="16">
      <c r="A595" s="79" t="s">
        <v>883</v>
      </c>
      <c r="B595" s="79" t="s">
        <v>877</v>
      </c>
      <c r="C595" s="80" t="s">
        <v>126</v>
      </c>
      <c r="D595" s="81" t="s">
        <v>101</v>
      </c>
      <c r="E595" s="82">
        <v>12452</v>
      </c>
      <c r="F595" s="82">
        <v>239</v>
      </c>
      <c r="G595" s="82">
        <v>197</v>
      </c>
      <c r="H595" s="84">
        <v>8.8000000000000007</v>
      </c>
      <c r="I595" s="84">
        <v>1686</v>
      </c>
      <c r="J595" s="84">
        <v>13.9</v>
      </c>
    </row>
    <row r="596" spans="1:10" ht="16">
      <c r="A596" s="79" t="s">
        <v>1025</v>
      </c>
      <c r="B596" s="79" t="s">
        <v>1007</v>
      </c>
      <c r="C596" s="80" t="s">
        <v>126</v>
      </c>
      <c r="D596" s="81" t="s">
        <v>103</v>
      </c>
      <c r="E596" s="82">
        <v>3215</v>
      </c>
      <c r="F596" s="82">
        <v>312</v>
      </c>
      <c r="G596" s="82">
        <v>96</v>
      </c>
      <c r="H596" s="84">
        <v>50.9</v>
      </c>
      <c r="I596" s="84">
        <v>36800</v>
      </c>
      <c r="J596" s="84">
        <v>51.7</v>
      </c>
    </row>
    <row r="597" spans="1:10" ht="16">
      <c r="A597" s="79" t="s">
        <v>915</v>
      </c>
      <c r="B597" s="79" t="s">
        <v>912</v>
      </c>
      <c r="C597" s="80" t="s">
        <v>126</v>
      </c>
      <c r="D597" s="81" t="s">
        <v>76</v>
      </c>
      <c r="E597" s="82">
        <v>18511</v>
      </c>
      <c r="F597" s="82">
        <v>1083</v>
      </c>
      <c r="G597" s="82">
        <v>1111</v>
      </c>
      <c r="H597" s="84">
        <v>8.6999999999999993</v>
      </c>
      <c r="I597" s="84">
        <v>4250</v>
      </c>
      <c r="J597" s="84">
        <v>13.5</v>
      </c>
    </row>
    <row r="598" spans="1:10" ht="16">
      <c r="A598" s="79" t="s">
        <v>621</v>
      </c>
      <c r="B598" s="79" t="s">
        <v>617</v>
      </c>
      <c r="C598" s="80" t="s">
        <v>126</v>
      </c>
      <c r="D598" s="81" t="s">
        <v>75</v>
      </c>
      <c r="E598" s="82">
        <v>6122</v>
      </c>
      <c r="F598" s="82">
        <v>251</v>
      </c>
      <c r="G598" s="82">
        <v>61</v>
      </c>
      <c r="H598" s="84">
        <v>22.1</v>
      </c>
      <c r="I598" s="84">
        <v>18624</v>
      </c>
      <c r="J598" s="84">
        <v>17.3</v>
      </c>
    </row>
    <row r="599" spans="1:10" ht="16">
      <c r="A599" s="79" t="s">
        <v>932</v>
      </c>
      <c r="B599" s="79" t="s">
        <v>928</v>
      </c>
      <c r="C599" s="80" t="s">
        <v>126</v>
      </c>
      <c r="D599" s="81" t="s">
        <v>101</v>
      </c>
      <c r="E599" s="82">
        <v>29437</v>
      </c>
      <c r="F599" s="82">
        <v>2181</v>
      </c>
      <c r="G599" s="82">
        <v>883</v>
      </c>
      <c r="H599" s="84">
        <v>10</v>
      </c>
      <c r="I599" s="84">
        <v>1301</v>
      </c>
      <c r="J599" s="84">
        <v>16.8</v>
      </c>
    </row>
    <row r="600" spans="1:10" ht="16">
      <c r="A600" s="79" t="s">
        <v>1046</v>
      </c>
      <c r="B600" s="79" t="s">
        <v>1039</v>
      </c>
      <c r="C600" s="80" t="s">
        <v>126</v>
      </c>
      <c r="D600" s="81" t="s">
        <v>149</v>
      </c>
      <c r="E600" s="82">
        <v>4749</v>
      </c>
      <c r="F600" s="82">
        <v>448</v>
      </c>
      <c r="G600" s="82">
        <v>285</v>
      </c>
      <c r="H600" s="84">
        <v>11.1</v>
      </c>
      <c r="I600" s="84">
        <v>2587</v>
      </c>
      <c r="J600" s="84">
        <v>22.6</v>
      </c>
    </row>
    <row r="601" spans="1:10" ht="16">
      <c r="A601" s="79" t="s">
        <v>1047</v>
      </c>
      <c r="B601" s="79" t="s">
        <v>1039</v>
      </c>
      <c r="C601" s="80" t="s">
        <v>126</v>
      </c>
      <c r="D601" s="81" t="s">
        <v>76</v>
      </c>
      <c r="E601" s="82">
        <v>25484</v>
      </c>
      <c r="F601" s="82">
        <v>2404</v>
      </c>
      <c r="G601" s="82">
        <v>4077</v>
      </c>
      <c r="H601" s="84">
        <v>17.2</v>
      </c>
      <c r="I601" s="84">
        <v>9787</v>
      </c>
      <c r="J601" s="84">
        <v>23.7</v>
      </c>
    </row>
    <row r="602" spans="1:10" ht="16">
      <c r="A602" s="79" t="s">
        <v>622</v>
      </c>
      <c r="B602" s="79" t="s">
        <v>617</v>
      </c>
      <c r="C602" s="80" t="s">
        <v>126</v>
      </c>
      <c r="D602" s="81" t="s">
        <v>78</v>
      </c>
      <c r="E602" s="82">
        <v>35184</v>
      </c>
      <c r="F602" s="82">
        <v>1407</v>
      </c>
      <c r="G602" s="82">
        <v>5981</v>
      </c>
      <c r="H602" s="84">
        <v>35.200000000000003</v>
      </c>
      <c r="I602" s="84">
        <v>21018</v>
      </c>
      <c r="J602" s="84">
        <v>33.1</v>
      </c>
    </row>
    <row r="603" spans="1:10" ht="16">
      <c r="A603" s="79" t="s">
        <v>933</v>
      </c>
      <c r="B603" s="79" t="s">
        <v>928</v>
      </c>
      <c r="C603" s="80" t="s">
        <v>126</v>
      </c>
      <c r="D603" s="81" t="s">
        <v>75</v>
      </c>
      <c r="E603" s="82">
        <v>12646</v>
      </c>
      <c r="F603" s="82">
        <v>620</v>
      </c>
      <c r="G603" s="82">
        <v>379</v>
      </c>
      <c r="H603" s="84">
        <v>8.1999999999999993</v>
      </c>
      <c r="I603" s="84">
        <v>1415</v>
      </c>
      <c r="J603" s="84">
        <v>14.2</v>
      </c>
    </row>
    <row r="604" spans="1:10" ht="16">
      <c r="A604" s="79" t="s">
        <v>623</v>
      </c>
      <c r="B604" s="79" t="s">
        <v>617</v>
      </c>
      <c r="C604" s="80" t="s">
        <v>126</v>
      </c>
      <c r="D604" s="81" t="s">
        <v>76</v>
      </c>
      <c r="E604" s="82">
        <v>31425</v>
      </c>
      <c r="F604" s="82">
        <v>878</v>
      </c>
      <c r="G604" s="82">
        <v>4085</v>
      </c>
      <c r="H604" s="84">
        <v>25.4</v>
      </c>
      <c r="I604" s="84">
        <v>14056</v>
      </c>
      <c r="J604" s="84">
        <v>26.2</v>
      </c>
    </row>
    <row r="605" spans="1:10" ht="16">
      <c r="A605" s="79" t="s">
        <v>1048</v>
      </c>
      <c r="B605" s="79" t="s">
        <v>1039</v>
      </c>
      <c r="C605" s="80" t="s">
        <v>126</v>
      </c>
      <c r="D605" s="81" t="s">
        <v>99</v>
      </c>
      <c r="E605" s="82">
        <v>21119</v>
      </c>
      <c r="F605" s="82">
        <v>2112</v>
      </c>
      <c r="G605" s="82">
        <v>2957</v>
      </c>
      <c r="H605" s="84">
        <v>11.8</v>
      </c>
      <c r="I605" s="84">
        <v>4915</v>
      </c>
      <c r="J605" s="84">
        <v>22.1</v>
      </c>
    </row>
    <row r="606" spans="1:10" ht="16">
      <c r="A606" s="79" t="s">
        <v>1049</v>
      </c>
      <c r="B606" s="79" t="s">
        <v>1039</v>
      </c>
      <c r="C606" s="80" t="s">
        <v>95</v>
      </c>
      <c r="D606" s="81" t="s">
        <v>77</v>
      </c>
      <c r="E606" s="82">
        <v>11636</v>
      </c>
      <c r="F606" s="82">
        <v>539</v>
      </c>
      <c r="G606" s="82">
        <v>1513</v>
      </c>
      <c r="H606" s="84">
        <v>40.1</v>
      </c>
      <c r="I606" s="84">
        <v>37917</v>
      </c>
      <c r="J606" s="84">
        <v>37.700000000000003</v>
      </c>
    </row>
    <row r="607" spans="1:10" ht="16">
      <c r="A607" s="79" t="s">
        <v>534</v>
      </c>
      <c r="B607" s="79" t="s">
        <v>493</v>
      </c>
      <c r="C607" s="80" t="s">
        <v>126</v>
      </c>
      <c r="D607" s="81" t="s">
        <v>101</v>
      </c>
      <c r="E607" s="82">
        <v>6107</v>
      </c>
      <c r="F607" s="82">
        <v>355</v>
      </c>
      <c r="G607" s="82">
        <v>61</v>
      </c>
      <c r="H607" s="84">
        <v>19.2</v>
      </c>
      <c r="I607" s="84">
        <v>3532</v>
      </c>
      <c r="J607" s="84">
        <v>36.5</v>
      </c>
    </row>
    <row r="608" spans="1:10" ht="16">
      <c r="A608" s="79" t="s">
        <v>234</v>
      </c>
      <c r="B608" s="79" t="s">
        <v>231</v>
      </c>
      <c r="C608" s="80" t="s">
        <v>95</v>
      </c>
      <c r="D608" s="81" t="s">
        <v>77</v>
      </c>
      <c r="E608" s="82">
        <v>28541</v>
      </c>
      <c r="F608" s="82">
        <v>1903</v>
      </c>
      <c r="G608" s="82">
        <v>1998</v>
      </c>
      <c r="H608" s="84">
        <v>28.3</v>
      </c>
      <c r="I608" s="84">
        <v>13790</v>
      </c>
      <c r="J608" s="84">
        <v>24.2</v>
      </c>
    </row>
    <row r="609" spans="1:10" ht="16">
      <c r="A609" s="79" t="s">
        <v>187</v>
      </c>
      <c r="B609" s="79" t="s">
        <v>169</v>
      </c>
      <c r="C609" s="80" t="s">
        <v>95</v>
      </c>
      <c r="D609" s="81" t="s">
        <v>78</v>
      </c>
      <c r="E609" s="82">
        <v>34101</v>
      </c>
      <c r="F609" s="82">
        <v>1601</v>
      </c>
      <c r="G609" s="82">
        <v>1705</v>
      </c>
      <c r="H609" s="84">
        <v>7.7</v>
      </c>
      <c r="I609" s="84">
        <v>521</v>
      </c>
      <c r="J609" s="84">
        <v>15.3</v>
      </c>
    </row>
    <row r="610" spans="1:10" ht="16">
      <c r="A610" s="79" t="s">
        <v>891</v>
      </c>
      <c r="B610" s="79" t="s">
        <v>892</v>
      </c>
      <c r="C610" s="80" t="s">
        <v>126</v>
      </c>
      <c r="D610" s="81" t="s">
        <v>78</v>
      </c>
      <c r="E610" s="82">
        <v>24984</v>
      </c>
      <c r="F610" s="82">
        <v>3331</v>
      </c>
      <c r="G610" s="82">
        <v>750</v>
      </c>
      <c r="H610" s="84">
        <v>8.6</v>
      </c>
      <c r="I610" s="84">
        <v>2916</v>
      </c>
      <c r="J610" s="84">
        <v>19.899999999999999</v>
      </c>
    </row>
    <row r="611" spans="1:10" ht="16">
      <c r="A611" s="79" t="s">
        <v>188</v>
      </c>
      <c r="B611" s="79" t="s">
        <v>169</v>
      </c>
      <c r="C611" s="80" t="s">
        <v>95</v>
      </c>
      <c r="D611" s="81" t="s">
        <v>76</v>
      </c>
      <c r="E611" s="82">
        <v>15581</v>
      </c>
      <c r="F611" s="82">
        <v>711</v>
      </c>
      <c r="G611" s="82">
        <v>779</v>
      </c>
      <c r="H611" s="84">
        <v>25.6</v>
      </c>
      <c r="I611" s="84">
        <v>7160</v>
      </c>
      <c r="J611" s="84">
        <v>27.4</v>
      </c>
    </row>
    <row r="612" spans="1:10" ht="16">
      <c r="A612" s="79" t="s">
        <v>189</v>
      </c>
      <c r="B612" s="79" t="s">
        <v>169</v>
      </c>
      <c r="C612" s="80" t="s">
        <v>126</v>
      </c>
      <c r="D612" s="81" t="s">
        <v>76</v>
      </c>
      <c r="E612" s="82">
        <v>16750</v>
      </c>
      <c r="F612" s="82">
        <v>735</v>
      </c>
      <c r="G612" s="82">
        <v>1153</v>
      </c>
      <c r="H612" s="84">
        <v>13.5</v>
      </c>
      <c r="I612" s="84">
        <v>5556</v>
      </c>
      <c r="J612" s="84">
        <v>18.7</v>
      </c>
    </row>
    <row r="613" spans="1:10" ht="16">
      <c r="A613" s="79" t="s">
        <v>326</v>
      </c>
      <c r="B613" s="79" t="s">
        <v>323</v>
      </c>
      <c r="C613" s="80" t="s">
        <v>95</v>
      </c>
      <c r="D613" s="81" t="s">
        <v>103</v>
      </c>
      <c r="E613" s="82">
        <v>30048</v>
      </c>
      <c r="F613" s="82">
        <v>1951</v>
      </c>
      <c r="G613" s="82">
        <v>300</v>
      </c>
      <c r="H613" s="84">
        <v>8.9</v>
      </c>
      <c r="I613" s="84">
        <v>8867</v>
      </c>
      <c r="J613" s="84">
        <v>15.3</v>
      </c>
    </row>
    <row r="614" spans="1:10" ht="16">
      <c r="A614" s="79" t="s">
        <v>1374</v>
      </c>
      <c r="B614" s="79" t="s">
        <v>1307</v>
      </c>
      <c r="C614" s="80" t="s">
        <v>95</v>
      </c>
      <c r="D614" s="81" t="s">
        <v>99</v>
      </c>
      <c r="E614" s="82">
        <v>20219</v>
      </c>
      <c r="F614" s="82">
        <v>1099</v>
      </c>
      <c r="G614" s="82">
        <v>1820</v>
      </c>
      <c r="H614" s="84">
        <v>18.399999999999999</v>
      </c>
      <c r="I614" s="84">
        <v>8219</v>
      </c>
      <c r="J614" s="84">
        <v>21.1</v>
      </c>
    </row>
    <row r="615" spans="1:10" ht="16">
      <c r="A615" s="79" t="s">
        <v>1148</v>
      </c>
      <c r="B615" s="79" t="s">
        <v>1139</v>
      </c>
      <c r="C615" s="80" t="s">
        <v>95</v>
      </c>
      <c r="D615" s="81" t="s">
        <v>99</v>
      </c>
      <c r="E615" s="82">
        <v>39257</v>
      </c>
      <c r="F615" s="82">
        <v>2485</v>
      </c>
      <c r="G615" s="82">
        <v>785</v>
      </c>
      <c r="H615" s="84">
        <v>10.1</v>
      </c>
      <c r="I615" s="84">
        <v>1786</v>
      </c>
      <c r="J615" s="84">
        <v>18.100000000000001</v>
      </c>
    </row>
    <row r="616" spans="1:10" ht="16">
      <c r="A616" s="79" t="s">
        <v>1375</v>
      </c>
      <c r="B616" s="79" t="s">
        <v>1307</v>
      </c>
      <c r="C616" s="80" t="s">
        <v>126</v>
      </c>
      <c r="D616" s="81" t="s">
        <v>99</v>
      </c>
      <c r="E616" s="82">
        <v>7983</v>
      </c>
      <c r="F616" s="82">
        <v>986</v>
      </c>
      <c r="G616" s="82">
        <v>1996</v>
      </c>
      <c r="H616" s="84">
        <v>96.3</v>
      </c>
      <c r="I616" s="84">
        <v>95232</v>
      </c>
      <c r="J616" s="84">
        <v>90.3</v>
      </c>
    </row>
    <row r="617" spans="1:10" ht="16">
      <c r="A617" s="79" t="s">
        <v>535</v>
      </c>
      <c r="B617" s="79" t="s">
        <v>493</v>
      </c>
      <c r="C617" s="80" t="s">
        <v>126</v>
      </c>
      <c r="D617" s="81" t="s">
        <v>75</v>
      </c>
      <c r="E617" s="82">
        <v>8325</v>
      </c>
      <c r="F617" s="82">
        <v>570</v>
      </c>
      <c r="G617" s="82">
        <v>186</v>
      </c>
      <c r="H617" s="84">
        <v>9.5</v>
      </c>
      <c r="I617" s="84">
        <v>1226</v>
      </c>
      <c r="J617" s="84">
        <v>19.8</v>
      </c>
    </row>
    <row r="618" spans="1:10" ht="16">
      <c r="A618" s="79" t="s">
        <v>1376</v>
      </c>
      <c r="B618" s="79" t="s">
        <v>1307</v>
      </c>
      <c r="C618" s="80" t="s">
        <v>126</v>
      </c>
      <c r="D618" s="81" t="s">
        <v>103</v>
      </c>
      <c r="E618" s="82">
        <v>40451</v>
      </c>
      <c r="F618" s="82">
        <v>2576</v>
      </c>
      <c r="G618" s="82">
        <v>9304</v>
      </c>
      <c r="H618" s="84">
        <v>66.400000000000006</v>
      </c>
      <c r="I618" s="84">
        <v>41874</v>
      </c>
      <c r="J618" s="84">
        <v>57.5</v>
      </c>
    </row>
    <row r="619" spans="1:10" ht="16">
      <c r="A619" s="79" t="s">
        <v>1026</v>
      </c>
      <c r="B619" s="79" t="s">
        <v>1007</v>
      </c>
      <c r="C619" s="80" t="s">
        <v>126</v>
      </c>
      <c r="D619" s="81" t="s">
        <v>78</v>
      </c>
      <c r="E619" s="82">
        <v>24331</v>
      </c>
      <c r="F619" s="82">
        <v>1330</v>
      </c>
      <c r="G619" s="82">
        <v>2676</v>
      </c>
      <c r="H619" s="84">
        <v>30</v>
      </c>
      <c r="I619" s="84">
        <v>7492</v>
      </c>
      <c r="J619" s="84">
        <v>27</v>
      </c>
    </row>
    <row r="620" spans="1:10" ht="16">
      <c r="A620" s="79" t="s">
        <v>925</v>
      </c>
      <c r="B620" s="79" t="s">
        <v>926</v>
      </c>
      <c r="C620" s="80" t="s">
        <v>95</v>
      </c>
      <c r="D620" s="81" t="s">
        <v>101</v>
      </c>
      <c r="E620" s="82">
        <v>15585</v>
      </c>
      <c r="F620" s="82">
        <v>901</v>
      </c>
      <c r="G620" s="82">
        <v>5922</v>
      </c>
      <c r="H620" s="84">
        <v>27.2</v>
      </c>
      <c r="I620" s="84">
        <v>17641</v>
      </c>
      <c r="J620" s="84">
        <v>19.600000000000001</v>
      </c>
    </row>
    <row r="621" spans="1:10" ht="16">
      <c r="A621" s="79" t="s">
        <v>884</v>
      </c>
      <c r="B621" s="79" t="s">
        <v>877</v>
      </c>
      <c r="C621" s="80" t="s">
        <v>95</v>
      </c>
      <c r="D621" s="81" t="s">
        <v>101</v>
      </c>
      <c r="E621" s="82">
        <v>14694</v>
      </c>
      <c r="F621" s="82">
        <v>593</v>
      </c>
      <c r="G621" s="82">
        <v>147</v>
      </c>
      <c r="H621" s="84">
        <v>18.600000000000001</v>
      </c>
      <c r="I621" s="84">
        <v>15239</v>
      </c>
      <c r="J621" s="84">
        <v>20.5</v>
      </c>
    </row>
    <row r="622" spans="1:10" ht="16">
      <c r="A622" s="79" t="s">
        <v>1245</v>
      </c>
      <c r="B622" s="79" t="s">
        <v>1209</v>
      </c>
      <c r="C622" s="80" t="s">
        <v>95</v>
      </c>
      <c r="D622" s="81" t="s">
        <v>78</v>
      </c>
      <c r="E622" s="82">
        <v>17799</v>
      </c>
      <c r="F622" s="82">
        <v>1262</v>
      </c>
      <c r="G622" s="82">
        <v>7654</v>
      </c>
      <c r="H622" s="84">
        <v>43.1</v>
      </c>
      <c r="I622" s="84">
        <v>42256</v>
      </c>
      <c r="J622" s="84">
        <v>35.299999999999997</v>
      </c>
    </row>
    <row r="623" spans="1:10" ht="16">
      <c r="A623" s="79" t="s">
        <v>124</v>
      </c>
      <c r="B623" s="79" t="s">
        <v>108</v>
      </c>
      <c r="C623" s="80" t="s">
        <v>95</v>
      </c>
      <c r="D623" s="81" t="s">
        <v>111</v>
      </c>
      <c r="E623" s="82">
        <v>34871</v>
      </c>
      <c r="F623" s="82">
        <v>913</v>
      </c>
      <c r="G623" s="82">
        <v>5579</v>
      </c>
      <c r="H623" s="84">
        <v>40.299999999999997</v>
      </c>
      <c r="I623" s="84">
        <v>34884</v>
      </c>
      <c r="J623" s="84">
        <v>31.9</v>
      </c>
    </row>
    <row r="624" spans="1:10" ht="16">
      <c r="A624" s="79" t="s">
        <v>844</v>
      </c>
      <c r="B624" s="79" t="s">
        <v>839</v>
      </c>
      <c r="C624" s="80" t="s">
        <v>95</v>
      </c>
      <c r="D624" s="81" t="s">
        <v>149</v>
      </c>
      <c r="E624" s="82">
        <v>20024</v>
      </c>
      <c r="F624" s="82">
        <v>1144</v>
      </c>
      <c r="G624" s="82">
        <v>2803</v>
      </c>
      <c r="H624" s="84">
        <v>49.9</v>
      </c>
      <c r="I624" s="84">
        <v>44044</v>
      </c>
      <c r="J624" s="84">
        <v>36</v>
      </c>
    </row>
    <row r="625" spans="1:10" ht="16">
      <c r="A625" s="79" t="s">
        <v>287</v>
      </c>
      <c r="B625" s="79" t="s">
        <v>242</v>
      </c>
      <c r="C625" s="80" t="s">
        <v>95</v>
      </c>
      <c r="D625" s="81" t="s">
        <v>79</v>
      </c>
      <c r="E625" s="82">
        <v>25590</v>
      </c>
      <c r="F625" s="82">
        <v>2047</v>
      </c>
      <c r="G625" s="82">
        <v>1535</v>
      </c>
      <c r="H625" s="84">
        <v>21.2</v>
      </c>
      <c r="I625" s="84">
        <v>10050</v>
      </c>
      <c r="J625" s="84">
        <v>42.5</v>
      </c>
    </row>
    <row r="626" spans="1:10" ht="16">
      <c r="A626" s="79" t="s">
        <v>1377</v>
      </c>
      <c r="B626" s="79" t="s">
        <v>1307</v>
      </c>
      <c r="C626" s="80" t="s">
        <v>126</v>
      </c>
      <c r="D626" s="81" t="s">
        <v>149</v>
      </c>
      <c r="E626" s="82">
        <v>7798</v>
      </c>
      <c r="F626" s="82">
        <v>500</v>
      </c>
      <c r="G626" s="82">
        <v>1560</v>
      </c>
      <c r="H626" s="84">
        <v>28.7</v>
      </c>
      <c r="I626" s="84">
        <v>16942</v>
      </c>
      <c r="J626" s="84">
        <v>30</v>
      </c>
    </row>
    <row r="627" spans="1:10" ht="16">
      <c r="A627" s="79" t="s">
        <v>1378</v>
      </c>
      <c r="B627" s="79" t="s">
        <v>1307</v>
      </c>
      <c r="C627" s="80" t="s">
        <v>126</v>
      </c>
      <c r="D627" s="81" t="s">
        <v>101</v>
      </c>
      <c r="E627" s="82">
        <v>6667</v>
      </c>
      <c r="F627" s="82">
        <v>749</v>
      </c>
      <c r="G627" s="82">
        <v>1867</v>
      </c>
      <c r="H627" s="84">
        <v>39.700000000000003</v>
      </c>
      <c r="I627" s="84">
        <v>37224</v>
      </c>
      <c r="J627" s="84">
        <v>49.1</v>
      </c>
    </row>
    <row r="628" spans="1:10" ht="16">
      <c r="A628" s="79" t="s">
        <v>786</v>
      </c>
      <c r="B628" s="79" t="s">
        <v>785</v>
      </c>
      <c r="C628" s="80" t="s">
        <v>126</v>
      </c>
      <c r="D628" s="81" t="s">
        <v>96</v>
      </c>
      <c r="E628" s="82">
        <v>10805</v>
      </c>
      <c r="F628" s="82">
        <v>363</v>
      </c>
      <c r="G628" s="82">
        <v>1189</v>
      </c>
      <c r="H628" s="84">
        <v>17.5</v>
      </c>
      <c r="I628" s="84">
        <v>3525</v>
      </c>
      <c r="J628" s="84">
        <v>19.5</v>
      </c>
    </row>
    <row r="629" spans="1:10" ht="16">
      <c r="A629" s="79" t="s">
        <v>721</v>
      </c>
      <c r="B629" s="79" t="s">
        <v>661</v>
      </c>
      <c r="C629" s="80" t="s">
        <v>95</v>
      </c>
      <c r="D629" s="81" t="s">
        <v>76</v>
      </c>
      <c r="E629" s="82">
        <v>20183</v>
      </c>
      <c r="F629" s="82">
        <v>1431</v>
      </c>
      <c r="G629" s="82">
        <v>807</v>
      </c>
      <c r="H629" s="84">
        <v>8.9</v>
      </c>
      <c r="I629" s="84">
        <v>4251</v>
      </c>
      <c r="J629" s="84">
        <v>16.600000000000001</v>
      </c>
    </row>
    <row r="630" spans="1:10" ht="16">
      <c r="A630" s="79" t="s">
        <v>190</v>
      </c>
      <c r="B630" s="79" t="s">
        <v>169</v>
      </c>
      <c r="C630" s="80" t="s">
        <v>95</v>
      </c>
      <c r="D630" s="81" t="s">
        <v>99</v>
      </c>
      <c r="E630" s="82">
        <v>22879</v>
      </c>
      <c r="F630" s="82">
        <v>2571</v>
      </c>
      <c r="G630" s="82">
        <v>1144</v>
      </c>
      <c r="H630" s="84">
        <v>10.9</v>
      </c>
      <c r="I630" s="84">
        <v>1669</v>
      </c>
      <c r="J630" s="84">
        <v>24.2</v>
      </c>
    </row>
    <row r="631" spans="1:10" ht="16">
      <c r="A631" s="79" t="s">
        <v>722</v>
      </c>
      <c r="B631" s="79" t="s">
        <v>661</v>
      </c>
      <c r="C631" s="80" t="s">
        <v>126</v>
      </c>
      <c r="D631" s="81" t="s">
        <v>75</v>
      </c>
      <c r="E631" s="82">
        <v>34413</v>
      </c>
      <c r="F631" s="82">
        <v>1880</v>
      </c>
      <c r="G631" s="82">
        <v>2065</v>
      </c>
      <c r="H631" s="84">
        <v>13.2</v>
      </c>
      <c r="I631" s="84">
        <v>2203</v>
      </c>
      <c r="J631" s="84">
        <v>19.100000000000001</v>
      </c>
    </row>
    <row r="632" spans="1:10" ht="16">
      <c r="A632" s="79" t="s">
        <v>125</v>
      </c>
      <c r="B632" s="79" t="s">
        <v>108</v>
      </c>
      <c r="C632" s="80" t="s">
        <v>126</v>
      </c>
      <c r="D632" s="81" t="s">
        <v>77</v>
      </c>
      <c r="E632" s="82">
        <v>33848</v>
      </c>
      <c r="F632" s="82">
        <v>1511</v>
      </c>
      <c r="G632" s="82">
        <v>10154</v>
      </c>
      <c r="H632" s="84">
        <v>26.1</v>
      </c>
      <c r="I632" s="84">
        <v>16867</v>
      </c>
      <c r="J632" s="84">
        <v>25.7</v>
      </c>
    </row>
    <row r="633" spans="1:10" ht="16">
      <c r="A633" s="79" t="s">
        <v>1246</v>
      </c>
      <c r="B633" s="79" t="s">
        <v>1209</v>
      </c>
      <c r="C633" s="80" t="s">
        <v>95</v>
      </c>
      <c r="D633" s="81" t="s">
        <v>149</v>
      </c>
      <c r="E633" s="82">
        <v>9489</v>
      </c>
      <c r="F633" s="82">
        <v>465</v>
      </c>
      <c r="G633" s="82">
        <v>2088</v>
      </c>
      <c r="H633" s="84">
        <v>11.3</v>
      </c>
      <c r="I633" s="84">
        <v>2641</v>
      </c>
      <c r="J633" s="84">
        <v>16.8</v>
      </c>
    </row>
    <row r="634" spans="1:10" ht="16">
      <c r="A634" s="79" t="s">
        <v>1379</v>
      </c>
      <c r="B634" s="79" t="s">
        <v>1307</v>
      </c>
      <c r="C634" s="80" t="s">
        <v>126</v>
      </c>
      <c r="D634" s="81" t="s">
        <v>101</v>
      </c>
      <c r="E634" s="82">
        <v>13996</v>
      </c>
      <c r="F634" s="82">
        <v>891</v>
      </c>
      <c r="G634" s="82">
        <v>2519</v>
      </c>
      <c r="H634" s="84">
        <v>18.100000000000001</v>
      </c>
      <c r="I634" s="84">
        <v>7074</v>
      </c>
      <c r="J634" s="84">
        <v>20</v>
      </c>
    </row>
    <row r="635" spans="1:10" ht="16">
      <c r="A635" s="79" t="s">
        <v>358</v>
      </c>
      <c r="B635" s="79" t="s">
        <v>355</v>
      </c>
      <c r="C635" s="80" t="s">
        <v>95</v>
      </c>
      <c r="D635" s="81" t="s">
        <v>78</v>
      </c>
      <c r="E635" s="82">
        <v>6382</v>
      </c>
      <c r="F635" s="82">
        <v>355</v>
      </c>
      <c r="G635" s="82">
        <v>766</v>
      </c>
      <c r="H635" s="84">
        <v>32.700000000000003</v>
      </c>
      <c r="I635" s="84">
        <v>12385</v>
      </c>
      <c r="J635" s="84">
        <v>21.4</v>
      </c>
    </row>
    <row r="636" spans="1:10" ht="16">
      <c r="A636" s="79" t="s">
        <v>603</v>
      </c>
      <c r="B636" s="79" t="s">
        <v>600</v>
      </c>
      <c r="C636" s="80" t="s">
        <v>95</v>
      </c>
      <c r="D636" s="81" t="s">
        <v>78</v>
      </c>
      <c r="E636" s="82">
        <v>2265</v>
      </c>
      <c r="F636" s="82">
        <v>107</v>
      </c>
      <c r="G636" s="82">
        <v>1472</v>
      </c>
      <c r="H636" s="84">
        <v>26.9</v>
      </c>
      <c r="I636" s="84">
        <v>24251</v>
      </c>
      <c r="J636" s="84">
        <v>30.1</v>
      </c>
    </row>
    <row r="637" spans="1:10" ht="16">
      <c r="A637" s="79" t="s">
        <v>1247</v>
      </c>
      <c r="B637" s="79" t="s">
        <v>1209</v>
      </c>
      <c r="C637" s="80" t="s">
        <v>95</v>
      </c>
      <c r="D637" s="81" t="s">
        <v>77</v>
      </c>
      <c r="E637" s="82">
        <v>9503</v>
      </c>
      <c r="F637" s="82">
        <v>625</v>
      </c>
      <c r="G637" s="82">
        <v>3421</v>
      </c>
      <c r="H637" s="84">
        <v>30.2</v>
      </c>
      <c r="I637" s="84">
        <v>22220</v>
      </c>
      <c r="J637" s="84">
        <v>30.6</v>
      </c>
    </row>
    <row r="638" spans="1:10" ht="16">
      <c r="A638" s="79" t="s">
        <v>1248</v>
      </c>
      <c r="B638" s="79" t="s">
        <v>1209</v>
      </c>
      <c r="C638" s="80" t="s">
        <v>95</v>
      </c>
      <c r="D638" s="81" t="s">
        <v>99</v>
      </c>
      <c r="E638" s="82">
        <v>2067</v>
      </c>
      <c r="F638" s="82">
        <v>190</v>
      </c>
      <c r="G638" s="82">
        <v>393</v>
      </c>
      <c r="H638" s="84">
        <v>18.3</v>
      </c>
      <c r="I638" s="84">
        <v>12672</v>
      </c>
      <c r="J638" s="84">
        <v>27.2</v>
      </c>
    </row>
    <row r="639" spans="1:10" ht="16">
      <c r="A639" s="79" t="s">
        <v>962</v>
      </c>
      <c r="B639" s="79" t="s">
        <v>938</v>
      </c>
      <c r="C639" s="80" t="s">
        <v>95</v>
      </c>
      <c r="D639" s="81" t="s">
        <v>103</v>
      </c>
      <c r="E639" s="82">
        <v>19803</v>
      </c>
      <c r="F639" s="82">
        <v>1707</v>
      </c>
      <c r="G639" s="82">
        <v>5743</v>
      </c>
      <c r="H639" s="84">
        <v>11.3</v>
      </c>
      <c r="I639" s="84">
        <v>2850</v>
      </c>
      <c r="J639" s="84">
        <v>36.299999999999997</v>
      </c>
    </row>
    <row r="640" spans="1:10" ht="16">
      <c r="A640" s="79" t="s">
        <v>435</v>
      </c>
      <c r="B640" s="79" t="s">
        <v>421</v>
      </c>
      <c r="C640" s="80" t="s">
        <v>126</v>
      </c>
      <c r="D640" s="81" t="s">
        <v>75</v>
      </c>
      <c r="E640" s="82">
        <v>43015</v>
      </c>
      <c r="F640" s="82">
        <v>711</v>
      </c>
      <c r="G640" s="82">
        <v>6022</v>
      </c>
      <c r="H640" s="84">
        <v>45</v>
      </c>
      <c r="I640" s="84">
        <v>26107</v>
      </c>
      <c r="J640" s="84">
        <v>39.700000000000003</v>
      </c>
    </row>
    <row r="641" spans="1:10" ht="16">
      <c r="A641" s="79" t="s">
        <v>1380</v>
      </c>
      <c r="B641" s="79" t="s">
        <v>1307</v>
      </c>
      <c r="C641" s="80" t="s">
        <v>95</v>
      </c>
      <c r="D641" s="81" t="s">
        <v>79</v>
      </c>
      <c r="E641" s="82">
        <v>2425</v>
      </c>
      <c r="F641" s="82">
        <v>1213</v>
      </c>
      <c r="G641" s="82">
        <v>24</v>
      </c>
      <c r="H641" s="84">
        <v>12.9</v>
      </c>
      <c r="I641" s="84">
        <v>11894</v>
      </c>
      <c r="J641" s="84">
        <v>37.200000000000003</v>
      </c>
    </row>
    <row r="642" spans="1:10" ht="16">
      <c r="A642" s="79" t="s">
        <v>1381</v>
      </c>
      <c r="B642" s="79" t="s">
        <v>1307</v>
      </c>
      <c r="C642" s="80" t="s">
        <v>95</v>
      </c>
      <c r="D642" s="81" t="s">
        <v>79</v>
      </c>
      <c r="E642" s="82">
        <v>44801</v>
      </c>
      <c r="F642" s="82">
        <v>4000</v>
      </c>
      <c r="G642" s="82">
        <v>7616</v>
      </c>
      <c r="H642" s="84">
        <v>48.5</v>
      </c>
      <c r="I642" s="84">
        <v>35863</v>
      </c>
      <c r="J642" s="84">
        <v>47.8</v>
      </c>
    </row>
    <row r="643" spans="1:10" ht="16">
      <c r="A643" s="79" t="s">
        <v>436</v>
      </c>
      <c r="B643" s="79" t="s">
        <v>421</v>
      </c>
      <c r="C643" s="80" t="s">
        <v>126</v>
      </c>
      <c r="D643" s="81" t="s">
        <v>77</v>
      </c>
      <c r="E643" s="82">
        <v>45377</v>
      </c>
      <c r="F643" s="82">
        <v>743</v>
      </c>
      <c r="G643" s="82">
        <v>9529</v>
      </c>
      <c r="H643" s="84">
        <v>61.5</v>
      </c>
      <c r="I643" s="84">
        <v>41407</v>
      </c>
      <c r="J643" s="84">
        <v>55.6</v>
      </c>
    </row>
    <row r="644" spans="1:10" ht="16">
      <c r="A644" s="79" t="s">
        <v>211</v>
      </c>
      <c r="B644" s="79" t="s">
        <v>203</v>
      </c>
      <c r="C644" s="80" t="s">
        <v>95</v>
      </c>
      <c r="D644" s="81" t="s">
        <v>103</v>
      </c>
      <c r="E644" s="82">
        <v>33694</v>
      </c>
      <c r="F644" s="82">
        <v>782</v>
      </c>
      <c r="G644" s="82">
        <v>1348</v>
      </c>
      <c r="H644" s="84">
        <v>26</v>
      </c>
      <c r="I644" s="84">
        <v>10058</v>
      </c>
      <c r="J644" s="84">
        <v>19.399999999999999</v>
      </c>
    </row>
    <row r="645" spans="1:10" ht="16">
      <c r="A645" s="79" t="s">
        <v>1189</v>
      </c>
      <c r="B645" s="79" t="s">
        <v>1161</v>
      </c>
      <c r="C645" s="80" t="s">
        <v>126</v>
      </c>
      <c r="D645" s="81" t="s">
        <v>75</v>
      </c>
      <c r="E645" s="82">
        <v>3605</v>
      </c>
      <c r="F645" s="82">
        <v>168</v>
      </c>
      <c r="G645" s="82">
        <v>324</v>
      </c>
      <c r="H645" s="84">
        <v>35.299999999999997</v>
      </c>
      <c r="I645" s="84">
        <v>19747</v>
      </c>
      <c r="J645" s="84">
        <v>27.8</v>
      </c>
    </row>
    <row r="646" spans="1:10" ht="16">
      <c r="A646" s="79" t="s">
        <v>723</v>
      </c>
      <c r="B646" s="79" t="s">
        <v>661</v>
      </c>
      <c r="C646" s="80" t="s">
        <v>126</v>
      </c>
      <c r="D646" s="81" t="s">
        <v>79</v>
      </c>
      <c r="E646" s="82">
        <v>6799</v>
      </c>
      <c r="F646" s="82">
        <v>708</v>
      </c>
      <c r="G646" s="82">
        <v>136</v>
      </c>
      <c r="H646" s="84">
        <v>12.4</v>
      </c>
      <c r="I646" s="84">
        <v>2335</v>
      </c>
      <c r="J646" s="84">
        <v>21.5</v>
      </c>
    </row>
    <row r="647" spans="1:10" ht="16">
      <c r="A647" s="79" t="s">
        <v>963</v>
      </c>
      <c r="B647" s="79" t="s">
        <v>938</v>
      </c>
      <c r="C647" s="80" t="s">
        <v>95</v>
      </c>
      <c r="D647" s="81" t="s">
        <v>78</v>
      </c>
      <c r="E647" s="82">
        <v>21489</v>
      </c>
      <c r="F647" s="82">
        <v>2904</v>
      </c>
      <c r="G647" s="82">
        <v>2579</v>
      </c>
      <c r="H647" s="84">
        <v>31</v>
      </c>
      <c r="I647" s="84">
        <v>6115</v>
      </c>
      <c r="J647" s="84">
        <v>46.1</v>
      </c>
    </row>
    <row r="648" spans="1:10" ht="16">
      <c r="A648" s="79" t="s">
        <v>964</v>
      </c>
      <c r="B648" s="79" t="s">
        <v>938</v>
      </c>
      <c r="C648" s="80" t="s">
        <v>126</v>
      </c>
      <c r="D648" s="81" t="s">
        <v>111</v>
      </c>
      <c r="E648" s="82">
        <v>7298</v>
      </c>
      <c r="F648" s="82">
        <v>657</v>
      </c>
      <c r="G648" s="82">
        <v>803</v>
      </c>
      <c r="H648" s="84">
        <v>10.3</v>
      </c>
      <c r="I648" s="84">
        <v>5085</v>
      </c>
      <c r="J648" s="84">
        <v>20.2</v>
      </c>
    </row>
    <row r="649" spans="1:10" ht="16">
      <c r="A649" s="79" t="s">
        <v>724</v>
      </c>
      <c r="B649" s="79" t="s">
        <v>661</v>
      </c>
      <c r="C649" s="80" t="s">
        <v>126</v>
      </c>
      <c r="D649" s="81" t="s">
        <v>111</v>
      </c>
      <c r="E649" s="82">
        <v>1909</v>
      </c>
      <c r="F649" s="82">
        <v>1273</v>
      </c>
      <c r="G649" s="82">
        <v>133</v>
      </c>
      <c r="H649" s="84">
        <v>9.6</v>
      </c>
      <c r="I649" s="84">
        <v>2713</v>
      </c>
      <c r="J649" s="84">
        <v>23.6</v>
      </c>
    </row>
    <row r="650" spans="1:10" ht="16">
      <c r="A650" s="79" t="s">
        <v>725</v>
      </c>
      <c r="B650" s="79" t="s">
        <v>661</v>
      </c>
      <c r="C650" s="80" t="s">
        <v>126</v>
      </c>
      <c r="D650" s="81" t="s">
        <v>101</v>
      </c>
      <c r="E650" s="82">
        <v>8579</v>
      </c>
      <c r="F650" s="82">
        <v>600</v>
      </c>
      <c r="G650" s="82">
        <v>429</v>
      </c>
      <c r="H650" s="84">
        <v>13</v>
      </c>
      <c r="I650" s="84">
        <v>2967</v>
      </c>
      <c r="J650" s="84">
        <v>19.100000000000001</v>
      </c>
    </row>
    <row r="651" spans="1:10" ht="16">
      <c r="A651" s="79" t="s">
        <v>965</v>
      </c>
      <c r="B651" s="79" t="s">
        <v>938</v>
      </c>
      <c r="C651" s="80" t="s">
        <v>95</v>
      </c>
      <c r="D651" s="81" t="s">
        <v>101</v>
      </c>
      <c r="E651" s="82">
        <v>9660</v>
      </c>
      <c r="F651" s="82">
        <v>911</v>
      </c>
      <c r="G651" s="82">
        <v>1063</v>
      </c>
      <c r="H651" s="84">
        <v>12.4</v>
      </c>
      <c r="I651" s="84">
        <v>3868</v>
      </c>
      <c r="J651" s="84">
        <v>18.3</v>
      </c>
    </row>
    <row r="652" spans="1:10" ht="16">
      <c r="A652" s="79" t="s">
        <v>1382</v>
      </c>
      <c r="B652" s="79" t="s">
        <v>1307</v>
      </c>
      <c r="C652" s="80" t="s">
        <v>95</v>
      </c>
      <c r="D652" s="81" t="s">
        <v>77</v>
      </c>
      <c r="E652" s="82">
        <v>30799</v>
      </c>
      <c r="F652" s="82">
        <v>1010</v>
      </c>
      <c r="G652" s="82">
        <v>2464</v>
      </c>
      <c r="H652" s="84">
        <v>24.4</v>
      </c>
      <c r="I652" s="84">
        <v>15177</v>
      </c>
      <c r="J652" s="84">
        <v>23.7</v>
      </c>
    </row>
    <row r="653" spans="1:10" ht="16">
      <c r="A653" s="79" t="s">
        <v>191</v>
      </c>
      <c r="B653" s="79" t="s">
        <v>169</v>
      </c>
      <c r="C653" s="80" t="s">
        <v>95</v>
      </c>
      <c r="D653" s="81" t="s">
        <v>78</v>
      </c>
      <c r="E653" s="82">
        <v>12922</v>
      </c>
      <c r="F653" s="82">
        <v>1086</v>
      </c>
      <c r="G653" s="82">
        <v>129</v>
      </c>
      <c r="H653" s="84">
        <v>9.3000000000000007</v>
      </c>
      <c r="I653" s="84">
        <v>1825</v>
      </c>
      <c r="J653" s="84">
        <v>18.100000000000001</v>
      </c>
    </row>
    <row r="654" spans="1:10" ht="16">
      <c r="A654" s="79" t="s">
        <v>624</v>
      </c>
      <c r="B654" s="79" t="s">
        <v>617</v>
      </c>
      <c r="C654" s="80" t="s">
        <v>95</v>
      </c>
      <c r="D654" s="81" t="s">
        <v>111</v>
      </c>
      <c r="E654" s="82">
        <v>71318</v>
      </c>
      <c r="F654" s="82">
        <v>3348</v>
      </c>
      <c r="G654" s="82">
        <v>4279</v>
      </c>
      <c r="H654" s="84">
        <v>40</v>
      </c>
      <c r="I654" s="84">
        <v>27943</v>
      </c>
      <c r="J654" s="84">
        <v>40.4</v>
      </c>
    </row>
    <row r="655" spans="1:10" ht="16">
      <c r="A655" s="79" t="s">
        <v>726</v>
      </c>
      <c r="B655" s="79" t="s">
        <v>661</v>
      </c>
      <c r="C655" s="80" t="s">
        <v>126</v>
      </c>
      <c r="D655" s="81" t="s">
        <v>76</v>
      </c>
      <c r="E655" s="82">
        <v>1336</v>
      </c>
      <c r="F655" s="82">
        <v>382</v>
      </c>
      <c r="G655" s="82">
        <v>93</v>
      </c>
      <c r="H655" s="84">
        <v>11.7</v>
      </c>
      <c r="I655" s="84">
        <v>3808</v>
      </c>
      <c r="J655" s="84">
        <v>29.6</v>
      </c>
    </row>
    <row r="656" spans="1:10" ht="16">
      <c r="A656" s="79" t="s">
        <v>536</v>
      </c>
      <c r="B656" s="79" t="s">
        <v>493</v>
      </c>
      <c r="C656" s="80" t="s">
        <v>95</v>
      </c>
      <c r="D656" s="81" t="s">
        <v>101</v>
      </c>
      <c r="E656" s="82">
        <v>12234</v>
      </c>
      <c r="F656" s="82">
        <v>844</v>
      </c>
      <c r="G656" s="82">
        <v>274</v>
      </c>
      <c r="H656" s="84">
        <v>11.9</v>
      </c>
      <c r="I656" s="84">
        <v>3801</v>
      </c>
      <c r="J656" s="84">
        <v>17</v>
      </c>
    </row>
    <row r="657" spans="1:10" ht="16">
      <c r="A657" s="79" t="s">
        <v>537</v>
      </c>
      <c r="B657" s="79" t="s">
        <v>493</v>
      </c>
      <c r="C657" s="80" t="s">
        <v>126</v>
      </c>
      <c r="D657" s="81" t="s">
        <v>111</v>
      </c>
      <c r="E657" s="82">
        <v>14381</v>
      </c>
      <c r="F657" s="82">
        <v>851</v>
      </c>
      <c r="G657" s="82">
        <v>144</v>
      </c>
      <c r="H657" s="84">
        <v>9</v>
      </c>
      <c r="I657" s="84">
        <v>920</v>
      </c>
      <c r="J657" s="84">
        <v>18.3</v>
      </c>
    </row>
    <row r="658" spans="1:10" ht="16">
      <c r="A658" s="79" t="s">
        <v>538</v>
      </c>
      <c r="B658" s="79" t="s">
        <v>493</v>
      </c>
      <c r="C658" s="80" t="s">
        <v>95</v>
      </c>
      <c r="D658" s="81" t="s">
        <v>77</v>
      </c>
      <c r="E658" s="82">
        <v>6056</v>
      </c>
      <c r="F658" s="82">
        <v>477</v>
      </c>
      <c r="G658" s="82">
        <v>121</v>
      </c>
      <c r="H658" s="84">
        <v>18.5</v>
      </c>
      <c r="I658" s="84">
        <v>8653</v>
      </c>
      <c r="J658" s="84">
        <v>38.9</v>
      </c>
    </row>
    <row r="659" spans="1:10" ht="16">
      <c r="A659" s="79" t="s">
        <v>406</v>
      </c>
      <c r="B659" s="79" t="s">
        <v>396</v>
      </c>
      <c r="C659" s="80" t="s">
        <v>95</v>
      </c>
      <c r="D659" s="81" t="s">
        <v>149</v>
      </c>
      <c r="E659" s="82">
        <v>11915</v>
      </c>
      <c r="F659" s="82">
        <v>264</v>
      </c>
      <c r="G659" s="82">
        <v>4051</v>
      </c>
      <c r="H659" s="84">
        <v>27</v>
      </c>
      <c r="I659" s="84">
        <v>15345</v>
      </c>
      <c r="J659" s="84">
        <v>29.8</v>
      </c>
    </row>
    <row r="660" spans="1:10" ht="16">
      <c r="A660" s="79" t="s">
        <v>625</v>
      </c>
      <c r="B660" s="79" t="s">
        <v>617</v>
      </c>
      <c r="C660" s="80" t="s">
        <v>126</v>
      </c>
      <c r="D660" s="81" t="s">
        <v>149</v>
      </c>
      <c r="E660" s="82">
        <v>558</v>
      </c>
      <c r="F660" s="82">
        <v>82</v>
      </c>
      <c r="G660" s="82">
        <v>61</v>
      </c>
      <c r="H660" s="84">
        <v>38.1</v>
      </c>
      <c r="I660" s="84">
        <v>30229</v>
      </c>
      <c r="J660" s="84">
        <v>57.2</v>
      </c>
    </row>
    <row r="661" spans="1:10" ht="16">
      <c r="A661" s="79" t="s">
        <v>966</v>
      </c>
      <c r="B661" s="79" t="s">
        <v>938</v>
      </c>
      <c r="C661" s="80" t="s">
        <v>95</v>
      </c>
      <c r="D661" s="81" t="s">
        <v>96</v>
      </c>
      <c r="E661" s="82">
        <v>15354</v>
      </c>
      <c r="F661" s="82">
        <v>1872</v>
      </c>
      <c r="G661" s="82">
        <v>2457</v>
      </c>
      <c r="H661" s="84">
        <v>10</v>
      </c>
      <c r="I661" s="84">
        <v>261</v>
      </c>
      <c r="J661" s="84">
        <v>24.5</v>
      </c>
    </row>
    <row r="662" spans="1:10" ht="16">
      <c r="A662" s="79" t="s">
        <v>1027</v>
      </c>
      <c r="B662" s="79" t="s">
        <v>1007</v>
      </c>
      <c r="C662" s="80" t="s">
        <v>126</v>
      </c>
      <c r="D662" s="81" t="s">
        <v>77</v>
      </c>
      <c r="E662" s="82">
        <v>12119</v>
      </c>
      <c r="F662" s="82">
        <v>713</v>
      </c>
      <c r="G662" s="82">
        <v>1212</v>
      </c>
      <c r="H662" s="84">
        <v>20.8</v>
      </c>
      <c r="I662" s="84">
        <v>15710</v>
      </c>
      <c r="J662" s="84">
        <v>23.4</v>
      </c>
    </row>
    <row r="663" spans="1:10" ht="16">
      <c r="A663" s="79" t="s">
        <v>487</v>
      </c>
      <c r="B663" s="79" t="s">
        <v>485</v>
      </c>
      <c r="C663" s="80" t="s">
        <v>95</v>
      </c>
      <c r="D663" s="81" t="s">
        <v>101</v>
      </c>
      <c r="E663" s="82">
        <v>10996</v>
      </c>
      <c r="F663" s="82">
        <v>1122</v>
      </c>
      <c r="G663" s="82">
        <v>3409</v>
      </c>
      <c r="H663" s="84">
        <v>12.3</v>
      </c>
      <c r="I663" s="84">
        <v>9126</v>
      </c>
      <c r="J663" s="84">
        <v>26.2</v>
      </c>
    </row>
    <row r="664" spans="1:10" ht="16">
      <c r="A664" s="79" t="s">
        <v>570</v>
      </c>
      <c r="B664" s="79" t="s">
        <v>556</v>
      </c>
      <c r="C664" s="80" t="s">
        <v>126</v>
      </c>
      <c r="D664" s="81" t="s">
        <v>103</v>
      </c>
      <c r="E664" s="82">
        <v>12496</v>
      </c>
      <c r="F664" s="82">
        <v>811</v>
      </c>
      <c r="G664" s="82">
        <v>125</v>
      </c>
      <c r="H664" s="84">
        <v>9.9</v>
      </c>
      <c r="I664" s="84">
        <v>3925</v>
      </c>
      <c r="J664" s="84">
        <v>16.899999999999999</v>
      </c>
    </row>
    <row r="665" spans="1:10" ht="16">
      <c r="A665" s="79" t="s">
        <v>1028</v>
      </c>
      <c r="B665" s="79" t="s">
        <v>1007</v>
      </c>
      <c r="C665" s="80" t="s">
        <v>126</v>
      </c>
      <c r="D665" s="81" t="s">
        <v>96</v>
      </c>
      <c r="E665" s="82">
        <v>26182</v>
      </c>
      <c r="F665" s="82">
        <v>2111</v>
      </c>
      <c r="G665" s="82">
        <v>3142</v>
      </c>
      <c r="H665" s="84">
        <v>71.599999999999994</v>
      </c>
      <c r="I665" s="84">
        <v>47658</v>
      </c>
      <c r="J665" s="84">
        <v>72.3</v>
      </c>
    </row>
    <row r="666" spans="1:10" ht="16">
      <c r="A666" s="79" t="s">
        <v>1029</v>
      </c>
      <c r="B666" s="79" t="s">
        <v>1007</v>
      </c>
      <c r="C666" s="80" t="s">
        <v>126</v>
      </c>
      <c r="D666" s="81" t="s">
        <v>75</v>
      </c>
      <c r="E666" s="82">
        <v>11912</v>
      </c>
      <c r="F666" s="82">
        <v>693</v>
      </c>
      <c r="G666" s="82">
        <v>476</v>
      </c>
      <c r="H666" s="84">
        <v>13.5</v>
      </c>
      <c r="I666" s="84">
        <v>2120</v>
      </c>
      <c r="J666" s="84">
        <v>17.7</v>
      </c>
    </row>
    <row r="667" spans="1:10" ht="16">
      <c r="A667" s="79" t="s">
        <v>551</v>
      </c>
      <c r="B667" s="79" t="s">
        <v>549</v>
      </c>
      <c r="C667" s="80" t="s">
        <v>126</v>
      </c>
      <c r="D667" s="81" t="s">
        <v>76</v>
      </c>
      <c r="E667" s="82">
        <v>14624</v>
      </c>
      <c r="F667" s="82">
        <v>1380</v>
      </c>
      <c r="G667" s="82">
        <v>585</v>
      </c>
      <c r="H667" s="84">
        <v>11.1</v>
      </c>
      <c r="I667" s="84">
        <v>2607</v>
      </c>
      <c r="J667" s="84">
        <v>19.600000000000001</v>
      </c>
    </row>
    <row r="668" spans="1:10" ht="16">
      <c r="A668" s="79" t="s">
        <v>571</v>
      </c>
      <c r="B668" s="79" t="s">
        <v>556</v>
      </c>
      <c r="C668" s="80" t="s">
        <v>95</v>
      </c>
      <c r="D668" s="81" t="s">
        <v>149</v>
      </c>
      <c r="E668" s="82">
        <v>6350</v>
      </c>
      <c r="F668" s="82">
        <v>327</v>
      </c>
      <c r="G668" s="82">
        <v>292</v>
      </c>
      <c r="H668" s="84">
        <v>11.6</v>
      </c>
      <c r="I668" s="84">
        <v>1231</v>
      </c>
      <c r="J668" s="84">
        <v>19.3</v>
      </c>
    </row>
    <row r="669" spans="1:10" ht="16">
      <c r="A669" s="79" t="s">
        <v>572</v>
      </c>
      <c r="B669" s="79" t="s">
        <v>556</v>
      </c>
      <c r="C669" s="80" t="s">
        <v>95</v>
      </c>
      <c r="D669" s="81" t="s">
        <v>103</v>
      </c>
      <c r="E669" s="82">
        <v>14998</v>
      </c>
      <c r="F669" s="82">
        <v>638</v>
      </c>
      <c r="G669" s="82">
        <v>689</v>
      </c>
      <c r="H669" s="84">
        <v>13.7</v>
      </c>
      <c r="I669" s="84">
        <v>2069</v>
      </c>
      <c r="J669" s="84">
        <v>17.8</v>
      </c>
    </row>
    <row r="670" spans="1:10" ht="16">
      <c r="A670" s="79" t="s">
        <v>573</v>
      </c>
      <c r="B670" s="79" t="s">
        <v>556</v>
      </c>
      <c r="C670" s="80" t="s">
        <v>95</v>
      </c>
      <c r="D670" s="81" t="s">
        <v>75</v>
      </c>
      <c r="E670" s="82">
        <v>18403</v>
      </c>
      <c r="F670" s="82">
        <v>860</v>
      </c>
      <c r="G670" s="82">
        <v>368</v>
      </c>
      <c r="H670" s="84">
        <v>19</v>
      </c>
      <c r="I670" s="84">
        <v>7251</v>
      </c>
      <c r="J670" s="84">
        <v>22.1</v>
      </c>
    </row>
    <row r="671" spans="1:10" ht="16">
      <c r="A671" s="79" t="s">
        <v>574</v>
      </c>
      <c r="B671" s="79" t="s">
        <v>556</v>
      </c>
      <c r="C671" s="80" t="s">
        <v>95</v>
      </c>
      <c r="D671" s="81" t="s">
        <v>96</v>
      </c>
      <c r="E671" s="82">
        <v>12713</v>
      </c>
      <c r="F671" s="82">
        <v>1397</v>
      </c>
      <c r="G671" s="82">
        <v>254</v>
      </c>
      <c r="H671" s="84">
        <v>14.6</v>
      </c>
      <c r="I671" s="84">
        <v>5451</v>
      </c>
      <c r="J671" s="84">
        <v>42.9</v>
      </c>
    </row>
    <row r="672" spans="1:10" ht="16">
      <c r="A672" s="79" t="s">
        <v>575</v>
      </c>
      <c r="B672" s="79" t="s">
        <v>556</v>
      </c>
      <c r="C672" s="80" t="s">
        <v>95</v>
      </c>
      <c r="D672" s="81" t="s">
        <v>75</v>
      </c>
      <c r="E672" s="82">
        <v>12309</v>
      </c>
      <c r="F672" s="82">
        <v>583</v>
      </c>
      <c r="G672" s="82">
        <v>246</v>
      </c>
      <c r="H672" s="84">
        <v>18.399999999999999</v>
      </c>
      <c r="I672" s="84">
        <v>2995</v>
      </c>
      <c r="J672" s="84">
        <v>27.2</v>
      </c>
    </row>
    <row r="673" spans="1:10" ht="16">
      <c r="A673" s="79" t="s">
        <v>576</v>
      </c>
      <c r="B673" s="79" t="s">
        <v>556</v>
      </c>
      <c r="C673" s="80" t="s">
        <v>95</v>
      </c>
      <c r="D673" s="81" t="s">
        <v>78</v>
      </c>
      <c r="E673" s="82">
        <v>7378</v>
      </c>
      <c r="F673" s="82">
        <v>324</v>
      </c>
      <c r="G673" s="82">
        <v>339</v>
      </c>
      <c r="H673" s="84">
        <v>11.1</v>
      </c>
      <c r="I673" s="84">
        <v>3960</v>
      </c>
      <c r="J673" s="84">
        <v>15.6</v>
      </c>
    </row>
    <row r="674" spans="1:10" ht="16">
      <c r="A674" s="79" t="s">
        <v>577</v>
      </c>
      <c r="B674" s="79" t="s">
        <v>556</v>
      </c>
      <c r="C674" s="80" t="s">
        <v>126</v>
      </c>
      <c r="D674" s="81" t="s">
        <v>111</v>
      </c>
      <c r="E674" s="82">
        <v>8448</v>
      </c>
      <c r="F674" s="82">
        <v>343</v>
      </c>
      <c r="G674" s="82">
        <v>588</v>
      </c>
      <c r="H674" s="84">
        <v>13.8</v>
      </c>
      <c r="I674" s="84">
        <v>3859</v>
      </c>
      <c r="J674" s="84">
        <v>17.7</v>
      </c>
    </row>
    <row r="675" spans="1:10" ht="16">
      <c r="A675" s="79" t="s">
        <v>288</v>
      </c>
      <c r="B675" s="79" t="s">
        <v>242</v>
      </c>
      <c r="C675" s="80" t="s">
        <v>126</v>
      </c>
      <c r="D675" s="81" t="s">
        <v>103</v>
      </c>
      <c r="E675" s="82">
        <v>45767</v>
      </c>
      <c r="F675" s="82">
        <v>3135</v>
      </c>
      <c r="G675" s="82">
        <v>3204</v>
      </c>
      <c r="H675" s="84">
        <v>29.1</v>
      </c>
      <c r="I675" s="84">
        <v>10322</v>
      </c>
      <c r="J675" s="84">
        <v>32.299999999999997</v>
      </c>
    </row>
    <row r="676" spans="1:10" ht="16">
      <c r="A676" s="79" t="s">
        <v>289</v>
      </c>
      <c r="B676" s="79" t="s">
        <v>242</v>
      </c>
      <c r="C676" s="80" t="s">
        <v>126</v>
      </c>
      <c r="D676" s="81" t="s">
        <v>101</v>
      </c>
      <c r="E676" s="82">
        <v>38853</v>
      </c>
      <c r="F676" s="82">
        <v>3500</v>
      </c>
      <c r="G676" s="82">
        <v>5051</v>
      </c>
      <c r="H676" s="84">
        <v>63</v>
      </c>
      <c r="I676" s="84">
        <v>30223</v>
      </c>
      <c r="J676" s="84">
        <v>58</v>
      </c>
    </row>
    <row r="677" spans="1:10" ht="16">
      <c r="A677" s="79" t="s">
        <v>290</v>
      </c>
      <c r="B677" s="79" t="s">
        <v>242</v>
      </c>
      <c r="C677" s="80" t="s">
        <v>126</v>
      </c>
      <c r="D677" s="81" t="s">
        <v>111</v>
      </c>
      <c r="E677" s="82">
        <v>23789</v>
      </c>
      <c r="F677" s="82">
        <v>1329</v>
      </c>
      <c r="G677" s="82">
        <v>714</v>
      </c>
      <c r="H677" s="84">
        <v>9.8000000000000007</v>
      </c>
      <c r="I677" s="84">
        <v>3982</v>
      </c>
      <c r="J677" s="84">
        <v>14.5</v>
      </c>
    </row>
    <row r="678" spans="1:10" ht="16">
      <c r="A678" s="79" t="s">
        <v>291</v>
      </c>
      <c r="B678" s="79" t="s">
        <v>242</v>
      </c>
      <c r="C678" s="80" t="s">
        <v>126</v>
      </c>
      <c r="D678" s="81" t="s">
        <v>96</v>
      </c>
      <c r="E678" s="82">
        <v>36637</v>
      </c>
      <c r="F678" s="82">
        <v>3242</v>
      </c>
      <c r="G678" s="82">
        <v>2198</v>
      </c>
      <c r="H678" s="84">
        <v>24.8</v>
      </c>
      <c r="I678" s="84">
        <v>7346</v>
      </c>
      <c r="J678" s="84">
        <v>21.2</v>
      </c>
    </row>
    <row r="679" spans="1:10" ht="16">
      <c r="A679" s="79" t="s">
        <v>292</v>
      </c>
      <c r="B679" s="79" t="s">
        <v>242</v>
      </c>
      <c r="C679" s="80" t="s">
        <v>95</v>
      </c>
      <c r="D679" s="81" t="s">
        <v>149</v>
      </c>
      <c r="E679" s="82">
        <v>15130</v>
      </c>
      <c r="F679" s="82">
        <v>1043</v>
      </c>
      <c r="G679" s="82">
        <v>757</v>
      </c>
      <c r="H679" s="84">
        <v>14.1</v>
      </c>
      <c r="I679" s="84">
        <v>4637</v>
      </c>
      <c r="J679" s="84">
        <v>27.6</v>
      </c>
    </row>
    <row r="680" spans="1:10" ht="16">
      <c r="A680" s="79" t="s">
        <v>293</v>
      </c>
      <c r="B680" s="79" t="s">
        <v>242</v>
      </c>
      <c r="C680" s="80" t="s">
        <v>126</v>
      </c>
      <c r="D680" s="81" t="s">
        <v>76</v>
      </c>
      <c r="E680" s="82">
        <v>10305</v>
      </c>
      <c r="F680" s="82">
        <v>881</v>
      </c>
      <c r="G680" s="82">
        <v>103</v>
      </c>
      <c r="H680" s="84">
        <v>14.2</v>
      </c>
      <c r="I680" s="84">
        <v>5646</v>
      </c>
      <c r="J680" s="84">
        <v>22</v>
      </c>
    </row>
    <row r="681" spans="1:10" ht="16">
      <c r="A681" s="79" t="s">
        <v>578</v>
      </c>
      <c r="B681" s="79" t="s">
        <v>556</v>
      </c>
      <c r="C681" s="80" t="s">
        <v>126</v>
      </c>
      <c r="D681" s="81" t="s">
        <v>77</v>
      </c>
      <c r="E681" s="82">
        <v>9260</v>
      </c>
      <c r="F681" s="82">
        <v>468</v>
      </c>
      <c r="G681" s="82">
        <v>185</v>
      </c>
      <c r="H681" s="84">
        <v>36.700000000000003</v>
      </c>
      <c r="I681" s="84">
        <v>15070</v>
      </c>
      <c r="J681" s="84">
        <v>28.9</v>
      </c>
    </row>
    <row r="682" spans="1:10" ht="16">
      <c r="A682" s="79" t="s">
        <v>1249</v>
      </c>
      <c r="B682" s="79" t="s">
        <v>1209</v>
      </c>
      <c r="C682" s="80" t="s">
        <v>95</v>
      </c>
      <c r="D682" s="81" t="s">
        <v>96</v>
      </c>
      <c r="E682" s="82">
        <v>25119</v>
      </c>
      <c r="F682" s="82">
        <v>1478</v>
      </c>
      <c r="G682" s="82">
        <v>3265</v>
      </c>
      <c r="H682" s="84">
        <v>13.2</v>
      </c>
      <c r="I682" s="84">
        <v>5491</v>
      </c>
      <c r="J682" s="84">
        <v>17.5</v>
      </c>
    </row>
    <row r="683" spans="1:10" ht="16">
      <c r="A683" s="79" t="s">
        <v>294</v>
      </c>
      <c r="B683" s="79" t="s">
        <v>242</v>
      </c>
      <c r="C683" s="80" t="s">
        <v>126</v>
      </c>
      <c r="D683" s="81" t="s">
        <v>76</v>
      </c>
      <c r="E683" s="82">
        <v>35171</v>
      </c>
      <c r="F683" s="82">
        <v>2269</v>
      </c>
      <c r="G683" s="82">
        <v>352</v>
      </c>
      <c r="H683" s="84">
        <v>22.8</v>
      </c>
      <c r="I683" s="84">
        <v>16085</v>
      </c>
      <c r="J683" s="84">
        <v>22.3</v>
      </c>
    </row>
    <row r="684" spans="1:10" ht="16">
      <c r="A684" s="79" t="s">
        <v>727</v>
      </c>
      <c r="B684" s="79" t="s">
        <v>661</v>
      </c>
      <c r="C684" s="80" t="s">
        <v>126</v>
      </c>
      <c r="D684" s="81" t="s">
        <v>75</v>
      </c>
      <c r="E684" s="82">
        <v>7886</v>
      </c>
      <c r="F684" s="82">
        <v>329</v>
      </c>
      <c r="G684" s="82">
        <v>1262</v>
      </c>
      <c r="H684" s="84">
        <v>12.5</v>
      </c>
      <c r="I684" s="84">
        <v>1258</v>
      </c>
      <c r="J684" s="84">
        <v>16.399999999999999</v>
      </c>
    </row>
    <row r="685" spans="1:10" ht="16">
      <c r="A685" s="79" t="s">
        <v>728</v>
      </c>
      <c r="B685" s="79" t="s">
        <v>661</v>
      </c>
      <c r="C685" s="80" t="s">
        <v>126</v>
      </c>
      <c r="D685" s="81" t="s">
        <v>75</v>
      </c>
      <c r="E685" s="82">
        <v>1164</v>
      </c>
      <c r="F685" s="82">
        <v>375</v>
      </c>
      <c r="G685" s="82">
        <v>23</v>
      </c>
      <c r="H685" s="84">
        <v>10.199999999999999</v>
      </c>
      <c r="I685" s="84">
        <v>2796</v>
      </c>
      <c r="J685" s="84">
        <v>25.5</v>
      </c>
    </row>
    <row r="686" spans="1:10" ht="16">
      <c r="A686" s="79" t="s">
        <v>729</v>
      </c>
      <c r="B686" s="79" t="s">
        <v>661</v>
      </c>
      <c r="C686" s="80" t="s">
        <v>126</v>
      </c>
      <c r="D686" s="81" t="s">
        <v>77</v>
      </c>
      <c r="E686" s="82">
        <v>6086</v>
      </c>
      <c r="F686" s="82">
        <v>801</v>
      </c>
      <c r="G686" s="82">
        <v>122</v>
      </c>
      <c r="H686" s="84">
        <v>11.2</v>
      </c>
      <c r="I686" s="84">
        <v>1664</v>
      </c>
      <c r="J686" s="84">
        <v>21.5</v>
      </c>
    </row>
    <row r="687" spans="1:10" ht="16">
      <c r="A687" s="79" t="s">
        <v>730</v>
      </c>
      <c r="B687" s="79" t="s">
        <v>661</v>
      </c>
      <c r="C687" s="80" t="s">
        <v>126</v>
      </c>
      <c r="D687" s="81" t="s">
        <v>103</v>
      </c>
      <c r="E687" s="82">
        <v>10812</v>
      </c>
      <c r="F687" s="82">
        <v>1050</v>
      </c>
      <c r="G687" s="82">
        <v>324</v>
      </c>
      <c r="H687" s="84">
        <v>14.4</v>
      </c>
      <c r="I687" s="84">
        <v>4037</v>
      </c>
      <c r="J687" s="84">
        <v>21.5</v>
      </c>
    </row>
    <row r="688" spans="1:10" ht="16">
      <c r="A688" s="79" t="s">
        <v>579</v>
      </c>
      <c r="B688" s="79" t="s">
        <v>556</v>
      </c>
      <c r="C688" s="80" t="s">
        <v>126</v>
      </c>
      <c r="D688" s="81" t="s">
        <v>149</v>
      </c>
      <c r="E688" s="82">
        <v>14286</v>
      </c>
      <c r="F688" s="82">
        <v>693</v>
      </c>
      <c r="G688" s="82">
        <v>657</v>
      </c>
      <c r="H688" s="84">
        <v>25</v>
      </c>
      <c r="I688" s="84">
        <v>6811</v>
      </c>
      <c r="J688" s="84">
        <v>24.8</v>
      </c>
    </row>
    <row r="689" spans="1:10" ht="16">
      <c r="A689" s="79" t="s">
        <v>580</v>
      </c>
      <c r="B689" s="79" t="s">
        <v>556</v>
      </c>
      <c r="C689" s="80" t="s">
        <v>95</v>
      </c>
      <c r="D689" s="81" t="s">
        <v>149</v>
      </c>
      <c r="E689" s="82">
        <v>10465</v>
      </c>
      <c r="F689" s="82">
        <v>960</v>
      </c>
      <c r="G689" s="82">
        <v>209</v>
      </c>
      <c r="H689" s="84">
        <v>10.7</v>
      </c>
      <c r="I689" s="84">
        <v>2215</v>
      </c>
      <c r="J689" s="84">
        <v>16.2</v>
      </c>
    </row>
    <row r="690" spans="1:10" ht="16">
      <c r="A690" s="79" t="s">
        <v>581</v>
      </c>
      <c r="B690" s="79" t="s">
        <v>556</v>
      </c>
      <c r="C690" s="80" t="s">
        <v>126</v>
      </c>
      <c r="D690" s="81" t="s">
        <v>149</v>
      </c>
      <c r="E690" s="82">
        <v>1602</v>
      </c>
      <c r="F690" s="82">
        <v>101</v>
      </c>
      <c r="G690" s="82">
        <v>111</v>
      </c>
      <c r="H690" s="84">
        <v>20.3</v>
      </c>
      <c r="I690" s="84">
        <v>9478</v>
      </c>
      <c r="J690" s="84">
        <v>23.7</v>
      </c>
    </row>
    <row r="691" spans="1:10" ht="16">
      <c r="A691" s="79" t="s">
        <v>731</v>
      </c>
      <c r="B691" s="79" t="s">
        <v>661</v>
      </c>
      <c r="C691" s="80" t="s">
        <v>126</v>
      </c>
      <c r="D691" s="81" t="s">
        <v>103</v>
      </c>
      <c r="E691" s="82">
        <v>9956</v>
      </c>
      <c r="F691" s="82">
        <v>732</v>
      </c>
      <c r="G691" s="82">
        <v>299</v>
      </c>
      <c r="H691" s="84">
        <v>13.4</v>
      </c>
      <c r="I691" s="84">
        <v>1983</v>
      </c>
      <c r="J691" s="84">
        <v>17.7</v>
      </c>
    </row>
    <row r="692" spans="1:10" ht="16">
      <c r="A692" s="79" t="s">
        <v>732</v>
      </c>
      <c r="B692" s="79" t="s">
        <v>661</v>
      </c>
      <c r="C692" s="80" t="s">
        <v>95</v>
      </c>
      <c r="D692" s="81" t="s">
        <v>101</v>
      </c>
      <c r="E692" s="82">
        <v>3659</v>
      </c>
      <c r="F692" s="82">
        <v>1742</v>
      </c>
      <c r="G692" s="82">
        <v>37</v>
      </c>
      <c r="H692" s="84">
        <v>8.6999999999999993</v>
      </c>
      <c r="I692" s="84">
        <v>1757</v>
      </c>
      <c r="J692" s="84">
        <v>30.3</v>
      </c>
    </row>
    <row r="693" spans="1:10" ht="16">
      <c r="A693" s="79" t="s">
        <v>967</v>
      </c>
      <c r="B693" s="79" t="s">
        <v>938</v>
      </c>
      <c r="C693" s="80" t="s">
        <v>126</v>
      </c>
      <c r="D693" s="81" t="s">
        <v>111</v>
      </c>
      <c r="E693" s="82">
        <v>23800</v>
      </c>
      <c r="F693" s="82">
        <v>1425</v>
      </c>
      <c r="G693" s="82">
        <v>952</v>
      </c>
      <c r="H693" s="84">
        <v>12.8</v>
      </c>
      <c r="I693" s="84">
        <v>877</v>
      </c>
      <c r="J693" s="84">
        <v>18.100000000000001</v>
      </c>
    </row>
    <row r="694" spans="1:10" ht="16">
      <c r="A694" s="79" t="s">
        <v>295</v>
      </c>
      <c r="B694" s="79" t="s">
        <v>242</v>
      </c>
      <c r="C694" s="80" t="s">
        <v>126</v>
      </c>
      <c r="D694" s="81" t="s">
        <v>77</v>
      </c>
      <c r="E694" s="82">
        <v>64648</v>
      </c>
      <c r="F694" s="82">
        <v>4685</v>
      </c>
      <c r="G694" s="82">
        <v>2586</v>
      </c>
      <c r="H694" s="84">
        <v>24.8</v>
      </c>
      <c r="I694" s="84">
        <v>9499</v>
      </c>
      <c r="J694" s="84">
        <v>30.6</v>
      </c>
    </row>
    <row r="695" spans="1:10" ht="16">
      <c r="A695" s="79" t="s">
        <v>834</v>
      </c>
      <c r="B695" s="79" t="s">
        <v>833</v>
      </c>
      <c r="C695" s="80" t="s">
        <v>126</v>
      </c>
      <c r="D695" s="81" t="s">
        <v>99</v>
      </c>
      <c r="E695" s="82">
        <v>90736</v>
      </c>
      <c r="F695" s="82">
        <v>1589</v>
      </c>
      <c r="G695" s="82">
        <v>1815</v>
      </c>
      <c r="H695" s="84">
        <v>7.6</v>
      </c>
      <c r="I695" s="84">
        <v>4065</v>
      </c>
      <c r="J695" s="84">
        <v>25.2</v>
      </c>
    </row>
    <row r="696" spans="1:10" ht="16">
      <c r="A696" s="79" t="s">
        <v>904</v>
      </c>
      <c r="B696" s="79" t="s">
        <v>898</v>
      </c>
      <c r="C696" s="80" t="s">
        <v>126</v>
      </c>
      <c r="D696" s="81" t="s">
        <v>75</v>
      </c>
      <c r="E696" s="82">
        <v>20646</v>
      </c>
      <c r="F696" s="82">
        <v>1639</v>
      </c>
      <c r="G696" s="82">
        <v>206</v>
      </c>
      <c r="H696" s="84">
        <v>9.3000000000000007</v>
      </c>
      <c r="I696" s="84">
        <v>2969</v>
      </c>
      <c r="J696" s="84">
        <v>16.399999999999999</v>
      </c>
    </row>
    <row r="697" spans="1:10" ht="16">
      <c r="A697" s="79" t="s">
        <v>1149</v>
      </c>
      <c r="B697" s="79" t="s">
        <v>1139</v>
      </c>
      <c r="C697" s="80" t="s">
        <v>95</v>
      </c>
      <c r="D697" s="81" t="s">
        <v>75</v>
      </c>
      <c r="E697" s="82">
        <v>24542</v>
      </c>
      <c r="F697" s="82">
        <v>1239</v>
      </c>
      <c r="G697" s="82">
        <v>736</v>
      </c>
      <c r="H697" s="84">
        <v>8.3000000000000007</v>
      </c>
      <c r="I697" s="84">
        <v>1131</v>
      </c>
      <c r="J697" s="84">
        <v>15.5</v>
      </c>
    </row>
    <row r="698" spans="1:10" ht="16">
      <c r="A698" s="79" t="s">
        <v>212</v>
      </c>
      <c r="B698" s="79" t="s">
        <v>203</v>
      </c>
      <c r="C698" s="80" t="s">
        <v>95</v>
      </c>
      <c r="D698" s="81" t="s">
        <v>78</v>
      </c>
      <c r="E698" s="82">
        <v>26521</v>
      </c>
      <c r="F698" s="82">
        <v>971</v>
      </c>
      <c r="G698" s="82">
        <v>7956</v>
      </c>
      <c r="H698" s="84">
        <v>35.5</v>
      </c>
      <c r="I698" s="84">
        <v>26747</v>
      </c>
      <c r="J698" s="84">
        <v>24.1</v>
      </c>
    </row>
    <row r="699" spans="1:10" ht="16">
      <c r="A699" s="79" t="s">
        <v>990</v>
      </c>
      <c r="B699" s="79" t="s">
        <v>989</v>
      </c>
      <c r="C699" s="80" t="s">
        <v>95</v>
      </c>
      <c r="D699" s="81" t="s">
        <v>78</v>
      </c>
      <c r="E699" s="82">
        <v>6570</v>
      </c>
      <c r="F699" s="82">
        <v>466</v>
      </c>
      <c r="G699" s="82">
        <v>131</v>
      </c>
      <c r="H699" s="84">
        <v>8.4</v>
      </c>
      <c r="I699" s="84">
        <v>817</v>
      </c>
      <c r="J699" s="84">
        <v>17.7</v>
      </c>
    </row>
    <row r="700" spans="1:10" ht="16">
      <c r="A700" s="79" t="s">
        <v>991</v>
      </c>
      <c r="B700" s="79" t="s">
        <v>989</v>
      </c>
      <c r="C700" s="80" t="s">
        <v>126</v>
      </c>
      <c r="D700" s="81" t="s">
        <v>101</v>
      </c>
      <c r="E700" s="82">
        <v>13108</v>
      </c>
      <c r="F700" s="82">
        <v>986</v>
      </c>
      <c r="G700" s="82">
        <v>393</v>
      </c>
      <c r="H700" s="84">
        <v>12.4</v>
      </c>
      <c r="I700" s="84">
        <v>1217</v>
      </c>
      <c r="J700" s="84">
        <v>22.5</v>
      </c>
    </row>
    <row r="701" spans="1:10" ht="16">
      <c r="A701" s="79" t="s">
        <v>1250</v>
      </c>
      <c r="B701" s="79" t="s">
        <v>1209</v>
      </c>
      <c r="C701" s="80" t="s">
        <v>95</v>
      </c>
      <c r="D701" s="81" t="s">
        <v>111</v>
      </c>
      <c r="E701" s="82">
        <v>5194</v>
      </c>
      <c r="F701" s="82">
        <v>429</v>
      </c>
      <c r="G701" s="82">
        <v>2753</v>
      </c>
      <c r="H701" s="84">
        <v>37.700000000000003</v>
      </c>
      <c r="I701" s="84">
        <v>11768</v>
      </c>
      <c r="J701" s="84">
        <v>41.9</v>
      </c>
    </row>
    <row r="702" spans="1:10" ht="16">
      <c r="A702" s="79" t="s">
        <v>200</v>
      </c>
      <c r="B702" s="79" t="s">
        <v>201</v>
      </c>
      <c r="C702" s="80" t="s">
        <v>95</v>
      </c>
      <c r="D702" s="81" t="s">
        <v>78</v>
      </c>
      <c r="E702" s="82">
        <v>21988</v>
      </c>
      <c r="F702" s="82">
        <v>2364</v>
      </c>
      <c r="G702" s="82">
        <v>1319</v>
      </c>
      <c r="H702" s="84">
        <v>9.6</v>
      </c>
      <c r="I702" s="84">
        <v>1373</v>
      </c>
      <c r="J702" s="84">
        <v>20.7</v>
      </c>
    </row>
    <row r="703" spans="1:10" ht="16">
      <c r="A703" s="79" t="s">
        <v>1030</v>
      </c>
      <c r="B703" s="79" t="s">
        <v>1007</v>
      </c>
      <c r="C703" s="80" t="s">
        <v>126</v>
      </c>
      <c r="D703" s="81" t="s">
        <v>79</v>
      </c>
      <c r="E703" s="82">
        <v>9559</v>
      </c>
      <c r="F703" s="82">
        <v>417</v>
      </c>
      <c r="G703" s="82">
        <v>1051</v>
      </c>
      <c r="H703" s="84">
        <v>28.2</v>
      </c>
      <c r="I703" s="84">
        <v>6660</v>
      </c>
      <c r="J703" s="84">
        <v>24.4</v>
      </c>
    </row>
    <row r="704" spans="1:10" ht="16">
      <c r="A704" s="79" t="s">
        <v>378</v>
      </c>
      <c r="B704" s="79" t="s">
        <v>363</v>
      </c>
      <c r="C704" s="80" t="s">
        <v>95</v>
      </c>
      <c r="D704" s="81" t="s">
        <v>96</v>
      </c>
      <c r="E704" s="82">
        <v>52056</v>
      </c>
      <c r="F704" s="82">
        <v>1808</v>
      </c>
      <c r="G704" s="82">
        <v>1165</v>
      </c>
      <c r="H704" s="84">
        <v>7.4</v>
      </c>
      <c r="I704" s="84">
        <v>2638</v>
      </c>
      <c r="J704" s="84">
        <v>13.8</v>
      </c>
    </row>
    <row r="705" spans="1:10" ht="16">
      <c r="A705" s="79" t="s">
        <v>296</v>
      </c>
      <c r="B705" s="79" t="s">
        <v>242</v>
      </c>
      <c r="C705" s="80" t="s">
        <v>95</v>
      </c>
      <c r="D705" s="81" t="s">
        <v>76</v>
      </c>
      <c r="E705" s="82">
        <v>44835</v>
      </c>
      <c r="F705" s="82">
        <v>2734</v>
      </c>
      <c r="G705" s="82">
        <v>3138</v>
      </c>
      <c r="H705" s="84">
        <v>20.8</v>
      </c>
      <c r="I705" s="84">
        <v>14190</v>
      </c>
      <c r="J705" s="84">
        <v>23.4</v>
      </c>
    </row>
    <row r="706" spans="1:10" ht="16">
      <c r="A706" s="79" t="s">
        <v>1031</v>
      </c>
      <c r="B706" s="79" t="s">
        <v>1007</v>
      </c>
      <c r="C706" s="80" t="s">
        <v>126</v>
      </c>
      <c r="D706" s="81" t="s">
        <v>75</v>
      </c>
      <c r="E706" s="82">
        <v>15516</v>
      </c>
      <c r="F706" s="82">
        <v>848</v>
      </c>
      <c r="G706" s="82">
        <v>931</v>
      </c>
      <c r="H706" s="84">
        <v>10.7</v>
      </c>
      <c r="I706" s="84">
        <v>1629</v>
      </c>
      <c r="J706" s="84">
        <v>20.8</v>
      </c>
    </row>
    <row r="707" spans="1:10" ht="16">
      <c r="A707" s="79" t="s">
        <v>733</v>
      </c>
      <c r="B707" s="79" t="s">
        <v>661</v>
      </c>
      <c r="C707" s="80" t="s">
        <v>95</v>
      </c>
      <c r="D707" s="81" t="s">
        <v>96</v>
      </c>
      <c r="E707" s="82">
        <v>13369</v>
      </c>
      <c r="F707" s="82">
        <v>552</v>
      </c>
      <c r="G707" s="82">
        <v>1203</v>
      </c>
      <c r="H707" s="84">
        <v>11.6</v>
      </c>
      <c r="I707" s="84">
        <v>1664</v>
      </c>
      <c r="J707" s="84">
        <v>21.6</v>
      </c>
    </row>
    <row r="708" spans="1:10" ht="16">
      <c r="A708" s="79" t="s">
        <v>407</v>
      </c>
      <c r="B708" s="79" t="s">
        <v>396</v>
      </c>
      <c r="C708" s="80" t="s">
        <v>95</v>
      </c>
      <c r="D708" s="81" t="s">
        <v>75</v>
      </c>
      <c r="E708" s="82">
        <v>43076</v>
      </c>
      <c r="F708" s="82">
        <v>3191</v>
      </c>
      <c r="G708" s="82">
        <v>8184</v>
      </c>
      <c r="H708" s="84">
        <v>50.6</v>
      </c>
      <c r="I708" s="84">
        <v>40505</v>
      </c>
      <c r="J708" s="84">
        <v>62.3</v>
      </c>
    </row>
    <row r="709" spans="1:10" ht="16">
      <c r="A709" s="79" t="s">
        <v>297</v>
      </c>
      <c r="B709" s="79" t="s">
        <v>242</v>
      </c>
      <c r="C709" s="80" t="s">
        <v>126</v>
      </c>
      <c r="D709" s="81" t="s">
        <v>78</v>
      </c>
      <c r="E709" s="82">
        <v>41139</v>
      </c>
      <c r="F709" s="82">
        <v>2960</v>
      </c>
      <c r="G709" s="82">
        <v>2057</v>
      </c>
      <c r="H709" s="84">
        <v>29.1</v>
      </c>
      <c r="I709" s="84">
        <v>17847</v>
      </c>
      <c r="J709" s="84">
        <v>24</v>
      </c>
    </row>
    <row r="710" spans="1:10" ht="16">
      <c r="A710" s="79" t="s">
        <v>968</v>
      </c>
      <c r="B710" s="79" t="s">
        <v>938</v>
      </c>
      <c r="C710" s="80" t="s">
        <v>126</v>
      </c>
      <c r="D710" s="81" t="s">
        <v>79</v>
      </c>
      <c r="E710" s="82">
        <v>28840</v>
      </c>
      <c r="F710" s="82">
        <v>1687</v>
      </c>
      <c r="G710" s="82">
        <v>1442</v>
      </c>
      <c r="H710" s="84">
        <v>10.5</v>
      </c>
      <c r="I710" s="84">
        <v>2194</v>
      </c>
      <c r="J710" s="84">
        <v>16.100000000000001</v>
      </c>
    </row>
    <row r="711" spans="1:10" ht="16">
      <c r="A711" s="79" t="s">
        <v>379</v>
      </c>
      <c r="B711" s="79" t="s">
        <v>363</v>
      </c>
      <c r="C711" s="80" t="s">
        <v>95</v>
      </c>
      <c r="D711" s="81" t="s">
        <v>78</v>
      </c>
      <c r="E711" s="82">
        <v>47488</v>
      </c>
      <c r="F711" s="82">
        <v>991</v>
      </c>
      <c r="G711" s="82">
        <v>950</v>
      </c>
      <c r="H711" s="84">
        <v>7.9</v>
      </c>
      <c r="I711" s="84">
        <v>3023</v>
      </c>
      <c r="J711" s="84">
        <v>12.8</v>
      </c>
    </row>
    <row r="712" spans="1:10" ht="16">
      <c r="A712" s="79" t="s">
        <v>298</v>
      </c>
      <c r="B712" s="79" t="s">
        <v>242</v>
      </c>
      <c r="C712" s="80" t="s">
        <v>126</v>
      </c>
      <c r="D712" s="81" t="s">
        <v>99</v>
      </c>
      <c r="E712" s="82">
        <v>32951</v>
      </c>
      <c r="F712" s="82">
        <v>2841</v>
      </c>
      <c r="G712" s="82">
        <v>1648</v>
      </c>
      <c r="H712" s="84">
        <v>33.4</v>
      </c>
      <c r="I712" s="84">
        <v>14296</v>
      </c>
      <c r="J712" s="84">
        <v>29.6</v>
      </c>
    </row>
    <row r="713" spans="1:10" ht="16">
      <c r="A713" s="79" t="s">
        <v>127</v>
      </c>
      <c r="B713" s="79" t="s">
        <v>108</v>
      </c>
      <c r="C713" s="80" t="s">
        <v>95</v>
      </c>
      <c r="D713" s="81" t="s">
        <v>96</v>
      </c>
      <c r="E713" s="82">
        <v>9064</v>
      </c>
      <c r="F713" s="82">
        <v>363</v>
      </c>
      <c r="G713" s="82">
        <v>2266</v>
      </c>
      <c r="H713" s="84">
        <v>21.5</v>
      </c>
      <c r="I713" s="84">
        <v>10699</v>
      </c>
      <c r="J713" s="84">
        <v>18.5</v>
      </c>
    </row>
    <row r="714" spans="1:10" ht="16">
      <c r="A714" s="79" t="s">
        <v>969</v>
      </c>
      <c r="B714" s="79" t="s">
        <v>938</v>
      </c>
      <c r="C714" s="80" t="s">
        <v>95</v>
      </c>
      <c r="D714" s="81" t="s">
        <v>75</v>
      </c>
      <c r="E714" s="82">
        <v>19038</v>
      </c>
      <c r="F714" s="82">
        <v>2092</v>
      </c>
      <c r="G714" s="82">
        <v>1713</v>
      </c>
      <c r="H714" s="84">
        <v>10</v>
      </c>
      <c r="I714" s="84">
        <v>2060</v>
      </c>
      <c r="J714" s="84">
        <v>20.399999999999999</v>
      </c>
    </row>
    <row r="715" spans="1:10" ht="16">
      <c r="A715" s="79" t="s">
        <v>299</v>
      </c>
      <c r="B715" s="79" t="s">
        <v>242</v>
      </c>
      <c r="C715" s="80" t="s">
        <v>95</v>
      </c>
      <c r="D715" s="81" t="s">
        <v>78</v>
      </c>
      <c r="E715" s="82">
        <v>19306</v>
      </c>
      <c r="F715" s="82">
        <v>2925</v>
      </c>
      <c r="G715" s="82">
        <v>1351</v>
      </c>
      <c r="H715" s="84">
        <v>12.2</v>
      </c>
      <c r="I715" s="84">
        <v>3060</v>
      </c>
      <c r="J715" s="84">
        <v>27.2</v>
      </c>
    </row>
    <row r="716" spans="1:10" ht="16">
      <c r="A716" s="79" t="s">
        <v>300</v>
      </c>
      <c r="B716" s="79" t="s">
        <v>242</v>
      </c>
      <c r="C716" s="80" t="s">
        <v>126</v>
      </c>
      <c r="D716" s="81" t="s">
        <v>96</v>
      </c>
      <c r="E716" s="82">
        <v>3198</v>
      </c>
      <c r="F716" s="82">
        <v>337</v>
      </c>
      <c r="G716" s="82">
        <v>220</v>
      </c>
      <c r="H716" s="84">
        <v>23.5</v>
      </c>
      <c r="I716" s="84">
        <v>20118</v>
      </c>
      <c r="J716" s="84">
        <v>23.9</v>
      </c>
    </row>
    <row r="717" spans="1:10" ht="16">
      <c r="A717" s="79" t="s">
        <v>301</v>
      </c>
      <c r="B717" s="79" t="s">
        <v>242</v>
      </c>
      <c r="C717" s="80" t="s">
        <v>126</v>
      </c>
      <c r="D717" s="81" t="s">
        <v>75</v>
      </c>
      <c r="E717" s="82">
        <v>38059</v>
      </c>
      <c r="F717" s="82">
        <v>2394</v>
      </c>
      <c r="G717" s="82">
        <v>761</v>
      </c>
      <c r="H717" s="84">
        <v>16.600000000000001</v>
      </c>
      <c r="I717" s="84">
        <v>3459</v>
      </c>
      <c r="J717" s="84">
        <v>17.899999999999999</v>
      </c>
    </row>
    <row r="718" spans="1:10" ht="16">
      <c r="A718" s="79" t="s">
        <v>302</v>
      </c>
      <c r="B718" s="79" t="s">
        <v>242</v>
      </c>
      <c r="C718" s="80" t="s">
        <v>95</v>
      </c>
      <c r="D718" s="81" t="s">
        <v>96</v>
      </c>
      <c r="E718" s="82">
        <v>22283</v>
      </c>
      <c r="F718" s="82">
        <v>1401</v>
      </c>
      <c r="G718" s="82">
        <v>446</v>
      </c>
      <c r="H718" s="84">
        <v>11.6</v>
      </c>
      <c r="I718" s="84">
        <v>5613</v>
      </c>
      <c r="J718" s="84">
        <v>18.100000000000001</v>
      </c>
    </row>
    <row r="719" spans="1:10" ht="16">
      <c r="A719" s="79" t="s">
        <v>539</v>
      </c>
      <c r="B719" s="79" t="s">
        <v>493</v>
      </c>
      <c r="C719" s="80" t="s">
        <v>126</v>
      </c>
      <c r="D719" s="81" t="s">
        <v>75</v>
      </c>
      <c r="E719" s="82">
        <v>7832</v>
      </c>
      <c r="F719" s="82">
        <v>505</v>
      </c>
      <c r="G719" s="82">
        <v>175</v>
      </c>
      <c r="H719" s="84">
        <v>10</v>
      </c>
      <c r="I719" s="84">
        <v>3287</v>
      </c>
      <c r="J719" s="84">
        <v>37.299999999999997</v>
      </c>
    </row>
    <row r="720" spans="1:10" ht="16">
      <c r="A720" s="79" t="s">
        <v>1150</v>
      </c>
      <c r="B720" s="79" t="s">
        <v>1139</v>
      </c>
      <c r="C720" s="80" t="s">
        <v>95</v>
      </c>
      <c r="D720" s="81" t="s">
        <v>101</v>
      </c>
      <c r="E720" s="82">
        <v>22247</v>
      </c>
      <c r="F720" s="82">
        <v>1279</v>
      </c>
      <c r="G720" s="82">
        <v>2112</v>
      </c>
      <c r="H720" s="84">
        <v>8.4</v>
      </c>
      <c r="I720" s="84">
        <v>1068</v>
      </c>
      <c r="J720" s="84">
        <v>19.899999999999999</v>
      </c>
    </row>
    <row r="721" spans="1:10" ht="16">
      <c r="A721" s="79" t="s">
        <v>540</v>
      </c>
      <c r="B721" s="79" t="s">
        <v>493</v>
      </c>
      <c r="C721" s="80" t="s">
        <v>126</v>
      </c>
      <c r="D721" s="81" t="s">
        <v>149</v>
      </c>
      <c r="E721" s="82">
        <v>51031</v>
      </c>
      <c r="F721" s="82">
        <v>3271</v>
      </c>
      <c r="G721" s="82">
        <v>1021</v>
      </c>
      <c r="H721" s="84">
        <v>8.1999999999999993</v>
      </c>
      <c r="I721" s="84">
        <v>1501</v>
      </c>
      <c r="J721" s="84">
        <v>16.899999999999999</v>
      </c>
    </row>
    <row r="722" spans="1:10" ht="16">
      <c r="A722" s="79" t="s">
        <v>734</v>
      </c>
      <c r="B722" s="79" t="s">
        <v>661</v>
      </c>
      <c r="C722" s="80" t="s">
        <v>126</v>
      </c>
      <c r="D722" s="81" t="s">
        <v>77</v>
      </c>
      <c r="E722" s="82">
        <v>846</v>
      </c>
      <c r="F722" s="82">
        <v>846</v>
      </c>
      <c r="G722" s="82">
        <v>8</v>
      </c>
      <c r="H722" s="84">
        <v>7.9</v>
      </c>
      <c r="I722" s="84">
        <v>2933</v>
      </c>
      <c r="J722" s="84">
        <v>27</v>
      </c>
    </row>
    <row r="723" spans="1:10" ht="16">
      <c r="A723" s="79" t="s">
        <v>970</v>
      </c>
      <c r="B723" s="79" t="s">
        <v>938</v>
      </c>
      <c r="C723" s="80" t="s">
        <v>126</v>
      </c>
      <c r="D723" s="81" t="s">
        <v>149</v>
      </c>
      <c r="E723" s="82">
        <v>8021</v>
      </c>
      <c r="F723" s="82">
        <v>642</v>
      </c>
      <c r="G723" s="82">
        <v>1444</v>
      </c>
      <c r="H723" s="84">
        <v>13</v>
      </c>
      <c r="I723" s="84">
        <v>2679</v>
      </c>
      <c r="J723" s="84">
        <v>19.8</v>
      </c>
    </row>
    <row r="724" spans="1:10" ht="16">
      <c r="A724" s="79" t="s">
        <v>1251</v>
      </c>
      <c r="B724" s="79" t="s">
        <v>1209</v>
      </c>
      <c r="C724" s="80" t="s">
        <v>126</v>
      </c>
      <c r="D724" s="81" t="s">
        <v>78</v>
      </c>
      <c r="E724" s="82">
        <v>8558</v>
      </c>
      <c r="F724" s="82">
        <v>578</v>
      </c>
      <c r="G724" s="82">
        <v>1027</v>
      </c>
      <c r="H724" s="84">
        <v>9.8000000000000007</v>
      </c>
      <c r="I724" s="84">
        <v>4227</v>
      </c>
      <c r="J724" s="84">
        <v>16.8</v>
      </c>
    </row>
    <row r="725" spans="1:10" ht="16">
      <c r="A725" s="79" t="s">
        <v>1383</v>
      </c>
      <c r="B725" s="79" t="s">
        <v>1307</v>
      </c>
      <c r="C725" s="80" t="s">
        <v>126</v>
      </c>
      <c r="D725" s="81" t="s">
        <v>101</v>
      </c>
      <c r="E725" s="82">
        <v>16135</v>
      </c>
      <c r="F725" s="82">
        <v>2210</v>
      </c>
      <c r="G725" s="82">
        <v>3711</v>
      </c>
      <c r="H725" s="84">
        <v>96.4</v>
      </c>
      <c r="I725" s="84">
        <v>96370</v>
      </c>
      <c r="J725" s="84">
        <v>92.8</v>
      </c>
    </row>
    <row r="726" spans="1:10" ht="16">
      <c r="A726" s="79" t="s">
        <v>1384</v>
      </c>
      <c r="B726" s="79" t="s">
        <v>1307</v>
      </c>
      <c r="C726" s="80" t="s">
        <v>95</v>
      </c>
      <c r="D726" s="81" t="s">
        <v>101</v>
      </c>
      <c r="E726" s="82">
        <v>15947</v>
      </c>
      <c r="F726" s="82">
        <v>961</v>
      </c>
      <c r="G726" s="82">
        <v>1595</v>
      </c>
      <c r="H726" s="84">
        <v>35.4</v>
      </c>
      <c r="I726" s="84">
        <v>25818</v>
      </c>
      <c r="J726" s="84">
        <v>24</v>
      </c>
    </row>
    <row r="727" spans="1:10" ht="16">
      <c r="A727" s="79" t="s">
        <v>192</v>
      </c>
      <c r="B727" s="79" t="s">
        <v>169</v>
      </c>
      <c r="C727" s="80" t="s">
        <v>95</v>
      </c>
      <c r="D727" s="81" t="s">
        <v>77</v>
      </c>
      <c r="E727" s="82">
        <v>11911</v>
      </c>
      <c r="F727" s="82">
        <v>953</v>
      </c>
      <c r="G727" s="82">
        <v>820</v>
      </c>
      <c r="H727" s="84">
        <v>8.5</v>
      </c>
      <c r="I727" s="84">
        <v>2262</v>
      </c>
      <c r="J727" s="84">
        <v>17.600000000000001</v>
      </c>
    </row>
    <row r="728" spans="1:10" ht="16">
      <c r="A728" s="79" t="s">
        <v>193</v>
      </c>
      <c r="B728" s="79" t="s">
        <v>169</v>
      </c>
      <c r="C728" s="80" t="s">
        <v>95</v>
      </c>
      <c r="D728" s="81" t="s">
        <v>111</v>
      </c>
      <c r="E728" s="82">
        <v>3954</v>
      </c>
      <c r="F728" s="82">
        <v>841</v>
      </c>
      <c r="G728" s="82">
        <v>272</v>
      </c>
      <c r="H728" s="84">
        <v>7.6</v>
      </c>
      <c r="I728" s="84">
        <v>648</v>
      </c>
      <c r="J728" s="84">
        <v>27.4</v>
      </c>
    </row>
    <row r="729" spans="1:10" ht="16">
      <c r="A729" s="79" t="s">
        <v>997</v>
      </c>
      <c r="B729" s="79" t="s">
        <v>996</v>
      </c>
      <c r="C729" s="80" t="s">
        <v>95</v>
      </c>
      <c r="D729" s="81" t="s">
        <v>99</v>
      </c>
      <c r="E729" s="82">
        <v>24308</v>
      </c>
      <c r="F729" s="82">
        <v>931</v>
      </c>
      <c r="G729" s="82">
        <v>1945</v>
      </c>
      <c r="H729" s="84">
        <v>34.6</v>
      </c>
      <c r="I729" s="84">
        <v>25813</v>
      </c>
      <c r="J729" s="84">
        <v>29.5</v>
      </c>
    </row>
    <row r="730" spans="1:10" ht="16">
      <c r="A730" s="79" t="s">
        <v>1385</v>
      </c>
      <c r="B730" s="79" t="s">
        <v>1307</v>
      </c>
      <c r="C730" s="80" t="s">
        <v>126</v>
      </c>
      <c r="D730" s="81" t="s">
        <v>75</v>
      </c>
      <c r="E730" s="82">
        <v>5943</v>
      </c>
      <c r="F730" s="82">
        <v>356</v>
      </c>
      <c r="G730" s="82">
        <v>2258</v>
      </c>
      <c r="H730" s="84">
        <v>15.8</v>
      </c>
      <c r="I730" s="84">
        <v>9253</v>
      </c>
      <c r="J730" s="84">
        <v>22.5</v>
      </c>
    </row>
    <row r="731" spans="1:10" ht="16">
      <c r="A731" s="79" t="s">
        <v>1086</v>
      </c>
      <c r="B731" s="79" t="s">
        <v>1081</v>
      </c>
      <c r="C731" s="80" t="s">
        <v>126</v>
      </c>
      <c r="D731" s="81" t="s">
        <v>75</v>
      </c>
      <c r="E731" s="82">
        <v>27185</v>
      </c>
      <c r="F731" s="82">
        <v>1394</v>
      </c>
      <c r="G731" s="82">
        <v>3806</v>
      </c>
      <c r="H731" s="84">
        <v>46.4</v>
      </c>
      <c r="I731" s="84">
        <v>39462</v>
      </c>
      <c r="J731" s="84">
        <v>30</v>
      </c>
    </row>
    <row r="732" spans="1:10" ht="16">
      <c r="A732" s="79" t="s">
        <v>1386</v>
      </c>
      <c r="B732" s="79" t="s">
        <v>1307</v>
      </c>
      <c r="C732" s="80" t="s">
        <v>126</v>
      </c>
      <c r="D732" s="81" t="s">
        <v>111</v>
      </c>
      <c r="E732" s="82">
        <v>24201</v>
      </c>
      <c r="F732" s="82">
        <v>2305</v>
      </c>
      <c r="G732" s="82">
        <v>5566</v>
      </c>
      <c r="H732" s="84">
        <v>23.5</v>
      </c>
      <c r="I732" s="84">
        <v>18125</v>
      </c>
      <c r="J732" s="84">
        <v>34.4</v>
      </c>
    </row>
    <row r="733" spans="1:10" ht="16">
      <c r="A733" s="79" t="s">
        <v>380</v>
      </c>
      <c r="B733" s="79" t="s">
        <v>363</v>
      </c>
      <c r="C733" s="80" t="s">
        <v>95</v>
      </c>
      <c r="D733" s="81" t="s">
        <v>77</v>
      </c>
      <c r="E733" s="82">
        <v>35363</v>
      </c>
      <c r="F733" s="82">
        <v>3274</v>
      </c>
      <c r="G733" s="82">
        <v>354</v>
      </c>
      <c r="H733" s="84">
        <v>8.6999999999999993</v>
      </c>
      <c r="I733" s="84">
        <v>7222</v>
      </c>
      <c r="J733" s="84">
        <v>19.899999999999999</v>
      </c>
    </row>
    <row r="734" spans="1:10" ht="16">
      <c r="A734" s="79" t="s">
        <v>874</v>
      </c>
      <c r="B734" s="79" t="s">
        <v>875</v>
      </c>
      <c r="C734" s="80" t="s">
        <v>126</v>
      </c>
      <c r="D734" s="81" t="s">
        <v>103</v>
      </c>
      <c r="E734" s="82">
        <v>6823</v>
      </c>
      <c r="F734" s="82">
        <v>922</v>
      </c>
      <c r="G734" s="82">
        <v>273</v>
      </c>
      <c r="H734" s="84">
        <v>10.6</v>
      </c>
      <c r="I734" s="84">
        <v>2025</v>
      </c>
      <c r="J734" s="84">
        <v>23.8</v>
      </c>
    </row>
    <row r="735" spans="1:10" ht="16">
      <c r="A735" s="79" t="s">
        <v>1200</v>
      </c>
      <c r="B735" s="79" t="s">
        <v>1197</v>
      </c>
      <c r="C735" s="80" t="s">
        <v>126</v>
      </c>
      <c r="D735" s="81" t="s">
        <v>75</v>
      </c>
      <c r="E735" s="82">
        <v>9293</v>
      </c>
      <c r="F735" s="82">
        <v>894</v>
      </c>
      <c r="G735" s="82">
        <v>1208</v>
      </c>
      <c r="H735" s="84">
        <v>10</v>
      </c>
      <c r="I735" s="84">
        <v>1337</v>
      </c>
      <c r="J735" s="84">
        <v>19.8</v>
      </c>
    </row>
    <row r="736" spans="1:10" ht="16">
      <c r="A736" s="79" t="s">
        <v>303</v>
      </c>
      <c r="B736" s="79" t="s">
        <v>242</v>
      </c>
      <c r="C736" s="80" t="s">
        <v>95</v>
      </c>
      <c r="D736" s="81" t="s">
        <v>101</v>
      </c>
      <c r="E736" s="82">
        <v>53603</v>
      </c>
      <c r="F736" s="82">
        <v>3229</v>
      </c>
      <c r="G736" s="82">
        <v>4824</v>
      </c>
      <c r="H736" s="84">
        <v>35.799999999999997</v>
      </c>
      <c r="I736" s="84">
        <v>22780</v>
      </c>
      <c r="J736" s="84">
        <v>43.6</v>
      </c>
    </row>
    <row r="737" spans="1:10" ht="16">
      <c r="A737" s="79" t="s">
        <v>1032</v>
      </c>
      <c r="B737" s="79" t="s">
        <v>1007</v>
      </c>
      <c r="C737" s="80" t="s">
        <v>126</v>
      </c>
      <c r="D737" s="81" t="s">
        <v>101</v>
      </c>
      <c r="E737" s="82">
        <v>23342</v>
      </c>
      <c r="F737" s="82">
        <v>1197</v>
      </c>
      <c r="G737" s="82">
        <v>3501</v>
      </c>
      <c r="H737" s="84">
        <v>61.2</v>
      </c>
      <c r="I737" s="84">
        <v>43054</v>
      </c>
      <c r="J737" s="84">
        <v>57.6</v>
      </c>
    </row>
    <row r="738" spans="1:10" ht="16">
      <c r="A738" s="79" t="s">
        <v>1151</v>
      </c>
      <c r="B738" s="79" t="s">
        <v>1139</v>
      </c>
      <c r="C738" s="80" t="s">
        <v>95</v>
      </c>
      <c r="D738" s="81" t="s">
        <v>101</v>
      </c>
      <c r="E738" s="82">
        <v>15901</v>
      </c>
      <c r="F738" s="82">
        <v>466</v>
      </c>
      <c r="G738" s="82">
        <v>159</v>
      </c>
      <c r="H738" s="84">
        <v>12.3</v>
      </c>
      <c r="I738" s="84">
        <v>3336</v>
      </c>
      <c r="J738" s="84">
        <v>19.7</v>
      </c>
    </row>
    <row r="739" spans="1:10" ht="16">
      <c r="A739" s="79" t="s">
        <v>1252</v>
      </c>
      <c r="B739" s="79" t="s">
        <v>1209</v>
      </c>
      <c r="C739" s="80" t="s">
        <v>126</v>
      </c>
      <c r="D739" s="81" t="s">
        <v>103</v>
      </c>
      <c r="E739" s="82">
        <v>16445</v>
      </c>
      <c r="F739" s="82">
        <v>985</v>
      </c>
      <c r="G739" s="82">
        <v>3782</v>
      </c>
      <c r="H739" s="84">
        <v>24.1</v>
      </c>
      <c r="I739" s="84">
        <v>22520</v>
      </c>
      <c r="J739" s="84">
        <v>21.3</v>
      </c>
    </row>
    <row r="740" spans="1:10" ht="16">
      <c r="A740" s="79" t="s">
        <v>1087</v>
      </c>
      <c r="B740" s="79" t="s">
        <v>1081</v>
      </c>
      <c r="C740" s="80" t="s">
        <v>95</v>
      </c>
      <c r="D740" s="81" t="s">
        <v>79</v>
      </c>
      <c r="E740" s="82">
        <v>3737</v>
      </c>
      <c r="F740" s="82">
        <v>830</v>
      </c>
      <c r="G740" s="82">
        <v>149</v>
      </c>
      <c r="H740" s="84">
        <v>29.5</v>
      </c>
      <c r="I740" s="84">
        <v>21713</v>
      </c>
      <c r="J740" s="84">
        <v>31.1</v>
      </c>
    </row>
    <row r="741" spans="1:10" ht="16">
      <c r="A741" s="79" t="s">
        <v>128</v>
      </c>
      <c r="B741" s="79" t="s">
        <v>108</v>
      </c>
      <c r="C741" s="80" t="s">
        <v>126</v>
      </c>
      <c r="D741" s="81" t="s">
        <v>103</v>
      </c>
      <c r="E741" s="82">
        <v>14379</v>
      </c>
      <c r="F741" s="82">
        <v>515</v>
      </c>
      <c r="G741" s="82">
        <v>3882</v>
      </c>
      <c r="H741" s="84">
        <v>28.9</v>
      </c>
      <c r="I741" s="84">
        <v>19245</v>
      </c>
      <c r="J741" s="84">
        <v>24.5</v>
      </c>
    </row>
    <row r="742" spans="1:10" ht="16">
      <c r="A742" s="79" t="s">
        <v>905</v>
      </c>
      <c r="B742" s="79" t="s">
        <v>898</v>
      </c>
      <c r="C742" s="80" t="s">
        <v>95</v>
      </c>
      <c r="D742" s="81" t="s">
        <v>101</v>
      </c>
      <c r="E742" s="82">
        <v>13561</v>
      </c>
      <c r="F742" s="82">
        <v>384</v>
      </c>
      <c r="G742" s="82">
        <v>1220</v>
      </c>
      <c r="H742" s="84">
        <v>12.3</v>
      </c>
      <c r="I742" s="84">
        <v>2599</v>
      </c>
      <c r="J742" s="84">
        <v>15.1</v>
      </c>
    </row>
    <row r="743" spans="1:10" ht="16">
      <c r="A743" s="79" t="s">
        <v>1387</v>
      </c>
      <c r="B743" s="79" t="s">
        <v>1307</v>
      </c>
      <c r="C743" s="80" t="s">
        <v>95</v>
      </c>
      <c r="D743" s="81" t="s">
        <v>101</v>
      </c>
      <c r="E743" s="82">
        <v>20236</v>
      </c>
      <c r="F743" s="82">
        <v>1289</v>
      </c>
      <c r="G743" s="82">
        <v>4047</v>
      </c>
      <c r="H743" s="84">
        <v>29.6</v>
      </c>
      <c r="I743" s="84">
        <v>23167</v>
      </c>
      <c r="J743" s="84">
        <v>35.1</v>
      </c>
    </row>
    <row r="744" spans="1:10" ht="16">
      <c r="A744" s="79" t="s">
        <v>582</v>
      </c>
      <c r="B744" s="79" t="s">
        <v>556</v>
      </c>
      <c r="C744" s="80" t="s">
        <v>126</v>
      </c>
      <c r="D744" s="81" t="s">
        <v>78</v>
      </c>
      <c r="E744" s="82">
        <v>8047</v>
      </c>
      <c r="F744" s="82">
        <v>847</v>
      </c>
      <c r="G744" s="82">
        <v>370</v>
      </c>
      <c r="H744" s="84">
        <v>12</v>
      </c>
      <c r="I744" s="84">
        <v>4426</v>
      </c>
      <c r="J744" s="84">
        <v>45</v>
      </c>
    </row>
    <row r="745" spans="1:10" ht="16">
      <c r="A745" s="79" t="s">
        <v>1131</v>
      </c>
      <c r="B745" s="79" t="s">
        <v>1100</v>
      </c>
      <c r="C745" s="80" t="s">
        <v>95</v>
      </c>
      <c r="D745" s="81" t="s">
        <v>96</v>
      </c>
      <c r="E745" s="82">
        <v>5973</v>
      </c>
      <c r="F745" s="82">
        <v>586</v>
      </c>
      <c r="G745" s="82">
        <v>597</v>
      </c>
      <c r="H745" s="84">
        <v>31.8</v>
      </c>
      <c r="I745" s="84">
        <v>21602</v>
      </c>
      <c r="J745" s="84">
        <v>28.7</v>
      </c>
    </row>
    <row r="746" spans="1:10" ht="16">
      <c r="A746" s="79" t="s">
        <v>383</v>
      </c>
      <c r="B746" s="79" t="s">
        <v>384</v>
      </c>
      <c r="C746" s="80" t="s">
        <v>95</v>
      </c>
      <c r="D746" s="81" t="s">
        <v>76</v>
      </c>
      <c r="E746" s="82">
        <v>7681</v>
      </c>
      <c r="F746" s="82">
        <v>282</v>
      </c>
      <c r="G746" s="82">
        <v>922</v>
      </c>
      <c r="H746" s="84">
        <v>20.100000000000001</v>
      </c>
      <c r="I746" s="84">
        <v>5936</v>
      </c>
      <c r="J746" s="84">
        <v>16.899999999999999</v>
      </c>
    </row>
    <row r="747" spans="1:10" ht="16">
      <c r="A747" s="79" t="s">
        <v>385</v>
      </c>
      <c r="B747" s="79" t="s">
        <v>384</v>
      </c>
      <c r="C747" s="80" t="s">
        <v>126</v>
      </c>
      <c r="D747" s="81" t="s">
        <v>101</v>
      </c>
      <c r="E747" s="82">
        <v>9895</v>
      </c>
      <c r="F747" s="82">
        <v>454</v>
      </c>
      <c r="G747" s="82">
        <v>1385</v>
      </c>
      <c r="H747" s="84">
        <v>13.2</v>
      </c>
      <c r="I747" s="84">
        <v>3674</v>
      </c>
      <c r="J747" s="84">
        <v>17.600000000000001</v>
      </c>
    </row>
    <row r="748" spans="1:10" ht="16">
      <c r="A748" s="79" t="s">
        <v>541</v>
      </c>
      <c r="B748" s="79" t="s">
        <v>493</v>
      </c>
      <c r="C748" s="80" t="s">
        <v>95</v>
      </c>
      <c r="D748" s="81" t="s">
        <v>79</v>
      </c>
      <c r="E748" s="82">
        <v>6279</v>
      </c>
      <c r="F748" s="82">
        <v>826</v>
      </c>
      <c r="G748" s="82">
        <v>141</v>
      </c>
      <c r="H748" s="84">
        <v>8.9</v>
      </c>
      <c r="I748" s="84">
        <v>243</v>
      </c>
      <c r="J748" s="84">
        <v>23.5</v>
      </c>
    </row>
    <row r="749" spans="1:10" ht="16">
      <c r="A749" s="79" t="s">
        <v>1132</v>
      </c>
      <c r="B749" s="79" t="s">
        <v>1100</v>
      </c>
      <c r="C749" s="80" t="s">
        <v>126</v>
      </c>
      <c r="D749" s="81" t="s">
        <v>101</v>
      </c>
      <c r="E749" s="82">
        <v>26032</v>
      </c>
      <c r="F749" s="82">
        <v>1054</v>
      </c>
      <c r="G749" s="82">
        <v>2083</v>
      </c>
      <c r="H749" s="84">
        <v>13</v>
      </c>
      <c r="I749" s="84">
        <v>1666</v>
      </c>
      <c r="J749" s="84">
        <v>16.399999999999999</v>
      </c>
    </row>
    <row r="750" spans="1:10" ht="16">
      <c r="A750" s="79" t="s">
        <v>390</v>
      </c>
      <c r="B750" s="79" t="s">
        <v>388</v>
      </c>
      <c r="C750" s="80" t="s">
        <v>95</v>
      </c>
      <c r="D750" s="81" t="s">
        <v>79</v>
      </c>
      <c r="E750" s="82">
        <v>15149</v>
      </c>
      <c r="F750" s="82">
        <v>695</v>
      </c>
      <c r="G750" s="82">
        <v>909</v>
      </c>
      <c r="H750" s="84">
        <v>34.700000000000003</v>
      </c>
      <c r="I750" s="84">
        <v>28458</v>
      </c>
      <c r="J750" s="84">
        <v>26.4</v>
      </c>
    </row>
    <row r="751" spans="1:10" ht="16">
      <c r="A751" s="79" t="s">
        <v>381</v>
      </c>
      <c r="B751" s="79" t="s">
        <v>363</v>
      </c>
      <c r="C751" s="80" t="s">
        <v>95</v>
      </c>
      <c r="D751" s="81" t="s">
        <v>101</v>
      </c>
      <c r="E751" s="82">
        <v>128995</v>
      </c>
      <c r="F751" s="82">
        <v>5466</v>
      </c>
      <c r="G751" s="82">
        <v>1290</v>
      </c>
      <c r="H751" s="84">
        <v>7.3</v>
      </c>
      <c r="I751" s="84">
        <v>2567</v>
      </c>
      <c r="J751" s="84">
        <v>20.7</v>
      </c>
    </row>
    <row r="752" spans="1:10" ht="16">
      <c r="A752" s="79" t="s">
        <v>1201</v>
      </c>
      <c r="B752" s="79" t="s">
        <v>1197</v>
      </c>
      <c r="C752" s="80" t="s">
        <v>95</v>
      </c>
      <c r="D752" s="81" t="s">
        <v>76</v>
      </c>
      <c r="E752" s="82">
        <v>23229</v>
      </c>
      <c r="F752" s="82">
        <v>2640</v>
      </c>
      <c r="G752" s="82">
        <v>697</v>
      </c>
      <c r="H752" s="84">
        <v>9.8000000000000007</v>
      </c>
      <c r="I752" s="84">
        <v>821</v>
      </c>
      <c r="J752" s="84">
        <v>23.5</v>
      </c>
    </row>
    <row r="753" spans="1:10" ht="16">
      <c r="A753" s="79" t="s">
        <v>437</v>
      </c>
      <c r="B753" s="79" t="s">
        <v>421</v>
      </c>
      <c r="C753" s="80" t="s">
        <v>126</v>
      </c>
      <c r="D753" s="81" t="s">
        <v>101</v>
      </c>
      <c r="E753" s="82">
        <v>22622</v>
      </c>
      <c r="F753" s="82">
        <v>373</v>
      </c>
      <c r="G753" s="82">
        <v>5429</v>
      </c>
      <c r="H753" s="84">
        <v>53.9</v>
      </c>
      <c r="I753" s="84">
        <v>33640</v>
      </c>
      <c r="J753" s="84">
        <v>50.4</v>
      </c>
    </row>
    <row r="754" spans="1:10" ht="16">
      <c r="A754" s="79" t="s">
        <v>934</v>
      </c>
      <c r="B754" s="79" t="s">
        <v>928</v>
      </c>
      <c r="C754" s="80" t="s">
        <v>126</v>
      </c>
      <c r="D754" s="81" t="s">
        <v>75</v>
      </c>
      <c r="E754" s="82">
        <v>19745</v>
      </c>
      <c r="F754" s="82">
        <v>1103</v>
      </c>
      <c r="G754" s="82">
        <v>197</v>
      </c>
      <c r="H754" s="84">
        <v>9.9</v>
      </c>
      <c r="I754" s="84">
        <v>1680</v>
      </c>
      <c r="J754" s="84">
        <v>15.2</v>
      </c>
    </row>
    <row r="755" spans="1:10" ht="16">
      <c r="A755" s="79" t="s">
        <v>438</v>
      </c>
      <c r="B755" s="79" t="s">
        <v>421</v>
      </c>
      <c r="C755" s="80" t="s">
        <v>126</v>
      </c>
      <c r="D755" s="81" t="s">
        <v>77</v>
      </c>
      <c r="E755" s="82">
        <v>18166</v>
      </c>
      <c r="F755" s="82">
        <v>445</v>
      </c>
      <c r="G755" s="82">
        <v>3088</v>
      </c>
      <c r="H755" s="84">
        <v>44.2</v>
      </c>
      <c r="I755" s="84">
        <v>22294</v>
      </c>
      <c r="J755" s="84">
        <v>42.4</v>
      </c>
    </row>
    <row r="756" spans="1:10" ht="16">
      <c r="A756" s="79" t="s">
        <v>359</v>
      </c>
      <c r="B756" s="79" t="s">
        <v>355</v>
      </c>
      <c r="C756" s="80" t="s">
        <v>126</v>
      </c>
      <c r="D756" s="81" t="s">
        <v>101</v>
      </c>
      <c r="E756" s="82">
        <v>9265</v>
      </c>
      <c r="F756" s="82">
        <v>1404</v>
      </c>
      <c r="G756" s="82">
        <v>2316</v>
      </c>
      <c r="H756" s="84">
        <v>40.200000000000003</v>
      </c>
      <c r="I756" s="84">
        <v>29720</v>
      </c>
      <c r="J756" s="84">
        <v>39.4</v>
      </c>
    </row>
    <row r="757" spans="1:10" ht="16">
      <c r="A757" s="79" t="s">
        <v>347</v>
      </c>
      <c r="B757" s="79" t="s">
        <v>341</v>
      </c>
      <c r="C757" s="80" t="s">
        <v>95</v>
      </c>
      <c r="D757" s="81" t="s">
        <v>103</v>
      </c>
      <c r="E757" s="82">
        <v>5321</v>
      </c>
      <c r="F757" s="82">
        <v>560</v>
      </c>
      <c r="G757" s="82">
        <v>639</v>
      </c>
      <c r="H757" s="84">
        <v>11.9</v>
      </c>
      <c r="I757" s="84">
        <v>702</v>
      </c>
      <c r="J757" s="84">
        <v>19.8</v>
      </c>
    </row>
    <row r="758" spans="1:10" ht="16">
      <c r="A758" s="79" t="s">
        <v>1050</v>
      </c>
      <c r="B758" s="79" t="s">
        <v>1039</v>
      </c>
      <c r="C758" s="80" t="s">
        <v>126</v>
      </c>
      <c r="D758" s="81" t="s">
        <v>103</v>
      </c>
      <c r="E758" s="82">
        <v>40592</v>
      </c>
      <c r="F758" s="82">
        <v>2899</v>
      </c>
      <c r="G758" s="82">
        <v>5277</v>
      </c>
      <c r="H758" s="84">
        <v>14.9</v>
      </c>
      <c r="I758" s="84">
        <v>5641</v>
      </c>
      <c r="J758" s="84">
        <v>22.6</v>
      </c>
    </row>
    <row r="759" spans="1:10" ht="16">
      <c r="A759" s="79" t="s">
        <v>439</v>
      </c>
      <c r="B759" s="79" t="s">
        <v>421</v>
      </c>
      <c r="C759" s="80" t="s">
        <v>126</v>
      </c>
      <c r="D759" s="81" t="s">
        <v>101</v>
      </c>
      <c r="E759" s="82">
        <v>40472</v>
      </c>
      <c r="F759" s="82">
        <v>847</v>
      </c>
      <c r="G759" s="82">
        <v>10927</v>
      </c>
      <c r="H759" s="84">
        <v>70.400000000000006</v>
      </c>
      <c r="I759" s="84">
        <v>60212</v>
      </c>
      <c r="J759" s="84">
        <v>64.599999999999994</v>
      </c>
    </row>
    <row r="760" spans="1:10" ht="16">
      <c r="A760" s="79" t="s">
        <v>613</v>
      </c>
      <c r="B760" s="79" t="s">
        <v>610</v>
      </c>
      <c r="C760" s="80" t="s">
        <v>126</v>
      </c>
      <c r="D760" s="81" t="s">
        <v>103</v>
      </c>
      <c r="E760" s="82">
        <v>14703</v>
      </c>
      <c r="F760" s="82">
        <v>674</v>
      </c>
      <c r="G760" s="82">
        <v>735</v>
      </c>
      <c r="H760" s="84">
        <v>31.5</v>
      </c>
      <c r="I760" s="84">
        <v>17930</v>
      </c>
      <c r="J760" s="84">
        <v>32.4</v>
      </c>
    </row>
    <row r="761" spans="1:10" ht="16">
      <c r="A761" s="79" t="s">
        <v>604</v>
      </c>
      <c r="B761" s="79" t="s">
        <v>600</v>
      </c>
      <c r="C761" s="80" t="s">
        <v>126</v>
      </c>
      <c r="D761" s="81" t="s">
        <v>149</v>
      </c>
      <c r="E761" s="82">
        <v>14904</v>
      </c>
      <c r="F761" s="82">
        <v>745</v>
      </c>
      <c r="G761" s="82">
        <v>2981</v>
      </c>
      <c r="H761" s="84">
        <v>13.3</v>
      </c>
      <c r="I761" s="84">
        <v>4389</v>
      </c>
      <c r="J761" s="84">
        <v>15.7</v>
      </c>
    </row>
    <row r="762" spans="1:10" ht="16">
      <c r="A762" s="79" t="s">
        <v>1253</v>
      </c>
      <c r="B762" s="79" t="s">
        <v>1209</v>
      </c>
      <c r="C762" s="80" t="s">
        <v>95</v>
      </c>
      <c r="D762" s="81" t="s">
        <v>77</v>
      </c>
      <c r="E762" s="82">
        <v>11919</v>
      </c>
      <c r="F762" s="82">
        <v>651</v>
      </c>
      <c r="G762" s="82">
        <v>1311</v>
      </c>
      <c r="H762" s="84">
        <v>10.6</v>
      </c>
      <c r="I762" s="84">
        <v>4655</v>
      </c>
      <c r="J762" s="84">
        <v>15.5</v>
      </c>
    </row>
    <row r="763" spans="1:10" ht="16">
      <c r="A763" s="79" t="s">
        <v>583</v>
      </c>
      <c r="B763" s="79" t="s">
        <v>556</v>
      </c>
      <c r="C763" s="80" t="s">
        <v>95</v>
      </c>
      <c r="D763" s="81" t="s">
        <v>101</v>
      </c>
      <c r="E763" s="82">
        <v>12511</v>
      </c>
      <c r="F763" s="82">
        <v>1813</v>
      </c>
      <c r="G763" s="82">
        <v>876</v>
      </c>
      <c r="H763" s="84">
        <v>16</v>
      </c>
      <c r="I763" s="84">
        <v>7725</v>
      </c>
      <c r="J763" s="84">
        <v>44.5</v>
      </c>
    </row>
    <row r="764" spans="1:10" ht="16">
      <c r="A764" s="79" t="s">
        <v>735</v>
      </c>
      <c r="B764" s="79" t="s">
        <v>661</v>
      </c>
      <c r="C764" s="80" t="s">
        <v>126</v>
      </c>
      <c r="D764" s="81" t="s">
        <v>101</v>
      </c>
      <c r="E764" s="82">
        <v>22873</v>
      </c>
      <c r="F764" s="82">
        <v>1370</v>
      </c>
      <c r="G764" s="82">
        <v>457</v>
      </c>
      <c r="H764" s="84">
        <v>10.8</v>
      </c>
      <c r="I764" s="84">
        <v>10411</v>
      </c>
      <c r="J764" s="84">
        <v>14.8</v>
      </c>
    </row>
    <row r="765" spans="1:10" ht="16">
      <c r="A765" s="79" t="s">
        <v>614</v>
      </c>
      <c r="B765" s="79" t="s">
        <v>610</v>
      </c>
      <c r="C765" s="80" t="s">
        <v>95</v>
      </c>
      <c r="D765" s="81" t="s">
        <v>79</v>
      </c>
      <c r="E765" s="82">
        <v>22414</v>
      </c>
      <c r="F765" s="82">
        <v>1005</v>
      </c>
      <c r="G765" s="82">
        <v>1569</v>
      </c>
      <c r="H765" s="84">
        <v>51.3</v>
      </c>
      <c r="I765" s="84">
        <v>36578</v>
      </c>
      <c r="J765" s="84">
        <v>41.3</v>
      </c>
    </row>
    <row r="766" spans="1:10" ht="16">
      <c r="A766" s="79" t="s">
        <v>1388</v>
      </c>
      <c r="B766" s="79" t="s">
        <v>1307</v>
      </c>
      <c r="C766" s="80" t="s">
        <v>95</v>
      </c>
      <c r="D766" s="81" t="s">
        <v>101</v>
      </c>
      <c r="E766" s="82">
        <v>35814</v>
      </c>
      <c r="F766" s="82">
        <v>2755</v>
      </c>
      <c r="G766" s="82">
        <v>3223</v>
      </c>
      <c r="H766" s="84">
        <v>23.5</v>
      </c>
      <c r="I766" s="84">
        <v>18684</v>
      </c>
      <c r="J766" s="84">
        <v>39.299999999999997</v>
      </c>
    </row>
    <row r="767" spans="1:10" ht="16">
      <c r="A767" s="79" t="s">
        <v>1389</v>
      </c>
      <c r="B767" s="79" t="s">
        <v>1307</v>
      </c>
      <c r="C767" s="80" t="s">
        <v>126</v>
      </c>
      <c r="D767" s="81" t="s">
        <v>103</v>
      </c>
      <c r="E767" s="82">
        <v>60818</v>
      </c>
      <c r="F767" s="82">
        <v>2452</v>
      </c>
      <c r="G767" s="82">
        <v>4865</v>
      </c>
      <c r="H767" s="84">
        <v>54.8</v>
      </c>
      <c r="I767" s="84">
        <v>34462</v>
      </c>
      <c r="J767" s="84">
        <v>49.3</v>
      </c>
    </row>
    <row r="768" spans="1:10" ht="16">
      <c r="A768" s="79" t="s">
        <v>1390</v>
      </c>
      <c r="B768" s="79" t="s">
        <v>1307</v>
      </c>
      <c r="C768" s="80" t="s">
        <v>95</v>
      </c>
      <c r="D768" s="81" t="s">
        <v>101</v>
      </c>
      <c r="E768" s="82">
        <v>31893</v>
      </c>
      <c r="F768" s="82">
        <v>1670</v>
      </c>
      <c r="G768" s="82">
        <v>319</v>
      </c>
      <c r="H768" s="84">
        <v>14.3</v>
      </c>
      <c r="I768" s="84">
        <v>3904</v>
      </c>
      <c r="J768" s="84">
        <v>17.399999999999999</v>
      </c>
    </row>
    <row r="769" spans="1:10" ht="16">
      <c r="A769" s="79" t="s">
        <v>1391</v>
      </c>
      <c r="B769" s="79" t="s">
        <v>1307</v>
      </c>
      <c r="C769" s="80" t="s">
        <v>126</v>
      </c>
      <c r="D769" s="81" t="s">
        <v>75</v>
      </c>
      <c r="E769" s="82">
        <v>33015</v>
      </c>
      <c r="F769" s="82">
        <v>1603</v>
      </c>
      <c r="G769" s="82">
        <v>2971</v>
      </c>
      <c r="H769" s="84">
        <v>20.9</v>
      </c>
      <c r="I769" s="84">
        <v>9729</v>
      </c>
      <c r="J769" s="84">
        <v>30.8</v>
      </c>
    </row>
    <row r="770" spans="1:10" ht="16">
      <c r="A770" s="79" t="s">
        <v>542</v>
      </c>
      <c r="B770" s="79" t="s">
        <v>493</v>
      </c>
      <c r="C770" s="80" t="s">
        <v>126</v>
      </c>
      <c r="D770" s="81" t="s">
        <v>77</v>
      </c>
      <c r="E770" s="82">
        <v>3904</v>
      </c>
      <c r="F770" s="82">
        <v>279</v>
      </c>
      <c r="G770" s="82">
        <v>39</v>
      </c>
      <c r="H770" s="84">
        <v>12.4</v>
      </c>
      <c r="I770" s="84">
        <v>3624</v>
      </c>
      <c r="J770" s="84">
        <v>26.3</v>
      </c>
    </row>
    <row r="771" spans="1:10" ht="16">
      <c r="A771" s="79" t="s">
        <v>1152</v>
      </c>
      <c r="B771" s="79" t="s">
        <v>1139</v>
      </c>
      <c r="C771" s="80" t="s">
        <v>95</v>
      </c>
      <c r="D771" s="81" t="s">
        <v>76</v>
      </c>
      <c r="E771" s="82">
        <v>33506</v>
      </c>
      <c r="F771" s="82">
        <v>2769</v>
      </c>
      <c r="G771" s="82">
        <v>335</v>
      </c>
      <c r="H771" s="84">
        <v>11.7</v>
      </c>
      <c r="I771" s="84">
        <v>1371</v>
      </c>
      <c r="J771" s="84">
        <v>18.600000000000001</v>
      </c>
    </row>
    <row r="772" spans="1:10" ht="16">
      <c r="A772" s="79" t="s">
        <v>543</v>
      </c>
      <c r="B772" s="79" t="s">
        <v>493</v>
      </c>
      <c r="C772" s="80" t="s">
        <v>126</v>
      </c>
      <c r="D772" s="81" t="s">
        <v>99</v>
      </c>
      <c r="E772" s="82">
        <v>7752</v>
      </c>
      <c r="F772" s="82">
        <v>524</v>
      </c>
      <c r="G772" s="82">
        <v>78</v>
      </c>
      <c r="H772" s="84">
        <v>9.6999999999999993</v>
      </c>
      <c r="I772" s="84">
        <v>6488</v>
      </c>
      <c r="J772" s="84">
        <v>19.100000000000001</v>
      </c>
    </row>
    <row r="773" spans="1:10" ht="16">
      <c r="A773" s="79" t="s">
        <v>482</v>
      </c>
      <c r="B773" s="79" t="s">
        <v>478</v>
      </c>
      <c r="C773" s="80" t="s">
        <v>126</v>
      </c>
      <c r="D773" s="81" t="s">
        <v>101</v>
      </c>
      <c r="E773" s="82">
        <v>10125</v>
      </c>
      <c r="F773" s="82">
        <v>454</v>
      </c>
      <c r="G773" s="82">
        <v>3139</v>
      </c>
      <c r="H773" s="84">
        <v>66.099999999999994</v>
      </c>
      <c r="I773" s="84">
        <v>59418</v>
      </c>
      <c r="J773" s="84">
        <v>57.4</v>
      </c>
    </row>
    <row r="774" spans="1:10" ht="16">
      <c r="A774" s="79" t="s">
        <v>1392</v>
      </c>
      <c r="B774" s="79" t="s">
        <v>1307</v>
      </c>
      <c r="C774" s="80" t="s">
        <v>95</v>
      </c>
      <c r="D774" s="81" t="s">
        <v>76</v>
      </c>
      <c r="E774" s="82">
        <v>10434</v>
      </c>
      <c r="F774" s="82">
        <v>1110</v>
      </c>
      <c r="G774" s="82">
        <v>3652</v>
      </c>
      <c r="H774" s="84">
        <v>15.2</v>
      </c>
      <c r="I774" s="84">
        <v>4604</v>
      </c>
      <c r="J774" s="84">
        <v>23.9</v>
      </c>
    </row>
    <row r="775" spans="1:10" ht="16">
      <c r="A775" s="79" t="s">
        <v>1254</v>
      </c>
      <c r="B775" s="79" t="s">
        <v>1209</v>
      </c>
      <c r="C775" s="80" t="s">
        <v>95</v>
      </c>
      <c r="D775" s="81" t="s">
        <v>101</v>
      </c>
      <c r="E775" s="82">
        <v>61915</v>
      </c>
      <c r="F775" s="82">
        <v>1917</v>
      </c>
      <c r="G775" s="82">
        <v>4953</v>
      </c>
      <c r="H775" s="84">
        <v>16.100000000000001</v>
      </c>
      <c r="I775" s="84">
        <v>10727</v>
      </c>
      <c r="J775" s="84">
        <v>18.2</v>
      </c>
    </row>
    <row r="776" spans="1:10" ht="16">
      <c r="A776" s="79" t="s">
        <v>736</v>
      </c>
      <c r="B776" s="79" t="s">
        <v>661</v>
      </c>
      <c r="C776" s="80" t="s">
        <v>126</v>
      </c>
      <c r="D776" s="81" t="s">
        <v>149</v>
      </c>
      <c r="E776" s="82">
        <v>1165</v>
      </c>
      <c r="F776" s="82">
        <v>108</v>
      </c>
      <c r="G776" s="82">
        <v>58</v>
      </c>
      <c r="H776" s="84">
        <v>12.5</v>
      </c>
      <c r="I776" s="84">
        <v>5234</v>
      </c>
      <c r="J776" s="84">
        <v>20.8</v>
      </c>
    </row>
    <row r="777" spans="1:10" ht="16">
      <c r="A777" s="79" t="s">
        <v>737</v>
      </c>
      <c r="B777" s="79" t="s">
        <v>661</v>
      </c>
      <c r="C777" s="80" t="s">
        <v>126</v>
      </c>
      <c r="D777" s="81" t="s">
        <v>111</v>
      </c>
      <c r="E777" s="82">
        <v>4813</v>
      </c>
      <c r="F777" s="82">
        <v>319</v>
      </c>
      <c r="G777" s="82">
        <v>241</v>
      </c>
      <c r="H777" s="84">
        <v>18.600000000000001</v>
      </c>
      <c r="I777" s="84">
        <v>2630</v>
      </c>
      <c r="J777" s="84">
        <v>19.3</v>
      </c>
    </row>
    <row r="778" spans="1:10" ht="16">
      <c r="A778" s="79" t="s">
        <v>1393</v>
      </c>
      <c r="B778" s="79" t="s">
        <v>1307</v>
      </c>
      <c r="C778" s="80" t="s">
        <v>95</v>
      </c>
      <c r="D778" s="81" t="s">
        <v>79</v>
      </c>
      <c r="E778" s="82">
        <v>25907</v>
      </c>
      <c r="F778" s="82">
        <v>1542</v>
      </c>
      <c r="G778" s="82">
        <v>1295</v>
      </c>
      <c r="H778" s="84">
        <v>23.4</v>
      </c>
      <c r="I778" s="84">
        <v>18846</v>
      </c>
      <c r="J778" s="84">
        <v>32.9</v>
      </c>
    </row>
    <row r="779" spans="1:10" ht="16">
      <c r="A779" s="79" t="s">
        <v>658</v>
      </c>
      <c r="B779" s="79" t="s">
        <v>659</v>
      </c>
      <c r="C779" s="80" t="s">
        <v>95</v>
      </c>
      <c r="D779" s="81" t="s">
        <v>111</v>
      </c>
      <c r="E779" s="82">
        <v>23305</v>
      </c>
      <c r="F779" s="82">
        <v>1050</v>
      </c>
      <c r="G779" s="82">
        <v>233</v>
      </c>
      <c r="H779" s="84">
        <v>11.1</v>
      </c>
      <c r="I779" s="84">
        <v>8167</v>
      </c>
      <c r="J779" s="84">
        <v>17.8</v>
      </c>
    </row>
    <row r="780" spans="1:10" ht="16">
      <c r="A780" s="79" t="s">
        <v>738</v>
      </c>
      <c r="B780" s="79" t="s">
        <v>661</v>
      </c>
      <c r="C780" s="80" t="s">
        <v>126</v>
      </c>
      <c r="D780" s="81" t="s">
        <v>79</v>
      </c>
      <c r="E780" s="82">
        <v>25913</v>
      </c>
      <c r="F780" s="82">
        <v>2445</v>
      </c>
      <c r="G780" s="82">
        <v>3110</v>
      </c>
      <c r="H780" s="84">
        <v>89.6</v>
      </c>
      <c r="I780" s="84">
        <v>54430</v>
      </c>
      <c r="J780" s="84">
        <v>85.9</v>
      </c>
    </row>
    <row r="781" spans="1:10" ht="16">
      <c r="A781" s="79" t="s">
        <v>304</v>
      </c>
      <c r="B781" s="79" t="s">
        <v>242</v>
      </c>
      <c r="C781" s="80" t="s">
        <v>95</v>
      </c>
      <c r="D781" s="81" t="s">
        <v>101</v>
      </c>
      <c r="E781" s="82">
        <v>34780</v>
      </c>
      <c r="F781" s="82">
        <v>2484</v>
      </c>
      <c r="G781" s="82">
        <v>2087</v>
      </c>
      <c r="H781" s="84">
        <v>35.700000000000003</v>
      </c>
      <c r="I781" s="84">
        <v>13889</v>
      </c>
      <c r="J781" s="84">
        <v>32.700000000000003</v>
      </c>
    </row>
    <row r="782" spans="1:10" ht="16">
      <c r="A782" s="79" t="s">
        <v>845</v>
      </c>
      <c r="B782" s="79" t="s">
        <v>839</v>
      </c>
      <c r="C782" s="80" t="s">
        <v>126</v>
      </c>
      <c r="D782" s="81" t="s">
        <v>76</v>
      </c>
      <c r="E782" s="82">
        <v>8033</v>
      </c>
      <c r="F782" s="82">
        <v>375</v>
      </c>
      <c r="G782" s="82">
        <v>1205</v>
      </c>
      <c r="H782" s="84">
        <v>48.8</v>
      </c>
      <c r="I782" s="84">
        <v>30305</v>
      </c>
      <c r="J782" s="84">
        <v>36.799999999999997</v>
      </c>
    </row>
    <row r="783" spans="1:10" ht="16">
      <c r="A783" s="79" t="s">
        <v>1190</v>
      </c>
      <c r="B783" s="79" t="s">
        <v>1161</v>
      </c>
      <c r="C783" s="80" t="s">
        <v>126</v>
      </c>
      <c r="D783" s="81" t="s">
        <v>76</v>
      </c>
      <c r="E783" s="82">
        <v>5836</v>
      </c>
      <c r="F783" s="82">
        <v>347</v>
      </c>
      <c r="G783" s="82">
        <v>58</v>
      </c>
      <c r="H783" s="84">
        <v>11.1</v>
      </c>
      <c r="I783" s="84">
        <v>2599</v>
      </c>
      <c r="J783" s="84">
        <v>15.7</v>
      </c>
    </row>
    <row r="784" spans="1:10" ht="16">
      <c r="A784" s="79" t="s">
        <v>739</v>
      </c>
      <c r="B784" s="79" t="s">
        <v>661</v>
      </c>
      <c r="C784" s="80" t="s">
        <v>126</v>
      </c>
      <c r="D784" s="81" t="s">
        <v>111</v>
      </c>
      <c r="E784" s="82">
        <v>5204</v>
      </c>
      <c r="F784" s="82">
        <v>394</v>
      </c>
      <c r="G784" s="82">
        <v>52</v>
      </c>
      <c r="H784" s="84">
        <v>13.5</v>
      </c>
      <c r="I784" s="84">
        <v>3501</v>
      </c>
      <c r="J784" s="84">
        <v>21.7</v>
      </c>
    </row>
    <row r="785" spans="1:10" ht="16">
      <c r="A785" s="79" t="s">
        <v>740</v>
      </c>
      <c r="B785" s="79" t="s">
        <v>661</v>
      </c>
      <c r="C785" s="80" t="s">
        <v>126</v>
      </c>
      <c r="D785" s="81" t="s">
        <v>149</v>
      </c>
      <c r="E785" s="82">
        <v>17735</v>
      </c>
      <c r="F785" s="82">
        <v>2163</v>
      </c>
      <c r="G785" s="82">
        <v>2128</v>
      </c>
      <c r="H785" s="84">
        <v>54.4</v>
      </c>
      <c r="I785" s="84">
        <v>21678</v>
      </c>
      <c r="J785" s="84">
        <v>52.7</v>
      </c>
    </row>
    <row r="786" spans="1:10" ht="16">
      <c r="A786" s="79" t="s">
        <v>741</v>
      </c>
      <c r="B786" s="79" t="s">
        <v>661</v>
      </c>
      <c r="C786" s="80" t="s">
        <v>126</v>
      </c>
      <c r="D786" s="81" t="s">
        <v>103</v>
      </c>
      <c r="E786" s="82">
        <v>29848</v>
      </c>
      <c r="F786" s="82">
        <v>2296</v>
      </c>
      <c r="G786" s="82">
        <v>597</v>
      </c>
      <c r="H786" s="84">
        <v>9.6999999999999993</v>
      </c>
      <c r="I786" s="84">
        <v>2024</v>
      </c>
      <c r="J786" s="84">
        <v>18.899999999999999</v>
      </c>
    </row>
    <row r="787" spans="1:10" ht="16">
      <c r="A787" s="79" t="s">
        <v>1191</v>
      </c>
      <c r="B787" s="79" t="s">
        <v>1161</v>
      </c>
      <c r="C787" s="80" t="s">
        <v>126</v>
      </c>
      <c r="D787" s="81" t="s">
        <v>75</v>
      </c>
      <c r="E787" s="82">
        <v>23679</v>
      </c>
      <c r="F787" s="82">
        <v>1133</v>
      </c>
      <c r="G787" s="82">
        <v>474</v>
      </c>
      <c r="H787" s="84">
        <v>7.7</v>
      </c>
      <c r="I787" s="84">
        <v>1385</v>
      </c>
      <c r="J787" s="84">
        <v>13.1</v>
      </c>
    </row>
    <row r="788" spans="1:10" ht="16">
      <c r="A788" s="79" t="s">
        <v>742</v>
      </c>
      <c r="B788" s="79" t="s">
        <v>661</v>
      </c>
      <c r="C788" s="80" t="s">
        <v>126</v>
      </c>
      <c r="D788" s="81" t="s">
        <v>78</v>
      </c>
      <c r="E788" s="82">
        <v>7553</v>
      </c>
      <c r="F788" s="82">
        <v>868</v>
      </c>
      <c r="G788" s="82">
        <v>227</v>
      </c>
      <c r="H788" s="84">
        <v>19.100000000000001</v>
      </c>
      <c r="I788" s="84">
        <v>2866</v>
      </c>
      <c r="J788" s="84">
        <v>26.5</v>
      </c>
    </row>
    <row r="789" spans="1:10" ht="16">
      <c r="A789" s="79" t="s">
        <v>743</v>
      </c>
      <c r="B789" s="79" t="s">
        <v>661</v>
      </c>
      <c r="C789" s="80" t="s">
        <v>126</v>
      </c>
      <c r="D789" s="81" t="s">
        <v>79</v>
      </c>
      <c r="E789" s="82">
        <v>7481</v>
      </c>
      <c r="F789" s="82">
        <v>502</v>
      </c>
      <c r="G789" s="82">
        <v>75</v>
      </c>
      <c r="H789" s="84">
        <v>10.3</v>
      </c>
      <c r="I789" s="84">
        <v>702</v>
      </c>
      <c r="J789" s="84">
        <v>16.7</v>
      </c>
    </row>
    <row r="790" spans="1:10" ht="16">
      <c r="A790" s="79" t="s">
        <v>744</v>
      </c>
      <c r="B790" s="79" t="s">
        <v>661</v>
      </c>
      <c r="C790" s="80" t="s">
        <v>126</v>
      </c>
      <c r="D790" s="81" t="s">
        <v>76</v>
      </c>
      <c r="E790" s="82">
        <v>9285</v>
      </c>
      <c r="F790" s="82">
        <v>363</v>
      </c>
      <c r="G790" s="82">
        <v>186</v>
      </c>
      <c r="H790" s="84">
        <v>9.3000000000000007</v>
      </c>
      <c r="I790" s="84">
        <v>317</v>
      </c>
      <c r="J790" s="84">
        <v>15.2</v>
      </c>
    </row>
    <row r="791" spans="1:10" ht="16">
      <c r="A791" s="79" t="s">
        <v>745</v>
      </c>
      <c r="B791" s="79" t="s">
        <v>661</v>
      </c>
      <c r="C791" s="80" t="s">
        <v>126</v>
      </c>
      <c r="D791" s="81" t="s">
        <v>96</v>
      </c>
      <c r="E791" s="82">
        <v>9752</v>
      </c>
      <c r="F791" s="82">
        <v>1266</v>
      </c>
      <c r="G791" s="82">
        <v>1268</v>
      </c>
      <c r="H791" s="84">
        <v>51.8</v>
      </c>
      <c r="I791" s="84">
        <v>19407</v>
      </c>
      <c r="J791" s="84">
        <v>51.2</v>
      </c>
    </row>
    <row r="792" spans="1:10" ht="16">
      <c r="A792" s="79" t="s">
        <v>746</v>
      </c>
      <c r="B792" s="79" t="s">
        <v>661</v>
      </c>
      <c r="C792" s="80" t="s">
        <v>126</v>
      </c>
      <c r="D792" s="81" t="s">
        <v>103</v>
      </c>
      <c r="E792" s="82">
        <v>2999</v>
      </c>
      <c r="F792" s="82">
        <v>909</v>
      </c>
      <c r="G792" s="82">
        <v>270</v>
      </c>
      <c r="H792" s="84">
        <v>24.2</v>
      </c>
      <c r="I792" s="84">
        <v>14071</v>
      </c>
      <c r="J792" s="84">
        <v>45.2</v>
      </c>
    </row>
    <row r="793" spans="1:10" ht="16">
      <c r="A793" s="79" t="s">
        <v>747</v>
      </c>
      <c r="B793" s="79" t="s">
        <v>661</v>
      </c>
      <c r="C793" s="80" t="s">
        <v>95</v>
      </c>
      <c r="D793" s="81" t="s">
        <v>77</v>
      </c>
      <c r="E793" s="82">
        <v>1350</v>
      </c>
      <c r="F793" s="82">
        <v>844</v>
      </c>
      <c r="G793" s="82">
        <v>14</v>
      </c>
      <c r="H793" s="84">
        <v>10.7</v>
      </c>
      <c r="I793" s="84">
        <v>3762</v>
      </c>
      <c r="J793" s="84">
        <v>29.6</v>
      </c>
    </row>
    <row r="794" spans="1:10" ht="16">
      <c r="A794" s="79" t="s">
        <v>748</v>
      </c>
      <c r="B794" s="79" t="s">
        <v>661</v>
      </c>
      <c r="C794" s="80" t="s">
        <v>126</v>
      </c>
      <c r="D794" s="81" t="s">
        <v>99</v>
      </c>
      <c r="E794" s="82">
        <v>9160</v>
      </c>
      <c r="F794" s="82">
        <v>674</v>
      </c>
      <c r="G794" s="82">
        <v>458</v>
      </c>
      <c r="H794" s="84">
        <v>17.2</v>
      </c>
      <c r="I794" s="84">
        <v>9424</v>
      </c>
      <c r="J794" s="84">
        <v>24.9</v>
      </c>
    </row>
    <row r="795" spans="1:10" ht="16">
      <c r="A795" s="79" t="s">
        <v>749</v>
      </c>
      <c r="B795" s="79" t="s">
        <v>661</v>
      </c>
      <c r="C795" s="80" t="s">
        <v>126</v>
      </c>
      <c r="D795" s="81" t="s">
        <v>78</v>
      </c>
      <c r="E795" s="82">
        <v>12221</v>
      </c>
      <c r="F795" s="82">
        <v>361</v>
      </c>
      <c r="G795" s="82">
        <v>244</v>
      </c>
      <c r="H795" s="84">
        <v>9.8000000000000007</v>
      </c>
      <c r="I795" s="84">
        <v>1034</v>
      </c>
      <c r="J795" s="84">
        <v>16</v>
      </c>
    </row>
    <row r="796" spans="1:10" ht="16">
      <c r="A796" s="79" t="s">
        <v>750</v>
      </c>
      <c r="B796" s="79" t="s">
        <v>661</v>
      </c>
      <c r="C796" s="80" t="s">
        <v>126</v>
      </c>
      <c r="D796" s="81" t="s">
        <v>76</v>
      </c>
      <c r="E796" s="82">
        <v>5766</v>
      </c>
      <c r="F796" s="82">
        <v>390</v>
      </c>
      <c r="G796" s="82">
        <v>346</v>
      </c>
      <c r="H796" s="84">
        <v>23.2</v>
      </c>
      <c r="I796" s="84">
        <v>4190</v>
      </c>
      <c r="J796" s="84">
        <v>23.9</v>
      </c>
    </row>
    <row r="797" spans="1:10" ht="16">
      <c r="A797" s="79" t="s">
        <v>751</v>
      </c>
      <c r="B797" s="79" t="s">
        <v>661</v>
      </c>
      <c r="C797" s="80" t="s">
        <v>126</v>
      </c>
      <c r="D797" s="81" t="s">
        <v>103</v>
      </c>
      <c r="E797" s="82">
        <v>2654</v>
      </c>
      <c r="F797" s="82">
        <v>248</v>
      </c>
      <c r="G797" s="82">
        <v>186</v>
      </c>
      <c r="H797" s="84">
        <v>13.9</v>
      </c>
      <c r="I797" s="84">
        <v>1448</v>
      </c>
      <c r="J797" s="84">
        <v>24.3</v>
      </c>
    </row>
    <row r="798" spans="1:10" ht="16">
      <c r="A798" s="79" t="s">
        <v>752</v>
      </c>
      <c r="B798" s="79" t="s">
        <v>661</v>
      </c>
      <c r="C798" s="80" t="s">
        <v>126</v>
      </c>
      <c r="D798" s="81" t="s">
        <v>99</v>
      </c>
      <c r="E798" s="82">
        <v>18490</v>
      </c>
      <c r="F798" s="82">
        <v>758</v>
      </c>
      <c r="G798" s="82">
        <v>370</v>
      </c>
      <c r="H798" s="84">
        <v>24.3</v>
      </c>
      <c r="I798" s="84">
        <v>4652</v>
      </c>
      <c r="J798" s="84">
        <v>21.9</v>
      </c>
    </row>
    <row r="799" spans="1:10" ht="16">
      <c r="A799" s="79" t="s">
        <v>971</v>
      </c>
      <c r="B799" s="79" t="s">
        <v>938</v>
      </c>
      <c r="C799" s="80" t="s">
        <v>126</v>
      </c>
      <c r="D799" s="81" t="s">
        <v>75</v>
      </c>
      <c r="E799" s="82">
        <v>9121</v>
      </c>
      <c r="F799" s="82">
        <v>1048</v>
      </c>
      <c r="G799" s="82">
        <v>2554</v>
      </c>
      <c r="H799" s="84">
        <v>20.6</v>
      </c>
      <c r="I799" s="84">
        <v>7368</v>
      </c>
      <c r="J799" s="84">
        <v>26.3</v>
      </c>
    </row>
    <row r="800" spans="1:10" ht="16">
      <c r="A800" s="79" t="s">
        <v>972</v>
      </c>
      <c r="B800" s="79" t="s">
        <v>938</v>
      </c>
      <c r="C800" s="80" t="s">
        <v>126</v>
      </c>
      <c r="D800" s="81" t="s">
        <v>77</v>
      </c>
      <c r="E800" s="82">
        <v>7655</v>
      </c>
      <c r="F800" s="82">
        <v>643</v>
      </c>
      <c r="G800" s="82">
        <v>2220</v>
      </c>
      <c r="H800" s="84">
        <v>33.700000000000003</v>
      </c>
      <c r="I800" s="84">
        <v>7896</v>
      </c>
      <c r="J800" s="84">
        <v>41</v>
      </c>
    </row>
    <row r="801" spans="1:10" ht="16">
      <c r="A801" s="79" t="s">
        <v>305</v>
      </c>
      <c r="B801" s="79" t="s">
        <v>242</v>
      </c>
      <c r="C801" s="80" t="s">
        <v>126</v>
      </c>
      <c r="D801" s="81" t="s">
        <v>76</v>
      </c>
      <c r="E801" s="82">
        <v>35690</v>
      </c>
      <c r="F801" s="82">
        <v>2724</v>
      </c>
      <c r="G801" s="82">
        <v>4640</v>
      </c>
      <c r="H801" s="84">
        <v>43.6</v>
      </c>
      <c r="I801" s="84">
        <v>15092</v>
      </c>
      <c r="J801" s="84">
        <v>35.5</v>
      </c>
    </row>
    <row r="802" spans="1:10" ht="16">
      <c r="A802" s="79" t="s">
        <v>753</v>
      </c>
      <c r="B802" s="79" t="s">
        <v>661</v>
      </c>
      <c r="C802" s="80" t="s">
        <v>126</v>
      </c>
      <c r="D802" s="81" t="s">
        <v>111</v>
      </c>
      <c r="E802" s="82">
        <v>6096</v>
      </c>
      <c r="F802" s="82">
        <v>813</v>
      </c>
      <c r="G802" s="82">
        <v>122</v>
      </c>
      <c r="H802" s="84">
        <v>10.8</v>
      </c>
      <c r="I802" s="84">
        <v>1345</v>
      </c>
      <c r="J802" s="84">
        <v>21.6</v>
      </c>
    </row>
    <row r="803" spans="1:10" ht="16">
      <c r="A803" s="79" t="s">
        <v>754</v>
      </c>
      <c r="B803" s="79" t="s">
        <v>661</v>
      </c>
      <c r="C803" s="80" t="s">
        <v>126</v>
      </c>
      <c r="D803" s="81" t="s">
        <v>101</v>
      </c>
      <c r="E803" s="82">
        <v>32404</v>
      </c>
      <c r="F803" s="82">
        <v>1062</v>
      </c>
      <c r="G803" s="82">
        <v>1620</v>
      </c>
      <c r="H803" s="84">
        <v>8.6999999999999993</v>
      </c>
      <c r="I803" s="84">
        <v>577</v>
      </c>
      <c r="J803" s="84">
        <v>15</v>
      </c>
    </row>
    <row r="804" spans="1:10" ht="16">
      <c r="A804" s="79" t="s">
        <v>755</v>
      </c>
      <c r="B804" s="79" t="s">
        <v>661</v>
      </c>
      <c r="C804" s="80" t="s">
        <v>126</v>
      </c>
      <c r="D804" s="81" t="s">
        <v>96</v>
      </c>
      <c r="E804" s="82">
        <v>2135</v>
      </c>
      <c r="F804" s="82">
        <v>243</v>
      </c>
      <c r="G804" s="82">
        <v>149</v>
      </c>
      <c r="H804" s="84">
        <v>16.7</v>
      </c>
      <c r="I804" s="84">
        <v>2722</v>
      </c>
      <c r="J804" s="84">
        <v>21.9</v>
      </c>
    </row>
    <row r="805" spans="1:10" ht="16">
      <c r="A805" s="79" t="s">
        <v>836</v>
      </c>
      <c r="B805" s="79" t="s">
        <v>837</v>
      </c>
      <c r="C805" s="80" t="s">
        <v>126</v>
      </c>
      <c r="D805" s="81" t="s">
        <v>101</v>
      </c>
      <c r="E805" s="82">
        <v>418053</v>
      </c>
      <c r="F805" s="82">
        <v>11613</v>
      </c>
      <c r="G805" s="82">
        <v>29090</v>
      </c>
      <c r="H805" s="84">
        <v>6.9</v>
      </c>
      <c r="I805" s="84">
        <v>2126</v>
      </c>
      <c r="J805" s="84">
        <v>11.4</v>
      </c>
    </row>
    <row r="806" spans="1:10" ht="16">
      <c r="A806" s="79" t="s">
        <v>605</v>
      </c>
      <c r="B806" s="79" t="s">
        <v>600</v>
      </c>
      <c r="C806" s="80" t="s">
        <v>95</v>
      </c>
      <c r="D806" s="81" t="s">
        <v>101</v>
      </c>
      <c r="E806" s="82">
        <v>16853</v>
      </c>
      <c r="F806" s="82">
        <v>770</v>
      </c>
      <c r="G806" s="82">
        <v>5056</v>
      </c>
      <c r="H806" s="84">
        <v>43.9</v>
      </c>
      <c r="I806" s="84">
        <v>33114</v>
      </c>
      <c r="J806" s="84">
        <v>41.7</v>
      </c>
    </row>
    <row r="807" spans="1:10" ht="16">
      <c r="A807" s="79" t="s">
        <v>998</v>
      </c>
      <c r="B807" s="79" t="s">
        <v>996</v>
      </c>
      <c r="C807" s="80" t="s">
        <v>95</v>
      </c>
      <c r="D807" s="81" t="s">
        <v>99</v>
      </c>
      <c r="E807" s="82">
        <v>45992</v>
      </c>
      <c r="F807" s="82">
        <v>1167</v>
      </c>
      <c r="G807" s="82">
        <v>920</v>
      </c>
      <c r="H807" s="84">
        <v>7</v>
      </c>
      <c r="I807" s="84">
        <v>3014</v>
      </c>
      <c r="J807" s="84">
        <v>14.4</v>
      </c>
    </row>
    <row r="808" spans="1:10" ht="16">
      <c r="A808" s="79" t="s">
        <v>306</v>
      </c>
      <c r="B808" s="79" t="s">
        <v>242</v>
      </c>
      <c r="C808" s="80" t="s">
        <v>126</v>
      </c>
      <c r="D808" s="81" t="s">
        <v>111</v>
      </c>
      <c r="E808" s="82">
        <v>38783</v>
      </c>
      <c r="F808" s="82">
        <v>3232</v>
      </c>
      <c r="G808" s="82">
        <v>4266</v>
      </c>
      <c r="H808" s="84">
        <v>94</v>
      </c>
      <c r="I808" s="84">
        <v>70131</v>
      </c>
      <c r="J808" s="84">
        <v>86.6</v>
      </c>
    </row>
    <row r="809" spans="1:10" ht="16">
      <c r="A809" s="79" t="s">
        <v>440</v>
      </c>
      <c r="B809" s="79" t="s">
        <v>421</v>
      </c>
      <c r="C809" s="80" t="s">
        <v>126</v>
      </c>
      <c r="D809" s="81" t="s">
        <v>101</v>
      </c>
      <c r="E809" s="82">
        <v>20020</v>
      </c>
      <c r="F809" s="82">
        <v>1925</v>
      </c>
      <c r="G809" s="82">
        <v>2803</v>
      </c>
      <c r="H809" s="84">
        <v>16</v>
      </c>
      <c r="I809" s="84">
        <v>7851</v>
      </c>
      <c r="J809" s="84">
        <v>25.2</v>
      </c>
    </row>
    <row r="810" spans="1:10" ht="16">
      <c r="A810" s="79" t="s">
        <v>441</v>
      </c>
      <c r="B810" s="79" t="s">
        <v>421</v>
      </c>
      <c r="C810" s="80" t="s">
        <v>126</v>
      </c>
      <c r="D810" s="81" t="s">
        <v>78</v>
      </c>
      <c r="E810" s="82">
        <v>34267</v>
      </c>
      <c r="F810" s="82">
        <v>315</v>
      </c>
      <c r="G810" s="82">
        <v>3427</v>
      </c>
      <c r="H810" s="84">
        <v>41.4</v>
      </c>
      <c r="I810" s="84">
        <v>22439</v>
      </c>
      <c r="J810" s="84">
        <v>37.6</v>
      </c>
    </row>
    <row r="811" spans="1:10" ht="16">
      <c r="A811" s="79" t="s">
        <v>442</v>
      </c>
      <c r="B811" s="79" t="s">
        <v>421</v>
      </c>
      <c r="C811" s="80" t="s">
        <v>126</v>
      </c>
      <c r="D811" s="81" t="s">
        <v>75</v>
      </c>
      <c r="E811" s="82">
        <v>32309</v>
      </c>
      <c r="F811" s="82">
        <v>945</v>
      </c>
      <c r="G811" s="82">
        <v>4523</v>
      </c>
      <c r="H811" s="84">
        <v>48.5</v>
      </c>
      <c r="I811" s="84">
        <v>35434</v>
      </c>
      <c r="J811" s="84">
        <v>46.5</v>
      </c>
    </row>
    <row r="812" spans="1:10" ht="16">
      <c r="A812" s="79" t="s">
        <v>1394</v>
      </c>
      <c r="B812" s="79" t="s">
        <v>1307</v>
      </c>
      <c r="C812" s="80" t="s">
        <v>95</v>
      </c>
      <c r="D812" s="81" t="s">
        <v>111</v>
      </c>
      <c r="E812" s="82">
        <v>11017</v>
      </c>
      <c r="F812" s="82">
        <v>1124</v>
      </c>
      <c r="G812" s="82">
        <v>1763</v>
      </c>
      <c r="H812" s="84">
        <v>34.200000000000003</v>
      </c>
      <c r="I812" s="84">
        <v>32297</v>
      </c>
      <c r="J812" s="84">
        <v>49.1</v>
      </c>
    </row>
    <row r="813" spans="1:10" ht="16">
      <c r="A813" s="79" t="s">
        <v>1395</v>
      </c>
      <c r="B813" s="79" t="s">
        <v>1307</v>
      </c>
      <c r="C813" s="80" t="s">
        <v>95</v>
      </c>
      <c r="D813" s="81" t="s">
        <v>77</v>
      </c>
      <c r="E813" s="82">
        <v>11185</v>
      </c>
      <c r="F813" s="82">
        <v>1141</v>
      </c>
      <c r="G813" s="82">
        <v>1230</v>
      </c>
      <c r="H813" s="84">
        <v>24.1</v>
      </c>
      <c r="I813" s="84">
        <v>17528</v>
      </c>
      <c r="J813" s="84">
        <v>42.3</v>
      </c>
    </row>
    <row r="814" spans="1:10" ht="16">
      <c r="A814" s="79" t="s">
        <v>1133</v>
      </c>
      <c r="B814" s="79" t="s">
        <v>1100</v>
      </c>
      <c r="C814" s="80" t="s">
        <v>95</v>
      </c>
      <c r="D814" s="81" t="s">
        <v>76</v>
      </c>
      <c r="E814" s="82">
        <v>15704</v>
      </c>
      <c r="F814" s="82">
        <v>586</v>
      </c>
      <c r="G814" s="82">
        <v>1570</v>
      </c>
      <c r="H814" s="84">
        <v>12.6</v>
      </c>
      <c r="I814" s="84">
        <v>1345</v>
      </c>
      <c r="J814" s="84">
        <v>15</v>
      </c>
    </row>
    <row r="815" spans="1:10" ht="16">
      <c r="A815" s="79" t="s">
        <v>1134</v>
      </c>
      <c r="B815" s="79" t="s">
        <v>1100</v>
      </c>
      <c r="C815" s="80" t="s">
        <v>95</v>
      </c>
      <c r="D815" s="81" t="s">
        <v>101</v>
      </c>
      <c r="E815" s="82">
        <v>3492</v>
      </c>
      <c r="F815" s="82">
        <v>346</v>
      </c>
      <c r="G815" s="82">
        <v>175</v>
      </c>
      <c r="H815" s="84">
        <v>14.1</v>
      </c>
      <c r="I815" s="84">
        <v>2135</v>
      </c>
      <c r="J815" s="84">
        <v>20</v>
      </c>
    </row>
    <row r="816" spans="1:10" ht="16">
      <c r="A816" s="79" t="s">
        <v>1255</v>
      </c>
      <c r="B816" s="79" t="s">
        <v>1209</v>
      </c>
      <c r="C816" s="80" t="s">
        <v>95</v>
      </c>
      <c r="D816" s="81" t="s">
        <v>96</v>
      </c>
      <c r="E816" s="82">
        <v>32665</v>
      </c>
      <c r="F816" s="82">
        <v>3082</v>
      </c>
      <c r="G816" s="82">
        <v>16986</v>
      </c>
      <c r="H816" s="84">
        <v>88.7</v>
      </c>
      <c r="I816" s="84">
        <v>85285</v>
      </c>
      <c r="J816" s="84">
        <v>77.8</v>
      </c>
    </row>
    <row r="817" spans="1:10" ht="16">
      <c r="A817" s="79" t="s">
        <v>973</v>
      </c>
      <c r="B817" s="79" t="s">
        <v>938</v>
      </c>
      <c r="C817" s="80" t="s">
        <v>126</v>
      </c>
      <c r="D817" s="81" t="s">
        <v>101</v>
      </c>
      <c r="E817" s="82">
        <v>14111</v>
      </c>
      <c r="F817" s="82">
        <v>2520</v>
      </c>
      <c r="G817" s="82">
        <v>141</v>
      </c>
      <c r="H817" s="84">
        <v>7.6</v>
      </c>
      <c r="I817" s="84">
        <v>803</v>
      </c>
      <c r="J817" s="84">
        <v>20.7</v>
      </c>
    </row>
    <row r="818" spans="1:10" ht="16">
      <c r="A818" s="79" t="s">
        <v>871</v>
      </c>
      <c r="B818" s="79" t="s">
        <v>869</v>
      </c>
      <c r="C818" s="80" t="s">
        <v>95</v>
      </c>
      <c r="D818" s="81" t="s">
        <v>103</v>
      </c>
      <c r="E818" s="82">
        <v>16475</v>
      </c>
      <c r="F818" s="82">
        <v>1267</v>
      </c>
      <c r="G818" s="82">
        <v>1648</v>
      </c>
      <c r="H818" s="84">
        <v>18</v>
      </c>
      <c r="I818" s="84">
        <v>14423</v>
      </c>
      <c r="J818" s="84">
        <v>21.5</v>
      </c>
    </row>
    <row r="819" spans="1:10" ht="16">
      <c r="A819" s="79" t="s">
        <v>443</v>
      </c>
      <c r="B819" s="79" t="s">
        <v>421</v>
      </c>
      <c r="C819" s="80" t="s">
        <v>126</v>
      </c>
      <c r="D819" s="81" t="s">
        <v>111</v>
      </c>
      <c r="E819" s="82">
        <v>10629</v>
      </c>
      <c r="F819" s="82">
        <v>384</v>
      </c>
      <c r="G819" s="82">
        <v>1382</v>
      </c>
      <c r="H819" s="84">
        <v>36.6</v>
      </c>
      <c r="I819" s="84">
        <v>34769</v>
      </c>
      <c r="J819" s="84">
        <v>40.6</v>
      </c>
    </row>
    <row r="820" spans="1:10" ht="16">
      <c r="A820" s="79" t="s">
        <v>1033</v>
      </c>
      <c r="B820" s="79" t="s">
        <v>1007</v>
      </c>
      <c r="C820" s="80" t="s">
        <v>126</v>
      </c>
      <c r="D820" s="81" t="s">
        <v>101</v>
      </c>
      <c r="E820" s="82">
        <v>4127</v>
      </c>
      <c r="F820" s="82">
        <v>297</v>
      </c>
      <c r="G820" s="82">
        <v>330</v>
      </c>
      <c r="H820" s="84">
        <v>38.6</v>
      </c>
      <c r="I820" s="84">
        <v>35254</v>
      </c>
      <c r="J820" s="84">
        <v>27.8</v>
      </c>
    </row>
    <row r="821" spans="1:10" ht="16">
      <c r="A821" s="79" t="s">
        <v>1256</v>
      </c>
      <c r="B821" s="79" t="s">
        <v>1209</v>
      </c>
      <c r="C821" s="80" t="s">
        <v>95</v>
      </c>
      <c r="D821" s="81" t="s">
        <v>103</v>
      </c>
      <c r="E821" s="82">
        <v>17817</v>
      </c>
      <c r="F821" s="82">
        <v>1042</v>
      </c>
      <c r="G821" s="82">
        <v>1425</v>
      </c>
      <c r="H821" s="84">
        <v>18</v>
      </c>
      <c r="I821" s="84">
        <v>7402</v>
      </c>
      <c r="J821" s="84">
        <v>21</v>
      </c>
    </row>
    <row r="822" spans="1:10" ht="16">
      <c r="A822" s="79" t="s">
        <v>1206</v>
      </c>
      <c r="B822" s="79" t="s">
        <v>1204</v>
      </c>
      <c r="C822" s="80" t="s">
        <v>95</v>
      </c>
      <c r="D822" s="81" t="s">
        <v>149</v>
      </c>
      <c r="E822" s="82">
        <v>7523</v>
      </c>
      <c r="F822" s="82">
        <v>818</v>
      </c>
      <c r="G822" s="82">
        <v>1580</v>
      </c>
      <c r="H822" s="84">
        <v>19.100000000000001</v>
      </c>
      <c r="I822" s="84">
        <v>16246</v>
      </c>
      <c r="J822" s="84">
        <v>23.7</v>
      </c>
    </row>
    <row r="823" spans="1:10" ht="16">
      <c r="A823" s="79" t="s">
        <v>893</v>
      </c>
      <c r="B823" s="79" t="s">
        <v>892</v>
      </c>
      <c r="C823" s="80" t="s">
        <v>95</v>
      </c>
      <c r="D823" s="81" t="s">
        <v>111</v>
      </c>
      <c r="E823" s="82">
        <v>6236</v>
      </c>
      <c r="F823" s="82">
        <v>588</v>
      </c>
      <c r="G823" s="82">
        <v>99</v>
      </c>
      <c r="H823" s="84">
        <v>11.3</v>
      </c>
      <c r="I823" s="84">
        <v>9428</v>
      </c>
      <c r="J823" s="84">
        <v>17</v>
      </c>
    </row>
    <row r="824" spans="1:10" ht="16">
      <c r="A824" s="79" t="s">
        <v>552</v>
      </c>
      <c r="B824" s="79" t="s">
        <v>549</v>
      </c>
      <c r="C824" s="80" t="s">
        <v>95</v>
      </c>
      <c r="D824" s="81" t="s">
        <v>111</v>
      </c>
      <c r="E824" s="82">
        <v>38310</v>
      </c>
      <c r="F824" s="82">
        <v>4455</v>
      </c>
      <c r="G824" s="82">
        <v>766</v>
      </c>
      <c r="H824" s="84">
        <v>11</v>
      </c>
      <c r="I824" s="84">
        <v>1733</v>
      </c>
      <c r="J824" s="84">
        <v>23.4</v>
      </c>
    </row>
    <row r="825" spans="1:10" ht="16">
      <c r="A825" s="79" t="s">
        <v>198</v>
      </c>
      <c r="B825" s="79" t="s">
        <v>199</v>
      </c>
      <c r="C825" s="80" t="s">
        <v>95</v>
      </c>
      <c r="D825" s="81" t="s">
        <v>149</v>
      </c>
      <c r="E825" s="82">
        <v>3830</v>
      </c>
      <c r="F825" s="82">
        <v>351</v>
      </c>
      <c r="G825" s="82">
        <v>575</v>
      </c>
      <c r="H825" s="84">
        <v>19.3</v>
      </c>
      <c r="I825" s="84">
        <v>14385</v>
      </c>
      <c r="J825" s="84">
        <v>23</v>
      </c>
    </row>
    <row r="826" spans="1:10" ht="16">
      <c r="A826" s="79" t="s">
        <v>802</v>
      </c>
      <c r="B826" s="79" t="s">
        <v>801</v>
      </c>
      <c r="C826" s="80" t="s">
        <v>95</v>
      </c>
      <c r="D826" s="81" t="s">
        <v>79</v>
      </c>
      <c r="E826" s="82">
        <v>17180</v>
      </c>
      <c r="F826" s="82">
        <v>1701</v>
      </c>
      <c r="G826" s="82">
        <v>2577</v>
      </c>
      <c r="H826" s="84">
        <v>19.600000000000001</v>
      </c>
      <c r="I826" s="84">
        <v>6360</v>
      </c>
      <c r="J826" s="84">
        <v>34.200000000000003</v>
      </c>
    </row>
    <row r="827" spans="1:10" ht="16">
      <c r="A827" s="79" t="s">
        <v>803</v>
      </c>
      <c r="B827" s="79" t="s">
        <v>801</v>
      </c>
      <c r="C827" s="80" t="s">
        <v>126</v>
      </c>
      <c r="D827" s="81" t="s">
        <v>111</v>
      </c>
      <c r="E827" s="82">
        <v>12154</v>
      </c>
      <c r="F827" s="82">
        <v>711</v>
      </c>
      <c r="G827" s="82">
        <v>608</v>
      </c>
      <c r="H827" s="84">
        <v>12</v>
      </c>
      <c r="I827" s="84">
        <v>7550</v>
      </c>
      <c r="J827" s="84">
        <v>16.5</v>
      </c>
    </row>
    <row r="828" spans="1:10" ht="16">
      <c r="A828" s="79" t="s">
        <v>804</v>
      </c>
      <c r="B828" s="79" t="s">
        <v>801</v>
      </c>
      <c r="C828" s="80" t="s">
        <v>95</v>
      </c>
      <c r="D828" s="81" t="s">
        <v>103</v>
      </c>
      <c r="E828" s="82">
        <v>15973</v>
      </c>
      <c r="F828" s="82">
        <v>850</v>
      </c>
      <c r="G828" s="82">
        <v>958</v>
      </c>
      <c r="H828" s="84">
        <v>8.5</v>
      </c>
      <c r="I828" s="84">
        <v>871</v>
      </c>
      <c r="J828" s="84">
        <v>17.8</v>
      </c>
    </row>
    <row r="829" spans="1:10" ht="16">
      <c r="A829" s="79" t="s">
        <v>805</v>
      </c>
      <c r="B829" s="79" t="s">
        <v>801</v>
      </c>
      <c r="C829" s="80" t="s">
        <v>95</v>
      </c>
      <c r="D829" s="81" t="s">
        <v>99</v>
      </c>
      <c r="E829" s="82">
        <v>20018</v>
      </c>
      <c r="F829" s="82">
        <v>1654</v>
      </c>
      <c r="G829" s="82">
        <v>4604</v>
      </c>
      <c r="H829" s="84">
        <v>31.4</v>
      </c>
      <c r="I829" s="84">
        <v>6006</v>
      </c>
      <c r="J829" s="84">
        <v>32</v>
      </c>
    </row>
    <row r="830" spans="1:10" ht="16">
      <c r="A830" s="79" t="s">
        <v>806</v>
      </c>
      <c r="B830" s="79" t="s">
        <v>801</v>
      </c>
      <c r="C830" s="80" t="s">
        <v>95</v>
      </c>
      <c r="D830" s="81" t="s">
        <v>101</v>
      </c>
      <c r="E830" s="82">
        <v>20908</v>
      </c>
      <c r="F830" s="82">
        <v>1954</v>
      </c>
      <c r="G830" s="82">
        <v>3136</v>
      </c>
      <c r="H830" s="84">
        <v>22.7</v>
      </c>
      <c r="I830" s="84">
        <v>6063</v>
      </c>
      <c r="J830" s="84">
        <v>35.6</v>
      </c>
    </row>
    <row r="831" spans="1:10" ht="16">
      <c r="A831" s="79" t="s">
        <v>807</v>
      </c>
      <c r="B831" s="79" t="s">
        <v>801</v>
      </c>
      <c r="C831" s="80" t="s">
        <v>95</v>
      </c>
      <c r="D831" s="81" t="s">
        <v>78</v>
      </c>
      <c r="E831" s="82">
        <v>19087</v>
      </c>
      <c r="F831" s="82">
        <v>1704</v>
      </c>
      <c r="G831" s="82">
        <v>2672</v>
      </c>
      <c r="H831" s="84">
        <v>25.2</v>
      </c>
      <c r="I831" s="84">
        <v>7382</v>
      </c>
      <c r="J831" s="84">
        <v>36.4</v>
      </c>
    </row>
    <row r="832" spans="1:10" ht="16">
      <c r="A832" s="79" t="s">
        <v>808</v>
      </c>
      <c r="B832" s="79" t="s">
        <v>801</v>
      </c>
      <c r="C832" s="80" t="s">
        <v>95</v>
      </c>
      <c r="D832" s="81" t="s">
        <v>77</v>
      </c>
      <c r="E832" s="82">
        <v>54483</v>
      </c>
      <c r="F832" s="82">
        <v>3186</v>
      </c>
      <c r="G832" s="82">
        <v>3791</v>
      </c>
      <c r="H832" s="84">
        <v>12.8</v>
      </c>
      <c r="I832" s="84">
        <v>1398</v>
      </c>
      <c r="J832" s="84">
        <v>18.100000000000001</v>
      </c>
    </row>
    <row r="833" spans="1:10" ht="16">
      <c r="A833" s="79" t="s">
        <v>809</v>
      </c>
      <c r="B833" s="79" t="s">
        <v>801</v>
      </c>
      <c r="C833" s="80" t="s">
        <v>126</v>
      </c>
      <c r="D833" s="81" t="s">
        <v>149</v>
      </c>
      <c r="E833" s="82">
        <v>6212</v>
      </c>
      <c r="F833" s="82">
        <v>391</v>
      </c>
      <c r="G833" s="82">
        <v>1056</v>
      </c>
      <c r="H833" s="84">
        <v>30.1</v>
      </c>
      <c r="I833" s="84">
        <v>8089</v>
      </c>
      <c r="J833" s="84">
        <v>27.1</v>
      </c>
    </row>
    <row r="834" spans="1:10" ht="16">
      <c r="A834" s="79" t="s">
        <v>810</v>
      </c>
      <c r="B834" s="79" t="s">
        <v>801</v>
      </c>
      <c r="C834" s="80" t="s">
        <v>126</v>
      </c>
      <c r="D834" s="81" t="s">
        <v>79</v>
      </c>
      <c r="E834" s="82">
        <v>6780</v>
      </c>
      <c r="F834" s="82">
        <v>421</v>
      </c>
      <c r="G834" s="82">
        <v>407</v>
      </c>
      <c r="H834" s="84">
        <v>13.8</v>
      </c>
      <c r="I834" s="84">
        <v>4686</v>
      </c>
      <c r="J834" s="84">
        <v>17.899999999999999</v>
      </c>
    </row>
    <row r="835" spans="1:10" ht="16">
      <c r="A835" s="79" t="s">
        <v>811</v>
      </c>
      <c r="B835" s="79" t="s">
        <v>801</v>
      </c>
      <c r="C835" s="80" t="s">
        <v>95</v>
      </c>
      <c r="D835" s="81" t="s">
        <v>99</v>
      </c>
      <c r="E835" s="82">
        <v>18763</v>
      </c>
      <c r="F835" s="82">
        <v>1165</v>
      </c>
      <c r="G835" s="82">
        <v>375</v>
      </c>
      <c r="H835" s="84">
        <v>12.2</v>
      </c>
      <c r="I835" s="84">
        <v>9987</v>
      </c>
      <c r="J835" s="84">
        <v>14.8</v>
      </c>
    </row>
    <row r="836" spans="1:10" ht="16">
      <c r="A836" s="79" t="s">
        <v>812</v>
      </c>
      <c r="B836" s="79" t="s">
        <v>801</v>
      </c>
      <c r="C836" s="80" t="s">
        <v>95</v>
      </c>
      <c r="D836" s="81" t="s">
        <v>75</v>
      </c>
      <c r="E836" s="82">
        <v>12871</v>
      </c>
      <c r="F836" s="82">
        <v>1100</v>
      </c>
      <c r="G836" s="82">
        <v>3218</v>
      </c>
      <c r="H836" s="84">
        <v>20.8</v>
      </c>
      <c r="I836" s="84">
        <v>1940</v>
      </c>
      <c r="J836" s="84">
        <v>30.9</v>
      </c>
    </row>
    <row r="837" spans="1:10" ht="16">
      <c r="A837" s="79" t="s">
        <v>1396</v>
      </c>
      <c r="B837" s="79" t="s">
        <v>1307</v>
      </c>
      <c r="C837" s="80" t="s">
        <v>126</v>
      </c>
      <c r="D837" s="81" t="s">
        <v>103</v>
      </c>
      <c r="E837" s="82">
        <v>25849</v>
      </c>
      <c r="F837" s="82">
        <v>1486</v>
      </c>
      <c r="G837" s="82">
        <v>4394</v>
      </c>
      <c r="H837" s="84">
        <v>32.700000000000003</v>
      </c>
      <c r="I837" s="84">
        <v>24149</v>
      </c>
      <c r="J837" s="84">
        <v>37.200000000000003</v>
      </c>
    </row>
    <row r="838" spans="1:10" ht="16">
      <c r="A838" s="79" t="s">
        <v>606</v>
      </c>
      <c r="B838" s="79" t="s">
        <v>600</v>
      </c>
      <c r="C838" s="80" t="s">
        <v>95</v>
      </c>
      <c r="D838" s="81" t="s">
        <v>76</v>
      </c>
      <c r="E838" s="82">
        <v>16861</v>
      </c>
      <c r="F838" s="82">
        <v>937</v>
      </c>
      <c r="G838" s="82">
        <v>3035</v>
      </c>
      <c r="H838" s="84">
        <v>23.1</v>
      </c>
      <c r="I838" s="84">
        <v>17913</v>
      </c>
      <c r="J838" s="84">
        <v>24.9</v>
      </c>
    </row>
    <row r="839" spans="1:10" ht="16">
      <c r="A839" s="79" t="s">
        <v>607</v>
      </c>
      <c r="B839" s="79" t="s">
        <v>600</v>
      </c>
      <c r="C839" s="80" t="s">
        <v>95</v>
      </c>
      <c r="D839" s="81" t="s">
        <v>79</v>
      </c>
      <c r="E839" s="82">
        <v>22541</v>
      </c>
      <c r="F839" s="82">
        <v>976</v>
      </c>
      <c r="G839" s="82">
        <v>6537</v>
      </c>
      <c r="H839" s="84">
        <v>36.5</v>
      </c>
      <c r="I839" s="84">
        <v>26912</v>
      </c>
      <c r="J839" s="84">
        <v>30.8</v>
      </c>
    </row>
    <row r="840" spans="1:10" ht="16">
      <c r="A840" s="79" t="s">
        <v>1257</v>
      </c>
      <c r="B840" s="79" t="s">
        <v>1209</v>
      </c>
      <c r="C840" s="80" t="s">
        <v>95</v>
      </c>
      <c r="D840" s="81" t="s">
        <v>103</v>
      </c>
      <c r="E840" s="82">
        <v>12399</v>
      </c>
      <c r="F840" s="82">
        <v>790</v>
      </c>
      <c r="G840" s="82">
        <v>4836</v>
      </c>
      <c r="H840" s="84">
        <v>33.299999999999997</v>
      </c>
      <c r="I840" s="84">
        <v>31767</v>
      </c>
      <c r="J840" s="84">
        <v>30.4</v>
      </c>
    </row>
    <row r="841" spans="1:10" ht="16">
      <c r="A841" s="79" t="s">
        <v>129</v>
      </c>
      <c r="B841" s="79" t="s">
        <v>108</v>
      </c>
      <c r="C841" s="80" t="s">
        <v>126</v>
      </c>
      <c r="D841" s="81" t="s">
        <v>79</v>
      </c>
      <c r="E841" s="82">
        <v>21093</v>
      </c>
      <c r="F841" s="82">
        <v>705</v>
      </c>
      <c r="G841" s="82">
        <v>6117</v>
      </c>
      <c r="H841" s="84">
        <v>41.6</v>
      </c>
      <c r="I841" s="84">
        <v>39730</v>
      </c>
      <c r="J841" s="84">
        <v>34.299999999999997</v>
      </c>
    </row>
    <row r="842" spans="1:10" ht="16">
      <c r="A842" s="79" t="s">
        <v>885</v>
      </c>
      <c r="B842" s="79" t="s">
        <v>877</v>
      </c>
      <c r="C842" s="80" t="s">
        <v>126</v>
      </c>
      <c r="D842" s="81" t="s">
        <v>76</v>
      </c>
      <c r="E842" s="82">
        <v>24440</v>
      </c>
      <c r="F842" s="82">
        <v>690</v>
      </c>
      <c r="G842" s="82">
        <v>1701</v>
      </c>
      <c r="H842" s="84">
        <v>16.5</v>
      </c>
      <c r="I842" s="84">
        <v>4724</v>
      </c>
      <c r="J842" s="84">
        <v>17.5</v>
      </c>
    </row>
    <row r="843" spans="1:10" ht="16">
      <c r="A843" s="79" t="s">
        <v>1397</v>
      </c>
      <c r="B843" s="79" t="s">
        <v>1307</v>
      </c>
      <c r="C843" s="80" t="s">
        <v>95</v>
      </c>
      <c r="D843" s="81" t="s">
        <v>79</v>
      </c>
      <c r="E843" s="82">
        <v>35120</v>
      </c>
      <c r="F843" s="82">
        <v>1561</v>
      </c>
      <c r="G843" s="82">
        <v>1405</v>
      </c>
      <c r="H843" s="84">
        <v>22.4</v>
      </c>
      <c r="I843" s="84">
        <v>17388</v>
      </c>
      <c r="J843" s="84">
        <v>26.9</v>
      </c>
    </row>
    <row r="844" spans="1:10" ht="16">
      <c r="A844" s="79" t="s">
        <v>1398</v>
      </c>
      <c r="B844" s="79" t="s">
        <v>1307</v>
      </c>
      <c r="C844" s="80" t="s">
        <v>95</v>
      </c>
      <c r="D844" s="81" t="s">
        <v>79</v>
      </c>
      <c r="E844" s="82">
        <v>16927</v>
      </c>
      <c r="F844" s="82">
        <v>1014</v>
      </c>
      <c r="G844" s="82">
        <v>1016</v>
      </c>
      <c r="H844" s="84">
        <v>33.6</v>
      </c>
      <c r="I844" s="84">
        <v>32783</v>
      </c>
      <c r="J844" s="84">
        <v>39.200000000000003</v>
      </c>
    </row>
    <row r="845" spans="1:10" ht="16">
      <c r="A845" s="79" t="s">
        <v>1399</v>
      </c>
      <c r="B845" s="79" t="s">
        <v>1307</v>
      </c>
      <c r="C845" s="80" t="s">
        <v>126</v>
      </c>
      <c r="D845" s="81" t="s">
        <v>101</v>
      </c>
      <c r="E845" s="82">
        <v>6729</v>
      </c>
      <c r="F845" s="82">
        <v>413</v>
      </c>
      <c r="G845" s="82">
        <v>538</v>
      </c>
      <c r="H845" s="84">
        <v>22.4</v>
      </c>
      <c r="I845" s="84">
        <v>13043</v>
      </c>
      <c r="J845" s="84">
        <v>22.2</v>
      </c>
    </row>
    <row r="846" spans="1:10" ht="16">
      <c r="A846" s="79" t="s">
        <v>1400</v>
      </c>
      <c r="B846" s="79" t="s">
        <v>1307</v>
      </c>
      <c r="C846" s="80" t="s">
        <v>95</v>
      </c>
      <c r="D846" s="81" t="s">
        <v>149</v>
      </c>
      <c r="E846" s="82">
        <v>3593</v>
      </c>
      <c r="F846" s="82">
        <v>413</v>
      </c>
      <c r="G846" s="82">
        <v>180</v>
      </c>
      <c r="H846" s="84">
        <v>25</v>
      </c>
      <c r="I846" s="84">
        <v>18189</v>
      </c>
      <c r="J846" s="84">
        <v>27.5</v>
      </c>
    </row>
    <row r="847" spans="1:10" ht="16">
      <c r="A847" s="79" t="s">
        <v>213</v>
      </c>
      <c r="B847" s="79" t="s">
        <v>203</v>
      </c>
      <c r="C847" s="80" t="s">
        <v>95</v>
      </c>
      <c r="D847" s="81" t="s">
        <v>77</v>
      </c>
      <c r="E847" s="82">
        <v>31919</v>
      </c>
      <c r="F847" s="82">
        <v>1520</v>
      </c>
      <c r="G847" s="82">
        <v>8299</v>
      </c>
      <c r="H847" s="84">
        <v>48.8</v>
      </c>
      <c r="I847" s="84">
        <v>34311</v>
      </c>
      <c r="J847" s="84">
        <v>47.9</v>
      </c>
    </row>
    <row r="848" spans="1:10" ht="16">
      <c r="A848" s="79" t="s">
        <v>916</v>
      </c>
      <c r="B848" s="79" t="s">
        <v>912</v>
      </c>
      <c r="C848" s="80" t="s">
        <v>95</v>
      </c>
      <c r="D848" s="81" t="s">
        <v>75</v>
      </c>
      <c r="E848" s="82">
        <v>7780</v>
      </c>
      <c r="F848" s="82">
        <v>603</v>
      </c>
      <c r="G848" s="82">
        <v>1245</v>
      </c>
      <c r="H848" s="84">
        <v>13.5</v>
      </c>
      <c r="I848" s="84">
        <v>5456</v>
      </c>
      <c r="J848" s="84">
        <v>17.3</v>
      </c>
    </row>
    <row r="849" spans="1:10" ht="16">
      <c r="A849" s="79" t="s">
        <v>1051</v>
      </c>
      <c r="B849" s="79" t="s">
        <v>1039</v>
      </c>
      <c r="C849" s="80" t="s">
        <v>95</v>
      </c>
      <c r="D849" s="81" t="s">
        <v>149</v>
      </c>
      <c r="E849" s="82">
        <v>27207</v>
      </c>
      <c r="F849" s="82">
        <v>1479</v>
      </c>
      <c r="G849" s="82">
        <v>2449</v>
      </c>
      <c r="H849" s="84">
        <v>14.8</v>
      </c>
      <c r="I849" s="84">
        <v>4267</v>
      </c>
      <c r="J849" s="84">
        <v>20</v>
      </c>
    </row>
    <row r="850" spans="1:10" ht="16">
      <c r="A850" s="79" t="s">
        <v>846</v>
      </c>
      <c r="B850" s="79" t="s">
        <v>839</v>
      </c>
      <c r="C850" s="80" t="s">
        <v>95</v>
      </c>
      <c r="D850" s="81" t="s">
        <v>77</v>
      </c>
      <c r="E850" s="82">
        <v>26723</v>
      </c>
      <c r="F850" s="82">
        <v>1979</v>
      </c>
      <c r="G850" s="82">
        <v>4810</v>
      </c>
      <c r="H850" s="84">
        <v>63.4</v>
      </c>
      <c r="I850" s="84">
        <v>57876</v>
      </c>
      <c r="J850" s="84">
        <v>48</v>
      </c>
    </row>
    <row r="851" spans="1:10" ht="16">
      <c r="A851" s="79" t="s">
        <v>327</v>
      </c>
      <c r="B851" s="79" t="s">
        <v>323</v>
      </c>
      <c r="C851" s="80" t="s">
        <v>95</v>
      </c>
      <c r="D851" s="81" t="s">
        <v>79</v>
      </c>
      <c r="E851" s="82">
        <v>41389</v>
      </c>
      <c r="F851" s="82">
        <v>1725</v>
      </c>
      <c r="G851" s="82">
        <v>2850</v>
      </c>
      <c r="H851" s="84">
        <v>17</v>
      </c>
      <c r="I851" s="84">
        <v>2932</v>
      </c>
      <c r="J851" s="84">
        <v>16.7</v>
      </c>
    </row>
    <row r="852" spans="1:10" ht="16">
      <c r="A852" s="79" t="s">
        <v>166</v>
      </c>
      <c r="B852" s="79" t="s">
        <v>163</v>
      </c>
      <c r="C852" s="80" t="s">
        <v>95</v>
      </c>
      <c r="D852" s="81" t="s">
        <v>149</v>
      </c>
      <c r="E852" s="82">
        <v>15166</v>
      </c>
      <c r="F852" s="82">
        <v>518</v>
      </c>
      <c r="G852" s="82">
        <v>2578</v>
      </c>
      <c r="H852" s="84">
        <v>44.5</v>
      </c>
      <c r="I852" s="84">
        <v>33787</v>
      </c>
      <c r="J852" s="84">
        <v>35.6</v>
      </c>
    </row>
    <row r="853" spans="1:10" ht="16">
      <c r="A853" s="79" t="s">
        <v>1401</v>
      </c>
      <c r="B853" s="79" t="s">
        <v>1307</v>
      </c>
      <c r="C853" s="80" t="s">
        <v>95</v>
      </c>
      <c r="D853" s="81" t="s">
        <v>101</v>
      </c>
      <c r="E853" s="82">
        <v>39124</v>
      </c>
      <c r="F853" s="82">
        <v>2126</v>
      </c>
      <c r="G853" s="82">
        <v>3912</v>
      </c>
      <c r="H853" s="84">
        <v>53.7</v>
      </c>
      <c r="I853" s="84">
        <v>45862</v>
      </c>
      <c r="J853" s="84">
        <v>52.6</v>
      </c>
    </row>
    <row r="854" spans="1:10" ht="16">
      <c r="A854" s="79" t="s">
        <v>1402</v>
      </c>
      <c r="B854" s="79" t="s">
        <v>1307</v>
      </c>
      <c r="C854" s="80" t="s">
        <v>95</v>
      </c>
      <c r="D854" s="81" t="s">
        <v>111</v>
      </c>
      <c r="E854" s="82">
        <v>24754</v>
      </c>
      <c r="F854" s="82">
        <v>1250</v>
      </c>
      <c r="G854" s="82">
        <v>1238</v>
      </c>
      <c r="H854" s="84">
        <v>23</v>
      </c>
      <c r="I854" s="84">
        <v>8534</v>
      </c>
      <c r="J854" s="84">
        <v>26.9</v>
      </c>
    </row>
    <row r="855" spans="1:10" ht="16">
      <c r="A855" s="79" t="s">
        <v>856</v>
      </c>
      <c r="B855" s="79" t="s">
        <v>853</v>
      </c>
      <c r="C855" s="80" t="s">
        <v>95</v>
      </c>
      <c r="D855" s="81" t="s">
        <v>149</v>
      </c>
      <c r="E855" s="82">
        <v>32821</v>
      </c>
      <c r="F855" s="82">
        <v>1485</v>
      </c>
      <c r="G855" s="82">
        <v>10503</v>
      </c>
      <c r="H855" s="84">
        <v>43.9</v>
      </c>
      <c r="I855" s="84">
        <v>35216</v>
      </c>
      <c r="J855" s="84">
        <v>31.4</v>
      </c>
    </row>
    <row r="856" spans="1:10" ht="16">
      <c r="A856" s="79" t="s">
        <v>917</v>
      </c>
      <c r="B856" s="79" t="s">
        <v>912</v>
      </c>
      <c r="C856" s="80" t="s">
        <v>95</v>
      </c>
      <c r="D856" s="81" t="s">
        <v>78</v>
      </c>
      <c r="E856" s="82">
        <v>9774</v>
      </c>
      <c r="F856" s="82">
        <v>592</v>
      </c>
      <c r="G856" s="82">
        <v>1173</v>
      </c>
      <c r="H856" s="84">
        <v>25.5</v>
      </c>
      <c r="I856" s="84">
        <v>10389</v>
      </c>
      <c r="J856" s="84">
        <v>24.7</v>
      </c>
    </row>
    <row r="857" spans="1:10" ht="16">
      <c r="A857" s="79" t="s">
        <v>596</v>
      </c>
      <c r="B857" s="79" t="s">
        <v>597</v>
      </c>
      <c r="C857" s="80" t="s">
        <v>95</v>
      </c>
      <c r="D857" s="81" t="s">
        <v>79</v>
      </c>
      <c r="E857" s="82">
        <v>66399</v>
      </c>
      <c r="F857" s="82">
        <v>6385</v>
      </c>
      <c r="G857" s="82">
        <v>4620</v>
      </c>
      <c r="H857" s="84">
        <v>7.9</v>
      </c>
      <c r="I857" s="84">
        <v>3446</v>
      </c>
      <c r="J857" s="84">
        <v>19.5</v>
      </c>
    </row>
    <row r="858" spans="1:10" ht="16">
      <c r="A858" s="79" t="s">
        <v>1052</v>
      </c>
      <c r="B858" s="79" t="s">
        <v>1039</v>
      </c>
      <c r="C858" s="80" t="s">
        <v>95</v>
      </c>
      <c r="D858" s="81" t="s">
        <v>99</v>
      </c>
      <c r="E858" s="82">
        <v>46214</v>
      </c>
      <c r="F858" s="82">
        <v>3916</v>
      </c>
      <c r="G858" s="82">
        <v>4621</v>
      </c>
      <c r="H858" s="84">
        <v>32.5</v>
      </c>
      <c r="I858" s="84">
        <v>28518</v>
      </c>
      <c r="J858" s="84">
        <v>37.299999999999997</v>
      </c>
    </row>
    <row r="859" spans="1:10" ht="16">
      <c r="A859" s="79" t="s">
        <v>626</v>
      </c>
      <c r="B859" s="79" t="s">
        <v>617</v>
      </c>
      <c r="C859" s="80" t="s">
        <v>95</v>
      </c>
      <c r="D859" s="81" t="s">
        <v>76</v>
      </c>
      <c r="E859" s="82">
        <v>29564</v>
      </c>
      <c r="F859" s="82">
        <v>1442</v>
      </c>
      <c r="G859" s="82">
        <v>296</v>
      </c>
      <c r="H859" s="84">
        <v>17.100000000000001</v>
      </c>
      <c r="I859" s="84">
        <v>14947</v>
      </c>
      <c r="J859" s="84">
        <v>16.7</v>
      </c>
    </row>
    <row r="860" spans="1:10" ht="16">
      <c r="A860" s="79" t="s">
        <v>1092</v>
      </c>
      <c r="B860" s="79" t="s">
        <v>1091</v>
      </c>
      <c r="C860" s="80" t="s">
        <v>95</v>
      </c>
      <c r="D860" s="81" t="s">
        <v>76</v>
      </c>
      <c r="E860" s="82">
        <v>11518</v>
      </c>
      <c r="F860" s="82">
        <v>729</v>
      </c>
      <c r="G860" s="82">
        <v>3110</v>
      </c>
      <c r="H860" s="84">
        <v>41.2</v>
      </c>
      <c r="I860" s="84">
        <v>37664</v>
      </c>
      <c r="J860" s="84">
        <v>43</v>
      </c>
    </row>
    <row r="861" spans="1:10" ht="16">
      <c r="A861" s="79" t="s">
        <v>1258</v>
      </c>
      <c r="B861" s="79" t="s">
        <v>1209</v>
      </c>
      <c r="C861" s="80" t="s">
        <v>126</v>
      </c>
      <c r="D861" s="81" t="s">
        <v>79</v>
      </c>
      <c r="E861" s="82">
        <v>13825</v>
      </c>
      <c r="F861" s="82">
        <v>843</v>
      </c>
      <c r="G861" s="82">
        <v>4424</v>
      </c>
      <c r="H861" s="84">
        <v>31.1</v>
      </c>
      <c r="I861" s="84">
        <v>23616</v>
      </c>
      <c r="J861" s="84">
        <v>28.6</v>
      </c>
    </row>
    <row r="862" spans="1:10" ht="16">
      <c r="A862" s="79" t="s">
        <v>444</v>
      </c>
      <c r="B862" s="79" t="s">
        <v>421</v>
      </c>
      <c r="C862" s="80" t="s">
        <v>126</v>
      </c>
      <c r="D862" s="81" t="s">
        <v>79</v>
      </c>
      <c r="E862" s="82">
        <v>9255</v>
      </c>
      <c r="F862" s="82">
        <v>312</v>
      </c>
      <c r="G862" s="82">
        <v>926</v>
      </c>
      <c r="H862" s="84">
        <v>34.5</v>
      </c>
      <c r="I862" s="84">
        <v>19253</v>
      </c>
      <c r="J862" s="84">
        <v>34.700000000000003</v>
      </c>
    </row>
    <row r="863" spans="1:10" ht="16">
      <c r="A863" s="79" t="s">
        <v>1259</v>
      </c>
      <c r="B863" s="79" t="s">
        <v>1209</v>
      </c>
      <c r="C863" s="80" t="s">
        <v>95</v>
      </c>
      <c r="D863" s="81" t="s">
        <v>79</v>
      </c>
      <c r="E863" s="82">
        <v>10808</v>
      </c>
      <c r="F863" s="82">
        <v>540</v>
      </c>
      <c r="G863" s="82">
        <v>3675</v>
      </c>
      <c r="H863" s="84">
        <v>13.6</v>
      </c>
      <c r="I863" s="84">
        <v>3996</v>
      </c>
      <c r="J863" s="84">
        <v>16.899999999999999</v>
      </c>
    </row>
    <row r="864" spans="1:10" ht="16">
      <c r="A864" s="79" t="s">
        <v>918</v>
      </c>
      <c r="B864" s="79" t="s">
        <v>912</v>
      </c>
      <c r="C864" s="80" t="s">
        <v>95</v>
      </c>
      <c r="D864" s="81" t="s">
        <v>76</v>
      </c>
      <c r="E864" s="82">
        <v>7022</v>
      </c>
      <c r="F864" s="82">
        <v>447</v>
      </c>
      <c r="G864" s="82">
        <v>983</v>
      </c>
      <c r="H864" s="84">
        <v>16.5</v>
      </c>
      <c r="I864" s="84">
        <v>8064</v>
      </c>
      <c r="J864" s="84">
        <v>17.899999999999999</v>
      </c>
    </row>
    <row r="865" spans="1:10" ht="16">
      <c r="A865" s="79" t="s">
        <v>627</v>
      </c>
      <c r="B865" s="79" t="s">
        <v>617</v>
      </c>
      <c r="C865" s="80" t="s">
        <v>95</v>
      </c>
      <c r="D865" s="81" t="s">
        <v>79</v>
      </c>
      <c r="E865" s="82">
        <v>19022</v>
      </c>
      <c r="F865" s="82">
        <v>334</v>
      </c>
      <c r="G865" s="82">
        <v>1332</v>
      </c>
      <c r="H865" s="84">
        <v>21</v>
      </c>
      <c r="I865" s="84">
        <v>12483</v>
      </c>
      <c r="J865" s="84">
        <v>19.5</v>
      </c>
    </row>
    <row r="866" spans="1:10" ht="16">
      <c r="A866" s="79" t="s">
        <v>872</v>
      </c>
      <c r="B866" s="79" t="s">
        <v>869</v>
      </c>
      <c r="C866" s="80" t="s">
        <v>95</v>
      </c>
      <c r="D866" s="81" t="s">
        <v>101</v>
      </c>
      <c r="E866" s="82">
        <v>14007</v>
      </c>
      <c r="F866" s="82">
        <v>1121</v>
      </c>
      <c r="G866" s="82">
        <v>1961</v>
      </c>
      <c r="H866" s="84">
        <v>29.4</v>
      </c>
      <c r="I866" s="84">
        <v>27696</v>
      </c>
      <c r="J866" s="84">
        <v>29.5</v>
      </c>
    </row>
    <row r="867" spans="1:10" ht="16">
      <c r="A867" s="79" t="s">
        <v>1093</v>
      </c>
      <c r="B867" s="79" t="s">
        <v>1091</v>
      </c>
      <c r="C867" s="80" t="s">
        <v>95</v>
      </c>
      <c r="D867" s="81" t="s">
        <v>96</v>
      </c>
      <c r="E867" s="82">
        <v>11090</v>
      </c>
      <c r="F867" s="82">
        <v>672</v>
      </c>
      <c r="G867" s="82">
        <v>1774</v>
      </c>
      <c r="H867" s="84">
        <v>41.2</v>
      </c>
      <c r="I867" s="84">
        <v>35740</v>
      </c>
      <c r="J867" s="84">
        <v>44.5</v>
      </c>
    </row>
    <row r="868" spans="1:10" ht="16">
      <c r="A868" s="79" t="s">
        <v>584</v>
      </c>
      <c r="B868" s="79" t="s">
        <v>556</v>
      </c>
      <c r="C868" s="80" t="s">
        <v>95</v>
      </c>
      <c r="D868" s="81" t="s">
        <v>75</v>
      </c>
      <c r="E868" s="82">
        <v>11000</v>
      </c>
      <c r="F868" s="82">
        <v>451</v>
      </c>
      <c r="G868" s="82">
        <v>110</v>
      </c>
      <c r="H868" s="84">
        <v>8</v>
      </c>
      <c r="I868" s="84">
        <v>694</v>
      </c>
      <c r="J868" s="84">
        <v>16.399999999999999</v>
      </c>
    </row>
    <row r="869" spans="1:10" ht="16">
      <c r="A869" s="79" t="s">
        <v>1260</v>
      </c>
      <c r="B869" s="79" t="s">
        <v>1209</v>
      </c>
      <c r="C869" s="80" t="s">
        <v>95</v>
      </c>
      <c r="D869" s="81" t="s">
        <v>75</v>
      </c>
      <c r="E869" s="82">
        <v>29542</v>
      </c>
      <c r="F869" s="82">
        <v>1906</v>
      </c>
      <c r="G869" s="82">
        <v>8567</v>
      </c>
      <c r="H869" s="84">
        <v>45.6</v>
      </c>
      <c r="I869" s="84">
        <v>42081</v>
      </c>
      <c r="J869" s="84">
        <v>39.6</v>
      </c>
    </row>
    <row r="870" spans="1:10" ht="16">
      <c r="A870" s="79" t="s">
        <v>93</v>
      </c>
      <c r="B870" s="79" t="s">
        <v>94</v>
      </c>
      <c r="C870" s="80" t="s">
        <v>95</v>
      </c>
      <c r="D870" s="81" t="s">
        <v>96</v>
      </c>
      <c r="E870" s="82">
        <v>34037</v>
      </c>
      <c r="F870" s="82">
        <v>1389</v>
      </c>
      <c r="G870" s="82">
        <v>340</v>
      </c>
      <c r="H870" s="84">
        <v>7.3</v>
      </c>
      <c r="I870" s="84">
        <v>1033</v>
      </c>
      <c r="J870" s="84">
        <v>15.7</v>
      </c>
    </row>
    <row r="871" spans="1:10" ht="16">
      <c r="A871" s="79" t="s">
        <v>628</v>
      </c>
      <c r="B871" s="79" t="s">
        <v>617</v>
      </c>
      <c r="C871" s="80" t="s">
        <v>95</v>
      </c>
      <c r="D871" s="81" t="s">
        <v>101</v>
      </c>
      <c r="E871" s="82">
        <v>65819</v>
      </c>
      <c r="F871" s="82">
        <v>2742</v>
      </c>
      <c r="G871" s="82">
        <v>7898</v>
      </c>
      <c r="H871" s="84">
        <v>34.799999999999997</v>
      </c>
      <c r="I871" s="84">
        <v>29183</v>
      </c>
      <c r="J871" s="84">
        <v>51.5</v>
      </c>
    </row>
    <row r="872" spans="1:10" ht="16">
      <c r="A872" s="79" t="s">
        <v>445</v>
      </c>
      <c r="B872" s="79" t="s">
        <v>421</v>
      </c>
      <c r="C872" s="80" t="s">
        <v>95</v>
      </c>
      <c r="D872" s="81" t="s">
        <v>101</v>
      </c>
      <c r="E872" s="82">
        <v>36352</v>
      </c>
      <c r="F872" s="82">
        <v>537</v>
      </c>
      <c r="G872" s="82">
        <v>4726</v>
      </c>
      <c r="H872" s="84">
        <v>47</v>
      </c>
      <c r="I872" s="84">
        <v>41403</v>
      </c>
      <c r="J872" s="84">
        <v>47.6</v>
      </c>
    </row>
    <row r="873" spans="1:10" ht="16">
      <c r="A873" s="79" t="s">
        <v>408</v>
      </c>
      <c r="B873" s="79" t="s">
        <v>396</v>
      </c>
      <c r="C873" s="80" t="s">
        <v>95</v>
      </c>
      <c r="D873" s="81" t="s">
        <v>103</v>
      </c>
      <c r="E873" s="82">
        <v>54965</v>
      </c>
      <c r="F873" s="82">
        <v>2545</v>
      </c>
      <c r="G873" s="82">
        <v>7145</v>
      </c>
      <c r="H873" s="84">
        <v>22.7</v>
      </c>
      <c r="I873" s="84">
        <v>15226</v>
      </c>
      <c r="J873" s="84">
        <v>30</v>
      </c>
    </row>
    <row r="874" spans="1:10" ht="16">
      <c r="A874" s="79" t="s">
        <v>1261</v>
      </c>
      <c r="B874" s="79" t="s">
        <v>1209</v>
      </c>
      <c r="C874" s="80" t="s">
        <v>95</v>
      </c>
      <c r="D874" s="81" t="s">
        <v>99</v>
      </c>
      <c r="E874" s="82">
        <v>8917</v>
      </c>
      <c r="F874" s="82">
        <v>504</v>
      </c>
      <c r="G874" s="82">
        <v>2497</v>
      </c>
      <c r="H874" s="84">
        <v>16.399999999999999</v>
      </c>
      <c r="I874" s="84">
        <v>5443</v>
      </c>
      <c r="J874" s="84">
        <v>19.3</v>
      </c>
    </row>
    <row r="875" spans="1:10" ht="16">
      <c r="A875" s="79" t="s">
        <v>553</v>
      </c>
      <c r="B875" s="79" t="s">
        <v>549</v>
      </c>
      <c r="C875" s="80" t="s">
        <v>95</v>
      </c>
      <c r="D875" s="81" t="s">
        <v>77</v>
      </c>
      <c r="E875" s="82">
        <v>52975</v>
      </c>
      <c r="F875" s="82">
        <v>2803</v>
      </c>
      <c r="G875" s="82">
        <v>530</v>
      </c>
      <c r="H875" s="84">
        <v>8.5</v>
      </c>
      <c r="I875" s="84">
        <v>707</v>
      </c>
      <c r="J875" s="84">
        <v>16</v>
      </c>
    </row>
    <row r="876" spans="1:10" ht="16">
      <c r="A876" s="79" t="s">
        <v>446</v>
      </c>
      <c r="B876" s="79" t="s">
        <v>421</v>
      </c>
      <c r="C876" s="80" t="s">
        <v>95</v>
      </c>
      <c r="D876" s="81" t="s">
        <v>149</v>
      </c>
      <c r="E876" s="82">
        <v>18915</v>
      </c>
      <c r="F876" s="82">
        <v>593</v>
      </c>
      <c r="G876" s="82">
        <v>2270</v>
      </c>
      <c r="H876" s="84">
        <v>36.1</v>
      </c>
      <c r="I876" s="84">
        <v>20248</v>
      </c>
      <c r="J876" s="84">
        <v>36.9</v>
      </c>
    </row>
    <row r="877" spans="1:10" ht="16">
      <c r="A877" s="79" t="s">
        <v>629</v>
      </c>
      <c r="B877" s="79" t="s">
        <v>617</v>
      </c>
      <c r="C877" s="80" t="s">
        <v>126</v>
      </c>
      <c r="D877" s="81" t="s">
        <v>101</v>
      </c>
      <c r="E877" s="82">
        <v>14206</v>
      </c>
      <c r="F877" s="82">
        <v>522</v>
      </c>
      <c r="G877" s="82">
        <v>994</v>
      </c>
      <c r="H877" s="84">
        <v>17</v>
      </c>
      <c r="I877" s="84">
        <v>12149</v>
      </c>
      <c r="J877" s="84">
        <v>15.4</v>
      </c>
    </row>
    <row r="878" spans="1:10" ht="16">
      <c r="A878" s="79" t="s">
        <v>1262</v>
      </c>
      <c r="B878" s="79" t="s">
        <v>1209</v>
      </c>
      <c r="C878" s="80" t="s">
        <v>95</v>
      </c>
      <c r="D878" s="81" t="s">
        <v>103</v>
      </c>
      <c r="E878" s="82">
        <v>17155</v>
      </c>
      <c r="F878" s="82">
        <v>953</v>
      </c>
      <c r="G878" s="82">
        <v>3603</v>
      </c>
      <c r="H878" s="84">
        <v>14.2</v>
      </c>
      <c r="I878" s="84">
        <v>6200</v>
      </c>
      <c r="J878" s="84">
        <v>17.100000000000001</v>
      </c>
    </row>
    <row r="879" spans="1:10" ht="16">
      <c r="A879" s="79" t="s">
        <v>1263</v>
      </c>
      <c r="B879" s="79" t="s">
        <v>1209</v>
      </c>
      <c r="C879" s="80" t="s">
        <v>95</v>
      </c>
      <c r="D879" s="81" t="s">
        <v>76</v>
      </c>
      <c r="E879" s="82">
        <v>21783</v>
      </c>
      <c r="F879" s="82">
        <v>1602</v>
      </c>
      <c r="G879" s="82">
        <v>5881</v>
      </c>
      <c r="H879" s="84">
        <v>48.4</v>
      </c>
      <c r="I879" s="84">
        <v>46304</v>
      </c>
      <c r="J879" s="84">
        <v>41.8</v>
      </c>
    </row>
    <row r="880" spans="1:10" ht="16">
      <c r="A880" s="79" t="s">
        <v>214</v>
      </c>
      <c r="B880" s="79" t="s">
        <v>203</v>
      </c>
      <c r="C880" s="80" t="s">
        <v>95</v>
      </c>
      <c r="D880" s="81" t="s">
        <v>103</v>
      </c>
      <c r="E880" s="82">
        <v>52108</v>
      </c>
      <c r="F880" s="82">
        <v>2879</v>
      </c>
      <c r="G880" s="82">
        <v>16675</v>
      </c>
      <c r="H880" s="84">
        <v>73.2</v>
      </c>
      <c r="I880" s="84">
        <v>67761</v>
      </c>
      <c r="J880" s="84">
        <v>61.5</v>
      </c>
    </row>
    <row r="881" spans="1:10" ht="16">
      <c r="A881" s="79" t="s">
        <v>935</v>
      </c>
      <c r="B881" s="79" t="s">
        <v>928</v>
      </c>
      <c r="C881" s="80" t="s">
        <v>95</v>
      </c>
      <c r="D881" s="81" t="s">
        <v>76</v>
      </c>
      <c r="E881" s="82">
        <v>30192</v>
      </c>
      <c r="F881" s="82">
        <v>1725</v>
      </c>
      <c r="G881" s="82">
        <v>604</v>
      </c>
      <c r="H881" s="84">
        <v>10.6</v>
      </c>
      <c r="I881" s="84">
        <v>1615</v>
      </c>
      <c r="J881" s="84">
        <v>18.2</v>
      </c>
    </row>
    <row r="882" spans="1:10" ht="16">
      <c r="A882" s="79" t="s">
        <v>1053</v>
      </c>
      <c r="B882" s="79" t="s">
        <v>1039</v>
      </c>
      <c r="C882" s="80" t="s">
        <v>95</v>
      </c>
      <c r="D882" s="81" t="s">
        <v>78</v>
      </c>
      <c r="E882" s="82">
        <v>7369</v>
      </c>
      <c r="F882" s="82">
        <v>550</v>
      </c>
      <c r="G882" s="82">
        <v>221</v>
      </c>
      <c r="H882" s="84">
        <v>12</v>
      </c>
      <c r="I882" s="84">
        <v>3105</v>
      </c>
      <c r="J882" s="84">
        <v>20.8</v>
      </c>
    </row>
    <row r="883" spans="1:10" ht="16">
      <c r="A883" s="79" t="s">
        <v>1054</v>
      </c>
      <c r="B883" s="79" t="s">
        <v>1039</v>
      </c>
      <c r="C883" s="80" t="s">
        <v>95</v>
      </c>
      <c r="D883" s="81" t="s">
        <v>149</v>
      </c>
      <c r="E883" s="82">
        <v>19288</v>
      </c>
      <c r="F883" s="82">
        <v>1010</v>
      </c>
      <c r="G883" s="82">
        <v>1543</v>
      </c>
      <c r="H883" s="84">
        <v>14.8</v>
      </c>
      <c r="I883" s="84">
        <v>4261</v>
      </c>
      <c r="J883" s="84">
        <v>27</v>
      </c>
    </row>
    <row r="884" spans="1:10" ht="16">
      <c r="A884" s="79" t="s">
        <v>630</v>
      </c>
      <c r="B884" s="79" t="s">
        <v>617</v>
      </c>
      <c r="C884" s="80" t="s">
        <v>95</v>
      </c>
      <c r="D884" s="81" t="s">
        <v>149</v>
      </c>
      <c r="E884" s="82">
        <v>27403</v>
      </c>
      <c r="F884" s="82">
        <v>830</v>
      </c>
      <c r="G884" s="82">
        <v>548</v>
      </c>
      <c r="H884" s="84">
        <v>17.5</v>
      </c>
      <c r="I884" s="84">
        <v>10467</v>
      </c>
      <c r="J884" s="84">
        <v>17.600000000000001</v>
      </c>
    </row>
    <row r="885" spans="1:10" ht="16">
      <c r="A885" s="79" t="s">
        <v>215</v>
      </c>
      <c r="B885" s="79" t="s">
        <v>203</v>
      </c>
      <c r="C885" s="80" t="s">
        <v>95</v>
      </c>
      <c r="D885" s="81" t="s">
        <v>75</v>
      </c>
      <c r="E885" s="82">
        <v>28560</v>
      </c>
      <c r="F885" s="82">
        <v>1785</v>
      </c>
      <c r="G885" s="82">
        <v>5426</v>
      </c>
      <c r="H885" s="84">
        <v>34.200000000000003</v>
      </c>
      <c r="I885" s="84">
        <v>29006</v>
      </c>
      <c r="J885" s="84">
        <v>33.9</v>
      </c>
    </row>
    <row r="886" spans="1:10" ht="16">
      <c r="A886" s="79" t="s">
        <v>1403</v>
      </c>
      <c r="B886" s="79" t="s">
        <v>1307</v>
      </c>
      <c r="C886" s="80" t="s">
        <v>126</v>
      </c>
      <c r="D886" s="81" t="s">
        <v>79</v>
      </c>
      <c r="E886" s="82">
        <v>41081</v>
      </c>
      <c r="F886" s="82">
        <v>2999</v>
      </c>
      <c r="G886" s="82">
        <v>6984</v>
      </c>
      <c r="H886" s="84">
        <v>90.6</v>
      </c>
      <c r="I886" s="84">
        <v>89952</v>
      </c>
      <c r="J886" s="84">
        <v>83</v>
      </c>
    </row>
    <row r="887" spans="1:10" ht="16">
      <c r="A887" s="79" t="s">
        <v>1404</v>
      </c>
      <c r="B887" s="79" t="s">
        <v>1307</v>
      </c>
      <c r="C887" s="80" t="s">
        <v>95</v>
      </c>
      <c r="D887" s="81" t="s">
        <v>78</v>
      </c>
      <c r="E887" s="82">
        <v>39164</v>
      </c>
      <c r="F887" s="82">
        <v>3264</v>
      </c>
      <c r="G887" s="82">
        <v>5483</v>
      </c>
      <c r="H887" s="84">
        <v>66.900000000000006</v>
      </c>
      <c r="I887" s="84">
        <v>55690</v>
      </c>
      <c r="J887" s="84">
        <v>62.4</v>
      </c>
    </row>
    <row r="888" spans="1:10" ht="16">
      <c r="A888" s="79" t="s">
        <v>1405</v>
      </c>
      <c r="B888" s="79" t="s">
        <v>1307</v>
      </c>
      <c r="C888" s="80" t="s">
        <v>95</v>
      </c>
      <c r="D888" s="81" t="s">
        <v>99</v>
      </c>
      <c r="E888" s="82">
        <v>32706</v>
      </c>
      <c r="F888" s="82">
        <v>1982</v>
      </c>
      <c r="G888" s="82">
        <v>8504</v>
      </c>
      <c r="H888" s="84">
        <v>46.5</v>
      </c>
      <c r="I888" s="84">
        <v>44164</v>
      </c>
      <c r="J888" s="84">
        <v>43.3</v>
      </c>
    </row>
    <row r="889" spans="1:10" ht="16">
      <c r="A889" s="79" t="s">
        <v>1406</v>
      </c>
      <c r="B889" s="79" t="s">
        <v>1307</v>
      </c>
      <c r="C889" s="80" t="s">
        <v>95</v>
      </c>
      <c r="D889" s="81" t="s">
        <v>101</v>
      </c>
      <c r="E889" s="82">
        <v>41066</v>
      </c>
      <c r="F889" s="82">
        <v>4369</v>
      </c>
      <c r="G889" s="82">
        <v>6981</v>
      </c>
      <c r="H889" s="84">
        <v>88.6</v>
      </c>
      <c r="I889" s="84">
        <v>86286</v>
      </c>
      <c r="J889" s="84">
        <v>83.1</v>
      </c>
    </row>
    <row r="890" spans="1:10" ht="16">
      <c r="A890" s="79" t="s">
        <v>1407</v>
      </c>
      <c r="B890" s="79" t="s">
        <v>1307</v>
      </c>
      <c r="C890" s="80" t="s">
        <v>95</v>
      </c>
      <c r="D890" s="81" t="s">
        <v>75</v>
      </c>
      <c r="E890" s="82">
        <v>7324</v>
      </c>
      <c r="F890" s="82">
        <v>350</v>
      </c>
      <c r="G890" s="82">
        <v>586</v>
      </c>
      <c r="H890" s="84">
        <v>21.6</v>
      </c>
      <c r="I890" s="84">
        <v>20678</v>
      </c>
      <c r="J890" s="84">
        <v>17.100000000000001</v>
      </c>
    </row>
    <row r="891" spans="1:10" ht="16">
      <c r="A891" s="79" t="s">
        <v>1408</v>
      </c>
      <c r="B891" s="79" t="s">
        <v>1307</v>
      </c>
      <c r="C891" s="80" t="s">
        <v>95</v>
      </c>
      <c r="D891" s="81" t="s">
        <v>76</v>
      </c>
      <c r="E891" s="82">
        <v>22272</v>
      </c>
      <c r="F891" s="82">
        <v>1237</v>
      </c>
      <c r="G891" s="82">
        <v>3118</v>
      </c>
      <c r="H891" s="84">
        <v>30.3</v>
      </c>
      <c r="I891" s="84">
        <v>26110</v>
      </c>
      <c r="J891" s="84">
        <v>31.2</v>
      </c>
    </row>
    <row r="892" spans="1:10" ht="16">
      <c r="A892" s="79" t="s">
        <v>1409</v>
      </c>
      <c r="B892" s="79" t="s">
        <v>1307</v>
      </c>
      <c r="C892" s="80" t="s">
        <v>126</v>
      </c>
      <c r="D892" s="81" t="s">
        <v>76</v>
      </c>
      <c r="E892" s="82">
        <v>33579</v>
      </c>
      <c r="F892" s="82">
        <v>2583</v>
      </c>
      <c r="G892" s="82">
        <v>7723</v>
      </c>
      <c r="H892" s="84">
        <v>78.900000000000006</v>
      </c>
      <c r="I892" s="84">
        <v>77175</v>
      </c>
      <c r="J892" s="84">
        <v>62.6</v>
      </c>
    </row>
    <row r="893" spans="1:10" ht="16">
      <c r="A893" s="79" t="s">
        <v>1410</v>
      </c>
      <c r="B893" s="79" t="s">
        <v>1307</v>
      </c>
      <c r="C893" s="80" t="s">
        <v>95</v>
      </c>
      <c r="D893" s="81" t="s">
        <v>101</v>
      </c>
      <c r="E893" s="82">
        <v>24089</v>
      </c>
      <c r="F893" s="82">
        <v>873</v>
      </c>
      <c r="G893" s="82">
        <v>3854</v>
      </c>
      <c r="H893" s="84">
        <v>63.6</v>
      </c>
      <c r="I893" s="84">
        <v>61342</v>
      </c>
      <c r="J893" s="84">
        <v>47.9</v>
      </c>
    </row>
    <row r="894" spans="1:10" ht="16">
      <c r="A894" s="79" t="s">
        <v>1411</v>
      </c>
      <c r="B894" s="79" t="s">
        <v>1307</v>
      </c>
      <c r="C894" s="80" t="s">
        <v>126</v>
      </c>
      <c r="D894" s="81" t="s">
        <v>78</v>
      </c>
      <c r="E894" s="82">
        <v>18783</v>
      </c>
      <c r="F894" s="82">
        <v>817</v>
      </c>
      <c r="G894" s="82">
        <v>1878</v>
      </c>
      <c r="H894" s="84">
        <v>34.9</v>
      </c>
      <c r="I894" s="84">
        <v>34102</v>
      </c>
      <c r="J894" s="84">
        <v>33.1</v>
      </c>
    </row>
    <row r="895" spans="1:10" ht="16">
      <c r="A895" s="79" t="s">
        <v>1264</v>
      </c>
      <c r="B895" s="79" t="s">
        <v>1209</v>
      </c>
      <c r="C895" s="80" t="s">
        <v>126</v>
      </c>
      <c r="D895" s="81" t="s">
        <v>149</v>
      </c>
      <c r="E895" s="82">
        <v>18978</v>
      </c>
      <c r="F895" s="82">
        <v>1741</v>
      </c>
      <c r="G895" s="82">
        <v>7022</v>
      </c>
      <c r="H895" s="84">
        <v>98.7</v>
      </c>
      <c r="I895" s="84">
        <v>94640</v>
      </c>
      <c r="J895" s="84">
        <v>91.4</v>
      </c>
    </row>
    <row r="896" spans="1:10" ht="16">
      <c r="A896" s="79" t="s">
        <v>194</v>
      </c>
      <c r="B896" s="79" t="s">
        <v>169</v>
      </c>
      <c r="C896" s="80" t="s">
        <v>126</v>
      </c>
      <c r="D896" s="81" t="s">
        <v>101</v>
      </c>
      <c r="E896" s="82">
        <v>28795</v>
      </c>
      <c r="F896" s="82">
        <v>1907</v>
      </c>
      <c r="G896" s="82">
        <v>864</v>
      </c>
      <c r="H896" s="84">
        <v>38</v>
      </c>
      <c r="I896" s="84">
        <v>13233</v>
      </c>
      <c r="J896" s="84">
        <v>44.6</v>
      </c>
    </row>
    <row r="897" spans="1:10" ht="16">
      <c r="A897" s="79" t="s">
        <v>130</v>
      </c>
      <c r="B897" s="79" t="s">
        <v>108</v>
      </c>
      <c r="C897" s="80" t="s">
        <v>95</v>
      </c>
      <c r="D897" s="81" t="s">
        <v>78</v>
      </c>
      <c r="E897" s="82">
        <v>10823</v>
      </c>
      <c r="F897" s="82">
        <v>299</v>
      </c>
      <c r="G897" s="82">
        <v>3463</v>
      </c>
      <c r="H897" s="84">
        <v>31.1</v>
      </c>
      <c r="I897" s="84">
        <v>30932</v>
      </c>
      <c r="J897" s="84">
        <v>25.2</v>
      </c>
    </row>
    <row r="898" spans="1:10" ht="16">
      <c r="A898" s="79" t="s">
        <v>857</v>
      </c>
      <c r="B898" s="79" t="s">
        <v>853</v>
      </c>
      <c r="C898" s="80" t="s">
        <v>126</v>
      </c>
      <c r="D898" s="81" t="s">
        <v>103</v>
      </c>
      <c r="E898" s="82">
        <v>13089</v>
      </c>
      <c r="F898" s="82">
        <v>727</v>
      </c>
      <c r="G898" s="82">
        <v>3141</v>
      </c>
      <c r="H898" s="84">
        <v>27.2</v>
      </c>
      <c r="I898" s="84">
        <v>19792</v>
      </c>
      <c r="J898" s="84">
        <v>24.3</v>
      </c>
    </row>
    <row r="899" spans="1:10" ht="16">
      <c r="A899" s="79" t="s">
        <v>999</v>
      </c>
      <c r="B899" s="79" t="s">
        <v>996</v>
      </c>
      <c r="C899" s="80" t="s">
        <v>95</v>
      </c>
      <c r="D899" s="81" t="s">
        <v>79</v>
      </c>
      <c r="E899" s="82">
        <v>21812</v>
      </c>
      <c r="F899" s="82">
        <v>1833</v>
      </c>
      <c r="G899" s="82">
        <v>3708</v>
      </c>
      <c r="H899" s="84">
        <v>42.8</v>
      </c>
      <c r="I899" s="84">
        <v>38668</v>
      </c>
      <c r="J899" s="84">
        <v>33.200000000000003</v>
      </c>
    </row>
    <row r="900" spans="1:10" ht="16">
      <c r="A900" s="79" t="s">
        <v>1153</v>
      </c>
      <c r="B900" s="79" t="s">
        <v>1154</v>
      </c>
      <c r="C900" s="80" t="s">
        <v>95</v>
      </c>
      <c r="D900" s="81" t="s">
        <v>149</v>
      </c>
      <c r="E900" s="82">
        <v>32088</v>
      </c>
      <c r="F900" s="82">
        <v>3177</v>
      </c>
      <c r="G900" s="82">
        <v>321</v>
      </c>
      <c r="H900" s="84">
        <v>8.3000000000000007</v>
      </c>
      <c r="I900" s="84">
        <v>1628</v>
      </c>
      <c r="J900" s="84">
        <v>19.600000000000001</v>
      </c>
    </row>
    <row r="901" spans="1:10" ht="16">
      <c r="A901" s="79" t="s">
        <v>1055</v>
      </c>
      <c r="B901" s="79" t="s">
        <v>1039</v>
      </c>
      <c r="C901" s="80" t="s">
        <v>95</v>
      </c>
      <c r="D901" s="81" t="s">
        <v>149</v>
      </c>
      <c r="E901" s="82">
        <v>23530</v>
      </c>
      <c r="F901" s="82">
        <v>1705</v>
      </c>
      <c r="G901" s="82">
        <v>1412</v>
      </c>
      <c r="H901" s="84">
        <v>12.5</v>
      </c>
      <c r="I901" s="84">
        <v>4106</v>
      </c>
      <c r="J901" s="84">
        <v>16.600000000000001</v>
      </c>
    </row>
    <row r="902" spans="1:10" ht="16">
      <c r="A902" s="79" t="s">
        <v>631</v>
      </c>
      <c r="B902" s="79" t="s">
        <v>617</v>
      </c>
      <c r="C902" s="80" t="s">
        <v>95</v>
      </c>
      <c r="D902" s="81" t="s">
        <v>149</v>
      </c>
      <c r="E902" s="82">
        <v>25392</v>
      </c>
      <c r="F902" s="82">
        <v>1245</v>
      </c>
      <c r="G902" s="82">
        <v>508</v>
      </c>
      <c r="H902" s="84">
        <v>17.7</v>
      </c>
      <c r="I902" s="84">
        <v>12001</v>
      </c>
      <c r="J902" s="84">
        <v>33.1</v>
      </c>
    </row>
    <row r="903" spans="1:10" ht="16">
      <c r="A903" s="79" t="s">
        <v>195</v>
      </c>
      <c r="B903" s="79" t="s">
        <v>169</v>
      </c>
      <c r="C903" s="80" t="s">
        <v>95</v>
      </c>
      <c r="D903" s="81" t="s">
        <v>75</v>
      </c>
      <c r="E903" s="82">
        <v>17101</v>
      </c>
      <c r="F903" s="82">
        <v>687</v>
      </c>
      <c r="G903" s="82">
        <v>855</v>
      </c>
      <c r="H903" s="84">
        <v>7.8</v>
      </c>
      <c r="I903" s="84">
        <v>599</v>
      </c>
      <c r="J903" s="84">
        <v>13.8</v>
      </c>
    </row>
    <row r="904" spans="1:10" ht="16">
      <c r="A904" s="79" t="s">
        <v>1412</v>
      </c>
      <c r="B904" s="79" t="s">
        <v>1307</v>
      </c>
      <c r="C904" s="80" t="s">
        <v>95</v>
      </c>
      <c r="D904" s="81" t="s">
        <v>99</v>
      </c>
      <c r="E904" s="82">
        <v>56228</v>
      </c>
      <c r="F904" s="82">
        <v>1593</v>
      </c>
      <c r="G904" s="82">
        <v>2249</v>
      </c>
      <c r="H904" s="84">
        <v>28.7</v>
      </c>
      <c r="I904" s="84">
        <v>14308</v>
      </c>
      <c r="J904" s="84">
        <v>26.5</v>
      </c>
    </row>
    <row r="905" spans="1:10" ht="16">
      <c r="A905" s="79" t="s">
        <v>1265</v>
      </c>
      <c r="B905" s="79" t="s">
        <v>1209</v>
      </c>
      <c r="C905" s="80" t="s">
        <v>95</v>
      </c>
      <c r="D905" s="81" t="s">
        <v>96</v>
      </c>
      <c r="E905" s="82">
        <v>18824</v>
      </c>
      <c r="F905" s="82">
        <v>1141</v>
      </c>
      <c r="G905" s="82">
        <v>3388</v>
      </c>
      <c r="H905" s="84">
        <v>12.7</v>
      </c>
      <c r="I905" s="84">
        <v>5065</v>
      </c>
      <c r="J905" s="84">
        <v>15.7</v>
      </c>
    </row>
    <row r="906" spans="1:10" ht="16">
      <c r="A906" s="79" t="s">
        <v>409</v>
      </c>
      <c r="B906" s="79" t="s">
        <v>396</v>
      </c>
      <c r="C906" s="80" t="s">
        <v>95</v>
      </c>
      <c r="D906" s="81" t="s">
        <v>111</v>
      </c>
      <c r="E906" s="82">
        <v>14867</v>
      </c>
      <c r="F906" s="82">
        <v>912</v>
      </c>
      <c r="G906" s="82">
        <v>2379</v>
      </c>
      <c r="H906" s="84">
        <v>13.6</v>
      </c>
      <c r="I906" s="84">
        <v>3224</v>
      </c>
      <c r="J906" s="84">
        <v>15.9</v>
      </c>
    </row>
    <row r="907" spans="1:10" ht="16">
      <c r="A907" s="79" t="s">
        <v>348</v>
      </c>
      <c r="B907" s="79" t="s">
        <v>341</v>
      </c>
      <c r="C907" s="80" t="s">
        <v>95</v>
      </c>
      <c r="D907" s="81" t="s">
        <v>75</v>
      </c>
      <c r="E907" s="82">
        <v>4285</v>
      </c>
      <c r="F907" s="82">
        <v>437</v>
      </c>
      <c r="G907" s="82">
        <v>857</v>
      </c>
      <c r="H907" s="84">
        <v>14.6</v>
      </c>
      <c r="I907" s="84">
        <v>2600</v>
      </c>
      <c r="J907" s="84">
        <v>24.2</v>
      </c>
    </row>
    <row r="908" spans="1:10" ht="16">
      <c r="A908" s="79" t="s">
        <v>1266</v>
      </c>
      <c r="B908" s="79" t="s">
        <v>1209</v>
      </c>
      <c r="C908" s="80" t="s">
        <v>95</v>
      </c>
      <c r="D908" s="81" t="s">
        <v>76</v>
      </c>
      <c r="E908" s="82">
        <v>10915</v>
      </c>
      <c r="F908" s="82">
        <v>560</v>
      </c>
      <c r="G908" s="82">
        <v>1201</v>
      </c>
      <c r="H908" s="84">
        <v>12.7</v>
      </c>
      <c r="I908" s="84">
        <v>3162</v>
      </c>
      <c r="J908" s="84">
        <v>15.8</v>
      </c>
    </row>
    <row r="909" spans="1:10" ht="16">
      <c r="A909" s="79" t="s">
        <v>1413</v>
      </c>
      <c r="B909" s="79" t="s">
        <v>1307</v>
      </c>
      <c r="C909" s="80" t="s">
        <v>126</v>
      </c>
      <c r="D909" s="81" t="s">
        <v>76</v>
      </c>
      <c r="E909" s="82">
        <v>13833</v>
      </c>
      <c r="F909" s="82">
        <v>2427</v>
      </c>
      <c r="G909" s="82">
        <v>3873</v>
      </c>
      <c r="H909" s="84">
        <v>91.4</v>
      </c>
      <c r="I909" s="84">
        <v>88412</v>
      </c>
      <c r="J909" s="84">
        <v>89.1</v>
      </c>
    </row>
    <row r="910" spans="1:10" ht="16">
      <c r="A910" s="79" t="s">
        <v>235</v>
      </c>
      <c r="B910" s="79" t="s">
        <v>231</v>
      </c>
      <c r="C910" s="80" t="s">
        <v>126</v>
      </c>
      <c r="D910" s="81" t="s">
        <v>76</v>
      </c>
      <c r="E910" s="82">
        <v>35447</v>
      </c>
      <c r="F910" s="82">
        <v>2363</v>
      </c>
      <c r="G910" s="82">
        <v>2127</v>
      </c>
      <c r="H910" s="84">
        <v>17.100000000000001</v>
      </c>
      <c r="I910" s="84">
        <v>5829</v>
      </c>
      <c r="J910" s="84">
        <v>23.2</v>
      </c>
    </row>
    <row r="911" spans="1:10" ht="16">
      <c r="A911" s="79" t="s">
        <v>1414</v>
      </c>
      <c r="B911" s="79" t="s">
        <v>1307</v>
      </c>
      <c r="C911" s="80" t="s">
        <v>95</v>
      </c>
      <c r="D911" s="81" t="s">
        <v>77</v>
      </c>
      <c r="E911" s="82">
        <v>28434</v>
      </c>
      <c r="F911" s="82">
        <v>1394</v>
      </c>
      <c r="G911" s="82">
        <v>2559</v>
      </c>
      <c r="H911" s="84">
        <v>30.8</v>
      </c>
      <c r="I911" s="84">
        <v>25923</v>
      </c>
      <c r="J911" s="84">
        <v>35.5</v>
      </c>
    </row>
    <row r="912" spans="1:10" ht="16">
      <c r="A912" s="79" t="s">
        <v>410</v>
      </c>
      <c r="B912" s="79" t="s">
        <v>396</v>
      </c>
      <c r="C912" s="80" t="s">
        <v>95</v>
      </c>
      <c r="D912" s="81" t="s">
        <v>103</v>
      </c>
      <c r="E912" s="82">
        <v>34644</v>
      </c>
      <c r="F912" s="82">
        <v>1843</v>
      </c>
      <c r="G912" s="82">
        <v>4504</v>
      </c>
      <c r="H912" s="84">
        <v>10</v>
      </c>
      <c r="I912" s="84">
        <v>5714</v>
      </c>
      <c r="J912" s="84">
        <v>19.2</v>
      </c>
    </row>
    <row r="913" spans="1:10" ht="16">
      <c r="A913" s="79" t="s">
        <v>919</v>
      </c>
      <c r="B913" s="79" t="s">
        <v>912</v>
      </c>
      <c r="C913" s="80" t="s">
        <v>95</v>
      </c>
      <c r="D913" s="81" t="s">
        <v>99</v>
      </c>
      <c r="E913" s="82">
        <v>21404</v>
      </c>
      <c r="F913" s="82">
        <v>1216</v>
      </c>
      <c r="G913" s="82">
        <v>4067</v>
      </c>
      <c r="H913" s="84">
        <v>28.1</v>
      </c>
      <c r="I913" s="84">
        <v>13340</v>
      </c>
      <c r="J913" s="84">
        <v>23.7</v>
      </c>
    </row>
    <row r="914" spans="1:10" ht="16">
      <c r="A914" s="79" t="s">
        <v>447</v>
      </c>
      <c r="B914" s="79" t="s">
        <v>421</v>
      </c>
      <c r="C914" s="80" t="s">
        <v>95</v>
      </c>
      <c r="D914" s="81" t="s">
        <v>96</v>
      </c>
      <c r="E914" s="82">
        <v>36965</v>
      </c>
      <c r="F914" s="82">
        <v>1013</v>
      </c>
      <c r="G914" s="82">
        <v>5914</v>
      </c>
      <c r="H914" s="84">
        <v>42.9</v>
      </c>
      <c r="I914" s="84">
        <v>35005</v>
      </c>
      <c r="J914" s="84">
        <v>43.6</v>
      </c>
    </row>
    <row r="915" spans="1:10" ht="16">
      <c r="A915" s="79" t="s">
        <v>1077</v>
      </c>
      <c r="B915" s="79" t="s">
        <v>1078</v>
      </c>
      <c r="C915" s="80" t="s">
        <v>95</v>
      </c>
      <c r="D915" s="81" t="s">
        <v>76</v>
      </c>
      <c r="E915" s="82">
        <v>22322</v>
      </c>
      <c r="F915" s="82">
        <v>754</v>
      </c>
      <c r="G915" s="82">
        <v>223</v>
      </c>
      <c r="H915" s="84">
        <v>8</v>
      </c>
      <c r="I915" s="84">
        <v>1112</v>
      </c>
      <c r="J915" s="84">
        <v>13.5</v>
      </c>
    </row>
    <row r="916" spans="1:10" ht="16">
      <c r="A916" s="79" t="s">
        <v>1415</v>
      </c>
      <c r="B916" s="79" t="s">
        <v>1307</v>
      </c>
      <c r="C916" s="80" t="s">
        <v>126</v>
      </c>
      <c r="D916" s="81" t="s">
        <v>77</v>
      </c>
      <c r="E916" s="82">
        <v>33186</v>
      </c>
      <c r="F916" s="82">
        <v>2036</v>
      </c>
      <c r="G916" s="82">
        <v>3650</v>
      </c>
      <c r="H916" s="84">
        <v>45.6</v>
      </c>
      <c r="I916" s="84">
        <v>42456</v>
      </c>
      <c r="J916" s="84">
        <v>44.8</v>
      </c>
    </row>
    <row r="917" spans="1:10" ht="16">
      <c r="A917" s="79" t="s">
        <v>1416</v>
      </c>
      <c r="B917" s="79" t="s">
        <v>1307</v>
      </c>
      <c r="C917" s="80" t="s">
        <v>95</v>
      </c>
      <c r="D917" s="81" t="s">
        <v>111</v>
      </c>
      <c r="E917" s="82">
        <v>32446</v>
      </c>
      <c r="F917" s="82">
        <v>2135</v>
      </c>
      <c r="G917" s="82">
        <v>2920</v>
      </c>
      <c r="H917" s="84">
        <v>29.7</v>
      </c>
      <c r="I917" s="84">
        <v>18017</v>
      </c>
      <c r="J917" s="84">
        <v>36.5</v>
      </c>
    </row>
    <row r="918" spans="1:10" ht="16">
      <c r="A918" s="79" t="s">
        <v>97</v>
      </c>
      <c r="B918" s="79" t="s">
        <v>94</v>
      </c>
      <c r="C918" s="80" t="s">
        <v>95</v>
      </c>
      <c r="D918" s="81" t="s">
        <v>78</v>
      </c>
      <c r="E918" s="82">
        <v>35382</v>
      </c>
      <c r="F918" s="82">
        <v>1726</v>
      </c>
      <c r="G918" s="82">
        <v>1769</v>
      </c>
      <c r="H918" s="84">
        <v>7.5</v>
      </c>
      <c r="I918" s="84">
        <v>598</v>
      </c>
      <c r="J918" s="84">
        <v>19.399999999999999</v>
      </c>
    </row>
    <row r="919" spans="1:10" ht="16">
      <c r="A919" s="79" t="s">
        <v>360</v>
      </c>
      <c r="B919" s="79" t="s">
        <v>355</v>
      </c>
      <c r="C919" s="80" t="s">
        <v>95</v>
      </c>
      <c r="D919" s="81" t="s">
        <v>79</v>
      </c>
      <c r="E919" s="82">
        <v>31219</v>
      </c>
      <c r="F919" s="82">
        <v>7260</v>
      </c>
      <c r="G919" s="82">
        <v>5307</v>
      </c>
      <c r="H919" s="84">
        <v>44.1</v>
      </c>
      <c r="I919" s="84">
        <v>39552</v>
      </c>
      <c r="J919" s="84">
        <v>48.1</v>
      </c>
    </row>
    <row r="920" spans="1:10" ht="16">
      <c r="A920" s="79" t="s">
        <v>330</v>
      </c>
      <c r="B920" s="79" t="s">
        <v>331</v>
      </c>
      <c r="C920" s="80" t="s">
        <v>95</v>
      </c>
      <c r="D920" s="81" t="s">
        <v>96</v>
      </c>
      <c r="E920" s="82">
        <v>33900</v>
      </c>
      <c r="F920" s="82">
        <v>2245</v>
      </c>
      <c r="G920" s="82">
        <v>678</v>
      </c>
      <c r="H920" s="84">
        <v>7.9</v>
      </c>
      <c r="I920" s="84">
        <v>6128</v>
      </c>
      <c r="J920" s="84">
        <v>16.2</v>
      </c>
    </row>
    <row r="921" spans="1:10" ht="16">
      <c r="A921" s="79" t="s">
        <v>472</v>
      </c>
      <c r="B921" s="79" t="s">
        <v>467</v>
      </c>
      <c r="C921" s="80" t="s">
        <v>95</v>
      </c>
      <c r="D921" s="81" t="s">
        <v>111</v>
      </c>
      <c r="E921" s="82">
        <v>13321</v>
      </c>
      <c r="F921" s="82">
        <v>569</v>
      </c>
      <c r="G921" s="82">
        <v>533</v>
      </c>
      <c r="H921" s="84">
        <v>20.100000000000001</v>
      </c>
      <c r="I921" s="84">
        <v>18376</v>
      </c>
      <c r="J921" s="84">
        <v>17.7</v>
      </c>
    </row>
    <row r="922" spans="1:10" ht="16">
      <c r="A922" s="79" t="s">
        <v>339</v>
      </c>
      <c r="B922" s="79" t="s">
        <v>338</v>
      </c>
      <c r="C922" s="80" t="s">
        <v>95</v>
      </c>
      <c r="D922" s="81" t="s">
        <v>111</v>
      </c>
      <c r="E922" s="82">
        <v>6635</v>
      </c>
      <c r="F922" s="82">
        <v>302</v>
      </c>
      <c r="G922" s="82">
        <v>730</v>
      </c>
      <c r="H922" s="84">
        <v>24.6</v>
      </c>
      <c r="I922" s="84">
        <v>15331</v>
      </c>
      <c r="J922" s="84">
        <v>24</v>
      </c>
    </row>
    <row r="923" spans="1:10" ht="16">
      <c r="A923" s="79" t="s">
        <v>1136</v>
      </c>
      <c r="B923" s="79" t="s">
        <v>1137</v>
      </c>
      <c r="C923" s="80" t="s">
        <v>126</v>
      </c>
      <c r="D923" s="81" t="s">
        <v>79</v>
      </c>
      <c r="E923" s="82">
        <v>30139</v>
      </c>
      <c r="F923" s="82">
        <v>1578</v>
      </c>
      <c r="G923" s="82">
        <v>478</v>
      </c>
      <c r="H923" s="84">
        <v>7.3</v>
      </c>
      <c r="I923" s="84">
        <v>1495</v>
      </c>
      <c r="J923" s="84">
        <v>14</v>
      </c>
    </row>
    <row r="924" spans="1:10" ht="16">
      <c r="A924" s="79" t="s">
        <v>488</v>
      </c>
      <c r="B924" s="79" t="s">
        <v>485</v>
      </c>
      <c r="C924" s="80" t="s">
        <v>95</v>
      </c>
      <c r="D924" s="81" t="s">
        <v>149</v>
      </c>
      <c r="E924" s="82">
        <v>26771</v>
      </c>
      <c r="F924" s="82">
        <v>2250</v>
      </c>
      <c r="G924" s="82">
        <v>4819</v>
      </c>
      <c r="H924" s="84">
        <v>10.6</v>
      </c>
      <c r="I924" s="84">
        <v>2992</v>
      </c>
      <c r="J924" s="84">
        <v>19.899999999999999</v>
      </c>
    </row>
    <row r="925" spans="1:10" ht="16">
      <c r="A925" s="79" t="s">
        <v>1417</v>
      </c>
      <c r="B925" s="79" t="s">
        <v>1307</v>
      </c>
      <c r="C925" s="80" t="s">
        <v>95</v>
      </c>
      <c r="D925" s="81" t="s">
        <v>76</v>
      </c>
      <c r="E925" s="82">
        <v>20566</v>
      </c>
      <c r="F925" s="82">
        <v>1210</v>
      </c>
      <c r="G925" s="82">
        <v>2057</v>
      </c>
      <c r="H925" s="84">
        <v>38.200000000000003</v>
      </c>
      <c r="I925" s="84">
        <v>27374</v>
      </c>
      <c r="J925" s="84">
        <v>28.5</v>
      </c>
    </row>
    <row r="926" spans="1:10" ht="16">
      <c r="A926" s="79" t="s">
        <v>544</v>
      </c>
      <c r="B926" s="79" t="s">
        <v>493</v>
      </c>
      <c r="C926" s="80" t="s">
        <v>126</v>
      </c>
      <c r="D926" s="81" t="s">
        <v>101</v>
      </c>
      <c r="E926" s="82">
        <v>24547</v>
      </c>
      <c r="F926" s="82">
        <v>1067</v>
      </c>
      <c r="G926" s="82">
        <v>245</v>
      </c>
      <c r="H926" s="84">
        <v>17.8</v>
      </c>
      <c r="I926" s="84">
        <v>7620</v>
      </c>
      <c r="J926" s="84">
        <v>37.6</v>
      </c>
    </row>
    <row r="927" spans="1:10" ht="16">
      <c r="A927" s="79" t="s">
        <v>1418</v>
      </c>
      <c r="B927" s="79" t="s">
        <v>1307</v>
      </c>
      <c r="C927" s="80" t="s">
        <v>95</v>
      </c>
      <c r="D927" s="81" t="s">
        <v>76</v>
      </c>
      <c r="E927" s="82">
        <v>9535</v>
      </c>
      <c r="F927" s="82">
        <v>733</v>
      </c>
      <c r="G927" s="82">
        <v>858</v>
      </c>
      <c r="H927" s="84">
        <v>22.3</v>
      </c>
      <c r="I927" s="84">
        <v>16875</v>
      </c>
      <c r="J927" s="84">
        <v>40.5</v>
      </c>
    </row>
    <row r="928" spans="1:10" ht="16">
      <c r="A928" s="79" t="s">
        <v>1267</v>
      </c>
      <c r="B928" s="79" t="s">
        <v>1209</v>
      </c>
      <c r="C928" s="80" t="s">
        <v>95</v>
      </c>
      <c r="D928" s="81" t="s">
        <v>101</v>
      </c>
      <c r="E928" s="82">
        <v>13502</v>
      </c>
      <c r="F928" s="82">
        <v>888</v>
      </c>
      <c r="G928" s="82">
        <v>1755</v>
      </c>
      <c r="H928" s="84">
        <v>10.3</v>
      </c>
      <c r="I928" s="84">
        <v>3304</v>
      </c>
      <c r="J928" s="84">
        <v>16.2</v>
      </c>
    </row>
    <row r="929" spans="1:10" ht="16">
      <c r="A929" s="79" t="s">
        <v>236</v>
      </c>
      <c r="B929" s="79" t="s">
        <v>231</v>
      </c>
      <c r="C929" s="80" t="s">
        <v>95</v>
      </c>
      <c r="D929" s="81" t="s">
        <v>79</v>
      </c>
      <c r="E929" s="82">
        <v>15384</v>
      </c>
      <c r="F929" s="82">
        <v>810</v>
      </c>
      <c r="G929" s="82">
        <v>615</v>
      </c>
      <c r="H929" s="84">
        <v>8.8000000000000007</v>
      </c>
      <c r="I929" s="84">
        <v>8778</v>
      </c>
      <c r="J929" s="84">
        <v>13.5</v>
      </c>
    </row>
    <row r="930" spans="1:10" ht="16">
      <c r="A930" s="79" t="s">
        <v>1056</v>
      </c>
      <c r="B930" s="79" t="s">
        <v>1039</v>
      </c>
      <c r="C930" s="80" t="s">
        <v>95</v>
      </c>
      <c r="D930" s="81" t="s">
        <v>75</v>
      </c>
      <c r="E930" s="82">
        <v>9209</v>
      </c>
      <c r="F930" s="82">
        <v>422</v>
      </c>
      <c r="G930" s="82">
        <v>1013</v>
      </c>
      <c r="H930" s="84">
        <v>17.600000000000001</v>
      </c>
      <c r="I930" s="84">
        <v>6984</v>
      </c>
      <c r="J930" s="84">
        <v>21.5</v>
      </c>
    </row>
    <row r="931" spans="1:10" ht="16">
      <c r="A931" s="79" t="s">
        <v>158</v>
      </c>
      <c r="B931" s="79" t="s">
        <v>159</v>
      </c>
      <c r="C931" s="80" t="s">
        <v>126</v>
      </c>
      <c r="D931" s="81" t="s">
        <v>99</v>
      </c>
      <c r="E931" s="82">
        <v>34108</v>
      </c>
      <c r="F931" s="82">
        <v>2186</v>
      </c>
      <c r="G931" s="82">
        <v>1705</v>
      </c>
      <c r="H931" s="84">
        <v>8.8000000000000007</v>
      </c>
      <c r="I931" s="84">
        <v>1453</v>
      </c>
      <c r="J931" s="84">
        <v>16</v>
      </c>
    </row>
    <row r="932" spans="1:10" ht="16">
      <c r="A932" s="79" t="s">
        <v>448</v>
      </c>
      <c r="B932" s="79" t="s">
        <v>421</v>
      </c>
      <c r="C932" s="80" t="s">
        <v>126</v>
      </c>
      <c r="D932" s="81" t="s">
        <v>96</v>
      </c>
      <c r="E932" s="82">
        <v>42698</v>
      </c>
      <c r="F932" s="82">
        <v>806</v>
      </c>
      <c r="G932" s="82">
        <v>8113</v>
      </c>
      <c r="H932" s="84">
        <v>32.799999999999997</v>
      </c>
      <c r="I932" s="84">
        <v>30150</v>
      </c>
      <c r="J932" s="84">
        <v>34.4</v>
      </c>
    </row>
    <row r="933" spans="1:10" ht="16">
      <c r="A933" s="79" t="s">
        <v>1268</v>
      </c>
      <c r="B933" s="79" t="s">
        <v>1209</v>
      </c>
      <c r="C933" s="80" t="s">
        <v>95</v>
      </c>
      <c r="D933" s="81" t="s">
        <v>111</v>
      </c>
      <c r="E933" s="82">
        <v>12122</v>
      </c>
      <c r="F933" s="82">
        <v>689</v>
      </c>
      <c r="G933" s="82">
        <v>2667</v>
      </c>
      <c r="H933" s="84">
        <v>31.2</v>
      </c>
      <c r="I933" s="84">
        <v>28326</v>
      </c>
      <c r="J933" s="84">
        <v>24.8</v>
      </c>
    </row>
    <row r="934" spans="1:10" ht="16">
      <c r="A934" s="79" t="s">
        <v>1269</v>
      </c>
      <c r="B934" s="79" t="s">
        <v>1209</v>
      </c>
      <c r="C934" s="80" t="s">
        <v>95</v>
      </c>
      <c r="D934" s="81" t="s">
        <v>78</v>
      </c>
      <c r="E934" s="82">
        <v>15195</v>
      </c>
      <c r="F934" s="82">
        <v>1093</v>
      </c>
      <c r="G934" s="82">
        <v>4255</v>
      </c>
      <c r="H934" s="84">
        <v>30.1</v>
      </c>
      <c r="I934" s="84">
        <v>29327</v>
      </c>
      <c r="J934" s="84">
        <v>28.3</v>
      </c>
    </row>
    <row r="935" spans="1:10" ht="16">
      <c r="A935" s="79" t="s">
        <v>1270</v>
      </c>
      <c r="B935" s="79" t="s">
        <v>1209</v>
      </c>
      <c r="C935" s="80" t="s">
        <v>95</v>
      </c>
      <c r="D935" s="81" t="s">
        <v>78</v>
      </c>
      <c r="E935" s="82">
        <v>10302</v>
      </c>
      <c r="F935" s="82">
        <v>599</v>
      </c>
      <c r="G935" s="82">
        <v>3091</v>
      </c>
      <c r="H935" s="84">
        <v>14.5</v>
      </c>
      <c r="I935" s="84">
        <v>4787</v>
      </c>
      <c r="J935" s="84">
        <v>20.399999999999999</v>
      </c>
    </row>
    <row r="936" spans="1:10" ht="16">
      <c r="A936" s="79" t="s">
        <v>391</v>
      </c>
      <c r="B936" s="79" t="s">
        <v>388</v>
      </c>
      <c r="C936" s="80" t="s">
        <v>95</v>
      </c>
      <c r="D936" s="81" t="s">
        <v>149</v>
      </c>
      <c r="E936" s="82">
        <v>11630</v>
      </c>
      <c r="F936" s="82">
        <v>629</v>
      </c>
      <c r="G936" s="82">
        <v>698</v>
      </c>
      <c r="H936" s="84">
        <v>27.9</v>
      </c>
      <c r="I936" s="84">
        <v>19736</v>
      </c>
      <c r="J936" s="84">
        <v>24.7</v>
      </c>
    </row>
    <row r="937" spans="1:10" ht="16">
      <c r="A937" s="79" t="s">
        <v>349</v>
      </c>
      <c r="B937" s="79" t="s">
        <v>341</v>
      </c>
      <c r="C937" s="80" t="s">
        <v>95</v>
      </c>
      <c r="D937" s="81" t="s">
        <v>149</v>
      </c>
      <c r="E937" s="82">
        <v>14011</v>
      </c>
      <c r="F937" s="82">
        <v>499</v>
      </c>
      <c r="G937" s="82">
        <v>3223</v>
      </c>
      <c r="H937" s="84">
        <v>13.3</v>
      </c>
      <c r="I937" s="84">
        <v>734</v>
      </c>
      <c r="J937" s="84">
        <v>18.899999999999999</v>
      </c>
    </row>
    <row r="938" spans="1:10" ht="16">
      <c r="A938" s="79" t="s">
        <v>1271</v>
      </c>
      <c r="B938" s="79" t="s">
        <v>1209</v>
      </c>
      <c r="C938" s="80" t="s">
        <v>95</v>
      </c>
      <c r="D938" s="81" t="s">
        <v>76</v>
      </c>
      <c r="E938" s="82">
        <v>29433</v>
      </c>
      <c r="F938" s="82">
        <v>2299</v>
      </c>
      <c r="G938" s="82">
        <v>12068</v>
      </c>
      <c r="H938" s="84">
        <v>74.099999999999994</v>
      </c>
      <c r="I938" s="84">
        <v>71453</v>
      </c>
      <c r="J938" s="84">
        <v>67.3</v>
      </c>
    </row>
    <row r="939" spans="1:10" ht="16">
      <c r="A939" s="79" t="s">
        <v>307</v>
      </c>
      <c r="B939" s="79" t="s">
        <v>242</v>
      </c>
      <c r="C939" s="80" t="s">
        <v>126</v>
      </c>
      <c r="D939" s="81" t="s">
        <v>103</v>
      </c>
      <c r="E939" s="82">
        <v>33242</v>
      </c>
      <c r="F939" s="82">
        <v>2027</v>
      </c>
      <c r="G939" s="82">
        <v>1330</v>
      </c>
      <c r="H939" s="84">
        <v>22.2</v>
      </c>
      <c r="I939" s="84">
        <v>12238</v>
      </c>
      <c r="J939" s="84">
        <v>23.5</v>
      </c>
    </row>
    <row r="940" spans="1:10" ht="16">
      <c r="A940" s="79" t="s">
        <v>886</v>
      </c>
      <c r="B940" s="79" t="s">
        <v>877</v>
      </c>
      <c r="C940" s="80" t="s">
        <v>126</v>
      </c>
      <c r="D940" s="81" t="s">
        <v>103</v>
      </c>
      <c r="E940" s="82">
        <v>14654</v>
      </c>
      <c r="F940" s="82">
        <v>1011</v>
      </c>
      <c r="G940" s="82">
        <v>293</v>
      </c>
      <c r="H940" s="84">
        <v>9.1999999999999993</v>
      </c>
      <c r="I940" s="84">
        <v>1791</v>
      </c>
      <c r="J940" s="84">
        <v>15.3</v>
      </c>
    </row>
    <row r="941" spans="1:10" ht="16">
      <c r="A941" s="79" t="s">
        <v>449</v>
      </c>
      <c r="B941" s="79" t="s">
        <v>421</v>
      </c>
      <c r="C941" s="80" t="s">
        <v>126</v>
      </c>
      <c r="D941" s="81" t="s">
        <v>78</v>
      </c>
      <c r="E941" s="82">
        <v>38111</v>
      </c>
      <c r="F941" s="82">
        <v>669</v>
      </c>
      <c r="G941" s="82">
        <v>4573</v>
      </c>
      <c r="H941" s="84">
        <v>45.8</v>
      </c>
      <c r="I941" s="84">
        <v>34447</v>
      </c>
      <c r="J941" s="84">
        <v>41.1</v>
      </c>
    </row>
    <row r="942" spans="1:10" ht="16">
      <c r="A942" s="79" t="s">
        <v>1272</v>
      </c>
      <c r="B942" s="79" t="s">
        <v>1209</v>
      </c>
      <c r="C942" s="80" t="s">
        <v>95</v>
      </c>
      <c r="D942" s="81" t="s">
        <v>77</v>
      </c>
      <c r="E942" s="82">
        <v>11923</v>
      </c>
      <c r="F942" s="82">
        <v>741</v>
      </c>
      <c r="G942" s="82">
        <v>4650</v>
      </c>
      <c r="H942" s="84">
        <v>34.299999999999997</v>
      </c>
      <c r="I942" s="84">
        <v>23546</v>
      </c>
      <c r="J942" s="84">
        <v>31.6</v>
      </c>
    </row>
    <row r="943" spans="1:10" ht="16">
      <c r="A943" s="79" t="s">
        <v>1273</v>
      </c>
      <c r="B943" s="79" t="s">
        <v>1209</v>
      </c>
      <c r="C943" s="80" t="s">
        <v>95</v>
      </c>
      <c r="D943" s="81" t="s">
        <v>149</v>
      </c>
      <c r="E943" s="82">
        <v>21451</v>
      </c>
      <c r="F943" s="82">
        <v>1219</v>
      </c>
      <c r="G943" s="82">
        <v>6006</v>
      </c>
      <c r="H943" s="84">
        <v>38.9</v>
      </c>
      <c r="I943" s="84">
        <v>35949</v>
      </c>
      <c r="J943" s="84">
        <v>33.9</v>
      </c>
    </row>
    <row r="944" spans="1:10" ht="16">
      <c r="A944" s="79" t="s">
        <v>632</v>
      </c>
      <c r="B944" s="79" t="s">
        <v>617</v>
      </c>
      <c r="C944" s="80" t="s">
        <v>95</v>
      </c>
      <c r="D944" s="81" t="s">
        <v>149</v>
      </c>
      <c r="E944" s="82">
        <v>14644</v>
      </c>
      <c r="F944" s="82">
        <v>581</v>
      </c>
      <c r="G944" s="82">
        <v>1025</v>
      </c>
      <c r="H944" s="84">
        <v>20.2</v>
      </c>
      <c r="I944" s="84">
        <v>15171</v>
      </c>
      <c r="J944" s="84">
        <v>21</v>
      </c>
    </row>
    <row r="945" spans="1:10" ht="16">
      <c r="A945" s="79" t="s">
        <v>633</v>
      </c>
      <c r="B945" s="79" t="s">
        <v>617</v>
      </c>
      <c r="C945" s="80" t="s">
        <v>95</v>
      </c>
      <c r="D945" s="81" t="s">
        <v>99</v>
      </c>
      <c r="E945" s="82">
        <v>34686</v>
      </c>
      <c r="F945" s="82">
        <v>1700</v>
      </c>
      <c r="G945" s="82">
        <v>3815</v>
      </c>
      <c r="H945" s="84">
        <v>25.1</v>
      </c>
      <c r="I945" s="84">
        <v>16546</v>
      </c>
      <c r="J945" s="84">
        <v>37.9</v>
      </c>
    </row>
    <row r="946" spans="1:10" ht="16">
      <c r="A946" s="79" t="s">
        <v>1419</v>
      </c>
      <c r="B946" s="79" t="s">
        <v>1307</v>
      </c>
      <c r="C946" s="80" t="s">
        <v>95</v>
      </c>
      <c r="D946" s="81" t="s">
        <v>75</v>
      </c>
      <c r="E946" s="82">
        <v>46642</v>
      </c>
      <c r="F946" s="82">
        <v>2776</v>
      </c>
      <c r="G946" s="82">
        <v>4664</v>
      </c>
      <c r="H946" s="84">
        <v>53.8</v>
      </c>
      <c r="I946" s="84">
        <v>33307</v>
      </c>
      <c r="J946" s="84">
        <v>54</v>
      </c>
    </row>
    <row r="947" spans="1:10" ht="16">
      <c r="A947" s="79" t="s">
        <v>196</v>
      </c>
      <c r="B947" s="79" t="s">
        <v>169</v>
      </c>
      <c r="C947" s="80" t="s">
        <v>126</v>
      </c>
      <c r="D947" s="81" t="s">
        <v>78</v>
      </c>
      <c r="E947" s="82">
        <v>23923</v>
      </c>
      <c r="F947" s="82">
        <v>1574</v>
      </c>
      <c r="G947" s="82">
        <v>1647</v>
      </c>
      <c r="H947" s="84">
        <v>7.3</v>
      </c>
      <c r="I947" s="84">
        <v>3033</v>
      </c>
      <c r="J947" s="84">
        <v>14.8</v>
      </c>
    </row>
    <row r="948" spans="1:10" ht="16">
      <c r="A948" s="79" t="s">
        <v>450</v>
      </c>
      <c r="B948" s="79" t="s">
        <v>421</v>
      </c>
      <c r="C948" s="80" t="s">
        <v>95</v>
      </c>
      <c r="D948" s="81" t="s">
        <v>79</v>
      </c>
      <c r="E948" s="82">
        <v>21475</v>
      </c>
      <c r="F948" s="82">
        <v>502</v>
      </c>
      <c r="G948" s="82">
        <v>4939</v>
      </c>
      <c r="H948" s="84">
        <v>51.6</v>
      </c>
      <c r="I948" s="84">
        <v>42948</v>
      </c>
      <c r="J948" s="84">
        <v>49.1</v>
      </c>
    </row>
    <row r="949" spans="1:10" ht="16">
      <c r="A949" s="79" t="s">
        <v>1094</v>
      </c>
      <c r="B949" s="79" t="s">
        <v>1091</v>
      </c>
      <c r="C949" s="80" t="s">
        <v>95</v>
      </c>
      <c r="D949" s="81" t="s">
        <v>111</v>
      </c>
      <c r="E949" s="82">
        <v>10887</v>
      </c>
      <c r="F949" s="82">
        <v>337</v>
      </c>
      <c r="G949" s="82">
        <v>1960</v>
      </c>
      <c r="H949" s="84">
        <v>32.4</v>
      </c>
      <c r="I949" s="84">
        <v>20967</v>
      </c>
      <c r="J949" s="84">
        <v>31.8</v>
      </c>
    </row>
    <row r="950" spans="1:10" ht="16">
      <c r="A950" s="79" t="s">
        <v>756</v>
      </c>
      <c r="B950" s="79" t="s">
        <v>661</v>
      </c>
      <c r="C950" s="80" t="s">
        <v>126</v>
      </c>
      <c r="D950" s="81" t="s">
        <v>101</v>
      </c>
      <c r="E950" s="82">
        <v>5020</v>
      </c>
      <c r="F950" s="82">
        <v>540</v>
      </c>
      <c r="G950" s="82">
        <v>201</v>
      </c>
      <c r="H950" s="84">
        <v>10.7</v>
      </c>
      <c r="I950" s="84">
        <v>1046</v>
      </c>
      <c r="J950" s="84">
        <v>19.7</v>
      </c>
    </row>
    <row r="951" spans="1:10" ht="16">
      <c r="A951" s="79" t="s">
        <v>906</v>
      </c>
      <c r="B951" s="79" t="s">
        <v>898</v>
      </c>
      <c r="C951" s="80" t="s">
        <v>95</v>
      </c>
      <c r="D951" s="81" t="s">
        <v>149</v>
      </c>
      <c r="E951" s="82">
        <v>27859</v>
      </c>
      <c r="F951" s="82">
        <v>1629</v>
      </c>
      <c r="G951" s="82">
        <v>557</v>
      </c>
      <c r="H951" s="84">
        <v>10.6</v>
      </c>
      <c r="I951" s="84">
        <v>2105</v>
      </c>
      <c r="J951" s="84">
        <v>15.7</v>
      </c>
    </row>
    <row r="952" spans="1:10" ht="16">
      <c r="A952" s="79" t="s">
        <v>1095</v>
      </c>
      <c r="B952" s="79" t="s">
        <v>1091</v>
      </c>
      <c r="C952" s="80" t="s">
        <v>95</v>
      </c>
      <c r="D952" s="81" t="s">
        <v>79</v>
      </c>
      <c r="E952" s="82">
        <v>16935</v>
      </c>
      <c r="F952" s="82">
        <v>1086</v>
      </c>
      <c r="G952" s="82">
        <v>6605</v>
      </c>
      <c r="H952" s="84">
        <v>43.7</v>
      </c>
      <c r="I952" s="84">
        <v>35198</v>
      </c>
      <c r="J952" s="84">
        <v>38.1</v>
      </c>
    </row>
    <row r="953" spans="1:10" ht="16">
      <c r="A953" s="79" t="s">
        <v>634</v>
      </c>
      <c r="B953" s="79" t="s">
        <v>617</v>
      </c>
      <c r="C953" s="80" t="s">
        <v>95</v>
      </c>
      <c r="D953" s="81" t="s">
        <v>99</v>
      </c>
      <c r="E953" s="82">
        <v>23977</v>
      </c>
      <c r="F953" s="82">
        <v>1230</v>
      </c>
      <c r="G953" s="82">
        <v>2158</v>
      </c>
      <c r="H953" s="84">
        <v>23.1</v>
      </c>
      <c r="I953" s="84">
        <v>14775</v>
      </c>
      <c r="J953" s="84">
        <v>32.1</v>
      </c>
    </row>
    <row r="954" spans="1:10" ht="16">
      <c r="A954" s="79" t="s">
        <v>1420</v>
      </c>
      <c r="B954" s="79" t="s">
        <v>1307</v>
      </c>
      <c r="C954" s="80" t="s">
        <v>95</v>
      </c>
      <c r="D954" s="81" t="s">
        <v>78</v>
      </c>
      <c r="E954" s="82">
        <v>35164</v>
      </c>
      <c r="F954" s="82">
        <v>2157</v>
      </c>
      <c r="G954" s="82">
        <v>2461</v>
      </c>
      <c r="H954" s="84">
        <v>35.799999999999997</v>
      </c>
      <c r="I954" s="84">
        <v>19979</v>
      </c>
      <c r="J954" s="84">
        <v>34.9</v>
      </c>
    </row>
    <row r="955" spans="1:10" ht="16">
      <c r="A955" s="79" t="s">
        <v>464</v>
      </c>
      <c r="B955" s="79" t="s">
        <v>465</v>
      </c>
      <c r="C955" s="80" t="s">
        <v>126</v>
      </c>
      <c r="D955" s="81" t="s">
        <v>96</v>
      </c>
      <c r="E955" s="82">
        <v>36819</v>
      </c>
      <c r="F955" s="82">
        <v>1283</v>
      </c>
      <c r="G955" s="82">
        <v>368</v>
      </c>
      <c r="H955" s="84">
        <v>15.5</v>
      </c>
      <c r="I955" s="84">
        <v>4362</v>
      </c>
      <c r="J955" s="84">
        <v>15.6</v>
      </c>
    </row>
    <row r="956" spans="1:10" ht="16">
      <c r="A956" s="79" t="s">
        <v>1057</v>
      </c>
      <c r="B956" s="79" t="s">
        <v>1039</v>
      </c>
      <c r="C956" s="80" t="s">
        <v>95</v>
      </c>
      <c r="D956" s="81" t="s">
        <v>149</v>
      </c>
      <c r="E956" s="82">
        <v>13906</v>
      </c>
      <c r="F956" s="82">
        <v>732</v>
      </c>
      <c r="G956" s="82">
        <v>1947</v>
      </c>
      <c r="H956" s="84">
        <v>18.2</v>
      </c>
      <c r="I956" s="84">
        <v>10526</v>
      </c>
      <c r="J956" s="84">
        <v>18.899999999999999</v>
      </c>
    </row>
    <row r="957" spans="1:10" ht="16">
      <c r="A957" s="79" t="s">
        <v>1274</v>
      </c>
      <c r="B957" s="79" t="s">
        <v>1209</v>
      </c>
      <c r="C957" s="80" t="s">
        <v>95</v>
      </c>
      <c r="D957" s="81" t="s">
        <v>111</v>
      </c>
      <c r="E957" s="82">
        <v>25357</v>
      </c>
      <c r="F957" s="82">
        <v>1647</v>
      </c>
      <c r="G957" s="82">
        <v>9382</v>
      </c>
      <c r="H957" s="84">
        <v>47.9</v>
      </c>
      <c r="I957" s="84">
        <v>44025</v>
      </c>
      <c r="J957" s="84">
        <v>41.1</v>
      </c>
    </row>
    <row r="958" spans="1:10" ht="16">
      <c r="A958" s="79" t="s">
        <v>1088</v>
      </c>
      <c r="B958" s="79" t="s">
        <v>1081</v>
      </c>
      <c r="C958" s="80" t="s">
        <v>126</v>
      </c>
      <c r="D958" s="81" t="s">
        <v>79</v>
      </c>
      <c r="E958" s="82">
        <v>19677</v>
      </c>
      <c r="F958" s="82">
        <v>1929</v>
      </c>
      <c r="G958" s="82">
        <v>2558</v>
      </c>
      <c r="H958" s="84">
        <v>41.5</v>
      </c>
      <c r="I958" s="84">
        <v>38824</v>
      </c>
      <c r="J958" s="84">
        <v>27.5</v>
      </c>
    </row>
    <row r="959" spans="1:10" ht="16">
      <c r="A959" s="79" t="s">
        <v>1058</v>
      </c>
      <c r="B959" s="79" t="s">
        <v>1039</v>
      </c>
      <c r="C959" s="80" t="s">
        <v>95</v>
      </c>
      <c r="D959" s="81" t="s">
        <v>79</v>
      </c>
      <c r="E959" s="82">
        <v>56044</v>
      </c>
      <c r="F959" s="82">
        <v>3639</v>
      </c>
      <c r="G959" s="82">
        <v>5604</v>
      </c>
      <c r="H959" s="84">
        <v>20.9</v>
      </c>
      <c r="I959" s="84">
        <v>10879</v>
      </c>
      <c r="J959" s="84">
        <v>19.399999999999999</v>
      </c>
    </row>
    <row r="960" spans="1:10" ht="16">
      <c r="A960" s="79" t="s">
        <v>152</v>
      </c>
      <c r="B960" s="79" t="s">
        <v>146</v>
      </c>
      <c r="C960" s="80" t="s">
        <v>95</v>
      </c>
      <c r="D960" s="81" t="s">
        <v>78</v>
      </c>
      <c r="E960" s="82">
        <v>20312</v>
      </c>
      <c r="F960" s="82">
        <v>927</v>
      </c>
      <c r="G960" s="82">
        <v>2641</v>
      </c>
      <c r="H960" s="84">
        <v>18.3</v>
      </c>
      <c r="I960" s="84">
        <v>10271</v>
      </c>
      <c r="J960" s="84">
        <v>22.9</v>
      </c>
    </row>
    <row r="961" spans="1:10" ht="16">
      <c r="A961" s="79" t="s">
        <v>1275</v>
      </c>
      <c r="B961" s="79" t="s">
        <v>1209</v>
      </c>
      <c r="C961" s="80" t="s">
        <v>95</v>
      </c>
      <c r="D961" s="81" t="s">
        <v>79</v>
      </c>
      <c r="E961" s="82">
        <v>14477</v>
      </c>
      <c r="F961" s="82">
        <v>804</v>
      </c>
      <c r="G961" s="82">
        <v>5212</v>
      </c>
      <c r="H961" s="84">
        <v>15.2</v>
      </c>
      <c r="I961" s="84">
        <v>6013</v>
      </c>
      <c r="J961" s="84">
        <v>17.100000000000001</v>
      </c>
    </row>
    <row r="962" spans="1:10" ht="16">
      <c r="A962" s="79" t="s">
        <v>451</v>
      </c>
      <c r="B962" s="79" t="s">
        <v>421</v>
      </c>
      <c r="C962" s="80" t="s">
        <v>95</v>
      </c>
      <c r="D962" s="81" t="s">
        <v>101</v>
      </c>
      <c r="E962" s="82">
        <v>10247</v>
      </c>
      <c r="F962" s="82">
        <v>486</v>
      </c>
      <c r="G962" s="82">
        <v>717</v>
      </c>
      <c r="H962" s="84">
        <v>22.4</v>
      </c>
      <c r="I962" s="84">
        <v>13538</v>
      </c>
      <c r="J962" s="84">
        <v>30</v>
      </c>
    </row>
    <row r="963" spans="1:10" ht="16">
      <c r="A963" s="79" t="s">
        <v>847</v>
      </c>
      <c r="B963" s="79" t="s">
        <v>839</v>
      </c>
      <c r="C963" s="80" t="s">
        <v>95</v>
      </c>
      <c r="D963" s="81" t="s">
        <v>76</v>
      </c>
      <c r="E963" s="82">
        <v>27228</v>
      </c>
      <c r="F963" s="82">
        <v>1144</v>
      </c>
      <c r="G963" s="82">
        <v>5718</v>
      </c>
      <c r="H963" s="84">
        <v>55.6</v>
      </c>
      <c r="I963" s="84">
        <v>50932</v>
      </c>
      <c r="J963" s="84">
        <v>42.3</v>
      </c>
    </row>
    <row r="964" spans="1:10" ht="16">
      <c r="A964" s="79" t="s">
        <v>827</v>
      </c>
      <c r="B964" s="79" t="s">
        <v>817</v>
      </c>
      <c r="C964" s="80" t="s">
        <v>95</v>
      </c>
      <c r="D964" s="81" t="s">
        <v>101</v>
      </c>
      <c r="E964" s="82">
        <v>123932</v>
      </c>
      <c r="F964" s="82">
        <v>2229</v>
      </c>
      <c r="G964" s="82">
        <v>8624</v>
      </c>
      <c r="H964" s="84">
        <v>7.8</v>
      </c>
      <c r="I964" s="84">
        <v>787</v>
      </c>
      <c r="J964" s="84">
        <v>15.4</v>
      </c>
    </row>
    <row r="965" spans="1:10" ht="16">
      <c r="A965" s="79" t="s">
        <v>828</v>
      </c>
      <c r="B965" s="79" t="s">
        <v>817</v>
      </c>
      <c r="C965" s="80" t="s">
        <v>95</v>
      </c>
      <c r="D965" s="81" t="s">
        <v>76</v>
      </c>
      <c r="E965" s="82">
        <v>26034</v>
      </c>
      <c r="F965" s="82">
        <v>1315</v>
      </c>
      <c r="G965" s="82">
        <v>781</v>
      </c>
      <c r="H965" s="84">
        <v>8.6999999999999993</v>
      </c>
      <c r="I965" s="84">
        <v>1185</v>
      </c>
      <c r="J965" s="84">
        <v>16.399999999999999</v>
      </c>
    </row>
    <row r="966" spans="1:10" ht="16">
      <c r="A966" s="79" t="s">
        <v>216</v>
      </c>
      <c r="B966" s="79" t="s">
        <v>203</v>
      </c>
      <c r="C966" s="80" t="s">
        <v>95</v>
      </c>
      <c r="D966" s="81" t="s">
        <v>79</v>
      </c>
      <c r="E966" s="82">
        <v>22165</v>
      </c>
      <c r="F966" s="82">
        <v>762</v>
      </c>
      <c r="G966" s="82">
        <v>1995</v>
      </c>
      <c r="H966" s="84">
        <v>29.4</v>
      </c>
      <c r="I966" s="84">
        <v>13964</v>
      </c>
      <c r="J966" s="84">
        <v>26.2</v>
      </c>
    </row>
    <row r="967" spans="1:10" ht="16">
      <c r="A967" s="79" t="s">
        <v>585</v>
      </c>
      <c r="B967" s="79" t="s">
        <v>556</v>
      </c>
      <c r="C967" s="80" t="s">
        <v>95</v>
      </c>
      <c r="D967" s="81" t="s">
        <v>77</v>
      </c>
      <c r="E967" s="82">
        <v>16240</v>
      </c>
      <c r="F967" s="82">
        <v>576</v>
      </c>
      <c r="G967" s="82">
        <v>746</v>
      </c>
      <c r="H967" s="84">
        <v>13.6</v>
      </c>
      <c r="I967" s="84">
        <v>4026</v>
      </c>
      <c r="J967" s="84">
        <v>20.399999999999999</v>
      </c>
    </row>
    <row r="968" spans="1:10" ht="16">
      <c r="A968" s="79" t="s">
        <v>615</v>
      </c>
      <c r="B968" s="79" t="s">
        <v>610</v>
      </c>
      <c r="C968" s="80" t="s">
        <v>95</v>
      </c>
      <c r="D968" s="81" t="s">
        <v>77</v>
      </c>
      <c r="E968" s="82">
        <v>16164</v>
      </c>
      <c r="F968" s="82">
        <v>770</v>
      </c>
      <c r="G968" s="82">
        <v>323</v>
      </c>
      <c r="H968" s="84">
        <v>31.9</v>
      </c>
      <c r="I968" s="84">
        <v>16875</v>
      </c>
      <c r="J968" s="84">
        <v>26.7</v>
      </c>
    </row>
    <row r="969" spans="1:10" ht="16">
      <c r="A969" s="79" t="s">
        <v>452</v>
      </c>
      <c r="B969" s="79" t="s">
        <v>421</v>
      </c>
      <c r="C969" s="80" t="s">
        <v>95</v>
      </c>
      <c r="D969" s="81" t="s">
        <v>99</v>
      </c>
      <c r="E969" s="82">
        <v>30375</v>
      </c>
      <c r="F969" s="82">
        <v>512</v>
      </c>
      <c r="G969" s="82">
        <v>3645</v>
      </c>
      <c r="H969" s="84">
        <v>49.8</v>
      </c>
      <c r="I969" s="84">
        <v>36881</v>
      </c>
      <c r="J969" s="84">
        <v>44.4</v>
      </c>
    </row>
    <row r="970" spans="1:10" ht="16">
      <c r="A970" s="79" t="s">
        <v>335</v>
      </c>
      <c r="B970" s="79" t="s">
        <v>336</v>
      </c>
      <c r="C970" s="80" t="s">
        <v>95</v>
      </c>
      <c r="D970" s="81" t="s">
        <v>78</v>
      </c>
      <c r="E970" s="82">
        <v>14856</v>
      </c>
      <c r="F970" s="82">
        <v>1516</v>
      </c>
      <c r="G970" s="82">
        <v>1040</v>
      </c>
      <c r="H970" s="84">
        <v>9</v>
      </c>
      <c r="I970" s="84">
        <v>860</v>
      </c>
      <c r="J970" s="84">
        <v>21.6</v>
      </c>
    </row>
    <row r="971" spans="1:10" ht="16">
      <c r="A971" s="79" t="s">
        <v>392</v>
      </c>
      <c r="B971" s="79" t="s">
        <v>388</v>
      </c>
      <c r="C971" s="80" t="s">
        <v>95</v>
      </c>
      <c r="D971" s="81" t="s">
        <v>77</v>
      </c>
      <c r="E971" s="82">
        <v>22072</v>
      </c>
      <c r="F971" s="82">
        <v>1330</v>
      </c>
      <c r="G971" s="82">
        <v>1104</v>
      </c>
      <c r="H971" s="84">
        <v>59.3</v>
      </c>
      <c r="I971" s="84">
        <v>52290</v>
      </c>
      <c r="J971" s="84">
        <v>43.4</v>
      </c>
    </row>
    <row r="972" spans="1:10" ht="16">
      <c r="A972" s="79" t="s">
        <v>1276</v>
      </c>
      <c r="B972" s="79" t="s">
        <v>1209</v>
      </c>
      <c r="C972" s="80" t="s">
        <v>95</v>
      </c>
      <c r="D972" s="81" t="s">
        <v>76</v>
      </c>
      <c r="E972" s="82">
        <v>17584</v>
      </c>
      <c r="F972" s="82">
        <v>1005</v>
      </c>
      <c r="G972" s="82">
        <v>4924</v>
      </c>
      <c r="H972" s="84">
        <v>13</v>
      </c>
      <c r="I972" s="84">
        <v>5557</v>
      </c>
      <c r="J972" s="84">
        <v>17.5</v>
      </c>
    </row>
    <row r="973" spans="1:10" ht="16">
      <c r="A973" s="79" t="s">
        <v>453</v>
      </c>
      <c r="B973" s="79" t="s">
        <v>421</v>
      </c>
      <c r="C973" s="80" t="s">
        <v>95</v>
      </c>
      <c r="D973" s="81" t="s">
        <v>77</v>
      </c>
      <c r="E973" s="82">
        <v>9234</v>
      </c>
      <c r="F973" s="82">
        <v>244</v>
      </c>
      <c r="G973" s="82">
        <v>1385</v>
      </c>
      <c r="H973" s="84">
        <v>31</v>
      </c>
      <c r="I973" s="84">
        <v>28607</v>
      </c>
      <c r="J973" s="84">
        <v>34.4</v>
      </c>
    </row>
    <row r="974" spans="1:10" ht="16">
      <c r="A974" s="79" t="s">
        <v>483</v>
      </c>
      <c r="B974" s="79" t="s">
        <v>478</v>
      </c>
      <c r="C974" s="80" t="s">
        <v>95</v>
      </c>
      <c r="D974" s="81" t="s">
        <v>76</v>
      </c>
      <c r="E974" s="82">
        <v>18260</v>
      </c>
      <c r="F974" s="82">
        <v>1003</v>
      </c>
      <c r="G974" s="82">
        <v>8034</v>
      </c>
      <c r="H974" s="84">
        <v>77.2</v>
      </c>
      <c r="I974" s="84">
        <v>59186</v>
      </c>
      <c r="J974" s="84">
        <v>69.5</v>
      </c>
    </row>
    <row r="975" spans="1:10" ht="16">
      <c r="A975" s="79" t="s">
        <v>1421</v>
      </c>
      <c r="B975" s="79" t="s">
        <v>1307</v>
      </c>
      <c r="C975" s="80" t="s">
        <v>126</v>
      </c>
      <c r="D975" s="81" t="s">
        <v>77</v>
      </c>
      <c r="E975" s="82">
        <v>44128</v>
      </c>
      <c r="F975" s="82">
        <v>1717</v>
      </c>
      <c r="G975" s="82">
        <v>3972</v>
      </c>
      <c r="H975" s="84">
        <v>25.9</v>
      </c>
      <c r="I975" s="84">
        <v>15050</v>
      </c>
      <c r="J975" s="84">
        <v>33.6</v>
      </c>
    </row>
    <row r="976" spans="1:10" ht="16">
      <c r="A976" s="79" t="s">
        <v>1277</v>
      </c>
      <c r="B976" s="79" t="s">
        <v>1209</v>
      </c>
      <c r="C976" s="80" t="s">
        <v>95</v>
      </c>
      <c r="D976" s="81" t="s">
        <v>79</v>
      </c>
      <c r="E976" s="82">
        <v>14483</v>
      </c>
      <c r="F976" s="82">
        <v>700</v>
      </c>
      <c r="G976" s="82">
        <v>3476</v>
      </c>
      <c r="H976" s="84">
        <v>20</v>
      </c>
      <c r="I976" s="84">
        <v>8990</v>
      </c>
      <c r="J976" s="84">
        <v>22.8</v>
      </c>
    </row>
    <row r="977" spans="1:10" ht="16">
      <c r="A977" s="79" t="s">
        <v>1278</v>
      </c>
      <c r="B977" s="79" t="s">
        <v>1209</v>
      </c>
      <c r="C977" s="80" t="s">
        <v>95</v>
      </c>
      <c r="D977" s="81" t="s">
        <v>79</v>
      </c>
      <c r="E977" s="82">
        <v>14047</v>
      </c>
      <c r="F977" s="82">
        <v>772</v>
      </c>
      <c r="G977" s="82">
        <v>2669</v>
      </c>
      <c r="H977" s="84">
        <v>23</v>
      </c>
      <c r="I977" s="84">
        <v>12917</v>
      </c>
      <c r="J977" s="84">
        <v>22.3</v>
      </c>
    </row>
    <row r="978" spans="1:10" ht="16">
      <c r="A978" s="79" t="s">
        <v>757</v>
      </c>
      <c r="B978" s="79" t="s">
        <v>661</v>
      </c>
      <c r="C978" s="80" t="s">
        <v>126</v>
      </c>
      <c r="D978" s="81" t="s">
        <v>77</v>
      </c>
      <c r="E978" s="82">
        <v>6566</v>
      </c>
      <c r="F978" s="82">
        <v>513</v>
      </c>
      <c r="G978" s="82">
        <v>197</v>
      </c>
      <c r="H978" s="84">
        <v>12.1</v>
      </c>
      <c r="I978" s="84">
        <v>1262</v>
      </c>
      <c r="J978" s="84">
        <v>16.7</v>
      </c>
    </row>
    <row r="979" spans="1:10" ht="16">
      <c r="A979" s="79" t="s">
        <v>863</v>
      </c>
      <c r="B979" s="79" t="s">
        <v>862</v>
      </c>
      <c r="C979" s="80" t="s">
        <v>126</v>
      </c>
      <c r="D979" s="81" t="s">
        <v>99</v>
      </c>
      <c r="E979" s="82">
        <v>26648</v>
      </c>
      <c r="F979" s="82">
        <v>1625</v>
      </c>
      <c r="G979" s="82">
        <v>266</v>
      </c>
      <c r="H979" s="84">
        <v>12.1</v>
      </c>
      <c r="I979" s="84">
        <v>9417</v>
      </c>
      <c r="J979" s="84">
        <v>23.4</v>
      </c>
    </row>
    <row r="980" spans="1:10" ht="16">
      <c r="A980" s="79" t="s">
        <v>490</v>
      </c>
      <c r="B980" s="79" t="s">
        <v>491</v>
      </c>
      <c r="C980" s="80" t="s">
        <v>95</v>
      </c>
      <c r="D980" s="81" t="s">
        <v>76</v>
      </c>
      <c r="E980" s="82">
        <v>8135</v>
      </c>
      <c r="F980" s="82">
        <v>585</v>
      </c>
      <c r="G980" s="82">
        <v>976</v>
      </c>
      <c r="H980" s="84">
        <v>30</v>
      </c>
      <c r="I980" s="84">
        <v>22537</v>
      </c>
      <c r="J980" s="84">
        <v>19.5</v>
      </c>
    </row>
    <row r="981" spans="1:10" ht="16">
      <c r="A981" s="79" t="s">
        <v>1422</v>
      </c>
      <c r="B981" s="79" t="s">
        <v>1307</v>
      </c>
      <c r="C981" s="80" t="s">
        <v>126</v>
      </c>
      <c r="D981" s="81" t="s">
        <v>79</v>
      </c>
      <c r="E981" s="82">
        <v>9694</v>
      </c>
      <c r="F981" s="82">
        <v>570</v>
      </c>
      <c r="G981" s="82">
        <v>776</v>
      </c>
      <c r="H981" s="84">
        <v>21.1</v>
      </c>
      <c r="I981" s="84">
        <v>11270</v>
      </c>
      <c r="J981" s="84">
        <v>33.299999999999997</v>
      </c>
    </row>
    <row r="982" spans="1:10" ht="16">
      <c r="A982" s="79" t="s">
        <v>1423</v>
      </c>
      <c r="B982" s="79" t="s">
        <v>1307</v>
      </c>
      <c r="C982" s="80" t="s">
        <v>95</v>
      </c>
      <c r="D982" s="81" t="s">
        <v>111</v>
      </c>
      <c r="E982" s="82">
        <v>27031</v>
      </c>
      <c r="F982" s="82">
        <v>2351</v>
      </c>
      <c r="G982" s="82">
        <v>5406</v>
      </c>
      <c r="H982" s="84">
        <v>33.4</v>
      </c>
      <c r="I982" s="84">
        <v>23321</v>
      </c>
      <c r="J982" s="84">
        <v>45</v>
      </c>
    </row>
    <row r="983" spans="1:10" ht="16">
      <c r="A983" s="79" t="s">
        <v>1424</v>
      </c>
      <c r="B983" s="79" t="s">
        <v>1307</v>
      </c>
      <c r="C983" s="80" t="s">
        <v>126</v>
      </c>
      <c r="D983" s="81" t="s">
        <v>75</v>
      </c>
      <c r="E983" s="82">
        <v>44916</v>
      </c>
      <c r="F983" s="82">
        <v>2509</v>
      </c>
      <c r="G983" s="82">
        <v>10780</v>
      </c>
      <c r="H983" s="84">
        <v>78</v>
      </c>
      <c r="I983" s="84">
        <v>65895</v>
      </c>
      <c r="J983" s="84">
        <v>63.2</v>
      </c>
    </row>
    <row r="984" spans="1:10" ht="16">
      <c r="A984" s="79" t="s">
        <v>554</v>
      </c>
      <c r="B984" s="79" t="s">
        <v>549</v>
      </c>
      <c r="C984" s="80" t="s">
        <v>95</v>
      </c>
      <c r="D984" s="81" t="s">
        <v>111</v>
      </c>
      <c r="E984" s="82">
        <v>41170</v>
      </c>
      <c r="F984" s="82">
        <v>4159</v>
      </c>
      <c r="G984" s="82">
        <v>4529</v>
      </c>
      <c r="H984" s="84">
        <v>19.2</v>
      </c>
      <c r="I984" s="84">
        <v>3211</v>
      </c>
      <c r="J984" s="84">
        <v>38.700000000000003</v>
      </c>
    </row>
    <row r="985" spans="1:10" ht="16">
      <c r="A985" s="79" t="s">
        <v>153</v>
      </c>
      <c r="B985" s="79" t="s">
        <v>146</v>
      </c>
      <c r="C985" s="80" t="s">
        <v>95</v>
      </c>
      <c r="D985" s="81" t="s">
        <v>76</v>
      </c>
      <c r="E985" s="82">
        <v>14128</v>
      </c>
      <c r="F985" s="82">
        <v>1121</v>
      </c>
      <c r="G985" s="82">
        <v>5651</v>
      </c>
      <c r="H985" s="84">
        <v>21.8</v>
      </c>
      <c r="I985" s="84">
        <v>13561</v>
      </c>
      <c r="J985" s="84">
        <v>27.6</v>
      </c>
    </row>
    <row r="986" spans="1:10" ht="16">
      <c r="A986" s="79" t="s">
        <v>635</v>
      </c>
      <c r="B986" s="79" t="s">
        <v>617</v>
      </c>
      <c r="C986" s="80" t="s">
        <v>95</v>
      </c>
      <c r="D986" s="81" t="s">
        <v>149</v>
      </c>
      <c r="E986" s="82">
        <v>7646</v>
      </c>
      <c r="F986" s="82">
        <v>346</v>
      </c>
      <c r="G986" s="82">
        <v>459</v>
      </c>
      <c r="H986" s="84">
        <v>19.5</v>
      </c>
      <c r="I986" s="84">
        <v>14106</v>
      </c>
      <c r="J986" s="84">
        <v>18.5</v>
      </c>
    </row>
    <row r="987" spans="1:10" ht="16">
      <c r="A987" s="79" t="s">
        <v>308</v>
      </c>
      <c r="B987" s="79" t="s">
        <v>242</v>
      </c>
      <c r="C987" s="80" t="s">
        <v>95</v>
      </c>
      <c r="D987" s="81" t="s">
        <v>75</v>
      </c>
      <c r="E987" s="82">
        <v>15775</v>
      </c>
      <c r="F987" s="82">
        <v>907</v>
      </c>
      <c r="G987" s="82">
        <v>2840</v>
      </c>
      <c r="H987" s="84">
        <v>16.100000000000001</v>
      </c>
      <c r="I987" s="84">
        <v>5686</v>
      </c>
      <c r="J987" s="84">
        <v>25.3</v>
      </c>
    </row>
    <row r="988" spans="1:10" ht="16">
      <c r="A988" s="79" t="s">
        <v>473</v>
      </c>
      <c r="B988" s="79" t="s">
        <v>467</v>
      </c>
      <c r="C988" s="80" t="s">
        <v>126</v>
      </c>
      <c r="D988" s="81" t="s">
        <v>111</v>
      </c>
      <c r="E988" s="82">
        <v>21902</v>
      </c>
      <c r="F988" s="82">
        <v>494</v>
      </c>
      <c r="G988" s="82">
        <v>657</v>
      </c>
      <c r="H988" s="84">
        <v>14.7</v>
      </c>
      <c r="I988" s="84">
        <v>8884</v>
      </c>
      <c r="J988" s="84">
        <v>16.5</v>
      </c>
    </row>
    <row r="989" spans="1:10" ht="16">
      <c r="A989" s="79" t="s">
        <v>1425</v>
      </c>
      <c r="B989" s="79" t="s">
        <v>1307</v>
      </c>
      <c r="C989" s="80" t="s">
        <v>95</v>
      </c>
      <c r="D989" s="81" t="s">
        <v>78</v>
      </c>
      <c r="E989" s="82">
        <v>28945</v>
      </c>
      <c r="F989" s="82">
        <v>2495</v>
      </c>
      <c r="G989" s="82">
        <v>3473</v>
      </c>
      <c r="H989" s="84">
        <v>29.5</v>
      </c>
      <c r="I989" s="84">
        <v>24347</v>
      </c>
      <c r="J989" s="84">
        <v>43.1</v>
      </c>
    </row>
    <row r="990" spans="1:10" ht="16">
      <c r="A990" s="79" t="s">
        <v>586</v>
      </c>
      <c r="B990" s="79" t="s">
        <v>556</v>
      </c>
      <c r="C990" s="80" t="s">
        <v>95</v>
      </c>
      <c r="D990" s="81" t="s">
        <v>111</v>
      </c>
      <c r="E990" s="82">
        <v>13782</v>
      </c>
      <c r="F990" s="82">
        <v>659</v>
      </c>
      <c r="G990" s="82">
        <v>138</v>
      </c>
      <c r="H990" s="84">
        <v>22.6</v>
      </c>
      <c r="I990" s="84">
        <v>3035</v>
      </c>
      <c r="J990" s="84">
        <v>30.9</v>
      </c>
    </row>
    <row r="991" spans="1:10" ht="16">
      <c r="A991" s="79" t="s">
        <v>1000</v>
      </c>
      <c r="B991" s="79" t="s">
        <v>996</v>
      </c>
      <c r="C991" s="80" t="s">
        <v>95</v>
      </c>
      <c r="D991" s="81" t="s">
        <v>79</v>
      </c>
      <c r="E991" s="82">
        <v>26445</v>
      </c>
      <c r="F991" s="82">
        <v>1106</v>
      </c>
      <c r="G991" s="82">
        <v>3967</v>
      </c>
      <c r="H991" s="84">
        <v>25.8</v>
      </c>
      <c r="I991" s="84">
        <v>10971</v>
      </c>
      <c r="J991" s="84">
        <v>19.7</v>
      </c>
    </row>
    <row r="992" spans="1:10" ht="16">
      <c r="A992" s="79" t="s">
        <v>775</v>
      </c>
      <c r="B992" s="79" t="s">
        <v>772</v>
      </c>
      <c r="C992" s="80" t="s">
        <v>95</v>
      </c>
      <c r="D992" s="81" t="s">
        <v>76</v>
      </c>
      <c r="E992" s="82">
        <v>30495</v>
      </c>
      <c r="F992" s="82">
        <v>1804</v>
      </c>
      <c r="G992" s="82">
        <v>4879</v>
      </c>
      <c r="H992" s="84">
        <v>10.199999999999999</v>
      </c>
      <c r="I992" s="84">
        <v>2984</v>
      </c>
      <c r="J992" s="84">
        <v>25.1</v>
      </c>
    </row>
    <row r="993" spans="1:10" ht="16">
      <c r="A993" s="79" t="s">
        <v>454</v>
      </c>
      <c r="B993" s="79" t="s">
        <v>421</v>
      </c>
      <c r="C993" s="80" t="s">
        <v>126</v>
      </c>
      <c r="D993" s="81" t="s">
        <v>96</v>
      </c>
      <c r="E993" s="82">
        <v>14869</v>
      </c>
      <c r="F993" s="82">
        <v>288</v>
      </c>
      <c r="G993" s="82">
        <v>2676</v>
      </c>
      <c r="H993" s="84">
        <v>24.1</v>
      </c>
      <c r="I993" s="84">
        <v>9961</v>
      </c>
      <c r="J993" s="84">
        <v>33.6</v>
      </c>
    </row>
    <row r="994" spans="1:10" ht="16">
      <c r="A994" s="79" t="s">
        <v>1426</v>
      </c>
      <c r="B994" s="79" t="s">
        <v>1307</v>
      </c>
      <c r="C994" s="80" t="s">
        <v>95</v>
      </c>
      <c r="D994" s="81" t="s">
        <v>99</v>
      </c>
      <c r="E994" s="82">
        <v>24526</v>
      </c>
      <c r="F994" s="82">
        <v>2477</v>
      </c>
      <c r="G994" s="82">
        <v>2207</v>
      </c>
      <c r="H994" s="84">
        <v>22.6</v>
      </c>
      <c r="I994" s="84">
        <v>15473</v>
      </c>
      <c r="J994" s="84">
        <v>36.9</v>
      </c>
    </row>
    <row r="995" spans="1:10" ht="16">
      <c r="A995" s="79" t="s">
        <v>587</v>
      </c>
      <c r="B995" s="79" t="s">
        <v>556</v>
      </c>
      <c r="C995" s="80" t="s">
        <v>95</v>
      </c>
      <c r="D995" s="81" t="s">
        <v>78</v>
      </c>
      <c r="E995" s="82">
        <v>8438</v>
      </c>
      <c r="F995" s="82">
        <v>308</v>
      </c>
      <c r="G995" s="82">
        <v>253</v>
      </c>
      <c r="H995" s="84">
        <v>18.2</v>
      </c>
      <c r="I995" s="84">
        <v>13755</v>
      </c>
      <c r="J995" s="84">
        <v>19.600000000000001</v>
      </c>
    </row>
    <row r="996" spans="1:10" ht="16">
      <c r="A996" s="79" t="s">
        <v>1279</v>
      </c>
      <c r="B996" s="79" t="s">
        <v>1209</v>
      </c>
      <c r="C996" s="80" t="s">
        <v>95</v>
      </c>
      <c r="D996" s="81" t="s">
        <v>103</v>
      </c>
      <c r="E996" s="82">
        <v>17754</v>
      </c>
      <c r="F996" s="82">
        <v>888</v>
      </c>
      <c r="G996" s="82">
        <v>5504</v>
      </c>
      <c r="H996" s="84">
        <v>28.4</v>
      </c>
      <c r="I996" s="84">
        <v>19291</v>
      </c>
      <c r="J996" s="84">
        <v>24.1</v>
      </c>
    </row>
    <row r="997" spans="1:10" ht="16">
      <c r="A997" s="79" t="s">
        <v>1427</v>
      </c>
      <c r="B997" s="79" t="s">
        <v>1307</v>
      </c>
      <c r="C997" s="80" t="s">
        <v>95</v>
      </c>
      <c r="D997" s="81" t="s">
        <v>149</v>
      </c>
      <c r="E997" s="82">
        <v>27078</v>
      </c>
      <c r="F997" s="82">
        <v>2184</v>
      </c>
      <c r="G997" s="82">
        <v>1083</v>
      </c>
      <c r="H997" s="84">
        <v>24.9</v>
      </c>
      <c r="I997" s="84">
        <v>13839</v>
      </c>
      <c r="J997" s="84">
        <v>37</v>
      </c>
    </row>
    <row r="998" spans="1:10" ht="16">
      <c r="A998" s="79" t="s">
        <v>455</v>
      </c>
      <c r="B998" s="79" t="s">
        <v>421</v>
      </c>
      <c r="C998" s="80" t="s">
        <v>95</v>
      </c>
      <c r="D998" s="81" t="s">
        <v>149</v>
      </c>
      <c r="E998" s="82">
        <v>26412</v>
      </c>
      <c r="F998" s="82">
        <v>1190</v>
      </c>
      <c r="G998" s="82">
        <v>2113</v>
      </c>
      <c r="H998" s="84">
        <v>27.5</v>
      </c>
      <c r="I998" s="84">
        <v>23946</v>
      </c>
      <c r="J998" s="84">
        <v>30.6</v>
      </c>
    </row>
    <row r="999" spans="1:10" ht="16">
      <c r="A999" s="79" t="s">
        <v>154</v>
      </c>
      <c r="B999" s="79" t="s">
        <v>146</v>
      </c>
      <c r="C999" s="80" t="s">
        <v>95</v>
      </c>
      <c r="D999" s="81" t="s">
        <v>99</v>
      </c>
      <c r="E999" s="82">
        <v>3639</v>
      </c>
      <c r="F999" s="82">
        <v>337</v>
      </c>
      <c r="G999" s="82">
        <v>801</v>
      </c>
      <c r="H999" s="84">
        <v>16.5</v>
      </c>
      <c r="I999" s="84">
        <v>14327</v>
      </c>
      <c r="J999" s="84">
        <v>25.3</v>
      </c>
    </row>
    <row r="1000" spans="1:10" ht="16">
      <c r="A1000" s="79" t="s">
        <v>456</v>
      </c>
      <c r="B1000" s="79" t="s">
        <v>421</v>
      </c>
      <c r="C1000" s="80" t="s">
        <v>95</v>
      </c>
      <c r="D1000" s="81" t="s">
        <v>103</v>
      </c>
      <c r="E1000" s="82">
        <v>11387</v>
      </c>
      <c r="F1000" s="82">
        <v>203</v>
      </c>
      <c r="G1000" s="82">
        <v>1480</v>
      </c>
      <c r="H1000" s="84">
        <v>44.2</v>
      </c>
      <c r="I1000" s="84">
        <v>29396</v>
      </c>
      <c r="J1000" s="84">
        <v>38.799999999999997</v>
      </c>
    </row>
    <row r="1001" spans="1:10" ht="16">
      <c r="A1001" s="79" t="s">
        <v>588</v>
      </c>
      <c r="B1001" s="79" t="s">
        <v>556</v>
      </c>
      <c r="C1001" s="80" t="s">
        <v>95</v>
      </c>
      <c r="D1001" s="81" t="s">
        <v>101</v>
      </c>
      <c r="E1001" s="82">
        <v>9441</v>
      </c>
      <c r="F1001" s="82">
        <v>327</v>
      </c>
      <c r="G1001" s="82">
        <v>94</v>
      </c>
      <c r="H1001" s="84">
        <v>13.1</v>
      </c>
      <c r="I1001" s="84">
        <v>6127</v>
      </c>
      <c r="J1001" s="84">
        <v>14.5</v>
      </c>
    </row>
    <row r="1002" spans="1:10" ht="16">
      <c r="A1002" s="79" t="s">
        <v>1001</v>
      </c>
      <c r="B1002" s="79" t="s">
        <v>996</v>
      </c>
      <c r="C1002" s="80" t="s">
        <v>95</v>
      </c>
      <c r="D1002" s="81" t="s">
        <v>79</v>
      </c>
      <c r="E1002" s="82">
        <v>36660</v>
      </c>
      <c r="F1002" s="82">
        <v>1255</v>
      </c>
      <c r="G1002" s="82">
        <v>1466</v>
      </c>
      <c r="H1002" s="84">
        <v>28.7</v>
      </c>
      <c r="I1002" s="84">
        <v>20188</v>
      </c>
      <c r="J1002" s="84">
        <v>25.4</v>
      </c>
    </row>
    <row r="1003" spans="1:10" ht="16">
      <c r="A1003" s="79" t="s">
        <v>237</v>
      </c>
      <c r="B1003" s="79" t="s">
        <v>231</v>
      </c>
      <c r="C1003" s="80" t="s">
        <v>126</v>
      </c>
      <c r="D1003" s="81" t="s">
        <v>75</v>
      </c>
      <c r="E1003" s="82">
        <v>10437</v>
      </c>
      <c r="F1003" s="82">
        <v>424</v>
      </c>
      <c r="G1003" s="82">
        <v>104</v>
      </c>
      <c r="H1003" s="84">
        <v>16</v>
      </c>
      <c r="I1003" s="84">
        <v>5451</v>
      </c>
      <c r="J1003" s="84">
        <v>15.1</v>
      </c>
    </row>
    <row r="1004" spans="1:10" ht="16">
      <c r="A1004" s="79" t="s">
        <v>1059</v>
      </c>
      <c r="B1004" s="79" t="s">
        <v>1039</v>
      </c>
      <c r="C1004" s="80" t="s">
        <v>95</v>
      </c>
      <c r="D1004" s="81" t="s">
        <v>101</v>
      </c>
      <c r="E1004" s="82">
        <v>18336</v>
      </c>
      <c r="F1004" s="82">
        <v>1421</v>
      </c>
      <c r="G1004" s="82">
        <v>733</v>
      </c>
      <c r="H1004" s="84">
        <v>11.5</v>
      </c>
      <c r="I1004" s="84">
        <v>7845</v>
      </c>
      <c r="J1004" s="84">
        <v>19.3</v>
      </c>
    </row>
    <row r="1005" spans="1:10" ht="16">
      <c r="A1005" s="79" t="s">
        <v>864</v>
      </c>
      <c r="B1005" s="79" t="s">
        <v>862</v>
      </c>
      <c r="C1005" s="80" t="s">
        <v>126</v>
      </c>
      <c r="D1005" s="81" t="s">
        <v>101</v>
      </c>
      <c r="E1005" s="82">
        <v>34056</v>
      </c>
      <c r="F1005" s="82">
        <v>1678</v>
      </c>
      <c r="G1005" s="82">
        <v>2370</v>
      </c>
      <c r="H1005" s="84">
        <v>9</v>
      </c>
      <c r="I1005" s="84">
        <v>5309</v>
      </c>
      <c r="J1005" s="84">
        <v>15.5</v>
      </c>
    </row>
    <row r="1006" spans="1:10" ht="16">
      <c r="A1006" s="79" t="s">
        <v>1060</v>
      </c>
      <c r="B1006" s="79" t="s">
        <v>1039</v>
      </c>
      <c r="C1006" s="80" t="s">
        <v>95</v>
      </c>
      <c r="D1006" s="81" t="s">
        <v>77</v>
      </c>
      <c r="E1006" s="82">
        <v>18714</v>
      </c>
      <c r="F1006" s="82">
        <v>1094</v>
      </c>
      <c r="G1006" s="82">
        <v>1310</v>
      </c>
      <c r="H1006" s="84">
        <v>11.9</v>
      </c>
      <c r="I1006" s="84">
        <v>5304</v>
      </c>
      <c r="J1006" s="84">
        <v>17.8</v>
      </c>
    </row>
    <row r="1007" spans="1:10" ht="16">
      <c r="A1007" s="79" t="s">
        <v>787</v>
      </c>
      <c r="B1007" s="79" t="s">
        <v>785</v>
      </c>
      <c r="C1007" s="80" t="s">
        <v>95</v>
      </c>
      <c r="D1007" s="81" t="s">
        <v>99</v>
      </c>
      <c r="E1007" s="82">
        <v>12367</v>
      </c>
      <c r="F1007" s="82">
        <v>374</v>
      </c>
      <c r="G1007" s="82">
        <v>742</v>
      </c>
      <c r="H1007" s="84">
        <v>19.3</v>
      </c>
      <c r="I1007" s="84">
        <v>4733</v>
      </c>
      <c r="J1007" s="84">
        <v>17</v>
      </c>
    </row>
    <row r="1008" spans="1:10" ht="16">
      <c r="A1008" s="79" t="s">
        <v>1096</v>
      </c>
      <c r="B1008" s="79" t="s">
        <v>1091</v>
      </c>
      <c r="C1008" s="80" t="s">
        <v>95</v>
      </c>
      <c r="D1008" s="81" t="s">
        <v>78</v>
      </c>
      <c r="E1008" s="82">
        <v>12197</v>
      </c>
      <c r="F1008" s="82">
        <v>1271</v>
      </c>
      <c r="G1008" s="82">
        <v>2927</v>
      </c>
      <c r="H1008" s="84">
        <v>44.2</v>
      </c>
      <c r="I1008" s="84">
        <v>32471</v>
      </c>
      <c r="J1008" s="84">
        <v>33.1</v>
      </c>
    </row>
    <row r="1009" spans="1:10" ht="16">
      <c r="A1009" s="79" t="s">
        <v>1280</v>
      </c>
      <c r="B1009" s="79" t="s">
        <v>1209</v>
      </c>
      <c r="C1009" s="80" t="s">
        <v>95</v>
      </c>
      <c r="D1009" s="81" t="s">
        <v>96</v>
      </c>
      <c r="E1009" s="82">
        <v>30236</v>
      </c>
      <c r="F1009" s="82">
        <v>2129</v>
      </c>
      <c r="G1009" s="82">
        <v>8768</v>
      </c>
      <c r="H1009" s="84">
        <v>45.9</v>
      </c>
      <c r="I1009" s="84">
        <v>35873</v>
      </c>
      <c r="J1009" s="84">
        <v>41.1</v>
      </c>
    </row>
    <row r="1010" spans="1:10" ht="16">
      <c r="A1010" s="79" t="s">
        <v>1281</v>
      </c>
      <c r="B1010" s="79" t="s">
        <v>1209</v>
      </c>
      <c r="C1010" s="80" t="s">
        <v>95</v>
      </c>
      <c r="D1010" s="81" t="s">
        <v>77</v>
      </c>
      <c r="E1010" s="82">
        <v>14645</v>
      </c>
      <c r="F1010" s="82">
        <v>1024</v>
      </c>
      <c r="G1010" s="82">
        <v>4686</v>
      </c>
      <c r="H1010" s="84">
        <v>34.799999999999997</v>
      </c>
      <c r="I1010" s="84">
        <v>33481</v>
      </c>
      <c r="J1010" s="84">
        <v>30.1</v>
      </c>
    </row>
    <row r="1011" spans="1:10" ht="16">
      <c r="A1011" s="79" t="s">
        <v>155</v>
      </c>
      <c r="B1011" s="79" t="s">
        <v>146</v>
      </c>
      <c r="C1011" s="80" t="s">
        <v>126</v>
      </c>
      <c r="D1011" s="81" t="s">
        <v>78</v>
      </c>
      <c r="E1011" s="82">
        <v>3074</v>
      </c>
      <c r="F1011" s="82">
        <v>521</v>
      </c>
      <c r="G1011" s="82">
        <v>461</v>
      </c>
      <c r="H1011" s="84">
        <v>11.2</v>
      </c>
      <c r="I1011" s="84">
        <v>4010</v>
      </c>
      <c r="J1011" s="84">
        <v>28.1</v>
      </c>
    </row>
    <row r="1012" spans="1:10" ht="16">
      <c r="A1012" s="79" t="s">
        <v>217</v>
      </c>
      <c r="B1012" s="79" t="s">
        <v>203</v>
      </c>
      <c r="C1012" s="80" t="s">
        <v>95</v>
      </c>
      <c r="D1012" s="81" t="s">
        <v>103</v>
      </c>
      <c r="E1012" s="82">
        <v>6996</v>
      </c>
      <c r="F1012" s="82">
        <v>542</v>
      </c>
      <c r="G1012" s="82">
        <v>840</v>
      </c>
      <c r="H1012" s="84">
        <v>12.4</v>
      </c>
      <c r="I1012" s="84">
        <v>2779</v>
      </c>
      <c r="J1012" s="84">
        <v>16.7</v>
      </c>
    </row>
    <row r="1013" spans="1:10" ht="16">
      <c r="A1013" s="79" t="s">
        <v>411</v>
      </c>
      <c r="B1013" s="79" t="s">
        <v>396</v>
      </c>
      <c r="C1013" s="80" t="s">
        <v>95</v>
      </c>
      <c r="D1013" s="81" t="s">
        <v>96</v>
      </c>
      <c r="E1013" s="82">
        <v>69287</v>
      </c>
      <c r="F1013" s="82">
        <v>2389</v>
      </c>
      <c r="G1013" s="82">
        <v>9007</v>
      </c>
      <c r="H1013" s="84">
        <v>17.3</v>
      </c>
      <c r="I1013" s="84">
        <v>9211</v>
      </c>
      <c r="J1013" s="84">
        <v>20.3</v>
      </c>
    </row>
    <row r="1014" spans="1:10" ht="16">
      <c r="A1014" s="79" t="s">
        <v>608</v>
      </c>
      <c r="B1014" s="79" t="s">
        <v>600</v>
      </c>
      <c r="C1014" s="80" t="s">
        <v>126</v>
      </c>
      <c r="D1014" s="81" t="s">
        <v>103</v>
      </c>
      <c r="E1014" s="82">
        <v>14221</v>
      </c>
      <c r="F1014" s="82">
        <v>655</v>
      </c>
      <c r="G1014" s="82">
        <v>2418</v>
      </c>
      <c r="H1014" s="84">
        <v>23.5</v>
      </c>
      <c r="I1014" s="84">
        <v>12862</v>
      </c>
      <c r="J1014" s="84">
        <v>20.100000000000001</v>
      </c>
    </row>
    <row r="1015" spans="1:10" ht="16">
      <c r="A1015" s="79" t="s">
        <v>1282</v>
      </c>
      <c r="B1015" s="79" t="s">
        <v>1209</v>
      </c>
      <c r="C1015" s="80" t="s">
        <v>95</v>
      </c>
      <c r="D1015" s="81" t="s">
        <v>96</v>
      </c>
      <c r="E1015" s="82">
        <v>12060</v>
      </c>
      <c r="F1015" s="82">
        <v>799</v>
      </c>
      <c r="G1015" s="82">
        <v>1568</v>
      </c>
      <c r="H1015" s="84">
        <v>14.1</v>
      </c>
      <c r="I1015" s="84">
        <v>9104</v>
      </c>
      <c r="J1015" s="84">
        <v>16.5</v>
      </c>
    </row>
    <row r="1016" spans="1:10" ht="16">
      <c r="A1016" s="79" t="s">
        <v>920</v>
      </c>
      <c r="B1016" s="79" t="s">
        <v>912</v>
      </c>
      <c r="C1016" s="80" t="s">
        <v>95</v>
      </c>
      <c r="D1016" s="81" t="s">
        <v>111</v>
      </c>
      <c r="E1016" s="82">
        <v>47886</v>
      </c>
      <c r="F1016" s="82">
        <v>2705</v>
      </c>
      <c r="G1016" s="82">
        <v>5746</v>
      </c>
      <c r="H1016" s="84">
        <v>29.8</v>
      </c>
      <c r="I1016" s="84">
        <v>15713</v>
      </c>
      <c r="J1016" s="84">
        <v>25.2</v>
      </c>
    </row>
    <row r="1017" spans="1:10" ht="16">
      <c r="A1017" s="79" t="s">
        <v>1283</v>
      </c>
      <c r="B1017" s="79" t="s">
        <v>1209</v>
      </c>
      <c r="C1017" s="80" t="s">
        <v>95</v>
      </c>
      <c r="D1017" s="81" t="s">
        <v>103</v>
      </c>
      <c r="E1017" s="82">
        <v>23057</v>
      </c>
      <c r="F1017" s="82">
        <v>1671</v>
      </c>
      <c r="G1017" s="82">
        <v>7609</v>
      </c>
      <c r="H1017" s="84">
        <v>37.5</v>
      </c>
      <c r="I1017" s="84">
        <v>33329</v>
      </c>
      <c r="J1017" s="84">
        <v>35.200000000000003</v>
      </c>
    </row>
    <row r="1018" spans="1:10" ht="16">
      <c r="A1018" s="79" t="s">
        <v>992</v>
      </c>
      <c r="B1018" s="79" t="s">
        <v>993</v>
      </c>
      <c r="C1018" s="80" t="s">
        <v>95</v>
      </c>
      <c r="D1018" s="81" t="s">
        <v>103</v>
      </c>
      <c r="E1018" s="82">
        <v>40110</v>
      </c>
      <c r="F1018" s="82">
        <v>2729</v>
      </c>
      <c r="G1018" s="82">
        <v>2407</v>
      </c>
      <c r="H1018" s="84">
        <v>18.7</v>
      </c>
      <c r="I1018" s="84">
        <v>8412</v>
      </c>
      <c r="J1018" s="84">
        <v>21.1</v>
      </c>
    </row>
    <row r="1019" spans="1:10" ht="16">
      <c r="A1019" s="79" t="s">
        <v>1061</v>
      </c>
      <c r="B1019" s="79" t="s">
        <v>1039</v>
      </c>
      <c r="C1019" s="80" t="s">
        <v>95</v>
      </c>
      <c r="D1019" s="81" t="s">
        <v>96</v>
      </c>
      <c r="E1019" s="82">
        <v>8595</v>
      </c>
      <c r="F1019" s="82">
        <v>585</v>
      </c>
      <c r="G1019" s="82">
        <v>688</v>
      </c>
      <c r="H1019" s="84">
        <v>15.2</v>
      </c>
      <c r="I1019" s="84">
        <v>7461</v>
      </c>
      <c r="J1019" s="84">
        <v>23.6</v>
      </c>
    </row>
    <row r="1020" spans="1:10" ht="16">
      <c r="A1020" s="79" t="s">
        <v>412</v>
      </c>
      <c r="B1020" s="79" t="s">
        <v>396</v>
      </c>
      <c r="C1020" s="80" t="s">
        <v>95</v>
      </c>
      <c r="D1020" s="81" t="s">
        <v>99</v>
      </c>
      <c r="E1020" s="82">
        <v>58678</v>
      </c>
      <c r="F1020" s="82">
        <v>3056</v>
      </c>
      <c r="G1020" s="82">
        <v>9388</v>
      </c>
      <c r="H1020" s="84">
        <v>13.5</v>
      </c>
      <c r="I1020" s="84">
        <v>8312</v>
      </c>
      <c r="J1020" s="84">
        <v>21.8</v>
      </c>
    </row>
    <row r="1021" spans="1:10" ht="16">
      <c r="A1021" s="79" t="s">
        <v>795</v>
      </c>
      <c r="B1021" s="79" t="s">
        <v>796</v>
      </c>
      <c r="C1021" s="80" t="s">
        <v>95</v>
      </c>
      <c r="D1021" s="81" t="s">
        <v>79</v>
      </c>
      <c r="E1021" s="82">
        <v>4654</v>
      </c>
      <c r="F1021" s="82">
        <v>249</v>
      </c>
      <c r="G1021" s="82">
        <v>2280</v>
      </c>
      <c r="H1021" s="84">
        <v>36.5</v>
      </c>
      <c r="I1021" s="84">
        <v>27738</v>
      </c>
      <c r="J1021" s="84">
        <v>37.9</v>
      </c>
    </row>
    <row r="1022" spans="1:10" ht="16">
      <c r="A1022" s="79" t="s">
        <v>799</v>
      </c>
      <c r="B1022" s="79" t="s">
        <v>798</v>
      </c>
      <c r="C1022" s="80" t="s">
        <v>95</v>
      </c>
      <c r="D1022" s="81" t="s">
        <v>76</v>
      </c>
      <c r="E1022" s="82">
        <v>9340</v>
      </c>
      <c r="F1022" s="82">
        <v>649</v>
      </c>
      <c r="G1022" s="82">
        <v>3456</v>
      </c>
      <c r="H1022" s="84">
        <v>32.6</v>
      </c>
      <c r="I1022" s="84">
        <v>20233</v>
      </c>
      <c r="J1022" s="84">
        <v>32.299999999999997</v>
      </c>
    </row>
    <row r="1023" spans="1:10" ht="16">
      <c r="A1023" s="79" t="s">
        <v>1062</v>
      </c>
      <c r="B1023" s="79" t="s">
        <v>1039</v>
      </c>
      <c r="C1023" s="80" t="s">
        <v>95</v>
      </c>
      <c r="D1023" s="81" t="s">
        <v>103</v>
      </c>
      <c r="E1023" s="82">
        <v>35654</v>
      </c>
      <c r="F1023" s="82">
        <v>2764</v>
      </c>
      <c r="G1023" s="82">
        <v>3209</v>
      </c>
      <c r="H1023" s="84">
        <v>11.5</v>
      </c>
      <c r="I1023" s="84">
        <v>3813</v>
      </c>
      <c r="J1023" s="84">
        <v>20.100000000000001</v>
      </c>
    </row>
    <row r="1024" spans="1:10" ht="16">
      <c r="A1024" s="79" t="s">
        <v>813</v>
      </c>
      <c r="B1024" s="79" t="s">
        <v>801</v>
      </c>
      <c r="C1024" s="80" t="s">
        <v>95</v>
      </c>
      <c r="D1024" s="81" t="s">
        <v>79</v>
      </c>
      <c r="E1024" s="82">
        <v>15140</v>
      </c>
      <c r="F1024" s="82">
        <v>1893</v>
      </c>
      <c r="G1024" s="82">
        <v>3028</v>
      </c>
      <c r="H1024" s="84">
        <v>30.5</v>
      </c>
      <c r="I1024" s="84">
        <v>17285</v>
      </c>
      <c r="J1024" s="84">
        <v>41.6</v>
      </c>
    </row>
    <row r="1025" spans="1:10" ht="16">
      <c r="A1025" s="79" t="s">
        <v>814</v>
      </c>
      <c r="B1025" s="79" t="s">
        <v>815</v>
      </c>
      <c r="C1025" s="80" t="s">
        <v>95</v>
      </c>
      <c r="D1025" s="81" t="s">
        <v>99</v>
      </c>
      <c r="E1025" s="82">
        <v>11772</v>
      </c>
      <c r="F1025" s="82">
        <v>906</v>
      </c>
      <c r="G1025" s="82">
        <v>1059</v>
      </c>
      <c r="H1025" s="84">
        <v>13.7</v>
      </c>
      <c r="I1025" s="84">
        <v>6609</v>
      </c>
      <c r="J1025" s="84">
        <v>16.899999999999999</v>
      </c>
    </row>
    <row r="1026" spans="1:10" ht="16">
      <c r="A1026" s="79" t="s">
        <v>1284</v>
      </c>
      <c r="B1026" s="79" t="s">
        <v>1209</v>
      </c>
      <c r="C1026" s="80" t="s">
        <v>95</v>
      </c>
      <c r="D1026" s="81" t="s">
        <v>99</v>
      </c>
      <c r="E1026" s="82">
        <v>37038</v>
      </c>
      <c r="F1026" s="82">
        <v>2572</v>
      </c>
      <c r="G1026" s="82">
        <v>14815</v>
      </c>
      <c r="H1026" s="84">
        <v>63.8</v>
      </c>
      <c r="I1026" s="84">
        <v>54431</v>
      </c>
      <c r="J1026" s="84">
        <v>56.9</v>
      </c>
    </row>
    <row r="1027" spans="1:10" ht="16">
      <c r="A1027" s="79" t="s">
        <v>218</v>
      </c>
      <c r="B1027" s="79" t="s">
        <v>203</v>
      </c>
      <c r="C1027" s="80" t="s">
        <v>95</v>
      </c>
      <c r="D1027" s="81" t="s">
        <v>75</v>
      </c>
      <c r="E1027" s="82">
        <v>29311</v>
      </c>
      <c r="F1027" s="82">
        <v>997</v>
      </c>
      <c r="G1027" s="82">
        <v>4983</v>
      </c>
      <c r="H1027" s="84">
        <v>30.8</v>
      </c>
      <c r="I1027" s="84">
        <v>21561</v>
      </c>
      <c r="J1027" s="84">
        <v>28</v>
      </c>
    </row>
    <row r="1028" spans="1:10" ht="16">
      <c r="A1028" s="79" t="s">
        <v>457</v>
      </c>
      <c r="B1028" s="79" t="s">
        <v>421</v>
      </c>
      <c r="C1028" s="80" t="s">
        <v>95</v>
      </c>
      <c r="D1028" s="81" t="s">
        <v>101</v>
      </c>
      <c r="E1028" s="82">
        <v>10730</v>
      </c>
      <c r="F1028" s="82">
        <v>134</v>
      </c>
      <c r="G1028" s="82">
        <v>1931</v>
      </c>
      <c r="H1028" s="84">
        <v>50</v>
      </c>
      <c r="I1028" s="84">
        <v>39155</v>
      </c>
      <c r="J1028" s="84">
        <v>41.9</v>
      </c>
    </row>
    <row r="1029" spans="1:10" ht="16">
      <c r="A1029" s="79" t="s">
        <v>1155</v>
      </c>
      <c r="B1029" s="79" t="s">
        <v>1154</v>
      </c>
      <c r="C1029" s="80" t="s">
        <v>95</v>
      </c>
      <c r="D1029" s="81" t="s">
        <v>96</v>
      </c>
      <c r="E1029" s="82">
        <v>18361</v>
      </c>
      <c r="F1029" s="82">
        <v>1360</v>
      </c>
      <c r="G1029" s="82">
        <v>184</v>
      </c>
      <c r="H1029" s="84">
        <v>7.7</v>
      </c>
      <c r="I1029" s="84">
        <v>1904</v>
      </c>
      <c r="J1029" s="84">
        <v>19.399999999999999</v>
      </c>
    </row>
    <row r="1030" spans="1:10" ht="16">
      <c r="A1030" s="79" t="s">
        <v>458</v>
      </c>
      <c r="B1030" s="79" t="s">
        <v>421</v>
      </c>
      <c r="C1030" s="80" t="s">
        <v>95</v>
      </c>
      <c r="D1030" s="81" t="s">
        <v>101</v>
      </c>
      <c r="E1030" s="82">
        <v>25541</v>
      </c>
      <c r="F1030" s="82">
        <v>736</v>
      </c>
      <c r="G1030" s="82">
        <v>3065</v>
      </c>
      <c r="H1030" s="84">
        <v>29.1</v>
      </c>
      <c r="I1030" s="84">
        <v>21363</v>
      </c>
      <c r="J1030" s="84">
        <v>33.799999999999997</v>
      </c>
    </row>
    <row r="1031" spans="1:10" ht="16">
      <c r="A1031" s="79" t="s">
        <v>994</v>
      </c>
      <c r="B1031" s="79" t="s">
        <v>993</v>
      </c>
      <c r="C1031" s="80" t="s">
        <v>95</v>
      </c>
      <c r="D1031" s="81" t="s">
        <v>76</v>
      </c>
      <c r="E1031" s="82">
        <v>12124</v>
      </c>
      <c r="F1031" s="82">
        <v>891</v>
      </c>
      <c r="G1031" s="82">
        <v>606</v>
      </c>
      <c r="H1031" s="84">
        <v>15.8</v>
      </c>
      <c r="I1031" s="84">
        <v>4908</v>
      </c>
      <c r="J1031" s="84">
        <v>17</v>
      </c>
    </row>
    <row r="1032" spans="1:10" ht="16">
      <c r="A1032" s="79" t="s">
        <v>835</v>
      </c>
      <c r="B1032" s="79" t="s">
        <v>833</v>
      </c>
      <c r="C1032" s="80" t="s">
        <v>95</v>
      </c>
      <c r="D1032" s="81" t="s">
        <v>101</v>
      </c>
      <c r="E1032" s="82">
        <v>102000</v>
      </c>
      <c r="F1032" s="82">
        <v>1553</v>
      </c>
      <c r="G1032" s="82">
        <v>1020</v>
      </c>
      <c r="H1032" s="84">
        <v>8.5</v>
      </c>
      <c r="I1032" s="84">
        <v>1952</v>
      </c>
      <c r="J1032" s="84">
        <v>18</v>
      </c>
    </row>
    <row r="1033" spans="1:10" ht="16">
      <c r="A1033" s="79" t="s">
        <v>1428</v>
      </c>
      <c r="B1033" s="79" t="s">
        <v>1307</v>
      </c>
      <c r="C1033" s="80" t="s">
        <v>126</v>
      </c>
      <c r="D1033" s="81" t="s">
        <v>96</v>
      </c>
      <c r="E1033" s="82">
        <v>11667</v>
      </c>
      <c r="F1033" s="82">
        <v>645</v>
      </c>
      <c r="G1033" s="82">
        <v>933</v>
      </c>
      <c r="H1033" s="84">
        <v>17.399999999999999</v>
      </c>
      <c r="I1033" s="84">
        <v>10107</v>
      </c>
      <c r="J1033" s="84">
        <v>22.9</v>
      </c>
    </row>
    <row r="1034" spans="1:10" ht="16">
      <c r="A1034" s="79" t="s">
        <v>1429</v>
      </c>
      <c r="B1034" s="79" t="s">
        <v>1307</v>
      </c>
      <c r="C1034" s="80" t="s">
        <v>126</v>
      </c>
      <c r="D1034" s="81" t="s">
        <v>99</v>
      </c>
      <c r="E1034" s="82">
        <v>33108</v>
      </c>
      <c r="F1034" s="82">
        <v>1994</v>
      </c>
      <c r="G1034" s="82">
        <v>3642</v>
      </c>
      <c r="H1034" s="84">
        <v>59.1</v>
      </c>
      <c r="I1034" s="84">
        <v>53015</v>
      </c>
      <c r="J1034" s="84">
        <v>46.9</v>
      </c>
    </row>
    <row r="1035" spans="1:10" ht="16">
      <c r="A1035" s="79" t="s">
        <v>1430</v>
      </c>
      <c r="B1035" s="79" t="s">
        <v>1307</v>
      </c>
      <c r="C1035" s="80" t="s">
        <v>126</v>
      </c>
      <c r="D1035" s="81" t="s">
        <v>149</v>
      </c>
      <c r="E1035" s="82">
        <v>61204</v>
      </c>
      <c r="F1035" s="82">
        <v>4708</v>
      </c>
      <c r="G1035" s="82">
        <v>9181</v>
      </c>
      <c r="H1035" s="84">
        <v>31.1</v>
      </c>
      <c r="I1035" s="84">
        <v>27105</v>
      </c>
      <c r="J1035" s="84">
        <v>38.5</v>
      </c>
    </row>
    <row r="1036" spans="1:10" ht="16">
      <c r="A1036" s="79" t="s">
        <v>589</v>
      </c>
      <c r="B1036" s="79" t="s">
        <v>556</v>
      </c>
      <c r="C1036" s="80" t="s">
        <v>95</v>
      </c>
      <c r="D1036" s="81" t="s">
        <v>103</v>
      </c>
      <c r="E1036" s="82">
        <v>12942</v>
      </c>
      <c r="F1036" s="82">
        <v>384</v>
      </c>
      <c r="G1036" s="82">
        <v>259</v>
      </c>
      <c r="H1036" s="84">
        <v>11.6</v>
      </c>
      <c r="I1036" s="84">
        <v>3841</v>
      </c>
      <c r="J1036" s="84">
        <v>28.2</v>
      </c>
    </row>
    <row r="1037" spans="1:10" ht="16">
      <c r="A1037" s="79" t="s">
        <v>131</v>
      </c>
      <c r="B1037" s="79" t="s">
        <v>108</v>
      </c>
      <c r="C1037" s="80" t="s">
        <v>95</v>
      </c>
      <c r="D1037" s="81" t="s">
        <v>96</v>
      </c>
      <c r="E1037" s="82">
        <v>47385</v>
      </c>
      <c r="F1037" s="82">
        <v>1802</v>
      </c>
      <c r="G1037" s="82">
        <v>21797</v>
      </c>
      <c r="H1037" s="84">
        <v>74.099999999999994</v>
      </c>
      <c r="I1037" s="84">
        <v>66560</v>
      </c>
      <c r="J1037" s="84">
        <v>65.900000000000006</v>
      </c>
    </row>
    <row r="1038" spans="1:10" ht="16">
      <c r="A1038" s="79" t="s">
        <v>1431</v>
      </c>
      <c r="B1038" s="79" t="s">
        <v>1307</v>
      </c>
      <c r="C1038" s="80" t="s">
        <v>95</v>
      </c>
      <c r="D1038" s="81" t="s">
        <v>103</v>
      </c>
      <c r="E1038" s="82">
        <v>15971</v>
      </c>
      <c r="F1038" s="82">
        <v>2535</v>
      </c>
      <c r="G1038" s="82">
        <v>2555</v>
      </c>
      <c r="H1038" s="84">
        <v>25.2</v>
      </c>
      <c r="I1038" s="84">
        <v>20995</v>
      </c>
      <c r="J1038" s="84">
        <v>44</v>
      </c>
    </row>
    <row r="1039" spans="1:10" ht="16">
      <c r="A1039" s="79" t="s">
        <v>1432</v>
      </c>
      <c r="B1039" s="79" t="s">
        <v>1307</v>
      </c>
      <c r="C1039" s="80" t="s">
        <v>126</v>
      </c>
      <c r="D1039" s="81" t="s">
        <v>75</v>
      </c>
      <c r="E1039" s="82">
        <v>42982</v>
      </c>
      <c r="F1039" s="82">
        <v>5179</v>
      </c>
      <c r="G1039" s="82">
        <v>7307</v>
      </c>
      <c r="H1039" s="84">
        <v>86.1</v>
      </c>
      <c r="I1039" s="84">
        <v>81794</v>
      </c>
      <c r="J1039" s="84">
        <v>79.400000000000006</v>
      </c>
    </row>
    <row r="1040" spans="1:10" ht="16">
      <c r="A1040" s="79" t="s">
        <v>636</v>
      </c>
      <c r="B1040" s="79" t="s">
        <v>617</v>
      </c>
      <c r="C1040" s="80" t="s">
        <v>95</v>
      </c>
      <c r="D1040" s="81" t="s">
        <v>103</v>
      </c>
      <c r="E1040" s="82">
        <v>45451</v>
      </c>
      <c r="F1040" s="82">
        <v>2124</v>
      </c>
      <c r="G1040" s="82">
        <v>2727</v>
      </c>
      <c r="H1040" s="84">
        <v>28.9</v>
      </c>
      <c r="I1040" s="84">
        <v>20918</v>
      </c>
      <c r="J1040" s="84">
        <v>35.9</v>
      </c>
    </row>
    <row r="1041" spans="1:10" ht="16">
      <c r="A1041" s="79" t="s">
        <v>637</v>
      </c>
      <c r="B1041" s="79" t="s">
        <v>617</v>
      </c>
      <c r="C1041" s="80" t="s">
        <v>95</v>
      </c>
      <c r="D1041" s="81" t="s">
        <v>79</v>
      </c>
      <c r="E1041" s="82">
        <v>26509</v>
      </c>
      <c r="F1041" s="82">
        <v>917</v>
      </c>
      <c r="G1041" s="82">
        <v>1591</v>
      </c>
      <c r="H1041" s="84">
        <v>20.2</v>
      </c>
      <c r="I1041" s="84">
        <v>16355</v>
      </c>
      <c r="J1041" s="84">
        <v>23.7</v>
      </c>
    </row>
    <row r="1042" spans="1:10" ht="16">
      <c r="A1042" s="79" t="s">
        <v>921</v>
      </c>
      <c r="B1042" s="79" t="s">
        <v>912</v>
      </c>
      <c r="C1042" s="80" t="s">
        <v>95</v>
      </c>
      <c r="D1042" s="81" t="s">
        <v>75</v>
      </c>
      <c r="E1042" s="82">
        <v>18066</v>
      </c>
      <c r="F1042" s="82">
        <v>1009</v>
      </c>
      <c r="G1042" s="82">
        <v>1807</v>
      </c>
      <c r="H1042" s="84">
        <v>19.399999999999999</v>
      </c>
      <c r="I1042" s="84">
        <v>6716</v>
      </c>
      <c r="J1042" s="84">
        <v>22.5</v>
      </c>
    </row>
    <row r="1043" spans="1:10" ht="16">
      <c r="A1043" s="79" t="s">
        <v>1433</v>
      </c>
      <c r="B1043" s="79" t="s">
        <v>1307</v>
      </c>
      <c r="C1043" s="80" t="s">
        <v>95</v>
      </c>
      <c r="D1043" s="81" t="s">
        <v>149</v>
      </c>
      <c r="E1043" s="82">
        <v>61120</v>
      </c>
      <c r="F1043" s="82">
        <v>4929</v>
      </c>
      <c r="G1043" s="82">
        <v>6723</v>
      </c>
      <c r="H1043" s="84">
        <v>59.3</v>
      </c>
      <c r="I1043" s="84">
        <v>49076</v>
      </c>
      <c r="J1043" s="84">
        <v>55.2</v>
      </c>
    </row>
    <row r="1044" spans="1:10" ht="16">
      <c r="A1044" s="79" t="s">
        <v>1434</v>
      </c>
      <c r="B1044" s="79" t="s">
        <v>1307</v>
      </c>
      <c r="C1044" s="80" t="s">
        <v>95</v>
      </c>
      <c r="D1044" s="81" t="s">
        <v>77</v>
      </c>
      <c r="E1044" s="82">
        <v>28513</v>
      </c>
      <c r="F1044" s="82">
        <v>2144</v>
      </c>
      <c r="G1044" s="82">
        <v>1711</v>
      </c>
      <c r="H1044" s="84">
        <v>24.2</v>
      </c>
      <c r="I1044" s="84">
        <v>15951</v>
      </c>
      <c r="J1044" s="84">
        <v>34.9</v>
      </c>
    </row>
    <row r="1045" spans="1:10" ht="16">
      <c r="A1045" s="79" t="s">
        <v>1435</v>
      </c>
      <c r="B1045" s="79" t="s">
        <v>1307</v>
      </c>
      <c r="C1045" s="80" t="s">
        <v>95</v>
      </c>
      <c r="D1045" s="81" t="s">
        <v>101</v>
      </c>
      <c r="E1045" s="82">
        <v>7019</v>
      </c>
      <c r="F1045" s="82">
        <v>439</v>
      </c>
      <c r="G1045" s="82">
        <v>421</v>
      </c>
      <c r="H1045" s="84">
        <v>24.7</v>
      </c>
      <c r="I1045" s="84">
        <v>17410</v>
      </c>
      <c r="J1045" s="84">
        <v>30</v>
      </c>
    </row>
    <row r="1046" spans="1:10" ht="16">
      <c r="A1046" s="79" t="s">
        <v>758</v>
      </c>
      <c r="B1046" s="79" t="s">
        <v>661</v>
      </c>
      <c r="C1046" s="80" t="s">
        <v>126</v>
      </c>
      <c r="D1046" s="81" t="s">
        <v>99</v>
      </c>
      <c r="E1046" s="82">
        <v>5488</v>
      </c>
      <c r="F1046" s="82">
        <v>695</v>
      </c>
      <c r="G1046" s="82">
        <v>165</v>
      </c>
      <c r="H1046" s="84">
        <v>9.9</v>
      </c>
      <c r="I1046" s="84">
        <v>2106</v>
      </c>
      <c r="J1046" s="84">
        <v>20.5</v>
      </c>
    </row>
    <row r="1047" spans="1:10" ht="16">
      <c r="A1047" s="79" t="s">
        <v>638</v>
      </c>
      <c r="B1047" s="79" t="s">
        <v>617</v>
      </c>
      <c r="C1047" s="80" t="s">
        <v>95</v>
      </c>
      <c r="D1047" s="81" t="s">
        <v>78</v>
      </c>
      <c r="E1047" s="82">
        <v>17432</v>
      </c>
      <c r="F1047" s="82">
        <v>703</v>
      </c>
      <c r="G1047" s="82">
        <v>1046</v>
      </c>
      <c r="H1047" s="84">
        <v>19.7</v>
      </c>
      <c r="I1047" s="84">
        <v>13692</v>
      </c>
      <c r="J1047" s="84">
        <v>32.1</v>
      </c>
    </row>
    <row r="1048" spans="1:10" ht="16">
      <c r="A1048" s="79" t="s">
        <v>1156</v>
      </c>
      <c r="B1048" s="79" t="s">
        <v>1154</v>
      </c>
      <c r="C1048" s="80" t="s">
        <v>95</v>
      </c>
      <c r="D1048" s="81" t="s">
        <v>99</v>
      </c>
      <c r="E1048" s="82">
        <v>19973</v>
      </c>
      <c r="F1048" s="82">
        <v>2059</v>
      </c>
      <c r="G1048" s="82">
        <v>200</v>
      </c>
      <c r="H1048" s="84">
        <v>8.9</v>
      </c>
      <c r="I1048" s="84">
        <v>1121</v>
      </c>
      <c r="J1048" s="84">
        <v>20.5</v>
      </c>
    </row>
    <row r="1049" spans="1:10" ht="16">
      <c r="A1049" s="79" t="s">
        <v>830</v>
      </c>
      <c r="B1049" s="79" t="s">
        <v>831</v>
      </c>
      <c r="C1049" s="80" t="s">
        <v>95</v>
      </c>
      <c r="D1049" s="81" t="s">
        <v>149</v>
      </c>
      <c r="E1049" s="82">
        <v>19171</v>
      </c>
      <c r="F1049" s="82">
        <v>702</v>
      </c>
      <c r="G1049" s="82">
        <v>383</v>
      </c>
      <c r="H1049" s="84">
        <v>9.6999999999999993</v>
      </c>
      <c r="I1049" s="84">
        <v>1476</v>
      </c>
      <c r="J1049" s="84">
        <v>12.6</v>
      </c>
    </row>
    <row r="1050" spans="1:10" ht="16">
      <c r="A1050" s="79" t="s">
        <v>219</v>
      </c>
      <c r="B1050" s="79" t="s">
        <v>203</v>
      </c>
      <c r="C1050" s="80" t="s">
        <v>126</v>
      </c>
      <c r="D1050" s="81" t="s">
        <v>111</v>
      </c>
      <c r="E1050" s="82">
        <v>36794</v>
      </c>
      <c r="F1050" s="82">
        <v>1821</v>
      </c>
      <c r="G1050" s="82">
        <v>8095</v>
      </c>
      <c r="H1050" s="84">
        <v>49.7</v>
      </c>
      <c r="I1050" s="84">
        <v>43003</v>
      </c>
      <c r="J1050" s="84">
        <v>48.2</v>
      </c>
    </row>
    <row r="1051" spans="1:10" ht="16">
      <c r="A1051" s="79" t="s">
        <v>545</v>
      </c>
      <c r="B1051" s="79" t="s">
        <v>493</v>
      </c>
      <c r="C1051" s="80" t="s">
        <v>126</v>
      </c>
      <c r="D1051" s="81" t="s">
        <v>79</v>
      </c>
      <c r="E1051" s="82">
        <v>7874</v>
      </c>
      <c r="F1051" s="82">
        <v>435</v>
      </c>
      <c r="G1051" s="82">
        <v>176</v>
      </c>
      <c r="H1051" s="84">
        <v>10.199999999999999</v>
      </c>
      <c r="I1051" s="84">
        <v>1770</v>
      </c>
      <c r="J1051" s="84">
        <v>31.1</v>
      </c>
    </row>
    <row r="1052" spans="1:10" ht="16">
      <c r="A1052" s="79" t="s">
        <v>1063</v>
      </c>
      <c r="B1052" s="79" t="s">
        <v>1039</v>
      </c>
      <c r="C1052" s="80" t="s">
        <v>95</v>
      </c>
      <c r="D1052" s="81" t="s">
        <v>76</v>
      </c>
      <c r="E1052" s="82">
        <v>27662</v>
      </c>
      <c r="F1052" s="82">
        <v>1697</v>
      </c>
      <c r="G1052" s="82">
        <v>1936</v>
      </c>
      <c r="H1052" s="84">
        <v>13.8</v>
      </c>
      <c r="I1052" s="84">
        <v>4511</v>
      </c>
      <c r="J1052" s="84">
        <v>22.3</v>
      </c>
    </row>
    <row r="1053" spans="1:10" ht="16">
      <c r="A1053" s="79" t="s">
        <v>546</v>
      </c>
      <c r="B1053" s="79" t="s">
        <v>493</v>
      </c>
      <c r="C1053" s="80" t="s">
        <v>126</v>
      </c>
      <c r="D1053" s="81" t="s">
        <v>79</v>
      </c>
      <c r="E1053" s="82">
        <v>7810</v>
      </c>
      <c r="F1053" s="82">
        <v>367</v>
      </c>
      <c r="G1053" s="82">
        <v>781</v>
      </c>
      <c r="H1053" s="84">
        <v>8.1999999999999993</v>
      </c>
      <c r="I1053" s="84">
        <v>694</v>
      </c>
      <c r="J1053" s="84">
        <v>31.3</v>
      </c>
    </row>
    <row r="1054" spans="1:10" ht="16">
      <c r="A1054" s="79" t="s">
        <v>780</v>
      </c>
      <c r="B1054" s="79" t="s">
        <v>781</v>
      </c>
      <c r="C1054" s="80" t="s">
        <v>126</v>
      </c>
      <c r="D1054" s="81" t="s">
        <v>76</v>
      </c>
      <c r="E1054" s="82">
        <v>69456</v>
      </c>
      <c r="F1054" s="82">
        <v>1767</v>
      </c>
      <c r="G1054" s="82">
        <v>695</v>
      </c>
      <c r="H1054" s="84">
        <v>10.199999999999999</v>
      </c>
      <c r="I1054" s="84">
        <v>4933</v>
      </c>
      <c r="J1054" s="84">
        <v>14.6</v>
      </c>
    </row>
    <row r="1055" spans="1:10" ht="16">
      <c r="A1055" s="79" t="s">
        <v>413</v>
      </c>
      <c r="B1055" s="79" t="s">
        <v>396</v>
      </c>
      <c r="C1055" s="80" t="s">
        <v>95</v>
      </c>
      <c r="D1055" s="81" t="s">
        <v>111</v>
      </c>
      <c r="E1055" s="82">
        <v>37078</v>
      </c>
      <c r="F1055" s="82">
        <v>1501</v>
      </c>
      <c r="G1055" s="82">
        <v>4079</v>
      </c>
      <c r="H1055" s="84">
        <v>21</v>
      </c>
      <c r="I1055" s="84">
        <v>12076</v>
      </c>
      <c r="J1055" s="84">
        <v>19.8</v>
      </c>
    </row>
    <row r="1056" spans="1:10" ht="16">
      <c r="A1056" s="79" t="s">
        <v>639</v>
      </c>
      <c r="B1056" s="79" t="s">
        <v>617</v>
      </c>
      <c r="C1056" s="80" t="s">
        <v>95</v>
      </c>
      <c r="D1056" s="81" t="s">
        <v>111</v>
      </c>
      <c r="E1056" s="82">
        <v>49604</v>
      </c>
      <c r="F1056" s="82">
        <v>2531</v>
      </c>
      <c r="G1056" s="82">
        <v>992</v>
      </c>
      <c r="H1056" s="84">
        <v>23.4</v>
      </c>
      <c r="I1056" s="84">
        <v>16861</v>
      </c>
      <c r="J1056" s="84">
        <v>35.4</v>
      </c>
    </row>
    <row r="1057" spans="1:10" ht="16">
      <c r="A1057" s="79" t="s">
        <v>1064</v>
      </c>
      <c r="B1057" s="79" t="s">
        <v>1039</v>
      </c>
      <c r="C1057" s="80" t="s">
        <v>95</v>
      </c>
      <c r="D1057" s="81" t="s">
        <v>77</v>
      </c>
      <c r="E1057" s="82">
        <v>10833</v>
      </c>
      <c r="F1057" s="82">
        <v>833</v>
      </c>
      <c r="G1057" s="82">
        <v>2383</v>
      </c>
      <c r="H1057" s="84">
        <v>27.9</v>
      </c>
      <c r="I1057" s="84">
        <v>22446</v>
      </c>
      <c r="J1057" s="84">
        <v>30.4</v>
      </c>
    </row>
    <row r="1058" spans="1:10" ht="16">
      <c r="A1058" s="79" t="s">
        <v>1436</v>
      </c>
      <c r="B1058" s="79" t="s">
        <v>1307</v>
      </c>
      <c r="C1058" s="80" t="s">
        <v>95</v>
      </c>
      <c r="D1058" s="81" t="s">
        <v>78</v>
      </c>
      <c r="E1058" s="82">
        <v>3041</v>
      </c>
      <c r="F1058" s="82">
        <v>1322</v>
      </c>
      <c r="G1058" s="82">
        <v>213</v>
      </c>
      <c r="H1058" s="84">
        <v>12.1</v>
      </c>
      <c r="I1058" s="84">
        <v>6985</v>
      </c>
      <c r="J1058" s="84">
        <v>35.799999999999997</v>
      </c>
    </row>
    <row r="1059" spans="1:10" ht="16">
      <c r="A1059" s="79" t="s">
        <v>1437</v>
      </c>
      <c r="B1059" s="79" t="s">
        <v>1307</v>
      </c>
      <c r="C1059" s="80" t="s">
        <v>126</v>
      </c>
      <c r="D1059" s="81" t="s">
        <v>77</v>
      </c>
      <c r="E1059" s="82">
        <v>24610</v>
      </c>
      <c r="F1059" s="82">
        <v>1431</v>
      </c>
      <c r="G1059" s="82">
        <v>2707</v>
      </c>
      <c r="H1059" s="84">
        <v>28</v>
      </c>
      <c r="I1059" s="84">
        <v>17701</v>
      </c>
      <c r="J1059" s="84">
        <v>30.1</v>
      </c>
    </row>
    <row r="1060" spans="1:10" ht="16">
      <c r="A1060" s="79" t="s">
        <v>1438</v>
      </c>
      <c r="B1060" s="79" t="s">
        <v>1307</v>
      </c>
      <c r="C1060" s="80" t="s">
        <v>95</v>
      </c>
      <c r="D1060" s="81" t="s">
        <v>99</v>
      </c>
      <c r="E1060" s="82">
        <v>24982</v>
      </c>
      <c r="F1060" s="82">
        <v>1101</v>
      </c>
      <c r="G1060" s="82">
        <v>1249</v>
      </c>
      <c r="H1060" s="84">
        <v>22.6</v>
      </c>
      <c r="I1060" s="84">
        <v>9369</v>
      </c>
      <c r="J1060" s="84">
        <v>28.7</v>
      </c>
    </row>
    <row r="1061" spans="1:10" ht="16">
      <c r="A1061" s="79" t="s">
        <v>1439</v>
      </c>
      <c r="B1061" s="79" t="s">
        <v>1307</v>
      </c>
      <c r="C1061" s="80" t="s">
        <v>95</v>
      </c>
      <c r="D1061" s="81" t="s">
        <v>111</v>
      </c>
      <c r="E1061" s="82">
        <v>19382</v>
      </c>
      <c r="F1061" s="82">
        <v>1133</v>
      </c>
      <c r="G1061" s="82">
        <v>969</v>
      </c>
      <c r="H1061" s="84">
        <v>31.8</v>
      </c>
      <c r="I1061" s="84">
        <v>26631</v>
      </c>
      <c r="J1061" s="84">
        <v>29.2</v>
      </c>
    </row>
    <row r="1062" spans="1:10" ht="16">
      <c r="A1062" s="79" t="s">
        <v>132</v>
      </c>
      <c r="B1062" s="79" t="s">
        <v>108</v>
      </c>
      <c r="C1062" s="80" t="s">
        <v>95</v>
      </c>
      <c r="D1062" s="81" t="s">
        <v>96</v>
      </c>
      <c r="E1062" s="82">
        <v>22100</v>
      </c>
      <c r="F1062" s="82">
        <v>1068</v>
      </c>
      <c r="G1062" s="82">
        <v>3978</v>
      </c>
      <c r="H1062" s="84">
        <v>28.3</v>
      </c>
      <c r="I1062" s="84">
        <v>21702</v>
      </c>
      <c r="J1062" s="84">
        <v>24.5</v>
      </c>
    </row>
    <row r="1063" spans="1:10" ht="16">
      <c r="A1063" s="79" t="s">
        <v>865</v>
      </c>
      <c r="B1063" s="79" t="s">
        <v>862</v>
      </c>
      <c r="C1063" s="80" t="s">
        <v>95</v>
      </c>
      <c r="D1063" s="81" t="s">
        <v>111</v>
      </c>
      <c r="E1063" s="82">
        <v>34227</v>
      </c>
      <c r="F1063" s="82">
        <v>2593</v>
      </c>
      <c r="G1063" s="82">
        <v>342</v>
      </c>
      <c r="H1063" s="84">
        <v>8.6</v>
      </c>
      <c r="I1063" s="84">
        <v>1601</v>
      </c>
      <c r="J1063" s="84">
        <v>23</v>
      </c>
    </row>
    <row r="1064" spans="1:10" ht="16">
      <c r="A1064" s="79" t="s">
        <v>1440</v>
      </c>
      <c r="B1064" s="79" t="s">
        <v>1307</v>
      </c>
      <c r="C1064" s="80" t="s">
        <v>95</v>
      </c>
      <c r="D1064" s="81" t="s">
        <v>77</v>
      </c>
      <c r="E1064" s="82">
        <v>35419</v>
      </c>
      <c r="F1064" s="82">
        <v>3768</v>
      </c>
      <c r="G1064" s="82">
        <v>2834</v>
      </c>
      <c r="H1064" s="84">
        <v>63.2</v>
      </c>
      <c r="I1064" s="84">
        <v>61280</v>
      </c>
      <c r="J1064" s="84">
        <v>59.7</v>
      </c>
    </row>
    <row r="1065" spans="1:10" ht="16">
      <c r="A1065" s="79" t="s">
        <v>1441</v>
      </c>
      <c r="B1065" s="79" t="s">
        <v>1307</v>
      </c>
      <c r="C1065" s="80" t="s">
        <v>95</v>
      </c>
      <c r="D1065" s="81" t="s">
        <v>77</v>
      </c>
      <c r="E1065" s="82">
        <v>18999</v>
      </c>
      <c r="F1065" s="82">
        <v>856</v>
      </c>
      <c r="G1065" s="82">
        <v>760</v>
      </c>
      <c r="H1065" s="84">
        <v>19.3</v>
      </c>
      <c r="I1065" s="84">
        <v>9669</v>
      </c>
      <c r="J1065" s="84">
        <v>20.9</v>
      </c>
    </row>
    <row r="1066" spans="1:10" ht="16">
      <c r="A1066" s="79" t="s">
        <v>1442</v>
      </c>
      <c r="B1066" s="79" t="s">
        <v>1307</v>
      </c>
      <c r="C1066" s="80" t="s">
        <v>95</v>
      </c>
      <c r="D1066" s="81" t="s">
        <v>75</v>
      </c>
      <c r="E1066" s="82">
        <v>14791</v>
      </c>
      <c r="F1066" s="82">
        <v>755</v>
      </c>
      <c r="G1066" s="82">
        <v>296</v>
      </c>
      <c r="H1066" s="84">
        <v>7.7</v>
      </c>
      <c r="I1066" s="84">
        <v>1805</v>
      </c>
      <c r="J1066" s="84">
        <v>15.9</v>
      </c>
    </row>
    <row r="1067" spans="1:10" ht="16">
      <c r="A1067" s="79" t="s">
        <v>1443</v>
      </c>
      <c r="B1067" s="79" t="s">
        <v>1307</v>
      </c>
      <c r="C1067" s="80" t="s">
        <v>95</v>
      </c>
      <c r="D1067" s="81" t="s">
        <v>77</v>
      </c>
      <c r="E1067" s="82">
        <v>12132</v>
      </c>
      <c r="F1067" s="82">
        <v>685</v>
      </c>
      <c r="G1067" s="82">
        <v>243</v>
      </c>
      <c r="H1067" s="84">
        <v>10.5</v>
      </c>
      <c r="I1067" s="84">
        <v>2720</v>
      </c>
      <c r="J1067" s="84">
        <v>24.8</v>
      </c>
    </row>
    <row r="1068" spans="1:10" ht="16">
      <c r="A1068" s="79" t="s">
        <v>220</v>
      </c>
      <c r="B1068" s="79" t="s">
        <v>203</v>
      </c>
      <c r="C1068" s="80" t="s">
        <v>95</v>
      </c>
      <c r="D1068" s="81" t="s">
        <v>101</v>
      </c>
      <c r="E1068" s="82">
        <v>2733</v>
      </c>
      <c r="F1068" s="82">
        <v>195</v>
      </c>
      <c r="G1068" s="82">
        <v>219</v>
      </c>
      <c r="H1068" s="84">
        <v>18.5</v>
      </c>
      <c r="I1068" s="84">
        <v>7803</v>
      </c>
      <c r="J1068" s="84">
        <v>19.3</v>
      </c>
    </row>
    <row r="1069" spans="1:10" ht="16">
      <c r="A1069" s="79" t="s">
        <v>1444</v>
      </c>
      <c r="B1069" s="79" t="s">
        <v>1307</v>
      </c>
      <c r="C1069" s="80" t="s">
        <v>126</v>
      </c>
      <c r="D1069" s="81" t="s">
        <v>76</v>
      </c>
      <c r="E1069" s="82">
        <v>12104</v>
      </c>
      <c r="F1069" s="82">
        <v>884</v>
      </c>
      <c r="G1069" s="82">
        <v>1452</v>
      </c>
      <c r="H1069" s="84">
        <v>46.2</v>
      </c>
      <c r="I1069" s="84">
        <v>33999</v>
      </c>
      <c r="J1069" s="84">
        <v>52.9</v>
      </c>
    </row>
    <row r="1070" spans="1:10" ht="16">
      <c r="A1070" s="79" t="s">
        <v>1285</v>
      </c>
      <c r="B1070" s="79" t="s">
        <v>1209</v>
      </c>
      <c r="C1070" s="80" t="s">
        <v>95</v>
      </c>
      <c r="D1070" s="81" t="s">
        <v>103</v>
      </c>
      <c r="E1070" s="82">
        <v>29699</v>
      </c>
      <c r="F1070" s="82">
        <v>2034</v>
      </c>
      <c r="G1070" s="82">
        <v>8613</v>
      </c>
      <c r="H1070" s="84">
        <v>42.6</v>
      </c>
      <c r="I1070" s="84">
        <v>34252</v>
      </c>
      <c r="J1070" s="84">
        <v>42.7</v>
      </c>
    </row>
    <row r="1071" spans="1:10" ht="16">
      <c r="A1071" s="79" t="s">
        <v>759</v>
      </c>
      <c r="B1071" s="79" t="s">
        <v>661</v>
      </c>
      <c r="C1071" s="80" t="s">
        <v>95</v>
      </c>
      <c r="D1071" s="81" t="s">
        <v>99</v>
      </c>
      <c r="E1071" s="82">
        <v>1142</v>
      </c>
      <c r="F1071" s="82">
        <v>439</v>
      </c>
      <c r="G1071" s="82">
        <v>11</v>
      </c>
      <c r="H1071" s="84">
        <v>9.6</v>
      </c>
      <c r="I1071" s="84">
        <v>9659</v>
      </c>
      <c r="J1071" s="84">
        <v>26.9</v>
      </c>
    </row>
    <row r="1072" spans="1:10" ht="16">
      <c r="A1072" s="79" t="s">
        <v>1445</v>
      </c>
      <c r="B1072" s="79" t="s">
        <v>1307</v>
      </c>
      <c r="C1072" s="80" t="s">
        <v>95</v>
      </c>
      <c r="D1072" s="81" t="s">
        <v>103</v>
      </c>
      <c r="E1072" s="82">
        <v>22143</v>
      </c>
      <c r="F1072" s="82">
        <v>2050</v>
      </c>
      <c r="G1072" s="82">
        <v>2657</v>
      </c>
      <c r="H1072" s="84">
        <v>29.3</v>
      </c>
      <c r="I1072" s="84">
        <v>24586</v>
      </c>
      <c r="J1072" s="84">
        <v>34</v>
      </c>
    </row>
    <row r="1073" spans="1:10" ht="16">
      <c r="A1073" s="79" t="s">
        <v>873</v>
      </c>
      <c r="B1073" s="79" t="s">
        <v>869</v>
      </c>
      <c r="C1073" s="80" t="s">
        <v>95</v>
      </c>
      <c r="D1073" s="81" t="s">
        <v>78</v>
      </c>
      <c r="E1073" s="82">
        <v>20783</v>
      </c>
      <c r="F1073" s="82">
        <v>1649</v>
      </c>
      <c r="G1073" s="82">
        <v>3533</v>
      </c>
      <c r="H1073" s="84">
        <v>43.8</v>
      </c>
      <c r="I1073" s="84">
        <v>39480</v>
      </c>
      <c r="J1073" s="84">
        <v>39.6</v>
      </c>
    </row>
    <row r="1074" spans="1:10" ht="16">
      <c r="A1074" s="79" t="s">
        <v>350</v>
      </c>
      <c r="B1074" s="79" t="s">
        <v>341</v>
      </c>
      <c r="C1074" s="80" t="s">
        <v>95</v>
      </c>
      <c r="D1074" s="81" t="s">
        <v>75</v>
      </c>
      <c r="E1074" s="82">
        <v>8872</v>
      </c>
      <c r="F1074" s="82">
        <v>485</v>
      </c>
      <c r="G1074" s="82">
        <v>798</v>
      </c>
      <c r="H1074" s="84">
        <v>13.5</v>
      </c>
      <c r="I1074" s="84">
        <v>3953</v>
      </c>
      <c r="J1074" s="84">
        <v>16.7</v>
      </c>
    </row>
    <row r="1075" spans="1:10" ht="16">
      <c r="A1075" s="79" t="s">
        <v>858</v>
      </c>
      <c r="B1075" s="79" t="s">
        <v>853</v>
      </c>
      <c r="C1075" s="80" t="s">
        <v>95</v>
      </c>
      <c r="D1075" s="81" t="s">
        <v>103</v>
      </c>
      <c r="E1075" s="82">
        <v>18196</v>
      </c>
      <c r="F1075" s="82">
        <v>910</v>
      </c>
      <c r="G1075" s="82">
        <v>3821</v>
      </c>
      <c r="H1075" s="84">
        <v>32.1</v>
      </c>
      <c r="I1075" s="84">
        <v>27196</v>
      </c>
      <c r="J1075" s="84">
        <v>30.2</v>
      </c>
    </row>
    <row r="1076" spans="1:10" ht="16">
      <c r="A1076" s="79" t="s">
        <v>221</v>
      </c>
      <c r="B1076" s="79" t="s">
        <v>203</v>
      </c>
      <c r="C1076" s="80" t="s">
        <v>95</v>
      </c>
      <c r="D1076" s="81" t="s">
        <v>77</v>
      </c>
      <c r="E1076" s="82">
        <v>35365</v>
      </c>
      <c r="F1076" s="82">
        <v>1432</v>
      </c>
      <c r="G1076" s="82">
        <v>6719</v>
      </c>
      <c r="H1076" s="84">
        <v>42</v>
      </c>
      <c r="I1076" s="84">
        <v>36279</v>
      </c>
      <c r="J1076" s="84">
        <v>41.3</v>
      </c>
    </row>
    <row r="1077" spans="1:10" ht="16">
      <c r="A1077" s="79" t="s">
        <v>393</v>
      </c>
      <c r="B1077" s="79" t="s">
        <v>388</v>
      </c>
      <c r="C1077" s="80" t="s">
        <v>95</v>
      </c>
      <c r="D1077" s="81" t="s">
        <v>75</v>
      </c>
      <c r="E1077" s="82">
        <v>10086</v>
      </c>
      <c r="F1077" s="82">
        <v>336</v>
      </c>
      <c r="G1077" s="82">
        <v>605</v>
      </c>
      <c r="H1077" s="84">
        <v>34.4</v>
      </c>
      <c r="I1077" s="84">
        <v>26334</v>
      </c>
      <c r="J1077" s="84">
        <v>30.3</v>
      </c>
    </row>
    <row r="1078" spans="1:10" ht="16">
      <c r="A1078" s="79" t="s">
        <v>1065</v>
      </c>
      <c r="B1078" s="79" t="s">
        <v>1039</v>
      </c>
      <c r="C1078" s="80" t="s">
        <v>95</v>
      </c>
      <c r="D1078" s="81" t="s">
        <v>75</v>
      </c>
      <c r="E1078" s="82">
        <v>21663</v>
      </c>
      <c r="F1078" s="82">
        <v>1706</v>
      </c>
      <c r="G1078" s="82">
        <v>650</v>
      </c>
      <c r="H1078" s="84">
        <v>15.2</v>
      </c>
      <c r="I1078" s="84">
        <v>8369</v>
      </c>
      <c r="J1078" s="84">
        <v>16.8</v>
      </c>
    </row>
    <row r="1079" spans="1:10" ht="16">
      <c r="A1079" s="79" t="s">
        <v>1286</v>
      </c>
      <c r="B1079" s="79" t="s">
        <v>1209</v>
      </c>
      <c r="C1079" s="80" t="s">
        <v>126</v>
      </c>
      <c r="D1079" s="81" t="s">
        <v>75</v>
      </c>
      <c r="E1079" s="82">
        <v>20664</v>
      </c>
      <c r="F1079" s="82">
        <v>1845</v>
      </c>
      <c r="G1079" s="82">
        <v>8472</v>
      </c>
      <c r="H1079" s="84">
        <v>99.6</v>
      </c>
      <c r="I1079" s="84">
        <v>98092</v>
      </c>
      <c r="J1079" s="84">
        <v>90.5</v>
      </c>
    </row>
    <row r="1080" spans="1:10" ht="16">
      <c r="A1080" s="79" t="s">
        <v>640</v>
      </c>
      <c r="B1080" s="79" t="s">
        <v>617</v>
      </c>
      <c r="C1080" s="80" t="s">
        <v>95</v>
      </c>
      <c r="D1080" s="81" t="s">
        <v>79</v>
      </c>
      <c r="E1080" s="82">
        <v>45169</v>
      </c>
      <c r="F1080" s="82">
        <v>2121</v>
      </c>
      <c r="G1080" s="82">
        <v>1807</v>
      </c>
      <c r="H1080" s="84">
        <v>30.9</v>
      </c>
      <c r="I1080" s="84">
        <v>24844</v>
      </c>
      <c r="J1080" s="84">
        <v>42.5</v>
      </c>
    </row>
    <row r="1081" spans="1:10" ht="16">
      <c r="A1081" s="79" t="s">
        <v>641</v>
      </c>
      <c r="B1081" s="79" t="s">
        <v>617</v>
      </c>
      <c r="C1081" s="80" t="s">
        <v>95</v>
      </c>
      <c r="D1081" s="81" t="s">
        <v>96</v>
      </c>
      <c r="E1081" s="82">
        <v>29437</v>
      </c>
      <c r="F1081" s="82">
        <v>1436</v>
      </c>
      <c r="G1081" s="82">
        <v>294</v>
      </c>
      <c r="H1081" s="84">
        <v>17.899999999999999</v>
      </c>
      <c r="I1081" s="84">
        <v>11334</v>
      </c>
      <c r="J1081" s="84">
        <v>21.1</v>
      </c>
    </row>
    <row r="1082" spans="1:10" ht="16">
      <c r="A1082" s="79" t="s">
        <v>351</v>
      </c>
      <c r="B1082" s="79" t="s">
        <v>341</v>
      </c>
      <c r="C1082" s="80" t="s">
        <v>95</v>
      </c>
      <c r="D1082" s="81" t="s">
        <v>149</v>
      </c>
      <c r="E1082" s="82">
        <v>7266</v>
      </c>
      <c r="F1082" s="82">
        <v>530</v>
      </c>
      <c r="G1082" s="82">
        <v>509</v>
      </c>
      <c r="H1082" s="84">
        <v>15.4</v>
      </c>
      <c r="I1082" s="84">
        <v>1596</v>
      </c>
      <c r="J1082" s="84">
        <v>17.8</v>
      </c>
    </row>
    <row r="1083" spans="1:10" ht="16">
      <c r="A1083" s="79" t="s">
        <v>414</v>
      </c>
      <c r="B1083" s="79" t="s">
        <v>396</v>
      </c>
      <c r="C1083" s="80" t="s">
        <v>95</v>
      </c>
      <c r="D1083" s="81" t="s">
        <v>77</v>
      </c>
      <c r="E1083" s="82">
        <v>61390</v>
      </c>
      <c r="F1083" s="82">
        <v>3961</v>
      </c>
      <c r="G1083" s="82">
        <v>10436</v>
      </c>
      <c r="H1083" s="84">
        <v>36.1</v>
      </c>
      <c r="I1083" s="84">
        <v>31940</v>
      </c>
      <c r="J1083" s="84">
        <v>52</v>
      </c>
    </row>
    <row r="1084" spans="1:10" ht="16">
      <c r="A1084" s="79" t="s">
        <v>642</v>
      </c>
      <c r="B1084" s="79" t="s">
        <v>617</v>
      </c>
      <c r="C1084" s="80" t="s">
        <v>95</v>
      </c>
      <c r="D1084" s="81" t="s">
        <v>78</v>
      </c>
      <c r="E1084" s="82">
        <v>25140</v>
      </c>
      <c r="F1084" s="82">
        <v>918</v>
      </c>
      <c r="G1084" s="82">
        <v>1508</v>
      </c>
      <c r="H1084" s="84">
        <v>18.899999999999999</v>
      </c>
      <c r="I1084" s="84">
        <v>12459</v>
      </c>
      <c r="J1084" s="84">
        <v>18.100000000000001</v>
      </c>
    </row>
    <row r="1085" spans="1:10" ht="16">
      <c r="A1085" s="79" t="s">
        <v>459</v>
      </c>
      <c r="B1085" s="79" t="s">
        <v>421</v>
      </c>
      <c r="C1085" s="80" t="s">
        <v>95</v>
      </c>
      <c r="D1085" s="81" t="s">
        <v>96</v>
      </c>
      <c r="E1085" s="82">
        <v>11387</v>
      </c>
      <c r="F1085" s="82">
        <v>131</v>
      </c>
      <c r="G1085" s="82">
        <v>1366</v>
      </c>
      <c r="H1085" s="84">
        <v>39.299999999999997</v>
      </c>
      <c r="I1085" s="84">
        <v>29716</v>
      </c>
      <c r="J1085" s="84">
        <v>32.799999999999997</v>
      </c>
    </row>
    <row r="1086" spans="1:10" ht="16">
      <c r="A1086" s="79" t="s">
        <v>474</v>
      </c>
      <c r="B1086" s="79" t="s">
        <v>467</v>
      </c>
      <c r="C1086" s="80" t="s">
        <v>126</v>
      </c>
      <c r="D1086" s="81" t="s">
        <v>96</v>
      </c>
      <c r="E1086" s="82">
        <v>25580</v>
      </c>
      <c r="F1086" s="82">
        <v>927</v>
      </c>
      <c r="G1086" s="82">
        <v>1279</v>
      </c>
      <c r="H1086" s="84">
        <v>11.6</v>
      </c>
      <c r="I1086" s="84">
        <v>4570</v>
      </c>
      <c r="J1086" s="84">
        <v>16.5</v>
      </c>
    </row>
    <row r="1087" spans="1:10" ht="16">
      <c r="A1087" s="79" t="s">
        <v>643</v>
      </c>
      <c r="B1087" s="79" t="s">
        <v>617</v>
      </c>
      <c r="C1087" s="80" t="s">
        <v>95</v>
      </c>
      <c r="D1087" s="81" t="s">
        <v>76</v>
      </c>
      <c r="E1087" s="82">
        <v>24623</v>
      </c>
      <c r="F1087" s="82">
        <v>593</v>
      </c>
      <c r="G1087" s="82">
        <v>1970</v>
      </c>
      <c r="H1087" s="84">
        <v>25.7</v>
      </c>
      <c r="I1087" s="84">
        <v>16834</v>
      </c>
      <c r="J1087" s="84">
        <v>24.6</v>
      </c>
    </row>
    <row r="1088" spans="1:10" ht="16">
      <c r="A1088" s="79" t="s">
        <v>1446</v>
      </c>
      <c r="B1088" s="79" t="s">
        <v>1307</v>
      </c>
      <c r="C1088" s="80" t="s">
        <v>95</v>
      </c>
      <c r="D1088" s="81" t="s">
        <v>103</v>
      </c>
      <c r="E1088" s="82">
        <v>20578</v>
      </c>
      <c r="F1088" s="82">
        <v>3166</v>
      </c>
      <c r="G1088" s="82">
        <v>4321</v>
      </c>
      <c r="H1088" s="84">
        <v>90.4</v>
      </c>
      <c r="I1088" s="84">
        <v>88839</v>
      </c>
      <c r="J1088" s="84">
        <v>87.5</v>
      </c>
    </row>
    <row r="1089" spans="1:10" ht="16">
      <c r="A1089" s="79" t="s">
        <v>1079</v>
      </c>
      <c r="B1089" s="79" t="s">
        <v>1078</v>
      </c>
      <c r="C1089" s="80" t="s">
        <v>95</v>
      </c>
      <c r="D1089" s="81" t="s">
        <v>79</v>
      </c>
      <c r="E1089" s="82">
        <v>17482</v>
      </c>
      <c r="F1089" s="82">
        <v>1619</v>
      </c>
      <c r="G1089" s="82">
        <v>175</v>
      </c>
      <c r="H1089" s="84">
        <v>7.6</v>
      </c>
      <c r="I1089" s="84">
        <v>7629</v>
      </c>
      <c r="J1089" s="84">
        <v>16.5</v>
      </c>
    </row>
    <row r="1090" spans="1:10" ht="16">
      <c r="A1090" s="79" t="s">
        <v>644</v>
      </c>
      <c r="B1090" s="79" t="s">
        <v>617</v>
      </c>
      <c r="C1090" s="80" t="s">
        <v>95</v>
      </c>
      <c r="D1090" s="81" t="s">
        <v>111</v>
      </c>
      <c r="E1090" s="82">
        <v>24830</v>
      </c>
      <c r="F1090" s="82">
        <v>769</v>
      </c>
      <c r="G1090" s="82">
        <v>1490</v>
      </c>
      <c r="H1090" s="84">
        <v>22.8</v>
      </c>
      <c r="I1090" s="84">
        <v>19996</v>
      </c>
      <c r="J1090" s="84">
        <v>18.600000000000001</v>
      </c>
    </row>
    <row r="1091" spans="1:10" ht="16">
      <c r="A1091" s="79" t="s">
        <v>887</v>
      </c>
      <c r="B1091" s="79" t="s">
        <v>877</v>
      </c>
      <c r="C1091" s="80" t="s">
        <v>126</v>
      </c>
      <c r="D1091" s="81" t="s">
        <v>76</v>
      </c>
      <c r="E1091" s="82">
        <v>5647</v>
      </c>
      <c r="F1091" s="82">
        <v>528</v>
      </c>
      <c r="G1091" s="82">
        <v>113</v>
      </c>
      <c r="H1091" s="84">
        <v>10.7</v>
      </c>
      <c r="I1091" s="84">
        <v>1606</v>
      </c>
      <c r="J1091" s="84">
        <v>25.2</v>
      </c>
    </row>
    <row r="1092" spans="1:10" ht="16">
      <c r="A1092" s="79" t="s">
        <v>645</v>
      </c>
      <c r="B1092" s="79" t="s">
        <v>617</v>
      </c>
      <c r="C1092" s="80" t="s">
        <v>95</v>
      </c>
      <c r="D1092" s="81" t="s">
        <v>96</v>
      </c>
      <c r="E1092" s="82">
        <v>33726</v>
      </c>
      <c r="F1092" s="82">
        <v>1506</v>
      </c>
      <c r="G1092" s="82">
        <v>2024</v>
      </c>
      <c r="H1092" s="84">
        <v>26.5</v>
      </c>
      <c r="I1092" s="84">
        <v>19745</v>
      </c>
      <c r="J1092" s="84">
        <v>31.2</v>
      </c>
    </row>
    <row r="1093" spans="1:10" ht="16">
      <c r="A1093" s="79" t="s">
        <v>1447</v>
      </c>
      <c r="B1093" s="79" t="s">
        <v>1307</v>
      </c>
      <c r="C1093" s="80" t="s">
        <v>95</v>
      </c>
      <c r="D1093" s="81" t="s">
        <v>75</v>
      </c>
      <c r="E1093" s="82">
        <v>26652</v>
      </c>
      <c r="F1093" s="82">
        <v>4595</v>
      </c>
      <c r="G1093" s="82">
        <v>2932</v>
      </c>
      <c r="H1093" s="84">
        <v>45.5</v>
      </c>
      <c r="I1093" s="84">
        <v>43343</v>
      </c>
      <c r="J1093" s="84">
        <v>47.4</v>
      </c>
    </row>
    <row r="1094" spans="1:10" ht="16">
      <c r="A1094" s="79" t="s">
        <v>1287</v>
      </c>
      <c r="B1094" s="79" t="s">
        <v>1209</v>
      </c>
      <c r="C1094" s="80" t="s">
        <v>95</v>
      </c>
      <c r="D1094" s="81" t="s">
        <v>101</v>
      </c>
      <c r="E1094" s="82">
        <v>17667</v>
      </c>
      <c r="F1094" s="82">
        <v>1027</v>
      </c>
      <c r="G1094" s="82">
        <v>2650</v>
      </c>
      <c r="H1094" s="84">
        <v>19.3</v>
      </c>
      <c r="I1094" s="84">
        <v>13030</v>
      </c>
      <c r="J1094" s="84">
        <v>20.3</v>
      </c>
    </row>
    <row r="1095" spans="1:10" ht="16">
      <c r="A1095" s="79" t="s">
        <v>922</v>
      </c>
      <c r="B1095" s="79" t="s">
        <v>912</v>
      </c>
      <c r="C1095" s="80" t="s">
        <v>95</v>
      </c>
      <c r="D1095" s="81" t="s">
        <v>78</v>
      </c>
      <c r="E1095" s="82">
        <v>32020</v>
      </c>
      <c r="F1095" s="82">
        <v>1712</v>
      </c>
      <c r="G1095" s="82">
        <v>4803</v>
      </c>
      <c r="H1095" s="84">
        <v>27.9</v>
      </c>
      <c r="I1095" s="84">
        <v>17370</v>
      </c>
      <c r="J1095" s="84">
        <v>27.4</v>
      </c>
    </row>
    <row r="1096" spans="1:10" ht="16">
      <c r="A1096" s="79" t="s">
        <v>1288</v>
      </c>
      <c r="B1096" s="79" t="s">
        <v>1209</v>
      </c>
      <c r="C1096" s="80" t="s">
        <v>126</v>
      </c>
      <c r="D1096" s="81" t="s">
        <v>111</v>
      </c>
      <c r="E1096" s="82">
        <v>20186</v>
      </c>
      <c r="F1096" s="82">
        <v>1311</v>
      </c>
      <c r="G1096" s="82">
        <v>5248</v>
      </c>
      <c r="H1096" s="84">
        <v>16.2</v>
      </c>
      <c r="I1096" s="84">
        <v>11533</v>
      </c>
      <c r="J1096" s="84">
        <v>17.8</v>
      </c>
    </row>
    <row r="1097" spans="1:10" ht="16">
      <c r="A1097" s="79" t="s">
        <v>460</v>
      </c>
      <c r="B1097" s="79" t="s">
        <v>421</v>
      </c>
      <c r="C1097" s="80" t="s">
        <v>95</v>
      </c>
      <c r="D1097" s="81" t="s">
        <v>149</v>
      </c>
      <c r="E1097" s="82">
        <v>20063</v>
      </c>
      <c r="F1097" s="82">
        <v>372</v>
      </c>
      <c r="G1097" s="82">
        <v>2207</v>
      </c>
      <c r="H1097" s="84">
        <v>40.799999999999997</v>
      </c>
      <c r="I1097" s="84">
        <v>26627</v>
      </c>
      <c r="J1097" s="84">
        <v>36.799999999999997</v>
      </c>
    </row>
    <row r="1098" spans="1:10" ht="16">
      <c r="A1098" s="79" t="s">
        <v>1002</v>
      </c>
      <c r="B1098" s="79" t="s">
        <v>996</v>
      </c>
      <c r="C1098" s="80" t="s">
        <v>95</v>
      </c>
      <c r="D1098" s="81" t="s">
        <v>111</v>
      </c>
      <c r="E1098" s="82">
        <v>35086</v>
      </c>
      <c r="F1098" s="82">
        <v>1595</v>
      </c>
      <c r="G1098" s="82">
        <v>2807</v>
      </c>
      <c r="H1098" s="84">
        <v>30.1</v>
      </c>
      <c r="I1098" s="84">
        <v>9953</v>
      </c>
      <c r="J1098" s="84">
        <v>25.1</v>
      </c>
    </row>
    <row r="1099" spans="1:10" ht="16">
      <c r="A1099" s="79" t="s">
        <v>923</v>
      </c>
      <c r="B1099" s="79" t="s">
        <v>924</v>
      </c>
      <c r="C1099" s="80" t="s">
        <v>95</v>
      </c>
      <c r="D1099" s="81" t="s">
        <v>77</v>
      </c>
      <c r="E1099" s="82">
        <v>49713</v>
      </c>
      <c r="F1099" s="82">
        <v>3576</v>
      </c>
      <c r="G1099" s="82">
        <v>497</v>
      </c>
      <c r="H1099" s="84">
        <v>8.5</v>
      </c>
      <c r="I1099" s="84">
        <v>3757</v>
      </c>
      <c r="J1099" s="84">
        <v>18.100000000000001</v>
      </c>
    </row>
    <row r="1100" spans="1:10" ht="16">
      <c r="A1100" s="79" t="s">
        <v>133</v>
      </c>
      <c r="B1100" s="79" t="s">
        <v>108</v>
      </c>
      <c r="C1100" s="80" t="s">
        <v>95</v>
      </c>
      <c r="D1100" s="81" t="s">
        <v>101</v>
      </c>
      <c r="E1100" s="82">
        <v>39144</v>
      </c>
      <c r="F1100" s="82">
        <v>1096</v>
      </c>
      <c r="G1100" s="82">
        <v>13309</v>
      </c>
      <c r="H1100" s="84">
        <v>58.7</v>
      </c>
      <c r="I1100" s="84">
        <v>51011</v>
      </c>
      <c r="J1100" s="84">
        <v>49.3</v>
      </c>
    </row>
    <row r="1101" spans="1:10" ht="16">
      <c r="A1101" s="79" t="s">
        <v>1289</v>
      </c>
      <c r="B1101" s="79" t="s">
        <v>1209</v>
      </c>
      <c r="C1101" s="80" t="s">
        <v>95</v>
      </c>
      <c r="D1101" s="81" t="s">
        <v>75</v>
      </c>
      <c r="E1101" s="82">
        <v>14107</v>
      </c>
      <c r="F1101" s="82">
        <v>947</v>
      </c>
      <c r="G1101" s="82">
        <v>4373</v>
      </c>
      <c r="H1101" s="84">
        <v>35.200000000000003</v>
      </c>
      <c r="I1101" s="84">
        <v>27111</v>
      </c>
      <c r="J1101" s="84">
        <v>32.1</v>
      </c>
    </row>
    <row r="1102" spans="1:10" ht="16">
      <c r="A1102" s="79" t="s">
        <v>222</v>
      </c>
      <c r="B1102" s="79" t="s">
        <v>203</v>
      </c>
      <c r="C1102" s="80" t="s">
        <v>95</v>
      </c>
      <c r="D1102" s="81" t="s">
        <v>77</v>
      </c>
      <c r="E1102" s="82">
        <v>12935</v>
      </c>
      <c r="F1102" s="82">
        <v>553</v>
      </c>
      <c r="G1102" s="82">
        <v>2846</v>
      </c>
      <c r="H1102" s="84">
        <v>15.6</v>
      </c>
      <c r="I1102" s="84">
        <v>7068</v>
      </c>
      <c r="J1102" s="84">
        <v>16.8</v>
      </c>
    </row>
    <row r="1103" spans="1:10" ht="16">
      <c r="A1103" s="79" t="s">
        <v>415</v>
      </c>
      <c r="B1103" s="79" t="s">
        <v>396</v>
      </c>
      <c r="C1103" s="80" t="s">
        <v>95</v>
      </c>
      <c r="D1103" s="81" t="s">
        <v>77</v>
      </c>
      <c r="E1103" s="82">
        <v>28351</v>
      </c>
      <c r="F1103" s="82">
        <v>1575</v>
      </c>
      <c r="G1103" s="82">
        <v>3402</v>
      </c>
      <c r="H1103" s="84">
        <v>15.5</v>
      </c>
      <c r="I1103" s="84">
        <v>7921</v>
      </c>
      <c r="J1103" s="84">
        <v>21</v>
      </c>
    </row>
    <row r="1104" spans="1:10" ht="16">
      <c r="A1104" s="79" t="s">
        <v>1448</v>
      </c>
      <c r="B1104" s="79" t="s">
        <v>1307</v>
      </c>
      <c r="C1104" s="80" t="s">
        <v>95</v>
      </c>
      <c r="D1104" s="81" t="s">
        <v>149</v>
      </c>
      <c r="E1104" s="82">
        <v>16569</v>
      </c>
      <c r="F1104" s="82">
        <v>858</v>
      </c>
      <c r="G1104" s="82">
        <v>497</v>
      </c>
      <c r="H1104" s="84">
        <v>17.7</v>
      </c>
      <c r="I1104" s="84">
        <v>11693</v>
      </c>
      <c r="J1104" s="84">
        <v>23.9</v>
      </c>
    </row>
    <row r="1105" spans="1:10" ht="16">
      <c r="A1105" s="79" t="s">
        <v>1449</v>
      </c>
      <c r="B1105" s="79" t="s">
        <v>1307</v>
      </c>
      <c r="C1105" s="80" t="s">
        <v>126</v>
      </c>
      <c r="D1105" s="81" t="s">
        <v>99</v>
      </c>
      <c r="E1105" s="82">
        <v>9824</v>
      </c>
      <c r="F1105" s="82">
        <v>2339</v>
      </c>
      <c r="G1105" s="82">
        <v>3045</v>
      </c>
      <c r="H1105" s="84">
        <v>30.3</v>
      </c>
      <c r="I1105" s="84">
        <v>27781</v>
      </c>
      <c r="J1105" s="84">
        <v>43.4</v>
      </c>
    </row>
    <row r="1106" spans="1:10" ht="16">
      <c r="A1106" s="79" t="s">
        <v>1290</v>
      </c>
      <c r="B1106" s="79" t="s">
        <v>1209</v>
      </c>
      <c r="C1106" s="80" t="s">
        <v>95</v>
      </c>
      <c r="D1106" s="81" t="s">
        <v>111</v>
      </c>
      <c r="E1106" s="82">
        <v>7665</v>
      </c>
      <c r="F1106" s="82">
        <v>470</v>
      </c>
      <c r="G1106" s="82">
        <v>2146</v>
      </c>
      <c r="H1106" s="84">
        <v>19.899999999999999</v>
      </c>
      <c r="I1106" s="84">
        <v>6239</v>
      </c>
      <c r="J1106" s="84">
        <v>18.7</v>
      </c>
    </row>
    <row r="1107" spans="1:10" ht="16">
      <c r="A1107" s="79" t="s">
        <v>646</v>
      </c>
      <c r="B1107" s="79" t="s">
        <v>617</v>
      </c>
      <c r="C1107" s="80" t="s">
        <v>95</v>
      </c>
      <c r="D1107" s="81" t="s">
        <v>79</v>
      </c>
      <c r="E1107" s="82">
        <v>31696</v>
      </c>
      <c r="F1107" s="82">
        <v>633</v>
      </c>
      <c r="G1107" s="82">
        <v>1585</v>
      </c>
      <c r="H1107" s="84">
        <v>22.7</v>
      </c>
      <c r="I1107" s="84">
        <v>13924</v>
      </c>
      <c r="J1107" s="84">
        <v>23.4</v>
      </c>
    </row>
    <row r="1108" spans="1:10" ht="16">
      <c r="A1108" s="79" t="s">
        <v>1066</v>
      </c>
      <c r="B1108" s="79" t="s">
        <v>1039</v>
      </c>
      <c r="C1108" s="80" t="s">
        <v>95</v>
      </c>
      <c r="D1108" s="81" t="s">
        <v>78</v>
      </c>
      <c r="E1108" s="82">
        <v>12411</v>
      </c>
      <c r="F1108" s="82">
        <v>1009</v>
      </c>
      <c r="G1108" s="82">
        <v>1365</v>
      </c>
      <c r="H1108" s="84">
        <v>21</v>
      </c>
      <c r="I1108" s="84">
        <v>14232</v>
      </c>
      <c r="J1108" s="84">
        <v>23.7</v>
      </c>
    </row>
    <row r="1109" spans="1:10" ht="16">
      <c r="A1109" s="79" t="s">
        <v>1067</v>
      </c>
      <c r="B1109" s="79" t="s">
        <v>1039</v>
      </c>
      <c r="C1109" s="80" t="s">
        <v>95</v>
      </c>
      <c r="D1109" s="81" t="s">
        <v>101</v>
      </c>
      <c r="E1109" s="82">
        <v>28673</v>
      </c>
      <c r="F1109" s="82">
        <v>1629</v>
      </c>
      <c r="G1109" s="82">
        <v>4588</v>
      </c>
      <c r="H1109" s="84">
        <v>17.5</v>
      </c>
      <c r="I1109" s="84">
        <v>6642</v>
      </c>
      <c r="J1109" s="84">
        <v>26.4</v>
      </c>
    </row>
    <row r="1110" spans="1:10" ht="16">
      <c r="A1110" s="79" t="s">
        <v>647</v>
      </c>
      <c r="B1110" s="79" t="s">
        <v>617</v>
      </c>
      <c r="C1110" s="80" t="s">
        <v>95</v>
      </c>
      <c r="D1110" s="81" t="s">
        <v>96</v>
      </c>
      <c r="E1110" s="82">
        <v>12040</v>
      </c>
      <c r="F1110" s="82">
        <v>405</v>
      </c>
      <c r="G1110" s="82">
        <v>120</v>
      </c>
      <c r="H1110" s="84">
        <v>21</v>
      </c>
      <c r="I1110" s="84">
        <v>11864</v>
      </c>
      <c r="J1110" s="84">
        <v>27.5</v>
      </c>
    </row>
    <row r="1111" spans="1:10" ht="16">
      <c r="A1111" s="79" t="s">
        <v>648</v>
      </c>
      <c r="B1111" s="79" t="s">
        <v>617</v>
      </c>
      <c r="C1111" s="80" t="s">
        <v>95</v>
      </c>
      <c r="D1111" s="81" t="s">
        <v>103</v>
      </c>
      <c r="E1111" s="82">
        <v>24290</v>
      </c>
      <c r="F1111" s="82">
        <v>941</v>
      </c>
      <c r="G1111" s="82">
        <v>486</v>
      </c>
      <c r="H1111" s="84">
        <v>19.5</v>
      </c>
      <c r="I1111" s="84">
        <v>18346</v>
      </c>
      <c r="J1111" s="84">
        <v>20.2</v>
      </c>
    </row>
    <row r="1112" spans="1:10" ht="16">
      <c r="A1112" s="79" t="s">
        <v>1291</v>
      </c>
      <c r="B1112" s="79" t="s">
        <v>1209</v>
      </c>
      <c r="C1112" s="80" t="s">
        <v>95</v>
      </c>
      <c r="D1112" s="81" t="s">
        <v>101</v>
      </c>
      <c r="E1112" s="82">
        <v>15356</v>
      </c>
      <c r="F1112" s="82">
        <v>903</v>
      </c>
      <c r="G1112" s="82">
        <v>3378</v>
      </c>
      <c r="H1112" s="84">
        <v>14.8</v>
      </c>
      <c r="I1112" s="84">
        <v>5735</v>
      </c>
      <c r="J1112" s="84">
        <v>18.7</v>
      </c>
    </row>
    <row r="1113" spans="1:10" ht="16">
      <c r="A1113" s="79" t="s">
        <v>1068</v>
      </c>
      <c r="B1113" s="79" t="s">
        <v>1039</v>
      </c>
      <c r="C1113" s="80" t="s">
        <v>95</v>
      </c>
      <c r="D1113" s="81" t="s">
        <v>78</v>
      </c>
      <c r="E1113" s="82">
        <v>25455</v>
      </c>
      <c r="F1113" s="82">
        <v>1675</v>
      </c>
      <c r="G1113" s="82">
        <v>2036</v>
      </c>
      <c r="H1113" s="84">
        <v>16.600000000000001</v>
      </c>
      <c r="I1113" s="84">
        <v>7806</v>
      </c>
      <c r="J1113" s="84">
        <v>21.8</v>
      </c>
    </row>
    <row r="1114" spans="1:10" ht="16">
      <c r="A1114" s="79" t="s">
        <v>238</v>
      </c>
      <c r="B1114" s="79" t="s">
        <v>231</v>
      </c>
      <c r="C1114" s="80" t="s">
        <v>126</v>
      </c>
      <c r="D1114" s="81" t="s">
        <v>101</v>
      </c>
      <c r="E1114" s="82">
        <v>22818</v>
      </c>
      <c r="F1114" s="82">
        <v>939</v>
      </c>
      <c r="G1114" s="82">
        <v>456</v>
      </c>
      <c r="H1114" s="84">
        <v>14.2</v>
      </c>
      <c r="I1114" s="84">
        <v>1726</v>
      </c>
      <c r="J1114" s="84">
        <v>16.2</v>
      </c>
    </row>
    <row r="1115" spans="1:10" ht="16">
      <c r="A1115" s="79" t="s">
        <v>888</v>
      </c>
      <c r="B1115" s="79" t="s">
        <v>877</v>
      </c>
      <c r="C1115" s="80" t="s">
        <v>95</v>
      </c>
      <c r="D1115" s="81" t="s">
        <v>101</v>
      </c>
      <c r="E1115" s="82">
        <v>26206</v>
      </c>
      <c r="F1115" s="82">
        <v>771</v>
      </c>
      <c r="G1115" s="82">
        <v>1824</v>
      </c>
      <c r="H1115" s="84">
        <v>8.3000000000000007</v>
      </c>
      <c r="I1115" s="84">
        <v>875</v>
      </c>
      <c r="J1115" s="84">
        <v>11.7</v>
      </c>
    </row>
    <row r="1116" spans="1:10" ht="16">
      <c r="A1116" s="79" t="s">
        <v>223</v>
      </c>
      <c r="B1116" s="79" t="s">
        <v>203</v>
      </c>
      <c r="C1116" s="80" t="s">
        <v>95</v>
      </c>
      <c r="D1116" s="81" t="s">
        <v>78</v>
      </c>
      <c r="E1116" s="82">
        <v>17194</v>
      </c>
      <c r="F1116" s="82">
        <v>971</v>
      </c>
      <c r="G1116" s="82">
        <v>3439</v>
      </c>
      <c r="H1116" s="84">
        <v>26.9</v>
      </c>
      <c r="I1116" s="84">
        <v>12981</v>
      </c>
      <c r="J1116" s="84">
        <v>35.9</v>
      </c>
    </row>
    <row r="1117" spans="1:10" ht="16">
      <c r="A1117" s="79" t="s">
        <v>649</v>
      </c>
      <c r="B1117" s="79" t="s">
        <v>617</v>
      </c>
      <c r="C1117" s="80" t="s">
        <v>95</v>
      </c>
      <c r="D1117" s="81" t="s">
        <v>78</v>
      </c>
      <c r="E1117" s="82">
        <v>12993</v>
      </c>
      <c r="F1117" s="82">
        <v>539</v>
      </c>
      <c r="G1117" s="82">
        <v>260</v>
      </c>
      <c r="H1117" s="84">
        <v>17.2</v>
      </c>
      <c r="I1117" s="84">
        <v>8250</v>
      </c>
      <c r="J1117" s="84">
        <v>22.2</v>
      </c>
    </row>
    <row r="1118" spans="1:10" ht="16">
      <c r="A1118" s="79" t="s">
        <v>309</v>
      </c>
      <c r="B1118" s="79" t="s">
        <v>242</v>
      </c>
      <c r="C1118" s="80" t="s">
        <v>126</v>
      </c>
      <c r="D1118" s="81" t="s">
        <v>79</v>
      </c>
      <c r="E1118" s="82">
        <v>24232</v>
      </c>
      <c r="F1118" s="82">
        <v>1648</v>
      </c>
      <c r="G1118" s="82">
        <v>969</v>
      </c>
      <c r="H1118" s="84">
        <v>25.2</v>
      </c>
      <c r="I1118" s="84">
        <v>7457</v>
      </c>
      <c r="J1118" s="84">
        <v>27.2</v>
      </c>
    </row>
    <row r="1119" spans="1:10" ht="16">
      <c r="A1119" s="79" t="s">
        <v>310</v>
      </c>
      <c r="B1119" s="79" t="s">
        <v>242</v>
      </c>
      <c r="C1119" s="80" t="s">
        <v>126</v>
      </c>
      <c r="D1119" s="81" t="s">
        <v>111</v>
      </c>
      <c r="E1119" s="82">
        <v>16245</v>
      </c>
      <c r="F1119" s="82">
        <v>2110</v>
      </c>
      <c r="G1119" s="82">
        <v>650</v>
      </c>
      <c r="H1119" s="84">
        <v>59.5</v>
      </c>
      <c r="I1119" s="84">
        <v>44506</v>
      </c>
      <c r="J1119" s="84">
        <v>64.599999999999994</v>
      </c>
    </row>
    <row r="1120" spans="1:10" ht="16">
      <c r="A1120" s="79" t="s">
        <v>98</v>
      </c>
      <c r="B1120" s="79" t="s">
        <v>94</v>
      </c>
      <c r="C1120" s="80" t="s">
        <v>95</v>
      </c>
      <c r="D1120" s="81" t="s">
        <v>99</v>
      </c>
      <c r="E1120" s="82">
        <v>22049</v>
      </c>
      <c r="F1120" s="82">
        <v>1885</v>
      </c>
      <c r="G1120" s="82">
        <v>441</v>
      </c>
      <c r="H1120" s="84">
        <v>7.1</v>
      </c>
      <c r="I1120" s="84">
        <v>507</v>
      </c>
      <c r="J1120" s="84">
        <v>18.899999999999999</v>
      </c>
    </row>
    <row r="1121" spans="1:10" ht="16">
      <c r="A1121" s="79" t="s">
        <v>100</v>
      </c>
      <c r="B1121" s="79" t="s">
        <v>94</v>
      </c>
      <c r="C1121" s="80" t="s">
        <v>95</v>
      </c>
      <c r="D1121" s="81" t="s">
        <v>101</v>
      </c>
      <c r="E1121" s="82">
        <v>41865</v>
      </c>
      <c r="F1121" s="82">
        <v>1861</v>
      </c>
      <c r="G1121" s="82">
        <v>419</v>
      </c>
      <c r="H1121" s="84">
        <v>7.5</v>
      </c>
      <c r="I1121" s="84">
        <v>614</v>
      </c>
      <c r="J1121" s="84">
        <v>16.100000000000001</v>
      </c>
    </row>
    <row r="1122" spans="1:10" ht="16">
      <c r="A1122" s="79" t="s">
        <v>1034</v>
      </c>
      <c r="B1122" s="79" t="s">
        <v>1007</v>
      </c>
      <c r="C1122" s="80" t="s">
        <v>95</v>
      </c>
      <c r="D1122" s="81" t="s">
        <v>77</v>
      </c>
      <c r="E1122" s="82">
        <v>8807</v>
      </c>
      <c r="F1122" s="82">
        <v>531</v>
      </c>
      <c r="G1122" s="82">
        <v>440</v>
      </c>
      <c r="H1122" s="84">
        <v>18.2</v>
      </c>
      <c r="I1122" s="84">
        <v>4502</v>
      </c>
      <c r="J1122" s="84">
        <v>22.6</v>
      </c>
    </row>
    <row r="1123" spans="1:10" ht="16">
      <c r="A1123" s="79" t="s">
        <v>1069</v>
      </c>
      <c r="B1123" s="79" t="s">
        <v>1039</v>
      </c>
      <c r="C1123" s="80" t="s">
        <v>95</v>
      </c>
      <c r="D1123" s="81" t="s">
        <v>101</v>
      </c>
      <c r="E1123" s="82">
        <v>62811</v>
      </c>
      <c r="F1123" s="82">
        <v>3049</v>
      </c>
      <c r="G1123" s="82">
        <v>3769</v>
      </c>
      <c r="H1123" s="84">
        <v>18.7</v>
      </c>
      <c r="I1123" s="84">
        <v>6846</v>
      </c>
      <c r="J1123" s="84">
        <v>25.4</v>
      </c>
    </row>
    <row r="1124" spans="1:10" ht="16">
      <c r="A1124" s="79" t="s">
        <v>1157</v>
      </c>
      <c r="B1124" s="79" t="s">
        <v>1154</v>
      </c>
      <c r="C1124" s="80" t="s">
        <v>95</v>
      </c>
      <c r="D1124" s="81" t="s">
        <v>149</v>
      </c>
      <c r="E1124" s="82">
        <v>32178</v>
      </c>
      <c r="F1124" s="82">
        <v>2384</v>
      </c>
      <c r="G1124" s="82">
        <v>322</v>
      </c>
      <c r="H1124" s="84">
        <v>10.4</v>
      </c>
      <c r="I1124" s="84">
        <v>1806</v>
      </c>
      <c r="J1124" s="84">
        <v>28.9</v>
      </c>
    </row>
    <row r="1125" spans="1:10" ht="16">
      <c r="A1125" s="79" t="s">
        <v>1207</v>
      </c>
      <c r="B1125" s="79" t="s">
        <v>1204</v>
      </c>
      <c r="C1125" s="80" t="s">
        <v>95</v>
      </c>
      <c r="D1125" s="81" t="s">
        <v>101</v>
      </c>
      <c r="E1125" s="82">
        <v>14286</v>
      </c>
      <c r="F1125" s="82">
        <v>687</v>
      </c>
      <c r="G1125" s="82">
        <v>8572</v>
      </c>
      <c r="H1125" s="84">
        <v>11.8</v>
      </c>
      <c r="I1125" s="84">
        <v>4610</v>
      </c>
      <c r="J1125" s="84">
        <v>19.5</v>
      </c>
    </row>
    <row r="1126" spans="1:10" ht="16">
      <c r="A1126" s="79" t="s">
        <v>1292</v>
      </c>
      <c r="B1126" s="79" t="s">
        <v>1209</v>
      </c>
      <c r="C1126" s="80" t="s">
        <v>126</v>
      </c>
      <c r="D1126" s="81" t="s">
        <v>79</v>
      </c>
      <c r="E1126" s="82">
        <v>26218</v>
      </c>
      <c r="F1126" s="82">
        <v>1748</v>
      </c>
      <c r="G1126" s="82">
        <v>8914</v>
      </c>
      <c r="H1126" s="84">
        <v>46.4</v>
      </c>
      <c r="I1126" s="84">
        <v>38542</v>
      </c>
      <c r="J1126" s="84">
        <v>45.2</v>
      </c>
    </row>
    <row r="1127" spans="1:10" ht="16">
      <c r="A1127" s="79" t="s">
        <v>760</v>
      </c>
      <c r="B1127" s="79" t="s">
        <v>661</v>
      </c>
      <c r="C1127" s="80" t="s">
        <v>95</v>
      </c>
      <c r="D1127" s="81" t="s">
        <v>103</v>
      </c>
      <c r="E1127" s="82">
        <v>3002</v>
      </c>
      <c r="F1127" s="82">
        <v>259</v>
      </c>
      <c r="G1127" s="82">
        <v>90</v>
      </c>
      <c r="H1127" s="84">
        <v>11.9</v>
      </c>
      <c r="I1127" s="84">
        <v>1617</v>
      </c>
      <c r="J1127" s="84">
        <v>20.9</v>
      </c>
    </row>
    <row r="1128" spans="1:10" ht="16">
      <c r="A1128" s="79" t="s">
        <v>461</v>
      </c>
      <c r="B1128" s="79" t="s">
        <v>421</v>
      </c>
      <c r="C1128" s="80" t="s">
        <v>126</v>
      </c>
      <c r="D1128" s="81" t="s">
        <v>101</v>
      </c>
      <c r="E1128" s="82">
        <v>19268</v>
      </c>
      <c r="F1128" s="82">
        <v>456</v>
      </c>
      <c r="G1128" s="82">
        <v>2312</v>
      </c>
      <c r="H1128" s="84">
        <v>25.3</v>
      </c>
      <c r="I1128" s="84">
        <v>14486</v>
      </c>
      <c r="J1128" s="84">
        <v>21.3</v>
      </c>
    </row>
    <row r="1129" spans="1:10" ht="16">
      <c r="A1129" s="79" t="s">
        <v>650</v>
      </c>
      <c r="B1129" s="79" t="s">
        <v>617</v>
      </c>
      <c r="C1129" s="80" t="s">
        <v>95</v>
      </c>
      <c r="D1129" s="81" t="s">
        <v>101</v>
      </c>
      <c r="E1129" s="82">
        <v>12636</v>
      </c>
      <c r="F1129" s="82">
        <v>854</v>
      </c>
      <c r="G1129" s="82">
        <v>1011</v>
      </c>
      <c r="H1129" s="84">
        <v>21.6</v>
      </c>
      <c r="I1129" s="84">
        <v>14668</v>
      </c>
      <c r="J1129" s="84">
        <v>37.9</v>
      </c>
    </row>
    <row r="1130" spans="1:10" ht="16">
      <c r="A1130" s="79" t="s">
        <v>907</v>
      </c>
      <c r="B1130" s="79" t="s">
        <v>898</v>
      </c>
      <c r="C1130" s="80" t="s">
        <v>95</v>
      </c>
      <c r="D1130" s="81" t="s">
        <v>78</v>
      </c>
      <c r="E1130" s="82">
        <v>24174</v>
      </c>
      <c r="F1130" s="82">
        <v>1889</v>
      </c>
      <c r="G1130" s="82">
        <v>725</v>
      </c>
      <c r="H1130" s="84">
        <v>8.8000000000000007</v>
      </c>
      <c r="I1130" s="84">
        <v>1669</v>
      </c>
      <c r="J1130" s="84">
        <v>18.100000000000001</v>
      </c>
    </row>
    <row r="1131" spans="1:10" ht="16">
      <c r="A1131" s="79" t="s">
        <v>829</v>
      </c>
      <c r="B1131" s="79" t="s">
        <v>817</v>
      </c>
      <c r="C1131" s="80" t="s">
        <v>95</v>
      </c>
      <c r="D1131" s="81" t="s">
        <v>103</v>
      </c>
      <c r="E1131" s="82">
        <v>29921</v>
      </c>
      <c r="F1131" s="82">
        <v>1432</v>
      </c>
      <c r="G1131" s="82">
        <v>299</v>
      </c>
      <c r="H1131" s="84">
        <v>7.4</v>
      </c>
      <c r="I1131" s="84">
        <v>683</v>
      </c>
      <c r="J1131" s="84">
        <v>13.9</v>
      </c>
    </row>
    <row r="1132" spans="1:10" ht="16">
      <c r="A1132" s="79" t="s">
        <v>1158</v>
      </c>
      <c r="B1132" s="79" t="s">
        <v>1154</v>
      </c>
      <c r="C1132" s="80" t="s">
        <v>95</v>
      </c>
      <c r="D1132" s="81" t="s">
        <v>103</v>
      </c>
      <c r="E1132" s="82">
        <v>25335</v>
      </c>
      <c r="F1132" s="82">
        <v>2282</v>
      </c>
      <c r="G1132" s="82">
        <v>253</v>
      </c>
      <c r="H1132" s="84">
        <v>7.8</v>
      </c>
      <c r="I1132" s="84">
        <v>1062</v>
      </c>
      <c r="J1132" s="84">
        <v>22.7</v>
      </c>
    </row>
    <row r="1133" spans="1:10" ht="16">
      <c r="A1133" s="79" t="s">
        <v>1003</v>
      </c>
      <c r="B1133" s="79" t="s">
        <v>996</v>
      </c>
      <c r="C1133" s="80" t="s">
        <v>95</v>
      </c>
      <c r="D1133" s="81" t="s">
        <v>77</v>
      </c>
      <c r="E1133" s="82">
        <v>193874</v>
      </c>
      <c r="F1133" s="82">
        <v>1249</v>
      </c>
      <c r="G1133" s="82">
        <v>13571</v>
      </c>
      <c r="H1133" s="84">
        <v>19.100000000000001</v>
      </c>
      <c r="I1133" s="84">
        <v>2867</v>
      </c>
      <c r="J1133" s="84">
        <v>22.1</v>
      </c>
    </row>
    <row r="1134" spans="1:10" ht="16">
      <c r="A1134" s="79" t="s">
        <v>134</v>
      </c>
      <c r="B1134" s="79" t="s">
        <v>108</v>
      </c>
      <c r="C1134" s="80" t="s">
        <v>95</v>
      </c>
      <c r="D1134" s="81" t="s">
        <v>76</v>
      </c>
      <c r="E1134" s="82">
        <v>20268</v>
      </c>
      <c r="F1134" s="82">
        <v>665</v>
      </c>
      <c r="G1134" s="82">
        <v>5067</v>
      </c>
      <c r="H1134" s="84">
        <v>39.4</v>
      </c>
      <c r="I1134" s="84">
        <v>25959</v>
      </c>
      <c r="J1134" s="84">
        <v>31.5</v>
      </c>
    </row>
    <row r="1135" spans="1:10" ht="16">
      <c r="A1135" s="79" t="s">
        <v>1450</v>
      </c>
      <c r="B1135" s="79" t="s">
        <v>1307</v>
      </c>
      <c r="C1135" s="80" t="s">
        <v>95</v>
      </c>
      <c r="D1135" s="81" t="s">
        <v>77</v>
      </c>
      <c r="E1135" s="82">
        <v>32291</v>
      </c>
      <c r="F1135" s="82">
        <v>1993</v>
      </c>
      <c r="G1135" s="82">
        <v>1615</v>
      </c>
      <c r="H1135" s="84">
        <v>25.5</v>
      </c>
      <c r="I1135" s="84">
        <v>16300</v>
      </c>
      <c r="J1135" s="84">
        <v>33.200000000000003</v>
      </c>
    </row>
    <row r="1136" spans="1:10" ht="16">
      <c r="A1136" s="79" t="s">
        <v>311</v>
      </c>
      <c r="B1136" s="79" t="s">
        <v>242</v>
      </c>
      <c r="C1136" s="80" t="s">
        <v>95</v>
      </c>
      <c r="D1136" s="81" t="s">
        <v>103</v>
      </c>
      <c r="E1136" s="82">
        <v>21401</v>
      </c>
      <c r="F1136" s="82">
        <v>2140</v>
      </c>
      <c r="G1136" s="82">
        <v>1473</v>
      </c>
      <c r="H1136" s="84">
        <v>9.6999999999999993</v>
      </c>
      <c r="I1136" s="84">
        <v>1065</v>
      </c>
      <c r="J1136" s="84">
        <v>19.2</v>
      </c>
    </row>
    <row r="1137" spans="1:10" ht="16">
      <c r="A1137" s="79" t="s">
        <v>1451</v>
      </c>
      <c r="B1137" s="79" t="s">
        <v>1307</v>
      </c>
      <c r="C1137" s="80" t="s">
        <v>95</v>
      </c>
      <c r="D1137" s="81" t="s">
        <v>103</v>
      </c>
      <c r="E1137" s="82">
        <v>14542</v>
      </c>
      <c r="F1137" s="82">
        <v>414</v>
      </c>
      <c r="G1137" s="82">
        <v>436</v>
      </c>
      <c r="H1137" s="84">
        <v>15.6</v>
      </c>
      <c r="I1137" s="84">
        <v>7335</v>
      </c>
      <c r="J1137" s="84">
        <v>31.2</v>
      </c>
    </row>
    <row r="1138" spans="1:10" ht="16">
      <c r="A1138" s="79" t="s">
        <v>1452</v>
      </c>
      <c r="B1138" s="79" t="s">
        <v>1307</v>
      </c>
      <c r="C1138" s="80" t="s">
        <v>95</v>
      </c>
      <c r="D1138" s="81" t="s">
        <v>78</v>
      </c>
      <c r="E1138" s="82">
        <v>33885</v>
      </c>
      <c r="F1138" s="82">
        <v>1793</v>
      </c>
      <c r="G1138" s="82">
        <v>4744</v>
      </c>
      <c r="H1138" s="84">
        <v>34.200000000000003</v>
      </c>
      <c r="I1138" s="84">
        <v>29940</v>
      </c>
      <c r="J1138" s="84">
        <v>30.5</v>
      </c>
    </row>
    <row r="1139" spans="1:10" ht="16">
      <c r="A1139" s="79" t="s">
        <v>1293</v>
      </c>
      <c r="B1139" s="79" t="s">
        <v>1209</v>
      </c>
      <c r="C1139" s="80" t="s">
        <v>95</v>
      </c>
      <c r="D1139" s="81" t="s">
        <v>99</v>
      </c>
      <c r="E1139" s="82">
        <v>15664</v>
      </c>
      <c r="F1139" s="82">
        <v>1058</v>
      </c>
      <c r="G1139" s="82">
        <v>2976</v>
      </c>
      <c r="H1139" s="84">
        <v>9.1999999999999993</v>
      </c>
      <c r="I1139" s="84">
        <v>2579</v>
      </c>
      <c r="J1139" s="84">
        <v>16.2</v>
      </c>
    </row>
    <row r="1140" spans="1:10" ht="16">
      <c r="A1140" s="79" t="s">
        <v>1294</v>
      </c>
      <c r="B1140" s="79" t="s">
        <v>1209</v>
      </c>
      <c r="C1140" s="80" t="s">
        <v>95</v>
      </c>
      <c r="D1140" s="81" t="s">
        <v>76</v>
      </c>
      <c r="E1140" s="82">
        <v>23863</v>
      </c>
      <c r="F1140" s="82">
        <v>1742</v>
      </c>
      <c r="G1140" s="82">
        <v>8113</v>
      </c>
      <c r="H1140" s="84">
        <v>44.3</v>
      </c>
      <c r="I1140" s="84">
        <v>39052</v>
      </c>
      <c r="J1140" s="84">
        <v>40.200000000000003</v>
      </c>
    </row>
    <row r="1141" spans="1:10" ht="16">
      <c r="A1141" s="79" t="s">
        <v>1453</v>
      </c>
      <c r="B1141" s="79" t="s">
        <v>1307</v>
      </c>
      <c r="C1141" s="80" t="s">
        <v>95</v>
      </c>
      <c r="D1141" s="81" t="s">
        <v>101</v>
      </c>
      <c r="E1141" s="82">
        <v>36929</v>
      </c>
      <c r="F1141" s="82">
        <v>3156</v>
      </c>
      <c r="G1141" s="82">
        <v>9232</v>
      </c>
      <c r="H1141" s="84">
        <v>59.3</v>
      </c>
      <c r="I1141" s="84">
        <v>55209</v>
      </c>
      <c r="J1141" s="84">
        <v>54.7</v>
      </c>
    </row>
    <row r="1142" spans="1:10" ht="16">
      <c r="A1142" s="79" t="s">
        <v>361</v>
      </c>
      <c r="B1142" s="79" t="s">
        <v>355</v>
      </c>
      <c r="C1142" s="80" t="s">
        <v>95</v>
      </c>
      <c r="D1142" s="81" t="s">
        <v>79</v>
      </c>
      <c r="E1142" s="82">
        <v>21281</v>
      </c>
      <c r="F1142" s="82">
        <v>1759</v>
      </c>
      <c r="G1142" s="82">
        <v>3618</v>
      </c>
      <c r="H1142" s="84">
        <v>28.1</v>
      </c>
      <c r="I1142" s="84">
        <v>23993</v>
      </c>
      <c r="J1142" s="84">
        <v>21.4</v>
      </c>
    </row>
    <row r="1143" spans="1:10" ht="16">
      <c r="A1143" s="79" t="s">
        <v>135</v>
      </c>
      <c r="B1143" s="79" t="s">
        <v>108</v>
      </c>
      <c r="C1143" s="80" t="s">
        <v>95</v>
      </c>
      <c r="D1143" s="81" t="s">
        <v>79</v>
      </c>
      <c r="E1143" s="82">
        <v>12405</v>
      </c>
      <c r="F1143" s="82">
        <v>481</v>
      </c>
      <c r="G1143" s="82">
        <v>1861</v>
      </c>
      <c r="H1143" s="84">
        <v>19.8</v>
      </c>
      <c r="I1143" s="84">
        <v>10922</v>
      </c>
      <c r="J1143" s="84">
        <v>19.3</v>
      </c>
    </row>
    <row r="1144" spans="1:10" ht="16">
      <c r="A1144" s="79" t="s">
        <v>332</v>
      </c>
      <c r="B1144" s="79" t="s">
        <v>333</v>
      </c>
      <c r="C1144" s="80" t="s">
        <v>126</v>
      </c>
      <c r="D1144" s="81" t="s">
        <v>76</v>
      </c>
      <c r="E1144" s="82">
        <v>20043</v>
      </c>
      <c r="F1144" s="82">
        <v>891</v>
      </c>
      <c r="G1144" s="82">
        <v>401</v>
      </c>
      <c r="H1144" s="84">
        <v>12.3</v>
      </c>
      <c r="I1144" s="84">
        <v>7022</v>
      </c>
      <c r="J1144" s="84">
        <v>15.7</v>
      </c>
    </row>
    <row r="1145" spans="1:10" ht="16">
      <c r="A1145" s="79" t="s">
        <v>1295</v>
      </c>
      <c r="B1145" s="79" t="s">
        <v>1209</v>
      </c>
      <c r="C1145" s="80" t="s">
        <v>95</v>
      </c>
      <c r="D1145" s="81" t="s">
        <v>101</v>
      </c>
      <c r="E1145" s="82">
        <v>9213</v>
      </c>
      <c r="F1145" s="82">
        <v>725</v>
      </c>
      <c r="G1145" s="82">
        <v>4238</v>
      </c>
      <c r="H1145" s="84">
        <v>41.8</v>
      </c>
      <c r="I1145" s="84">
        <v>28372</v>
      </c>
      <c r="J1145" s="84">
        <v>42.2</v>
      </c>
    </row>
    <row r="1146" spans="1:10" ht="16">
      <c r="A1146" s="79" t="s">
        <v>1097</v>
      </c>
      <c r="B1146" s="79" t="s">
        <v>1091</v>
      </c>
      <c r="C1146" s="80" t="s">
        <v>126</v>
      </c>
      <c r="D1146" s="81" t="s">
        <v>149</v>
      </c>
      <c r="E1146" s="82">
        <v>7579</v>
      </c>
      <c r="F1146" s="82">
        <v>642</v>
      </c>
      <c r="G1146" s="82">
        <v>2577</v>
      </c>
      <c r="H1146" s="84">
        <v>19.600000000000001</v>
      </c>
      <c r="I1146" s="84">
        <v>11601</v>
      </c>
      <c r="J1146" s="84">
        <v>30.6</v>
      </c>
    </row>
    <row r="1147" spans="1:10" ht="16">
      <c r="A1147" s="79" t="s">
        <v>1296</v>
      </c>
      <c r="B1147" s="79" t="s">
        <v>1209</v>
      </c>
      <c r="C1147" s="80" t="s">
        <v>95</v>
      </c>
      <c r="D1147" s="81" t="s">
        <v>78</v>
      </c>
      <c r="E1147" s="82">
        <v>9250</v>
      </c>
      <c r="F1147" s="82">
        <v>585</v>
      </c>
      <c r="G1147" s="82">
        <v>2128</v>
      </c>
      <c r="H1147" s="84">
        <v>25.3</v>
      </c>
      <c r="I1147" s="84">
        <v>19109</v>
      </c>
      <c r="J1147" s="84">
        <v>23.6</v>
      </c>
    </row>
    <row r="1148" spans="1:10" ht="16">
      <c r="A1148" s="79" t="s">
        <v>416</v>
      </c>
      <c r="B1148" s="79" t="s">
        <v>396</v>
      </c>
      <c r="C1148" s="80" t="s">
        <v>95</v>
      </c>
      <c r="D1148" s="81" t="s">
        <v>99</v>
      </c>
      <c r="E1148" s="82">
        <v>46898</v>
      </c>
      <c r="F1148" s="82">
        <v>2495</v>
      </c>
      <c r="G1148" s="82">
        <v>9380</v>
      </c>
      <c r="H1148" s="84">
        <v>21.1</v>
      </c>
      <c r="I1148" s="84">
        <v>13168</v>
      </c>
      <c r="J1148" s="84">
        <v>28.7</v>
      </c>
    </row>
    <row r="1149" spans="1:10" ht="16">
      <c r="A1149" s="79" t="s">
        <v>1297</v>
      </c>
      <c r="B1149" s="79" t="s">
        <v>1209</v>
      </c>
      <c r="C1149" s="80" t="s">
        <v>126</v>
      </c>
      <c r="D1149" s="81" t="s">
        <v>99</v>
      </c>
      <c r="E1149" s="82">
        <v>18517</v>
      </c>
      <c r="F1149" s="82">
        <v>975</v>
      </c>
      <c r="G1149" s="82">
        <v>5000</v>
      </c>
      <c r="H1149" s="84">
        <v>31.6</v>
      </c>
      <c r="I1149" s="84">
        <v>16403</v>
      </c>
      <c r="J1149" s="84">
        <v>28.3</v>
      </c>
    </row>
    <row r="1150" spans="1:10" ht="16">
      <c r="A1150" s="79" t="s">
        <v>462</v>
      </c>
      <c r="B1150" s="79" t="s">
        <v>421</v>
      </c>
      <c r="C1150" s="80" t="s">
        <v>126</v>
      </c>
      <c r="D1150" s="81" t="s">
        <v>96</v>
      </c>
      <c r="E1150" s="82">
        <v>26004</v>
      </c>
      <c r="F1150" s="82">
        <v>568</v>
      </c>
      <c r="G1150" s="82">
        <v>5201</v>
      </c>
      <c r="H1150" s="84">
        <v>45.4</v>
      </c>
      <c r="I1150" s="84">
        <v>23793</v>
      </c>
      <c r="J1150" s="84">
        <v>41.8</v>
      </c>
    </row>
    <row r="1151" spans="1:10" ht="16">
      <c r="A1151" s="79" t="s">
        <v>1298</v>
      </c>
      <c r="B1151" s="79" t="s">
        <v>1209</v>
      </c>
      <c r="C1151" s="80" t="s">
        <v>95</v>
      </c>
      <c r="D1151" s="81" t="s">
        <v>96</v>
      </c>
      <c r="E1151" s="82">
        <v>13125</v>
      </c>
      <c r="F1151" s="82">
        <v>820</v>
      </c>
      <c r="G1151" s="82">
        <v>4856</v>
      </c>
      <c r="H1151" s="84">
        <v>34.299999999999997</v>
      </c>
      <c r="I1151" s="84">
        <v>24679</v>
      </c>
      <c r="J1151" s="84">
        <v>30.2</v>
      </c>
    </row>
    <row r="1152" spans="1:10" ht="16">
      <c r="A1152" s="79" t="s">
        <v>1299</v>
      </c>
      <c r="B1152" s="79" t="s">
        <v>1209</v>
      </c>
      <c r="C1152" s="80" t="s">
        <v>95</v>
      </c>
      <c r="D1152" s="81" t="s">
        <v>79</v>
      </c>
      <c r="E1152" s="82">
        <v>14978</v>
      </c>
      <c r="F1152" s="82">
        <v>930</v>
      </c>
      <c r="G1152" s="82">
        <v>5841</v>
      </c>
      <c r="H1152" s="84">
        <v>37.9</v>
      </c>
      <c r="I1152" s="84">
        <v>34810</v>
      </c>
      <c r="J1152" s="84">
        <v>35.299999999999997</v>
      </c>
    </row>
    <row r="1153" spans="1:10" ht="16">
      <c r="A1153" s="79" t="s">
        <v>136</v>
      </c>
      <c r="B1153" s="79" t="s">
        <v>108</v>
      </c>
      <c r="C1153" s="80" t="s">
        <v>95</v>
      </c>
      <c r="D1153" s="81" t="s">
        <v>77</v>
      </c>
      <c r="E1153" s="82">
        <v>45111</v>
      </c>
      <c r="F1153" s="82">
        <v>2244</v>
      </c>
      <c r="G1153" s="82">
        <v>17593</v>
      </c>
      <c r="H1153" s="84">
        <v>61.5</v>
      </c>
      <c r="I1153" s="84">
        <v>55827</v>
      </c>
      <c r="J1153" s="84">
        <v>51</v>
      </c>
    </row>
    <row r="1154" spans="1:10" ht="16">
      <c r="A1154" s="79" t="s">
        <v>489</v>
      </c>
      <c r="B1154" s="79" t="s">
        <v>485</v>
      </c>
      <c r="C1154" s="80" t="s">
        <v>95</v>
      </c>
      <c r="D1154" s="81" t="s">
        <v>99</v>
      </c>
      <c r="E1154" s="82">
        <v>19700</v>
      </c>
      <c r="F1154" s="82">
        <v>1576</v>
      </c>
      <c r="G1154" s="82">
        <v>3152</v>
      </c>
      <c r="H1154" s="84">
        <v>12.4</v>
      </c>
      <c r="I1154" s="84">
        <v>4549</v>
      </c>
      <c r="J1154" s="84">
        <v>21.8</v>
      </c>
    </row>
    <row r="1155" spans="1:10" ht="16">
      <c r="A1155" s="79" t="s">
        <v>590</v>
      </c>
      <c r="B1155" s="79" t="s">
        <v>556</v>
      </c>
      <c r="C1155" s="80" t="s">
        <v>126</v>
      </c>
      <c r="D1155" s="81" t="s">
        <v>103</v>
      </c>
      <c r="E1155" s="82">
        <v>20360</v>
      </c>
      <c r="F1155" s="82">
        <v>771</v>
      </c>
      <c r="G1155" s="82">
        <v>936</v>
      </c>
      <c r="H1155" s="84">
        <v>19.899999999999999</v>
      </c>
      <c r="I1155" s="84">
        <v>8401</v>
      </c>
      <c r="J1155" s="84">
        <v>27.9</v>
      </c>
    </row>
    <row r="1156" spans="1:10" ht="16">
      <c r="A1156" s="79" t="s">
        <v>239</v>
      </c>
      <c r="B1156" s="79" t="s">
        <v>231</v>
      </c>
      <c r="C1156" s="80" t="s">
        <v>126</v>
      </c>
      <c r="D1156" s="81" t="s">
        <v>96</v>
      </c>
      <c r="E1156" s="82">
        <v>10795</v>
      </c>
      <c r="F1156" s="82">
        <v>670</v>
      </c>
      <c r="G1156" s="82">
        <v>108</v>
      </c>
      <c r="H1156" s="84">
        <v>11.2</v>
      </c>
      <c r="I1156" s="84">
        <v>3087</v>
      </c>
      <c r="J1156" s="84">
        <v>15.3</v>
      </c>
    </row>
    <row r="1157" spans="1:10" ht="16">
      <c r="A1157" s="79" t="s">
        <v>386</v>
      </c>
      <c r="B1157" s="79" t="s">
        <v>384</v>
      </c>
      <c r="C1157" s="80" t="s">
        <v>95</v>
      </c>
      <c r="D1157" s="81" t="s">
        <v>149</v>
      </c>
      <c r="E1157" s="82">
        <v>8532</v>
      </c>
      <c r="F1157" s="82">
        <v>736</v>
      </c>
      <c r="G1157" s="82">
        <v>683</v>
      </c>
      <c r="H1157" s="84">
        <v>27.1</v>
      </c>
      <c r="I1157" s="84">
        <v>22405</v>
      </c>
      <c r="J1157" s="84">
        <v>26.8</v>
      </c>
    </row>
    <row r="1158" spans="1:10" ht="16">
      <c r="A1158" s="79" t="s">
        <v>137</v>
      </c>
      <c r="B1158" s="79" t="s">
        <v>108</v>
      </c>
      <c r="C1158" s="80" t="s">
        <v>95</v>
      </c>
      <c r="D1158" s="81" t="s">
        <v>78</v>
      </c>
      <c r="E1158" s="82">
        <v>18219</v>
      </c>
      <c r="F1158" s="82">
        <v>732</v>
      </c>
      <c r="G1158" s="82">
        <v>5466</v>
      </c>
      <c r="H1158" s="84">
        <v>33.700000000000003</v>
      </c>
      <c r="I1158" s="84">
        <v>21280</v>
      </c>
      <c r="J1158" s="84">
        <v>26</v>
      </c>
    </row>
    <row r="1159" spans="1:10" ht="16">
      <c r="A1159" s="79" t="s">
        <v>138</v>
      </c>
      <c r="B1159" s="79" t="s">
        <v>108</v>
      </c>
      <c r="C1159" s="80" t="s">
        <v>95</v>
      </c>
      <c r="D1159" s="81" t="s">
        <v>75</v>
      </c>
      <c r="E1159" s="82">
        <v>26385</v>
      </c>
      <c r="F1159" s="82">
        <v>608</v>
      </c>
      <c r="G1159" s="82">
        <v>8971</v>
      </c>
      <c r="H1159" s="84">
        <v>42.9</v>
      </c>
      <c r="I1159" s="84">
        <v>32323</v>
      </c>
      <c r="J1159" s="84">
        <v>33.5</v>
      </c>
    </row>
    <row r="1160" spans="1:10" ht="16">
      <c r="A1160" s="79" t="s">
        <v>598</v>
      </c>
      <c r="B1160" s="79" t="s">
        <v>597</v>
      </c>
      <c r="C1160" s="80" t="s">
        <v>95</v>
      </c>
      <c r="D1160" s="81" t="s">
        <v>76</v>
      </c>
      <c r="E1160" s="82">
        <v>10450</v>
      </c>
      <c r="F1160" s="82">
        <v>1659</v>
      </c>
      <c r="G1160" s="82">
        <v>727</v>
      </c>
      <c r="H1160" s="84">
        <v>6.9</v>
      </c>
      <c r="I1160" s="84">
        <v>1421</v>
      </c>
      <c r="J1160" s="84">
        <v>20.5</v>
      </c>
    </row>
    <row r="1161" spans="1:10" ht="16">
      <c r="A1161" s="79" t="s">
        <v>591</v>
      </c>
      <c r="B1161" s="79" t="s">
        <v>556</v>
      </c>
      <c r="C1161" s="80" t="s">
        <v>126</v>
      </c>
      <c r="D1161" s="81" t="s">
        <v>101</v>
      </c>
      <c r="E1161" s="82">
        <v>53614</v>
      </c>
      <c r="F1161" s="82">
        <v>2188</v>
      </c>
      <c r="G1161" s="82">
        <v>1072</v>
      </c>
      <c r="H1161" s="84">
        <v>23.5</v>
      </c>
      <c r="I1161" s="84">
        <v>9114</v>
      </c>
      <c r="J1161" s="84">
        <v>36.700000000000003</v>
      </c>
    </row>
    <row r="1162" spans="1:10" ht="16">
      <c r="A1162" s="79" t="s">
        <v>1454</v>
      </c>
      <c r="B1162" s="79" t="s">
        <v>1307</v>
      </c>
      <c r="C1162" s="80" t="s">
        <v>95</v>
      </c>
      <c r="D1162" s="81" t="s">
        <v>101</v>
      </c>
      <c r="E1162" s="82">
        <v>28835</v>
      </c>
      <c r="F1162" s="82">
        <v>1144</v>
      </c>
      <c r="G1162" s="82">
        <v>4325</v>
      </c>
      <c r="H1162" s="84">
        <v>18.3</v>
      </c>
      <c r="I1162" s="84">
        <v>9196</v>
      </c>
      <c r="J1162" s="84">
        <v>21</v>
      </c>
    </row>
    <row r="1163" spans="1:10" ht="16">
      <c r="A1163" s="79" t="s">
        <v>1455</v>
      </c>
      <c r="B1163" s="79" t="s">
        <v>1307</v>
      </c>
      <c r="C1163" s="80" t="s">
        <v>95</v>
      </c>
      <c r="D1163" s="81" t="s">
        <v>77</v>
      </c>
      <c r="E1163" s="82">
        <v>49165</v>
      </c>
      <c r="F1163" s="82">
        <v>2858</v>
      </c>
      <c r="G1163" s="82">
        <v>4917</v>
      </c>
      <c r="H1163" s="84">
        <v>76.2</v>
      </c>
      <c r="I1163" s="84">
        <v>71058</v>
      </c>
      <c r="J1163" s="84">
        <v>68.2</v>
      </c>
    </row>
    <row r="1164" spans="1:10" ht="16">
      <c r="A1164" s="79" t="s">
        <v>1456</v>
      </c>
      <c r="B1164" s="79" t="s">
        <v>1307</v>
      </c>
      <c r="C1164" s="80" t="s">
        <v>126</v>
      </c>
      <c r="D1164" s="81" t="s">
        <v>111</v>
      </c>
      <c r="E1164" s="82">
        <v>22757</v>
      </c>
      <c r="F1164" s="82">
        <v>1054</v>
      </c>
      <c r="G1164" s="82">
        <v>5689</v>
      </c>
      <c r="H1164" s="84">
        <v>29.3</v>
      </c>
      <c r="I1164" s="84">
        <v>24074</v>
      </c>
      <c r="J1164" s="84">
        <v>23.7</v>
      </c>
    </row>
    <row r="1165" spans="1:10" ht="16">
      <c r="A1165" s="79" t="s">
        <v>1457</v>
      </c>
      <c r="B1165" s="79" t="s">
        <v>1307</v>
      </c>
      <c r="C1165" s="80" t="s">
        <v>95</v>
      </c>
      <c r="D1165" s="81" t="s">
        <v>96</v>
      </c>
      <c r="E1165" s="82">
        <v>17089</v>
      </c>
      <c r="F1165" s="82">
        <v>737</v>
      </c>
      <c r="G1165" s="82">
        <v>1367</v>
      </c>
      <c r="H1165" s="84">
        <v>22.9</v>
      </c>
      <c r="I1165" s="84">
        <v>8345</v>
      </c>
      <c r="J1165" s="84">
        <v>21</v>
      </c>
    </row>
    <row r="1166" spans="1:10" ht="16">
      <c r="A1166" s="79" t="s">
        <v>1458</v>
      </c>
      <c r="B1166" s="79" t="s">
        <v>1307</v>
      </c>
      <c r="C1166" s="80" t="s">
        <v>95</v>
      </c>
      <c r="D1166" s="81" t="s">
        <v>99</v>
      </c>
      <c r="E1166" s="82">
        <v>24435</v>
      </c>
      <c r="F1166" s="82">
        <v>997</v>
      </c>
      <c r="G1166" s="82">
        <v>977</v>
      </c>
      <c r="H1166" s="84">
        <v>21.1</v>
      </c>
      <c r="I1166" s="84">
        <v>16482</v>
      </c>
      <c r="J1166" s="84">
        <v>18.100000000000001</v>
      </c>
    </row>
    <row r="1167" spans="1:10" ht="16">
      <c r="A1167" s="79" t="s">
        <v>475</v>
      </c>
      <c r="B1167" s="79" t="s">
        <v>467</v>
      </c>
      <c r="C1167" s="80" t="s">
        <v>95</v>
      </c>
      <c r="D1167" s="81" t="s">
        <v>149</v>
      </c>
      <c r="E1167" s="82">
        <v>13040</v>
      </c>
      <c r="F1167" s="82">
        <v>316</v>
      </c>
      <c r="G1167" s="82">
        <v>130</v>
      </c>
      <c r="H1167" s="84">
        <v>17.8</v>
      </c>
      <c r="I1167" s="84">
        <v>7895</v>
      </c>
      <c r="J1167" s="84">
        <v>18.100000000000001</v>
      </c>
    </row>
    <row r="1168" spans="1:10" ht="16">
      <c r="A1168" s="79" t="s">
        <v>240</v>
      </c>
      <c r="B1168" s="79" t="s">
        <v>231</v>
      </c>
      <c r="C1168" s="80" t="s">
        <v>95</v>
      </c>
      <c r="D1168" s="81" t="s">
        <v>101</v>
      </c>
      <c r="E1168" s="82">
        <v>8402</v>
      </c>
      <c r="F1168" s="82">
        <v>583</v>
      </c>
      <c r="G1168" s="82">
        <v>168</v>
      </c>
      <c r="H1168" s="84">
        <v>10.5</v>
      </c>
      <c r="I1168" s="84">
        <v>1648</v>
      </c>
      <c r="J1168" s="84">
        <v>16.100000000000001</v>
      </c>
    </row>
    <row r="1169" spans="1:10" ht="16">
      <c r="A1169" s="79" t="s">
        <v>328</v>
      </c>
      <c r="B1169" s="79" t="s">
        <v>323</v>
      </c>
      <c r="C1169" s="80" t="s">
        <v>126</v>
      </c>
      <c r="D1169" s="81" t="s">
        <v>77</v>
      </c>
      <c r="E1169" s="82">
        <v>15521</v>
      </c>
      <c r="F1169" s="82">
        <v>1176</v>
      </c>
      <c r="G1169" s="82">
        <v>310</v>
      </c>
      <c r="H1169" s="84">
        <v>15.9</v>
      </c>
      <c r="I1169" s="84">
        <v>7175</v>
      </c>
      <c r="J1169" s="84">
        <v>21.1</v>
      </c>
    </row>
    <row r="1170" spans="1:10" ht="16">
      <c r="A1170" s="79" t="s">
        <v>1477</v>
      </c>
      <c r="B1170" s="79" t="s">
        <v>1478</v>
      </c>
      <c r="C1170" s="80" t="s">
        <v>95</v>
      </c>
      <c r="D1170" s="81" t="s">
        <v>103</v>
      </c>
      <c r="E1170" s="82">
        <v>42198</v>
      </c>
      <c r="F1170" s="82">
        <v>2512</v>
      </c>
      <c r="G1170" s="82">
        <v>4007</v>
      </c>
      <c r="H1170" s="84">
        <v>7.9</v>
      </c>
      <c r="I1170" s="84">
        <v>719</v>
      </c>
      <c r="J1170" s="84">
        <v>15</v>
      </c>
    </row>
    <row r="1171" spans="1:10" ht="16">
      <c r="A1171" s="79" t="s">
        <v>1070</v>
      </c>
      <c r="B1171" s="79" t="s">
        <v>1039</v>
      </c>
      <c r="C1171" s="80" t="s">
        <v>95</v>
      </c>
      <c r="D1171" s="81" t="s">
        <v>77</v>
      </c>
      <c r="E1171" s="82">
        <v>11277</v>
      </c>
      <c r="F1171" s="82">
        <v>881</v>
      </c>
      <c r="G1171" s="82">
        <v>789</v>
      </c>
      <c r="H1171" s="84">
        <v>13.6</v>
      </c>
      <c r="I1171" s="84">
        <v>8044</v>
      </c>
      <c r="J1171" s="84">
        <v>20.3</v>
      </c>
    </row>
    <row r="1172" spans="1:10" ht="16">
      <c r="A1172" s="79" t="s">
        <v>1071</v>
      </c>
      <c r="B1172" s="79" t="s">
        <v>1039</v>
      </c>
      <c r="C1172" s="80" t="s">
        <v>95</v>
      </c>
      <c r="D1172" s="81" t="s">
        <v>101</v>
      </c>
      <c r="E1172" s="82">
        <v>42485</v>
      </c>
      <c r="F1172" s="82">
        <v>2871</v>
      </c>
      <c r="G1172" s="82">
        <v>1699</v>
      </c>
      <c r="H1172" s="84">
        <v>17.100000000000001</v>
      </c>
      <c r="I1172" s="84">
        <v>8110</v>
      </c>
      <c r="J1172" s="84">
        <v>22</v>
      </c>
    </row>
    <row r="1173" spans="1:10" ht="16">
      <c r="A1173" s="79" t="s">
        <v>329</v>
      </c>
      <c r="B1173" s="79" t="s">
        <v>323</v>
      </c>
      <c r="C1173" s="80" t="s">
        <v>95</v>
      </c>
      <c r="D1173" s="81" t="s">
        <v>79</v>
      </c>
      <c r="E1173" s="82">
        <v>14228</v>
      </c>
      <c r="F1173" s="82">
        <v>694</v>
      </c>
      <c r="G1173" s="82">
        <v>427</v>
      </c>
      <c r="H1173" s="84">
        <v>10.9</v>
      </c>
      <c r="I1173" s="84">
        <v>1255</v>
      </c>
      <c r="J1173" s="84">
        <v>15</v>
      </c>
    </row>
    <row r="1174" spans="1:10" ht="16">
      <c r="A1174" s="79" t="s">
        <v>896</v>
      </c>
      <c r="B1174" s="79" t="s">
        <v>895</v>
      </c>
      <c r="C1174" s="80" t="s">
        <v>95</v>
      </c>
      <c r="D1174" s="81" t="s">
        <v>78</v>
      </c>
      <c r="E1174" s="82">
        <v>39877</v>
      </c>
      <c r="F1174" s="82">
        <v>4747</v>
      </c>
      <c r="G1174" s="82">
        <v>399</v>
      </c>
      <c r="H1174" s="84">
        <v>17.2</v>
      </c>
      <c r="I1174" s="84">
        <v>14999</v>
      </c>
      <c r="J1174" s="84">
        <v>24.1</v>
      </c>
    </row>
    <row r="1175" spans="1:10" ht="16">
      <c r="A1175" s="79" t="s">
        <v>889</v>
      </c>
      <c r="B1175" s="79" t="s">
        <v>877</v>
      </c>
      <c r="C1175" s="80" t="s">
        <v>95</v>
      </c>
      <c r="D1175" s="81" t="s">
        <v>101</v>
      </c>
      <c r="E1175" s="82">
        <v>27907</v>
      </c>
      <c r="F1175" s="82">
        <v>1037</v>
      </c>
      <c r="G1175" s="82">
        <v>1942</v>
      </c>
      <c r="H1175" s="84">
        <v>10.4</v>
      </c>
      <c r="I1175" s="84">
        <v>3552</v>
      </c>
      <c r="J1175" s="84">
        <v>19.5</v>
      </c>
    </row>
    <row r="1176" spans="1:10" ht="16">
      <c r="A1176" s="79" t="s">
        <v>761</v>
      </c>
      <c r="B1176" s="79" t="s">
        <v>661</v>
      </c>
      <c r="C1176" s="80" t="s">
        <v>126</v>
      </c>
      <c r="D1176" s="81" t="s">
        <v>76</v>
      </c>
      <c r="E1176" s="82">
        <v>8222</v>
      </c>
      <c r="F1176" s="82">
        <v>754</v>
      </c>
      <c r="G1176" s="82">
        <v>164</v>
      </c>
      <c r="H1176" s="84">
        <v>11.8</v>
      </c>
      <c r="I1176" s="84">
        <v>1786</v>
      </c>
      <c r="J1176" s="84">
        <v>19.2</v>
      </c>
    </row>
    <row r="1177" spans="1:10" ht="16">
      <c r="A1177" s="79" t="s">
        <v>197</v>
      </c>
      <c r="B1177" s="79" t="s">
        <v>169</v>
      </c>
      <c r="C1177" s="80" t="s">
        <v>95</v>
      </c>
      <c r="D1177" s="81" t="s">
        <v>149</v>
      </c>
      <c r="E1177" s="82">
        <v>21715</v>
      </c>
      <c r="F1177" s="82">
        <v>916</v>
      </c>
      <c r="G1177" s="82">
        <v>1495</v>
      </c>
      <c r="H1177" s="84">
        <v>10</v>
      </c>
      <c r="I1177" s="84">
        <v>2150</v>
      </c>
      <c r="J1177" s="84">
        <v>18.399999999999999</v>
      </c>
    </row>
    <row r="1178" spans="1:10" ht="16">
      <c r="A1178" s="79" t="s">
        <v>139</v>
      </c>
      <c r="B1178" s="79" t="s">
        <v>108</v>
      </c>
      <c r="C1178" s="80" t="s">
        <v>95</v>
      </c>
      <c r="D1178" s="81" t="s">
        <v>103</v>
      </c>
      <c r="E1178" s="82">
        <v>9720</v>
      </c>
      <c r="F1178" s="82">
        <v>311</v>
      </c>
      <c r="G1178" s="82">
        <v>1652</v>
      </c>
      <c r="H1178" s="84">
        <v>23.5</v>
      </c>
      <c r="I1178" s="84">
        <v>10854</v>
      </c>
      <c r="J1178" s="84">
        <v>17.3</v>
      </c>
    </row>
    <row r="1179" spans="1:10" ht="16">
      <c r="A1179" s="79" t="s">
        <v>1300</v>
      </c>
      <c r="B1179" s="79" t="s">
        <v>1209</v>
      </c>
      <c r="C1179" s="80" t="s">
        <v>95</v>
      </c>
      <c r="D1179" s="81" t="s">
        <v>103</v>
      </c>
      <c r="E1179" s="82">
        <v>21737</v>
      </c>
      <c r="F1179" s="82">
        <v>1188</v>
      </c>
      <c r="G1179" s="82">
        <v>4565</v>
      </c>
      <c r="H1179" s="84">
        <v>15.2</v>
      </c>
      <c r="I1179" s="84">
        <v>7400</v>
      </c>
      <c r="J1179" s="84">
        <v>17.100000000000001</v>
      </c>
    </row>
    <row r="1180" spans="1:10" ht="16">
      <c r="A1180" s="79" t="s">
        <v>1301</v>
      </c>
      <c r="B1180" s="79" t="s">
        <v>1209</v>
      </c>
      <c r="C1180" s="80" t="s">
        <v>95</v>
      </c>
      <c r="D1180" s="81" t="s">
        <v>99</v>
      </c>
      <c r="E1180" s="82">
        <v>11730</v>
      </c>
      <c r="F1180" s="82">
        <v>524</v>
      </c>
      <c r="G1180" s="82">
        <v>2463</v>
      </c>
      <c r="H1180" s="84">
        <v>13.9</v>
      </c>
      <c r="I1180" s="84">
        <v>10728</v>
      </c>
      <c r="J1180" s="84">
        <v>13.9</v>
      </c>
    </row>
    <row r="1181" spans="1:10" ht="16">
      <c r="A1181" s="79" t="s">
        <v>1004</v>
      </c>
      <c r="B1181" s="79" t="s">
        <v>996</v>
      </c>
      <c r="C1181" s="80" t="s">
        <v>95</v>
      </c>
      <c r="D1181" s="81" t="s">
        <v>99</v>
      </c>
      <c r="E1181" s="82">
        <v>21999</v>
      </c>
      <c r="F1181" s="82">
        <v>721</v>
      </c>
      <c r="G1181" s="82">
        <v>1760</v>
      </c>
      <c r="H1181" s="84">
        <v>20</v>
      </c>
      <c r="I1181" s="84">
        <v>12066</v>
      </c>
      <c r="J1181" s="84">
        <v>18.3</v>
      </c>
    </row>
    <row r="1182" spans="1:10" ht="16">
      <c r="A1182" s="79" t="s">
        <v>1005</v>
      </c>
      <c r="B1182" s="79" t="s">
        <v>996</v>
      </c>
      <c r="C1182" s="80" t="s">
        <v>95</v>
      </c>
      <c r="D1182" s="81" t="s">
        <v>75</v>
      </c>
      <c r="E1182" s="82">
        <v>28521</v>
      </c>
      <c r="F1182" s="82">
        <v>1084</v>
      </c>
      <c r="G1182" s="82">
        <v>2282</v>
      </c>
      <c r="H1182" s="84">
        <v>43.2</v>
      </c>
      <c r="I1182" s="84">
        <v>34051</v>
      </c>
      <c r="J1182" s="84">
        <v>31.2</v>
      </c>
    </row>
    <row r="1183" spans="1:10" ht="16">
      <c r="A1183" s="79" t="s">
        <v>476</v>
      </c>
      <c r="B1183" s="79" t="s">
        <v>467</v>
      </c>
      <c r="C1183" s="80" t="s">
        <v>95</v>
      </c>
      <c r="D1183" s="81" t="s">
        <v>75</v>
      </c>
      <c r="E1183" s="82">
        <v>17004</v>
      </c>
      <c r="F1183" s="82">
        <v>437</v>
      </c>
      <c r="G1183" s="82">
        <v>680</v>
      </c>
      <c r="H1183" s="84">
        <v>20.2</v>
      </c>
      <c r="I1183" s="84">
        <v>9864</v>
      </c>
      <c r="J1183" s="84">
        <v>15.7</v>
      </c>
    </row>
    <row r="1184" spans="1:10" ht="16">
      <c r="A1184" s="79" t="s">
        <v>102</v>
      </c>
      <c r="B1184" s="79" t="s">
        <v>94</v>
      </c>
      <c r="C1184" s="80" t="s">
        <v>95</v>
      </c>
      <c r="D1184" s="81" t="s">
        <v>103</v>
      </c>
      <c r="E1184" s="82">
        <v>43446</v>
      </c>
      <c r="F1184" s="82">
        <v>1773</v>
      </c>
      <c r="G1184" s="82">
        <v>434</v>
      </c>
      <c r="H1184" s="84">
        <v>8.8000000000000007</v>
      </c>
      <c r="I1184" s="84">
        <v>496</v>
      </c>
      <c r="J1184" s="84">
        <v>29.1</v>
      </c>
    </row>
    <row r="1185" spans="1:10" ht="16">
      <c r="A1185" s="79" t="s">
        <v>1459</v>
      </c>
      <c r="B1185" s="79" t="s">
        <v>1307</v>
      </c>
      <c r="C1185" s="80" t="s">
        <v>95</v>
      </c>
      <c r="D1185" s="81" t="s">
        <v>77</v>
      </c>
      <c r="E1185" s="82">
        <v>18587</v>
      </c>
      <c r="F1185" s="82">
        <v>1199</v>
      </c>
      <c r="G1185" s="82">
        <v>2045</v>
      </c>
      <c r="H1185" s="84">
        <v>13.9</v>
      </c>
      <c r="I1185" s="84">
        <v>6807</v>
      </c>
      <c r="J1185" s="84">
        <v>33.700000000000003</v>
      </c>
    </row>
    <row r="1186" spans="1:10" ht="16">
      <c r="A1186" s="79" t="s">
        <v>224</v>
      </c>
      <c r="B1186" s="79" t="s">
        <v>203</v>
      </c>
      <c r="C1186" s="80" t="s">
        <v>95</v>
      </c>
      <c r="D1186" s="81" t="s">
        <v>78</v>
      </c>
      <c r="E1186" s="82">
        <v>73370</v>
      </c>
      <c r="F1186" s="82">
        <v>3650</v>
      </c>
      <c r="G1186" s="82">
        <v>15408</v>
      </c>
      <c r="H1186" s="84">
        <v>89.5</v>
      </c>
      <c r="I1186" s="84">
        <v>83830</v>
      </c>
      <c r="J1186" s="84">
        <v>76.599999999999994</v>
      </c>
    </row>
    <row r="1187" spans="1:10" ht="16">
      <c r="A1187" s="79" t="s">
        <v>417</v>
      </c>
      <c r="B1187" s="79" t="s">
        <v>396</v>
      </c>
      <c r="C1187" s="80" t="s">
        <v>95</v>
      </c>
      <c r="D1187" s="81" t="s">
        <v>75</v>
      </c>
      <c r="E1187" s="82">
        <v>27285</v>
      </c>
      <c r="F1187" s="82">
        <v>1287</v>
      </c>
      <c r="G1187" s="82">
        <v>3001</v>
      </c>
      <c r="H1187" s="84">
        <v>12.5</v>
      </c>
      <c r="I1187" s="84">
        <v>6091</v>
      </c>
      <c r="J1187" s="84">
        <v>30.2</v>
      </c>
    </row>
    <row r="1188" spans="1:10" ht="16">
      <c r="A1188" s="79" t="s">
        <v>762</v>
      </c>
      <c r="B1188" s="79" t="s">
        <v>661</v>
      </c>
      <c r="C1188" s="80" t="s">
        <v>126</v>
      </c>
      <c r="D1188" s="81" t="s">
        <v>76</v>
      </c>
      <c r="E1188" s="82">
        <v>9133</v>
      </c>
      <c r="F1188" s="82">
        <v>761</v>
      </c>
      <c r="G1188" s="82">
        <v>274</v>
      </c>
      <c r="H1188" s="84">
        <v>13</v>
      </c>
      <c r="I1188" s="84">
        <v>2647</v>
      </c>
      <c r="J1188" s="84">
        <v>21.1</v>
      </c>
    </row>
    <row r="1189" spans="1:10" ht="16">
      <c r="A1189" s="79" t="s">
        <v>651</v>
      </c>
      <c r="B1189" s="79" t="s">
        <v>617</v>
      </c>
      <c r="C1189" s="80" t="s">
        <v>95</v>
      </c>
      <c r="D1189" s="81" t="s">
        <v>76</v>
      </c>
      <c r="E1189" s="82">
        <v>12920</v>
      </c>
      <c r="F1189" s="82">
        <v>663</v>
      </c>
      <c r="G1189" s="82">
        <v>904</v>
      </c>
      <c r="H1189" s="84">
        <v>31.7</v>
      </c>
      <c r="I1189" s="84">
        <v>24731</v>
      </c>
      <c r="J1189" s="84">
        <v>27.7</v>
      </c>
    </row>
    <row r="1190" spans="1:10" ht="16">
      <c r="A1190" s="79" t="s">
        <v>652</v>
      </c>
      <c r="B1190" s="79" t="s">
        <v>617</v>
      </c>
      <c r="C1190" s="80" t="s">
        <v>95</v>
      </c>
      <c r="D1190" s="81" t="s">
        <v>76</v>
      </c>
      <c r="E1190" s="82">
        <v>15933</v>
      </c>
      <c r="F1190" s="82">
        <v>678</v>
      </c>
      <c r="G1190" s="82">
        <v>1275</v>
      </c>
      <c r="H1190" s="84">
        <v>22.7</v>
      </c>
      <c r="I1190" s="84">
        <v>15196</v>
      </c>
      <c r="J1190" s="84">
        <v>30.1</v>
      </c>
    </row>
    <row r="1191" spans="1:10" ht="16">
      <c r="A1191" s="79" t="s">
        <v>763</v>
      </c>
      <c r="B1191" s="79" t="s">
        <v>661</v>
      </c>
      <c r="C1191" s="80" t="s">
        <v>126</v>
      </c>
      <c r="D1191" s="81" t="s">
        <v>149</v>
      </c>
      <c r="E1191" s="82">
        <v>16844</v>
      </c>
      <c r="F1191" s="82">
        <v>1239</v>
      </c>
      <c r="G1191" s="82">
        <v>3537</v>
      </c>
      <c r="H1191" s="84">
        <v>37.200000000000003</v>
      </c>
      <c r="I1191" s="84">
        <v>12811</v>
      </c>
      <c r="J1191" s="84">
        <v>43.3</v>
      </c>
    </row>
    <row r="1192" spans="1:10" ht="16">
      <c r="A1192" s="79" t="s">
        <v>1460</v>
      </c>
      <c r="B1192" s="79" t="s">
        <v>1307</v>
      </c>
      <c r="C1192" s="80" t="s">
        <v>126</v>
      </c>
      <c r="D1192" s="81" t="s">
        <v>76</v>
      </c>
      <c r="E1192" s="82">
        <v>5067</v>
      </c>
      <c r="F1192" s="82">
        <v>409</v>
      </c>
      <c r="G1192" s="82">
        <v>811</v>
      </c>
      <c r="H1192" s="84">
        <v>16.2</v>
      </c>
      <c r="I1192" s="84">
        <v>11187</v>
      </c>
      <c r="J1192" s="84">
        <v>33.5</v>
      </c>
    </row>
    <row r="1193" spans="1:10" ht="16">
      <c r="A1193" s="79" t="s">
        <v>1159</v>
      </c>
      <c r="B1193" s="79" t="s">
        <v>1154</v>
      </c>
      <c r="C1193" s="80" t="s">
        <v>95</v>
      </c>
      <c r="D1193" s="81" t="s">
        <v>96</v>
      </c>
      <c r="E1193" s="82">
        <v>33923</v>
      </c>
      <c r="F1193" s="82">
        <v>3359</v>
      </c>
      <c r="G1193" s="82">
        <v>339</v>
      </c>
      <c r="H1193" s="84">
        <v>9.9</v>
      </c>
      <c r="I1193" s="84">
        <v>1826</v>
      </c>
      <c r="J1193" s="84">
        <v>25.6</v>
      </c>
    </row>
    <row r="1194" spans="1:10" ht="16">
      <c r="A1194" s="79" t="s">
        <v>653</v>
      </c>
      <c r="B1194" s="79" t="s">
        <v>617</v>
      </c>
      <c r="C1194" s="80" t="s">
        <v>95</v>
      </c>
      <c r="D1194" s="81" t="s">
        <v>103</v>
      </c>
      <c r="E1194" s="82">
        <v>55957</v>
      </c>
      <c r="F1194" s="82">
        <v>1890</v>
      </c>
      <c r="G1194" s="82">
        <v>4477</v>
      </c>
      <c r="H1194" s="84">
        <v>27.3</v>
      </c>
      <c r="I1194" s="84">
        <v>20565</v>
      </c>
      <c r="J1194" s="84">
        <v>22.6</v>
      </c>
    </row>
    <row r="1195" spans="1:10" ht="16">
      <c r="A1195" s="79" t="s">
        <v>394</v>
      </c>
      <c r="B1195" s="79" t="s">
        <v>388</v>
      </c>
      <c r="C1195" s="80" t="s">
        <v>95</v>
      </c>
      <c r="D1195" s="81" t="s">
        <v>103</v>
      </c>
      <c r="E1195" s="82">
        <v>12785</v>
      </c>
      <c r="F1195" s="82">
        <v>784</v>
      </c>
      <c r="G1195" s="82">
        <v>767</v>
      </c>
      <c r="H1195" s="84">
        <v>30.8</v>
      </c>
      <c r="I1195" s="84">
        <v>22701</v>
      </c>
      <c r="J1195" s="84">
        <v>27.1</v>
      </c>
    </row>
    <row r="1196" spans="1:10" ht="16">
      <c r="A1196" s="79" t="s">
        <v>848</v>
      </c>
      <c r="B1196" s="79" t="s">
        <v>839</v>
      </c>
      <c r="C1196" s="80" t="s">
        <v>126</v>
      </c>
      <c r="D1196" s="81" t="s">
        <v>75</v>
      </c>
      <c r="E1196" s="82">
        <v>7584</v>
      </c>
      <c r="F1196" s="82">
        <v>546</v>
      </c>
      <c r="G1196" s="82">
        <v>2427</v>
      </c>
      <c r="H1196" s="84">
        <v>46.8</v>
      </c>
      <c r="I1196" s="84">
        <v>26044</v>
      </c>
      <c r="J1196" s="84">
        <v>35.200000000000003</v>
      </c>
    </row>
    <row r="1197" spans="1:10" ht="16">
      <c r="A1197" s="79" t="s">
        <v>654</v>
      </c>
      <c r="B1197" s="79" t="s">
        <v>617</v>
      </c>
      <c r="C1197" s="80" t="s">
        <v>95</v>
      </c>
      <c r="D1197" s="81" t="s">
        <v>79</v>
      </c>
      <c r="E1197" s="82">
        <v>11793</v>
      </c>
      <c r="F1197" s="82">
        <v>663</v>
      </c>
      <c r="G1197" s="82">
        <v>826</v>
      </c>
      <c r="H1197" s="84">
        <v>16.100000000000001</v>
      </c>
      <c r="I1197" s="84">
        <v>11105</v>
      </c>
      <c r="J1197" s="84">
        <v>26.2</v>
      </c>
    </row>
    <row r="1198" spans="1:10" ht="16">
      <c r="A1198" s="79" t="s">
        <v>1035</v>
      </c>
      <c r="B1198" s="79" t="s">
        <v>1007</v>
      </c>
      <c r="C1198" s="80" t="s">
        <v>126</v>
      </c>
      <c r="D1198" s="81" t="s">
        <v>77</v>
      </c>
      <c r="E1198" s="82">
        <v>12730</v>
      </c>
      <c r="F1198" s="82">
        <v>1107</v>
      </c>
      <c r="G1198" s="82">
        <v>382</v>
      </c>
      <c r="H1198" s="84">
        <v>23.4</v>
      </c>
      <c r="I1198" s="84">
        <v>14475</v>
      </c>
      <c r="J1198" s="84">
        <v>20.6</v>
      </c>
    </row>
    <row r="1199" spans="1:10" ht="16">
      <c r="A1199" s="79" t="s">
        <v>655</v>
      </c>
      <c r="B1199" s="79" t="s">
        <v>617</v>
      </c>
      <c r="C1199" s="80" t="s">
        <v>95</v>
      </c>
      <c r="D1199" s="81" t="s">
        <v>78</v>
      </c>
      <c r="E1199" s="82">
        <v>14278</v>
      </c>
      <c r="F1199" s="82">
        <v>361</v>
      </c>
      <c r="G1199" s="82">
        <v>857</v>
      </c>
      <c r="H1199" s="84">
        <v>14.6</v>
      </c>
      <c r="I1199" s="84">
        <v>12950</v>
      </c>
      <c r="J1199" s="84">
        <v>17.100000000000001</v>
      </c>
    </row>
    <row r="1200" spans="1:10" ht="16">
      <c r="A1200" s="79" t="s">
        <v>1461</v>
      </c>
      <c r="B1200" s="79" t="s">
        <v>1307</v>
      </c>
      <c r="C1200" s="80" t="s">
        <v>126</v>
      </c>
      <c r="D1200" s="81" t="s">
        <v>79</v>
      </c>
      <c r="E1200" s="82">
        <v>30365</v>
      </c>
      <c r="F1200" s="82">
        <v>2138</v>
      </c>
      <c r="G1200" s="82">
        <v>2429</v>
      </c>
      <c r="H1200" s="84">
        <v>34.700000000000003</v>
      </c>
      <c r="I1200" s="84">
        <v>30057</v>
      </c>
      <c r="J1200" s="84">
        <v>39</v>
      </c>
    </row>
    <row r="1201" spans="1:10" ht="16">
      <c r="A1201" s="79" t="s">
        <v>1072</v>
      </c>
      <c r="B1201" s="79" t="s">
        <v>1039</v>
      </c>
      <c r="C1201" s="80" t="s">
        <v>95</v>
      </c>
      <c r="D1201" s="81" t="s">
        <v>77</v>
      </c>
      <c r="E1201" s="82">
        <v>50311</v>
      </c>
      <c r="F1201" s="82">
        <v>3377</v>
      </c>
      <c r="G1201" s="82">
        <v>6037</v>
      </c>
      <c r="H1201" s="84">
        <v>20.8</v>
      </c>
      <c r="I1201" s="84">
        <v>14742</v>
      </c>
      <c r="J1201" s="84">
        <v>24.6</v>
      </c>
    </row>
    <row r="1202" spans="1:10" ht="16">
      <c r="A1202" s="79" t="s">
        <v>1073</v>
      </c>
      <c r="B1202" s="79" t="s">
        <v>1039</v>
      </c>
      <c r="C1202" s="80" t="s">
        <v>95</v>
      </c>
      <c r="D1202" s="81" t="s">
        <v>99</v>
      </c>
      <c r="E1202" s="82">
        <v>23232</v>
      </c>
      <c r="F1202" s="82">
        <v>1889</v>
      </c>
      <c r="G1202" s="82">
        <v>1394</v>
      </c>
      <c r="H1202" s="84">
        <v>11.8</v>
      </c>
      <c r="I1202" s="84">
        <v>2737</v>
      </c>
      <c r="J1202" s="84">
        <v>21.7</v>
      </c>
    </row>
    <row r="1203" spans="1:10" ht="16">
      <c r="A1203" s="79" t="s">
        <v>890</v>
      </c>
      <c r="B1203" s="79" t="s">
        <v>877</v>
      </c>
      <c r="C1203" s="80" t="s">
        <v>126</v>
      </c>
      <c r="D1203" s="81" t="s">
        <v>111</v>
      </c>
      <c r="E1203" s="82">
        <v>5794</v>
      </c>
      <c r="F1203" s="82">
        <v>203</v>
      </c>
      <c r="G1203" s="82">
        <v>58</v>
      </c>
      <c r="H1203" s="84">
        <v>10.3</v>
      </c>
      <c r="I1203" s="84">
        <v>883</v>
      </c>
      <c r="J1203" s="84">
        <v>14.5</v>
      </c>
    </row>
    <row r="1204" spans="1:10" ht="16">
      <c r="A1204" s="79" t="s">
        <v>225</v>
      </c>
      <c r="B1204" s="79" t="s">
        <v>203</v>
      </c>
      <c r="C1204" s="80" t="s">
        <v>95</v>
      </c>
      <c r="D1204" s="81" t="s">
        <v>79</v>
      </c>
      <c r="E1204" s="82">
        <v>21169</v>
      </c>
      <c r="F1204" s="82">
        <v>824</v>
      </c>
      <c r="G1204" s="82">
        <v>4234</v>
      </c>
      <c r="H1204" s="84">
        <v>15.9</v>
      </c>
      <c r="I1204" s="84">
        <v>11215</v>
      </c>
      <c r="J1204" s="84">
        <v>23.6</v>
      </c>
    </row>
    <row r="1205" spans="1:10" ht="16">
      <c r="A1205" s="79" t="s">
        <v>156</v>
      </c>
      <c r="B1205" s="79" t="s">
        <v>146</v>
      </c>
      <c r="C1205" s="80" t="s">
        <v>95</v>
      </c>
      <c r="D1205" s="81" t="s">
        <v>96</v>
      </c>
      <c r="E1205" s="82">
        <v>33547</v>
      </c>
      <c r="F1205" s="82">
        <v>835</v>
      </c>
      <c r="G1205" s="82">
        <v>9058</v>
      </c>
      <c r="H1205" s="84">
        <v>55.3</v>
      </c>
      <c r="I1205" s="84">
        <v>35727</v>
      </c>
      <c r="J1205" s="84">
        <v>48.1</v>
      </c>
    </row>
    <row r="1206" spans="1:10" ht="16">
      <c r="A1206" s="79" t="s">
        <v>1074</v>
      </c>
      <c r="B1206" s="79" t="s">
        <v>1039</v>
      </c>
      <c r="C1206" s="80" t="s">
        <v>126</v>
      </c>
      <c r="D1206" s="81" t="s">
        <v>96</v>
      </c>
      <c r="E1206" s="82">
        <v>18652</v>
      </c>
      <c r="F1206" s="82">
        <v>1137</v>
      </c>
      <c r="G1206" s="82">
        <v>933</v>
      </c>
      <c r="H1206" s="84">
        <v>14.6</v>
      </c>
      <c r="I1206" s="84">
        <v>5783</v>
      </c>
      <c r="J1206" s="84">
        <v>17.7</v>
      </c>
    </row>
    <row r="1207" spans="1:10" ht="16">
      <c r="A1207" s="79" t="s">
        <v>1462</v>
      </c>
      <c r="B1207" s="79" t="s">
        <v>1307</v>
      </c>
      <c r="C1207" s="80" t="s">
        <v>95</v>
      </c>
      <c r="D1207" s="81" t="s">
        <v>149</v>
      </c>
      <c r="E1207" s="82">
        <v>23116</v>
      </c>
      <c r="F1207" s="82">
        <v>2688</v>
      </c>
      <c r="G1207" s="82">
        <v>2774</v>
      </c>
      <c r="H1207" s="84">
        <v>43.5</v>
      </c>
      <c r="I1207" s="84">
        <v>39788</v>
      </c>
      <c r="J1207" s="84">
        <v>54.4</v>
      </c>
    </row>
    <row r="1208" spans="1:10" ht="16">
      <c r="A1208" s="79" t="s">
        <v>859</v>
      </c>
      <c r="B1208" s="79" t="s">
        <v>853</v>
      </c>
      <c r="C1208" s="80" t="s">
        <v>95</v>
      </c>
      <c r="D1208" s="81" t="s">
        <v>149</v>
      </c>
      <c r="E1208" s="82">
        <v>9892</v>
      </c>
      <c r="F1208" s="82">
        <v>547</v>
      </c>
      <c r="G1208" s="82">
        <v>1879</v>
      </c>
      <c r="H1208" s="84">
        <v>26.3</v>
      </c>
      <c r="I1208" s="84">
        <v>12880</v>
      </c>
      <c r="J1208" s="84">
        <v>20.8</v>
      </c>
    </row>
    <row r="1209" spans="1:10" ht="16">
      <c r="A1209" s="79" t="s">
        <v>908</v>
      </c>
      <c r="B1209" s="79" t="s">
        <v>898</v>
      </c>
      <c r="C1209" s="80" t="s">
        <v>95</v>
      </c>
      <c r="D1209" s="81" t="s">
        <v>103</v>
      </c>
      <c r="E1209" s="82">
        <v>50484</v>
      </c>
      <c r="F1209" s="82">
        <v>3606</v>
      </c>
      <c r="G1209" s="82">
        <v>5048</v>
      </c>
      <c r="H1209" s="84">
        <v>21.5</v>
      </c>
      <c r="I1209" s="84">
        <v>8918</v>
      </c>
      <c r="J1209" s="84">
        <v>25.8</v>
      </c>
    </row>
    <row r="1210" spans="1:10" ht="16">
      <c r="A1210" s="79" t="s">
        <v>1302</v>
      </c>
      <c r="B1210" s="79" t="s">
        <v>1209</v>
      </c>
      <c r="C1210" s="80" t="s">
        <v>126</v>
      </c>
      <c r="D1210" s="81" t="s">
        <v>101</v>
      </c>
      <c r="E1210" s="82">
        <v>20599</v>
      </c>
      <c r="F1210" s="82">
        <v>1561</v>
      </c>
      <c r="G1210" s="82">
        <v>8446</v>
      </c>
      <c r="H1210" s="84">
        <v>52.7</v>
      </c>
      <c r="I1210" s="84">
        <v>46877</v>
      </c>
      <c r="J1210" s="84">
        <v>46.9</v>
      </c>
    </row>
    <row r="1211" spans="1:10" ht="16">
      <c r="A1211" s="79" t="s">
        <v>1463</v>
      </c>
      <c r="B1211" s="79" t="s">
        <v>1307</v>
      </c>
      <c r="C1211" s="80" t="s">
        <v>95</v>
      </c>
      <c r="D1211" s="81" t="s">
        <v>77</v>
      </c>
      <c r="E1211" s="82">
        <v>45692</v>
      </c>
      <c r="F1211" s="82">
        <v>4116</v>
      </c>
      <c r="G1211" s="82">
        <v>7311</v>
      </c>
      <c r="H1211" s="84">
        <v>82.2</v>
      </c>
      <c r="I1211" s="84">
        <v>81094</v>
      </c>
      <c r="J1211" s="84">
        <v>72.2</v>
      </c>
    </row>
    <row r="1212" spans="1:10" ht="16">
      <c r="A1212" s="79" t="s">
        <v>226</v>
      </c>
      <c r="B1212" s="79" t="s">
        <v>203</v>
      </c>
      <c r="C1212" s="80" t="s">
        <v>126</v>
      </c>
      <c r="D1212" s="81" t="s">
        <v>101</v>
      </c>
      <c r="E1212" s="82">
        <v>33519</v>
      </c>
      <c r="F1212" s="82">
        <v>1420</v>
      </c>
      <c r="G1212" s="82">
        <v>6704</v>
      </c>
      <c r="H1212" s="84">
        <v>42.1</v>
      </c>
      <c r="I1212" s="84">
        <v>27935</v>
      </c>
      <c r="J1212" s="84">
        <v>35</v>
      </c>
    </row>
    <row r="1213" spans="1:10" ht="16">
      <c r="A1213" s="79" t="s">
        <v>352</v>
      </c>
      <c r="B1213" s="79" t="s">
        <v>341</v>
      </c>
      <c r="C1213" s="80" t="s">
        <v>95</v>
      </c>
      <c r="D1213" s="81" t="s">
        <v>77</v>
      </c>
      <c r="E1213" s="82">
        <v>10540</v>
      </c>
      <c r="F1213" s="82">
        <v>693</v>
      </c>
      <c r="G1213" s="82">
        <v>527</v>
      </c>
      <c r="H1213" s="84">
        <v>15.7</v>
      </c>
      <c r="I1213" s="84">
        <v>2633</v>
      </c>
      <c r="J1213" s="84">
        <v>18.100000000000001</v>
      </c>
    </row>
    <row r="1214" spans="1:10" ht="16">
      <c r="A1214" s="79" t="s">
        <v>140</v>
      </c>
      <c r="B1214" s="79" t="s">
        <v>108</v>
      </c>
      <c r="C1214" s="80" t="s">
        <v>126</v>
      </c>
      <c r="D1214" s="81" t="s">
        <v>76</v>
      </c>
      <c r="E1214" s="82">
        <v>18400</v>
      </c>
      <c r="F1214" s="82">
        <v>793</v>
      </c>
      <c r="G1214" s="82">
        <v>5336</v>
      </c>
      <c r="H1214" s="84">
        <v>43.9</v>
      </c>
      <c r="I1214" s="84">
        <v>40025</v>
      </c>
      <c r="J1214" s="84">
        <v>32.5</v>
      </c>
    </row>
    <row r="1215" spans="1:10" ht="16">
      <c r="A1215" s="79" t="s">
        <v>1303</v>
      </c>
      <c r="B1215" s="79" t="s">
        <v>1209</v>
      </c>
      <c r="C1215" s="80" t="s">
        <v>95</v>
      </c>
      <c r="D1215" s="81" t="s">
        <v>75</v>
      </c>
      <c r="E1215" s="82">
        <v>16401</v>
      </c>
      <c r="F1215" s="82">
        <v>943</v>
      </c>
      <c r="G1215" s="82">
        <v>7544</v>
      </c>
      <c r="H1215" s="84">
        <v>16.2</v>
      </c>
      <c r="I1215" s="84">
        <v>5972</v>
      </c>
      <c r="J1215" s="84">
        <v>18.2</v>
      </c>
    </row>
    <row r="1216" spans="1:10" ht="16">
      <c r="A1216" s="79" t="s">
        <v>227</v>
      </c>
      <c r="B1216" s="79" t="s">
        <v>203</v>
      </c>
      <c r="C1216" s="80" t="s">
        <v>95</v>
      </c>
      <c r="D1216" s="81" t="s">
        <v>99</v>
      </c>
      <c r="E1216" s="82">
        <v>13140</v>
      </c>
      <c r="F1216" s="82">
        <v>453</v>
      </c>
      <c r="G1216" s="82">
        <v>3022</v>
      </c>
      <c r="H1216" s="84">
        <v>26.6</v>
      </c>
      <c r="I1216" s="84">
        <v>8936</v>
      </c>
      <c r="J1216" s="84">
        <v>33.700000000000003</v>
      </c>
    </row>
    <row r="1217" spans="1:10" ht="16">
      <c r="A1217" s="79" t="s">
        <v>1464</v>
      </c>
      <c r="B1217" s="79" t="s">
        <v>1307</v>
      </c>
      <c r="C1217" s="80" t="s">
        <v>126</v>
      </c>
      <c r="D1217" s="81" t="s">
        <v>111</v>
      </c>
      <c r="E1217" s="82">
        <v>39154</v>
      </c>
      <c r="F1217" s="82">
        <v>3915</v>
      </c>
      <c r="G1217" s="82">
        <v>5090</v>
      </c>
      <c r="H1217" s="84">
        <v>70.3</v>
      </c>
      <c r="I1217" s="84">
        <v>59991</v>
      </c>
      <c r="J1217" s="84">
        <v>68.8</v>
      </c>
    </row>
    <row r="1218" spans="1:10" ht="16">
      <c r="A1218" s="79" t="s">
        <v>1465</v>
      </c>
      <c r="B1218" s="79" t="s">
        <v>1307</v>
      </c>
      <c r="C1218" s="80" t="s">
        <v>95</v>
      </c>
      <c r="D1218" s="81" t="s">
        <v>96</v>
      </c>
      <c r="E1218" s="82">
        <v>20874</v>
      </c>
      <c r="F1218" s="82">
        <v>1082</v>
      </c>
      <c r="G1218" s="82">
        <v>1252</v>
      </c>
      <c r="H1218" s="84">
        <v>22.7</v>
      </c>
      <c r="I1218" s="84">
        <v>15251</v>
      </c>
      <c r="J1218" s="84">
        <v>21.7</v>
      </c>
    </row>
    <row r="1219" spans="1:10" ht="16">
      <c r="A1219" s="79" t="s">
        <v>141</v>
      </c>
      <c r="B1219" s="79" t="s">
        <v>108</v>
      </c>
      <c r="C1219" s="80" t="s">
        <v>95</v>
      </c>
      <c r="D1219" s="81" t="s">
        <v>79</v>
      </c>
      <c r="E1219" s="82">
        <v>18642</v>
      </c>
      <c r="F1219" s="82">
        <v>592</v>
      </c>
      <c r="G1219" s="82">
        <v>5406</v>
      </c>
      <c r="H1219" s="84">
        <v>35</v>
      </c>
      <c r="I1219" s="84">
        <v>26490</v>
      </c>
      <c r="J1219" s="84">
        <v>29.9</v>
      </c>
    </row>
    <row r="1220" spans="1:10" ht="16">
      <c r="A1220" s="79" t="s">
        <v>1304</v>
      </c>
      <c r="B1220" s="79" t="s">
        <v>1209</v>
      </c>
      <c r="C1220" s="80" t="s">
        <v>95</v>
      </c>
      <c r="D1220" s="81" t="s">
        <v>149</v>
      </c>
      <c r="E1220" s="82">
        <v>15687</v>
      </c>
      <c r="F1220" s="82">
        <v>769</v>
      </c>
      <c r="G1220" s="82">
        <v>3294</v>
      </c>
      <c r="H1220" s="84">
        <v>13.3</v>
      </c>
      <c r="I1220" s="84">
        <v>4658</v>
      </c>
      <c r="J1220" s="84">
        <v>15.8</v>
      </c>
    </row>
    <row r="1221" spans="1:10" ht="16">
      <c r="A1221" s="79" t="s">
        <v>463</v>
      </c>
      <c r="B1221" s="79" t="s">
        <v>421</v>
      </c>
      <c r="C1221" s="80" t="s">
        <v>95</v>
      </c>
      <c r="D1221" s="81" t="s">
        <v>77</v>
      </c>
      <c r="E1221" s="82">
        <v>23343</v>
      </c>
      <c r="F1221" s="82">
        <v>418</v>
      </c>
      <c r="G1221" s="82">
        <v>2568</v>
      </c>
      <c r="H1221" s="84">
        <v>17.899999999999999</v>
      </c>
      <c r="I1221" s="84">
        <v>10796</v>
      </c>
      <c r="J1221" s="84">
        <v>25</v>
      </c>
    </row>
    <row r="1222" spans="1:10" ht="16">
      <c r="A1222" s="79" t="s">
        <v>764</v>
      </c>
      <c r="B1222" s="79" t="s">
        <v>661</v>
      </c>
      <c r="C1222" s="80" t="s">
        <v>126</v>
      </c>
      <c r="D1222" s="81" t="s">
        <v>76</v>
      </c>
      <c r="E1222" s="82">
        <v>4659</v>
      </c>
      <c r="F1222" s="82">
        <v>740</v>
      </c>
      <c r="G1222" s="82">
        <v>186</v>
      </c>
      <c r="H1222" s="84">
        <v>10.7</v>
      </c>
      <c r="I1222" s="84">
        <v>2758</v>
      </c>
      <c r="J1222" s="84">
        <v>24</v>
      </c>
    </row>
    <row r="1223" spans="1:10" ht="16">
      <c r="A1223" s="79" t="s">
        <v>1305</v>
      </c>
      <c r="B1223" s="79" t="s">
        <v>1209</v>
      </c>
      <c r="C1223" s="80" t="s">
        <v>95</v>
      </c>
      <c r="D1223" s="81" t="s">
        <v>79</v>
      </c>
      <c r="E1223" s="82">
        <v>16058</v>
      </c>
      <c r="F1223" s="82">
        <v>1078</v>
      </c>
      <c r="G1223" s="82">
        <v>3854</v>
      </c>
      <c r="H1223" s="84">
        <v>46.6</v>
      </c>
      <c r="I1223" s="84">
        <v>39665</v>
      </c>
      <c r="J1223" s="84">
        <v>40.299999999999997</v>
      </c>
    </row>
    <row r="1224" spans="1:10" ht="16">
      <c r="A1224" s="79" t="s">
        <v>334</v>
      </c>
      <c r="B1224" s="79" t="s">
        <v>333</v>
      </c>
      <c r="C1224" s="80" t="s">
        <v>95</v>
      </c>
      <c r="D1224" s="81" t="s">
        <v>79</v>
      </c>
      <c r="E1224" s="82">
        <v>68216</v>
      </c>
      <c r="F1224" s="82">
        <v>3609</v>
      </c>
      <c r="G1224" s="82">
        <v>2046</v>
      </c>
      <c r="H1224" s="84">
        <v>12.9</v>
      </c>
      <c r="I1224" s="84">
        <v>3277</v>
      </c>
      <c r="J1224" s="84">
        <v>17.8</v>
      </c>
    </row>
    <row r="1225" spans="1:10" ht="16">
      <c r="A1225" s="79" t="s">
        <v>592</v>
      </c>
      <c r="B1225" s="79" t="s">
        <v>556</v>
      </c>
      <c r="C1225" s="80" t="s">
        <v>95</v>
      </c>
      <c r="D1225" s="81" t="s">
        <v>77</v>
      </c>
      <c r="E1225" s="82">
        <v>9980</v>
      </c>
      <c r="F1225" s="82">
        <v>398</v>
      </c>
      <c r="G1225" s="82">
        <v>459</v>
      </c>
      <c r="H1225" s="84">
        <v>12.3</v>
      </c>
      <c r="I1225" s="84">
        <v>3515</v>
      </c>
      <c r="J1225" s="84">
        <v>17</v>
      </c>
    </row>
    <row r="1226" spans="1:10" ht="16">
      <c r="A1226" s="79" t="s">
        <v>1075</v>
      </c>
      <c r="B1226" s="79" t="s">
        <v>1039</v>
      </c>
      <c r="C1226" s="80" t="s">
        <v>95</v>
      </c>
      <c r="D1226" s="81" t="s">
        <v>75</v>
      </c>
      <c r="E1226" s="82">
        <v>28211</v>
      </c>
      <c r="F1226" s="82">
        <v>2739</v>
      </c>
      <c r="G1226" s="82">
        <v>1693</v>
      </c>
      <c r="H1226" s="84">
        <v>13.4</v>
      </c>
      <c r="I1226" s="84">
        <v>5911</v>
      </c>
      <c r="J1226" s="84">
        <v>22</v>
      </c>
    </row>
    <row r="1227" spans="1:10" ht="16">
      <c r="A1227" s="79" t="s">
        <v>1098</v>
      </c>
      <c r="B1227" s="79" t="s">
        <v>1091</v>
      </c>
      <c r="C1227" s="80" t="s">
        <v>95</v>
      </c>
      <c r="D1227" s="81" t="s">
        <v>75</v>
      </c>
      <c r="E1227" s="82">
        <v>22609</v>
      </c>
      <c r="F1227" s="82">
        <v>1838</v>
      </c>
      <c r="G1227" s="82">
        <v>4748</v>
      </c>
      <c r="H1227" s="84">
        <v>46.7</v>
      </c>
      <c r="I1227" s="84">
        <v>41266</v>
      </c>
      <c r="J1227" s="84">
        <v>47</v>
      </c>
    </row>
    <row r="1228" spans="1:10" ht="16">
      <c r="A1228" s="79" t="s">
        <v>1076</v>
      </c>
      <c r="B1228" s="79" t="s">
        <v>1039</v>
      </c>
      <c r="C1228" s="80" t="s">
        <v>95</v>
      </c>
      <c r="D1228" s="81" t="s">
        <v>77</v>
      </c>
      <c r="E1228" s="82">
        <v>42079</v>
      </c>
      <c r="F1228" s="82">
        <v>1670</v>
      </c>
      <c r="G1228" s="82">
        <v>4629</v>
      </c>
      <c r="H1228" s="84">
        <v>10.8</v>
      </c>
      <c r="I1228" s="84">
        <v>4419</v>
      </c>
      <c r="J1228" s="84">
        <v>18.600000000000001</v>
      </c>
    </row>
    <row r="1229" spans="1:10" ht="16">
      <c r="A1229" s="79" t="s">
        <v>142</v>
      </c>
      <c r="B1229" s="79" t="s">
        <v>108</v>
      </c>
      <c r="C1229" s="80" t="s">
        <v>126</v>
      </c>
      <c r="D1229" s="81" t="s">
        <v>99</v>
      </c>
      <c r="E1229" s="82">
        <v>44336</v>
      </c>
      <c r="F1229" s="82">
        <v>1242</v>
      </c>
      <c r="G1229" s="82">
        <v>18178</v>
      </c>
      <c r="H1229" s="84">
        <v>58.2</v>
      </c>
      <c r="I1229" s="84">
        <v>48253</v>
      </c>
      <c r="J1229" s="84">
        <v>50.2</v>
      </c>
    </row>
    <row r="1230" spans="1:10" ht="16">
      <c r="A1230" s="79" t="s">
        <v>1089</v>
      </c>
      <c r="B1230" s="79" t="s">
        <v>1081</v>
      </c>
      <c r="C1230" s="80" t="s">
        <v>95</v>
      </c>
      <c r="D1230" s="81" t="s">
        <v>111</v>
      </c>
      <c r="E1230" s="82">
        <v>25438</v>
      </c>
      <c r="F1230" s="82">
        <v>1523</v>
      </c>
      <c r="G1230" s="82">
        <v>3816</v>
      </c>
      <c r="H1230" s="84">
        <v>56.4</v>
      </c>
      <c r="I1230" s="84">
        <v>47945</v>
      </c>
      <c r="J1230" s="84">
        <v>41.6</v>
      </c>
    </row>
    <row r="1231" spans="1:10" ht="16">
      <c r="A1231" s="79" t="s">
        <v>974</v>
      </c>
      <c r="B1231" s="79" t="s">
        <v>938</v>
      </c>
      <c r="C1231" s="80" t="s">
        <v>126</v>
      </c>
      <c r="D1231" s="81" t="s">
        <v>101</v>
      </c>
      <c r="E1231" s="82">
        <v>25000</v>
      </c>
      <c r="F1231" s="82">
        <v>2155</v>
      </c>
      <c r="G1231" s="82">
        <v>2750</v>
      </c>
      <c r="H1231" s="84">
        <v>17</v>
      </c>
      <c r="I1231" s="84">
        <v>2129</v>
      </c>
      <c r="J1231" s="84">
        <v>23.8</v>
      </c>
    </row>
    <row r="1232" spans="1:10" ht="16">
      <c r="A1232" s="79" t="s">
        <v>593</v>
      </c>
      <c r="B1232" s="79" t="s">
        <v>556</v>
      </c>
      <c r="C1232" s="80" t="s">
        <v>126</v>
      </c>
      <c r="D1232" s="81" t="s">
        <v>78</v>
      </c>
      <c r="E1232" s="82">
        <v>13500</v>
      </c>
      <c r="F1232" s="82">
        <v>472</v>
      </c>
      <c r="G1232" s="82">
        <v>620</v>
      </c>
      <c r="H1232" s="84">
        <v>12.9</v>
      </c>
      <c r="I1232" s="84">
        <v>2365</v>
      </c>
      <c r="J1232" s="84">
        <v>20</v>
      </c>
    </row>
    <row r="1233" spans="1:10" ht="16">
      <c r="A1233" s="79" t="s">
        <v>849</v>
      </c>
      <c r="B1233" s="79" t="s">
        <v>839</v>
      </c>
      <c r="C1233" s="80" t="s">
        <v>95</v>
      </c>
      <c r="D1233" s="81" t="s">
        <v>96</v>
      </c>
      <c r="E1233" s="82">
        <v>31833</v>
      </c>
      <c r="F1233" s="82">
        <v>2242</v>
      </c>
      <c r="G1233" s="82">
        <v>2865</v>
      </c>
      <c r="H1233" s="84">
        <v>61.2</v>
      </c>
      <c r="I1233" s="84">
        <v>54154</v>
      </c>
      <c r="J1233" s="84">
        <v>44.1</v>
      </c>
    </row>
    <row r="1234" spans="1:10" ht="16">
      <c r="A1234" s="79" t="s">
        <v>765</v>
      </c>
      <c r="B1234" s="79" t="s">
        <v>661</v>
      </c>
      <c r="C1234" s="80" t="s">
        <v>126</v>
      </c>
      <c r="D1234" s="81" t="s">
        <v>96</v>
      </c>
      <c r="E1234" s="82">
        <v>4872</v>
      </c>
      <c r="F1234" s="82">
        <v>364</v>
      </c>
      <c r="G1234" s="82">
        <v>195</v>
      </c>
      <c r="H1234" s="84">
        <v>10.3</v>
      </c>
      <c r="I1234" s="84">
        <v>620</v>
      </c>
      <c r="J1234" s="84">
        <v>18</v>
      </c>
    </row>
    <row r="1235" spans="1:10" ht="16">
      <c r="A1235" s="79" t="s">
        <v>1202</v>
      </c>
      <c r="B1235" s="79" t="s">
        <v>1197</v>
      </c>
      <c r="C1235" s="80" t="s">
        <v>126</v>
      </c>
      <c r="D1235" s="81" t="s">
        <v>99</v>
      </c>
      <c r="E1235" s="82">
        <v>17109</v>
      </c>
      <c r="F1235" s="82">
        <v>1880</v>
      </c>
      <c r="G1235" s="82">
        <v>4277</v>
      </c>
      <c r="H1235" s="84">
        <v>9.3000000000000007</v>
      </c>
      <c r="I1235" s="84">
        <v>840</v>
      </c>
      <c r="J1235" s="84">
        <v>20.6</v>
      </c>
    </row>
    <row r="1236" spans="1:10" ht="16">
      <c r="A1236" s="79" t="s">
        <v>1466</v>
      </c>
      <c r="B1236" s="79" t="s">
        <v>1307</v>
      </c>
      <c r="C1236" s="80" t="s">
        <v>95</v>
      </c>
      <c r="D1236" s="81" t="s">
        <v>77</v>
      </c>
      <c r="E1236" s="82">
        <v>12006</v>
      </c>
      <c r="F1236" s="82">
        <v>4002</v>
      </c>
      <c r="G1236" s="82">
        <v>1681</v>
      </c>
      <c r="H1236" s="84">
        <v>42.1</v>
      </c>
      <c r="I1236" s="84">
        <v>40251</v>
      </c>
      <c r="J1236" s="84">
        <v>48.7</v>
      </c>
    </row>
    <row r="1237" spans="1:10" ht="16">
      <c r="A1237" s="79" t="s">
        <v>656</v>
      </c>
      <c r="B1237" s="79" t="s">
        <v>617</v>
      </c>
      <c r="C1237" s="80" t="s">
        <v>95</v>
      </c>
      <c r="D1237" s="81" t="s">
        <v>75</v>
      </c>
      <c r="E1237" s="82">
        <v>19873</v>
      </c>
      <c r="F1237" s="82">
        <v>723</v>
      </c>
      <c r="G1237" s="82">
        <v>994</v>
      </c>
      <c r="H1237" s="84">
        <v>20.3</v>
      </c>
      <c r="I1237" s="84">
        <v>12975</v>
      </c>
      <c r="J1237" s="84">
        <v>31.5</v>
      </c>
    </row>
    <row r="1238" spans="1:10" ht="16">
      <c r="A1238" s="79" t="s">
        <v>143</v>
      </c>
      <c r="B1238" s="79" t="s">
        <v>108</v>
      </c>
      <c r="C1238" s="80" t="s">
        <v>95</v>
      </c>
      <c r="D1238" s="81" t="s">
        <v>75</v>
      </c>
      <c r="E1238" s="82">
        <v>14815</v>
      </c>
      <c r="F1238" s="82">
        <v>460</v>
      </c>
      <c r="G1238" s="82">
        <v>3407</v>
      </c>
      <c r="H1238" s="84">
        <v>26</v>
      </c>
      <c r="I1238" s="84">
        <v>19611</v>
      </c>
      <c r="J1238" s="84">
        <v>24</v>
      </c>
    </row>
    <row r="1239" spans="1:10" ht="16">
      <c r="A1239" s="79" t="s">
        <v>860</v>
      </c>
      <c r="B1239" s="79" t="s">
        <v>853</v>
      </c>
      <c r="C1239" s="80" t="s">
        <v>95</v>
      </c>
      <c r="D1239" s="81" t="s">
        <v>99</v>
      </c>
      <c r="E1239" s="82">
        <v>17442</v>
      </c>
      <c r="F1239" s="82">
        <v>923</v>
      </c>
      <c r="G1239" s="82">
        <v>3663</v>
      </c>
      <c r="H1239" s="84">
        <v>31.8</v>
      </c>
      <c r="I1239" s="84">
        <v>14506</v>
      </c>
      <c r="J1239" s="84">
        <v>23</v>
      </c>
    </row>
    <row r="1240" spans="1:10" ht="16">
      <c r="A1240" s="79" t="s">
        <v>157</v>
      </c>
      <c r="B1240" s="79" t="s">
        <v>146</v>
      </c>
      <c r="C1240" s="80" t="s">
        <v>126</v>
      </c>
      <c r="D1240" s="81" t="s">
        <v>75</v>
      </c>
      <c r="E1240" s="82">
        <v>10464</v>
      </c>
      <c r="F1240" s="82">
        <v>526</v>
      </c>
      <c r="G1240" s="82">
        <v>3035</v>
      </c>
      <c r="H1240" s="84">
        <v>36.799999999999997</v>
      </c>
      <c r="I1240" s="84">
        <v>16788</v>
      </c>
      <c r="J1240" s="84">
        <v>38.4</v>
      </c>
    </row>
    <row r="1241" spans="1:10" ht="16">
      <c r="A1241" s="79" t="s">
        <v>1481</v>
      </c>
      <c r="B1241" s="79" t="s">
        <v>1480</v>
      </c>
      <c r="C1241" s="80" t="s">
        <v>95</v>
      </c>
      <c r="D1241" s="81" t="s">
        <v>103</v>
      </c>
      <c r="E1241" s="82">
        <v>63479</v>
      </c>
      <c r="F1241" s="82">
        <v>2925</v>
      </c>
      <c r="G1241" s="82">
        <v>635</v>
      </c>
      <c r="H1241" s="84">
        <v>8.6999999999999993</v>
      </c>
      <c r="I1241" s="84">
        <v>1402</v>
      </c>
      <c r="J1241" s="84">
        <v>14.1</v>
      </c>
    </row>
    <row r="1242" spans="1:10" ht="16">
      <c r="A1242" s="79" t="s">
        <v>1482</v>
      </c>
      <c r="B1242" s="79" t="s">
        <v>1480</v>
      </c>
      <c r="C1242" s="80" t="s">
        <v>95</v>
      </c>
      <c r="D1242" s="81" t="s">
        <v>96</v>
      </c>
      <c r="E1242" s="82">
        <v>32944</v>
      </c>
      <c r="F1242" s="82">
        <v>2459</v>
      </c>
      <c r="G1242" s="82">
        <v>329</v>
      </c>
      <c r="H1242" s="84">
        <v>9.1</v>
      </c>
      <c r="I1242" s="84">
        <v>3537</v>
      </c>
      <c r="J1242" s="84">
        <v>21.9</v>
      </c>
    </row>
    <row r="1243" spans="1:10" ht="16">
      <c r="A1243" s="79" t="s">
        <v>793</v>
      </c>
      <c r="B1243" s="79" t="s">
        <v>792</v>
      </c>
      <c r="C1243" s="80" t="s">
        <v>126</v>
      </c>
      <c r="D1243" s="81" t="s">
        <v>111</v>
      </c>
      <c r="E1243" s="82">
        <v>9551</v>
      </c>
      <c r="F1243" s="82">
        <v>677</v>
      </c>
      <c r="G1243" s="82">
        <v>955</v>
      </c>
      <c r="H1243" s="84">
        <v>12.4</v>
      </c>
      <c r="I1243" s="84">
        <v>3959</v>
      </c>
      <c r="J1243" s="84">
        <v>16.2</v>
      </c>
    </row>
    <row r="1244" spans="1:10" ht="16">
      <c r="A1244" s="79" t="s">
        <v>794</v>
      </c>
      <c r="B1244" s="79" t="s">
        <v>792</v>
      </c>
      <c r="C1244" s="80" t="s">
        <v>95</v>
      </c>
      <c r="D1244" s="81" t="s">
        <v>76</v>
      </c>
      <c r="E1244" s="82">
        <v>16216</v>
      </c>
      <c r="F1244" s="82">
        <v>1501</v>
      </c>
      <c r="G1244" s="82">
        <v>1459</v>
      </c>
      <c r="H1244" s="84">
        <v>14.3</v>
      </c>
      <c r="I1244" s="84">
        <v>5308</v>
      </c>
      <c r="J1244" s="84">
        <v>19.899999999999999</v>
      </c>
    </row>
    <row r="1245" spans="1:10" ht="16">
      <c r="A1245" s="79" t="s">
        <v>1467</v>
      </c>
      <c r="B1245" s="79" t="s">
        <v>1307</v>
      </c>
      <c r="C1245" s="80" t="s">
        <v>126</v>
      </c>
      <c r="D1245" s="81" t="s">
        <v>75</v>
      </c>
      <c r="E1245" s="82">
        <v>32838</v>
      </c>
      <c r="F1245" s="82">
        <v>1794</v>
      </c>
      <c r="G1245" s="82">
        <v>4597</v>
      </c>
      <c r="H1245" s="84">
        <v>42.3</v>
      </c>
      <c r="I1245" s="84">
        <v>30035</v>
      </c>
      <c r="J1245" s="84">
        <v>37.5</v>
      </c>
    </row>
    <row r="1246" spans="1:10" ht="16">
      <c r="A1246" s="79" t="s">
        <v>547</v>
      </c>
      <c r="B1246" s="79" t="s">
        <v>493</v>
      </c>
      <c r="C1246" s="80" t="s">
        <v>126</v>
      </c>
      <c r="D1246" s="81" t="s">
        <v>75</v>
      </c>
      <c r="E1246" s="82">
        <v>33380</v>
      </c>
      <c r="F1246" s="82">
        <v>1677</v>
      </c>
      <c r="G1246" s="82">
        <v>334</v>
      </c>
      <c r="H1246" s="84">
        <v>12.6</v>
      </c>
      <c r="I1246" s="84">
        <v>5575</v>
      </c>
      <c r="J1246" s="84">
        <v>20.5</v>
      </c>
    </row>
    <row r="1247" spans="1:10" ht="16">
      <c r="A1247" s="79" t="s">
        <v>657</v>
      </c>
      <c r="B1247" s="79" t="s">
        <v>617</v>
      </c>
      <c r="C1247" s="80" t="s">
        <v>95</v>
      </c>
      <c r="D1247" s="81" t="s">
        <v>99</v>
      </c>
      <c r="E1247" s="82">
        <v>2610</v>
      </c>
      <c r="F1247" s="82">
        <v>244</v>
      </c>
      <c r="G1247" s="82">
        <v>78</v>
      </c>
      <c r="H1247" s="84">
        <v>22.4</v>
      </c>
      <c r="I1247" s="84">
        <v>21876</v>
      </c>
      <c r="J1247" s="84">
        <v>38.700000000000003</v>
      </c>
    </row>
    <row r="1248" spans="1:10" ht="16">
      <c r="A1248" s="79" t="s">
        <v>975</v>
      </c>
      <c r="B1248" s="79" t="s">
        <v>938</v>
      </c>
      <c r="C1248" s="80" t="s">
        <v>126</v>
      </c>
      <c r="D1248" s="81" t="s">
        <v>96</v>
      </c>
      <c r="E1248" s="82">
        <v>14764</v>
      </c>
      <c r="F1248" s="82">
        <v>984</v>
      </c>
      <c r="G1248" s="82">
        <v>1033</v>
      </c>
      <c r="H1248" s="84">
        <v>9.1999999999999993</v>
      </c>
      <c r="I1248" s="84">
        <v>2027</v>
      </c>
      <c r="J1248" s="84">
        <v>15.1</v>
      </c>
    </row>
    <row r="1249" spans="1:10" ht="16">
      <c r="A1249" s="79" t="s">
        <v>976</v>
      </c>
      <c r="B1249" s="79" t="s">
        <v>938</v>
      </c>
      <c r="C1249" s="80" t="s">
        <v>95</v>
      </c>
      <c r="D1249" s="81" t="s">
        <v>96</v>
      </c>
      <c r="E1249" s="82">
        <v>15246</v>
      </c>
      <c r="F1249" s="82">
        <v>1386</v>
      </c>
      <c r="G1249" s="82">
        <v>1525</v>
      </c>
      <c r="H1249" s="84">
        <v>8.6999999999999993</v>
      </c>
      <c r="I1249" s="84">
        <v>368</v>
      </c>
      <c r="J1249" s="84">
        <v>21.1</v>
      </c>
    </row>
    <row r="1250" spans="1:10" ht="16">
      <c r="A1250" s="79" t="s">
        <v>850</v>
      </c>
      <c r="B1250" s="79" t="s">
        <v>839</v>
      </c>
      <c r="C1250" s="80" t="s">
        <v>95</v>
      </c>
      <c r="D1250" s="81" t="s">
        <v>79</v>
      </c>
      <c r="E1250" s="82">
        <v>23025</v>
      </c>
      <c r="F1250" s="82">
        <v>1395</v>
      </c>
      <c r="G1250" s="82">
        <v>2303</v>
      </c>
      <c r="H1250" s="84">
        <v>48.1</v>
      </c>
      <c r="I1250" s="84">
        <v>42521</v>
      </c>
      <c r="J1250" s="84">
        <v>35.700000000000003</v>
      </c>
    </row>
    <row r="1251" spans="1:10" ht="16">
      <c r="A1251" s="79" t="s">
        <v>167</v>
      </c>
      <c r="B1251" s="79" t="s">
        <v>163</v>
      </c>
      <c r="C1251" s="80" t="s">
        <v>95</v>
      </c>
      <c r="D1251" s="81" t="s">
        <v>149</v>
      </c>
      <c r="E1251" s="82">
        <v>11371</v>
      </c>
      <c r="F1251" s="82">
        <v>400</v>
      </c>
      <c r="G1251" s="82">
        <v>2502</v>
      </c>
      <c r="H1251" s="84">
        <v>42.3</v>
      </c>
      <c r="I1251" s="84">
        <v>26544</v>
      </c>
      <c r="J1251" s="84">
        <v>37.4</v>
      </c>
    </row>
    <row r="1252" spans="1:10" ht="16">
      <c r="A1252" s="79" t="s">
        <v>353</v>
      </c>
      <c r="B1252" s="79" t="s">
        <v>341</v>
      </c>
      <c r="C1252" s="80" t="s">
        <v>126</v>
      </c>
      <c r="D1252" s="81" t="s">
        <v>76</v>
      </c>
      <c r="E1252" s="82">
        <v>13381</v>
      </c>
      <c r="F1252" s="82">
        <v>910</v>
      </c>
      <c r="G1252" s="82">
        <v>1740</v>
      </c>
      <c r="H1252" s="84">
        <v>13.2</v>
      </c>
      <c r="I1252" s="84">
        <v>1334</v>
      </c>
      <c r="J1252" s="84">
        <v>18.600000000000001</v>
      </c>
    </row>
    <row r="1253" spans="1:10" ht="16">
      <c r="A1253" s="79" t="s">
        <v>851</v>
      </c>
      <c r="B1253" s="79" t="s">
        <v>839</v>
      </c>
      <c r="C1253" s="80" t="s">
        <v>95</v>
      </c>
      <c r="D1253" s="81" t="s">
        <v>99</v>
      </c>
      <c r="E1253" s="82">
        <v>13914</v>
      </c>
      <c r="F1253" s="82">
        <v>653</v>
      </c>
      <c r="G1253" s="82">
        <v>3757</v>
      </c>
      <c r="H1253" s="84">
        <v>57.1</v>
      </c>
      <c r="I1253" s="84">
        <v>54885</v>
      </c>
      <c r="J1253" s="84">
        <v>49.3</v>
      </c>
    </row>
    <row r="1254" spans="1:10" ht="16">
      <c r="A1254" s="79" t="s">
        <v>1468</v>
      </c>
      <c r="B1254" s="79" t="s">
        <v>1307</v>
      </c>
      <c r="C1254" s="80" t="s">
        <v>95</v>
      </c>
      <c r="D1254" s="81" t="s">
        <v>79</v>
      </c>
      <c r="E1254" s="82">
        <v>7675</v>
      </c>
      <c r="F1254" s="82">
        <v>1919</v>
      </c>
      <c r="G1254" s="82">
        <v>691</v>
      </c>
      <c r="H1254" s="84">
        <v>18.8</v>
      </c>
      <c r="I1254" s="84">
        <v>17702</v>
      </c>
      <c r="J1254" s="84">
        <v>42.8</v>
      </c>
    </row>
    <row r="1255" spans="1:10" ht="16">
      <c r="A1255" s="79" t="s">
        <v>909</v>
      </c>
      <c r="B1255" s="79" t="s">
        <v>898</v>
      </c>
      <c r="C1255" s="80" t="s">
        <v>126</v>
      </c>
      <c r="D1255" s="81" t="s">
        <v>78</v>
      </c>
      <c r="E1255" s="82">
        <v>29709</v>
      </c>
      <c r="F1255" s="82">
        <v>2303</v>
      </c>
      <c r="G1255" s="82">
        <v>1783</v>
      </c>
      <c r="H1255" s="84">
        <v>11.8</v>
      </c>
      <c r="I1255" s="84">
        <v>3635</v>
      </c>
      <c r="J1255" s="84">
        <v>19.2</v>
      </c>
    </row>
    <row r="1256" spans="1:10" ht="16">
      <c r="A1256" s="79" t="s">
        <v>766</v>
      </c>
      <c r="B1256" s="79" t="s">
        <v>661</v>
      </c>
      <c r="C1256" s="80" t="s">
        <v>126</v>
      </c>
      <c r="D1256" s="81" t="s">
        <v>101</v>
      </c>
      <c r="E1256" s="82">
        <v>48839</v>
      </c>
      <c r="F1256" s="82">
        <v>3464</v>
      </c>
      <c r="G1256" s="82">
        <v>4884</v>
      </c>
      <c r="H1256" s="84">
        <v>22.8</v>
      </c>
      <c r="I1256" s="84">
        <v>6438</v>
      </c>
      <c r="J1256" s="84">
        <v>31.3</v>
      </c>
    </row>
    <row r="1257" spans="1:10" ht="16">
      <c r="A1257" s="79" t="s">
        <v>1469</v>
      </c>
      <c r="B1257" s="79" t="s">
        <v>1307</v>
      </c>
      <c r="C1257" s="80" t="s">
        <v>95</v>
      </c>
      <c r="D1257" s="81" t="s">
        <v>101</v>
      </c>
      <c r="E1257" s="82">
        <v>27957</v>
      </c>
      <c r="F1257" s="82">
        <v>1545</v>
      </c>
      <c r="G1257" s="82">
        <v>1957</v>
      </c>
      <c r="H1257" s="84">
        <v>28.6</v>
      </c>
      <c r="I1257" s="84">
        <v>20535</v>
      </c>
      <c r="J1257" s="84">
        <v>30.7</v>
      </c>
    </row>
    <row r="1258" spans="1:10" ht="16">
      <c r="A1258" s="79" t="s">
        <v>1470</v>
      </c>
      <c r="B1258" s="79" t="s">
        <v>1307</v>
      </c>
      <c r="C1258" s="80" t="s">
        <v>126</v>
      </c>
      <c r="D1258" s="81" t="s">
        <v>75</v>
      </c>
      <c r="E1258" s="82">
        <v>13401</v>
      </c>
      <c r="F1258" s="82">
        <v>1787</v>
      </c>
      <c r="G1258" s="82">
        <v>2680</v>
      </c>
      <c r="H1258" s="84">
        <v>57.5</v>
      </c>
      <c r="I1258" s="84">
        <v>56865</v>
      </c>
      <c r="J1258" s="84">
        <v>64.2</v>
      </c>
    </row>
    <row r="1259" spans="1:10" ht="16">
      <c r="A1259" s="79" t="s">
        <v>1471</v>
      </c>
      <c r="B1259" s="79" t="s">
        <v>1307</v>
      </c>
      <c r="C1259" s="80" t="s">
        <v>95</v>
      </c>
      <c r="D1259" s="81" t="s">
        <v>111</v>
      </c>
      <c r="E1259" s="82">
        <v>22295</v>
      </c>
      <c r="F1259" s="82">
        <v>1973</v>
      </c>
      <c r="G1259" s="82">
        <v>2007</v>
      </c>
      <c r="H1259" s="84">
        <v>18.100000000000001</v>
      </c>
      <c r="I1259" s="84">
        <v>15100</v>
      </c>
      <c r="J1259" s="84">
        <v>33.299999999999997</v>
      </c>
    </row>
    <row r="1260" spans="1:10" ht="16">
      <c r="A1260" s="79" t="s">
        <v>312</v>
      </c>
      <c r="B1260" s="79" t="s">
        <v>242</v>
      </c>
      <c r="C1260" s="80" t="s">
        <v>95</v>
      </c>
      <c r="D1260" s="81" t="s">
        <v>101</v>
      </c>
      <c r="E1260" s="82">
        <v>15971</v>
      </c>
      <c r="F1260" s="82">
        <v>1365</v>
      </c>
      <c r="G1260" s="82">
        <v>799</v>
      </c>
      <c r="H1260" s="84">
        <v>12.7</v>
      </c>
      <c r="I1260" s="84">
        <v>3565</v>
      </c>
      <c r="J1260" s="84">
        <v>16.7</v>
      </c>
    </row>
    <row r="1261" spans="1:10" ht="16">
      <c r="A1261" s="79" t="s">
        <v>936</v>
      </c>
      <c r="B1261" s="79" t="s">
        <v>928</v>
      </c>
      <c r="C1261" s="80" t="s">
        <v>95</v>
      </c>
      <c r="D1261" s="81" t="s">
        <v>76</v>
      </c>
      <c r="E1261" s="82">
        <v>13550</v>
      </c>
      <c r="F1261" s="82">
        <v>753</v>
      </c>
      <c r="G1261" s="82">
        <v>542</v>
      </c>
      <c r="H1261" s="84">
        <v>9.1999999999999993</v>
      </c>
      <c r="I1261" s="84">
        <v>1100</v>
      </c>
      <c r="J1261" s="84">
        <v>17.899999999999999</v>
      </c>
    </row>
    <row r="1262" spans="1:10" ht="16">
      <c r="A1262" s="79" t="s">
        <v>1472</v>
      </c>
      <c r="B1262" s="79" t="s">
        <v>1307</v>
      </c>
      <c r="C1262" s="80" t="s">
        <v>126</v>
      </c>
      <c r="D1262" s="81" t="s">
        <v>75</v>
      </c>
      <c r="E1262" s="82">
        <v>25966</v>
      </c>
      <c r="F1262" s="82">
        <v>1404</v>
      </c>
      <c r="G1262" s="82">
        <v>2077</v>
      </c>
      <c r="H1262" s="84">
        <v>17.100000000000001</v>
      </c>
      <c r="I1262" s="84">
        <v>10147</v>
      </c>
      <c r="J1262" s="84">
        <v>27.8</v>
      </c>
    </row>
    <row r="1263" spans="1:10" ht="16">
      <c r="A1263" s="79" t="s">
        <v>144</v>
      </c>
      <c r="B1263" s="79" t="s">
        <v>108</v>
      </c>
      <c r="C1263" s="80" t="s">
        <v>95</v>
      </c>
      <c r="D1263" s="81" t="s">
        <v>79</v>
      </c>
      <c r="E1263" s="82">
        <v>32259</v>
      </c>
      <c r="F1263" s="82">
        <v>904</v>
      </c>
      <c r="G1263" s="82">
        <v>5484</v>
      </c>
      <c r="H1263" s="84">
        <v>29.1</v>
      </c>
      <c r="I1263" s="84">
        <v>24132</v>
      </c>
      <c r="J1263" s="84">
        <v>23.5</v>
      </c>
    </row>
    <row r="1264" spans="1:10" ht="16">
      <c r="A1264" s="79" t="s">
        <v>228</v>
      </c>
      <c r="B1264" s="79" t="s">
        <v>203</v>
      </c>
      <c r="C1264" s="80" t="s">
        <v>95</v>
      </c>
      <c r="D1264" s="81" t="s">
        <v>78</v>
      </c>
      <c r="E1264" s="82">
        <v>29865</v>
      </c>
      <c r="F1264" s="82">
        <v>1293</v>
      </c>
      <c r="G1264" s="82">
        <v>5376</v>
      </c>
      <c r="H1264" s="84">
        <v>35.700000000000003</v>
      </c>
      <c r="I1264" s="84">
        <v>27279</v>
      </c>
      <c r="J1264" s="84">
        <v>40.200000000000003</v>
      </c>
    </row>
    <row r="1265" spans="1:10" ht="16">
      <c r="A1265" s="79" t="s">
        <v>1473</v>
      </c>
      <c r="B1265" s="79" t="s">
        <v>1307</v>
      </c>
      <c r="C1265" s="80" t="s">
        <v>95</v>
      </c>
      <c r="D1265" s="81" t="s">
        <v>77</v>
      </c>
      <c r="E1265" s="82">
        <v>13726</v>
      </c>
      <c r="F1265" s="82">
        <v>775</v>
      </c>
      <c r="G1265" s="82">
        <v>137</v>
      </c>
      <c r="H1265" s="84">
        <v>10.6</v>
      </c>
      <c r="I1265" s="84">
        <v>6653</v>
      </c>
      <c r="J1265" s="84">
        <v>16.2</v>
      </c>
    </row>
    <row r="1266" spans="1:10" ht="16">
      <c r="A1266" s="79" t="s">
        <v>1474</v>
      </c>
      <c r="B1266" s="79" t="s">
        <v>1307</v>
      </c>
      <c r="C1266" s="80" t="s">
        <v>95</v>
      </c>
      <c r="D1266" s="81" t="s">
        <v>101</v>
      </c>
      <c r="E1266" s="82">
        <v>8235</v>
      </c>
      <c r="F1266" s="82">
        <v>722</v>
      </c>
      <c r="G1266" s="82">
        <v>741</v>
      </c>
      <c r="H1266" s="84">
        <v>21.1</v>
      </c>
      <c r="I1266" s="84">
        <v>18488</v>
      </c>
      <c r="J1266" s="84">
        <v>47.5</v>
      </c>
    </row>
    <row r="1267" spans="1:10" ht="16">
      <c r="A1267" s="79" t="s">
        <v>1475</v>
      </c>
      <c r="B1267" s="79" t="s">
        <v>1307</v>
      </c>
      <c r="C1267" s="80" t="s">
        <v>126</v>
      </c>
      <c r="D1267" s="81" t="s">
        <v>101</v>
      </c>
      <c r="E1267" s="82">
        <v>5733</v>
      </c>
      <c r="F1267" s="82">
        <v>451</v>
      </c>
      <c r="G1267" s="82">
        <v>1261</v>
      </c>
      <c r="H1267" s="84">
        <v>17.7</v>
      </c>
      <c r="I1267" s="84">
        <v>10469</v>
      </c>
      <c r="J1267" s="84">
        <v>20.100000000000001</v>
      </c>
    </row>
    <row r="1268" spans="1:10" ht="16">
      <c r="A1268" s="79" t="s">
        <v>910</v>
      </c>
      <c r="B1268" s="79" t="s">
        <v>898</v>
      </c>
      <c r="C1268" s="80" t="s">
        <v>126</v>
      </c>
      <c r="D1268" s="81" t="s">
        <v>78</v>
      </c>
      <c r="E1268" s="82">
        <v>28329</v>
      </c>
      <c r="F1268" s="82">
        <v>1914</v>
      </c>
      <c r="G1268" s="82">
        <v>850</v>
      </c>
      <c r="H1268" s="84">
        <v>10.8</v>
      </c>
      <c r="I1268" s="84">
        <v>2302</v>
      </c>
      <c r="J1268" s="84">
        <v>16.600000000000001</v>
      </c>
    </row>
    <row r="1269" spans="1:10" ht="16">
      <c r="A1269" s="79" t="s">
        <v>313</v>
      </c>
      <c r="B1269" s="79" t="s">
        <v>242</v>
      </c>
      <c r="C1269" s="80" t="s">
        <v>95</v>
      </c>
      <c r="D1269" s="81" t="s">
        <v>103</v>
      </c>
      <c r="E1269" s="82">
        <v>52502</v>
      </c>
      <c r="F1269" s="82">
        <v>3596</v>
      </c>
      <c r="G1269" s="82">
        <v>3675</v>
      </c>
      <c r="H1269" s="84">
        <v>34</v>
      </c>
      <c r="I1269" s="84">
        <v>17855</v>
      </c>
      <c r="J1269" s="84">
        <v>44</v>
      </c>
    </row>
    <row r="1270" spans="1:10" ht="16">
      <c r="A1270" s="79" t="s">
        <v>314</v>
      </c>
      <c r="B1270" s="79" t="s">
        <v>242</v>
      </c>
      <c r="C1270" s="80" t="s">
        <v>126</v>
      </c>
      <c r="D1270" s="81" t="s">
        <v>75</v>
      </c>
      <c r="E1270" s="82">
        <v>51684</v>
      </c>
      <c r="F1270" s="82">
        <v>3692</v>
      </c>
      <c r="G1270" s="82">
        <v>1551</v>
      </c>
      <c r="H1270" s="84">
        <v>13.4</v>
      </c>
      <c r="I1270" s="84">
        <v>5483</v>
      </c>
      <c r="J1270" s="84">
        <v>18.8</v>
      </c>
    </row>
    <row r="1271" spans="1:10" ht="16">
      <c r="A1271" s="79" t="s">
        <v>315</v>
      </c>
      <c r="B1271" s="79" t="s">
        <v>242</v>
      </c>
      <c r="C1271" s="80" t="s">
        <v>126</v>
      </c>
      <c r="D1271" s="81" t="s">
        <v>99</v>
      </c>
      <c r="E1271" s="82">
        <v>40841</v>
      </c>
      <c r="F1271" s="82">
        <v>2797</v>
      </c>
      <c r="G1271" s="82">
        <v>1634</v>
      </c>
      <c r="H1271" s="84">
        <v>22.9</v>
      </c>
      <c r="I1271" s="84">
        <v>13086</v>
      </c>
      <c r="J1271" s="84">
        <v>27.3</v>
      </c>
    </row>
    <row r="1272" spans="1:10" ht="16">
      <c r="A1272" s="79" t="s">
        <v>316</v>
      </c>
      <c r="B1272" s="79" t="s">
        <v>242</v>
      </c>
      <c r="C1272" s="80" t="s">
        <v>95</v>
      </c>
      <c r="D1272" s="81" t="s">
        <v>111</v>
      </c>
      <c r="E1272" s="82">
        <v>31340</v>
      </c>
      <c r="F1272" s="82">
        <v>1478</v>
      </c>
      <c r="G1272" s="82">
        <v>313</v>
      </c>
      <c r="H1272" s="84">
        <v>12</v>
      </c>
      <c r="I1272" s="84">
        <v>5542</v>
      </c>
      <c r="J1272" s="84">
        <v>14.8</v>
      </c>
    </row>
    <row r="1273" spans="1:10" ht="16">
      <c r="A1273" s="79" t="s">
        <v>317</v>
      </c>
      <c r="B1273" s="79" t="s">
        <v>242</v>
      </c>
      <c r="C1273" s="80" t="s">
        <v>126</v>
      </c>
      <c r="D1273" s="81" t="s">
        <v>101</v>
      </c>
      <c r="E1273" s="82">
        <v>34140</v>
      </c>
      <c r="F1273" s="82">
        <v>1996</v>
      </c>
      <c r="G1273" s="82">
        <v>1024</v>
      </c>
      <c r="H1273" s="84">
        <v>17.2</v>
      </c>
      <c r="I1273" s="84">
        <v>5669</v>
      </c>
      <c r="J1273" s="84">
        <v>21</v>
      </c>
    </row>
    <row r="1274" spans="1:10" ht="16">
      <c r="A1274" s="79" t="s">
        <v>1476</v>
      </c>
      <c r="B1274" s="79" t="s">
        <v>1307</v>
      </c>
      <c r="C1274" s="80" t="s">
        <v>126</v>
      </c>
      <c r="D1274" s="81" t="s">
        <v>99</v>
      </c>
      <c r="E1274" s="82">
        <v>12402</v>
      </c>
      <c r="F1274" s="82">
        <v>2297</v>
      </c>
      <c r="G1274" s="82">
        <v>2480</v>
      </c>
      <c r="H1274" s="84">
        <v>94.8</v>
      </c>
      <c r="I1274" s="84">
        <v>92298</v>
      </c>
      <c r="J1274" s="84">
        <v>92</v>
      </c>
    </row>
    <row r="1275" spans="1:10" ht="16">
      <c r="A1275" s="79" t="s">
        <v>767</v>
      </c>
      <c r="B1275" s="79" t="s">
        <v>661</v>
      </c>
      <c r="C1275" s="80" t="s">
        <v>126</v>
      </c>
      <c r="D1275" s="81" t="s">
        <v>76</v>
      </c>
      <c r="E1275" s="82">
        <v>8913</v>
      </c>
      <c r="F1275" s="82">
        <v>1024</v>
      </c>
      <c r="G1275" s="82">
        <v>178</v>
      </c>
      <c r="H1275" s="84">
        <v>12.2</v>
      </c>
      <c r="I1275" s="84">
        <v>2161</v>
      </c>
      <c r="J1275" s="84">
        <v>21.8</v>
      </c>
    </row>
    <row r="1276" spans="1:10" ht="16">
      <c r="A1276" s="79" t="s">
        <v>768</v>
      </c>
      <c r="B1276" s="79" t="s">
        <v>661</v>
      </c>
      <c r="C1276" s="80" t="s">
        <v>126</v>
      </c>
      <c r="D1276" s="81" t="s">
        <v>75</v>
      </c>
      <c r="E1276" s="82">
        <v>10580</v>
      </c>
      <c r="F1276" s="82">
        <v>980</v>
      </c>
      <c r="G1276" s="82">
        <v>529</v>
      </c>
      <c r="H1276" s="84">
        <v>12.5</v>
      </c>
      <c r="I1276" s="84">
        <v>1876</v>
      </c>
      <c r="J1276" s="84">
        <v>20.8</v>
      </c>
    </row>
    <row r="1277" spans="1:10" ht="16">
      <c r="A1277" s="79" t="s">
        <v>318</v>
      </c>
      <c r="B1277" s="79" t="s">
        <v>242</v>
      </c>
      <c r="C1277" s="80" t="s">
        <v>95</v>
      </c>
      <c r="D1277" s="81" t="s">
        <v>149</v>
      </c>
      <c r="E1277" s="82">
        <v>36880</v>
      </c>
      <c r="F1277" s="82">
        <v>2442</v>
      </c>
      <c r="G1277" s="82">
        <v>1106</v>
      </c>
      <c r="H1277" s="84">
        <v>10.7</v>
      </c>
      <c r="I1277" s="84">
        <v>4399</v>
      </c>
      <c r="J1277" s="84">
        <v>15.3</v>
      </c>
    </row>
    <row r="1278" spans="1:10" ht="16">
      <c r="A1278" s="79" t="s">
        <v>319</v>
      </c>
      <c r="B1278" s="79" t="s">
        <v>242</v>
      </c>
      <c r="C1278" s="80" t="s">
        <v>126</v>
      </c>
      <c r="D1278" s="81" t="s">
        <v>77</v>
      </c>
      <c r="E1278" s="82">
        <v>32748</v>
      </c>
      <c r="F1278" s="82">
        <v>2140</v>
      </c>
      <c r="G1278" s="82">
        <v>327</v>
      </c>
      <c r="H1278" s="84">
        <v>11.2</v>
      </c>
      <c r="I1278" s="84">
        <v>1672</v>
      </c>
      <c r="J1278" s="84">
        <v>17.5</v>
      </c>
    </row>
    <row r="1279" spans="1:10" ht="16">
      <c r="A1279" s="79" t="s">
        <v>776</v>
      </c>
      <c r="B1279" s="79" t="s">
        <v>772</v>
      </c>
      <c r="C1279" s="80" t="s">
        <v>95</v>
      </c>
      <c r="D1279" s="81" t="s">
        <v>149</v>
      </c>
      <c r="E1279" s="82">
        <v>35353</v>
      </c>
      <c r="F1279" s="82">
        <v>1163</v>
      </c>
      <c r="G1279" s="82">
        <v>3182</v>
      </c>
      <c r="H1279" s="84">
        <v>8.3000000000000007</v>
      </c>
      <c r="I1279" s="84">
        <v>589</v>
      </c>
      <c r="J1279" s="84">
        <v>19.399999999999999</v>
      </c>
    </row>
    <row r="1280" spans="1:10" ht="16">
      <c r="A1280" s="79" t="s">
        <v>594</v>
      </c>
      <c r="B1280" s="79" t="s">
        <v>556</v>
      </c>
      <c r="C1280" s="80" t="s">
        <v>126</v>
      </c>
      <c r="D1280" s="81" t="s">
        <v>101</v>
      </c>
      <c r="E1280" s="82">
        <v>6332</v>
      </c>
      <c r="F1280" s="82">
        <v>230</v>
      </c>
      <c r="G1280" s="82">
        <v>441</v>
      </c>
      <c r="H1280" s="84">
        <v>15.5</v>
      </c>
      <c r="I1280" s="84">
        <v>14232</v>
      </c>
      <c r="J1280" s="84">
        <v>15.1</v>
      </c>
    </row>
    <row r="1281" spans="1:10" ht="16">
      <c r="A1281" s="79" t="s">
        <v>595</v>
      </c>
      <c r="B1281" s="79" t="s">
        <v>556</v>
      </c>
      <c r="C1281" s="80" t="s">
        <v>95</v>
      </c>
      <c r="D1281" s="81" t="s">
        <v>96</v>
      </c>
      <c r="E1281" s="82">
        <v>13745</v>
      </c>
      <c r="F1281" s="82">
        <v>455</v>
      </c>
      <c r="G1281" s="82">
        <v>137</v>
      </c>
      <c r="H1281" s="84">
        <v>14.4</v>
      </c>
      <c r="I1281" s="84">
        <v>2331</v>
      </c>
      <c r="J1281" s="84">
        <v>16.600000000000001</v>
      </c>
    </row>
    <row r="1282" spans="1:10" ht="16">
      <c r="A1282" s="79" t="s">
        <v>1192</v>
      </c>
      <c r="B1282" s="79" t="s">
        <v>1161</v>
      </c>
      <c r="C1282" s="80" t="s">
        <v>95</v>
      </c>
      <c r="D1282" s="81" t="s">
        <v>149</v>
      </c>
      <c r="E1282" s="82">
        <v>19508</v>
      </c>
      <c r="F1282" s="82">
        <v>522</v>
      </c>
      <c r="G1282" s="82">
        <v>390</v>
      </c>
      <c r="H1282" s="84">
        <v>12.2</v>
      </c>
      <c r="I1282" s="84">
        <v>1452</v>
      </c>
      <c r="J1282" s="84">
        <v>18.8</v>
      </c>
    </row>
    <row r="1283" spans="1:10" ht="16">
      <c r="A1283" s="79" t="s">
        <v>1036</v>
      </c>
      <c r="B1283" s="79" t="s">
        <v>1007</v>
      </c>
      <c r="C1283" s="80" t="s">
        <v>126</v>
      </c>
      <c r="D1283" s="81" t="s">
        <v>101</v>
      </c>
      <c r="E1283" s="82">
        <v>20135</v>
      </c>
      <c r="F1283" s="82">
        <v>1360</v>
      </c>
      <c r="G1283" s="82">
        <v>1007</v>
      </c>
      <c r="H1283" s="84">
        <v>12.8</v>
      </c>
      <c r="I1283" s="84">
        <v>5854</v>
      </c>
      <c r="J1283" s="84">
        <v>18.399999999999999</v>
      </c>
    </row>
    <row r="1284" spans="1:10" ht="16">
      <c r="A1284" s="79" t="s">
        <v>1193</v>
      </c>
      <c r="B1284" s="79" t="s">
        <v>1161</v>
      </c>
      <c r="C1284" s="80" t="s">
        <v>126</v>
      </c>
      <c r="D1284" s="81" t="s">
        <v>99</v>
      </c>
      <c r="E1284" s="82">
        <v>36946</v>
      </c>
      <c r="F1284" s="82">
        <v>1103</v>
      </c>
      <c r="G1284" s="82">
        <v>1478</v>
      </c>
      <c r="H1284" s="84">
        <v>12.9</v>
      </c>
      <c r="I1284" s="84">
        <v>2982</v>
      </c>
      <c r="J1284" s="84">
        <v>15.4</v>
      </c>
    </row>
    <row r="1285" spans="1:10" ht="16">
      <c r="A1285" s="79" t="s">
        <v>769</v>
      </c>
      <c r="B1285" s="79" t="s">
        <v>661</v>
      </c>
      <c r="C1285" s="80" t="s">
        <v>95</v>
      </c>
      <c r="D1285" s="81" t="s">
        <v>149</v>
      </c>
      <c r="E1285" s="82">
        <v>4910</v>
      </c>
      <c r="F1285" s="82">
        <v>1091</v>
      </c>
      <c r="G1285" s="82">
        <v>98</v>
      </c>
      <c r="H1285" s="84">
        <v>8.5</v>
      </c>
      <c r="I1285" s="84">
        <v>7408</v>
      </c>
      <c r="J1285" s="84">
        <v>25.9</v>
      </c>
    </row>
    <row r="1286" spans="1:10" ht="16">
      <c r="A1286" s="79" t="s">
        <v>770</v>
      </c>
      <c r="B1286" s="79" t="s">
        <v>661</v>
      </c>
      <c r="C1286" s="80" t="s">
        <v>126</v>
      </c>
      <c r="D1286" s="81" t="s">
        <v>77</v>
      </c>
      <c r="E1286" s="82">
        <v>9889</v>
      </c>
      <c r="F1286" s="82">
        <v>791</v>
      </c>
      <c r="G1286" s="82">
        <v>692</v>
      </c>
      <c r="H1286" s="84">
        <v>16.5</v>
      </c>
      <c r="I1286" s="84">
        <v>2680</v>
      </c>
      <c r="J1286" s="84">
        <v>22.7</v>
      </c>
    </row>
    <row r="1287" spans="1:10" ht="16">
      <c r="A1287" s="79" t="s">
        <v>1037</v>
      </c>
      <c r="B1287" s="79" t="s">
        <v>1007</v>
      </c>
      <c r="C1287" s="80" t="s">
        <v>126</v>
      </c>
      <c r="D1287" s="81" t="s">
        <v>103</v>
      </c>
      <c r="E1287" s="82">
        <v>17744</v>
      </c>
      <c r="F1287" s="82">
        <v>1215</v>
      </c>
      <c r="G1287" s="82">
        <v>3904</v>
      </c>
      <c r="H1287" s="84">
        <v>52.6</v>
      </c>
      <c r="I1287" s="84">
        <v>27878</v>
      </c>
      <c r="J1287" s="84">
        <v>51.2</v>
      </c>
    </row>
    <row r="1288" spans="1:10" ht="16">
      <c r="A1288" s="79" t="s">
        <v>229</v>
      </c>
      <c r="B1288" s="79" t="s">
        <v>203</v>
      </c>
      <c r="C1288" s="80" t="s">
        <v>95</v>
      </c>
      <c r="D1288" s="81" t="s">
        <v>103</v>
      </c>
      <c r="E1288" s="82">
        <v>46683</v>
      </c>
      <c r="F1288" s="82">
        <v>1319</v>
      </c>
      <c r="G1288" s="82">
        <v>11204</v>
      </c>
      <c r="H1288" s="84">
        <v>37.6</v>
      </c>
      <c r="I1288" s="84">
        <v>19084</v>
      </c>
      <c r="J1288" s="84">
        <v>28.2</v>
      </c>
    </row>
    <row r="1289" spans="1:10" ht="16">
      <c r="A1289" s="79" t="s">
        <v>1135</v>
      </c>
      <c r="B1289" s="79" t="s">
        <v>1100</v>
      </c>
      <c r="C1289" s="80" t="s">
        <v>126</v>
      </c>
      <c r="D1289" s="81" t="s">
        <v>96</v>
      </c>
      <c r="E1289" s="82">
        <v>8356</v>
      </c>
      <c r="F1289" s="82">
        <v>429</v>
      </c>
      <c r="G1289" s="82">
        <v>668</v>
      </c>
      <c r="H1289" s="84">
        <v>13.9</v>
      </c>
      <c r="I1289" s="84">
        <v>2156</v>
      </c>
      <c r="J1289" s="84">
        <v>17.3</v>
      </c>
    </row>
    <row r="1290" spans="1:10" ht="16">
      <c r="A1290" s="79" t="s">
        <v>382</v>
      </c>
      <c r="B1290" s="79" t="s">
        <v>363</v>
      </c>
      <c r="C1290" s="80" t="s">
        <v>95</v>
      </c>
      <c r="D1290" s="81" t="s">
        <v>96</v>
      </c>
      <c r="E1290" s="82">
        <v>156419</v>
      </c>
      <c r="F1290" s="82">
        <v>6517</v>
      </c>
      <c r="G1290" s="82">
        <v>1564</v>
      </c>
      <c r="H1290" s="84">
        <v>7.7</v>
      </c>
      <c r="I1290" s="84">
        <v>2303</v>
      </c>
      <c r="J1290" s="84">
        <v>13.6</v>
      </c>
    </row>
    <row r="1291" spans="1:10" ht="16">
      <c r="A1291" s="79" t="s">
        <v>320</v>
      </c>
      <c r="B1291" s="79" t="s">
        <v>242</v>
      </c>
      <c r="C1291" s="80" t="s">
        <v>126</v>
      </c>
      <c r="D1291" s="81" t="s">
        <v>101</v>
      </c>
      <c r="E1291" s="82">
        <v>33427</v>
      </c>
      <c r="F1291" s="82">
        <v>3124</v>
      </c>
      <c r="G1291" s="82">
        <v>7354</v>
      </c>
      <c r="H1291" s="84">
        <v>64.7</v>
      </c>
      <c r="I1291" s="84">
        <v>32767</v>
      </c>
      <c r="J1291" s="84">
        <v>66</v>
      </c>
    </row>
    <row r="1292" spans="1:10" ht="16">
      <c r="A1292" s="79" t="s">
        <v>321</v>
      </c>
      <c r="B1292" s="79" t="s">
        <v>242</v>
      </c>
      <c r="C1292" s="80" t="s">
        <v>95</v>
      </c>
      <c r="D1292" s="81" t="s">
        <v>79</v>
      </c>
      <c r="E1292" s="82">
        <v>31228</v>
      </c>
      <c r="F1292" s="82">
        <v>2124</v>
      </c>
      <c r="G1292" s="82">
        <v>2498</v>
      </c>
      <c r="H1292" s="84">
        <v>14.2</v>
      </c>
      <c r="I1292" s="84">
        <v>4616</v>
      </c>
      <c r="J1292" s="84">
        <v>16.7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C5DC1-B404-7540-A660-9A35A56CB456}">
  <sheetPr codeName="Sheet4"/>
  <dimension ref="A1:J1292"/>
  <sheetViews>
    <sheetView zoomScale="95" zoomScaleNormal="95" workbookViewId="0"/>
  </sheetViews>
  <sheetFormatPr baseColWidth="10" defaultRowHeight="15"/>
  <cols>
    <col min="1" max="1" width="59" style="26" bestFit="1" customWidth="1"/>
    <col min="2" max="2" width="19" style="26" bestFit="1" customWidth="1"/>
    <col min="3" max="3" width="21.83203125" style="26" bestFit="1" customWidth="1"/>
    <col min="4" max="4" width="30.6640625" style="26" bestFit="1" customWidth="1"/>
    <col min="5" max="5" width="24.6640625" style="26" bestFit="1" customWidth="1"/>
    <col min="6" max="6" width="19.6640625" style="26" bestFit="1" customWidth="1"/>
    <col min="7" max="7" width="40.83203125" style="26" bestFit="1" customWidth="1"/>
    <col min="8" max="8" width="18.5" style="26" bestFit="1" customWidth="1"/>
    <col min="9" max="9" width="24.5" style="26" bestFit="1" customWidth="1"/>
    <col min="10" max="10" width="18.5" style="26" bestFit="1" customWidth="1"/>
    <col min="11" max="16384" width="10.83203125" style="26"/>
  </cols>
  <sheetData>
    <row r="1" spans="1:10" ht="21">
      <c r="A1" s="78" t="s">
        <v>83</v>
      </c>
      <c r="B1" s="78" t="s">
        <v>84</v>
      </c>
      <c r="C1" s="78" t="s">
        <v>85</v>
      </c>
      <c r="D1" s="78" t="s">
        <v>86</v>
      </c>
      <c r="E1" s="78" t="s">
        <v>87</v>
      </c>
      <c r="F1" s="78" t="s">
        <v>88</v>
      </c>
      <c r="G1" s="78" t="s">
        <v>89</v>
      </c>
      <c r="H1" s="78" t="s">
        <v>90</v>
      </c>
      <c r="I1" s="78" t="s">
        <v>91</v>
      </c>
      <c r="J1" s="78" t="s">
        <v>92</v>
      </c>
    </row>
    <row r="2" spans="1:10" ht="16">
      <c r="A2" s="79" t="s">
        <v>354</v>
      </c>
      <c r="B2" s="79" t="s">
        <v>355</v>
      </c>
      <c r="C2" s="80" t="s">
        <v>95</v>
      </c>
      <c r="D2" s="81" t="s">
        <v>101</v>
      </c>
      <c r="E2" s="82">
        <v>16340</v>
      </c>
      <c r="F2" s="82">
        <v>1201</v>
      </c>
      <c r="G2" s="82">
        <v>2451</v>
      </c>
      <c r="H2" s="83">
        <v>39.616376623138493</v>
      </c>
      <c r="I2" s="83">
        <v>34061.976787947184</v>
      </c>
      <c r="J2" s="83">
        <v>29.137229612117178</v>
      </c>
    </row>
    <row r="3" spans="1:10" ht="16">
      <c r="A3" s="79" t="s">
        <v>387</v>
      </c>
      <c r="B3" s="79" t="s">
        <v>388</v>
      </c>
      <c r="C3" s="80" t="s">
        <v>126</v>
      </c>
      <c r="D3" s="81" t="s">
        <v>75</v>
      </c>
      <c r="E3" s="82">
        <v>12195</v>
      </c>
      <c r="F3" s="82">
        <v>656</v>
      </c>
      <c r="G3" s="82">
        <v>3171</v>
      </c>
      <c r="H3" s="83">
        <v>39.935744251633864</v>
      </c>
      <c r="I3" s="83">
        <v>30276.074867865071</v>
      </c>
      <c r="J3" s="83">
        <v>42.603743641394864</v>
      </c>
    </row>
    <row r="4" spans="1:10" ht="16">
      <c r="A4" s="79" t="s">
        <v>356</v>
      </c>
      <c r="B4" s="79" t="s">
        <v>355</v>
      </c>
      <c r="C4" s="80" t="s">
        <v>95</v>
      </c>
      <c r="D4" s="81" t="s">
        <v>76</v>
      </c>
      <c r="E4" s="82">
        <v>26842</v>
      </c>
      <c r="F4" s="82">
        <v>1864</v>
      </c>
      <c r="G4" s="82">
        <v>2416</v>
      </c>
      <c r="H4" s="83">
        <v>54.149184087960244</v>
      </c>
      <c r="I4" s="83">
        <v>46171.774937548769</v>
      </c>
      <c r="J4" s="83">
        <v>37.333031881711747</v>
      </c>
    </row>
    <row r="5" spans="1:10" ht="16">
      <c r="A5" s="79" t="s">
        <v>1208</v>
      </c>
      <c r="B5" s="79" t="s">
        <v>1209</v>
      </c>
      <c r="C5" s="80" t="s">
        <v>126</v>
      </c>
      <c r="D5" s="81" t="s">
        <v>77</v>
      </c>
      <c r="E5" s="82">
        <v>6866</v>
      </c>
      <c r="F5" s="82">
        <v>424</v>
      </c>
      <c r="G5" s="82">
        <v>1305</v>
      </c>
      <c r="H5" s="83">
        <v>23.423522946999185</v>
      </c>
      <c r="I5" s="83">
        <v>15196.490099326167</v>
      </c>
      <c r="J5" s="83">
        <v>24.934193933931041</v>
      </c>
    </row>
    <row r="6" spans="1:10" ht="16">
      <c r="A6" s="79" t="s">
        <v>492</v>
      </c>
      <c r="B6" s="79" t="s">
        <v>493</v>
      </c>
      <c r="C6" s="80" t="s">
        <v>126</v>
      </c>
      <c r="D6" s="81" t="s">
        <v>75</v>
      </c>
      <c r="E6" s="82">
        <v>4792</v>
      </c>
      <c r="F6" s="82">
        <v>383</v>
      </c>
      <c r="G6" s="82">
        <v>288</v>
      </c>
      <c r="H6" s="83">
        <v>9.8813504186793253</v>
      </c>
      <c r="I6" s="83">
        <v>1445.1247859362531</v>
      </c>
      <c r="J6" s="83">
        <v>40.109995398468087</v>
      </c>
    </row>
    <row r="7" spans="1:10" ht="16">
      <c r="A7" s="79" t="s">
        <v>1160</v>
      </c>
      <c r="B7" s="79" t="s">
        <v>1161</v>
      </c>
      <c r="C7" s="80" t="s">
        <v>95</v>
      </c>
      <c r="D7" s="81" t="s">
        <v>79</v>
      </c>
      <c r="E7" s="82">
        <v>2342</v>
      </c>
      <c r="F7" s="82">
        <v>545</v>
      </c>
      <c r="G7" s="82">
        <v>47</v>
      </c>
      <c r="H7" s="83">
        <v>9.2674114406111201</v>
      </c>
      <c r="I7" s="83">
        <v>646.30229969176753</v>
      </c>
      <c r="J7" s="83">
        <v>22.771857987746955</v>
      </c>
    </row>
    <row r="8" spans="1:10" ht="16">
      <c r="A8" s="79" t="s">
        <v>897</v>
      </c>
      <c r="B8" s="79" t="s">
        <v>898</v>
      </c>
      <c r="C8" s="80" t="s">
        <v>95</v>
      </c>
      <c r="D8" s="81" t="s">
        <v>111</v>
      </c>
      <c r="E8" s="82">
        <v>37634</v>
      </c>
      <c r="F8" s="82">
        <v>2650</v>
      </c>
      <c r="G8" s="82">
        <v>753</v>
      </c>
      <c r="H8" s="83">
        <v>13.421750496892679</v>
      </c>
      <c r="I8" s="83">
        <v>4413.9131556990378</v>
      </c>
      <c r="J8" s="83">
        <v>18.465371321397829</v>
      </c>
    </row>
    <row r="9" spans="1:10" ht="16">
      <c r="A9" s="79" t="s">
        <v>899</v>
      </c>
      <c r="B9" s="79" t="s">
        <v>898</v>
      </c>
      <c r="C9" s="80" t="s">
        <v>126</v>
      </c>
      <c r="D9" s="81" t="s">
        <v>103</v>
      </c>
      <c r="E9" s="82">
        <v>28620</v>
      </c>
      <c r="F9" s="82">
        <v>2202</v>
      </c>
      <c r="G9" s="82">
        <v>572</v>
      </c>
      <c r="H9" s="83">
        <v>14.285711554756102</v>
      </c>
      <c r="I9" s="83">
        <v>3195.4976900868037</v>
      </c>
      <c r="J9" s="83">
        <v>17.995733893620162</v>
      </c>
    </row>
    <row r="10" spans="1:10" ht="16">
      <c r="A10" s="79" t="s">
        <v>660</v>
      </c>
      <c r="B10" s="79" t="s">
        <v>661</v>
      </c>
      <c r="C10" s="80" t="s">
        <v>95</v>
      </c>
      <c r="D10" s="81" t="s">
        <v>103</v>
      </c>
      <c r="E10" s="82">
        <v>1288</v>
      </c>
      <c r="F10" s="82">
        <v>460</v>
      </c>
      <c r="G10" s="82">
        <v>13</v>
      </c>
      <c r="H10" s="83">
        <v>10.969478737855793</v>
      </c>
      <c r="I10" s="83">
        <v>3515.2298577274419</v>
      </c>
      <c r="J10" s="83">
        <v>26.293343262936531</v>
      </c>
    </row>
    <row r="11" spans="1:10" ht="16">
      <c r="A11" s="79" t="s">
        <v>362</v>
      </c>
      <c r="B11" s="79" t="s">
        <v>363</v>
      </c>
      <c r="C11" s="80" t="s">
        <v>95</v>
      </c>
      <c r="D11" s="81" t="s">
        <v>76</v>
      </c>
      <c r="E11" s="82">
        <v>179636</v>
      </c>
      <c r="F11" s="82">
        <v>10629</v>
      </c>
      <c r="G11" s="82">
        <v>5389</v>
      </c>
      <c r="H11" s="83">
        <v>10.70393227080398</v>
      </c>
      <c r="I11" s="83">
        <v>3211.3293424212029</v>
      </c>
      <c r="J11" s="83">
        <v>21.113182087890252</v>
      </c>
    </row>
    <row r="12" spans="1:10" ht="16">
      <c r="A12" s="79" t="s">
        <v>395</v>
      </c>
      <c r="B12" s="79" t="s">
        <v>396</v>
      </c>
      <c r="C12" s="80" t="s">
        <v>95</v>
      </c>
      <c r="D12" s="81" t="s">
        <v>79</v>
      </c>
      <c r="E12" s="82">
        <v>67857</v>
      </c>
      <c r="F12" s="82">
        <v>4088</v>
      </c>
      <c r="G12" s="82">
        <v>8143</v>
      </c>
      <c r="H12" s="83">
        <v>25.356336235902646</v>
      </c>
      <c r="I12" s="83">
        <v>17041.782692526544</v>
      </c>
      <c r="J12" s="83">
        <v>41.501162150556532</v>
      </c>
    </row>
    <row r="13" spans="1:10" ht="16">
      <c r="A13" s="79" t="s">
        <v>1006</v>
      </c>
      <c r="B13" s="79" t="s">
        <v>1007</v>
      </c>
      <c r="C13" s="80" t="s">
        <v>95</v>
      </c>
      <c r="D13" s="81" t="s">
        <v>149</v>
      </c>
      <c r="E13" s="82">
        <v>9906</v>
      </c>
      <c r="F13" s="82">
        <v>877</v>
      </c>
      <c r="G13" s="82">
        <v>693</v>
      </c>
      <c r="H13" s="83">
        <v>24.289357634957323</v>
      </c>
      <c r="I13" s="83">
        <v>6999.4718374462118</v>
      </c>
      <c r="J13" s="83">
        <v>24.576144720955991</v>
      </c>
    </row>
    <row r="14" spans="1:10" ht="16">
      <c r="A14" s="79" t="s">
        <v>1162</v>
      </c>
      <c r="B14" s="79" t="s">
        <v>1161</v>
      </c>
      <c r="C14" s="80" t="s">
        <v>126</v>
      </c>
      <c r="D14" s="81" t="s">
        <v>101</v>
      </c>
      <c r="E14" s="82">
        <v>42862</v>
      </c>
      <c r="F14" s="82">
        <v>1194</v>
      </c>
      <c r="G14" s="82">
        <v>429</v>
      </c>
      <c r="H14" s="83">
        <v>9.3034245414165024</v>
      </c>
      <c r="I14" s="83">
        <v>1255.5601456308789</v>
      </c>
      <c r="J14" s="83">
        <v>15.738142636945987</v>
      </c>
    </row>
    <row r="15" spans="1:10" ht="16">
      <c r="A15" s="79" t="s">
        <v>662</v>
      </c>
      <c r="B15" s="79" t="s">
        <v>661</v>
      </c>
      <c r="C15" s="80" t="s">
        <v>126</v>
      </c>
      <c r="D15" s="81" t="s">
        <v>79</v>
      </c>
      <c r="E15" s="82">
        <v>4942</v>
      </c>
      <c r="F15" s="82">
        <v>504</v>
      </c>
      <c r="G15" s="82">
        <v>198</v>
      </c>
      <c r="H15" s="83">
        <v>11.544402759784465</v>
      </c>
      <c r="I15" s="83">
        <v>985.81385438313612</v>
      </c>
      <c r="J15" s="83">
        <v>21.817572675015303</v>
      </c>
    </row>
    <row r="16" spans="1:10" ht="16">
      <c r="A16" s="79" t="s">
        <v>364</v>
      </c>
      <c r="B16" s="79" t="s">
        <v>363</v>
      </c>
      <c r="C16" s="80" t="s">
        <v>126</v>
      </c>
      <c r="D16" s="81" t="s">
        <v>103</v>
      </c>
      <c r="E16" s="82">
        <v>342151</v>
      </c>
      <c r="F16" s="82">
        <v>10495</v>
      </c>
      <c r="G16" s="82">
        <v>20529</v>
      </c>
      <c r="H16" s="83">
        <v>9.2748214277832197</v>
      </c>
      <c r="I16" s="83">
        <v>1382.7432570662661</v>
      </c>
      <c r="J16" s="83">
        <v>15.745784003146294</v>
      </c>
    </row>
    <row r="17" spans="1:10" ht="16">
      <c r="A17" s="79" t="s">
        <v>771</v>
      </c>
      <c r="B17" s="79" t="s">
        <v>772</v>
      </c>
      <c r="C17" s="80" t="s">
        <v>95</v>
      </c>
      <c r="D17" s="81" t="s">
        <v>75</v>
      </c>
      <c r="E17" s="82">
        <v>33918</v>
      </c>
      <c r="F17" s="82">
        <v>1084</v>
      </c>
      <c r="G17" s="82">
        <v>1357</v>
      </c>
      <c r="H17" s="83">
        <v>9.6949868111148465</v>
      </c>
      <c r="I17" s="83">
        <v>4735.0254269213383</v>
      </c>
      <c r="J17" s="83">
        <v>12.567695253518348</v>
      </c>
    </row>
    <row r="18" spans="1:10" ht="16">
      <c r="A18" s="79" t="s">
        <v>777</v>
      </c>
      <c r="B18" s="79" t="s">
        <v>778</v>
      </c>
      <c r="C18" s="80" t="s">
        <v>95</v>
      </c>
      <c r="D18" s="81" t="s">
        <v>99</v>
      </c>
      <c r="E18" s="82">
        <v>21138</v>
      </c>
      <c r="F18" s="82">
        <v>3775</v>
      </c>
      <c r="G18" s="82">
        <v>2325</v>
      </c>
      <c r="H18" s="83">
        <v>9.7050747972159321</v>
      </c>
      <c r="I18" s="83">
        <v>2008.1288556193585</v>
      </c>
      <c r="J18" s="83">
        <v>25.192262328079238</v>
      </c>
    </row>
    <row r="19" spans="1:10" ht="16">
      <c r="A19" s="79" t="s">
        <v>365</v>
      </c>
      <c r="B19" s="79" t="s">
        <v>363</v>
      </c>
      <c r="C19" s="80" t="s">
        <v>95</v>
      </c>
      <c r="D19" s="81" t="s">
        <v>111</v>
      </c>
      <c r="E19" s="82">
        <v>182129</v>
      </c>
      <c r="F19" s="82">
        <v>6647</v>
      </c>
      <c r="G19" s="82">
        <v>5464</v>
      </c>
      <c r="H19" s="83">
        <v>13.317975194553959</v>
      </c>
      <c r="I19" s="83">
        <v>3176.901614185354</v>
      </c>
      <c r="J19" s="83">
        <v>19.098774118637415</v>
      </c>
    </row>
    <row r="20" spans="1:10" ht="16">
      <c r="A20" s="79" t="s">
        <v>927</v>
      </c>
      <c r="B20" s="79" t="s">
        <v>928</v>
      </c>
      <c r="C20" s="80" t="s">
        <v>95</v>
      </c>
      <c r="D20" s="81" t="s">
        <v>75</v>
      </c>
      <c r="E20" s="82">
        <v>23124</v>
      </c>
      <c r="F20" s="82">
        <v>1278</v>
      </c>
      <c r="G20" s="82">
        <v>1387</v>
      </c>
      <c r="H20" s="83">
        <v>11.10693587715299</v>
      </c>
      <c r="I20" s="83">
        <v>1077.7823855645904</v>
      </c>
      <c r="J20" s="83">
        <v>17.679971507148657</v>
      </c>
    </row>
    <row r="21" spans="1:10" ht="16">
      <c r="A21" s="79" t="s">
        <v>977</v>
      </c>
      <c r="B21" s="79" t="s">
        <v>978</v>
      </c>
      <c r="C21" s="80" t="s">
        <v>95</v>
      </c>
      <c r="D21" s="81" t="s">
        <v>75</v>
      </c>
      <c r="E21" s="82">
        <v>2566</v>
      </c>
      <c r="F21" s="82">
        <v>247</v>
      </c>
      <c r="G21" s="82">
        <v>872</v>
      </c>
      <c r="H21" s="83">
        <v>21.790346070466185</v>
      </c>
      <c r="I21" s="83">
        <v>20172.100329421366</v>
      </c>
      <c r="J21" s="83">
        <v>19.611742808160695</v>
      </c>
    </row>
    <row r="22" spans="1:10" ht="16">
      <c r="A22" s="79" t="s">
        <v>494</v>
      </c>
      <c r="B22" s="79" t="s">
        <v>493</v>
      </c>
      <c r="C22" s="80" t="s">
        <v>126</v>
      </c>
      <c r="D22" s="81" t="s">
        <v>99</v>
      </c>
      <c r="E22" s="82">
        <v>18783</v>
      </c>
      <c r="F22" s="82">
        <v>1391</v>
      </c>
      <c r="G22" s="82">
        <v>376</v>
      </c>
      <c r="H22" s="83">
        <v>10.733220021749664</v>
      </c>
      <c r="I22" s="83">
        <v>4301.6922061435334</v>
      </c>
      <c r="J22" s="83">
        <v>29.518171381322375</v>
      </c>
    </row>
    <row r="23" spans="1:10" ht="16">
      <c r="A23" s="79" t="s">
        <v>555</v>
      </c>
      <c r="B23" s="79" t="s">
        <v>556</v>
      </c>
      <c r="C23" s="80" t="s">
        <v>95</v>
      </c>
      <c r="D23" s="81" t="s">
        <v>101</v>
      </c>
      <c r="E23" s="82">
        <v>10110</v>
      </c>
      <c r="F23" s="82">
        <v>449</v>
      </c>
      <c r="G23" s="82">
        <v>101</v>
      </c>
      <c r="H23" s="83">
        <v>9.9209864372580832</v>
      </c>
      <c r="I23" s="83">
        <v>1671.4598727458124</v>
      </c>
      <c r="J23" s="83">
        <v>18.677393426766201</v>
      </c>
    </row>
    <row r="24" spans="1:10" ht="16">
      <c r="A24" s="79" t="s">
        <v>616</v>
      </c>
      <c r="B24" s="79" t="s">
        <v>617</v>
      </c>
      <c r="C24" s="80" t="s">
        <v>95</v>
      </c>
      <c r="D24" s="81" t="s">
        <v>76</v>
      </c>
      <c r="E24" s="82">
        <v>13447</v>
      </c>
      <c r="F24" s="82">
        <v>372</v>
      </c>
      <c r="G24" s="82">
        <v>807</v>
      </c>
      <c r="H24" s="83">
        <v>18.93698798992439</v>
      </c>
      <c r="I24" s="83">
        <v>12516.099475765366</v>
      </c>
      <c r="J24" s="83">
        <v>15.011106674727118</v>
      </c>
    </row>
    <row r="25" spans="1:10" ht="16">
      <c r="A25" s="79" t="s">
        <v>1306</v>
      </c>
      <c r="B25" s="79" t="s">
        <v>1307</v>
      </c>
      <c r="C25" s="80" t="s">
        <v>95</v>
      </c>
      <c r="D25" s="81" t="s">
        <v>96</v>
      </c>
      <c r="E25" s="82">
        <v>11750</v>
      </c>
      <c r="F25" s="82">
        <v>1068</v>
      </c>
      <c r="G25" s="82">
        <v>1410</v>
      </c>
      <c r="H25" s="83">
        <v>20.358397089860873</v>
      </c>
      <c r="I25" s="83">
        <v>12836.823324538394</v>
      </c>
      <c r="J25" s="83">
        <v>41.114196365752719</v>
      </c>
    </row>
    <row r="26" spans="1:10" ht="16">
      <c r="A26" s="79" t="s">
        <v>366</v>
      </c>
      <c r="B26" s="79" t="s">
        <v>363</v>
      </c>
      <c r="C26" s="80" t="s">
        <v>95</v>
      </c>
      <c r="D26" s="81" t="s">
        <v>77</v>
      </c>
      <c r="E26" s="82">
        <v>5936</v>
      </c>
      <c r="F26" s="82">
        <v>433</v>
      </c>
      <c r="G26" s="82">
        <v>297</v>
      </c>
      <c r="H26" s="83">
        <v>25.332539137226739</v>
      </c>
      <c r="I26" s="83">
        <v>5089.0397975391488</v>
      </c>
      <c r="J26" s="83">
        <v>27.593435653672849</v>
      </c>
    </row>
    <row r="27" spans="1:10" ht="16">
      <c r="A27" s="79" t="s">
        <v>788</v>
      </c>
      <c r="B27" s="79" t="s">
        <v>789</v>
      </c>
      <c r="C27" s="80" t="s">
        <v>95</v>
      </c>
      <c r="D27" s="81" t="s">
        <v>99</v>
      </c>
      <c r="E27" s="82">
        <v>8401</v>
      </c>
      <c r="F27" s="82">
        <v>988</v>
      </c>
      <c r="G27" s="82">
        <v>1764</v>
      </c>
      <c r="H27" s="83">
        <v>15.317988781583518</v>
      </c>
      <c r="I27" s="83">
        <v>11544.468401049546</v>
      </c>
      <c r="J27" s="83">
        <v>28.872173928796922</v>
      </c>
    </row>
    <row r="28" spans="1:10" ht="16">
      <c r="A28" s="79" t="s">
        <v>1203</v>
      </c>
      <c r="B28" s="79" t="s">
        <v>1204</v>
      </c>
      <c r="C28" s="80" t="s">
        <v>126</v>
      </c>
      <c r="D28" s="81" t="s">
        <v>103</v>
      </c>
      <c r="E28" s="82">
        <v>5652</v>
      </c>
      <c r="F28" s="82">
        <v>404</v>
      </c>
      <c r="G28" s="82">
        <v>4691</v>
      </c>
      <c r="H28" s="83">
        <v>15.195100799105088</v>
      </c>
      <c r="I28" s="83">
        <v>3407.7237823629466</v>
      </c>
      <c r="J28" s="83">
        <v>19.911346995065696</v>
      </c>
    </row>
    <row r="29" spans="1:10" ht="16">
      <c r="A29" s="79" t="s">
        <v>557</v>
      </c>
      <c r="B29" s="79" t="s">
        <v>556</v>
      </c>
      <c r="C29" s="80" t="s">
        <v>126</v>
      </c>
      <c r="D29" s="81" t="s">
        <v>96</v>
      </c>
      <c r="E29" s="82">
        <v>11580</v>
      </c>
      <c r="F29" s="82">
        <v>536</v>
      </c>
      <c r="G29" s="82">
        <v>232</v>
      </c>
      <c r="H29" s="83">
        <v>32.664454432855294</v>
      </c>
      <c r="I29" s="83">
        <v>13740.534932142071</v>
      </c>
      <c r="J29" s="83">
        <v>34.640836454911494</v>
      </c>
    </row>
    <row r="30" spans="1:10" ht="16">
      <c r="A30" s="79" t="s">
        <v>495</v>
      </c>
      <c r="B30" s="79" t="s">
        <v>493</v>
      </c>
      <c r="C30" s="80" t="s">
        <v>126</v>
      </c>
      <c r="D30" s="81" t="s">
        <v>103</v>
      </c>
      <c r="E30" s="82">
        <v>29623</v>
      </c>
      <c r="F30" s="82">
        <v>1975</v>
      </c>
      <c r="G30" s="82">
        <v>1185</v>
      </c>
      <c r="H30" s="83">
        <v>9.8857509785649569</v>
      </c>
      <c r="I30" s="83">
        <v>1764.1802074271461</v>
      </c>
      <c r="J30" s="83">
        <v>16.098576350529392</v>
      </c>
    </row>
    <row r="31" spans="1:10" ht="16">
      <c r="A31" s="79" t="s">
        <v>496</v>
      </c>
      <c r="B31" s="79" t="s">
        <v>493</v>
      </c>
      <c r="C31" s="80" t="s">
        <v>126</v>
      </c>
      <c r="D31" s="81" t="s">
        <v>103</v>
      </c>
      <c r="E31" s="82">
        <v>14689</v>
      </c>
      <c r="F31" s="82">
        <v>1234</v>
      </c>
      <c r="G31" s="82">
        <v>1763</v>
      </c>
      <c r="H31" s="83">
        <v>17.194273944555185</v>
      </c>
      <c r="I31" s="83">
        <v>8136.752889427974</v>
      </c>
      <c r="J31" s="83">
        <v>26.913184532990744</v>
      </c>
    </row>
    <row r="32" spans="1:10" ht="16">
      <c r="A32" s="79" t="s">
        <v>1163</v>
      </c>
      <c r="B32" s="79" t="s">
        <v>1161</v>
      </c>
      <c r="C32" s="80" t="s">
        <v>126</v>
      </c>
      <c r="D32" s="81" t="s">
        <v>75</v>
      </c>
      <c r="E32" s="82">
        <v>830104</v>
      </c>
      <c r="F32" s="82">
        <v>1682</v>
      </c>
      <c r="G32" s="82">
        <v>8301</v>
      </c>
      <c r="H32" s="83">
        <v>24.777103198649453</v>
      </c>
      <c r="I32" s="83">
        <v>3979.3561273441428</v>
      </c>
      <c r="J32" s="83">
        <v>13.108426873288469</v>
      </c>
    </row>
    <row r="33" spans="1:10" ht="16">
      <c r="A33" s="79" t="s">
        <v>497</v>
      </c>
      <c r="B33" s="79" t="s">
        <v>493</v>
      </c>
      <c r="C33" s="80" t="s">
        <v>95</v>
      </c>
      <c r="D33" s="81" t="s">
        <v>149</v>
      </c>
      <c r="E33" s="82">
        <v>9785</v>
      </c>
      <c r="F33" s="82">
        <v>589</v>
      </c>
      <c r="G33" s="82">
        <v>196</v>
      </c>
      <c r="H33" s="83">
        <v>11.309102147108797</v>
      </c>
      <c r="I33" s="83">
        <v>870.08174481896185</v>
      </c>
      <c r="J33" s="83">
        <v>37.591309976272115</v>
      </c>
    </row>
    <row r="34" spans="1:10" ht="16">
      <c r="A34" s="79" t="s">
        <v>1210</v>
      </c>
      <c r="B34" s="79" t="s">
        <v>1209</v>
      </c>
      <c r="C34" s="80" t="s">
        <v>95</v>
      </c>
      <c r="D34" s="81" t="s">
        <v>96</v>
      </c>
      <c r="E34" s="82">
        <v>18022</v>
      </c>
      <c r="F34" s="82">
        <v>780</v>
      </c>
      <c r="G34" s="82">
        <v>5407</v>
      </c>
      <c r="H34" s="83">
        <v>14.437302678008953</v>
      </c>
      <c r="I34" s="83">
        <v>14431.031270478992</v>
      </c>
      <c r="J34" s="83">
        <v>18.520401349504446</v>
      </c>
    </row>
    <row r="35" spans="1:10" ht="16">
      <c r="A35" s="79" t="s">
        <v>1164</v>
      </c>
      <c r="B35" s="79" t="s">
        <v>1161</v>
      </c>
      <c r="C35" s="80" t="s">
        <v>126</v>
      </c>
      <c r="D35" s="81" t="s">
        <v>79</v>
      </c>
      <c r="E35" s="82">
        <v>69737</v>
      </c>
      <c r="F35" s="82">
        <v>3651</v>
      </c>
      <c r="G35" s="82">
        <v>2789</v>
      </c>
      <c r="H35" s="83">
        <v>10.297268586810235</v>
      </c>
      <c r="I35" s="83">
        <v>1391.8822685709049</v>
      </c>
      <c r="J35" s="83">
        <v>20.029114355666231</v>
      </c>
    </row>
    <row r="36" spans="1:10" ht="16">
      <c r="A36" s="79" t="s">
        <v>498</v>
      </c>
      <c r="B36" s="79" t="s">
        <v>493</v>
      </c>
      <c r="C36" s="80" t="s">
        <v>126</v>
      </c>
      <c r="D36" s="81" t="s">
        <v>78</v>
      </c>
      <c r="E36" s="82">
        <v>14428</v>
      </c>
      <c r="F36" s="82">
        <v>925</v>
      </c>
      <c r="G36" s="82">
        <v>144</v>
      </c>
      <c r="H36" s="83">
        <v>14.140379946840559</v>
      </c>
      <c r="I36" s="83">
        <v>2625.9005799174547</v>
      </c>
      <c r="J36" s="83">
        <v>22.877170480456318</v>
      </c>
    </row>
    <row r="37" spans="1:10" ht="16">
      <c r="A37" s="79" t="s">
        <v>499</v>
      </c>
      <c r="B37" s="79" t="s">
        <v>493</v>
      </c>
      <c r="C37" s="80" t="s">
        <v>126</v>
      </c>
      <c r="D37" s="81" t="s">
        <v>103</v>
      </c>
      <c r="E37" s="82">
        <v>23098</v>
      </c>
      <c r="F37" s="82">
        <v>1638</v>
      </c>
      <c r="G37" s="82">
        <v>462</v>
      </c>
      <c r="H37" s="83">
        <v>8.9771224713427351</v>
      </c>
      <c r="I37" s="83">
        <v>1611.3829948030734</v>
      </c>
      <c r="J37" s="83">
        <v>29.762054370975793</v>
      </c>
    </row>
    <row r="38" spans="1:10" ht="16">
      <c r="A38" s="79" t="s">
        <v>663</v>
      </c>
      <c r="B38" s="79" t="s">
        <v>661</v>
      </c>
      <c r="C38" s="80" t="s">
        <v>126</v>
      </c>
      <c r="D38" s="81" t="s">
        <v>99</v>
      </c>
      <c r="E38" s="82">
        <v>19143</v>
      </c>
      <c r="F38" s="82">
        <v>1679</v>
      </c>
      <c r="G38" s="82">
        <v>574</v>
      </c>
      <c r="H38" s="83">
        <v>8.2246036843197654</v>
      </c>
      <c r="I38" s="83">
        <v>1659.5173785310528</v>
      </c>
      <c r="J38" s="83">
        <v>17.15531968816509</v>
      </c>
    </row>
    <row r="39" spans="1:10" ht="16">
      <c r="A39" s="79" t="s">
        <v>466</v>
      </c>
      <c r="B39" s="79" t="s">
        <v>467</v>
      </c>
      <c r="C39" s="80" t="s">
        <v>95</v>
      </c>
      <c r="D39" s="81" t="s">
        <v>77</v>
      </c>
      <c r="E39" s="82">
        <v>46505</v>
      </c>
      <c r="F39" s="82">
        <v>1735</v>
      </c>
      <c r="G39" s="82">
        <v>2325</v>
      </c>
      <c r="H39" s="83">
        <v>17.165698380494842</v>
      </c>
      <c r="I39" s="83">
        <v>10856.176100452727</v>
      </c>
      <c r="J39" s="83">
        <v>20.089464071600553</v>
      </c>
    </row>
    <row r="40" spans="1:10" ht="16">
      <c r="A40" s="79" t="s">
        <v>1308</v>
      </c>
      <c r="B40" s="79" t="s">
        <v>1307</v>
      </c>
      <c r="C40" s="80" t="s">
        <v>126</v>
      </c>
      <c r="D40" s="81" t="s">
        <v>78</v>
      </c>
      <c r="E40" s="82">
        <v>46683</v>
      </c>
      <c r="F40" s="82">
        <v>2212</v>
      </c>
      <c r="G40" s="82">
        <v>9803</v>
      </c>
      <c r="H40" s="83">
        <v>50.832535806437697</v>
      </c>
      <c r="I40" s="83">
        <v>41424.132050904809</v>
      </c>
      <c r="J40" s="83">
        <v>40.217471142751336</v>
      </c>
    </row>
    <row r="41" spans="1:10" ht="16">
      <c r="A41" s="79" t="s">
        <v>1099</v>
      </c>
      <c r="B41" s="79" t="s">
        <v>1100</v>
      </c>
      <c r="C41" s="80" t="s">
        <v>95</v>
      </c>
      <c r="D41" s="81" t="s">
        <v>96</v>
      </c>
      <c r="E41" s="82">
        <v>11779</v>
      </c>
      <c r="F41" s="82">
        <v>395</v>
      </c>
      <c r="G41" s="82">
        <v>589</v>
      </c>
      <c r="H41" s="83">
        <v>34.458681785012892</v>
      </c>
      <c r="I41" s="83">
        <v>7758.6426784378846</v>
      </c>
      <c r="J41" s="83">
        <v>18.13928600203975</v>
      </c>
    </row>
    <row r="42" spans="1:10" ht="16">
      <c r="A42" s="79" t="s">
        <v>367</v>
      </c>
      <c r="B42" s="79" t="s">
        <v>363</v>
      </c>
      <c r="C42" s="80" t="s">
        <v>126</v>
      </c>
      <c r="D42" s="81" t="s">
        <v>111</v>
      </c>
      <c r="E42" s="82">
        <v>87471</v>
      </c>
      <c r="F42" s="82">
        <v>4440</v>
      </c>
      <c r="G42" s="82">
        <v>875</v>
      </c>
      <c r="H42" s="83">
        <v>9.2588522367131798</v>
      </c>
      <c r="I42" s="83">
        <v>2337.0620501972762</v>
      </c>
      <c r="J42" s="83">
        <v>15.59836129336778</v>
      </c>
    </row>
    <row r="43" spans="1:10" ht="16">
      <c r="A43" s="79" t="s">
        <v>1211</v>
      </c>
      <c r="B43" s="79" t="s">
        <v>1209</v>
      </c>
      <c r="C43" s="80" t="s">
        <v>126</v>
      </c>
      <c r="D43" s="81" t="s">
        <v>103</v>
      </c>
      <c r="E43" s="82">
        <v>11113</v>
      </c>
      <c r="F43" s="82">
        <v>527</v>
      </c>
      <c r="G43" s="82">
        <v>2889</v>
      </c>
      <c r="H43" s="83">
        <v>24.459431130630733</v>
      </c>
      <c r="I43" s="83">
        <v>13336.663241958082</v>
      </c>
      <c r="J43" s="83">
        <v>21.438257275509304</v>
      </c>
    </row>
    <row r="44" spans="1:10" ht="16">
      <c r="A44" s="79" t="s">
        <v>368</v>
      </c>
      <c r="B44" s="79" t="s">
        <v>363</v>
      </c>
      <c r="C44" s="80" t="s">
        <v>95</v>
      </c>
      <c r="D44" s="81" t="s">
        <v>79</v>
      </c>
      <c r="E44" s="82">
        <v>22393</v>
      </c>
      <c r="F44" s="82">
        <v>549</v>
      </c>
      <c r="G44" s="82">
        <v>501</v>
      </c>
      <c r="H44" s="83">
        <v>9.0901555427163032</v>
      </c>
      <c r="I44" s="83">
        <v>8776.7214354755997</v>
      </c>
      <c r="J44" s="83">
        <v>12.867740209704008</v>
      </c>
    </row>
    <row r="45" spans="1:10" ht="16">
      <c r="A45" s="79" t="s">
        <v>468</v>
      </c>
      <c r="B45" s="79" t="s">
        <v>467</v>
      </c>
      <c r="C45" s="80" t="s">
        <v>126</v>
      </c>
      <c r="D45" s="81" t="s">
        <v>79</v>
      </c>
      <c r="E45" s="82">
        <v>9678</v>
      </c>
      <c r="F45" s="82">
        <v>218</v>
      </c>
      <c r="G45" s="82">
        <v>484</v>
      </c>
      <c r="H45" s="83">
        <v>22.038704127832425</v>
      </c>
      <c r="I45" s="83">
        <v>8367.1757775054994</v>
      </c>
      <c r="J45" s="83">
        <v>18.258933304004614</v>
      </c>
    </row>
    <row r="46" spans="1:10" ht="16">
      <c r="A46" s="79" t="s">
        <v>1165</v>
      </c>
      <c r="B46" s="79" t="s">
        <v>1161</v>
      </c>
      <c r="C46" s="80" t="s">
        <v>126</v>
      </c>
      <c r="D46" s="81" t="s">
        <v>149</v>
      </c>
      <c r="E46" s="82">
        <v>9862</v>
      </c>
      <c r="F46" s="82">
        <v>587</v>
      </c>
      <c r="G46" s="82">
        <v>592</v>
      </c>
      <c r="H46" s="83">
        <v>9.1906637488825833</v>
      </c>
      <c r="I46" s="83">
        <v>3470.6997336948298</v>
      </c>
      <c r="J46" s="83">
        <v>15.148266708373939</v>
      </c>
    </row>
    <row r="47" spans="1:10" ht="16">
      <c r="A47" s="79" t="s">
        <v>1309</v>
      </c>
      <c r="B47" s="79" t="s">
        <v>1307</v>
      </c>
      <c r="C47" s="80" t="s">
        <v>95</v>
      </c>
      <c r="D47" s="81" t="s">
        <v>99</v>
      </c>
      <c r="E47" s="82">
        <v>26641</v>
      </c>
      <c r="F47" s="82">
        <v>1417</v>
      </c>
      <c r="G47" s="82">
        <v>2398</v>
      </c>
      <c r="H47" s="83">
        <v>21.59106321330929</v>
      </c>
      <c r="I47" s="83">
        <v>9174.9272647613161</v>
      </c>
      <c r="J47" s="83">
        <v>33.138772544116556</v>
      </c>
    </row>
    <row r="48" spans="1:10" ht="16">
      <c r="A48" s="79" t="s">
        <v>852</v>
      </c>
      <c r="B48" s="79" t="s">
        <v>853</v>
      </c>
      <c r="C48" s="80" t="s">
        <v>95</v>
      </c>
      <c r="D48" s="81" t="s">
        <v>111</v>
      </c>
      <c r="E48" s="82">
        <v>18035</v>
      </c>
      <c r="F48" s="82">
        <v>1055</v>
      </c>
      <c r="G48" s="82">
        <v>8476</v>
      </c>
      <c r="H48" s="83">
        <v>19.193752716054153</v>
      </c>
      <c r="I48" s="83">
        <v>18053.190582179443</v>
      </c>
      <c r="J48" s="83">
        <v>20.334475741093168</v>
      </c>
    </row>
    <row r="49" spans="1:10" ht="16">
      <c r="A49" s="79" t="s">
        <v>230</v>
      </c>
      <c r="B49" s="79" t="s">
        <v>231</v>
      </c>
      <c r="C49" s="80" t="s">
        <v>126</v>
      </c>
      <c r="D49" s="81" t="s">
        <v>101</v>
      </c>
      <c r="E49" s="82">
        <v>15575</v>
      </c>
      <c r="F49" s="82">
        <v>880</v>
      </c>
      <c r="G49" s="82">
        <v>312</v>
      </c>
      <c r="H49" s="83">
        <v>12.754031415648718</v>
      </c>
      <c r="I49" s="83">
        <v>2792.8347437498046</v>
      </c>
      <c r="J49" s="83">
        <v>15.112428385579683</v>
      </c>
    </row>
    <row r="50" spans="1:10" ht="16">
      <c r="A50" s="79" t="s">
        <v>107</v>
      </c>
      <c r="B50" s="79" t="s">
        <v>108</v>
      </c>
      <c r="C50" s="80" t="s">
        <v>95</v>
      </c>
      <c r="D50" s="81" t="s">
        <v>75</v>
      </c>
      <c r="E50" s="82">
        <v>23886</v>
      </c>
      <c r="F50" s="82">
        <v>549</v>
      </c>
      <c r="G50" s="82">
        <v>2866</v>
      </c>
      <c r="H50" s="83">
        <v>28.115268559362519</v>
      </c>
      <c r="I50" s="83">
        <v>20231.76211766605</v>
      </c>
      <c r="J50" s="83">
        <v>20.662874049475121</v>
      </c>
    </row>
    <row r="51" spans="1:10" ht="16">
      <c r="A51" s="79" t="s">
        <v>109</v>
      </c>
      <c r="B51" s="79" t="s">
        <v>108</v>
      </c>
      <c r="C51" s="80" t="s">
        <v>95</v>
      </c>
      <c r="D51" s="81" t="s">
        <v>99</v>
      </c>
      <c r="E51" s="82">
        <v>17359</v>
      </c>
      <c r="F51" s="82">
        <v>975</v>
      </c>
      <c r="G51" s="82">
        <v>7638</v>
      </c>
      <c r="H51" s="83">
        <v>70.027839444938749</v>
      </c>
      <c r="I51" s="83">
        <v>61684.150452879963</v>
      </c>
      <c r="J51" s="83">
        <v>54.878612669651922</v>
      </c>
    </row>
    <row r="52" spans="1:10" ht="16">
      <c r="A52" s="79" t="s">
        <v>816</v>
      </c>
      <c r="B52" s="79" t="s">
        <v>817</v>
      </c>
      <c r="C52" s="80" t="s">
        <v>95</v>
      </c>
      <c r="D52" s="81" t="s">
        <v>149</v>
      </c>
      <c r="E52" s="82">
        <v>59507</v>
      </c>
      <c r="F52" s="82">
        <v>3362</v>
      </c>
      <c r="G52" s="82">
        <v>1190</v>
      </c>
      <c r="H52" s="83">
        <v>9.7751531640796028</v>
      </c>
      <c r="I52" s="83">
        <v>683.07841797772733</v>
      </c>
      <c r="J52" s="83">
        <v>14.391320077675758</v>
      </c>
    </row>
    <row r="53" spans="1:10" ht="16">
      <c r="A53" s="79" t="s">
        <v>1038</v>
      </c>
      <c r="B53" s="79" t="s">
        <v>1039</v>
      </c>
      <c r="C53" s="80" t="s">
        <v>95</v>
      </c>
      <c r="D53" s="81" t="s">
        <v>111</v>
      </c>
      <c r="E53" s="82">
        <v>31877</v>
      </c>
      <c r="F53" s="82">
        <v>2530</v>
      </c>
      <c r="G53" s="82">
        <v>5100</v>
      </c>
      <c r="H53" s="83">
        <v>36.899316668800616</v>
      </c>
      <c r="I53" s="83">
        <v>33625.841404876133</v>
      </c>
      <c r="J53" s="83">
        <v>41.654874884397096</v>
      </c>
    </row>
    <row r="54" spans="1:10" ht="16">
      <c r="A54" s="79" t="s">
        <v>818</v>
      </c>
      <c r="B54" s="79" t="s">
        <v>817</v>
      </c>
      <c r="C54" s="80" t="s">
        <v>95</v>
      </c>
      <c r="D54" s="81" t="s">
        <v>96</v>
      </c>
      <c r="E54" s="82">
        <v>34995</v>
      </c>
      <c r="F54" s="82">
        <v>1923</v>
      </c>
      <c r="G54" s="82">
        <v>350</v>
      </c>
      <c r="H54" s="83">
        <v>9.0041166705782594</v>
      </c>
      <c r="I54" s="83">
        <v>692.76577895975652</v>
      </c>
      <c r="J54" s="83">
        <v>15.067746225848651</v>
      </c>
    </row>
    <row r="55" spans="1:10" ht="16">
      <c r="A55" s="79" t="s">
        <v>1040</v>
      </c>
      <c r="B55" s="79" t="s">
        <v>1039</v>
      </c>
      <c r="C55" s="80" t="s">
        <v>95</v>
      </c>
      <c r="D55" s="81" t="s">
        <v>79</v>
      </c>
      <c r="E55" s="82">
        <v>29576</v>
      </c>
      <c r="F55" s="82">
        <v>2207</v>
      </c>
      <c r="G55" s="82">
        <v>4141</v>
      </c>
      <c r="H55" s="83">
        <v>29.112879903587014</v>
      </c>
      <c r="I55" s="83">
        <v>21435.149449230044</v>
      </c>
      <c r="J55" s="83">
        <v>40.224011771522392</v>
      </c>
    </row>
    <row r="56" spans="1:10" ht="16">
      <c r="A56" s="79" t="s">
        <v>819</v>
      </c>
      <c r="B56" s="79" t="s">
        <v>817</v>
      </c>
      <c r="C56" s="80" t="s">
        <v>95</v>
      </c>
      <c r="D56" s="81" t="s">
        <v>79</v>
      </c>
      <c r="E56" s="82">
        <v>69982</v>
      </c>
      <c r="F56" s="82">
        <v>2108</v>
      </c>
      <c r="G56" s="82">
        <v>700</v>
      </c>
      <c r="H56" s="83">
        <v>8.6629192285902974</v>
      </c>
      <c r="I56" s="83">
        <v>968.75752048573463</v>
      </c>
      <c r="J56" s="83">
        <v>16.36586316973461</v>
      </c>
    </row>
    <row r="57" spans="1:10" ht="16">
      <c r="A57" s="79" t="s">
        <v>820</v>
      </c>
      <c r="B57" s="79" t="s">
        <v>817</v>
      </c>
      <c r="C57" s="80" t="s">
        <v>95</v>
      </c>
      <c r="D57" s="81" t="s">
        <v>99</v>
      </c>
      <c r="E57" s="82">
        <v>32012</v>
      </c>
      <c r="F57" s="82">
        <v>3370</v>
      </c>
      <c r="G57" s="82">
        <v>320</v>
      </c>
      <c r="H57" s="83">
        <v>8.0052643866110369</v>
      </c>
      <c r="I57" s="83">
        <v>888.25700982835156</v>
      </c>
      <c r="J57" s="83">
        <v>17.977953074077309</v>
      </c>
    </row>
    <row r="58" spans="1:10" ht="16">
      <c r="A58" s="79" t="s">
        <v>821</v>
      </c>
      <c r="B58" s="79" t="s">
        <v>817</v>
      </c>
      <c r="C58" s="80" t="s">
        <v>95</v>
      </c>
      <c r="D58" s="81" t="s">
        <v>79</v>
      </c>
      <c r="E58" s="82">
        <v>72792</v>
      </c>
      <c r="F58" s="82">
        <v>3386</v>
      </c>
      <c r="G58" s="82">
        <v>5065</v>
      </c>
      <c r="H58" s="83">
        <v>8.5925506742924735</v>
      </c>
      <c r="I58" s="83">
        <v>1141.0621479716235</v>
      </c>
      <c r="J58" s="83">
        <v>14.094990981154101</v>
      </c>
    </row>
    <row r="59" spans="1:10" ht="16">
      <c r="A59" s="79" t="s">
        <v>822</v>
      </c>
      <c r="B59" s="79" t="s">
        <v>817</v>
      </c>
      <c r="C59" s="80" t="s">
        <v>95</v>
      </c>
      <c r="D59" s="81" t="s">
        <v>149</v>
      </c>
      <c r="E59" s="82">
        <v>57588</v>
      </c>
      <c r="F59" s="82">
        <v>2594</v>
      </c>
      <c r="G59" s="82">
        <v>576</v>
      </c>
      <c r="H59" s="83">
        <v>9.898784221154612</v>
      </c>
      <c r="I59" s="83">
        <v>636.9828577535618</v>
      </c>
      <c r="J59" s="83">
        <v>14.671824741470607</v>
      </c>
    </row>
    <row r="60" spans="1:10" ht="16">
      <c r="A60" s="79" t="s">
        <v>558</v>
      </c>
      <c r="B60" s="79" t="s">
        <v>556</v>
      </c>
      <c r="C60" s="80" t="s">
        <v>95</v>
      </c>
      <c r="D60" s="81" t="s">
        <v>99</v>
      </c>
      <c r="E60" s="82">
        <v>6329</v>
      </c>
      <c r="F60" s="82">
        <v>265</v>
      </c>
      <c r="G60" s="82">
        <v>291</v>
      </c>
      <c r="H60" s="83">
        <v>13.024967116454036</v>
      </c>
      <c r="I60" s="83">
        <v>2992.6951500645937</v>
      </c>
      <c r="J60" s="83">
        <v>18.4557715570037</v>
      </c>
    </row>
    <row r="61" spans="1:10" ht="16">
      <c r="A61" s="79" t="s">
        <v>929</v>
      </c>
      <c r="B61" s="79" t="s">
        <v>928</v>
      </c>
      <c r="C61" s="80" t="s">
        <v>95</v>
      </c>
      <c r="D61" s="81" t="s">
        <v>75</v>
      </c>
      <c r="E61" s="82">
        <v>37168</v>
      </c>
      <c r="F61" s="82">
        <v>1511</v>
      </c>
      <c r="G61" s="82">
        <v>1487</v>
      </c>
      <c r="H61" s="83">
        <v>14.346759443617243</v>
      </c>
      <c r="I61" s="83">
        <v>5208.2289648175465</v>
      </c>
      <c r="J61" s="83">
        <v>17.401273331299684</v>
      </c>
    </row>
    <row r="62" spans="1:10" ht="16">
      <c r="A62" s="79" t="s">
        <v>559</v>
      </c>
      <c r="B62" s="79" t="s">
        <v>556</v>
      </c>
      <c r="C62" s="80" t="s">
        <v>126</v>
      </c>
      <c r="D62" s="81" t="s">
        <v>75</v>
      </c>
      <c r="E62" s="82">
        <v>5744</v>
      </c>
      <c r="F62" s="82">
        <v>194</v>
      </c>
      <c r="G62" s="82">
        <v>400</v>
      </c>
      <c r="H62" s="83">
        <v>21.492405765605529</v>
      </c>
      <c r="I62" s="83">
        <v>21203.054639943319</v>
      </c>
      <c r="J62" s="83">
        <v>15.396716249506765</v>
      </c>
    </row>
    <row r="63" spans="1:10" ht="16">
      <c r="A63" s="79" t="s">
        <v>876</v>
      </c>
      <c r="B63" s="79" t="s">
        <v>877</v>
      </c>
      <c r="C63" s="80" t="s">
        <v>126</v>
      </c>
      <c r="D63" s="81" t="s">
        <v>96</v>
      </c>
      <c r="E63" s="82">
        <v>28135</v>
      </c>
      <c r="F63" s="82">
        <v>816</v>
      </c>
      <c r="G63" s="82">
        <v>1958</v>
      </c>
      <c r="H63" s="83">
        <v>9.9289443060976303</v>
      </c>
      <c r="I63" s="83">
        <v>1791.7965281674678</v>
      </c>
      <c r="J63" s="83">
        <v>14.126973526057888</v>
      </c>
    </row>
    <row r="64" spans="1:10" ht="16">
      <c r="A64" s="79" t="s">
        <v>1166</v>
      </c>
      <c r="B64" s="79" t="s">
        <v>1161</v>
      </c>
      <c r="C64" s="80" t="s">
        <v>126</v>
      </c>
      <c r="D64" s="81" t="s">
        <v>77</v>
      </c>
      <c r="E64" s="82">
        <v>16458</v>
      </c>
      <c r="F64" s="82">
        <v>430</v>
      </c>
      <c r="G64" s="82">
        <v>1975</v>
      </c>
      <c r="H64" s="83">
        <v>14.934174059722011</v>
      </c>
      <c r="I64" s="83">
        <v>2185.4331804156218</v>
      </c>
      <c r="J64" s="83">
        <v>18.566965663576248</v>
      </c>
    </row>
    <row r="65" spans="1:10" ht="16">
      <c r="A65" s="79" t="s">
        <v>500</v>
      </c>
      <c r="B65" s="79" t="s">
        <v>493</v>
      </c>
      <c r="C65" s="80" t="s">
        <v>126</v>
      </c>
      <c r="D65" s="81" t="s">
        <v>103</v>
      </c>
      <c r="E65" s="82">
        <v>14953</v>
      </c>
      <c r="F65" s="82">
        <v>1323</v>
      </c>
      <c r="G65" s="82">
        <v>449</v>
      </c>
      <c r="H65" s="83">
        <v>16.423169162680416</v>
      </c>
      <c r="I65" s="83">
        <v>7671.9525824548082</v>
      </c>
      <c r="J65" s="83">
        <v>31.391253917434288</v>
      </c>
    </row>
    <row r="66" spans="1:10" ht="16">
      <c r="A66" s="79" t="s">
        <v>501</v>
      </c>
      <c r="B66" s="79" t="s">
        <v>493</v>
      </c>
      <c r="C66" s="80" t="s">
        <v>95</v>
      </c>
      <c r="D66" s="81" t="s">
        <v>96</v>
      </c>
      <c r="E66" s="82">
        <v>10355</v>
      </c>
      <c r="F66" s="82">
        <v>542</v>
      </c>
      <c r="G66" s="82">
        <v>414</v>
      </c>
      <c r="H66" s="83">
        <v>10.032846057819974</v>
      </c>
      <c r="I66" s="83">
        <v>1110.3138881123016</v>
      </c>
      <c r="J66" s="83">
        <v>33.278001152853527</v>
      </c>
    </row>
    <row r="67" spans="1:10" ht="16">
      <c r="A67" s="79" t="s">
        <v>548</v>
      </c>
      <c r="B67" s="79" t="s">
        <v>549</v>
      </c>
      <c r="C67" s="80" t="s">
        <v>126</v>
      </c>
      <c r="D67" s="81" t="s">
        <v>75</v>
      </c>
      <c r="E67" s="82">
        <v>17382</v>
      </c>
      <c r="F67" s="82">
        <v>1655</v>
      </c>
      <c r="G67" s="82">
        <v>348</v>
      </c>
      <c r="H67" s="83">
        <v>17.300251781247745</v>
      </c>
      <c r="I67" s="83">
        <v>2731.8022877974972</v>
      </c>
      <c r="J67" s="83">
        <v>22.776235967039366</v>
      </c>
    </row>
    <row r="68" spans="1:10" ht="16">
      <c r="A68" s="79" t="s">
        <v>1212</v>
      </c>
      <c r="B68" s="79" t="s">
        <v>1209</v>
      </c>
      <c r="C68" s="80" t="s">
        <v>95</v>
      </c>
      <c r="D68" s="81" t="s">
        <v>75</v>
      </c>
      <c r="E68" s="82">
        <v>9590</v>
      </c>
      <c r="F68" s="82">
        <v>588</v>
      </c>
      <c r="G68" s="82">
        <v>2206</v>
      </c>
      <c r="H68" s="83">
        <v>21.338675353884931</v>
      </c>
      <c r="I68" s="83">
        <v>13766.75380375603</v>
      </c>
      <c r="J68" s="83">
        <v>22.413131726576211</v>
      </c>
    </row>
    <row r="69" spans="1:10" ht="16">
      <c r="A69" s="79" t="s">
        <v>609</v>
      </c>
      <c r="B69" s="79" t="s">
        <v>610</v>
      </c>
      <c r="C69" s="80" t="s">
        <v>95</v>
      </c>
      <c r="D69" s="81" t="s">
        <v>78</v>
      </c>
      <c r="E69" s="82">
        <v>16723</v>
      </c>
      <c r="F69" s="82">
        <v>956</v>
      </c>
      <c r="G69" s="82">
        <v>836</v>
      </c>
      <c r="H69" s="83">
        <v>36.691953831134299</v>
      </c>
      <c r="I69" s="83">
        <v>16176.01411636454</v>
      </c>
      <c r="J69" s="83">
        <v>30.318013025120742</v>
      </c>
    </row>
    <row r="70" spans="1:10" ht="16">
      <c r="A70" s="79" t="s">
        <v>937</v>
      </c>
      <c r="B70" s="79" t="s">
        <v>938</v>
      </c>
      <c r="C70" s="80" t="s">
        <v>95</v>
      </c>
      <c r="D70" s="81" t="s">
        <v>149</v>
      </c>
      <c r="E70" s="82">
        <v>15236</v>
      </c>
      <c r="F70" s="82">
        <v>1373</v>
      </c>
      <c r="G70" s="82">
        <v>457</v>
      </c>
      <c r="H70" s="83">
        <v>8.1021621004845255</v>
      </c>
      <c r="I70" s="83">
        <v>365.67821417114874</v>
      </c>
      <c r="J70" s="83">
        <v>17.616239786407618</v>
      </c>
    </row>
    <row r="71" spans="1:10" ht="16">
      <c r="A71" s="79" t="s">
        <v>1167</v>
      </c>
      <c r="B71" s="79" t="s">
        <v>1161</v>
      </c>
      <c r="C71" s="80" t="s">
        <v>95</v>
      </c>
      <c r="D71" s="81" t="s">
        <v>99</v>
      </c>
      <c r="E71" s="82">
        <v>12516</v>
      </c>
      <c r="F71" s="82">
        <v>1138</v>
      </c>
      <c r="G71" s="82">
        <v>1188</v>
      </c>
      <c r="H71" s="83">
        <v>11.678144368932776</v>
      </c>
      <c r="I71" s="83">
        <v>524.20090709629471</v>
      </c>
      <c r="J71" s="83">
        <v>21.490198144117446</v>
      </c>
    </row>
    <row r="72" spans="1:10" ht="16">
      <c r="A72" s="79" t="s">
        <v>939</v>
      </c>
      <c r="B72" s="79" t="s">
        <v>938</v>
      </c>
      <c r="C72" s="80" t="s">
        <v>126</v>
      </c>
      <c r="D72" s="81" t="s">
        <v>103</v>
      </c>
      <c r="E72" s="82">
        <v>19785</v>
      </c>
      <c r="F72" s="82">
        <v>4122</v>
      </c>
      <c r="G72" s="82">
        <v>1583</v>
      </c>
      <c r="H72" s="83">
        <v>17.959653136227015</v>
      </c>
      <c r="I72" s="83">
        <v>2929.8424898396656</v>
      </c>
      <c r="J72" s="83">
        <v>34.601583921522533</v>
      </c>
    </row>
    <row r="73" spans="1:10" ht="16">
      <c r="A73" s="79" t="s">
        <v>1310</v>
      </c>
      <c r="B73" s="79" t="s">
        <v>1307</v>
      </c>
      <c r="C73" s="80" t="s">
        <v>95</v>
      </c>
      <c r="D73" s="81" t="s">
        <v>96</v>
      </c>
      <c r="E73" s="82">
        <v>17078</v>
      </c>
      <c r="F73" s="82">
        <v>1054</v>
      </c>
      <c r="G73" s="82">
        <v>1025</v>
      </c>
      <c r="H73" s="83">
        <v>18.947135839332827</v>
      </c>
      <c r="I73" s="83">
        <v>9831.5204024907216</v>
      </c>
      <c r="J73" s="83">
        <v>32.758688641884106</v>
      </c>
    </row>
    <row r="74" spans="1:10" ht="16">
      <c r="A74" s="79" t="s">
        <v>241</v>
      </c>
      <c r="B74" s="79" t="s">
        <v>242</v>
      </c>
      <c r="C74" s="80" t="s">
        <v>126</v>
      </c>
      <c r="D74" s="81" t="s">
        <v>149</v>
      </c>
      <c r="E74" s="82">
        <v>29952</v>
      </c>
      <c r="F74" s="82">
        <v>2186</v>
      </c>
      <c r="G74" s="82">
        <v>1797</v>
      </c>
      <c r="H74" s="83">
        <v>34.661180075518153</v>
      </c>
      <c r="I74" s="83">
        <v>13065.074275357172</v>
      </c>
      <c r="J74" s="83">
        <v>30.485549864389913</v>
      </c>
    </row>
    <row r="75" spans="1:10" ht="16">
      <c r="A75" s="79" t="s">
        <v>243</v>
      </c>
      <c r="B75" s="79" t="s">
        <v>242</v>
      </c>
      <c r="C75" s="80" t="s">
        <v>126</v>
      </c>
      <c r="D75" s="81" t="s">
        <v>99</v>
      </c>
      <c r="E75" s="82">
        <v>30608</v>
      </c>
      <c r="F75" s="82">
        <v>2301</v>
      </c>
      <c r="G75" s="82">
        <v>2449</v>
      </c>
      <c r="H75" s="83">
        <v>32.661834240671844</v>
      </c>
      <c r="I75" s="83">
        <v>10528.16009037418</v>
      </c>
      <c r="J75" s="83">
        <v>31.050270542961599</v>
      </c>
    </row>
    <row r="76" spans="1:10" ht="16">
      <c r="A76" s="79" t="s">
        <v>244</v>
      </c>
      <c r="B76" s="79" t="s">
        <v>242</v>
      </c>
      <c r="C76" s="80" t="s">
        <v>95</v>
      </c>
      <c r="D76" s="81" t="s">
        <v>78</v>
      </c>
      <c r="E76" s="82">
        <v>26457</v>
      </c>
      <c r="F76" s="82">
        <v>1890</v>
      </c>
      <c r="G76" s="82">
        <v>2117</v>
      </c>
      <c r="H76" s="83">
        <v>24.08264612934445</v>
      </c>
      <c r="I76" s="83">
        <v>4782.1787470057952</v>
      </c>
      <c r="J76" s="83">
        <v>23.812454078284116</v>
      </c>
    </row>
    <row r="77" spans="1:10" ht="16">
      <c r="A77" s="79" t="s">
        <v>245</v>
      </c>
      <c r="B77" s="79" t="s">
        <v>242</v>
      </c>
      <c r="C77" s="80" t="s">
        <v>95</v>
      </c>
      <c r="D77" s="81" t="s">
        <v>78</v>
      </c>
      <c r="E77" s="82">
        <v>23524</v>
      </c>
      <c r="F77" s="82">
        <v>1528</v>
      </c>
      <c r="G77" s="82">
        <v>2588</v>
      </c>
      <c r="H77" s="83">
        <v>40.296864343653368</v>
      </c>
      <c r="I77" s="83">
        <v>19278.823351579176</v>
      </c>
      <c r="J77" s="83">
        <v>46.519453398823075</v>
      </c>
    </row>
    <row r="78" spans="1:10" ht="16">
      <c r="A78" s="79" t="s">
        <v>160</v>
      </c>
      <c r="B78" s="79" t="s">
        <v>161</v>
      </c>
      <c r="C78" s="80" t="s">
        <v>95</v>
      </c>
      <c r="D78" s="81" t="s">
        <v>76</v>
      </c>
      <c r="E78" s="82">
        <v>27101</v>
      </c>
      <c r="F78" s="82">
        <v>3226</v>
      </c>
      <c r="G78" s="82">
        <v>2439</v>
      </c>
      <c r="H78" s="83">
        <v>9.9885278315966666</v>
      </c>
      <c r="I78" s="83">
        <v>1300.0353532723</v>
      </c>
      <c r="J78" s="83">
        <v>21.768033330256628</v>
      </c>
    </row>
    <row r="79" spans="1:10" ht="16">
      <c r="A79" s="79" t="s">
        <v>940</v>
      </c>
      <c r="B79" s="79" t="s">
        <v>938</v>
      </c>
      <c r="C79" s="80" t="s">
        <v>95</v>
      </c>
      <c r="D79" s="81" t="s">
        <v>77</v>
      </c>
      <c r="E79" s="82">
        <v>13175</v>
      </c>
      <c r="F79" s="82">
        <v>983</v>
      </c>
      <c r="G79" s="82">
        <v>2372</v>
      </c>
      <c r="H79" s="83">
        <v>10.392157812918471</v>
      </c>
      <c r="I79" s="83">
        <v>2039.253919686377</v>
      </c>
      <c r="J79" s="83">
        <v>19.459998596259563</v>
      </c>
    </row>
    <row r="80" spans="1:10" ht="16">
      <c r="A80" s="79" t="s">
        <v>369</v>
      </c>
      <c r="B80" s="79" t="s">
        <v>363</v>
      </c>
      <c r="C80" s="80" t="s">
        <v>126</v>
      </c>
      <c r="D80" s="81" t="s">
        <v>79</v>
      </c>
      <c r="E80" s="82">
        <v>97843</v>
      </c>
      <c r="F80" s="82">
        <v>3208</v>
      </c>
      <c r="G80" s="82">
        <v>4892</v>
      </c>
      <c r="H80" s="83">
        <v>8.0468108500284146</v>
      </c>
      <c r="I80" s="83">
        <v>4097.2851550316118</v>
      </c>
      <c r="J80" s="83">
        <v>15.183212177056882</v>
      </c>
    </row>
    <row r="81" spans="1:10" ht="16">
      <c r="A81" s="79" t="s">
        <v>370</v>
      </c>
      <c r="B81" s="79" t="s">
        <v>363</v>
      </c>
      <c r="C81" s="80" t="s">
        <v>126</v>
      </c>
      <c r="D81" s="81" t="s">
        <v>101</v>
      </c>
      <c r="E81" s="82">
        <v>67981</v>
      </c>
      <c r="F81" s="82">
        <v>2687</v>
      </c>
      <c r="G81" s="82">
        <v>680</v>
      </c>
      <c r="H81" s="83">
        <v>8.0642068644424736</v>
      </c>
      <c r="I81" s="83">
        <v>4508.0196594098043</v>
      </c>
      <c r="J81" s="83">
        <v>15.499340454278254</v>
      </c>
    </row>
    <row r="82" spans="1:10" ht="16">
      <c r="A82" s="79" t="s">
        <v>420</v>
      </c>
      <c r="B82" s="79" t="s">
        <v>421</v>
      </c>
      <c r="C82" s="80" t="s">
        <v>95</v>
      </c>
      <c r="D82" s="81" t="s">
        <v>96</v>
      </c>
      <c r="E82" s="82">
        <v>24875</v>
      </c>
      <c r="F82" s="82">
        <v>321</v>
      </c>
      <c r="G82" s="82">
        <v>1990</v>
      </c>
      <c r="H82" s="83">
        <v>43.699174356143487</v>
      </c>
      <c r="I82" s="83">
        <v>38912.024773642363</v>
      </c>
      <c r="J82" s="83">
        <v>36.707268777832574</v>
      </c>
    </row>
    <row r="83" spans="1:10" ht="16">
      <c r="A83" s="79" t="s">
        <v>1168</v>
      </c>
      <c r="B83" s="79" t="s">
        <v>1161</v>
      </c>
      <c r="C83" s="80" t="s">
        <v>126</v>
      </c>
      <c r="D83" s="81" t="s">
        <v>78</v>
      </c>
      <c r="E83" s="82">
        <v>10374</v>
      </c>
      <c r="F83" s="82">
        <v>715</v>
      </c>
      <c r="G83" s="82">
        <v>934</v>
      </c>
      <c r="H83" s="83">
        <v>25.15884649016451</v>
      </c>
      <c r="I83" s="83">
        <v>13150.658315596231</v>
      </c>
      <c r="J83" s="83">
        <v>24.636991335071226</v>
      </c>
    </row>
    <row r="84" spans="1:10" ht="16">
      <c r="A84" s="79" t="s">
        <v>1311</v>
      </c>
      <c r="B84" s="79" t="s">
        <v>1307</v>
      </c>
      <c r="C84" s="80" t="s">
        <v>126</v>
      </c>
      <c r="D84" s="81" t="s">
        <v>76</v>
      </c>
      <c r="E84" s="82">
        <v>17848</v>
      </c>
      <c r="F84" s="82">
        <v>766</v>
      </c>
      <c r="G84" s="82">
        <v>2499</v>
      </c>
      <c r="H84" s="83">
        <v>22.814136211468096</v>
      </c>
      <c r="I84" s="83">
        <v>13604.811073861096</v>
      </c>
      <c r="J84" s="83">
        <v>22.847520280743456</v>
      </c>
    </row>
    <row r="85" spans="1:10" ht="16">
      <c r="A85" s="79" t="s">
        <v>1213</v>
      </c>
      <c r="B85" s="79" t="s">
        <v>1209</v>
      </c>
      <c r="C85" s="80" t="s">
        <v>95</v>
      </c>
      <c r="D85" s="81" t="s">
        <v>78</v>
      </c>
      <c r="E85" s="82">
        <v>8631</v>
      </c>
      <c r="F85" s="82">
        <v>546</v>
      </c>
      <c r="G85" s="82">
        <v>3280</v>
      </c>
      <c r="H85" s="83">
        <v>32.111355112177094</v>
      </c>
      <c r="I85" s="83">
        <v>19835.106414391379</v>
      </c>
      <c r="J85" s="83">
        <v>28.063569730983414</v>
      </c>
    </row>
    <row r="86" spans="1:10" ht="16">
      <c r="A86" s="79" t="s">
        <v>502</v>
      </c>
      <c r="B86" s="79" t="s">
        <v>493</v>
      </c>
      <c r="C86" s="80" t="s">
        <v>126</v>
      </c>
      <c r="D86" s="81" t="s">
        <v>76</v>
      </c>
      <c r="E86" s="82">
        <v>13535</v>
      </c>
      <c r="F86" s="82">
        <v>778</v>
      </c>
      <c r="G86" s="82">
        <v>135</v>
      </c>
      <c r="H86" s="83">
        <v>11.407381307615164</v>
      </c>
      <c r="I86" s="83">
        <v>3381.8522815478373</v>
      </c>
      <c r="J86" s="83">
        <v>20.107374797911877</v>
      </c>
    </row>
    <row r="87" spans="1:10" ht="16">
      <c r="A87" s="79" t="s">
        <v>1214</v>
      </c>
      <c r="B87" s="79" t="s">
        <v>1209</v>
      </c>
      <c r="C87" s="80" t="s">
        <v>95</v>
      </c>
      <c r="D87" s="81" t="s">
        <v>103</v>
      </c>
      <c r="E87" s="82">
        <v>19975</v>
      </c>
      <c r="F87" s="82">
        <v>1104</v>
      </c>
      <c r="G87" s="82">
        <v>4594</v>
      </c>
      <c r="H87" s="83">
        <v>10.524119680705155</v>
      </c>
      <c r="I87" s="83">
        <v>3879.2451185545556</v>
      </c>
      <c r="J87" s="83">
        <v>16.95670710883266</v>
      </c>
    </row>
    <row r="88" spans="1:10" ht="16">
      <c r="A88" s="79" t="s">
        <v>1169</v>
      </c>
      <c r="B88" s="79" t="s">
        <v>1161</v>
      </c>
      <c r="C88" s="80" t="s">
        <v>126</v>
      </c>
      <c r="D88" s="81" t="s">
        <v>96</v>
      </c>
      <c r="E88" s="82">
        <v>13202</v>
      </c>
      <c r="F88" s="82">
        <v>569</v>
      </c>
      <c r="G88" s="82">
        <v>396</v>
      </c>
      <c r="H88" s="83">
        <v>21.917712313070297</v>
      </c>
      <c r="I88" s="83">
        <v>10521.507681991323</v>
      </c>
      <c r="J88" s="83">
        <v>23.674185153033868</v>
      </c>
    </row>
    <row r="89" spans="1:10" ht="16">
      <c r="A89" s="79" t="s">
        <v>550</v>
      </c>
      <c r="B89" s="79" t="s">
        <v>549</v>
      </c>
      <c r="C89" s="80" t="s">
        <v>95</v>
      </c>
      <c r="D89" s="81" t="s">
        <v>78</v>
      </c>
      <c r="E89" s="82">
        <v>22289</v>
      </c>
      <c r="F89" s="82">
        <v>1798</v>
      </c>
      <c r="G89" s="82">
        <v>669</v>
      </c>
      <c r="H89" s="83">
        <v>11.389335523618884</v>
      </c>
      <c r="I89" s="83">
        <v>946.92029455739134</v>
      </c>
      <c r="J89" s="83">
        <v>19.090451505702237</v>
      </c>
    </row>
    <row r="90" spans="1:10" ht="16">
      <c r="A90" s="79" t="s">
        <v>110</v>
      </c>
      <c r="B90" s="79" t="s">
        <v>108</v>
      </c>
      <c r="C90" s="80" t="s">
        <v>95</v>
      </c>
      <c r="D90" s="81" t="s">
        <v>111</v>
      </c>
      <c r="E90" s="82">
        <v>3341</v>
      </c>
      <c r="F90" s="82">
        <v>324</v>
      </c>
      <c r="G90" s="82">
        <v>1437</v>
      </c>
      <c r="H90" s="83">
        <v>19.822817378847081</v>
      </c>
      <c r="I90" s="83">
        <v>12667.929057936832</v>
      </c>
      <c r="J90" s="83">
        <v>21.194781344555956</v>
      </c>
    </row>
    <row r="91" spans="1:10" ht="16">
      <c r="A91" s="79" t="s">
        <v>1312</v>
      </c>
      <c r="B91" s="79" t="s">
        <v>1307</v>
      </c>
      <c r="C91" s="80" t="s">
        <v>95</v>
      </c>
      <c r="D91" s="81" t="s">
        <v>75</v>
      </c>
      <c r="E91" s="82">
        <v>12904</v>
      </c>
      <c r="F91" s="82">
        <v>822</v>
      </c>
      <c r="G91" s="82">
        <v>1419</v>
      </c>
      <c r="H91" s="83">
        <v>34.542603288346356</v>
      </c>
      <c r="I91" s="83">
        <v>23388.869456700908</v>
      </c>
      <c r="J91" s="83">
        <v>37.661672997260126</v>
      </c>
    </row>
    <row r="92" spans="1:10" ht="16">
      <c r="A92" s="79" t="s">
        <v>1313</v>
      </c>
      <c r="B92" s="79" t="s">
        <v>1307</v>
      </c>
      <c r="C92" s="80" t="s">
        <v>95</v>
      </c>
      <c r="D92" s="81" t="s">
        <v>96</v>
      </c>
      <c r="E92" s="82">
        <v>25662</v>
      </c>
      <c r="F92" s="82">
        <v>2212</v>
      </c>
      <c r="G92" s="82">
        <v>6929</v>
      </c>
      <c r="H92" s="83">
        <v>55.936201341524338</v>
      </c>
      <c r="I92" s="83">
        <v>53302.181691274724</v>
      </c>
      <c r="J92" s="83">
        <v>57.985852501049173</v>
      </c>
    </row>
    <row r="93" spans="1:10" ht="16">
      <c r="A93" s="79" t="s">
        <v>1215</v>
      </c>
      <c r="B93" s="79" t="s">
        <v>1209</v>
      </c>
      <c r="C93" s="80" t="s">
        <v>95</v>
      </c>
      <c r="D93" s="81" t="s">
        <v>111</v>
      </c>
      <c r="E93" s="82">
        <v>13692</v>
      </c>
      <c r="F93" s="82">
        <v>801</v>
      </c>
      <c r="G93" s="82">
        <v>2465</v>
      </c>
      <c r="H93" s="83">
        <v>19.517446785643052</v>
      </c>
      <c r="I93" s="83">
        <v>10429.45656499398</v>
      </c>
      <c r="J93" s="83">
        <v>33.85591819831378</v>
      </c>
    </row>
    <row r="94" spans="1:10" ht="16">
      <c r="A94" s="79" t="s">
        <v>1314</v>
      </c>
      <c r="B94" s="79" t="s">
        <v>1307</v>
      </c>
      <c r="C94" s="80" t="s">
        <v>95</v>
      </c>
      <c r="D94" s="81" t="s">
        <v>77</v>
      </c>
      <c r="E94" s="82">
        <v>5375</v>
      </c>
      <c r="F94" s="82">
        <v>441</v>
      </c>
      <c r="G94" s="82">
        <v>1451</v>
      </c>
      <c r="H94" s="83">
        <v>23.092239004754365</v>
      </c>
      <c r="I94" s="83">
        <v>22937.543523694934</v>
      </c>
      <c r="J94" s="83">
        <v>28.624990761150894</v>
      </c>
    </row>
    <row r="95" spans="1:10" ht="16">
      <c r="A95" s="79" t="s">
        <v>1216</v>
      </c>
      <c r="B95" s="79" t="s">
        <v>1209</v>
      </c>
      <c r="C95" s="80" t="s">
        <v>95</v>
      </c>
      <c r="D95" s="81" t="s">
        <v>149</v>
      </c>
      <c r="E95" s="82">
        <v>879</v>
      </c>
      <c r="F95" s="82">
        <v>78</v>
      </c>
      <c r="G95" s="82">
        <v>132</v>
      </c>
      <c r="H95" s="83">
        <v>20.733468811111994</v>
      </c>
      <c r="I95" s="83">
        <v>19983.887210785171</v>
      </c>
      <c r="J95" s="83">
        <v>16.055172887716093</v>
      </c>
    </row>
    <row r="96" spans="1:10" ht="16">
      <c r="A96" s="79" t="s">
        <v>340</v>
      </c>
      <c r="B96" s="79" t="s">
        <v>341</v>
      </c>
      <c r="C96" s="80" t="s">
        <v>126</v>
      </c>
      <c r="D96" s="81" t="s">
        <v>149</v>
      </c>
      <c r="E96" s="82">
        <v>20275</v>
      </c>
      <c r="F96" s="82">
        <v>1034</v>
      </c>
      <c r="G96" s="82">
        <v>4461</v>
      </c>
      <c r="H96" s="83">
        <v>16.213237974842478</v>
      </c>
      <c r="I96" s="83">
        <v>3399.5830015477054</v>
      </c>
      <c r="J96" s="83">
        <v>18.824808739822508</v>
      </c>
    </row>
    <row r="97" spans="1:10" ht="16">
      <c r="A97" s="79" t="s">
        <v>1315</v>
      </c>
      <c r="B97" s="79" t="s">
        <v>1307</v>
      </c>
      <c r="C97" s="80" t="s">
        <v>126</v>
      </c>
      <c r="D97" s="81" t="s">
        <v>77</v>
      </c>
      <c r="E97" s="82">
        <v>9391</v>
      </c>
      <c r="F97" s="82">
        <v>870</v>
      </c>
      <c r="G97" s="82">
        <v>1878</v>
      </c>
      <c r="H97" s="83">
        <v>56.813829921040153</v>
      </c>
      <c r="I97" s="83">
        <v>53282.081289217211</v>
      </c>
      <c r="J97" s="83">
        <v>64.793558500435395</v>
      </c>
    </row>
    <row r="98" spans="1:10" ht="16">
      <c r="A98" s="79" t="s">
        <v>1217</v>
      </c>
      <c r="B98" s="79" t="s">
        <v>1209</v>
      </c>
      <c r="C98" s="80" t="s">
        <v>126</v>
      </c>
      <c r="D98" s="81" t="s">
        <v>77</v>
      </c>
      <c r="E98" s="82">
        <v>10961</v>
      </c>
      <c r="F98" s="82">
        <v>672</v>
      </c>
      <c r="G98" s="82">
        <v>3946</v>
      </c>
      <c r="H98" s="83">
        <v>27.492055902524694</v>
      </c>
      <c r="I98" s="83">
        <v>17046.807623318069</v>
      </c>
      <c r="J98" s="83">
        <v>27.123858098570093</v>
      </c>
    </row>
    <row r="99" spans="1:10" ht="16">
      <c r="A99" s="79" t="s">
        <v>560</v>
      </c>
      <c r="B99" s="79" t="s">
        <v>556</v>
      </c>
      <c r="C99" s="80" t="s">
        <v>95</v>
      </c>
      <c r="D99" s="81" t="s">
        <v>75</v>
      </c>
      <c r="E99" s="82">
        <v>11609</v>
      </c>
      <c r="F99" s="82">
        <v>441</v>
      </c>
      <c r="G99" s="82">
        <v>116</v>
      </c>
      <c r="H99" s="83">
        <v>15.952759036473923</v>
      </c>
      <c r="I99" s="83">
        <v>3967.4142966796953</v>
      </c>
      <c r="J99" s="83">
        <v>22.538636475534688</v>
      </c>
    </row>
    <row r="100" spans="1:10" ht="16">
      <c r="A100" s="79" t="s">
        <v>930</v>
      </c>
      <c r="B100" s="79" t="s">
        <v>928</v>
      </c>
      <c r="C100" s="80" t="s">
        <v>95</v>
      </c>
      <c r="D100" s="81" t="s">
        <v>75</v>
      </c>
      <c r="E100" s="82">
        <v>22022</v>
      </c>
      <c r="F100" s="82">
        <v>1488</v>
      </c>
      <c r="G100" s="82">
        <v>661</v>
      </c>
      <c r="H100" s="83">
        <v>10.059318959552837</v>
      </c>
      <c r="I100" s="83">
        <v>5325.6887853682856</v>
      </c>
      <c r="J100" s="83">
        <v>15.994439836182528</v>
      </c>
    </row>
    <row r="101" spans="1:10" ht="16">
      <c r="A101" s="79" t="s">
        <v>484</v>
      </c>
      <c r="B101" s="79" t="s">
        <v>485</v>
      </c>
      <c r="C101" s="80" t="s">
        <v>126</v>
      </c>
      <c r="D101" s="81" t="s">
        <v>101</v>
      </c>
      <c r="E101" s="82">
        <v>18219</v>
      </c>
      <c r="F101" s="82">
        <v>1078</v>
      </c>
      <c r="G101" s="82">
        <v>1275</v>
      </c>
      <c r="H101" s="83">
        <v>16.18620390011613</v>
      </c>
      <c r="I101" s="83">
        <v>4016.7218359004501</v>
      </c>
      <c r="J101" s="83">
        <v>17.916602908668583</v>
      </c>
    </row>
    <row r="102" spans="1:10" ht="16">
      <c r="A102" s="79" t="s">
        <v>371</v>
      </c>
      <c r="B102" s="79" t="s">
        <v>363</v>
      </c>
      <c r="C102" s="80" t="s">
        <v>126</v>
      </c>
      <c r="D102" s="81" t="s">
        <v>99</v>
      </c>
      <c r="E102" s="82">
        <v>223275</v>
      </c>
      <c r="F102" s="82">
        <v>5499</v>
      </c>
      <c r="G102" s="82">
        <v>4466</v>
      </c>
      <c r="H102" s="83">
        <v>14.495972339068668</v>
      </c>
      <c r="I102" s="83">
        <v>7101.3399851727645</v>
      </c>
      <c r="J102" s="83">
        <v>21.942121251950987</v>
      </c>
    </row>
    <row r="103" spans="1:10" ht="16">
      <c r="A103" s="79" t="s">
        <v>1316</v>
      </c>
      <c r="B103" s="79" t="s">
        <v>1307</v>
      </c>
      <c r="C103" s="80" t="s">
        <v>126</v>
      </c>
      <c r="D103" s="81" t="s">
        <v>149</v>
      </c>
      <c r="E103" s="82">
        <v>2240</v>
      </c>
      <c r="F103" s="82">
        <v>350</v>
      </c>
      <c r="G103" s="82">
        <v>672</v>
      </c>
      <c r="H103" s="83">
        <v>98.06262394140829</v>
      </c>
      <c r="I103" s="83">
        <v>95230.758578213135</v>
      </c>
      <c r="J103" s="83">
        <v>92.710357514800293</v>
      </c>
    </row>
    <row r="104" spans="1:10" ht="16">
      <c r="A104" s="79" t="s">
        <v>1317</v>
      </c>
      <c r="B104" s="79" t="s">
        <v>1307</v>
      </c>
      <c r="C104" s="80" t="s">
        <v>95</v>
      </c>
      <c r="D104" s="81" t="s">
        <v>96</v>
      </c>
      <c r="E104" s="82">
        <v>30595</v>
      </c>
      <c r="F104" s="82">
        <v>1553</v>
      </c>
      <c r="G104" s="82">
        <v>1224</v>
      </c>
      <c r="H104" s="83">
        <v>10.939835201583699</v>
      </c>
      <c r="I104" s="83">
        <v>2773.9073668422188</v>
      </c>
      <c r="J104" s="83">
        <v>23.586633008932303</v>
      </c>
    </row>
    <row r="105" spans="1:10" ht="16">
      <c r="A105" s="79" t="s">
        <v>1170</v>
      </c>
      <c r="B105" s="79" t="s">
        <v>1161</v>
      </c>
      <c r="C105" s="80" t="s">
        <v>126</v>
      </c>
      <c r="D105" s="81" t="s">
        <v>78</v>
      </c>
      <c r="E105" s="82">
        <v>9164</v>
      </c>
      <c r="F105" s="82">
        <v>323</v>
      </c>
      <c r="G105" s="82">
        <v>183</v>
      </c>
      <c r="H105" s="83">
        <v>11.872662395559551</v>
      </c>
      <c r="I105" s="83">
        <v>11423.973726155587</v>
      </c>
      <c r="J105" s="83">
        <v>15.758811742389343</v>
      </c>
    </row>
    <row r="106" spans="1:10" ht="16">
      <c r="A106" s="79" t="s">
        <v>1218</v>
      </c>
      <c r="B106" s="79" t="s">
        <v>1209</v>
      </c>
      <c r="C106" s="80" t="s">
        <v>95</v>
      </c>
      <c r="D106" s="81" t="s">
        <v>75</v>
      </c>
      <c r="E106" s="82">
        <v>11386</v>
      </c>
      <c r="F106" s="82">
        <v>674</v>
      </c>
      <c r="G106" s="82">
        <v>1366</v>
      </c>
      <c r="H106" s="83">
        <v>11.957062813979087</v>
      </c>
      <c r="I106" s="83">
        <v>2286.4961791598062</v>
      </c>
      <c r="J106" s="83">
        <v>17.062696813948065</v>
      </c>
    </row>
    <row r="107" spans="1:10" ht="16">
      <c r="A107" s="79" t="s">
        <v>246</v>
      </c>
      <c r="B107" s="79" t="s">
        <v>242</v>
      </c>
      <c r="C107" s="80" t="s">
        <v>95</v>
      </c>
      <c r="D107" s="81" t="s">
        <v>99</v>
      </c>
      <c r="E107" s="82">
        <v>13178</v>
      </c>
      <c r="F107" s="82">
        <v>1938</v>
      </c>
      <c r="G107" s="82">
        <v>659</v>
      </c>
      <c r="H107" s="83">
        <v>20.901335623472338</v>
      </c>
      <c r="I107" s="83">
        <v>4991.0141929131432</v>
      </c>
      <c r="J107" s="83">
        <v>31.096329062454966</v>
      </c>
    </row>
    <row r="108" spans="1:10" ht="16">
      <c r="A108" s="79" t="s">
        <v>1219</v>
      </c>
      <c r="B108" s="79" t="s">
        <v>1209</v>
      </c>
      <c r="C108" s="80" t="s">
        <v>95</v>
      </c>
      <c r="D108" s="81" t="s">
        <v>76</v>
      </c>
      <c r="E108" s="82">
        <v>8661</v>
      </c>
      <c r="F108" s="82">
        <v>525</v>
      </c>
      <c r="G108" s="82">
        <v>1472</v>
      </c>
      <c r="H108" s="83">
        <v>11.238585310304378</v>
      </c>
      <c r="I108" s="83">
        <v>4441.3416719975767</v>
      </c>
      <c r="J108" s="83">
        <v>17.086622509003202</v>
      </c>
    </row>
    <row r="109" spans="1:10" ht="16">
      <c r="A109" s="79" t="s">
        <v>1220</v>
      </c>
      <c r="B109" s="79" t="s">
        <v>1209</v>
      </c>
      <c r="C109" s="80" t="s">
        <v>95</v>
      </c>
      <c r="D109" s="81" t="s">
        <v>99</v>
      </c>
      <c r="E109" s="82">
        <v>25501</v>
      </c>
      <c r="F109" s="82">
        <v>1889</v>
      </c>
      <c r="G109" s="82">
        <v>6885</v>
      </c>
      <c r="H109" s="83">
        <v>35.994561103613002</v>
      </c>
      <c r="I109" s="83">
        <v>30992.029788356562</v>
      </c>
      <c r="J109" s="83">
        <v>32.897329259304776</v>
      </c>
    </row>
    <row r="110" spans="1:10" ht="16">
      <c r="A110" s="79" t="s">
        <v>202</v>
      </c>
      <c r="B110" s="79" t="s">
        <v>203</v>
      </c>
      <c r="C110" s="80" t="s">
        <v>126</v>
      </c>
      <c r="D110" s="81" t="s">
        <v>149</v>
      </c>
      <c r="E110" s="82">
        <v>27570</v>
      </c>
      <c r="F110" s="82">
        <v>928</v>
      </c>
      <c r="G110" s="82">
        <v>5790</v>
      </c>
      <c r="H110" s="83">
        <v>27.852765933281237</v>
      </c>
      <c r="I110" s="83">
        <v>15584.638036907283</v>
      </c>
      <c r="J110" s="83">
        <v>20.315556248387502</v>
      </c>
    </row>
    <row r="111" spans="1:10" ht="16">
      <c r="A111" s="79" t="s">
        <v>1041</v>
      </c>
      <c r="B111" s="79" t="s">
        <v>1039</v>
      </c>
      <c r="C111" s="80" t="s">
        <v>126</v>
      </c>
      <c r="D111" s="81" t="s">
        <v>75</v>
      </c>
      <c r="E111" s="82">
        <v>17265</v>
      </c>
      <c r="F111" s="82">
        <v>1570</v>
      </c>
      <c r="G111" s="82">
        <v>2590</v>
      </c>
      <c r="H111" s="83">
        <v>17.081209558181868</v>
      </c>
      <c r="I111" s="83">
        <v>5699.5008503089457</v>
      </c>
      <c r="J111" s="83">
        <v>24.931424002875609</v>
      </c>
    </row>
    <row r="112" spans="1:10" ht="16">
      <c r="A112" s="79" t="s">
        <v>1318</v>
      </c>
      <c r="B112" s="79" t="s">
        <v>1307</v>
      </c>
      <c r="C112" s="80" t="s">
        <v>126</v>
      </c>
      <c r="D112" s="81" t="s">
        <v>96</v>
      </c>
      <c r="E112" s="82">
        <v>13430</v>
      </c>
      <c r="F112" s="82">
        <v>988</v>
      </c>
      <c r="G112" s="82">
        <v>6446</v>
      </c>
      <c r="H112" s="83">
        <v>83.590122422417821</v>
      </c>
      <c r="I112" s="83">
        <v>81228.039328717961</v>
      </c>
      <c r="J112" s="83">
        <v>66.130264443636975</v>
      </c>
    </row>
    <row r="113" spans="1:10" ht="16">
      <c r="A113" s="79" t="s">
        <v>1319</v>
      </c>
      <c r="B113" s="79" t="s">
        <v>1307</v>
      </c>
      <c r="C113" s="80" t="s">
        <v>126</v>
      </c>
      <c r="D113" s="81" t="s">
        <v>77</v>
      </c>
      <c r="E113" s="82">
        <v>10654</v>
      </c>
      <c r="F113" s="82">
        <v>1211</v>
      </c>
      <c r="G113" s="82">
        <v>2450</v>
      </c>
      <c r="H113" s="83">
        <v>40.81710131594015</v>
      </c>
      <c r="I113" s="83">
        <v>38101.77499974861</v>
      </c>
      <c r="J113" s="83">
        <v>48.65785289648845</v>
      </c>
    </row>
    <row r="114" spans="1:10" ht="16">
      <c r="A114" s="79" t="s">
        <v>911</v>
      </c>
      <c r="B114" s="79" t="s">
        <v>912</v>
      </c>
      <c r="C114" s="80" t="s">
        <v>95</v>
      </c>
      <c r="D114" s="81" t="s">
        <v>79</v>
      </c>
      <c r="E114" s="82">
        <v>10998</v>
      </c>
      <c r="F114" s="82">
        <v>412</v>
      </c>
      <c r="G114" s="82">
        <v>1100</v>
      </c>
      <c r="H114" s="83">
        <v>15.680166254889093</v>
      </c>
      <c r="I114" s="83">
        <v>14234.301261965569</v>
      </c>
      <c r="J114" s="83">
        <v>18.345786588602117</v>
      </c>
    </row>
    <row r="115" spans="1:10" ht="16">
      <c r="A115" s="79" t="s">
        <v>232</v>
      </c>
      <c r="B115" s="79" t="s">
        <v>231</v>
      </c>
      <c r="C115" s="80" t="s">
        <v>126</v>
      </c>
      <c r="D115" s="81" t="s">
        <v>103</v>
      </c>
      <c r="E115" s="82">
        <v>11871</v>
      </c>
      <c r="F115" s="82">
        <v>606</v>
      </c>
      <c r="G115" s="82">
        <v>237</v>
      </c>
      <c r="H115" s="83">
        <v>14.683501882704299</v>
      </c>
      <c r="I115" s="83">
        <v>2689.283950309778</v>
      </c>
      <c r="J115" s="83">
        <v>15.171988698307405</v>
      </c>
    </row>
    <row r="116" spans="1:10" ht="16">
      <c r="A116" s="79" t="s">
        <v>618</v>
      </c>
      <c r="B116" s="79" t="s">
        <v>617</v>
      </c>
      <c r="C116" s="80" t="s">
        <v>95</v>
      </c>
      <c r="D116" s="81" t="s">
        <v>101</v>
      </c>
      <c r="E116" s="82">
        <v>28725</v>
      </c>
      <c r="F116" s="82">
        <v>1330</v>
      </c>
      <c r="G116" s="82">
        <v>2011</v>
      </c>
      <c r="H116" s="83">
        <v>21.404685210746184</v>
      </c>
      <c r="I116" s="83">
        <v>15220.976090866765</v>
      </c>
      <c r="J116" s="83">
        <v>18.979246808264854</v>
      </c>
    </row>
    <row r="117" spans="1:10" ht="16">
      <c r="A117" s="79" t="s">
        <v>112</v>
      </c>
      <c r="B117" s="79" t="s">
        <v>108</v>
      </c>
      <c r="C117" s="80" t="s">
        <v>95</v>
      </c>
      <c r="D117" s="81" t="s">
        <v>101</v>
      </c>
      <c r="E117" s="82">
        <v>14701</v>
      </c>
      <c r="F117" s="82">
        <v>707</v>
      </c>
      <c r="G117" s="82">
        <v>4557</v>
      </c>
      <c r="H117" s="83">
        <v>13.402714200976266</v>
      </c>
      <c r="I117" s="83">
        <v>6477.6765069448884</v>
      </c>
      <c r="J117" s="83">
        <v>17.891219236765785</v>
      </c>
    </row>
    <row r="118" spans="1:10" ht="16">
      <c r="A118" s="79" t="s">
        <v>247</v>
      </c>
      <c r="B118" s="79" t="s">
        <v>242</v>
      </c>
      <c r="C118" s="80" t="s">
        <v>95</v>
      </c>
      <c r="D118" s="81" t="s">
        <v>149</v>
      </c>
      <c r="E118" s="82">
        <v>51546</v>
      </c>
      <c r="F118" s="82">
        <v>2801</v>
      </c>
      <c r="G118" s="82">
        <v>1031</v>
      </c>
      <c r="H118" s="83">
        <v>34.658351096016681</v>
      </c>
      <c r="I118" s="83">
        <v>19006.961742032512</v>
      </c>
      <c r="J118" s="83">
        <v>32.759347942746068</v>
      </c>
    </row>
    <row r="119" spans="1:10" ht="16">
      <c r="A119" s="79" t="s">
        <v>397</v>
      </c>
      <c r="B119" s="79" t="s">
        <v>396</v>
      </c>
      <c r="C119" s="80" t="s">
        <v>126</v>
      </c>
      <c r="D119" s="81" t="s">
        <v>79</v>
      </c>
      <c r="E119" s="82">
        <v>1706</v>
      </c>
      <c r="F119" s="82">
        <v>106</v>
      </c>
      <c r="G119" s="82">
        <v>768</v>
      </c>
      <c r="H119" s="83">
        <v>30.335492247874335</v>
      </c>
      <c r="I119" s="83">
        <v>14393.163487682699</v>
      </c>
      <c r="J119" s="83">
        <v>30.820218582905088</v>
      </c>
    </row>
    <row r="120" spans="1:10" ht="16">
      <c r="A120" s="79" t="s">
        <v>1080</v>
      </c>
      <c r="B120" s="79" t="s">
        <v>1081</v>
      </c>
      <c r="C120" s="80" t="s">
        <v>126</v>
      </c>
      <c r="D120" s="81" t="s">
        <v>78</v>
      </c>
      <c r="E120" s="82">
        <v>9209</v>
      </c>
      <c r="F120" s="82">
        <v>737</v>
      </c>
      <c r="G120" s="82">
        <v>1566</v>
      </c>
      <c r="H120" s="83">
        <v>42.740246649480362</v>
      </c>
      <c r="I120" s="83">
        <v>25304.779861426839</v>
      </c>
      <c r="J120" s="83">
        <v>36.318587629053809</v>
      </c>
    </row>
    <row r="121" spans="1:10" ht="16">
      <c r="A121" s="79" t="s">
        <v>1101</v>
      </c>
      <c r="B121" s="79" t="s">
        <v>1100</v>
      </c>
      <c r="C121" s="80" t="s">
        <v>126</v>
      </c>
      <c r="D121" s="81" t="s">
        <v>79</v>
      </c>
      <c r="E121" s="82">
        <v>7556</v>
      </c>
      <c r="F121" s="82">
        <v>614</v>
      </c>
      <c r="G121" s="82">
        <v>378</v>
      </c>
      <c r="H121" s="83">
        <v>26.947226565198278</v>
      </c>
      <c r="I121" s="83">
        <v>7852.3903603890003</v>
      </c>
      <c r="J121" s="83">
        <v>23.474624787603478</v>
      </c>
    </row>
    <row r="122" spans="1:10" ht="16">
      <c r="A122" s="79" t="s">
        <v>1102</v>
      </c>
      <c r="B122" s="79" t="s">
        <v>1100</v>
      </c>
      <c r="C122" s="80" t="s">
        <v>95</v>
      </c>
      <c r="D122" s="81" t="s">
        <v>79</v>
      </c>
      <c r="E122" s="82">
        <v>16787</v>
      </c>
      <c r="F122" s="82">
        <v>401</v>
      </c>
      <c r="G122" s="82">
        <v>1343</v>
      </c>
      <c r="H122" s="83">
        <v>12.650978695167231</v>
      </c>
      <c r="I122" s="83">
        <v>867.39046117933265</v>
      </c>
      <c r="J122" s="83">
        <v>14.399869741163</v>
      </c>
    </row>
    <row r="123" spans="1:10" ht="16">
      <c r="A123" s="79" t="s">
        <v>113</v>
      </c>
      <c r="B123" s="79" t="s">
        <v>108</v>
      </c>
      <c r="C123" s="80" t="s">
        <v>95</v>
      </c>
      <c r="D123" s="81" t="s">
        <v>103</v>
      </c>
      <c r="E123" s="82">
        <v>6314</v>
      </c>
      <c r="F123" s="82">
        <v>277</v>
      </c>
      <c r="G123" s="82">
        <v>2020</v>
      </c>
      <c r="H123" s="83">
        <v>24.681857559247049</v>
      </c>
      <c r="I123" s="83">
        <v>12541.875231968548</v>
      </c>
      <c r="J123" s="83">
        <v>20.189260901356437</v>
      </c>
    </row>
    <row r="124" spans="1:10" ht="16">
      <c r="A124" s="79" t="s">
        <v>342</v>
      </c>
      <c r="B124" s="79" t="s">
        <v>341</v>
      </c>
      <c r="C124" s="80" t="s">
        <v>95</v>
      </c>
      <c r="D124" s="81" t="s">
        <v>101</v>
      </c>
      <c r="E124" s="82">
        <v>48623</v>
      </c>
      <c r="F124" s="82">
        <v>3829</v>
      </c>
      <c r="G124" s="82">
        <v>8752</v>
      </c>
      <c r="H124" s="83">
        <v>26.058669689912847</v>
      </c>
      <c r="I124" s="83">
        <v>13748.881597762043</v>
      </c>
      <c r="J124" s="83">
        <v>33.433896926556955</v>
      </c>
    </row>
    <row r="125" spans="1:10" ht="16">
      <c r="A125" s="79" t="s">
        <v>422</v>
      </c>
      <c r="B125" s="79" t="s">
        <v>421</v>
      </c>
      <c r="C125" s="80" t="s">
        <v>126</v>
      </c>
      <c r="D125" s="81" t="s">
        <v>75</v>
      </c>
      <c r="E125" s="82">
        <v>10473</v>
      </c>
      <c r="F125" s="82">
        <v>229</v>
      </c>
      <c r="G125" s="82">
        <v>2514</v>
      </c>
      <c r="H125" s="83">
        <v>26.858901001691212</v>
      </c>
      <c r="I125" s="83">
        <v>7119.2359221835914</v>
      </c>
      <c r="J125" s="83">
        <v>33.009879170917046</v>
      </c>
    </row>
    <row r="126" spans="1:10" ht="16">
      <c r="A126" s="79" t="s">
        <v>1138</v>
      </c>
      <c r="B126" s="79" t="s">
        <v>1139</v>
      </c>
      <c r="C126" s="80" t="s">
        <v>95</v>
      </c>
      <c r="D126" s="81" t="s">
        <v>101</v>
      </c>
      <c r="E126" s="82">
        <v>35013</v>
      </c>
      <c r="F126" s="82">
        <v>2259</v>
      </c>
      <c r="G126" s="82">
        <v>700</v>
      </c>
      <c r="H126" s="83">
        <v>14.809540303402439</v>
      </c>
      <c r="I126" s="83">
        <v>2563.7213201883255</v>
      </c>
      <c r="J126" s="83">
        <v>21.253251552307169</v>
      </c>
    </row>
    <row r="127" spans="1:10" ht="16">
      <c r="A127" s="79" t="s">
        <v>664</v>
      </c>
      <c r="B127" s="79" t="s">
        <v>661</v>
      </c>
      <c r="C127" s="80" t="s">
        <v>126</v>
      </c>
      <c r="D127" s="81" t="s">
        <v>75</v>
      </c>
      <c r="E127" s="82">
        <v>9763</v>
      </c>
      <c r="F127" s="82">
        <v>321</v>
      </c>
      <c r="G127" s="82">
        <v>98</v>
      </c>
      <c r="H127" s="83">
        <v>10.0737956589183</v>
      </c>
      <c r="I127" s="83">
        <v>625.88371653646686</v>
      </c>
      <c r="J127" s="83">
        <v>15.050503838771659</v>
      </c>
    </row>
    <row r="128" spans="1:10" ht="16">
      <c r="A128" s="79" t="s">
        <v>665</v>
      </c>
      <c r="B128" s="79" t="s">
        <v>661</v>
      </c>
      <c r="C128" s="80" t="s">
        <v>126</v>
      </c>
      <c r="D128" s="81" t="s">
        <v>111</v>
      </c>
      <c r="E128" s="82">
        <v>13764</v>
      </c>
      <c r="F128" s="82">
        <v>1404</v>
      </c>
      <c r="G128" s="82">
        <v>688</v>
      </c>
      <c r="H128" s="83">
        <v>19.558363253053265</v>
      </c>
      <c r="I128" s="83">
        <v>6266.3577280757754</v>
      </c>
      <c r="J128" s="83">
        <v>29.052375461972265</v>
      </c>
    </row>
    <row r="129" spans="1:10" ht="16">
      <c r="A129" s="79" t="s">
        <v>248</v>
      </c>
      <c r="B129" s="79" t="s">
        <v>242</v>
      </c>
      <c r="C129" s="80" t="s">
        <v>95</v>
      </c>
      <c r="D129" s="81" t="s">
        <v>79</v>
      </c>
      <c r="E129" s="82">
        <v>19586</v>
      </c>
      <c r="F129" s="82">
        <v>1688</v>
      </c>
      <c r="G129" s="82">
        <v>196</v>
      </c>
      <c r="H129" s="83">
        <v>26.389368583072098</v>
      </c>
      <c r="I129" s="83">
        <v>10672.707510935159</v>
      </c>
      <c r="J129" s="83">
        <v>35.543084614652464</v>
      </c>
    </row>
    <row r="130" spans="1:10" ht="16">
      <c r="A130" s="79" t="s">
        <v>1103</v>
      </c>
      <c r="B130" s="79" t="s">
        <v>1100</v>
      </c>
      <c r="C130" s="80" t="s">
        <v>95</v>
      </c>
      <c r="D130" s="81" t="s">
        <v>101</v>
      </c>
      <c r="E130" s="82">
        <v>7603</v>
      </c>
      <c r="F130" s="82">
        <v>461</v>
      </c>
      <c r="G130" s="82">
        <v>608</v>
      </c>
      <c r="H130" s="83">
        <v>32.580973219199542</v>
      </c>
      <c r="I130" s="83">
        <v>14907.057138491204</v>
      </c>
      <c r="J130" s="83">
        <v>26.463420442133156</v>
      </c>
    </row>
    <row r="131" spans="1:10" ht="16">
      <c r="A131" s="79" t="s">
        <v>249</v>
      </c>
      <c r="B131" s="79" t="s">
        <v>242</v>
      </c>
      <c r="C131" s="80" t="s">
        <v>95</v>
      </c>
      <c r="D131" s="81" t="s">
        <v>77</v>
      </c>
      <c r="E131" s="82">
        <v>16144</v>
      </c>
      <c r="F131" s="82">
        <v>897</v>
      </c>
      <c r="G131" s="82">
        <v>484</v>
      </c>
      <c r="H131" s="83">
        <v>13.104950253514637</v>
      </c>
      <c r="I131" s="83">
        <v>4661.8058405410211</v>
      </c>
      <c r="J131" s="83">
        <v>23.764376068345634</v>
      </c>
    </row>
    <row r="132" spans="1:10" ht="16">
      <c r="A132" s="79" t="s">
        <v>250</v>
      </c>
      <c r="B132" s="79" t="s">
        <v>242</v>
      </c>
      <c r="C132" s="80" t="s">
        <v>126</v>
      </c>
      <c r="D132" s="81" t="s">
        <v>79</v>
      </c>
      <c r="E132" s="82">
        <v>17752</v>
      </c>
      <c r="F132" s="82">
        <v>1168</v>
      </c>
      <c r="G132" s="82">
        <v>178</v>
      </c>
      <c r="H132" s="83">
        <v>14.234698045891829</v>
      </c>
      <c r="I132" s="83">
        <v>5639.1562796601993</v>
      </c>
      <c r="J132" s="83">
        <v>24.955139390173255</v>
      </c>
    </row>
    <row r="133" spans="1:10" ht="16">
      <c r="A133" s="79" t="s">
        <v>251</v>
      </c>
      <c r="B133" s="79" t="s">
        <v>242</v>
      </c>
      <c r="C133" s="80" t="s">
        <v>95</v>
      </c>
      <c r="D133" s="81" t="s">
        <v>79</v>
      </c>
      <c r="E133" s="82">
        <v>28934</v>
      </c>
      <c r="F133" s="82">
        <v>1733</v>
      </c>
      <c r="G133" s="82">
        <v>1157</v>
      </c>
      <c r="H133" s="83">
        <v>17.263296995755589</v>
      </c>
      <c r="I133" s="83">
        <v>7418.14427223248</v>
      </c>
      <c r="J133" s="83">
        <v>21.496791387144381</v>
      </c>
    </row>
    <row r="134" spans="1:10" ht="16">
      <c r="A134" s="79" t="s">
        <v>252</v>
      </c>
      <c r="B134" s="79" t="s">
        <v>242</v>
      </c>
      <c r="C134" s="80" t="s">
        <v>126</v>
      </c>
      <c r="D134" s="81" t="s">
        <v>99</v>
      </c>
      <c r="E134" s="82">
        <v>47225</v>
      </c>
      <c r="F134" s="82">
        <v>2539</v>
      </c>
      <c r="G134" s="82">
        <v>945</v>
      </c>
      <c r="H134" s="83">
        <v>14.093304824913258</v>
      </c>
      <c r="I134" s="83">
        <v>6472.2813667674727</v>
      </c>
      <c r="J134" s="83">
        <v>20.852318274285562</v>
      </c>
    </row>
    <row r="135" spans="1:10" ht="16">
      <c r="A135" s="79" t="s">
        <v>253</v>
      </c>
      <c r="B135" s="79" t="s">
        <v>242</v>
      </c>
      <c r="C135" s="80" t="s">
        <v>126</v>
      </c>
      <c r="D135" s="81" t="s">
        <v>103</v>
      </c>
      <c r="E135" s="82">
        <v>15150</v>
      </c>
      <c r="F135" s="82">
        <v>810</v>
      </c>
      <c r="G135" s="82">
        <v>606</v>
      </c>
      <c r="H135" s="83">
        <v>26.885653764995826</v>
      </c>
      <c r="I135" s="83">
        <v>10265.924846162177</v>
      </c>
      <c r="J135" s="83">
        <v>24.436869171139996</v>
      </c>
    </row>
    <row r="136" spans="1:10" ht="16">
      <c r="A136" s="79" t="s">
        <v>477</v>
      </c>
      <c r="B136" s="79" t="s">
        <v>478</v>
      </c>
      <c r="C136" s="80" t="s">
        <v>126</v>
      </c>
      <c r="D136" s="81" t="s">
        <v>149</v>
      </c>
      <c r="E136" s="82">
        <v>18340</v>
      </c>
      <c r="F136" s="82">
        <v>986</v>
      </c>
      <c r="G136" s="82">
        <v>5869</v>
      </c>
      <c r="H136" s="83">
        <v>62.813560947149803</v>
      </c>
      <c r="I136" s="83">
        <v>53115.360472348708</v>
      </c>
      <c r="J136" s="83">
        <v>55.970298478016865</v>
      </c>
    </row>
    <row r="137" spans="1:10" ht="16">
      <c r="A137" s="79" t="s">
        <v>1008</v>
      </c>
      <c r="B137" s="79" t="s">
        <v>1007</v>
      </c>
      <c r="C137" s="80" t="s">
        <v>126</v>
      </c>
      <c r="D137" s="81" t="s">
        <v>103</v>
      </c>
      <c r="E137" s="82">
        <v>20601</v>
      </c>
      <c r="F137" s="82">
        <v>995</v>
      </c>
      <c r="G137" s="82">
        <v>1030</v>
      </c>
      <c r="H137" s="83">
        <v>21.005482767518028</v>
      </c>
      <c r="I137" s="83">
        <v>4867.2753620515396</v>
      </c>
      <c r="J137" s="83">
        <v>23.416332695843487</v>
      </c>
    </row>
    <row r="138" spans="1:10" ht="16">
      <c r="A138" s="79" t="s">
        <v>254</v>
      </c>
      <c r="B138" s="79" t="s">
        <v>242</v>
      </c>
      <c r="C138" s="80" t="s">
        <v>95</v>
      </c>
      <c r="D138" s="81" t="s">
        <v>149</v>
      </c>
      <c r="E138" s="82">
        <v>44394</v>
      </c>
      <c r="F138" s="82">
        <v>2775</v>
      </c>
      <c r="G138" s="82">
        <v>1776</v>
      </c>
      <c r="H138" s="83">
        <v>21.920516235960587</v>
      </c>
      <c r="I138" s="83">
        <v>7529.6013100254686</v>
      </c>
      <c r="J138" s="83">
        <v>23.477495259584163</v>
      </c>
    </row>
    <row r="139" spans="1:10" ht="16">
      <c r="A139" s="79" t="s">
        <v>1009</v>
      </c>
      <c r="B139" s="79" t="s">
        <v>1007</v>
      </c>
      <c r="C139" s="80" t="s">
        <v>126</v>
      </c>
      <c r="D139" s="81" t="s">
        <v>78</v>
      </c>
      <c r="E139" s="82">
        <v>22469</v>
      </c>
      <c r="F139" s="82">
        <v>1330</v>
      </c>
      <c r="G139" s="82">
        <v>1348</v>
      </c>
      <c r="H139" s="83">
        <v>20.819123545644839</v>
      </c>
      <c r="I139" s="83">
        <v>5994.3622930136116</v>
      </c>
      <c r="J139" s="83">
        <v>21.437269937190866</v>
      </c>
    </row>
    <row r="140" spans="1:10" ht="16">
      <c r="A140" s="79" t="s">
        <v>666</v>
      </c>
      <c r="B140" s="79" t="s">
        <v>661</v>
      </c>
      <c r="C140" s="80" t="s">
        <v>126</v>
      </c>
      <c r="D140" s="81" t="s">
        <v>75</v>
      </c>
      <c r="E140" s="82">
        <v>12533</v>
      </c>
      <c r="F140" s="82">
        <v>520</v>
      </c>
      <c r="G140" s="82">
        <v>125</v>
      </c>
      <c r="H140" s="83">
        <v>10.640770428289667</v>
      </c>
      <c r="I140" s="83">
        <v>1713.8924308654789</v>
      </c>
      <c r="J140" s="83">
        <v>14.526443937019183</v>
      </c>
    </row>
    <row r="141" spans="1:10" ht="16">
      <c r="A141" s="79" t="s">
        <v>1140</v>
      </c>
      <c r="B141" s="79" t="s">
        <v>1139</v>
      </c>
      <c r="C141" s="80" t="s">
        <v>95</v>
      </c>
      <c r="D141" s="81" t="s">
        <v>75</v>
      </c>
      <c r="E141" s="82">
        <v>38531</v>
      </c>
      <c r="F141" s="82">
        <v>2752</v>
      </c>
      <c r="G141" s="82">
        <v>1541</v>
      </c>
      <c r="H141" s="83">
        <v>21.761764404234821</v>
      </c>
      <c r="I141" s="83">
        <v>4825.4032476643506</v>
      </c>
      <c r="J141" s="83">
        <v>31.898900988308959</v>
      </c>
    </row>
    <row r="142" spans="1:10" ht="16">
      <c r="A142" s="79" t="s">
        <v>1104</v>
      </c>
      <c r="B142" s="79" t="s">
        <v>1100</v>
      </c>
      <c r="C142" s="80" t="s">
        <v>126</v>
      </c>
      <c r="D142" s="81" t="s">
        <v>96</v>
      </c>
      <c r="E142" s="82">
        <v>15926</v>
      </c>
      <c r="F142" s="82">
        <v>484</v>
      </c>
      <c r="G142" s="82">
        <v>1752</v>
      </c>
      <c r="H142" s="83">
        <v>25.369180487546618</v>
      </c>
      <c r="I142" s="83">
        <v>3648.8785525135936</v>
      </c>
      <c r="J142" s="83">
        <v>17.261322437757837</v>
      </c>
    </row>
    <row r="143" spans="1:10" ht="16">
      <c r="A143" s="79" t="s">
        <v>1010</v>
      </c>
      <c r="B143" s="79" t="s">
        <v>1007</v>
      </c>
      <c r="C143" s="80" t="s">
        <v>126</v>
      </c>
      <c r="D143" s="81" t="s">
        <v>103</v>
      </c>
      <c r="E143" s="82">
        <v>16681</v>
      </c>
      <c r="F143" s="82">
        <v>755</v>
      </c>
      <c r="G143" s="82">
        <v>3003</v>
      </c>
      <c r="H143" s="83">
        <v>37.235597565244213</v>
      </c>
      <c r="I143" s="83">
        <v>9328.5629352133183</v>
      </c>
      <c r="J143" s="83">
        <v>38.802394645006665</v>
      </c>
    </row>
    <row r="144" spans="1:10" ht="16">
      <c r="A144" s="79" t="s">
        <v>1011</v>
      </c>
      <c r="B144" s="79" t="s">
        <v>1007</v>
      </c>
      <c r="C144" s="80" t="s">
        <v>126</v>
      </c>
      <c r="D144" s="81" t="s">
        <v>79</v>
      </c>
      <c r="E144" s="82">
        <v>21908</v>
      </c>
      <c r="F144" s="82">
        <v>1101</v>
      </c>
      <c r="G144" s="82">
        <v>876</v>
      </c>
      <c r="H144" s="83">
        <v>21.655814150012155</v>
      </c>
      <c r="I144" s="83">
        <v>2556.8233416003322</v>
      </c>
      <c r="J144" s="83">
        <v>23.413117087263622</v>
      </c>
    </row>
    <row r="145" spans="1:10" ht="16">
      <c r="A145" s="79" t="s">
        <v>667</v>
      </c>
      <c r="B145" s="79" t="s">
        <v>661</v>
      </c>
      <c r="C145" s="80" t="s">
        <v>126</v>
      </c>
      <c r="D145" s="81" t="s">
        <v>101</v>
      </c>
      <c r="E145" s="82">
        <v>26302</v>
      </c>
      <c r="F145" s="82">
        <v>707</v>
      </c>
      <c r="G145" s="82">
        <v>1052</v>
      </c>
      <c r="H145" s="83">
        <v>11.253670633647165</v>
      </c>
      <c r="I145" s="83">
        <v>2380.3790397672465</v>
      </c>
      <c r="J145" s="83">
        <v>27.348163614868479</v>
      </c>
    </row>
    <row r="146" spans="1:10" ht="16">
      <c r="A146" s="79" t="s">
        <v>479</v>
      </c>
      <c r="B146" s="79" t="s">
        <v>478</v>
      </c>
      <c r="C146" s="80" t="s">
        <v>95</v>
      </c>
      <c r="D146" s="81" t="s">
        <v>76</v>
      </c>
      <c r="E146" s="82">
        <v>9587</v>
      </c>
      <c r="F146" s="82">
        <v>872</v>
      </c>
      <c r="G146" s="82">
        <v>4314</v>
      </c>
      <c r="H146" s="83">
        <v>49.768421113600802</v>
      </c>
      <c r="I146" s="83">
        <v>38021.706063960562</v>
      </c>
      <c r="J146" s="83">
        <v>41.85066938401873</v>
      </c>
    </row>
    <row r="147" spans="1:10" ht="16">
      <c r="A147" s="79" t="s">
        <v>1221</v>
      </c>
      <c r="B147" s="79" t="s">
        <v>1209</v>
      </c>
      <c r="C147" s="80" t="s">
        <v>95</v>
      </c>
      <c r="D147" s="81" t="s">
        <v>103</v>
      </c>
      <c r="E147" s="82">
        <v>14362</v>
      </c>
      <c r="F147" s="82">
        <v>776</v>
      </c>
      <c r="G147" s="82">
        <v>7325</v>
      </c>
      <c r="H147" s="83">
        <v>28.616045736256879</v>
      </c>
      <c r="I147" s="83">
        <v>16091.422447592595</v>
      </c>
      <c r="J147" s="83">
        <v>26.669861961050167</v>
      </c>
    </row>
    <row r="148" spans="1:10" ht="16">
      <c r="A148" s="79" t="s">
        <v>1320</v>
      </c>
      <c r="B148" s="79" t="s">
        <v>1307</v>
      </c>
      <c r="C148" s="80" t="s">
        <v>95</v>
      </c>
      <c r="D148" s="81" t="s">
        <v>103</v>
      </c>
      <c r="E148" s="82">
        <v>3045</v>
      </c>
      <c r="F148" s="82">
        <v>265</v>
      </c>
      <c r="G148" s="82">
        <v>700</v>
      </c>
      <c r="H148" s="83">
        <v>23.479608404461569</v>
      </c>
      <c r="I148" s="83">
        <v>18039.360551330385</v>
      </c>
      <c r="J148" s="83">
        <v>24.022986899202564</v>
      </c>
    </row>
    <row r="149" spans="1:10" ht="16">
      <c r="A149" s="79" t="s">
        <v>398</v>
      </c>
      <c r="B149" s="79" t="s">
        <v>396</v>
      </c>
      <c r="C149" s="80" t="s">
        <v>95</v>
      </c>
      <c r="D149" s="81" t="s">
        <v>76</v>
      </c>
      <c r="E149" s="82">
        <v>26875</v>
      </c>
      <c r="F149" s="82">
        <v>2116</v>
      </c>
      <c r="G149" s="82">
        <v>3494</v>
      </c>
      <c r="H149" s="83">
        <v>24.212603871021688</v>
      </c>
      <c r="I149" s="83">
        <v>13971.570992697294</v>
      </c>
      <c r="J149" s="83">
        <v>26.458954420360193</v>
      </c>
    </row>
    <row r="150" spans="1:10" ht="16">
      <c r="A150" s="79" t="s">
        <v>1321</v>
      </c>
      <c r="B150" s="79" t="s">
        <v>1307</v>
      </c>
      <c r="C150" s="80" t="s">
        <v>126</v>
      </c>
      <c r="D150" s="81" t="s">
        <v>111</v>
      </c>
      <c r="E150" s="82">
        <v>21436</v>
      </c>
      <c r="F150" s="82">
        <v>1261</v>
      </c>
      <c r="G150" s="82">
        <v>1501</v>
      </c>
      <c r="H150" s="83">
        <v>21.880606292206096</v>
      </c>
      <c r="I150" s="83">
        <v>9156.1015859803865</v>
      </c>
      <c r="J150" s="83">
        <v>25.601485200911977</v>
      </c>
    </row>
    <row r="151" spans="1:10" ht="16">
      <c r="A151" s="79" t="s">
        <v>503</v>
      </c>
      <c r="B151" s="79" t="s">
        <v>493</v>
      </c>
      <c r="C151" s="80" t="s">
        <v>126</v>
      </c>
      <c r="D151" s="81" t="s">
        <v>103</v>
      </c>
      <c r="E151" s="82">
        <v>8271</v>
      </c>
      <c r="F151" s="82">
        <v>447</v>
      </c>
      <c r="G151" s="82">
        <v>185</v>
      </c>
      <c r="H151" s="83">
        <v>11.530475979999123</v>
      </c>
      <c r="I151" s="83">
        <v>830.93551926193209</v>
      </c>
      <c r="J151" s="83">
        <v>23.758772621932728</v>
      </c>
    </row>
    <row r="152" spans="1:10" ht="16">
      <c r="A152" s="79" t="s">
        <v>1322</v>
      </c>
      <c r="B152" s="79" t="s">
        <v>1307</v>
      </c>
      <c r="C152" s="80" t="s">
        <v>126</v>
      </c>
      <c r="D152" s="81" t="s">
        <v>78</v>
      </c>
      <c r="E152" s="82">
        <v>5768</v>
      </c>
      <c r="F152" s="82">
        <v>345</v>
      </c>
      <c r="G152" s="82">
        <v>634</v>
      </c>
      <c r="H152" s="83">
        <v>25.593435493234473</v>
      </c>
      <c r="I152" s="83">
        <v>20033.696026891401</v>
      </c>
      <c r="J152" s="83">
        <v>30.677627732479404</v>
      </c>
    </row>
    <row r="153" spans="1:10" ht="16">
      <c r="A153" s="79" t="s">
        <v>1323</v>
      </c>
      <c r="B153" s="79" t="s">
        <v>1307</v>
      </c>
      <c r="C153" s="80" t="s">
        <v>95</v>
      </c>
      <c r="D153" s="81" t="s">
        <v>149</v>
      </c>
      <c r="E153" s="82">
        <v>26014</v>
      </c>
      <c r="F153" s="82">
        <v>1596</v>
      </c>
      <c r="G153" s="82">
        <v>1561</v>
      </c>
      <c r="H153" s="83">
        <v>25.905432054722098</v>
      </c>
      <c r="I153" s="83">
        <v>16243.71738577715</v>
      </c>
      <c r="J153" s="83">
        <v>28.689579944883853</v>
      </c>
    </row>
    <row r="154" spans="1:10" ht="16">
      <c r="A154" s="79" t="s">
        <v>1324</v>
      </c>
      <c r="B154" s="79" t="s">
        <v>1307</v>
      </c>
      <c r="C154" s="80" t="s">
        <v>126</v>
      </c>
      <c r="D154" s="81" t="s">
        <v>149</v>
      </c>
      <c r="E154" s="82">
        <v>26586</v>
      </c>
      <c r="F154" s="82">
        <v>4584</v>
      </c>
      <c r="G154" s="82">
        <v>9837</v>
      </c>
      <c r="H154" s="83">
        <v>83.377416611287117</v>
      </c>
      <c r="I154" s="83">
        <v>81149.1574210611</v>
      </c>
      <c r="J154" s="83">
        <v>86.567698674323765</v>
      </c>
    </row>
    <row r="155" spans="1:10" ht="16">
      <c r="A155" s="79" t="s">
        <v>988</v>
      </c>
      <c r="B155" s="79" t="s">
        <v>989</v>
      </c>
      <c r="C155" s="80" t="s">
        <v>95</v>
      </c>
      <c r="D155" s="81" t="s">
        <v>96</v>
      </c>
      <c r="E155" s="82">
        <v>20056</v>
      </c>
      <c r="F155" s="82">
        <v>2047</v>
      </c>
      <c r="G155" s="82">
        <v>2808</v>
      </c>
      <c r="H155" s="83">
        <v>13.915100139722352</v>
      </c>
      <c r="I155" s="83">
        <v>2924.2354576888342</v>
      </c>
      <c r="J155" s="83">
        <v>22.291694431090011</v>
      </c>
    </row>
    <row r="156" spans="1:10" ht="16">
      <c r="A156" s="79" t="s">
        <v>1042</v>
      </c>
      <c r="B156" s="79" t="s">
        <v>1039</v>
      </c>
      <c r="C156" s="80" t="s">
        <v>95</v>
      </c>
      <c r="D156" s="81" t="s">
        <v>76</v>
      </c>
      <c r="E156" s="82">
        <v>62624</v>
      </c>
      <c r="F156" s="82">
        <v>3179</v>
      </c>
      <c r="G156" s="82">
        <v>8141</v>
      </c>
      <c r="H156" s="83">
        <v>29.490950101268481</v>
      </c>
      <c r="I156" s="83">
        <v>13688.719826161891</v>
      </c>
      <c r="J156" s="83">
        <v>36.0254063126687</v>
      </c>
    </row>
    <row r="157" spans="1:10" ht="16">
      <c r="A157" s="79" t="s">
        <v>878</v>
      </c>
      <c r="B157" s="79" t="s">
        <v>877</v>
      </c>
      <c r="C157" s="80" t="s">
        <v>126</v>
      </c>
      <c r="D157" s="81" t="s">
        <v>76</v>
      </c>
      <c r="E157" s="82">
        <v>33030</v>
      </c>
      <c r="F157" s="82">
        <v>2897</v>
      </c>
      <c r="G157" s="82">
        <v>330</v>
      </c>
      <c r="H157" s="83">
        <v>10.078540320984569</v>
      </c>
      <c r="I157" s="83">
        <v>6547.2750380315092</v>
      </c>
      <c r="J157" s="83">
        <v>17.591763105144182</v>
      </c>
    </row>
    <row r="158" spans="1:10" ht="16">
      <c r="A158" s="79" t="s">
        <v>204</v>
      </c>
      <c r="B158" s="79" t="s">
        <v>203</v>
      </c>
      <c r="C158" s="80" t="s">
        <v>126</v>
      </c>
      <c r="D158" s="81" t="s">
        <v>149</v>
      </c>
      <c r="E158" s="82">
        <v>33543</v>
      </c>
      <c r="F158" s="82">
        <v>1038</v>
      </c>
      <c r="G158" s="82">
        <v>9727</v>
      </c>
      <c r="H158" s="83">
        <v>26.128317439519755</v>
      </c>
      <c r="I158" s="83">
        <v>11948.866415040802</v>
      </c>
      <c r="J158" s="83">
        <v>21.626150977290589</v>
      </c>
    </row>
    <row r="159" spans="1:10" ht="16">
      <c r="A159" s="79" t="s">
        <v>357</v>
      </c>
      <c r="B159" s="79" t="s">
        <v>355</v>
      </c>
      <c r="C159" s="80" t="s">
        <v>126</v>
      </c>
      <c r="D159" s="81" t="s">
        <v>149</v>
      </c>
      <c r="E159" s="82">
        <v>16317</v>
      </c>
      <c r="F159" s="82">
        <v>528</v>
      </c>
      <c r="G159" s="82">
        <v>4079</v>
      </c>
      <c r="H159" s="83">
        <v>32.830621485649722</v>
      </c>
      <c r="I159" s="83">
        <v>27181.539693624647</v>
      </c>
      <c r="J159" s="83">
        <v>25.354596954636222</v>
      </c>
    </row>
    <row r="160" spans="1:10" ht="16">
      <c r="A160" s="79" t="s">
        <v>1325</v>
      </c>
      <c r="B160" s="79" t="s">
        <v>1307</v>
      </c>
      <c r="C160" s="80" t="s">
        <v>126</v>
      </c>
      <c r="D160" s="81" t="s">
        <v>103</v>
      </c>
      <c r="E160" s="82">
        <v>22319</v>
      </c>
      <c r="F160" s="82">
        <v>2277</v>
      </c>
      <c r="G160" s="82">
        <v>5580</v>
      </c>
      <c r="H160" s="83">
        <v>86.392478129008865</v>
      </c>
      <c r="I160" s="83">
        <v>83113.218989114219</v>
      </c>
      <c r="J160" s="83">
        <v>80.140045786810063</v>
      </c>
    </row>
    <row r="161" spans="1:10" ht="16">
      <c r="A161" s="79" t="s">
        <v>486</v>
      </c>
      <c r="B161" s="79" t="s">
        <v>485</v>
      </c>
      <c r="C161" s="80" t="s">
        <v>95</v>
      </c>
      <c r="D161" s="81" t="s">
        <v>78</v>
      </c>
      <c r="E161" s="82">
        <v>11023</v>
      </c>
      <c r="F161" s="82">
        <v>475</v>
      </c>
      <c r="G161" s="82">
        <v>1653</v>
      </c>
      <c r="H161" s="83">
        <v>14.485208957688663</v>
      </c>
      <c r="I161" s="83">
        <v>3255.9944636301148</v>
      </c>
      <c r="J161" s="83">
        <v>18.642257153867071</v>
      </c>
    </row>
    <row r="162" spans="1:10" ht="16">
      <c r="A162" s="79" t="s">
        <v>861</v>
      </c>
      <c r="B162" s="79" t="s">
        <v>862</v>
      </c>
      <c r="C162" s="80" t="s">
        <v>126</v>
      </c>
      <c r="D162" s="81" t="s">
        <v>111</v>
      </c>
      <c r="E162" s="82">
        <v>8768</v>
      </c>
      <c r="F162" s="82">
        <v>558</v>
      </c>
      <c r="G162" s="82">
        <v>610</v>
      </c>
      <c r="H162" s="83">
        <v>15.429536742802458</v>
      </c>
      <c r="I162" s="83">
        <v>11538.834153448252</v>
      </c>
      <c r="J162" s="83">
        <v>27.562448726598657</v>
      </c>
    </row>
    <row r="163" spans="1:10" ht="16">
      <c r="A163" s="79" t="s">
        <v>1222</v>
      </c>
      <c r="B163" s="79" t="s">
        <v>1209</v>
      </c>
      <c r="C163" s="80" t="s">
        <v>126</v>
      </c>
      <c r="D163" s="81" t="s">
        <v>99</v>
      </c>
      <c r="E163" s="82">
        <v>27531</v>
      </c>
      <c r="F163" s="82">
        <v>1679</v>
      </c>
      <c r="G163" s="82">
        <v>12664</v>
      </c>
      <c r="H163" s="83">
        <v>13.186063282690204</v>
      </c>
      <c r="I163" s="83">
        <v>5634.3847639083015</v>
      </c>
      <c r="J163" s="83">
        <v>18.227447782989529</v>
      </c>
    </row>
    <row r="164" spans="1:10" ht="16">
      <c r="A164" s="79" t="s">
        <v>1326</v>
      </c>
      <c r="B164" s="79" t="s">
        <v>1307</v>
      </c>
      <c r="C164" s="80" t="s">
        <v>95</v>
      </c>
      <c r="D164" s="81" t="s">
        <v>78</v>
      </c>
      <c r="E164" s="82">
        <v>8228</v>
      </c>
      <c r="F164" s="82">
        <v>741</v>
      </c>
      <c r="G164" s="82">
        <v>658</v>
      </c>
      <c r="H164" s="83">
        <v>11.926696625902066</v>
      </c>
      <c r="I164" s="83">
        <v>4847.2366890446001</v>
      </c>
      <c r="J164" s="83">
        <v>42.102748337884414</v>
      </c>
    </row>
    <row r="165" spans="1:10" ht="16">
      <c r="A165" s="79" t="s">
        <v>1171</v>
      </c>
      <c r="B165" s="79" t="s">
        <v>1161</v>
      </c>
      <c r="C165" s="80" t="s">
        <v>126</v>
      </c>
      <c r="D165" s="81" t="s">
        <v>96</v>
      </c>
      <c r="E165" s="82">
        <v>42418</v>
      </c>
      <c r="F165" s="82">
        <v>2164</v>
      </c>
      <c r="G165" s="82">
        <v>1273</v>
      </c>
      <c r="H165" s="83">
        <v>12.990135645599226</v>
      </c>
      <c r="I165" s="83">
        <v>1956.7143847460341</v>
      </c>
      <c r="J165" s="83">
        <v>15.975593760683971</v>
      </c>
    </row>
    <row r="166" spans="1:10" ht="16">
      <c r="A166" s="79" t="s">
        <v>114</v>
      </c>
      <c r="B166" s="79" t="s">
        <v>108</v>
      </c>
      <c r="C166" s="80" t="s">
        <v>95</v>
      </c>
      <c r="D166" s="81" t="s">
        <v>78</v>
      </c>
      <c r="E166" s="82">
        <v>29214</v>
      </c>
      <c r="F166" s="82">
        <v>1446</v>
      </c>
      <c r="G166" s="82">
        <v>9056</v>
      </c>
      <c r="H166" s="83">
        <v>30.527517532143555</v>
      </c>
      <c r="I166" s="83">
        <v>25325.950931742274</v>
      </c>
      <c r="J166" s="83">
        <v>23.690133567088498</v>
      </c>
    </row>
    <row r="167" spans="1:10" ht="16">
      <c r="A167" s="79" t="s">
        <v>337</v>
      </c>
      <c r="B167" s="79" t="s">
        <v>338</v>
      </c>
      <c r="C167" s="80" t="s">
        <v>95</v>
      </c>
      <c r="D167" s="81" t="s">
        <v>101</v>
      </c>
      <c r="E167" s="82">
        <v>3228</v>
      </c>
      <c r="F167" s="82">
        <v>186</v>
      </c>
      <c r="G167" s="82">
        <v>258</v>
      </c>
      <c r="H167" s="83">
        <v>16.380846970229157</v>
      </c>
      <c r="I167" s="83">
        <v>16071.88630199123</v>
      </c>
      <c r="J167" s="83">
        <v>18.172447783831878</v>
      </c>
    </row>
    <row r="168" spans="1:10" ht="16">
      <c r="A168" s="79" t="s">
        <v>343</v>
      </c>
      <c r="B168" s="79" t="s">
        <v>341</v>
      </c>
      <c r="C168" s="80" t="s">
        <v>126</v>
      </c>
      <c r="D168" s="81" t="s">
        <v>78</v>
      </c>
      <c r="E168" s="82">
        <v>19499</v>
      </c>
      <c r="F168" s="82">
        <v>1840</v>
      </c>
      <c r="G168" s="82">
        <v>3705</v>
      </c>
      <c r="H168" s="83">
        <v>17.796367896539312</v>
      </c>
      <c r="I168" s="83">
        <v>4093.5819050124542</v>
      </c>
      <c r="J168" s="83">
        <v>21.06774424984755</v>
      </c>
    </row>
    <row r="169" spans="1:10" ht="16">
      <c r="A169" s="79" t="s">
        <v>344</v>
      </c>
      <c r="B169" s="79" t="s">
        <v>341</v>
      </c>
      <c r="C169" s="80" t="s">
        <v>95</v>
      </c>
      <c r="D169" s="81" t="s">
        <v>103</v>
      </c>
      <c r="E169" s="82">
        <v>17065</v>
      </c>
      <c r="F169" s="82">
        <v>837</v>
      </c>
      <c r="G169" s="82">
        <v>3413</v>
      </c>
      <c r="H169" s="83">
        <v>13.290181400846633</v>
      </c>
      <c r="I169" s="83">
        <v>2451.2857064843097</v>
      </c>
      <c r="J169" s="83">
        <v>17.692667235097186</v>
      </c>
    </row>
    <row r="170" spans="1:10" ht="16">
      <c r="A170" s="79" t="s">
        <v>205</v>
      </c>
      <c r="B170" s="79" t="s">
        <v>203</v>
      </c>
      <c r="C170" s="80" t="s">
        <v>95</v>
      </c>
      <c r="D170" s="81" t="s">
        <v>101</v>
      </c>
      <c r="E170" s="82">
        <v>15196</v>
      </c>
      <c r="F170" s="82">
        <v>1034</v>
      </c>
      <c r="G170" s="82">
        <v>3495</v>
      </c>
      <c r="H170" s="83">
        <v>29.849688909976546</v>
      </c>
      <c r="I170" s="83">
        <v>23604.67172717693</v>
      </c>
      <c r="J170" s="83">
        <v>28.487533853451737</v>
      </c>
    </row>
    <row r="171" spans="1:10" ht="16">
      <c r="A171" s="79" t="s">
        <v>255</v>
      </c>
      <c r="B171" s="79" t="s">
        <v>242</v>
      </c>
      <c r="C171" s="80" t="s">
        <v>126</v>
      </c>
      <c r="D171" s="81" t="s">
        <v>101</v>
      </c>
      <c r="E171" s="82">
        <v>39665</v>
      </c>
      <c r="F171" s="82">
        <v>2526</v>
      </c>
      <c r="G171" s="82">
        <v>1190</v>
      </c>
      <c r="H171" s="83">
        <v>23.983912184911173</v>
      </c>
      <c r="I171" s="83">
        <v>9541.9246427993203</v>
      </c>
      <c r="J171" s="83">
        <v>25.59077615768625</v>
      </c>
    </row>
    <row r="172" spans="1:10" ht="16">
      <c r="A172" s="79" t="s">
        <v>1327</v>
      </c>
      <c r="B172" s="79" t="s">
        <v>1307</v>
      </c>
      <c r="C172" s="80" t="s">
        <v>126</v>
      </c>
      <c r="D172" s="81" t="s">
        <v>78</v>
      </c>
      <c r="E172" s="82">
        <v>6247</v>
      </c>
      <c r="F172" s="82">
        <v>811</v>
      </c>
      <c r="G172" s="82">
        <v>937</v>
      </c>
      <c r="H172" s="83">
        <v>40.180719621765483</v>
      </c>
      <c r="I172" s="83">
        <v>38557.597592625323</v>
      </c>
      <c r="J172" s="83">
        <v>59.12484594870029</v>
      </c>
    </row>
    <row r="173" spans="1:10" ht="16">
      <c r="A173" s="79" t="s">
        <v>894</v>
      </c>
      <c r="B173" s="79" t="s">
        <v>895</v>
      </c>
      <c r="C173" s="80" t="s">
        <v>126</v>
      </c>
      <c r="D173" s="81" t="s">
        <v>75</v>
      </c>
      <c r="E173" s="82">
        <v>15604</v>
      </c>
      <c r="F173" s="82">
        <v>877</v>
      </c>
      <c r="G173" s="82">
        <v>468</v>
      </c>
      <c r="H173" s="83">
        <v>13.31771699152462</v>
      </c>
      <c r="I173" s="83">
        <v>3417.2078769610412</v>
      </c>
      <c r="J173" s="83">
        <v>17.684367602555231</v>
      </c>
    </row>
    <row r="174" spans="1:10" ht="16">
      <c r="A174" s="79" t="s">
        <v>1223</v>
      </c>
      <c r="B174" s="79" t="s">
        <v>1209</v>
      </c>
      <c r="C174" s="80" t="s">
        <v>95</v>
      </c>
      <c r="D174" s="81" t="s">
        <v>77</v>
      </c>
      <c r="E174" s="82">
        <v>19093</v>
      </c>
      <c r="F174" s="82">
        <v>979</v>
      </c>
      <c r="G174" s="82">
        <v>5155</v>
      </c>
      <c r="H174" s="83">
        <v>14.253992250848251</v>
      </c>
      <c r="I174" s="83">
        <v>6974.2355288175722</v>
      </c>
      <c r="J174" s="83">
        <v>16.987300313134639</v>
      </c>
    </row>
    <row r="175" spans="1:10" ht="16">
      <c r="A175" s="79" t="s">
        <v>115</v>
      </c>
      <c r="B175" s="79" t="s">
        <v>108</v>
      </c>
      <c r="C175" s="80" t="s">
        <v>95</v>
      </c>
      <c r="D175" s="81" t="s">
        <v>96</v>
      </c>
      <c r="E175" s="82">
        <v>39305</v>
      </c>
      <c r="F175" s="82">
        <v>1374</v>
      </c>
      <c r="G175" s="82">
        <v>8647</v>
      </c>
      <c r="H175" s="83">
        <v>30.476810663290927</v>
      </c>
      <c r="I175" s="83">
        <v>21820.59085619395</v>
      </c>
      <c r="J175" s="83">
        <v>24.565439583582656</v>
      </c>
    </row>
    <row r="176" spans="1:10" ht="16">
      <c r="A176" s="79" t="s">
        <v>322</v>
      </c>
      <c r="B176" s="79" t="s">
        <v>323</v>
      </c>
      <c r="C176" s="80" t="s">
        <v>95</v>
      </c>
      <c r="D176" s="81" t="s">
        <v>79</v>
      </c>
      <c r="E176" s="82">
        <v>10339</v>
      </c>
      <c r="F176" s="82">
        <v>801</v>
      </c>
      <c r="G176" s="82">
        <v>103</v>
      </c>
      <c r="H176" s="83">
        <v>10.125319206331472</v>
      </c>
      <c r="I176" s="83">
        <v>1482.9060608937129</v>
      </c>
      <c r="J176" s="83">
        <v>17.331527704264737</v>
      </c>
    </row>
    <row r="177" spans="1:10" ht="16">
      <c r="A177" s="79" t="s">
        <v>838</v>
      </c>
      <c r="B177" s="79" t="s">
        <v>839</v>
      </c>
      <c r="C177" s="80" t="s">
        <v>126</v>
      </c>
      <c r="D177" s="81" t="s">
        <v>99</v>
      </c>
      <c r="E177" s="82">
        <v>18743</v>
      </c>
      <c r="F177" s="82">
        <v>928</v>
      </c>
      <c r="G177" s="82">
        <v>5623</v>
      </c>
      <c r="H177" s="83">
        <v>72.905052346463563</v>
      </c>
      <c r="I177" s="83">
        <v>45705.060965236931</v>
      </c>
      <c r="J177" s="83">
        <v>55.774998578705876</v>
      </c>
    </row>
    <row r="178" spans="1:10" ht="16">
      <c r="A178" s="79" t="s">
        <v>504</v>
      </c>
      <c r="B178" s="79" t="s">
        <v>493</v>
      </c>
      <c r="C178" s="80" t="s">
        <v>126</v>
      </c>
      <c r="D178" s="81" t="s">
        <v>75</v>
      </c>
      <c r="E178" s="82">
        <v>8242</v>
      </c>
      <c r="F178" s="82">
        <v>354</v>
      </c>
      <c r="G178" s="82">
        <v>379</v>
      </c>
      <c r="H178" s="83">
        <v>13.701204159164815</v>
      </c>
      <c r="I178" s="83">
        <v>4915.6521251132126</v>
      </c>
      <c r="J178" s="83">
        <v>16.177329247424836</v>
      </c>
    </row>
    <row r="179" spans="1:10" ht="16">
      <c r="A179" s="79" t="s">
        <v>469</v>
      </c>
      <c r="B179" s="79" t="s">
        <v>467</v>
      </c>
      <c r="C179" s="80" t="s">
        <v>95</v>
      </c>
      <c r="D179" s="81" t="s">
        <v>101</v>
      </c>
      <c r="E179" s="82">
        <v>30414</v>
      </c>
      <c r="F179" s="82">
        <v>611</v>
      </c>
      <c r="G179" s="82">
        <v>912</v>
      </c>
      <c r="H179" s="83">
        <v>11.70707390656249</v>
      </c>
      <c r="I179" s="83">
        <v>3737.9643109152394</v>
      </c>
      <c r="J179" s="83">
        <v>15.159953519775401</v>
      </c>
    </row>
    <row r="180" spans="1:10" ht="16">
      <c r="A180" s="79" t="s">
        <v>233</v>
      </c>
      <c r="B180" s="79" t="s">
        <v>231</v>
      </c>
      <c r="C180" s="80" t="s">
        <v>126</v>
      </c>
      <c r="D180" s="81" t="s">
        <v>111</v>
      </c>
      <c r="E180" s="82">
        <v>17287</v>
      </c>
      <c r="F180" s="82">
        <v>1160</v>
      </c>
      <c r="G180" s="82">
        <v>346</v>
      </c>
      <c r="H180" s="83">
        <v>10.933060205789143</v>
      </c>
      <c r="I180" s="83">
        <v>10089.661610491896</v>
      </c>
      <c r="J180" s="83">
        <v>15.306273106222804</v>
      </c>
    </row>
    <row r="181" spans="1:10" ht="16">
      <c r="A181" s="79" t="s">
        <v>1172</v>
      </c>
      <c r="B181" s="79" t="s">
        <v>1161</v>
      </c>
      <c r="C181" s="80" t="s">
        <v>126</v>
      </c>
      <c r="D181" s="81" t="s">
        <v>78</v>
      </c>
      <c r="E181" s="82">
        <v>62844</v>
      </c>
      <c r="F181" s="82">
        <v>3256</v>
      </c>
      <c r="G181" s="82">
        <v>1257</v>
      </c>
      <c r="H181" s="83">
        <v>10.315528679066032</v>
      </c>
      <c r="I181" s="83">
        <v>1883.6310588941324</v>
      </c>
      <c r="J181" s="83">
        <v>15.238350285642595</v>
      </c>
    </row>
    <row r="182" spans="1:10" ht="16">
      <c r="A182" s="79" t="s">
        <v>668</v>
      </c>
      <c r="B182" s="79" t="s">
        <v>661</v>
      </c>
      <c r="C182" s="80" t="s">
        <v>126</v>
      </c>
      <c r="D182" s="81" t="s">
        <v>103</v>
      </c>
      <c r="E182" s="82">
        <v>28309</v>
      </c>
      <c r="F182" s="82">
        <v>1506</v>
      </c>
      <c r="G182" s="82">
        <v>1132</v>
      </c>
      <c r="H182" s="83">
        <v>10.656921232435007</v>
      </c>
      <c r="I182" s="83">
        <v>755.3943166298609</v>
      </c>
      <c r="J182" s="83">
        <v>16.536668235947115</v>
      </c>
    </row>
    <row r="183" spans="1:10" ht="16">
      <c r="A183" s="79" t="s">
        <v>1328</v>
      </c>
      <c r="B183" s="79" t="s">
        <v>1307</v>
      </c>
      <c r="C183" s="80" t="s">
        <v>126</v>
      </c>
      <c r="D183" s="81" t="s">
        <v>76</v>
      </c>
      <c r="E183" s="82">
        <v>19801</v>
      </c>
      <c r="F183" s="82">
        <v>1784</v>
      </c>
      <c r="G183" s="82">
        <v>3366</v>
      </c>
      <c r="H183" s="83">
        <v>20.89273120287751</v>
      </c>
      <c r="I183" s="83">
        <v>13205.686311299958</v>
      </c>
      <c r="J183" s="83">
        <v>36.138279829039263</v>
      </c>
    </row>
    <row r="184" spans="1:10" ht="16">
      <c r="A184" s="79" t="s">
        <v>599</v>
      </c>
      <c r="B184" s="79" t="s">
        <v>600</v>
      </c>
      <c r="C184" s="80" t="s">
        <v>95</v>
      </c>
      <c r="D184" s="81" t="s">
        <v>76</v>
      </c>
      <c r="E184" s="82">
        <v>12619</v>
      </c>
      <c r="F184" s="82">
        <v>526</v>
      </c>
      <c r="G184" s="82">
        <v>1262</v>
      </c>
      <c r="H184" s="83">
        <v>25.740413264149534</v>
      </c>
      <c r="I184" s="83">
        <v>12547.564665722039</v>
      </c>
      <c r="J184" s="83">
        <v>21.993216970015403</v>
      </c>
    </row>
    <row r="185" spans="1:10" ht="16">
      <c r="A185" s="79" t="s">
        <v>1329</v>
      </c>
      <c r="B185" s="79" t="s">
        <v>1307</v>
      </c>
      <c r="C185" s="80" t="s">
        <v>126</v>
      </c>
      <c r="D185" s="81" t="s">
        <v>78</v>
      </c>
      <c r="E185" s="82">
        <v>15309</v>
      </c>
      <c r="F185" s="82">
        <v>3560</v>
      </c>
      <c r="G185" s="82">
        <v>2909</v>
      </c>
      <c r="H185" s="83">
        <v>77.522877399367673</v>
      </c>
      <c r="I185" s="83">
        <v>74544.539653352942</v>
      </c>
      <c r="J185" s="83">
        <v>82.791537622353971</v>
      </c>
    </row>
    <row r="186" spans="1:10" ht="16">
      <c r="A186" s="79" t="s">
        <v>1224</v>
      </c>
      <c r="B186" s="79" t="s">
        <v>1209</v>
      </c>
      <c r="C186" s="80" t="s">
        <v>95</v>
      </c>
      <c r="D186" s="81" t="s">
        <v>77</v>
      </c>
      <c r="E186" s="82">
        <v>16963</v>
      </c>
      <c r="F186" s="82">
        <v>1146</v>
      </c>
      <c r="G186" s="82">
        <v>5089</v>
      </c>
      <c r="H186" s="83">
        <v>48.462166022661066</v>
      </c>
      <c r="I186" s="83">
        <v>36117.711578826878</v>
      </c>
      <c r="J186" s="83">
        <v>45.709501249891659</v>
      </c>
    </row>
    <row r="187" spans="1:10" ht="16">
      <c r="A187" s="79" t="s">
        <v>256</v>
      </c>
      <c r="B187" s="79" t="s">
        <v>242</v>
      </c>
      <c r="C187" s="80" t="s">
        <v>95</v>
      </c>
      <c r="D187" s="81" t="s">
        <v>79</v>
      </c>
      <c r="E187" s="82">
        <v>25747</v>
      </c>
      <c r="F187" s="82">
        <v>2239</v>
      </c>
      <c r="G187" s="82">
        <v>4377</v>
      </c>
      <c r="H187" s="83">
        <v>24.348608263242703</v>
      </c>
      <c r="I187" s="83">
        <v>11917.900543622918</v>
      </c>
      <c r="J187" s="83">
        <v>30.728673447977712</v>
      </c>
    </row>
    <row r="188" spans="1:10" ht="16">
      <c r="A188" s="79" t="s">
        <v>257</v>
      </c>
      <c r="B188" s="79" t="s">
        <v>242</v>
      </c>
      <c r="C188" s="80" t="s">
        <v>126</v>
      </c>
      <c r="D188" s="81" t="s">
        <v>77</v>
      </c>
      <c r="E188" s="82">
        <v>25519</v>
      </c>
      <c r="F188" s="82">
        <v>1636</v>
      </c>
      <c r="G188" s="82">
        <v>510</v>
      </c>
      <c r="H188" s="83">
        <v>19.292424082735796</v>
      </c>
      <c r="I188" s="83">
        <v>8430.1684534905708</v>
      </c>
      <c r="J188" s="83">
        <v>22.54563915044427</v>
      </c>
    </row>
    <row r="189" spans="1:10" ht="16">
      <c r="A189" s="79" t="s">
        <v>866</v>
      </c>
      <c r="B189" s="79" t="s">
        <v>867</v>
      </c>
      <c r="C189" s="80" t="s">
        <v>126</v>
      </c>
      <c r="D189" s="81" t="s">
        <v>78</v>
      </c>
      <c r="E189" s="82">
        <v>18865</v>
      </c>
      <c r="F189" s="82">
        <v>696</v>
      </c>
      <c r="G189" s="82">
        <v>15658</v>
      </c>
      <c r="H189" s="83">
        <v>11.833857532239271</v>
      </c>
      <c r="I189" s="83">
        <v>3592.392307625898</v>
      </c>
      <c r="J189" s="83">
        <v>17.71197303639007</v>
      </c>
    </row>
    <row r="190" spans="1:10" ht="16">
      <c r="A190" s="79" t="s">
        <v>1225</v>
      </c>
      <c r="B190" s="79" t="s">
        <v>1209</v>
      </c>
      <c r="C190" s="80" t="s">
        <v>95</v>
      </c>
      <c r="D190" s="81" t="s">
        <v>103</v>
      </c>
      <c r="E190" s="82">
        <v>12185</v>
      </c>
      <c r="F190" s="82">
        <v>786</v>
      </c>
      <c r="G190" s="82">
        <v>609</v>
      </c>
      <c r="H190" s="83">
        <v>10.698049981298501</v>
      </c>
      <c r="I190" s="83">
        <v>3382.479802185007</v>
      </c>
      <c r="J190" s="83">
        <v>15.387727965134388</v>
      </c>
    </row>
    <row r="191" spans="1:10" ht="16">
      <c r="A191" s="79" t="s">
        <v>1226</v>
      </c>
      <c r="B191" s="79" t="s">
        <v>1209</v>
      </c>
      <c r="C191" s="80" t="s">
        <v>95</v>
      </c>
      <c r="D191" s="81" t="s">
        <v>96</v>
      </c>
      <c r="E191" s="82">
        <v>10668</v>
      </c>
      <c r="F191" s="82">
        <v>567</v>
      </c>
      <c r="G191" s="82">
        <v>3520</v>
      </c>
      <c r="H191" s="83">
        <v>13.942396305419573</v>
      </c>
      <c r="I191" s="83">
        <v>5634.9569142942119</v>
      </c>
      <c r="J191" s="83">
        <v>17.107615261343955</v>
      </c>
    </row>
    <row r="192" spans="1:10" ht="16">
      <c r="A192" s="79" t="s">
        <v>116</v>
      </c>
      <c r="B192" s="79" t="s">
        <v>108</v>
      </c>
      <c r="C192" s="80" t="s">
        <v>95</v>
      </c>
      <c r="D192" s="81" t="s">
        <v>101</v>
      </c>
      <c r="E192" s="82">
        <v>17560</v>
      </c>
      <c r="F192" s="82">
        <v>561</v>
      </c>
      <c r="G192" s="82">
        <v>4566</v>
      </c>
      <c r="H192" s="83">
        <v>22.495755854894</v>
      </c>
      <c r="I192" s="83">
        <v>14849.216095188791</v>
      </c>
      <c r="J192" s="83">
        <v>18.737579659118612</v>
      </c>
    </row>
    <row r="193" spans="1:10" ht="16">
      <c r="A193" s="79" t="s">
        <v>1173</v>
      </c>
      <c r="B193" s="79" t="s">
        <v>1161</v>
      </c>
      <c r="C193" s="80" t="s">
        <v>126</v>
      </c>
      <c r="D193" s="81" t="s">
        <v>103</v>
      </c>
      <c r="E193" s="82">
        <v>46056</v>
      </c>
      <c r="F193" s="82">
        <v>2193</v>
      </c>
      <c r="G193" s="82">
        <v>1382</v>
      </c>
      <c r="H193" s="83">
        <v>11.076102178878386</v>
      </c>
      <c r="I193" s="83">
        <v>1384.8235717293835</v>
      </c>
      <c r="J193" s="83">
        <v>17.581827937883169</v>
      </c>
    </row>
    <row r="194" spans="1:10" ht="16">
      <c r="A194" s="79" t="s">
        <v>669</v>
      </c>
      <c r="B194" s="79" t="s">
        <v>661</v>
      </c>
      <c r="C194" s="80" t="s">
        <v>126</v>
      </c>
      <c r="D194" s="81" t="s">
        <v>103</v>
      </c>
      <c r="E194" s="82">
        <v>9333</v>
      </c>
      <c r="F194" s="82">
        <v>712</v>
      </c>
      <c r="G194" s="82">
        <v>187</v>
      </c>
      <c r="H194" s="83">
        <v>14.628359610897876</v>
      </c>
      <c r="I194" s="83">
        <v>3011.5299197663094</v>
      </c>
      <c r="J194" s="83">
        <v>22.197898098719605</v>
      </c>
    </row>
    <row r="195" spans="1:10" ht="16">
      <c r="A195" s="79" t="s">
        <v>840</v>
      </c>
      <c r="B195" s="79" t="s">
        <v>839</v>
      </c>
      <c r="C195" s="80" t="s">
        <v>126</v>
      </c>
      <c r="D195" s="81" t="s">
        <v>99</v>
      </c>
      <c r="E195" s="82">
        <v>8917</v>
      </c>
      <c r="F195" s="82">
        <v>431</v>
      </c>
      <c r="G195" s="82">
        <v>1694</v>
      </c>
      <c r="H195" s="83">
        <v>49.656837625472789</v>
      </c>
      <c r="I195" s="83">
        <v>29782.242900958092</v>
      </c>
      <c r="J195" s="83">
        <v>44.807250558494609</v>
      </c>
    </row>
    <row r="196" spans="1:10" ht="16">
      <c r="A196" s="79" t="s">
        <v>1330</v>
      </c>
      <c r="B196" s="79" t="s">
        <v>1307</v>
      </c>
      <c r="C196" s="80" t="s">
        <v>126</v>
      </c>
      <c r="D196" s="81" t="s">
        <v>96</v>
      </c>
      <c r="E196" s="82">
        <v>16340</v>
      </c>
      <c r="F196" s="82">
        <v>973</v>
      </c>
      <c r="G196" s="82">
        <v>1471</v>
      </c>
      <c r="H196" s="83">
        <v>10.140727315474894</v>
      </c>
      <c r="I196" s="83">
        <v>4112.0836160286945</v>
      </c>
      <c r="J196" s="83">
        <v>17.072547595273441</v>
      </c>
    </row>
    <row r="197" spans="1:10" ht="16">
      <c r="A197" s="79" t="s">
        <v>1331</v>
      </c>
      <c r="B197" s="79" t="s">
        <v>1307</v>
      </c>
      <c r="C197" s="80" t="s">
        <v>95</v>
      </c>
      <c r="D197" s="81" t="s">
        <v>76</v>
      </c>
      <c r="E197" s="82">
        <v>12735</v>
      </c>
      <c r="F197" s="82">
        <v>3184</v>
      </c>
      <c r="G197" s="82">
        <v>2547</v>
      </c>
      <c r="H197" s="83">
        <v>40.93311790690165</v>
      </c>
      <c r="I197" s="83">
        <v>40010.10394691625</v>
      </c>
      <c r="J197" s="83">
        <v>56.10939080753888</v>
      </c>
    </row>
    <row r="198" spans="1:10" ht="16">
      <c r="A198" s="79" t="s">
        <v>841</v>
      </c>
      <c r="B198" s="79" t="s">
        <v>839</v>
      </c>
      <c r="C198" s="80" t="s">
        <v>95</v>
      </c>
      <c r="D198" s="81" t="s">
        <v>79</v>
      </c>
      <c r="E198" s="82">
        <v>23167</v>
      </c>
      <c r="F198" s="82">
        <v>1136</v>
      </c>
      <c r="G198" s="82">
        <v>5328</v>
      </c>
      <c r="H198" s="83">
        <v>57.722640317958756</v>
      </c>
      <c r="I198" s="83">
        <v>55656.468431731097</v>
      </c>
      <c r="J198" s="83">
        <v>40.056871593948138</v>
      </c>
    </row>
    <row r="199" spans="1:10" ht="16">
      <c r="A199" s="79" t="s">
        <v>1174</v>
      </c>
      <c r="B199" s="79" t="s">
        <v>1161</v>
      </c>
      <c r="C199" s="80" t="s">
        <v>126</v>
      </c>
      <c r="D199" s="81" t="s">
        <v>103</v>
      </c>
      <c r="E199" s="82">
        <v>39178</v>
      </c>
      <c r="F199" s="82">
        <v>1346</v>
      </c>
      <c r="G199" s="82">
        <v>1175</v>
      </c>
      <c r="H199" s="83">
        <v>16.532312781813204</v>
      </c>
      <c r="I199" s="83">
        <v>3358.9036791468611</v>
      </c>
      <c r="J199" s="83">
        <v>20.151722772490107</v>
      </c>
    </row>
    <row r="200" spans="1:10" ht="16">
      <c r="A200" s="79" t="s">
        <v>1090</v>
      </c>
      <c r="B200" s="79" t="s">
        <v>1091</v>
      </c>
      <c r="C200" s="80" t="s">
        <v>126</v>
      </c>
      <c r="D200" s="81" t="s">
        <v>77</v>
      </c>
      <c r="E200" s="82">
        <v>18956</v>
      </c>
      <c r="F200" s="82">
        <v>1516</v>
      </c>
      <c r="G200" s="82">
        <v>7393</v>
      </c>
      <c r="H200" s="83">
        <v>93.647194173077736</v>
      </c>
      <c r="I200" s="83">
        <v>83855.38692422364</v>
      </c>
      <c r="J200" s="83">
        <v>82.723017186631708</v>
      </c>
    </row>
    <row r="201" spans="1:10" ht="16">
      <c r="A201" s="79" t="s">
        <v>1012</v>
      </c>
      <c r="B201" s="79" t="s">
        <v>1007</v>
      </c>
      <c r="C201" s="80" t="s">
        <v>126</v>
      </c>
      <c r="D201" s="81" t="s">
        <v>99</v>
      </c>
      <c r="E201" s="82">
        <v>14510</v>
      </c>
      <c r="F201" s="82">
        <v>859</v>
      </c>
      <c r="G201" s="82">
        <v>2177</v>
      </c>
      <c r="H201" s="83">
        <v>31.095251801011447</v>
      </c>
      <c r="I201" s="83">
        <v>9701.0134841384443</v>
      </c>
      <c r="J201" s="83">
        <v>30.453336318137382</v>
      </c>
    </row>
    <row r="202" spans="1:10" ht="16">
      <c r="A202" s="79" t="s">
        <v>941</v>
      </c>
      <c r="B202" s="79" t="s">
        <v>938</v>
      </c>
      <c r="C202" s="80" t="s">
        <v>126</v>
      </c>
      <c r="D202" s="81" t="s">
        <v>149</v>
      </c>
      <c r="E202" s="82">
        <v>15601</v>
      </c>
      <c r="F202" s="82">
        <v>1515</v>
      </c>
      <c r="G202" s="82">
        <v>2964</v>
      </c>
      <c r="H202" s="83">
        <v>11.912364336563874</v>
      </c>
      <c r="I202" s="83">
        <v>1329.6326830842402</v>
      </c>
      <c r="J202" s="83">
        <v>21.507291824666673</v>
      </c>
    </row>
    <row r="203" spans="1:10" ht="16">
      <c r="A203" s="79" t="s">
        <v>372</v>
      </c>
      <c r="B203" s="79" t="s">
        <v>363</v>
      </c>
      <c r="C203" s="80" t="s">
        <v>126</v>
      </c>
      <c r="D203" s="81" t="s">
        <v>96</v>
      </c>
      <c r="E203" s="82">
        <v>33084</v>
      </c>
      <c r="F203" s="82">
        <v>2346</v>
      </c>
      <c r="G203" s="82">
        <v>331</v>
      </c>
      <c r="H203" s="83">
        <v>10.624339014897288</v>
      </c>
      <c r="I203" s="83">
        <v>3205.4325848585058</v>
      </c>
      <c r="J203" s="83">
        <v>15.7703428566131</v>
      </c>
    </row>
    <row r="204" spans="1:10" ht="16">
      <c r="A204" s="79" t="s">
        <v>168</v>
      </c>
      <c r="B204" s="79" t="s">
        <v>169</v>
      </c>
      <c r="C204" s="80" t="s">
        <v>126</v>
      </c>
      <c r="D204" s="81" t="s">
        <v>77</v>
      </c>
      <c r="E204" s="82">
        <v>5872</v>
      </c>
      <c r="F204" s="82">
        <v>763</v>
      </c>
      <c r="G204" s="82">
        <v>404</v>
      </c>
      <c r="H204" s="83">
        <v>7.7396227479128612</v>
      </c>
      <c r="I204" s="83">
        <v>132.51016570590568</v>
      </c>
      <c r="J204" s="83">
        <v>28.007419529554458</v>
      </c>
    </row>
    <row r="205" spans="1:10" ht="16">
      <c r="A205" s="79" t="s">
        <v>170</v>
      </c>
      <c r="B205" s="79" t="s">
        <v>169</v>
      </c>
      <c r="C205" s="80" t="s">
        <v>126</v>
      </c>
      <c r="D205" s="81" t="s">
        <v>111</v>
      </c>
      <c r="E205" s="82">
        <v>14422</v>
      </c>
      <c r="F205" s="82">
        <v>690</v>
      </c>
      <c r="G205" s="82">
        <v>144</v>
      </c>
      <c r="H205" s="83">
        <v>11.994959953012884</v>
      </c>
      <c r="I205" s="83">
        <v>2862.0415995681519</v>
      </c>
      <c r="J205" s="83">
        <v>16.775694448167467</v>
      </c>
    </row>
    <row r="206" spans="1:10" ht="16">
      <c r="A206" s="79" t="s">
        <v>171</v>
      </c>
      <c r="B206" s="79" t="s">
        <v>169</v>
      </c>
      <c r="C206" s="80" t="s">
        <v>95</v>
      </c>
      <c r="D206" s="81" t="s">
        <v>101</v>
      </c>
      <c r="E206" s="82">
        <v>24077</v>
      </c>
      <c r="F206" s="82">
        <v>1824</v>
      </c>
      <c r="G206" s="82">
        <v>1204</v>
      </c>
      <c r="H206" s="83">
        <v>7.2650955376687989</v>
      </c>
      <c r="I206" s="83">
        <v>841.20250637179117</v>
      </c>
      <c r="J206" s="83">
        <v>17.071522119578386</v>
      </c>
    </row>
    <row r="207" spans="1:10" ht="16">
      <c r="A207" s="79" t="s">
        <v>172</v>
      </c>
      <c r="B207" s="79" t="s">
        <v>169</v>
      </c>
      <c r="C207" s="80" t="s">
        <v>95</v>
      </c>
      <c r="D207" s="81" t="s">
        <v>78</v>
      </c>
      <c r="E207" s="82">
        <v>40848</v>
      </c>
      <c r="F207" s="82">
        <v>2569</v>
      </c>
      <c r="G207" s="82">
        <v>2812</v>
      </c>
      <c r="H207" s="83">
        <v>14.277122772162803</v>
      </c>
      <c r="I207" s="83">
        <v>2580.5004214041619</v>
      </c>
      <c r="J207" s="83">
        <v>22.495491344170244</v>
      </c>
    </row>
    <row r="208" spans="1:10" ht="16">
      <c r="A208" s="79" t="s">
        <v>173</v>
      </c>
      <c r="B208" s="79" t="s">
        <v>169</v>
      </c>
      <c r="C208" s="80" t="s">
        <v>95</v>
      </c>
      <c r="D208" s="81" t="s">
        <v>77</v>
      </c>
      <c r="E208" s="82">
        <v>3621</v>
      </c>
      <c r="F208" s="82">
        <v>338</v>
      </c>
      <c r="G208" s="82">
        <v>72</v>
      </c>
      <c r="H208" s="83">
        <v>11.049909547594012</v>
      </c>
      <c r="I208" s="83">
        <v>1366.4422251645785</v>
      </c>
      <c r="J208" s="83">
        <v>21.223093507963011</v>
      </c>
    </row>
    <row r="209" spans="1:10" ht="16">
      <c r="A209" s="79" t="s">
        <v>174</v>
      </c>
      <c r="B209" s="79" t="s">
        <v>169</v>
      </c>
      <c r="C209" s="80" t="s">
        <v>126</v>
      </c>
      <c r="D209" s="81" t="s">
        <v>78</v>
      </c>
      <c r="E209" s="82">
        <v>14024</v>
      </c>
      <c r="F209" s="82">
        <v>723</v>
      </c>
      <c r="G209" s="82">
        <v>140</v>
      </c>
      <c r="H209" s="83">
        <v>17.738844461093326</v>
      </c>
      <c r="I209" s="83">
        <v>1885.7759108500165</v>
      </c>
      <c r="J209" s="83">
        <v>24.888572535290116</v>
      </c>
    </row>
    <row r="210" spans="1:10" ht="16">
      <c r="A210" s="79" t="s">
        <v>175</v>
      </c>
      <c r="B210" s="79" t="s">
        <v>169</v>
      </c>
      <c r="C210" s="80" t="s">
        <v>126</v>
      </c>
      <c r="D210" s="81" t="s">
        <v>101</v>
      </c>
      <c r="E210" s="82">
        <v>25018</v>
      </c>
      <c r="F210" s="82">
        <v>1390</v>
      </c>
      <c r="G210" s="82">
        <v>1722</v>
      </c>
      <c r="H210" s="83">
        <v>7.6352513805652817</v>
      </c>
      <c r="I210" s="83">
        <v>515.95766827104001</v>
      </c>
      <c r="J210" s="83">
        <v>17.681260619223796</v>
      </c>
    </row>
    <row r="211" spans="1:10" ht="16">
      <c r="A211" s="79" t="s">
        <v>176</v>
      </c>
      <c r="B211" s="79" t="s">
        <v>169</v>
      </c>
      <c r="C211" s="80" t="s">
        <v>95</v>
      </c>
      <c r="D211" s="81" t="s">
        <v>149</v>
      </c>
      <c r="E211" s="82">
        <v>43899</v>
      </c>
      <c r="F211" s="82">
        <v>3484</v>
      </c>
      <c r="G211" s="82">
        <v>878</v>
      </c>
      <c r="H211" s="83">
        <v>18.594546345616877</v>
      </c>
      <c r="I211" s="83">
        <v>9338.4668469393619</v>
      </c>
      <c r="J211" s="83">
        <v>31.154813724782453</v>
      </c>
    </row>
    <row r="212" spans="1:10" ht="16">
      <c r="A212" s="79" t="s">
        <v>177</v>
      </c>
      <c r="B212" s="79" t="s">
        <v>169</v>
      </c>
      <c r="C212" s="80" t="s">
        <v>95</v>
      </c>
      <c r="D212" s="81" t="s">
        <v>99</v>
      </c>
      <c r="E212" s="82">
        <v>13823</v>
      </c>
      <c r="F212" s="82">
        <v>848</v>
      </c>
      <c r="G212" s="82">
        <v>138</v>
      </c>
      <c r="H212" s="83">
        <v>10.397605008976315</v>
      </c>
      <c r="I212" s="83">
        <v>1868.9494316739324</v>
      </c>
      <c r="J212" s="83">
        <v>17.100280739778057</v>
      </c>
    </row>
    <row r="213" spans="1:10" ht="16">
      <c r="A213" s="79" t="s">
        <v>178</v>
      </c>
      <c r="B213" s="79" t="s">
        <v>169</v>
      </c>
      <c r="C213" s="80" t="s">
        <v>95</v>
      </c>
      <c r="D213" s="81" t="s">
        <v>103</v>
      </c>
      <c r="E213" s="82">
        <v>23198</v>
      </c>
      <c r="F213" s="82">
        <v>1333</v>
      </c>
      <c r="G213" s="82">
        <v>1160</v>
      </c>
      <c r="H213" s="83">
        <v>11.051479320732485</v>
      </c>
      <c r="I213" s="83">
        <v>5368.2075813217762</v>
      </c>
      <c r="J213" s="83">
        <v>17.94156206363914</v>
      </c>
    </row>
    <row r="214" spans="1:10" ht="16">
      <c r="A214" s="79" t="s">
        <v>179</v>
      </c>
      <c r="B214" s="79" t="s">
        <v>169</v>
      </c>
      <c r="C214" s="80" t="s">
        <v>126</v>
      </c>
      <c r="D214" s="81" t="s">
        <v>103</v>
      </c>
      <c r="E214" s="82">
        <v>34072</v>
      </c>
      <c r="F214" s="82">
        <v>2662</v>
      </c>
      <c r="G214" s="82">
        <v>341</v>
      </c>
      <c r="H214" s="83">
        <v>9.2586324234871871</v>
      </c>
      <c r="I214" s="83">
        <v>1328.8895147757269</v>
      </c>
      <c r="J214" s="83">
        <v>27.755276143840895</v>
      </c>
    </row>
    <row r="215" spans="1:10" ht="16">
      <c r="A215" s="79" t="s">
        <v>180</v>
      </c>
      <c r="B215" s="79" t="s">
        <v>169</v>
      </c>
      <c r="C215" s="80" t="s">
        <v>95</v>
      </c>
      <c r="D215" s="81" t="s">
        <v>101</v>
      </c>
      <c r="E215" s="82">
        <v>48675</v>
      </c>
      <c r="F215" s="82">
        <v>3957</v>
      </c>
      <c r="G215" s="82">
        <v>974</v>
      </c>
      <c r="H215" s="83">
        <v>22.410016071167043</v>
      </c>
      <c r="I215" s="83">
        <v>5765.0683002871974</v>
      </c>
      <c r="J215" s="83">
        <v>35.065280905691019</v>
      </c>
    </row>
    <row r="216" spans="1:10" ht="16">
      <c r="A216" s="79" t="s">
        <v>181</v>
      </c>
      <c r="B216" s="79" t="s">
        <v>169</v>
      </c>
      <c r="C216" s="80" t="s">
        <v>95</v>
      </c>
      <c r="D216" s="81" t="s">
        <v>79</v>
      </c>
      <c r="E216" s="82">
        <v>42573</v>
      </c>
      <c r="F216" s="82">
        <v>2490</v>
      </c>
      <c r="G216" s="82">
        <v>2931</v>
      </c>
      <c r="H216" s="83">
        <v>9.568938301722234</v>
      </c>
      <c r="I216" s="83">
        <v>1669.803374061855</v>
      </c>
      <c r="J216" s="83">
        <v>19.985518919407866</v>
      </c>
    </row>
    <row r="217" spans="1:10" ht="16">
      <c r="A217" s="79" t="s">
        <v>182</v>
      </c>
      <c r="B217" s="79" t="s">
        <v>169</v>
      </c>
      <c r="C217" s="80" t="s">
        <v>95</v>
      </c>
      <c r="D217" s="81" t="s">
        <v>149</v>
      </c>
      <c r="E217" s="82">
        <v>52579</v>
      </c>
      <c r="F217" s="82">
        <v>2710</v>
      </c>
      <c r="G217" s="82">
        <v>526</v>
      </c>
      <c r="H217" s="83">
        <v>18.870279855076095</v>
      </c>
      <c r="I217" s="83">
        <v>9024.6377417660897</v>
      </c>
      <c r="J217" s="83">
        <v>30.167732414244803</v>
      </c>
    </row>
    <row r="218" spans="1:10" ht="16">
      <c r="A218" s="79" t="s">
        <v>183</v>
      </c>
      <c r="B218" s="79" t="s">
        <v>169</v>
      </c>
      <c r="C218" s="80" t="s">
        <v>126</v>
      </c>
      <c r="D218" s="81" t="s">
        <v>101</v>
      </c>
      <c r="E218" s="82">
        <v>38719</v>
      </c>
      <c r="F218" s="82">
        <v>2332</v>
      </c>
      <c r="G218" s="82">
        <v>774</v>
      </c>
      <c r="H218" s="83">
        <v>13.359787481305332</v>
      </c>
      <c r="I218" s="83">
        <v>6898.8702078912447</v>
      </c>
      <c r="J218" s="83">
        <v>29.374207001106555</v>
      </c>
    </row>
    <row r="219" spans="1:10" ht="16">
      <c r="A219" s="79" t="s">
        <v>184</v>
      </c>
      <c r="B219" s="79" t="s">
        <v>169</v>
      </c>
      <c r="C219" s="80" t="s">
        <v>95</v>
      </c>
      <c r="D219" s="81" t="s">
        <v>77</v>
      </c>
      <c r="E219" s="82">
        <v>27285</v>
      </c>
      <c r="F219" s="82">
        <v>1935</v>
      </c>
      <c r="G219" s="82">
        <v>1879</v>
      </c>
      <c r="H219" s="83">
        <v>9.0118883788561597</v>
      </c>
      <c r="I219" s="83">
        <v>1191.6472760228919</v>
      </c>
      <c r="J219" s="83">
        <v>20.990316818917307</v>
      </c>
    </row>
    <row r="220" spans="1:10" ht="16">
      <c r="A220" s="79" t="s">
        <v>1105</v>
      </c>
      <c r="B220" s="79" t="s">
        <v>1100</v>
      </c>
      <c r="C220" s="80" t="s">
        <v>126</v>
      </c>
      <c r="D220" s="81" t="s">
        <v>99</v>
      </c>
      <c r="E220" s="82">
        <v>19840</v>
      </c>
      <c r="F220" s="82">
        <v>859</v>
      </c>
      <c r="G220" s="82">
        <v>3174</v>
      </c>
      <c r="H220" s="83">
        <v>17.906374094322015</v>
      </c>
      <c r="I220" s="83">
        <v>2984.3176095098424</v>
      </c>
      <c r="J220" s="83">
        <v>18.634999952422628</v>
      </c>
    </row>
    <row r="221" spans="1:10" ht="16">
      <c r="A221" s="79" t="s">
        <v>561</v>
      </c>
      <c r="B221" s="79" t="s">
        <v>556</v>
      </c>
      <c r="C221" s="80" t="s">
        <v>95</v>
      </c>
      <c r="D221" s="81" t="s">
        <v>79</v>
      </c>
      <c r="E221" s="82">
        <v>23992</v>
      </c>
      <c r="F221" s="82">
        <v>813</v>
      </c>
      <c r="G221" s="82">
        <v>1200</v>
      </c>
      <c r="H221" s="83">
        <v>18.581468161507853</v>
      </c>
      <c r="I221" s="83">
        <v>4285.7279603629122</v>
      </c>
      <c r="J221" s="83">
        <v>26.285292381783876</v>
      </c>
    </row>
    <row r="222" spans="1:10" ht="16">
      <c r="A222" s="79" t="s">
        <v>117</v>
      </c>
      <c r="B222" s="79" t="s">
        <v>108</v>
      </c>
      <c r="C222" s="80" t="s">
        <v>95</v>
      </c>
      <c r="D222" s="81" t="s">
        <v>78</v>
      </c>
      <c r="E222" s="82">
        <v>16844</v>
      </c>
      <c r="F222" s="82">
        <v>653</v>
      </c>
      <c r="G222" s="82">
        <v>5727</v>
      </c>
      <c r="H222" s="83">
        <v>30.898896311568489</v>
      </c>
      <c r="I222" s="83">
        <v>25246.832585986704</v>
      </c>
      <c r="J222" s="83">
        <v>23.126605650040091</v>
      </c>
    </row>
    <row r="223" spans="1:10" ht="16">
      <c r="A223" s="79" t="s">
        <v>1332</v>
      </c>
      <c r="B223" s="79" t="s">
        <v>1307</v>
      </c>
      <c r="C223" s="80" t="s">
        <v>95</v>
      </c>
      <c r="D223" s="81" t="s">
        <v>78</v>
      </c>
      <c r="E223" s="82">
        <v>23658</v>
      </c>
      <c r="F223" s="82">
        <v>1293</v>
      </c>
      <c r="G223" s="82">
        <v>2366</v>
      </c>
      <c r="H223" s="83">
        <v>19.327125670429425</v>
      </c>
      <c r="I223" s="83">
        <v>7190.3032684827849</v>
      </c>
      <c r="J223" s="83">
        <v>21.199773238574132</v>
      </c>
    </row>
    <row r="224" spans="1:10" ht="16">
      <c r="A224" s="79" t="s">
        <v>1333</v>
      </c>
      <c r="B224" s="79" t="s">
        <v>1307</v>
      </c>
      <c r="C224" s="80" t="s">
        <v>126</v>
      </c>
      <c r="D224" s="81" t="s">
        <v>76</v>
      </c>
      <c r="E224" s="82">
        <v>5344</v>
      </c>
      <c r="F224" s="82">
        <v>379</v>
      </c>
      <c r="G224" s="82">
        <v>1764</v>
      </c>
      <c r="H224" s="83">
        <v>15.5678568256305</v>
      </c>
      <c r="I224" s="83">
        <v>4601.4795154553103</v>
      </c>
      <c r="J224" s="83">
        <v>23.250431422872925</v>
      </c>
    </row>
    <row r="225" spans="1:10" ht="16">
      <c r="A225" s="79" t="s">
        <v>1334</v>
      </c>
      <c r="B225" s="79" t="s">
        <v>1307</v>
      </c>
      <c r="C225" s="80" t="s">
        <v>95</v>
      </c>
      <c r="D225" s="81" t="s">
        <v>79</v>
      </c>
      <c r="E225" s="82">
        <v>34203</v>
      </c>
      <c r="F225" s="82">
        <v>1437</v>
      </c>
      <c r="G225" s="82">
        <v>2736</v>
      </c>
      <c r="H225" s="83">
        <v>23.069487452607998</v>
      </c>
      <c r="I225" s="83">
        <v>14100.607251643152</v>
      </c>
      <c r="J225" s="83">
        <v>31.246748332608451</v>
      </c>
    </row>
    <row r="226" spans="1:10" ht="16">
      <c r="A226" s="79" t="s">
        <v>1335</v>
      </c>
      <c r="B226" s="79" t="s">
        <v>1307</v>
      </c>
      <c r="C226" s="80" t="s">
        <v>95</v>
      </c>
      <c r="D226" s="81" t="s">
        <v>103</v>
      </c>
      <c r="E226" s="82">
        <v>38520</v>
      </c>
      <c r="F226" s="82">
        <v>1598</v>
      </c>
      <c r="G226" s="82">
        <v>2696</v>
      </c>
      <c r="H226" s="83">
        <v>40.386286746364497</v>
      </c>
      <c r="I226" s="83">
        <v>27749.598153562372</v>
      </c>
      <c r="J226" s="83">
        <v>38.133928293648715</v>
      </c>
    </row>
    <row r="227" spans="1:10" ht="16">
      <c r="A227" s="79" t="s">
        <v>185</v>
      </c>
      <c r="B227" s="79" t="s">
        <v>169</v>
      </c>
      <c r="C227" s="80" t="s">
        <v>126</v>
      </c>
      <c r="D227" s="81" t="s">
        <v>99</v>
      </c>
      <c r="E227" s="82">
        <v>55502</v>
      </c>
      <c r="F227" s="82">
        <v>3604</v>
      </c>
      <c r="G227" s="82">
        <v>3821</v>
      </c>
      <c r="H227" s="83">
        <v>11.80859923925602</v>
      </c>
      <c r="I227" s="83">
        <v>1680.7208018017739</v>
      </c>
      <c r="J227" s="83">
        <v>20.144181181853085</v>
      </c>
    </row>
    <row r="228" spans="1:10" ht="16">
      <c r="A228" s="79" t="s">
        <v>423</v>
      </c>
      <c r="B228" s="79" t="s">
        <v>421</v>
      </c>
      <c r="C228" s="80" t="s">
        <v>95</v>
      </c>
      <c r="D228" s="81" t="s">
        <v>76</v>
      </c>
      <c r="E228" s="82">
        <v>35894</v>
      </c>
      <c r="F228" s="82">
        <v>617</v>
      </c>
      <c r="G228" s="82">
        <v>7538</v>
      </c>
      <c r="H228" s="83">
        <v>64.22227539449635</v>
      </c>
      <c r="I228" s="83">
        <v>36991.15975145538</v>
      </c>
      <c r="J228" s="83">
        <v>58.051543721964073</v>
      </c>
    </row>
    <row r="229" spans="1:10" ht="16">
      <c r="A229" s="79" t="s">
        <v>619</v>
      </c>
      <c r="B229" s="79" t="s">
        <v>617</v>
      </c>
      <c r="C229" s="80" t="s">
        <v>95</v>
      </c>
      <c r="D229" s="81" t="s">
        <v>103</v>
      </c>
      <c r="E229" s="82">
        <v>3891</v>
      </c>
      <c r="F229" s="82">
        <v>324</v>
      </c>
      <c r="G229" s="82">
        <v>506</v>
      </c>
      <c r="H229" s="83">
        <v>13.653460145937494</v>
      </c>
      <c r="I229" s="83">
        <v>10265.067465643668</v>
      </c>
      <c r="J229" s="83">
        <v>21.095626470827916</v>
      </c>
    </row>
    <row r="230" spans="1:10" ht="16">
      <c r="A230" s="79" t="s">
        <v>1106</v>
      </c>
      <c r="B230" s="79" t="s">
        <v>1100</v>
      </c>
      <c r="C230" s="80" t="s">
        <v>95</v>
      </c>
      <c r="D230" s="81" t="s">
        <v>78</v>
      </c>
      <c r="E230" s="82">
        <v>20450</v>
      </c>
      <c r="F230" s="82">
        <v>988</v>
      </c>
      <c r="G230" s="82">
        <v>1841</v>
      </c>
      <c r="H230" s="83">
        <v>20.15298548394578</v>
      </c>
      <c r="I230" s="83">
        <v>6247.9138485228568</v>
      </c>
      <c r="J230" s="83">
        <v>18.867764721586763</v>
      </c>
    </row>
    <row r="231" spans="1:10" ht="16">
      <c r="A231" s="79" t="s">
        <v>258</v>
      </c>
      <c r="B231" s="79" t="s">
        <v>242</v>
      </c>
      <c r="C231" s="80" t="s">
        <v>95</v>
      </c>
      <c r="D231" s="81" t="s">
        <v>103</v>
      </c>
      <c r="E231" s="82">
        <v>32537</v>
      </c>
      <c r="F231" s="82">
        <v>2905</v>
      </c>
      <c r="G231" s="82">
        <v>3904</v>
      </c>
      <c r="H231" s="83">
        <v>59.098485133265989</v>
      </c>
      <c r="I231" s="83">
        <v>39951.346410033002</v>
      </c>
      <c r="J231" s="83">
        <v>61.921279943994769</v>
      </c>
    </row>
    <row r="232" spans="1:10" ht="16">
      <c r="A232" s="79" t="s">
        <v>670</v>
      </c>
      <c r="B232" s="79" t="s">
        <v>661</v>
      </c>
      <c r="C232" s="80" t="s">
        <v>95</v>
      </c>
      <c r="D232" s="81" t="s">
        <v>96</v>
      </c>
      <c r="E232" s="82">
        <v>2942</v>
      </c>
      <c r="F232" s="82">
        <v>919</v>
      </c>
      <c r="G232" s="82">
        <v>205</v>
      </c>
      <c r="H232" s="83">
        <v>10.168330714178479</v>
      </c>
      <c r="I232" s="83">
        <v>8904.3165369269227</v>
      </c>
      <c r="J232" s="83">
        <v>25.308181710163275</v>
      </c>
    </row>
    <row r="233" spans="1:10" ht="16">
      <c r="A233" s="79" t="s">
        <v>259</v>
      </c>
      <c r="B233" s="79" t="s">
        <v>242</v>
      </c>
      <c r="C233" s="80" t="s">
        <v>126</v>
      </c>
      <c r="D233" s="81" t="s">
        <v>78</v>
      </c>
      <c r="E233" s="82">
        <v>34979</v>
      </c>
      <c r="F233" s="82">
        <v>2200</v>
      </c>
      <c r="G233" s="82">
        <v>700</v>
      </c>
      <c r="H233" s="83">
        <v>12.627675872295896</v>
      </c>
      <c r="I233" s="83">
        <v>6642.2200518444106</v>
      </c>
      <c r="J233" s="83">
        <v>17.082377646763351</v>
      </c>
    </row>
    <row r="234" spans="1:10" ht="16">
      <c r="A234" s="79" t="s">
        <v>1175</v>
      </c>
      <c r="B234" s="79" t="s">
        <v>1161</v>
      </c>
      <c r="C234" s="80" t="s">
        <v>126</v>
      </c>
      <c r="D234" s="81" t="s">
        <v>78</v>
      </c>
      <c r="E234" s="82">
        <v>77346</v>
      </c>
      <c r="F234" s="82">
        <v>2553</v>
      </c>
      <c r="G234" s="82">
        <v>2320</v>
      </c>
      <c r="H234" s="83">
        <v>10.787759891469731</v>
      </c>
      <c r="I234" s="83">
        <v>1408.580511317205</v>
      </c>
      <c r="J234" s="83">
        <v>19.292851454218752</v>
      </c>
    </row>
    <row r="235" spans="1:10" ht="16">
      <c r="A235" s="79" t="s">
        <v>1176</v>
      </c>
      <c r="B235" s="79" t="s">
        <v>1161</v>
      </c>
      <c r="C235" s="80" t="s">
        <v>126</v>
      </c>
      <c r="D235" s="81" t="s">
        <v>78</v>
      </c>
      <c r="E235" s="82">
        <v>37903</v>
      </c>
      <c r="F235" s="82">
        <v>995</v>
      </c>
      <c r="G235" s="82">
        <v>2274</v>
      </c>
      <c r="H235" s="83">
        <v>9.3586939432292198</v>
      </c>
      <c r="I235" s="83">
        <v>1415.908488369605</v>
      </c>
      <c r="J235" s="83">
        <v>17.39217446404497</v>
      </c>
    </row>
    <row r="236" spans="1:10" ht="16">
      <c r="A236" s="79" t="s">
        <v>900</v>
      </c>
      <c r="B236" s="79" t="s">
        <v>898</v>
      </c>
      <c r="C236" s="80" t="s">
        <v>126</v>
      </c>
      <c r="D236" s="81" t="s">
        <v>79</v>
      </c>
      <c r="E236" s="82">
        <v>16834</v>
      </c>
      <c r="F236" s="82">
        <v>1137</v>
      </c>
      <c r="G236" s="82">
        <v>673</v>
      </c>
      <c r="H236" s="83">
        <v>12.523901319882759</v>
      </c>
      <c r="I236" s="83">
        <v>4495.4552116684654</v>
      </c>
      <c r="J236" s="83">
        <v>17.708712645798908</v>
      </c>
    </row>
    <row r="237" spans="1:10" ht="16">
      <c r="A237" s="79" t="s">
        <v>1177</v>
      </c>
      <c r="B237" s="79" t="s">
        <v>1161</v>
      </c>
      <c r="C237" s="80" t="s">
        <v>126</v>
      </c>
      <c r="D237" s="81" t="s">
        <v>79</v>
      </c>
      <c r="E237" s="82">
        <v>7487</v>
      </c>
      <c r="F237" s="82">
        <v>273</v>
      </c>
      <c r="G237" s="82">
        <v>150</v>
      </c>
      <c r="H237" s="83">
        <v>14.659897215899289</v>
      </c>
      <c r="I237" s="83">
        <v>2745.5036805889308</v>
      </c>
      <c r="J237" s="83">
        <v>21.575052736988088</v>
      </c>
    </row>
    <row r="238" spans="1:10" ht="16">
      <c r="A238" s="79" t="s">
        <v>1336</v>
      </c>
      <c r="B238" s="79" t="s">
        <v>1307</v>
      </c>
      <c r="C238" s="80" t="s">
        <v>95</v>
      </c>
      <c r="D238" s="81" t="s">
        <v>99</v>
      </c>
      <c r="E238" s="82">
        <v>29377</v>
      </c>
      <c r="F238" s="82">
        <v>1632</v>
      </c>
      <c r="G238" s="82">
        <v>2938</v>
      </c>
      <c r="H238" s="83">
        <v>26.32196180012652</v>
      </c>
      <c r="I238" s="83">
        <v>23586.007737665535</v>
      </c>
      <c r="J238" s="83">
        <v>30.42545123263632</v>
      </c>
    </row>
    <row r="239" spans="1:10" ht="16">
      <c r="A239" s="79" t="s">
        <v>1337</v>
      </c>
      <c r="B239" s="79" t="s">
        <v>1307</v>
      </c>
      <c r="C239" s="80" t="s">
        <v>95</v>
      </c>
      <c r="D239" s="81" t="s">
        <v>103</v>
      </c>
      <c r="E239" s="82">
        <v>23488</v>
      </c>
      <c r="F239" s="82">
        <v>1793</v>
      </c>
      <c r="G239" s="82">
        <v>4228</v>
      </c>
      <c r="H239" s="83">
        <v>33.083688065685564</v>
      </c>
      <c r="I239" s="83">
        <v>26462.166144803468</v>
      </c>
      <c r="J239" s="83">
        <v>49.467022023895034</v>
      </c>
    </row>
    <row r="240" spans="1:10" ht="16">
      <c r="A240" s="79" t="s">
        <v>1338</v>
      </c>
      <c r="B240" s="79" t="s">
        <v>1307</v>
      </c>
      <c r="C240" s="80" t="s">
        <v>95</v>
      </c>
      <c r="D240" s="81" t="s">
        <v>77</v>
      </c>
      <c r="E240" s="82">
        <v>16279</v>
      </c>
      <c r="F240" s="82">
        <v>1915</v>
      </c>
      <c r="G240" s="82">
        <v>2930</v>
      </c>
      <c r="H240" s="83">
        <v>38.227008645266551</v>
      </c>
      <c r="I240" s="83">
        <v>35669.117503292582</v>
      </c>
      <c r="J240" s="83">
        <v>57.925438900022236</v>
      </c>
    </row>
    <row r="241" spans="1:10" ht="16">
      <c r="A241" s="79" t="s">
        <v>1339</v>
      </c>
      <c r="B241" s="79" t="s">
        <v>1307</v>
      </c>
      <c r="C241" s="80" t="s">
        <v>126</v>
      </c>
      <c r="D241" s="81" t="s">
        <v>103</v>
      </c>
      <c r="E241" s="82">
        <v>21372</v>
      </c>
      <c r="F241" s="82">
        <v>1168</v>
      </c>
      <c r="G241" s="82">
        <v>5770</v>
      </c>
      <c r="H241" s="83">
        <v>76.550520835683756</v>
      </c>
      <c r="I241" s="83">
        <v>69090.028786916184</v>
      </c>
      <c r="J241" s="83">
        <v>60.965426448204489</v>
      </c>
    </row>
    <row r="242" spans="1:10" ht="16">
      <c r="A242" s="79" t="s">
        <v>1340</v>
      </c>
      <c r="B242" s="79" t="s">
        <v>1307</v>
      </c>
      <c r="C242" s="80" t="s">
        <v>95</v>
      </c>
      <c r="D242" s="81" t="s">
        <v>101</v>
      </c>
      <c r="E242" s="82">
        <v>29290</v>
      </c>
      <c r="F242" s="82">
        <v>2034</v>
      </c>
      <c r="G242" s="82">
        <v>1757</v>
      </c>
      <c r="H242" s="83">
        <v>27.421851078441758</v>
      </c>
      <c r="I242" s="83">
        <v>17154.226164815089</v>
      </c>
      <c r="J242" s="83">
        <v>34.295774343768642</v>
      </c>
    </row>
    <row r="243" spans="1:10" ht="16">
      <c r="A243" s="79" t="s">
        <v>162</v>
      </c>
      <c r="B243" s="79" t="s">
        <v>163</v>
      </c>
      <c r="C243" s="80" t="s">
        <v>95</v>
      </c>
      <c r="D243" s="81" t="s">
        <v>75</v>
      </c>
      <c r="E243" s="82">
        <v>38080</v>
      </c>
      <c r="F243" s="82">
        <v>1029</v>
      </c>
      <c r="G243" s="82">
        <v>3808</v>
      </c>
      <c r="H243" s="83">
        <v>55.717417262010976</v>
      </c>
      <c r="I243" s="83">
        <v>43558.448040281088</v>
      </c>
      <c r="J243" s="83">
        <v>44.282459494101126</v>
      </c>
    </row>
    <row r="244" spans="1:10" ht="16">
      <c r="A244" s="79" t="s">
        <v>671</v>
      </c>
      <c r="B244" s="79" t="s">
        <v>661</v>
      </c>
      <c r="C244" s="80" t="s">
        <v>126</v>
      </c>
      <c r="D244" s="81" t="s">
        <v>78</v>
      </c>
      <c r="E244" s="82">
        <v>7194</v>
      </c>
      <c r="F244" s="82">
        <v>947</v>
      </c>
      <c r="G244" s="82">
        <v>288</v>
      </c>
      <c r="H244" s="83">
        <v>12.034823478304531</v>
      </c>
      <c r="I244" s="83">
        <v>2000.5396736374732</v>
      </c>
      <c r="J244" s="83">
        <v>24.045325258045356</v>
      </c>
    </row>
    <row r="245" spans="1:10" ht="16">
      <c r="A245" s="79" t="s">
        <v>505</v>
      </c>
      <c r="B245" s="79" t="s">
        <v>493</v>
      </c>
      <c r="C245" s="80" t="s">
        <v>126</v>
      </c>
      <c r="D245" s="81" t="s">
        <v>96</v>
      </c>
      <c r="E245" s="82">
        <v>17226</v>
      </c>
      <c r="F245" s="82">
        <v>1213</v>
      </c>
      <c r="G245" s="82">
        <v>345</v>
      </c>
      <c r="H245" s="83">
        <v>7.8271102062640914</v>
      </c>
      <c r="I245" s="83">
        <v>1160.2635931628461</v>
      </c>
      <c r="J245" s="83">
        <v>16.788601390624333</v>
      </c>
    </row>
    <row r="246" spans="1:10" ht="16">
      <c r="A246" s="79" t="s">
        <v>1227</v>
      </c>
      <c r="B246" s="79" t="s">
        <v>1209</v>
      </c>
      <c r="C246" s="80" t="s">
        <v>95</v>
      </c>
      <c r="D246" s="81" t="s">
        <v>111</v>
      </c>
      <c r="E246" s="82">
        <v>12637</v>
      </c>
      <c r="F246" s="82">
        <v>635</v>
      </c>
      <c r="G246" s="82">
        <v>2148</v>
      </c>
      <c r="H246" s="83">
        <v>12.22201073367737</v>
      </c>
      <c r="I246" s="83">
        <v>6865.6897644058254</v>
      </c>
      <c r="J246" s="83">
        <v>16.472964656458437</v>
      </c>
    </row>
    <row r="247" spans="1:10" ht="16">
      <c r="A247" s="79" t="s">
        <v>424</v>
      </c>
      <c r="B247" s="79" t="s">
        <v>421</v>
      </c>
      <c r="C247" s="80" t="s">
        <v>95</v>
      </c>
      <c r="D247" s="81" t="s">
        <v>96</v>
      </c>
      <c r="E247" s="82">
        <v>47141</v>
      </c>
      <c r="F247" s="82">
        <v>2405</v>
      </c>
      <c r="G247" s="82">
        <v>7071</v>
      </c>
      <c r="H247" s="83">
        <v>30.201958201540904</v>
      </c>
      <c r="I247" s="83">
        <v>22344.483770131221</v>
      </c>
      <c r="J247" s="83">
        <v>31.781928233698856</v>
      </c>
    </row>
    <row r="248" spans="1:10" ht="16">
      <c r="A248" s="79" t="s">
        <v>1228</v>
      </c>
      <c r="B248" s="79" t="s">
        <v>1209</v>
      </c>
      <c r="C248" s="80" t="s">
        <v>95</v>
      </c>
      <c r="D248" s="81" t="s">
        <v>149</v>
      </c>
      <c r="E248" s="82">
        <v>8486</v>
      </c>
      <c r="F248" s="82">
        <v>555</v>
      </c>
      <c r="G248" s="82">
        <v>2970</v>
      </c>
      <c r="H248" s="83">
        <v>28.667512070043827</v>
      </c>
      <c r="I248" s="83">
        <v>17330.205264441367</v>
      </c>
      <c r="J248" s="83">
        <v>34.257526892588473</v>
      </c>
    </row>
    <row r="249" spans="1:10" ht="16">
      <c r="A249" s="79" t="s">
        <v>879</v>
      </c>
      <c r="B249" s="79" t="s">
        <v>877</v>
      </c>
      <c r="C249" s="80" t="s">
        <v>126</v>
      </c>
      <c r="D249" s="81" t="s">
        <v>149</v>
      </c>
      <c r="E249" s="82">
        <v>9986</v>
      </c>
      <c r="F249" s="82">
        <v>414</v>
      </c>
      <c r="G249" s="82">
        <v>100</v>
      </c>
      <c r="H249" s="83">
        <v>9.3610466523132381</v>
      </c>
      <c r="I249" s="83">
        <v>519.15966325718011</v>
      </c>
      <c r="J249" s="83">
        <v>14.225975016388615</v>
      </c>
    </row>
    <row r="250" spans="1:10" ht="16">
      <c r="A250" s="79" t="s">
        <v>145</v>
      </c>
      <c r="B250" s="79" t="s">
        <v>146</v>
      </c>
      <c r="C250" s="80" t="s">
        <v>126</v>
      </c>
      <c r="D250" s="81" t="s">
        <v>76</v>
      </c>
      <c r="E250" s="82">
        <v>6370</v>
      </c>
      <c r="F250" s="82">
        <v>637</v>
      </c>
      <c r="G250" s="82">
        <v>1274</v>
      </c>
      <c r="H250" s="83">
        <v>17.725571993440841</v>
      </c>
      <c r="I250" s="83">
        <v>8800.3399975803841</v>
      </c>
      <c r="J250" s="83">
        <v>30.850180687331193</v>
      </c>
    </row>
    <row r="251" spans="1:10" ht="16">
      <c r="A251" s="79" t="s">
        <v>399</v>
      </c>
      <c r="B251" s="79" t="s">
        <v>396</v>
      </c>
      <c r="C251" s="80" t="s">
        <v>95</v>
      </c>
      <c r="D251" s="81" t="s">
        <v>77</v>
      </c>
      <c r="E251" s="82">
        <v>41411</v>
      </c>
      <c r="F251" s="82">
        <v>2353</v>
      </c>
      <c r="G251" s="82">
        <v>5383</v>
      </c>
      <c r="H251" s="83">
        <v>30.501147652899352</v>
      </c>
      <c r="I251" s="83">
        <v>21249.465550410994</v>
      </c>
      <c r="J251" s="83">
        <v>34.547771002269478</v>
      </c>
    </row>
    <row r="252" spans="1:10" ht="16">
      <c r="A252" s="79" t="s">
        <v>118</v>
      </c>
      <c r="B252" s="79" t="s">
        <v>108</v>
      </c>
      <c r="C252" s="80" t="s">
        <v>95</v>
      </c>
      <c r="D252" s="81" t="s">
        <v>111</v>
      </c>
      <c r="E252" s="82">
        <v>34120</v>
      </c>
      <c r="F252" s="82">
        <v>1446</v>
      </c>
      <c r="G252" s="82">
        <v>5800</v>
      </c>
      <c r="H252" s="83">
        <v>33.209143669118816</v>
      </c>
      <c r="I252" s="83">
        <v>28137.587580637421</v>
      </c>
      <c r="J252" s="83">
        <v>26.168983872862636</v>
      </c>
    </row>
    <row r="253" spans="1:10" ht="16">
      <c r="A253" s="79" t="s">
        <v>931</v>
      </c>
      <c r="B253" s="79" t="s">
        <v>928</v>
      </c>
      <c r="C253" s="80" t="s">
        <v>95</v>
      </c>
      <c r="D253" s="81" t="s">
        <v>76</v>
      </c>
      <c r="E253" s="82">
        <v>9375</v>
      </c>
      <c r="F253" s="82">
        <v>845</v>
      </c>
      <c r="G253" s="82">
        <v>2625</v>
      </c>
      <c r="H253" s="83">
        <v>8.0124291287058664</v>
      </c>
      <c r="I253" s="83">
        <v>1124.2587092628592</v>
      </c>
      <c r="J253" s="83">
        <v>17.676935510316092</v>
      </c>
    </row>
    <row r="254" spans="1:10" ht="16">
      <c r="A254" s="79" t="s">
        <v>260</v>
      </c>
      <c r="B254" s="79" t="s">
        <v>242</v>
      </c>
      <c r="C254" s="80" t="s">
        <v>126</v>
      </c>
      <c r="D254" s="81" t="s">
        <v>76</v>
      </c>
      <c r="E254" s="82">
        <v>43815</v>
      </c>
      <c r="F254" s="82">
        <v>2224</v>
      </c>
      <c r="G254" s="82">
        <v>3017</v>
      </c>
      <c r="H254" s="83">
        <v>13.163264112523802</v>
      </c>
      <c r="I254" s="83">
        <v>7207.018116389766</v>
      </c>
      <c r="J254" s="83">
        <v>14.634246127942715</v>
      </c>
    </row>
    <row r="255" spans="1:10" ht="16">
      <c r="A255" s="79" t="s">
        <v>261</v>
      </c>
      <c r="B255" s="79" t="s">
        <v>242</v>
      </c>
      <c r="C255" s="80" t="s">
        <v>126</v>
      </c>
      <c r="D255" s="81" t="s">
        <v>77</v>
      </c>
      <c r="E255" s="82">
        <v>36083</v>
      </c>
      <c r="F255" s="82">
        <v>2135</v>
      </c>
      <c r="G255" s="82">
        <v>1443</v>
      </c>
      <c r="H255" s="83">
        <v>12.113369291068073</v>
      </c>
      <c r="I255" s="83">
        <v>2038.1769343951701</v>
      </c>
      <c r="J255" s="83">
        <v>16.39084276426977</v>
      </c>
    </row>
    <row r="256" spans="1:10" ht="16">
      <c r="A256" s="79" t="s">
        <v>942</v>
      </c>
      <c r="B256" s="79" t="s">
        <v>938</v>
      </c>
      <c r="C256" s="80" t="s">
        <v>126</v>
      </c>
      <c r="D256" s="81" t="s">
        <v>103</v>
      </c>
      <c r="E256" s="82">
        <v>8406</v>
      </c>
      <c r="F256" s="82">
        <v>712</v>
      </c>
      <c r="G256" s="82">
        <v>588</v>
      </c>
      <c r="H256" s="83">
        <v>12.361762754672553</v>
      </c>
      <c r="I256" s="83">
        <v>949.69882153321112</v>
      </c>
      <c r="J256" s="83">
        <v>18.691345407074646</v>
      </c>
    </row>
    <row r="257" spans="1:10" ht="16">
      <c r="A257" s="79" t="s">
        <v>672</v>
      </c>
      <c r="B257" s="79" t="s">
        <v>661</v>
      </c>
      <c r="C257" s="80" t="s">
        <v>126</v>
      </c>
      <c r="D257" s="81" t="s">
        <v>111</v>
      </c>
      <c r="E257" s="82">
        <v>6473</v>
      </c>
      <c r="F257" s="82">
        <v>841</v>
      </c>
      <c r="G257" s="82">
        <v>194</v>
      </c>
      <c r="H257" s="83">
        <v>13.830404278443407</v>
      </c>
      <c r="I257" s="83">
        <v>2312.4248481340464</v>
      </c>
      <c r="J257" s="83">
        <v>28.23398057093274</v>
      </c>
    </row>
    <row r="258" spans="1:10" ht="16">
      <c r="A258" s="79" t="s">
        <v>1013</v>
      </c>
      <c r="B258" s="79" t="s">
        <v>1007</v>
      </c>
      <c r="C258" s="80" t="s">
        <v>126</v>
      </c>
      <c r="D258" s="81" t="s">
        <v>111</v>
      </c>
      <c r="E258" s="82">
        <v>2098</v>
      </c>
      <c r="F258" s="82">
        <v>173</v>
      </c>
      <c r="G258" s="82">
        <v>126</v>
      </c>
      <c r="H258" s="83">
        <v>40.2789327164393</v>
      </c>
      <c r="I258" s="83">
        <v>15462.458546134076</v>
      </c>
      <c r="J258" s="83">
        <v>40.547215999388179</v>
      </c>
    </row>
    <row r="259" spans="1:10" ht="16">
      <c r="A259" s="79" t="s">
        <v>1178</v>
      </c>
      <c r="B259" s="79" t="s">
        <v>1161</v>
      </c>
      <c r="C259" s="80" t="s">
        <v>126</v>
      </c>
      <c r="D259" s="81" t="s">
        <v>76</v>
      </c>
      <c r="E259" s="82">
        <v>48591</v>
      </c>
      <c r="F259" s="82">
        <v>2505</v>
      </c>
      <c r="G259" s="82">
        <v>1944</v>
      </c>
      <c r="H259" s="83">
        <v>9.2356970018571047</v>
      </c>
      <c r="I259" s="83">
        <v>1518.5173892960192</v>
      </c>
      <c r="J259" s="83">
        <v>16.043582350110306</v>
      </c>
    </row>
    <row r="260" spans="1:10" ht="16">
      <c r="A260" s="79" t="s">
        <v>1014</v>
      </c>
      <c r="B260" s="79" t="s">
        <v>1007</v>
      </c>
      <c r="C260" s="80" t="s">
        <v>126</v>
      </c>
      <c r="D260" s="81" t="s">
        <v>103</v>
      </c>
      <c r="E260" s="82">
        <v>8108</v>
      </c>
      <c r="F260" s="82">
        <v>827</v>
      </c>
      <c r="G260" s="82">
        <v>405</v>
      </c>
      <c r="H260" s="83">
        <v>16.030515599555446</v>
      </c>
      <c r="I260" s="83">
        <v>2443.1576307930145</v>
      </c>
      <c r="J260" s="83">
        <v>19.442323638600772</v>
      </c>
    </row>
    <row r="261" spans="1:10" ht="16">
      <c r="A261" s="79" t="s">
        <v>673</v>
      </c>
      <c r="B261" s="79" t="s">
        <v>661</v>
      </c>
      <c r="C261" s="80" t="s">
        <v>126</v>
      </c>
      <c r="D261" s="81" t="s">
        <v>75</v>
      </c>
      <c r="E261" s="82">
        <v>1210</v>
      </c>
      <c r="F261" s="82">
        <v>318</v>
      </c>
      <c r="G261" s="82">
        <v>12</v>
      </c>
      <c r="H261" s="83">
        <v>14.093370837609571</v>
      </c>
      <c r="I261" s="83">
        <v>3332.0404096891939</v>
      </c>
      <c r="J261" s="83">
        <v>29.797524200773417</v>
      </c>
    </row>
    <row r="262" spans="1:10" ht="16">
      <c r="A262" s="79" t="s">
        <v>425</v>
      </c>
      <c r="B262" s="79" t="s">
        <v>421</v>
      </c>
      <c r="C262" s="80" t="s">
        <v>126</v>
      </c>
      <c r="D262" s="81" t="s">
        <v>75</v>
      </c>
      <c r="E262" s="82">
        <v>5216</v>
      </c>
      <c r="F262" s="82">
        <v>148</v>
      </c>
      <c r="G262" s="82">
        <v>991</v>
      </c>
      <c r="H262" s="83">
        <v>24.39854066531192</v>
      </c>
      <c r="I262" s="83">
        <v>10182.95164623313</v>
      </c>
      <c r="J262" s="83">
        <v>36.830870937912771</v>
      </c>
    </row>
    <row r="263" spans="1:10" ht="16">
      <c r="A263" s="79" t="s">
        <v>1479</v>
      </c>
      <c r="B263" s="79" t="s">
        <v>1480</v>
      </c>
      <c r="C263" s="80" t="s">
        <v>126</v>
      </c>
      <c r="D263" s="81" t="s">
        <v>149</v>
      </c>
      <c r="E263" s="82">
        <v>32161</v>
      </c>
      <c r="F263" s="82">
        <v>1503</v>
      </c>
      <c r="G263" s="82">
        <v>322</v>
      </c>
      <c r="H263" s="83">
        <v>8.5041740507453838</v>
      </c>
      <c r="I263" s="83">
        <v>3553.8644099529142</v>
      </c>
      <c r="J263" s="83">
        <v>15.247772939413744</v>
      </c>
    </row>
    <row r="264" spans="1:10" ht="16">
      <c r="A264" s="79" t="s">
        <v>1015</v>
      </c>
      <c r="B264" s="79" t="s">
        <v>1007</v>
      </c>
      <c r="C264" s="80" t="s">
        <v>95</v>
      </c>
      <c r="D264" s="81" t="s">
        <v>99</v>
      </c>
      <c r="E264" s="82">
        <v>20087</v>
      </c>
      <c r="F264" s="82">
        <v>1279</v>
      </c>
      <c r="G264" s="82">
        <v>4218</v>
      </c>
      <c r="H264" s="83">
        <v>40.767505775497504</v>
      </c>
      <c r="I264" s="83">
        <v>16059.342287721494</v>
      </c>
      <c r="J264" s="83">
        <v>39.702510212176463</v>
      </c>
    </row>
    <row r="265" spans="1:10" ht="16">
      <c r="A265" s="79" t="s">
        <v>262</v>
      </c>
      <c r="B265" s="79" t="s">
        <v>242</v>
      </c>
      <c r="C265" s="80" t="s">
        <v>126</v>
      </c>
      <c r="D265" s="81" t="s">
        <v>96</v>
      </c>
      <c r="E265" s="82">
        <v>29603</v>
      </c>
      <c r="F265" s="82">
        <v>2990</v>
      </c>
      <c r="G265" s="82">
        <v>3552</v>
      </c>
      <c r="H265" s="83">
        <v>37.756825238750444</v>
      </c>
      <c r="I265" s="83">
        <v>16232.358227367416</v>
      </c>
      <c r="J265" s="83">
        <v>39.837818093024254</v>
      </c>
    </row>
    <row r="266" spans="1:10" ht="16">
      <c r="A266" s="79" t="s">
        <v>1341</v>
      </c>
      <c r="B266" s="79" t="s">
        <v>1307</v>
      </c>
      <c r="C266" s="80" t="s">
        <v>126</v>
      </c>
      <c r="D266" s="81" t="s">
        <v>76</v>
      </c>
      <c r="E266" s="82">
        <v>20823</v>
      </c>
      <c r="F266" s="82">
        <v>2263</v>
      </c>
      <c r="G266" s="82">
        <v>4998</v>
      </c>
      <c r="H266" s="83">
        <v>99.280581238896914</v>
      </c>
      <c r="I266" s="83">
        <v>97781.744569016068</v>
      </c>
      <c r="J266" s="83">
        <v>89.781432972625822</v>
      </c>
    </row>
    <row r="267" spans="1:10" ht="16">
      <c r="A267" s="79" t="s">
        <v>773</v>
      </c>
      <c r="B267" s="79" t="s">
        <v>772</v>
      </c>
      <c r="C267" s="80" t="s">
        <v>95</v>
      </c>
      <c r="D267" s="81" t="s">
        <v>149</v>
      </c>
      <c r="E267" s="82">
        <v>15654</v>
      </c>
      <c r="F267" s="82">
        <v>879</v>
      </c>
      <c r="G267" s="82">
        <v>1096</v>
      </c>
      <c r="H267" s="83">
        <v>11.350378547229818</v>
      </c>
      <c r="I267" s="83">
        <v>944.44574454565281</v>
      </c>
      <c r="J267" s="83">
        <v>13.57659996683641</v>
      </c>
    </row>
    <row r="268" spans="1:10" ht="16">
      <c r="A268" s="79" t="s">
        <v>164</v>
      </c>
      <c r="B268" s="79" t="s">
        <v>163</v>
      </c>
      <c r="C268" s="80" t="s">
        <v>126</v>
      </c>
      <c r="D268" s="81" t="s">
        <v>99</v>
      </c>
      <c r="E268" s="82">
        <v>5189</v>
      </c>
      <c r="F268" s="82">
        <v>167</v>
      </c>
      <c r="G268" s="82">
        <v>675</v>
      </c>
      <c r="H268" s="83">
        <v>38.23430429658945</v>
      </c>
      <c r="I268" s="83">
        <v>21572.268047399597</v>
      </c>
      <c r="J268" s="83">
        <v>28.678576492778699</v>
      </c>
    </row>
    <row r="269" spans="1:10" ht="16">
      <c r="A269" s="79" t="s">
        <v>611</v>
      </c>
      <c r="B269" s="79" t="s">
        <v>610</v>
      </c>
      <c r="C269" s="80" t="s">
        <v>95</v>
      </c>
      <c r="D269" s="81" t="s">
        <v>101</v>
      </c>
      <c r="E269" s="82">
        <v>16137</v>
      </c>
      <c r="F269" s="82">
        <v>1345</v>
      </c>
      <c r="G269" s="82">
        <v>807</v>
      </c>
      <c r="H269" s="83">
        <v>45.877194659150817</v>
      </c>
      <c r="I269" s="83">
        <v>28117.761204948769</v>
      </c>
      <c r="J269" s="83">
        <v>49.126212278177874</v>
      </c>
    </row>
    <row r="270" spans="1:10" ht="16">
      <c r="A270" s="79" t="s">
        <v>426</v>
      </c>
      <c r="B270" s="79" t="s">
        <v>421</v>
      </c>
      <c r="C270" s="80" t="s">
        <v>95</v>
      </c>
      <c r="D270" s="81" t="s">
        <v>76</v>
      </c>
      <c r="E270" s="82">
        <v>20800</v>
      </c>
      <c r="F270" s="82">
        <v>1292</v>
      </c>
      <c r="G270" s="82">
        <v>3744</v>
      </c>
      <c r="H270" s="83">
        <v>61.161291951519125</v>
      </c>
      <c r="I270" s="83">
        <v>58011.741324393821</v>
      </c>
      <c r="J270" s="83">
        <v>67.862237837299048</v>
      </c>
    </row>
    <row r="271" spans="1:10" ht="16">
      <c r="A271" s="79" t="s">
        <v>373</v>
      </c>
      <c r="B271" s="79" t="s">
        <v>363</v>
      </c>
      <c r="C271" s="80" t="s">
        <v>95</v>
      </c>
      <c r="D271" s="81" t="s">
        <v>75</v>
      </c>
      <c r="E271" s="82">
        <v>113043</v>
      </c>
      <c r="F271" s="82">
        <v>5162</v>
      </c>
      <c r="G271" s="82">
        <v>1130</v>
      </c>
      <c r="H271" s="83">
        <v>9.0102564083044214</v>
      </c>
      <c r="I271" s="83">
        <v>1734.3562108749197</v>
      </c>
      <c r="J271" s="83">
        <v>15.114579856872721</v>
      </c>
    </row>
    <row r="272" spans="1:10" ht="16">
      <c r="A272" s="79" t="s">
        <v>1229</v>
      </c>
      <c r="B272" s="79" t="s">
        <v>1209</v>
      </c>
      <c r="C272" s="80" t="s">
        <v>126</v>
      </c>
      <c r="D272" s="81" t="s">
        <v>75</v>
      </c>
      <c r="E272" s="82">
        <v>9189</v>
      </c>
      <c r="F272" s="82">
        <v>534</v>
      </c>
      <c r="G272" s="82">
        <v>3216</v>
      </c>
      <c r="H272" s="83">
        <v>27.566717798560123</v>
      </c>
      <c r="I272" s="83">
        <v>20141.139112464385</v>
      </c>
      <c r="J272" s="83">
        <v>28.425031963375858</v>
      </c>
    </row>
    <row r="273" spans="1:10" ht="16">
      <c r="A273" s="79" t="s">
        <v>943</v>
      </c>
      <c r="B273" s="79" t="s">
        <v>938</v>
      </c>
      <c r="C273" s="80" t="s">
        <v>95</v>
      </c>
      <c r="D273" s="81" t="s">
        <v>101</v>
      </c>
      <c r="E273" s="82">
        <v>22111</v>
      </c>
      <c r="F273" s="82">
        <v>1688</v>
      </c>
      <c r="G273" s="82">
        <v>1990</v>
      </c>
      <c r="H273" s="83">
        <v>37.907337568647719</v>
      </c>
      <c r="I273" s="83">
        <v>29165.697686054529</v>
      </c>
      <c r="J273" s="83">
        <v>36.35671569840931</v>
      </c>
    </row>
    <row r="274" spans="1:10" ht="16">
      <c r="A274" s="79" t="s">
        <v>674</v>
      </c>
      <c r="B274" s="79" t="s">
        <v>661</v>
      </c>
      <c r="C274" s="80" t="s">
        <v>126</v>
      </c>
      <c r="D274" s="81" t="s">
        <v>75</v>
      </c>
      <c r="E274" s="82">
        <v>15077</v>
      </c>
      <c r="F274" s="82">
        <v>1675</v>
      </c>
      <c r="G274" s="82">
        <v>1508</v>
      </c>
      <c r="H274" s="83">
        <v>22.400657240674668</v>
      </c>
      <c r="I274" s="83">
        <v>7084.840254549008</v>
      </c>
      <c r="J274" s="83">
        <v>29.446490239342879</v>
      </c>
    </row>
    <row r="275" spans="1:10" ht="16">
      <c r="A275" s="79" t="s">
        <v>1342</v>
      </c>
      <c r="B275" s="79" t="s">
        <v>1307</v>
      </c>
      <c r="C275" s="80" t="s">
        <v>95</v>
      </c>
      <c r="D275" s="81" t="s">
        <v>76</v>
      </c>
      <c r="E275" s="82">
        <v>10066</v>
      </c>
      <c r="F275" s="82">
        <v>724</v>
      </c>
      <c r="G275" s="82">
        <v>906</v>
      </c>
      <c r="H275" s="83">
        <v>13.796992490660994</v>
      </c>
      <c r="I275" s="83">
        <v>10535.427030441042</v>
      </c>
      <c r="J275" s="83">
        <v>38.832900780865359</v>
      </c>
    </row>
    <row r="276" spans="1:10" ht="16">
      <c r="A276" s="79" t="s">
        <v>675</v>
      </c>
      <c r="B276" s="79" t="s">
        <v>661</v>
      </c>
      <c r="C276" s="80" t="s">
        <v>126</v>
      </c>
      <c r="D276" s="81" t="s">
        <v>149</v>
      </c>
      <c r="E276" s="82">
        <v>18225</v>
      </c>
      <c r="F276" s="82">
        <v>2250</v>
      </c>
      <c r="G276" s="82">
        <v>2005</v>
      </c>
      <c r="H276" s="83">
        <v>40.170082817022021</v>
      </c>
      <c r="I276" s="83">
        <v>12038.89425244514</v>
      </c>
      <c r="J276" s="83">
        <v>46.283662543292522</v>
      </c>
    </row>
    <row r="277" spans="1:10" ht="16">
      <c r="A277" s="79" t="s">
        <v>480</v>
      </c>
      <c r="B277" s="79" t="s">
        <v>478</v>
      </c>
      <c r="C277" s="80" t="s">
        <v>95</v>
      </c>
      <c r="D277" s="81" t="s">
        <v>111</v>
      </c>
      <c r="E277" s="82">
        <v>8759</v>
      </c>
      <c r="F277" s="82">
        <v>755</v>
      </c>
      <c r="G277" s="82">
        <v>3942</v>
      </c>
      <c r="H277" s="83">
        <v>22.530072498759967</v>
      </c>
      <c r="I277" s="83">
        <v>12809.147248672822</v>
      </c>
      <c r="J277" s="83">
        <v>28.142904654470989</v>
      </c>
    </row>
    <row r="278" spans="1:10" ht="16">
      <c r="A278" s="79" t="s">
        <v>481</v>
      </c>
      <c r="B278" s="79" t="s">
        <v>478</v>
      </c>
      <c r="C278" s="80" t="s">
        <v>95</v>
      </c>
      <c r="D278" s="81" t="s">
        <v>77</v>
      </c>
      <c r="E278" s="82">
        <v>20388</v>
      </c>
      <c r="F278" s="82">
        <v>883</v>
      </c>
      <c r="G278" s="82">
        <v>5097</v>
      </c>
      <c r="H278" s="83">
        <v>47.247110214440696</v>
      </c>
      <c r="I278" s="83">
        <v>33485.340104981689</v>
      </c>
      <c r="J278" s="83">
        <v>41.961138684927697</v>
      </c>
    </row>
    <row r="279" spans="1:10" ht="16">
      <c r="A279" s="79" t="s">
        <v>676</v>
      </c>
      <c r="B279" s="79" t="s">
        <v>661</v>
      </c>
      <c r="C279" s="80" t="s">
        <v>126</v>
      </c>
      <c r="D279" s="81" t="s">
        <v>96</v>
      </c>
      <c r="E279" s="82">
        <v>30969</v>
      </c>
      <c r="F279" s="82">
        <v>761</v>
      </c>
      <c r="G279" s="82">
        <v>619</v>
      </c>
      <c r="H279" s="83">
        <v>10.377834536799655</v>
      </c>
      <c r="I279" s="83">
        <v>2515.0082054866311</v>
      </c>
      <c r="J279" s="83">
        <v>17.180080823465822</v>
      </c>
    </row>
    <row r="280" spans="1:10" ht="16">
      <c r="A280" s="79" t="s">
        <v>1343</v>
      </c>
      <c r="B280" s="79" t="s">
        <v>1307</v>
      </c>
      <c r="C280" s="80" t="s">
        <v>95</v>
      </c>
      <c r="D280" s="81" t="s">
        <v>77</v>
      </c>
      <c r="E280" s="82">
        <v>8449</v>
      </c>
      <c r="F280" s="82">
        <v>1127</v>
      </c>
      <c r="G280" s="82">
        <v>676</v>
      </c>
      <c r="H280" s="83">
        <v>16.196116485075393</v>
      </c>
      <c r="I280" s="83">
        <v>15187.0972577461</v>
      </c>
      <c r="J280" s="83">
        <v>43.107926051966508</v>
      </c>
    </row>
    <row r="281" spans="1:10" ht="16">
      <c r="A281" s="79" t="s">
        <v>263</v>
      </c>
      <c r="B281" s="79" t="s">
        <v>242</v>
      </c>
      <c r="C281" s="80" t="s">
        <v>126</v>
      </c>
      <c r="D281" s="81" t="s">
        <v>101</v>
      </c>
      <c r="E281" s="82">
        <v>30491</v>
      </c>
      <c r="F281" s="82">
        <v>1723</v>
      </c>
      <c r="G281" s="82">
        <v>3354</v>
      </c>
      <c r="H281" s="83">
        <v>11.5853301196512</v>
      </c>
      <c r="I281" s="83">
        <v>3086.8512086999863</v>
      </c>
      <c r="J281" s="83">
        <v>15.003504389530331</v>
      </c>
    </row>
    <row r="282" spans="1:10" ht="16">
      <c r="A282" s="79" t="s">
        <v>264</v>
      </c>
      <c r="B282" s="79" t="s">
        <v>242</v>
      </c>
      <c r="C282" s="80" t="s">
        <v>95</v>
      </c>
      <c r="D282" s="81" t="s">
        <v>75</v>
      </c>
      <c r="E282" s="82">
        <v>25956</v>
      </c>
      <c r="F282" s="82">
        <v>1492</v>
      </c>
      <c r="G282" s="82">
        <v>519</v>
      </c>
      <c r="H282" s="83">
        <v>15.513761333149768</v>
      </c>
      <c r="I282" s="83">
        <v>7543.4511014873406</v>
      </c>
      <c r="J282" s="83">
        <v>22.764438245373253</v>
      </c>
    </row>
    <row r="283" spans="1:10" ht="16">
      <c r="A283" s="79" t="s">
        <v>265</v>
      </c>
      <c r="B283" s="79" t="s">
        <v>242</v>
      </c>
      <c r="C283" s="80" t="s">
        <v>126</v>
      </c>
      <c r="D283" s="81" t="s">
        <v>103</v>
      </c>
      <c r="E283" s="82">
        <v>56379</v>
      </c>
      <c r="F283" s="82">
        <v>3417</v>
      </c>
      <c r="G283" s="82">
        <v>2819</v>
      </c>
      <c r="H283" s="83">
        <v>39.232749989296821</v>
      </c>
      <c r="I283" s="83">
        <v>23438.635009245954</v>
      </c>
      <c r="J283" s="83">
        <v>41.337671950734489</v>
      </c>
    </row>
    <row r="284" spans="1:10" ht="16">
      <c r="A284" s="79" t="s">
        <v>427</v>
      </c>
      <c r="B284" s="79" t="s">
        <v>421</v>
      </c>
      <c r="C284" s="80" t="s">
        <v>126</v>
      </c>
      <c r="D284" s="81" t="s">
        <v>78</v>
      </c>
      <c r="E284" s="82">
        <v>33463</v>
      </c>
      <c r="F284" s="82">
        <v>596</v>
      </c>
      <c r="G284" s="82">
        <v>5689</v>
      </c>
      <c r="H284" s="83">
        <v>66.93209447946073</v>
      </c>
      <c r="I284" s="83">
        <v>45360.904175673</v>
      </c>
      <c r="J284" s="83">
        <v>62.758242389978932</v>
      </c>
    </row>
    <row r="285" spans="1:10" ht="16">
      <c r="A285" s="79" t="s">
        <v>266</v>
      </c>
      <c r="B285" s="79" t="s">
        <v>242</v>
      </c>
      <c r="C285" s="80" t="s">
        <v>126</v>
      </c>
      <c r="D285" s="81" t="s">
        <v>76</v>
      </c>
      <c r="E285" s="82">
        <v>40715</v>
      </c>
      <c r="F285" s="82">
        <v>1996</v>
      </c>
      <c r="G285" s="82">
        <v>814</v>
      </c>
      <c r="H285" s="83">
        <v>25.007304246164178</v>
      </c>
      <c r="I285" s="83">
        <v>18124.958879747948</v>
      </c>
      <c r="J285" s="83">
        <v>24.172827910175641</v>
      </c>
    </row>
    <row r="286" spans="1:10" ht="16">
      <c r="A286" s="79" t="s">
        <v>677</v>
      </c>
      <c r="B286" s="79" t="s">
        <v>661</v>
      </c>
      <c r="C286" s="80" t="s">
        <v>126</v>
      </c>
      <c r="D286" s="81" t="s">
        <v>96</v>
      </c>
      <c r="E286" s="82">
        <v>888</v>
      </c>
      <c r="F286" s="82">
        <v>444</v>
      </c>
      <c r="G286" s="82">
        <v>9</v>
      </c>
      <c r="H286" s="83">
        <v>12.868445426251906</v>
      </c>
      <c r="I286" s="83">
        <v>5430.2322269013548</v>
      </c>
      <c r="J286" s="83">
        <v>30.9923668374195</v>
      </c>
    </row>
    <row r="287" spans="1:10" ht="16">
      <c r="A287" s="79" t="s">
        <v>1107</v>
      </c>
      <c r="B287" s="79" t="s">
        <v>1100</v>
      </c>
      <c r="C287" s="80" t="s">
        <v>126</v>
      </c>
      <c r="D287" s="81" t="s">
        <v>96</v>
      </c>
      <c r="E287" s="82">
        <v>13970</v>
      </c>
      <c r="F287" s="82">
        <v>490</v>
      </c>
      <c r="G287" s="82">
        <v>1956</v>
      </c>
      <c r="H287" s="83">
        <v>17.177639017439429</v>
      </c>
      <c r="I287" s="83">
        <v>2262.3672118910263</v>
      </c>
      <c r="J287" s="83">
        <v>15.173966363319378</v>
      </c>
    </row>
    <row r="288" spans="1:10" ht="16">
      <c r="A288" s="79" t="s">
        <v>678</v>
      </c>
      <c r="B288" s="79" t="s">
        <v>661</v>
      </c>
      <c r="C288" s="80" t="s">
        <v>126</v>
      </c>
      <c r="D288" s="81" t="s">
        <v>75</v>
      </c>
      <c r="E288" s="82">
        <v>8181</v>
      </c>
      <c r="F288" s="82">
        <v>538</v>
      </c>
      <c r="G288" s="82">
        <v>245</v>
      </c>
      <c r="H288" s="83">
        <v>10.56016854569334</v>
      </c>
      <c r="I288" s="83">
        <v>818.51664411057959</v>
      </c>
      <c r="J288" s="83">
        <v>16.48501774536178</v>
      </c>
    </row>
    <row r="289" spans="1:10" ht="16">
      <c r="A289" s="79" t="s">
        <v>612</v>
      </c>
      <c r="B289" s="79" t="s">
        <v>610</v>
      </c>
      <c r="C289" s="80" t="s">
        <v>95</v>
      </c>
      <c r="D289" s="81" t="s">
        <v>96</v>
      </c>
      <c r="E289" s="82">
        <v>6908</v>
      </c>
      <c r="F289" s="82">
        <v>147</v>
      </c>
      <c r="G289" s="82">
        <v>1658</v>
      </c>
      <c r="H289" s="83">
        <v>10.629267621476851</v>
      </c>
      <c r="I289" s="83">
        <v>6337.5633882081484</v>
      </c>
      <c r="J289" s="83">
        <v>14.558218836131745</v>
      </c>
    </row>
    <row r="290" spans="1:10" ht="16">
      <c r="A290" s="79" t="s">
        <v>428</v>
      </c>
      <c r="B290" s="79" t="s">
        <v>421</v>
      </c>
      <c r="C290" s="80" t="s">
        <v>126</v>
      </c>
      <c r="D290" s="81" t="s">
        <v>77</v>
      </c>
      <c r="E290" s="82">
        <v>5807</v>
      </c>
      <c r="F290" s="82">
        <v>328</v>
      </c>
      <c r="G290" s="82">
        <v>1278</v>
      </c>
      <c r="H290" s="83">
        <v>17.089279062383543</v>
      </c>
      <c r="I290" s="83">
        <v>5030.6265373631368</v>
      </c>
      <c r="J290" s="83">
        <v>25.693241130681713</v>
      </c>
    </row>
    <row r="291" spans="1:10" ht="16">
      <c r="A291" s="79" t="s">
        <v>979</v>
      </c>
      <c r="B291" s="79" t="s">
        <v>978</v>
      </c>
      <c r="C291" s="80" t="s">
        <v>95</v>
      </c>
      <c r="D291" s="81" t="s">
        <v>78</v>
      </c>
      <c r="E291" s="82">
        <v>24763</v>
      </c>
      <c r="F291" s="82">
        <v>2913</v>
      </c>
      <c r="G291" s="82">
        <v>991</v>
      </c>
      <c r="H291" s="83">
        <v>8.7239714788213121</v>
      </c>
      <c r="I291" s="83">
        <v>1235.6462566212929</v>
      </c>
      <c r="J291" s="83">
        <v>22.010087985142111</v>
      </c>
    </row>
    <row r="292" spans="1:10" ht="16">
      <c r="A292" s="79" t="s">
        <v>562</v>
      </c>
      <c r="B292" s="79" t="s">
        <v>556</v>
      </c>
      <c r="C292" s="80" t="s">
        <v>95</v>
      </c>
      <c r="D292" s="81" t="s">
        <v>79</v>
      </c>
      <c r="E292" s="82">
        <v>8330</v>
      </c>
      <c r="F292" s="82">
        <v>291</v>
      </c>
      <c r="G292" s="82">
        <v>583</v>
      </c>
      <c r="H292" s="83">
        <v>8.824833301569365</v>
      </c>
      <c r="I292" s="83">
        <v>6691.7213099360788</v>
      </c>
      <c r="J292" s="83">
        <v>12.496520658821124</v>
      </c>
    </row>
    <row r="293" spans="1:10" ht="16">
      <c r="A293" s="79" t="s">
        <v>1230</v>
      </c>
      <c r="B293" s="79" t="s">
        <v>1209</v>
      </c>
      <c r="C293" s="80" t="s">
        <v>126</v>
      </c>
      <c r="D293" s="81" t="s">
        <v>75</v>
      </c>
      <c r="E293" s="82">
        <v>16760</v>
      </c>
      <c r="F293" s="82">
        <v>1432</v>
      </c>
      <c r="G293" s="82">
        <v>9386</v>
      </c>
      <c r="H293" s="83">
        <v>88.032718696894563</v>
      </c>
      <c r="I293" s="83">
        <v>85011.034412695473</v>
      </c>
      <c r="J293" s="83">
        <v>84.796542967014688</v>
      </c>
    </row>
    <row r="294" spans="1:10" ht="16">
      <c r="A294" s="79" t="s">
        <v>400</v>
      </c>
      <c r="B294" s="79" t="s">
        <v>396</v>
      </c>
      <c r="C294" s="80" t="s">
        <v>126</v>
      </c>
      <c r="D294" s="81" t="s">
        <v>96</v>
      </c>
      <c r="E294" s="82">
        <v>1676</v>
      </c>
      <c r="F294" s="82">
        <v>204</v>
      </c>
      <c r="G294" s="82">
        <v>737</v>
      </c>
      <c r="H294" s="83">
        <v>29.037274486931558</v>
      </c>
      <c r="I294" s="83">
        <v>15157.565243503926</v>
      </c>
      <c r="J294" s="83">
        <v>34.956149704347439</v>
      </c>
    </row>
    <row r="295" spans="1:10" ht="16">
      <c r="A295" s="79" t="s">
        <v>1016</v>
      </c>
      <c r="B295" s="79" t="s">
        <v>1007</v>
      </c>
      <c r="C295" s="80" t="s">
        <v>126</v>
      </c>
      <c r="D295" s="81" t="s">
        <v>96</v>
      </c>
      <c r="E295" s="82">
        <v>13499</v>
      </c>
      <c r="F295" s="82">
        <v>605</v>
      </c>
      <c r="G295" s="82">
        <v>405</v>
      </c>
      <c r="H295" s="83">
        <v>17.27058863281486</v>
      </c>
      <c r="I295" s="83">
        <v>3725.942724397441</v>
      </c>
      <c r="J295" s="83">
        <v>16.154141720442372</v>
      </c>
    </row>
    <row r="296" spans="1:10" ht="16">
      <c r="A296" s="79" t="s">
        <v>506</v>
      </c>
      <c r="B296" s="79" t="s">
        <v>493</v>
      </c>
      <c r="C296" s="80" t="s">
        <v>126</v>
      </c>
      <c r="D296" s="81" t="s">
        <v>76</v>
      </c>
      <c r="E296" s="82">
        <v>4128</v>
      </c>
      <c r="F296" s="82">
        <v>430</v>
      </c>
      <c r="G296" s="82">
        <v>41</v>
      </c>
      <c r="H296" s="83">
        <v>55.813162227548489</v>
      </c>
      <c r="I296" s="83">
        <v>17929.221892259688</v>
      </c>
      <c r="J296" s="83">
        <v>59.569952463131287</v>
      </c>
    </row>
    <row r="297" spans="1:10" ht="16">
      <c r="A297" s="79" t="s">
        <v>507</v>
      </c>
      <c r="B297" s="79" t="s">
        <v>493</v>
      </c>
      <c r="C297" s="80" t="s">
        <v>126</v>
      </c>
      <c r="D297" s="81" t="s">
        <v>149</v>
      </c>
      <c r="E297" s="82">
        <v>1335</v>
      </c>
      <c r="F297" s="82">
        <v>113</v>
      </c>
      <c r="G297" s="82">
        <v>30</v>
      </c>
      <c r="H297" s="83">
        <v>11.223433799830861</v>
      </c>
      <c r="I297" s="83">
        <v>3102.2494334539933</v>
      </c>
      <c r="J297" s="83">
        <v>28.811282336479586</v>
      </c>
    </row>
    <row r="298" spans="1:10" ht="16">
      <c r="A298" s="79" t="s">
        <v>508</v>
      </c>
      <c r="B298" s="79" t="s">
        <v>493</v>
      </c>
      <c r="C298" s="80" t="s">
        <v>126</v>
      </c>
      <c r="D298" s="81" t="s">
        <v>79</v>
      </c>
      <c r="E298" s="82">
        <v>1274</v>
      </c>
      <c r="F298" s="82">
        <v>134</v>
      </c>
      <c r="G298" s="82">
        <v>29</v>
      </c>
      <c r="H298" s="83">
        <v>20.1993807554427</v>
      </c>
      <c r="I298" s="83">
        <v>10575.396089885382</v>
      </c>
      <c r="J298" s="83">
        <v>32.45862784236521</v>
      </c>
    </row>
    <row r="299" spans="1:10" ht="16">
      <c r="A299" s="79" t="s">
        <v>509</v>
      </c>
      <c r="B299" s="79" t="s">
        <v>493</v>
      </c>
      <c r="C299" s="80" t="s">
        <v>126</v>
      </c>
      <c r="D299" s="81" t="s">
        <v>111</v>
      </c>
      <c r="E299" s="82">
        <v>7833</v>
      </c>
      <c r="F299" s="82">
        <v>312</v>
      </c>
      <c r="G299" s="82">
        <v>78</v>
      </c>
      <c r="H299" s="83">
        <v>14.299758408760587</v>
      </c>
      <c r="I299" s="83">
        <v>5057.0266553930433</v>
      </c>
      <c r="J299" s="83">
        <v>21.763732076171628</v>
      </c>
    </row>
    <row r="300" spans="1:10" ht="16">
      <c r="A300" s="79" t="s">
        <v>510</v>
      </c>
      <c r="B300" s="79" t="s">
        <v>493</v>
      </c>
      <c r="C300" s="80" t="s">
        <v>126</v>
      </c>
      <c r="D300" s="81" t="s">
        <v>111</v>
      </c>
      <c r="E300" s="82">
        <v>1237</v>
      </c>
      <c r="F300" s="82">
        <v>116</v>
      </c>
      <c r="G300" s="82">
        <v>57</v>
      </c>
      <c r="H300" s="83">
        <v>12.20067004575151</v>
      </c>
      <c r="I300" s="83">
        <v>6008.6114599098473</v>
      </c>
      <c r="J300" s="83">
        <v>27.840686060318728</v>
      </c>
    </row>
    <row r="301" spans="1:10" ht="16">
      <c r="A301" s="79" t="s">
        <v>511</v>
      </c>
      <c r="B301" s="79" t="s">
        <v>493</v>
      </c>
      <c r="C301" s="80" t="s">
        <v>126</v>
      </c>
      <c r="D301" s="81" t="s">
        <v>149</v>
      </c>
      <c r="E301" s="82">
        <v>10267</v>
      </c>
      <c r="F301" s="82">
        <v>638</v>
      </c>
      <c r="G301" s="82">
        <v>103</v>
      </c>
      <c r="H301" s="83">
        <v>40.342264327128717</v>
      </c>
      <c r="I301" s="83">
        <v>13843.851186230413</v>
      </c>
      <c r="J301" s="83">
        <v>45.640170366091787</v>
      </c>
    </row>
    <row r="302" spans="1:10" ht="16">
      <c r="A302" s="79" t="s">
        <v>512</v>
      </c>
      <c r="B302" s="79" t="s">
        <v>493</v>
      </c>
      <c r="C302" s="80" t="s">
        <v>126</v>
      </c>
      <c r="D302" s="81" t="s">
        <v>149</v>
      </c>
      <c r="E302" s="82">
        <v>7284</v>
      </c>
      <c r="F302" s="82">
        <v>492</v>
      </c>
      <c r="G302" s="82">
        <v>73</v>
      </c>
      <c r="H302" s="83">
        <v>28.25920003959369</v>
      </c>
      <c r="I302" s="83">
        <v>13710.56097734355</v>
      </c>
      <c r="J302" s="83">
        <v>49.356835054183719</v>
      </c>
    </row>
    <row r="303" spans="1:10" ht="16">
      <c r="A303" s="79" t="s">
        <v>513</v>
      </c>
      <c r="B303" s="79" t="s">
        <v>493</v>
      </c>
      <c r="C303" s="80" t="s">
        <v>126</v>
      </c>
      <c r="D303" s="81" t="s">
        <v>78</v>
      </c>
      <c r="E303" s="82">
        <v>1222</v>
      </c>
      <c r="F303" s="82">
        <v>109</v>
      </c>
      <c r="G303" s="82">
        <v>27</v>
      </c>
      <c r="H303" s="83">
        <v>11.818685073460353</v>
      </c>
      <c r="I303" s="83">
        <v>8796.7044753374321</v>
      </c>
      <c r="J303" s="83">
        <v>21.172840787566074</v>
      </c>
    </row>
    <row r="304" spans="1:10" ht="16">
      <c r="A304" s="79" t="s">
        <v>514</v>
      </c>
      <c r="B304" s="79" t="s">
        <v>493</v>
      </c>
      <c r="C304" s="80" t="s">
        <v>126</v>
      </c>
      <c r="D304" s="81" t="s">
        <v>149</v>
      </c>
      <c r="E304" s="82">
        <v>5699</v>
      </c>
      <c r="F304" s="82">
        <v>422</v>
      </c>
      <c r="G304" s="82">
        <v>57</v>
      </c>
      <c r="H304" s="83">
        <v>22.603646962676567</v>
      </c>
      <c r="I304" s="83">
        <v>8190.4237589385912</v>
      </c>
      <c r="J304" s="83">
        <v>34.581989152448145</v>
      </c>
    </row>
    <row r="305" spans="1:10" ht="16">
      <c r="A305" s="79" t="s">
        <v>515</v>
      </c>
      <c r="B305" s="79" t="s">
        <v>493</v>
      </c>
      <c r="C305" s="80" t="s">
        <v>126</v>
      </c>
      <c r="D305" s="81" t="s">
        <v>111</v>
      </c>
      <c r="E305" s="82">
        <v>2088</v>
      </c>
      <c r="F305" s="82">
        <v>175</v>
      </c>
      <c r="G305" s="82">
        <v>96</v>
      </c>
      <c r="H305" s="83">
        <v>18.068246912547803</v>
      </c>
      <c r="I305" s="83">
        <v>9478.1461473266972</v>
      </c>
      <c r="J305" s="83">
        <v>25.398648848563177</v>
      </c>
    </row>
    <row r="306" spans="1:10" ht="16">
      <c r="A306" s="79" t="s">
        <v>516</v>
      </c>
      <c r="B306" s="79" t="s">
        <v>493</v>
      </c>
      <c r="C306" s="80" t="s">
        <v>126</v>
      </c>
      <c r="D306" s="81" t="s">
        <v>103</v>
      </c>
      <c r="E306" s="82">
        <v>1128</v>
      </c>
      <c r="F306" s="82">
        <v>116</v>
      </c>
      <c r="G306" s="82">
        <v>52</v>
      </c>
      <c r="H306" s="83">
        <v>24.411973390160686</v>
      </c>
      <c r="I306" s="83">
        <v>18333.436665192807</v>
      </c>
      <c r="J306" s="83">
        <v>32.849991964126708</v>
      </c>
    </row>
    <row r="307" spans="1:10" ht="16">
      <c r="A307" s="79" t="s">
        <v>517</v>
      </c>
      <c r="B307" s="79" t="s">
        <v>493</v>
      </c>
      <c r="C307" s="80" t="s">
        <v>126</v>
      </c>
      <c r="D307" s="81" t="s">
        <v>103</v>
      </c>
      <c r="E307" s="82">
        <v>6860</v>
      </c>
      <c r="F307" s="82">
        <v>504</v>
      </c>
      <c r="G307" s="82">
        <v>315</v>
      </c>
      <c r="H307" s="83">
        <v>24.502623116127637</v>
      </c>
      <c r="I307" s="83">
        <v>8641.3550729800445</v>
      </c>
      <c r="J307" s="83">
        <v>38.513770294061615</v>
      </c>
    </row>
    <row r="308" spans="1:10" ht="16">
      <c r="A308" s="79" t="s">
        <v>518</v>
      </c>
      <c r="B308" s="79" t="s">
        <v>493</v>
      </c>
      <c r="C308" s="80" t="s">
        <v>126</v>
      </c>
      <c r="D308" s="81" t="s">
        <v>75</v>
      </c>
      <c r="E308" s="82">
        <v>9167</v>
      </c>
      <c r="F308" s="82">
        <v>745</v>
      </c>
      <c r="G308" s="82">
        <v>421</v>
      </c>
      <c r="H308" s="83">
        <v>39.888169679869954</v>
      </c>
      <c r="I308" s="83">
        <v>15208.609478613107</v>
      </c>
      <c r="J308" s="83">
        <v>42.206303670960843</v>
      </c>
    </row>
    <row r="309" spans="1:10" ht="16">
      <c r="A309" s="79" t="s">
        <v>519</v>
      </c>
      <c r="B309" s="79" t="s">
        <v>493</v>
      </c>
      <c r="C309" s="80" t="s">
        <v>126</v>
      </c>
      <c r="D309" s="81" t="s">
        <v>76</v>
      </c>
      <c r="E309" s="82">
        <v>9241</v>
      </c>
      <c r="F309" s="82">
        <v>592</v>
      </c>
      <c r="G309" s="82">
        <v>92</v>
      </c>
      <c r="H309" s="83">
        <v>30.60704016473867</v>
      </c>
      <c r="I309" s="83">
        <v>7774.8677622901132</v>
      </c>
      <c r="J309" s="83">
        <v>45.425884906079453</v>
      </c>
    </row>
    <row r="310" spans="1:10" ht="16">
      <c r="A310" s="79" t="s">
        <v>520</v>
      </c>
      <c r="B310" s="79" t="s">
        <v>493</v>
      </c>
      <c r="C310" s="80" t="s">
        <v>126</v>
      </c>
      <c r="D310" s="81" t="s">
        <v>111</v>
      </c>
      <c r="E310" s="82">
        <v>1387</v>
      </c>
      <c r="F310" s="82">
        <v>110</v>
      </c>
      <c r="G310" s="82">
        <v>64</v>
      </c>
      <c r="H310" s="83">
        <v>8.6147082209235375</v>
      </c>
      <c r="I310" s="83">
        <v>3500.3320048759365</v>
      </c>
      <c r="J310" s="83">
        <v>18.069281062677632</v>
      </c>
    </row>
    <row r="311" spans="1:10" ht="16">
      <c r="A311" s="79" t="s">
        <v>521</v>
      </c>
      <c r="B311" s="79" t="s">
        <v>493</v>
      </c>
      <c r="C311" s="80" t="s">
        <v>126</v>
      </c>
      <c r="D311" s="81" t="s">
        <v>77</v>
      </c>
      <c r="E311" s="82">
        <v>7561</v>
      </c>
      <c r="F311" s="82">
        <v>461</v>
      </c>
      <c r="G311" s="82">
        <v>151</v>
      </c>
      <c r="H311" s="83">
        <v>28.219308717999848</v>
      </c>
      <c r="I311" s="83">
        <v>13162.595740215071</v>
      </c>
      <c r="J311" s="83">
        <v>39.147005364303489</v>
      </c>
    </row>
    <row r="312" spans="1:10" ht="16">
      <c r="A312" s="79" t="s">
        <v>522</v>
      </c>
      <c r="B312" s="79" t="s">
        <v>493</v>
      </c>
      <c r="C312" s="80" t="s">
        <v>126</v>
      </c>
      <c r="D312" s="81" t="s">
        <v>79</v>
      </c>
      <c r="E312" s="82">
        <v>1119</v>
      </c>
      <c r="F312" s="82">
        <v>147</v>
      </c>
      <c r="G312" s="82">
        <v>51</v>
      </c>
      <c r="H312" s="83">
        <v>12.896547385087278</v>
      </c>
      <c r="I312" s="83">
        <v>12828.32711668011</v>
      </c>
      <c r="J312" s="83">
        <v>28.54616230355515</v>
      </c>
    </row>
    <row r="313" spans="1:10" ht="16">
      <c r="A313" s="79" t="s">
        <v>1344</v>
      </c>
      <c r="B313" s="79" t="s">
        <v>1307</v>
      </c>
      <c r="C313" s="80" t="s">
        <v>95</v>
      </c>
      <c r="D313" s="81" t="s">
        <v>75</v>
      </c>
      <c r="E313" s="82">
        <v>66872</v>
      </c>
      <c r="F313" s="82">
        <v>4917</v>
      </c>
      <c r="G313" s="82">
        <v>10031</v>
      </c>
      <c r="H313" s="83">
        <v>50.408979627044729</v>
      </c>
      <c r="I313" s="83">
        <v>38163.904712449257</v>
      </c>
      <c r="J313" s="83">
        <v>51.651694618687998</v>
      </c>
    </row>
    <row r="314" spans="1:10" ht="16">
      <c r="A314" s="79" t="s">
        <v>324</v>
      </c>
      <c r="B314" s="79" t="s">
        <v>323</v>
      </c>
      <c r="C314" s="80" t="s">
        <v>126</v>
      </c>
      <c r="D314" s="81" t="s">
        <v>149</v>
      </c>
      <c r="E314" s="82">
        <v>20851</v>
      </c>
      <c r="F314" s="82">
        <v>851</v>
      </c>
      <c r="G314" s="82">
        <v>1436</v>
      </c>
      <c r="H314" s="83">
        <v>10.704130001658537</v>
      </c>
      <c r="I314" s="83">
        <v>3494.1731676651038</v>
      </c>
      <c r="J314" s="83">
        <v>15.156475177055336</v>
      </c>
    </row>
    <row r="315" spans="1:10" ht="16">
      <c r="A315" s="79" t="s">
        <v>1017</v>
      </c>
      <c r="B315" s="79" t="s">
        <v>1007</v>
      </c>
      <c r="C315" s="80" t="s">
        <v>126</v>
      </c>
      <c r="D315" s="81" t="s">
        <v>99</v>
      </c>
      <c r="E315" s="82">
        <v>19196</v>
      </c>
      <c r="F315" s="82">
        <v>817</v>
      </c>
      <c r="G315" s="82">
        <v>1152</v>
      </c>
      <c r="H315" s="83">
        <v>20.771385463828562</v>
      </c>
      <c r="I315" s="83">
        <v>4931.4482323548564</v>
      </c>
      <c r="J315" s="83">
        <v>24.085370085871457</v>
      </c>
    </row>
    <row r="316" spans="1:10" ht="16">
      <c r="A316" s="79" t="s">
        <v>523</v>
      </c>
      <c r="B316" s="79" t="s">
        <v>493</v>
      </c>
      <c r="C316" s="80" t="s">
        <v>126</v>
      </c>
      <c r="D316" s="81" t="s">
        <v>96</v>
      </c>
      <c r="E316" s="82">
        <v>2146</v>
      </c>
      <c r="F316" s="82">
        <v>118</v>
      </c>
      <c r="G316" s="82">
        <v>48</v>
      </c>
      <c r="H316" s="83">
        <v>24.420441095055548</v>
      </c>
      <c r="I316" s="83">
        <v>11376.650449745475</v>
      </c>
      <c r="J316" s="83">
        <v>38.960824195736059</v>
      </c>
    </row>
    <row r="317" spans="1:10" ht="16">
      <c r="A317" s="79" t="s">
        <v>880</v>
      </c>
      <c r="B317" s="79" t="s">
        <v>877</v>
      </c>
      <c r="C317" s="80" t="s">
        <v>126</v>
      </c>
      <c r="D317" s="81" t="s">
        <v>78</v>
      </c>
      <c r="E317" s="82">
        <v>30614</v>
      </c>
      <c r="F317" s="82">
        <v>1554</v>
      </c>
      <c r="G317" s="82">
        <v>2449</v>
      </c>
      <c r="H317" s="83">
        <v>8.0791463379659181</v>
      </c>
      <c r="I317" s="83">
        <v>3999.7756569104513</v>
      </c>
      <c r="J317" s="83">
        <v>14.840411145899115</v>
      </c>
    </row>
    <row r="318" spans="1:10" ht="16">
      <c r="A318" s="79" t="s">
        <v>1345</v>
      </c>
      <c r="B318" s="79" t="s">
        <v>1307</v>
      </c>
      <c r="C318" s="80" t="s">
        <v>126</v>
      </c>
      <c r="D318" s="81" t="s">
        <v>75</v>
      </c>
      <c r="E318" s="82">
        <v>32469</v>
      </c>
      <c r="F318" s="82">
        <v>1727</v>
      </c>
      <c r="G318" s="82">
        <v>3896</v>
      </c>
      <c r="H318" s="83">
        <v>33.406780344858305</v>
      </c>
      <c r="I318" s="83">
        <v>19984.881001617465</v>
      </c>
      <c r="J318" s="83">
        <v>29.904888111475476</v>
      </c>
    </row>
    <row r="319" spans="1:10" ht="16">
      <c r="A319" s="79" t="s">
        <v>563</v>
      </c>
      <c r="B319" s="79" t="s">
        <v>556</v>
      </c>
      <c r="C319" s="80" t="s">
        <v>95</v>
      </c>
      <c r="D319" s="81" t="s">
        <v>75</v>
      </c>
      <c r="E319" s="82">
        <v>8673</v>
      </c>
      <c r="F319" s="82">
        <v>964</v>
      </c>
      <c r="G319" s="82">
        <v>260</v>
      </c>
      <c r="H319" s="83">
        <v>10.60826371960847</v>
      </c>
      <c r="I319" s="83">
        <v>5312.1262800819422</v>
      </c>
      <c r="J319" s="83">
        <v>38.095984696889964</v>
      </c>
    </row>
    <row r="320" spans="1:10" ht="16">
      <c r="A320" s="79" t="s">
        <v>564</v>
      </c>
      <c r="B320" s="79" t="s">
        <v>556</v>
      </c>
      <c r="C320" s="80" t="s">
        <v>126</v>
      </c>
      <c r="D320" s="81" t="s">
        <v>101</v>
      </c>
      <c r="E320" s="82">
        <v>13273</v>
      </c>
      <c r="F320" s="82">
        <v>419</v>
      </c>
      <c r="G320" s="82">
        <v>133</v>
      </c>
      <c r="H320" s="83">
        <v>33.404399448697745</v>
      </c>
      <c r="I320" s="83">
        <v>14100.92888308168</v>
      </c>
      <c r="J320" s="83">
        <v>28.590128891920717</v>
      </c>
    </row>
    <row r="321" spans="1:10" ht="16">
      <c r="A321" s="79" t="s">
        <v>913</v>
      </c>
      <c r="B321" s="79" t="s">
        <v>912</v>
      </c>
      <c r="C321" s="80" t="s">
        <v>126</v>
      </c>
      <c r="D321" s="81" t="s">
        <v>99</v>
      </c>
      <c r="E321" s="82">
        <v>8898</v>
      </c>
      <c r="F321" s="82">
        <v>368</v>
      </c>
      <c r="G321" s="82">
        <v>1068</v>
      </c>
      <c r="H321" s="83">
        <v>27.367922868841628</v>
      </c>
      <c r="I321" s="83">
        <v>7750.0203654994584</v>
      </c>
      <c r="J321" s="83">
        <v>23.876838117348587</v>
      </c>
    </row>
    <row r="322" spans="1:10" ht="16">
      <c r="A322" s="79" t="s">
        <v>565</v>
      </c>
      <c r="B322" s="79" t="s">
        <v>556</v>
      </c>
      <c r="C322" s="80" t="s">
        <v>95</v>
      </c>
      <c r="D322" s="81" t="s">
        <v>149</v>
      </c>
      <c r="E322" s="82">
        <v>11340</v>
      </c>
      <c r="F322" s="82">
        <v>922</v>
      </c>
      <c r="G322" s="82">
        <v>113</v>
      </c>
      <c r="H322" s="83">
        <v>12.07836154850926</v>
      </c>
      <c r="I322" s="83">
        <v>2680.563219680279</v>
      </c>
      <c r="J322" s="83">
        <v>41.708193589636295</v>
      </c>
    </row>
    <row r="323" spans="1:10" ht="16">
      <c r="A323" s="79" t="s">
        <v>566</v>
      </c>
      <c r="B323" s="79" t="s">
        <v>556</v>
      </c>
      <c r="C323" s="80" t="s">
        <v>126</v>
      </c>
      <c r="D323" s="81" t="s">
        <v>79</v>
      </c>
      <c r="E323" s="82">
        <v>10064</v>
      </c>
      <c r="F323" s="82">
        <v>486</v>
      </c>
      <c r="G323" s="82">
        <v>101</v>
      </c>
      <c r="H323" s="83">
        <v>23.99239422462772</v>
      </c>
      <c r="I323" s="83">
        <v>9766.3571709324005</v>
      </c>
      <c r="J323" s="83">
        <v>26.246805898537573</v>
      </c>
    </row>
    <row r="324" spans="1:10" ht="16">
      <c r="A324" s="79" t="s">
        <v>1179</v>
      </c>
      <c r="B324" s="79" t="s">
        <v>1161</v>
      </c>
      <c r="C324" s="80" t="s">
        <v>95</v>
      </c>
      <c r="D324" s="81" t="s">
        <v>149</v>
      </c>
      <c r="E324" s="82">
        <v>26215</v>
      </c>
      <c r="F324" s="82">
        <v>892</v>
      </c>
      <c r="G324" s="82">
        <v>524</v>
      </c>
      <c r="H324" s="83">
        <v>10.192219090986116</v>
      </c>
      <c r="I324" s="83">
        <v>1011.7330830484233</v>
      </c>
      <c r="J324" s="83">
        <v>13.328960624933574</v>
      </c>
    </row>
    <row r="325" spans="1:10" ht="16">
      <c r="A325" s="79" t="s">
        <v>1180</v>
      </c>
      <c r="B325" s="79" t="s">
        <v>1161</v>
      </c>
      <c r="C325" s="80" t="s">
        <v>126</v>
      </c>
      <c r="D325" s="81" t="s">
        <v>149</v>
      </c>
      <c r="E325" s="82">
        <v>34825</v>
      </c>
      <c r="F325" s="82">
        <v>1514</v>
      </c>
      <c r="G325" s="82">
        <v>1393</v>
      </c>
      <c r="H325" s="83">
        <v>28.224345364938738</v>
      </c>
      <c r="I325" s="83">
        <v>8461.2194419713869</v>
      </c>
      <c r="J325" s="83">
        <v>25.899164240316889</v>
      </c>
    </row>
    <row r="326" spans="1:10" ht="16">
      <c r="A326" s="79" t="s">
        <v>1181</v>
      </c>
      <c r="B326" s="79" t="s">
        <v>1161</v>
      </c>
      <c r="C326" s="80" t="s">
        <v>95</v>
      </c>
      <c r="D326" s="81" t="s">
        <v>79</v>
      </c>
      <c r="E326" s="82">
        <v>122002</v>
      </c>
      <c r="F326" s="82">
        <v>2044</v>
      </c>
      <c r="G326" s="82">
        <v>7320</v>
      </c>
      <c r="H326" s="83">
        <v>25.038103650470784</v>
      </c>
      <c r="I326" s="83">
        <v>5772.1960933515302</v>
      </c>
      <c r="J326" s="83">
        <v>25.893553264737459</v>
      </c>
    </row>
    <row r="327" spans="1:10" ht="16">
      <c r="A327" s="79" t="s">
        <v>944</v>
      </c>
      <c r="B327" s="79" t="s">
        <v>938</v>
      </c>
      <c r="C327" s="80" t="s">
        <v>126</v>
      </c>
      <c r="D327" s="81" t="s">
        <v>101</v>
      </c>
      <c r="E327" s="82">
        <v>10206</v>
      </c>
      <c r="F327" s="82">
        <v>779</v>
      </c>
      <c r="G327" s="82">
        <v>1633</v>
      </c>
      <c r="H327" s="83">
        <v>28.280553779233983</v>
      </c>
      <c r="I327" s="83">
        <v>13974.499969931856</v>
      </c>
      <c r="J327" s="83">
        <v>30.976953593604545</v>
      </c>
    </row>
    <row r="328" spans="1:10" ht="16">
      <c r="A328" s="79" t="s">
        <v>1196</v>
      </c>
      <c r="B328" s="79" t="s">
        <v>1197</v>
      </c>
      <c r="C328" s="80" t="s">
        <v>95</v>
      </c>
      <c r="D328" s="81" t="s">
        <v>101</v>
      </c>
      <c r="E328" s="82">
        <v>16220</v>
      </c>
      <c r="F328" s="82">
        <v>1886</v>
      </c>
      <c r="G328" s="82">
        <v>162</v>
      </c>
      <c r="H328" s="83">
        <v>8.7196440789849046</v>
      </c>
      <c r="I328" s="83">
        <v>341.57128453503452</v>
      </c>
      <c r="J328" s="83">
        <v>22.271797897545266</v>
      </c>
    </row>
    <row r="329" spans="1:10" ht="16">
      <c r="A329" s="79" t="s">
        <v>418</v>
      </c>
      <c r="B329" s="79" t="s">
        <v>419</v>
      </c>
      <c r="C329" s="80" t="s">
        <v>95</v>
      </c>
      <c r="D329" s="81" t="s">
        <v>76</v>
      </c>
      <c r="E329" s="82">
        <v>19670</v>
      </c>
      <c r="F329" s="82">
        <v>823</v>
      </c>
      <c r="G329" s="82">
        <v>393</v>
      </c>
      <c r="H329" s="83">
        <v>9.6990284161893641</v>
      </c>
      <c r="I329" s="83">
        <v>436.6812678138171</v>
      </c>
      <c r="J329" s="83">
        <v>14.895777769870183</v>
      </c>
    </row>
    <row r="330" spans="1:10" ht="16">
      <c r="A330" s="79" t="s">
        <v>679</v>
      </c>
      <c r="B330" s="79" t="s">
        <v>661</v>
      </c>
      <c r="C330" s="80" t="s">
        <v>126</v>
      </c>
      <c r="D330" s="81" t="s">
        <v>101</v>
      </c>
      <c r="E330" s="82">
        <v>5516</v>
      </c>
      <c r="F330" s="82">
        <v>400</v>
      </c>
      <c r="G330" s="82">
        <v>165</v>
      </c>
      <c r="H330" s="83">
        <v>10.325356616824246</v>
      </c>
      <c r="I330" s="83">
        <v>1185.7837926964023</v>
      </c>
      <c r="J330" s="83">
        <v>20.227777359887646</v>
      </c>
    </row>
    <row r="331" spans="1:10" ht="16">
      <c r="A331" s="79" t="s">
        <v>1182</v>
      </c>
      <c r="B331" s="79" t="s">
        <v>1161</v>
      </c>
      <c r="C331" s="80" t="s">
        <v>126</v>
      </c>
      <c r="D331" s="81" t="s">
        <v>99</v>
      </c>
      <c r="E331" s="82">
        <v>5090</v>
      </c>
      <c r="F331" s="82">
        <v>260</v>
      </c>
      <c r="G331" s="82">
        <v>204</v>
      </c>
      <c r="H331" s="83">
        <v>11.482018301419595</v>
      </c>
      <c r="I331" s="83">
        <v>3258.7116933700868</v>
      </c>
      <c r="J331" s="83">
        <v>20.299864340358038</v>
      </c>
    </row>
    <row r="332" spans="1:10" ht="16">
      <c r="A332" s="79" t="s">
        <v>429</v>
      </c>
      <c r="B332" s="79" t="s">
        <v>421</v>
      </c>
      <c r="C332" s="80" t="s">
        <v>126</v>
      </c>
      <c r="D332" s="81" t="s">
        <v>101</v>
      </c>
      <c r="E332" s="82">
        <v>1142</v>
      </c>
      <c r="F332" s="82">
        <v>70</v>
      </c>
      <c r="G332" s="82">
        <v>868</v>
      </c>
      <c r="H332" s="83">
        <v>33.374484613424784</v>
      </c>
      <c r="I332" s="83">
        <v>16838.478957380263</v>
      </c>
      <c r="J332" s="83">
        <v>40.712779531828183</v>
      </c>
    </row>
    <row r="333" spans="1:10" ht="16">
      <c r="A333" s="79" t="s">
        <v>524</v>
      </c>
      <c r="B333" s="79" t="s">
        <v>493</v>
      </c>
      <c r="C333" s="80" t="s">
        <v>126</v>
      </c>
      <c r="D333" s="81" t="s">
        <v>111</v>
      </c>
      <c r="E333" s="82">
        <v>11528</v>
      </c>
      <c r="F333" s="82">
        <v>627</v>
      </c>
      <c r="G333" s="82">
        <v>115</v>
      </c>
      <c r="H333" s="83">
        <v>23.201876492685077</v>
      </c>
      <c r="I333" s="83">
        <v>6357.7657057322331</v>
      </c>
      <c r="J333" s="83">
        <v>34.38199847349307</v>
      </c>
    </row>
    <row r="334" spans="1:10" ht="16">
      <c r="A334" s="79" t="s">
        <v>901</v>
      </c>
      <c r="B334" s="79" t="s">
        <v>898</v>
      </c>
      <c r="C334" s="80" t="s">
        <v>95</v>
      </c>
      <c r="D334" s="81" t="s">
        <v>101</v>
      </c>
      <c r="E334" s="82">
        <v>40608</v>
      </c>
      <c r="F334" s="82">
        <v>3726</v>
      </c>
      <c r="G334" s="82">
        <v>3655</v>
      </c>
      <c r="H334" s="83">
        <v>17.399669702084335</v>
      </c>
      <c r="I334" s="83">
        <v>10444.722597479147</v>
      </c>
      <c r="J334" s="83">
        <v>26.276635704933838</v>
      </c>
    </row>
    <row r="335" spans="1:10" ht="16">
      <c r="A335" s="79" t="s">
        <v>119</v>
      </c>
      <c r="B335" s="79" t="s">
        <v>108</v>
      </c>
      <c r="C335" s="80" t="s">
        <v>95</v>
      </c>
      <c r="D335" s="81" t="s">
        <v>76</v>
      </c>
      <c r="E335" s="82">
        <v>11491</v>
      </c>
      <c r="F335" s="82">
        <v>542</v>
      </c>
      <c r="G335" s="82">
        <v>1264</v>
      </c>
      <c r="H335" s="83">
        <v>28.932045503844527</v>
      </c>
      <c r="I335" s="83">
        <v>26522.338245596056</v>
      </c>
      <c r="J335" s="83">
        <v>23.901639854009055</v>
      </c>
    </row>
    <row r="336" spans="1:10" ht="16">
      <c r="A336" s="79" t="s">
        <v>525</v>
      </c>
      <c r="B336" s="79" t="s">
        <v>493</v>
      </c>
      <c r="C336" s="80" t="s">
        <v>126</v>
      </c>
      <c r="D336" s="81" t="s">
        <v>78</v>
      </c>
      <c r="E336" s="82">
        <v>10653</v>
      </c>
      <c r="F336" s="82">
        <v>1098</v>
      </c>
      <c r="G336" s="82">
        <v>320</v>
      </c>
      <c r="H336" s="83">
        <v>8.8249537574422146</v>
      </c>
      <c r="I336" s="83">
        <v>4156.3293664123848</v>
      </c>
      <c r="J336" s="83">
        <v>29.829017538391579</v>
      </c>
    </row>
    <row r="337" spans="1:10" ht="16">
      <c r="A337" s="79" t="s">
        <v>1043</v>
      </c>
      <c r="B337" s="79" t="s">
        <v>1039</v>
      </c>
      <c r="C337" s="80" t="s">
        <v>95</v>
      </c>
      <c r="D337" s="81" t="s">
        <v>78</v>
      </c>
      <c r="E337" s="82">
        <v>12182</v>
      </c>
      <c r="F337" s="82">
        <v>781</v>
      </c>
      <c r="G337" s="82">
        <v>1096</v>
      </c>
      <c r="H337" s="83">
        <v>17.023544793417653</v>
      </c>
      <c r="I337" s="83">
        <v>8128.2737174587928</v>
      </c>
      <c r="J337" s="83">
        <v>22.725890776090708</v>
      </c>
    </row>
    <row r="338" spans="1:10" ht="16">
      <c r="A338" s="79" t="s">
        <v>526</v>
      </c>
      <c r="B338" s="79" t="s">
        <v>493</v>
      </c>
      <c r="C338" s="80" t="s">
        <v>95</v>
      </c>
      <c r="D338" s="81" t="s">
        <v>76</v>
      </c>
      <c r="E338" s="82">
        <v>7938</v>
      </c>
      <c r="F338" s="82">
        <v>571</v>
      </c>
      <c r="G338" s="82">
        <v>318</v>
      </c>
      <c r="H338" s="83">
        <v>17.768853896638319</v>
      </c>
      <c r="I338" s="83">
        <v>4617.9348781004737</v>
      </c>
      <c r="J338" s="83">
        <v>44.420461491853636</v>
      </c>
    </row>
    <row r="339" spans="1:10" ht="16">
      <c r="A339" s="79" t="s">
        <v>267</v>
      </c>
      <c r="B339" s="79" t="s">
        <v>242</v>
      </c>
      <c r="C339" s="80" t="s">
        <v>126</v>
      </c>
      <c r="D339" s="81" t="s">
        <v>101</v>
      </c>
      <c r="E339" s="82">
        <v>21455</v>
      </c>
      <c r="F339" s="82">
        <v>1500</v>
      </c>
      <c r="G339" s="82">
        <v>429</v>
      </c>
      <c r="H339" s="83">
        <v>11.325106795758035</v>
      </c>
      <c r="I339" s="83">
        <v>6705.2783566570797</v>
      </c>
      <c r="J339" s="83">
        <v>15.448431178655417</v>
      </c>
    </row>
    <row r="340" spans="1:10" ht="16">
      <c r="A340" s="79" t="s">
        <v>268</v>
      </c>
      <c r="B340" s="79" t="s">
        <v>242</v>
      </c>
      <c r="C340" s="80" t="s">
        <v>126</v>
      </c>
      <c r="D340" s="81" t="s">
        <v>101</v>
      </c>
      <c r="E340" s="82">
        <v>35335</v>
      </c>
      <c r="F340" s="82">
        <v>3719</v>
      </c>
      <c r="G340" s="82">
        <v>1767</v>
      </c>
      <c r="H340" s="83">
        <v>11.320953604900833</v>
      </c>
      <c r="I340" s="83">
        <v>3469.097640764855</v>
      </c>
      <c r="J340" s="83">
        <v>19.306435778678239</v>
      </c>
    </row>
    <row r="341" spans="1:10" ht="16">
      <c r="A341" s="79" t="s">
        <v>680</v>
      </c>
      <c r="B341" s="79" t="s">
        <v>661</v>
      </c>
      <c r="C341" s="80" t="s">
        <v>126</v>
      </c>
      <c r="D341" s="81" t="s">
        <v>99</v>
      </c>
      <c r="E341" s="82">
        <v>1078</v>
      </c>
      <c r="F341" s="82">
        <v>1198</v>
      </c>
      <c r="G341" s="82">
        <v>11</v>
      </c>
      <c r="H341" s="83">
        <v>8.9415068873283321</v>
      </c>
      <c r="I341" s="83">
        <v>4459.9055509839354</v>
      </c>
      <c r="J341" s="83">
        <v>29.034953257994996</v>
      </c>
    </row>
    <row r="342" spans="1:10" ht="16">
      <c r="A342" s="79" t="s">
        <v>269</v>
      </c>
      <c r="B342" s="79" t="s">
        <v>242</v>
      </c>
      <c r="C342" s="80" t="s">
        <v>126</v>
      </c>
      <c r="D342" s="81" t="s">
        <v>103</v>
      </c>
      <c r="E342" s="82">
        <v>70450</v>
      </c>
      <c r="F342" s="82">
        <v>6523</v>
      </c>
      <c r="G342" s="82">
        <v>2114</v>
      </c>
      <c r="H342" s="83">
        <v>16.36545699641249</v>
      </c>
      <c r="I342" s="83">
        <v>4441.9373691987821</v>
      </c>
      <c r="J342" s="83">
        <v>27.390051943429356</v>
      </c>
    </row>
    <row r="343" spans="1:10" ht="16">
      <c r="A343" s="79" t="s">
        <v>270</v>
      </c>
      <c r="B343" s="79" t="s">
        <v>242</v>
      </c>
      <c r="C343" s="80" t="s">
        <v>95</v>
      </c>
      <c r="D343" s="81" t="s">
        <v>76</v>
      </c>
      <c r="E343" s="82">
        <v>34904</v>
      </c>
      <c r="F343" s="82">
        <v>2493</v>
      </c>
      <c r="G343" s="82">
        <v>11867</v>
      </c>
      <c r="H343" s="83">
        <v>15.773582072698032</v>
      </c>
      <c r="I343" s="83">
        <v>5741.8188891538639</v>
      </c>
      <c r="J343" s="83">
        <v>21.731126095061565</v>
      </c>
    </row>
    <row r="344" spans="1:10" ht="16">
      <c r="A344" s="79" t="s">
        <v>430</v>
      </c>
      <c r="B344" s="79" t="s">
        <v>421</v>
      </c>
      <c r="C344" s="80" t="s">
        <v>95</v>
      </c>
      <c r="D344" s="81" t="s">
        <v>103</v>
      </c>
      <c r="E344" s="82">
        <v>31919</v>
      </c>
      <c r="F344" s="82">
        <v>1187</v>
      </c>
      <c r="G344" s="82">
        <v>3511</v>
      </c>
      <c r="H344" s="83">
        <v>23.528532266060026</v>
      </c>
      <c r="I344" s="83">
        <v>17543.48730559228</v>
      </c>
      <c r="J344" s="83">
        <v>35.806816928374609</v>
      </c>
    </row>
    <row r="345" spans="1:10" ht="16">
      <c r="A345" s="79" t="s">
        <v>147</v>
      </c>
      <c r="B345" s="79" t="s">
        <v>146</v>
      </c>
      <c r="C345" s="80" t="s">
        <v>95</v>
      </c>
      <c r="D345" s="81" t="s">
        <v>75</v>
      </c>
      <c r="E345" s="82">
        <v>6122</v>
      </c>
      <c r="F345" s="82">
        <v>583</v>
      </c>
      <c r="G345" s="82">
        <v>673</v>
      </c>
      <c r="H345" s="83">
        <v>20.665452268741181</v>
      </c>
      <c r="I345" s="83">
        <v>9265.5594525355737</v>
      </c>
      <c r="J345" s="83">
        <v>28.292826282766345</v>
      </c>
    </row>
    <row r="346" spans="1:10" ht="16">
      <c r="A346" s="79" t="s">
        <v>1346</v>
      </c>
      <c r="B346" s="79" t="s">
        <v>1307</v>
      </c>
      <c r="C346" s="80" t="s">
        <v>95</v>
      </c>
      <c r="D346" s="81" t="s">
        <v>99</v>
      </c>
      <c r="E346" s="82">
        <v>16171</v>
      </c>
      <c r="F346" s="82">
        <v>3594</v>
      </c>
      <c r="G346" s="82">
        <v>4204</v>
      </c>
      <c r="H346" s="83">
        <v>91.44853470676145</v>
      </c>
      <c r="I346" s="83">
        <v>89899.119816235281</v>
      </c>
      <c r="J346" s="83">
        <v>81.950925351357057</v>
      </c>
    </row>
    <row r="347" spans="1:10" ht="16">
      <c r="A347" s="79" t="s">
        <v>774</v>
      </c>
      <c r="B347" s="79" t="s">
        <v>772</v>
      </c>
      <c r="C347" s="80" t="s">
        <v>95</v>
      </c>
      <c r="D347" s="81" t="s">
        <v>79</v>
      </c>
      <c r="E347" s="82">
        <v>21512</v>
      </c>
      <c r="F347" s="82">
        <v>1605</v>
      </c>
      <c r="G347" s="82">
        <v>3657</v>
      </c>
      <c r="H347" s="83">
        <v>9.2494381698760275</v>
      </c>
      <c r="I347" s="83">
        <v>9092.1108685022045</v>
      </c>
      <c r="J347" s="83">
        <v>16.610458370031438</v>
      </c>
    </row>
    <row r="348" spans="1:10" ht="16">
      <c r="A348" s="79" t="s">
        <v>681</v>
      </c>
      <c r="B348" s="79" t="s">
        <v>661</v>
      </c>
      <c r="C348" s="80" t="s">
        <v>95</v>
      </c>
      <c r="D348" s="81" t="s">
        <v>76</v>
      </c>
      <c r="E348" s="82">
        <v>4653</v>
      </c>
      <c r="F348" s="82">
        <v>1224</v>
      </c>
      <c r="G348" s="82">
        <v>93</v>
      </c>
      <c r="H348" s="83">
        <v>14.33290230295</v>
      </c>
      <c r="I348" s="83">
        <v>3769.8706614802227</v>
      </c>
      <c r="J348" s="83">
        <v>35.504795782041128</v>
      </c>
    </row>
    <row r="349" spans="1:10" ht="16">
      <c r="A349" s="79" t="s">
        <v>431</v>
      </c>
      <c r="B349" s="79" t="s">
        <v>421</v>
      </c>
      <c r="C349" s="80" t="s">
        <v>95</v>
      </c>
      <c r="D349" s="81" t="s">
        <v>96</v>
      </c>
      <c r="E349" s="82">
        <v>28575</v>
      </c>
      <c r="F349" s="82">
        <v>611</v>
      </c>
      <c r="G349" s="82">
        <v>2572</v>
      </c>
      <c r="H349" s="83">
        <v>34.892372033589112</v>
      </c>
      <c r="I349" s="83">
        <v>18350.173982679768</v>
      </c>
      <c r="J349" s="83">
        <v>38.246508808964251</v>
      </c>
    </row>
    <row r="350" spans="1:10" ht="16">
      <c r="A350" s="79" t="s">
        <v>567</v>
      </c>
      <c r="B350" s="79" t="s">
        <v>556</v>
      </c>
      <c r="C350" s="80" t="s">
        <v>126</v>
      </c>
      <c r="D350" s="81" t="s">
        <v>75</v>
      </c>
      <c r="E350" s="82">
        <v>6582</v>
      </c>
      <c r="F350" s="82">
        <v>295</v>
      </c>
      <c r="G350" s="82">
        <v>66</v>
      </c>
      <c r="H350" s="83">
        <v>24.113073484858155</v>
      </c>
      <c r="I350" s="83">
        <v>5958.5056338172117</v>
      </c>
      <c r="J350" s="83">
        <v>25.436419980506454</v>
      </c>
    </row>
    <row r="351" spans="1:10" ht="16">
      <c r="A351" s="79" t="s">
        <v>374</v>
      </c>
      <c r="B351" s="79" t="s">
        <v>363</v>
      </c>
      <c r="C351" s="80" t="s">
        <v>95</v>
      </c>
      <c r="D351" s="81" t="s">
        <v>75</v>
      </c>
      <c r="E351" s="82">
        <v>74546</v>
      </c>
      <c r="F351" s="82">
        <v>1878</v>
      </c>
      <c r="G351" s="82">
        <v>745</v>
      </c>
      <c r="H351" s="83">
        <v>8.70548248858662</v>
      </c>
      <c r="I351" s="83">
        <v>5354.7190293780086</v>
      </c>
      <c r="J351" s="83">
        <v>13.274623134909493</v>
      </c>
    </row>
    <row r="352" spans="1:10" ht="16">
      <c r="A352" s="79" t="s">
        <v>682</v>
      </c>
      <c r="B352" s="79" t="s">
        <v>661</v>
      </c>
      <c r="C352" s="80" t="s">
        <v>126</v>
      </c>
      <c r="D352" s="81" t="s">
        <v>99</v>
      </c>
      <c r="E352" s="82">
        <v>6392</v>
      </c>
      <c r="F352" s="82">
        <v>659</v>
      </c>
      <c r="G352" s="82">
        <v>128</v>
      </c>
      <c r="H352" s="83">
        <v>12.266077146795613</v>
      </c>
      <c r="I352" s="83">
        <v>3357.3944505224449</v>
      </c>
      <c r="J352" s="83">
        <v>21.826649431925603</v>
      </c>
    </row>
    <row r="353" spans="1:10" ht="16">
      <c r="A353" s="79" t="s">
        <v>683</v>
      </c>
      <c r="B353" s="79" t="s">
        <v>661</v>
      </c>
      <c r="C353" s="80" t="s">
        <v>126</v>
      </c>
      <c r="D353" s="81" t="s">
        <v>149</v>
      </c>
      <c r="E353" s="82">
        <v>10541</v>
      </c>
      <c r="F353" s="82">
        <v>1044</v>
      </c>
      <c r="G353" s="82">
        <v>316</v>
      </c>
      <c r="H353" s="83">
        <v>11.405317909671856</v>
      </c>
      <c r="I353" s="83">
        <v>2053.4763053175188</v>
      </c>
      <c r="J353" s="83">
        <v>22.066818580926999</v>
      </c>
    </row>
    <row r="354" spans="1:10" ht="16">
      <c r="A354" s="79" t="s">
        <v>684</v>
      </c>
      <c r="B354" s="79" t="s">
        <v>661</v>
      </c>
      <c r="C354" s="80" t="s">
        <v>126</v>
      </c>
      <c r="D354" s="81" t="s">
        <v>99</v>
      </c>
      <c r="E354" s="82">
        <v>18104</v>
      </c>
      <c r="F354" s="82">
        <v>1240</v>
      </c>
      <c r="G354" s="82">
        <v>543</v>
      </c>
      <c r="H354" s="83">
        <v>7.6109589089472243</v>
      </c>
      <c r="I354" s="83">
        <v>932.16734062546777</v>
      </c>
      <c r="J354" s="83">
        <v>15.122446537047516</v>
      </c>
    </row>
    <row r="355" spans="1:10" ht="16">
      <c r="A355" s="79" t="s">
        <v>685</v>
      </c>
      <c r="B355" s="79" t="s">
        <v>661</v>
      </c>
      <c r="C355" s="80" t="s">
        <v>126</v>
      </c>
      <c r="D355" s="81" t="s">
        <v>103</v>
      </c>
      <c r="E355" s="82">
        <v>10420</v>
      </c>
      <c r="F355" s="82">
        <v>1063</v>
      </c>
      <c r="G355" s="82">
        <v>521</v>
      </c>
      <c r="H355" s="83">
        <v>17.710688411530903</v>
      </c>
      <c r="I355" s="83">
        <v>5043.090254097463</v>
      </c>
      <c r="J355" s="83">
        <v>26.802154460577395</v>
      </c>
    </row>
    <row r="356" spans="1:10" ht="16">
      <c r="A356" s="79" t="s">
        <v>1018</v>
      </c>
      <c r="B356" s="79" t="s">
        <v>1007</v>
      </c>
      <c r="C356" s="80" t="s">
        <v>126</v>
      </c>
      <c r="D356" s="81" t="s">
        <v>99</v>
      </c>
      <c r="E356" s="82">
        <v>23127</v>
      </c>
      <c r="F356" s="82">
        <v>1001</v>
      </c>
      <c r="G356" s="82">
        <v>694</v>
      </c>
      <c r="H356" s="83">
        <v>15.586150196740762</v>
      </c>
      <c r="I356" s="83">
        <v>2683.782515908159</v>
      </c>
      <c r="J356" s="83">
        <v>18.536553809483671</v>
      </c>
    </row>
    <row r="357" spans="1:10" ht="16">
      <c r="A357" s="79" t="s">
        <v>686</v>
      </c>
      <c r="B357" s="79" t="s">
        <v>661</v>
      </c>
      <c r="C357" s="80" t="s">
        <v>126</v>
      </c>
      <c r="D357" s="81" t="s">
        <v>76</v>
      </c>
      <c r="E357" s="82">
        <v>841</v>
      </c>
      <c r="F357" s="82">
        <v>765</v>
      </c>
      <c r="G357" s="82">
        <v>25</v>
      </c>
      <c r="H357" s="83">
        <v>9.2286086039044886</v>
      </c>
      <c r="I357" s="83">
        <v>6117.5523131557802</v>
      </c>
      <c r="J357" s="83">
        <v>32.318796112503811</v>
      </c>
    </row>
    <row r="358" spans="1:10" ht="16">
      <c r="A358" s="79" t="s">
        <v>687</v>
      </c>
      <c r="B358" s="79" t="s">
        <v>661</v>
      </c>
      <c r="C358" s="80" t="s">
        <v>126</v>
      </c>
      <c r="D358" s="81" t="s">
        <v>101</v>
      </c>
      <c r="E358" s="82">
        <v>30346</v>
      </c>
      <c r="F358" s="82">
        <v>2709</v>
      </c>
      <c r="G358" s="82">
        <v>910</v>
      </c>
      <c r="H358" s="83">
        <v>8.2515769623260233</v>
      </c>
      <c r="I358" s="83">
        <v>556.09501871849307</v>
      </c>
      <c r="J358" s="83">
        <v>25.206879274932575</v>
      </c>
    </row>
    <row r="359" spans="1:10" ht="16">
      <c r="A359" s="79" t="s">
        <v>1347</v>
      </c>
      <c r="B359" s="79" t="s">
        <v>1307</v>
      </c>
      <c r="C359" s="80" t="s">
        <v>126</v>
      </c>
      <c r="D359" s="81" t="s">
        <v>111</v>
      </c>
      <c r="E359" s="82">
        <v>21536</v>
      </c>
      <c r="F359" s="82">
        <v>1506</v>
      </c>
      <c r="G359" s="82">
        <v>1938</v>
      </c>
      <c r="H359" s="83">
        <v>20.709321538288485</v>
      </c>
      <c r="I359" s="83">
        <v>9375.2980628668756</v>
      </c>
      <c r="J359" s="83">
        <v>25.063912359186986</v>
      </c>
    </row>
    <row r="360" spans="1:10" ht="16">
      <c r="A360" s="79" t="s">
        <v>1108</v>
      </c>
      <c r="B360" s="79" t="s">
        <v>1100</v>
      </c>
      <c r="C360" s="80" t="s">
        <v>95</v>
      </c>
      <c r="D360" s="81" t="s">
        <v>77</v>
      </c>
      <c r="E360" s="82">
        <v>6881</v>
      </c>
      <c r="F360" s="82">
        <v>564</v>
      </c>
      <c r="G360" s="82">
        <v>482</v>
      </c>
      <c r="H360" s="83">
        <v>23.39308984291366</v>
      </c>
      <c r="I360" s="83">
        <v>6045.3503773313832</v>
      </c>
      <c r="J360" s="83">
        <v>23.478296080474426</v>
      </c>
    </row>
    <row r="361" spans="1:10" ht="16">
      <c r="A361" s="79" t="s">
        <v>432</v>
      </c>
      <c r="B361" s="79" t="s">
        <v>421</v>
      </c>
      <c r="C361" s="80" t="s">
        <v>126</v>
      </c>
      <c r="D361" s="81" t="s">
        <v>79</v>
      </c>
      <c r="E361" s="82">
        <v>27255</v>
      </c>
      <c r="F361" s="82">
        <v>1065</v>
      </c>
      <c r="G361" s="82">
        <v>5996</v>
      </c>
      <c r="H361" s="83">
        <v>48.509517769348129</v>
      </c>
      <c r="I361" s="83">
        <v>31826.151072510147</v>
      </c>
      <c r="J361" s="83">
        <v>46.260109334017791</v>
      </c>
    </row>
    <row r="362" spans="1:10" ht="16">
      <c r="A362" s="79" t="s">
        <v>1082</v>
      </c>
      <c r="B362" s="79" t="s">
        <v>1081</v>
      </c>
      <c r="C362" s="80" t="s">
        <v>95</v>
      </c>
      <c r="D362" s="81" t="s">
        <v>77</v>
      </c>
      <c r="E362" s="82">
        <v>8552</v>
      </c>
      <c r="F362" s="82">
        <v>668</v>
      </c>
      <c r="G362" s="82">
        <v>7184</v>
      </c>
      <c r="H362" s="83">
        <v>13.967032128906784</v>
      </c>
      <c r="I362" s="83">
        <v>6308.2646145754516</v>
      </c>
      <c r="J362" s="83">
        <v>16.809797288836364</v>
      </c>
    </row>
    <row r="363" spans="1:10" ht="16">
      <c r="A363" s="79" t="s">
        <v>1083</v>
      </c>
      <c r="B363" s="79" t="s">
        <v>1081</v>
      </c>
      <c r="C363" s="80" t="s">
        <v>95</v>
      </c>
      <c r="D363" s="81" t="s">
        <v>149</v>
      </c>
      <c r="E363" s="82">
        <v>7777</v>
      </c>
      <c r="F363" s="82">
        <v>864</v>
      </c>
      <c r="G363" s="82">
        <v>1555</v>
      </c>
      <c r="H363" s="83">
        <v>72.270393842141289</v>
      </c>
      <c r="I363" s="83">
        <v>68703.059323313966</v>
      </c>
      <c r="J363" s="83">
        <v>55.945561420844079</v>
      </c>
    </row>
    <row r="364" spans="1:10" ht="16">
      <c r="A364" s="79" t="s">
        <v>1141</v>
      </c>
      <c r="B364" s="79" t="s">
        <v>1139</v>
      </c>
      <c r="C364" s="80" t="s">
        <v>95</v>
      </c>
      <c r="D364" s="81" t="s">
        <v>75</v>
      </c>
      <c r="E364" s="82">
        <v>68067</v>
      </c>
      <c r="F364" s="82">
        <v>3066</v>
      </c>
      <c r="G364" s="82">
        <v>681</v>
      </c>
      <c r="H364" s="83">
        <v>13.457160485905591</v>
      </c>
      <c r="I364" s="83">
        <v>1320.9571383699611</v>
      </c>
      <c r="J364" s="83">
        <v>19.370546422823072</v>
      </c>
    </row>
    <row r="365" spans="1:10" ht="16">
      <c r="A365" s="79" t="s">
        <v>791</v>
      </c>
      <c r="B365" s="79" t="s">
        <v>792</v>
      </c>
      <c r="C365" s="80" t="s">
        <v>126</v>
      </c>
      <c r="D365" s="81" t="s">
        <v>79</v>
      </c>
      <c r="E365" s="82">
        <v>9956</v>
      </c>
      <c r="F365" s="82">
        <v>677</v>
      </c>
      <c r="G365" s="82">
        <v>597</v>
      </c>
      <c r="H365" s="83">
        <v>11.998850786429728</v>
      </c>
      <c r="I365" s="83">
        <v>640.08597465052344</v>
      </c>
      <c r="J365" s="83">
        <v>16.901345763181418</v>
      </c>
    </row>
    <row r="366" spans="1:10" ht="16">
      <c r="A366" s="79" t="s">
        <v>945</v>
      </c>
      <c r="B366" s="79" t="s">
        <v>938</v>
      </c>
      <c r="C366" s="80" t="s">
        <v>95</v>
      </c>
      <c r="D366" s="81" t="s">
        <v>103</v>
      </c>
      <c r="E366" s="82">
        <v>26670</v>
      </c>
      <c r="F366" s="82">
        <v>2469</v>
      </c>
      <c r="G366" s="82">
        <v>3467</v>
      </c>
      <c r="H366" s="83">
        <v>17.536042965243571</v>
      </c>
      <c r="I366" s="83">
        <v>8096.4277301417733</v>
      </c>
      <c r="J366" s="83">
        <v>29.362812696780502</v>
      </c>
    </row>
    <row r="367" spans="1:10" ht="16">
      <c r="A367" s="79" t="s">
        <v>946</v>
      </c>
      <c r="B367" s="79" t="s">
        <v>938</v>
      </c>
      <c r="C367" s="80" t="s">
        <v>126</v>
      </c>
      <c r="D367" s="81" t="s">
        <v>111</v>
      </c>
      <c r="E367" s="82">
        <v>15260</v>
      </c>
      <c r="F367" s="82">
        <v>1426</v>
      </c>
      <c r="G367" s="82">
        <v>1679</v>
      </c>
      <c r="H367" s="83">
        <v>9.024340866716118</v>
      </c>
      <c r="I367" s="83">
        <v>886.01927340754003</v>
      </c>
      <c r="J367" s="83">
        <v>18.576392532208494</v>
      </c>
    </row>
    <row r="368" spans="1:10" ht="16">
      <c r="A368" s="79" t="s">
        <v>1231</v>
      </c>
      <c r="B368" s="79" t="s">
        <v>1209</v>
      </c>
      <c r="C368" s="80" t="s">
        <v>95</v>
      </c>
      <c r="D368" s="81" t="s">
        <v>78</v>
      </c>
      <c r="E368" s="82">
        <v>9004</v>
      </c>
      <c r="F368" s="82">
        <v>600</v>
      </c>
      <c r="G368" s="82">
        <v>1711</v>
      </c>
      <c r="H368" s="83">
        <v>22.402999702986516</v>
      </c>
      <c r="I368" s="83">
        <v>14399.396453132947</v>
      </c>
      <c r="J368" s="83">
        <v>20.54258962059739</v>
      </c>
    </row>
    <row r="369" spans="1:10" ht="16">
      <c r="A369" s="79" t="s">
        <v>688</v>
      </c>
      <c r="B369" s="79" t="s">
        <v>661</v>
      </c>
      <c r="C369" s="80" t="s">
        <v>126</v>
      </c>
      <c r="D369" s="81" t="s">
        <v>96</v>
      </c>
      <c r="E369" s="82">
        <v>34916</v>
      </c>
      <c r="F369" s="82">
        <v>3357</v>
      </c>
      <c r="G369" s="82">
        <v>2793</v>
      </c>
      <c r="H369" s="83">
        <v>26.391394331420472</v>
      </c>
      <c r="I369" s="83">
        <v>9492.3973447220378</v>
      </c>
      <c r="J369" s="83">
        <v>32.289306001853497</v>
      </c>
    </row>
    <row r="370" spans="1:10" ht="16">
      <c r="A370" s="79" t="s">
        <v>1348</v>
      </c>
      <c r="B370" s="79" t="s">
        <v>1307</v>
      </c>
      <c r="C370" s="80" t="s">
        <v>95</v>
      </c>
      <c r="D370" s="81" t="s">
        <v>103</v>
      </c>
      <c r="E370" s="82">
        <v>24559</v>
      </c>
      <c r="F370" s="82">
        <v>1204</v>
      </c>
      <c r="G370" s="82">
        <v>2210</v>
      </c>
      <c r="H370" s="83">
        <v>19.883821677442011</v>
      </c>
      <c r="I370" s="83">
        <v>10610.389367722932</v>
      </c>
      <c r="J370" s="83">
        <v>24.210220205855979</v>
      </c>
    </row>
    <row r="371" spans="1:10" ht="16">
      <c r="A371" s="79" t="s">
        <v>1205</v>
      </c>
      <c r="B371" s="79" t="s">
        <v>1204</v>
      </c>
      <c r="C371" s="80" t="s">
        <v>95</v>
      </c>
      <c r="D371" s="81" t="s">
        <v>103</v>
      </c>
      <c r="E371" s="82">
        <v>3651</v>
      </c>
      <c r="F371" s="82">
        <v>384</v>
      </c>
      <c r="G371" s="82">
        <v>949</v>
      </c>
      <c r="H371" s="83">
        <v>33.042932535408973</v>
      </c>
      <c r="I371" s="83">
        <v>17780.415645301597</v>
      </c>
      <c r="J371" s="83">
        <v>28.370950149492881</v>
      </c>
    </row>
    <row r="372" spans="1:10" ht="16">
      <c r="A372" s="79" t="s">
        <v>568</v>
      </c>
      <c r="B372" s="79" t="s">
        <v>556</v>
      </c>
      <c r="C372" s="80" t="s">
        <v>95</v>
      </c>
      <c r="D372" s="81" t="s">
        <v>99</v>
      </c>
      <c r="E372" s="82">
        <v>12656</v>
      </c>
      <c r="F372" s="82">
        <v>606</v>
      </c>
      <c r="G372" s="82">
        <v>127</v>
      </c>
      <c r="H372" s="83">
        <v>13.150086781578283</v>
      </c>
      <c r="I372" s="83">
        <v>2696.6605428125235</v>
      </c>
      <c r="J372" s="83">
        <v>28.744630126701217</v>
      </c>
    </row>
    <row r="373" spans="1:10" ht="16">
      <c r="A373" s="79" t="s">
        <v>1142</v>
      </c>
      <c r="B373" s="79" t="s">
        <v>1139</v>
      </c>
      <c r="C373" s="80" t="s">
        <v>95</v>
      </c>
      <c r="D373" s="81" t="s">
        <v>103</v>
      </c>
      <c r="E373" s="82">
        <v>38655</v>
      </c>
      <c r="F373" s="82">
        <v>1962</v>
      </c>
      <c r="G373" s="82">
        <v>773</v>
      </c>
      <c r="H373" s="83">
        <v>12.818503031832803</v>
      </c>
      <c r="I373" s="83">
        <v>2173.4293664502043</v>
      </c>
      <c r="J373" s="83">
        <v>21.699657287435656</v>
      </c>
    </row>
    <row r="374" spans="1:10" ht="16">
      <c r="A374" s="79" t="s">
        <v>527</v>
      </c>
      <c r="B374" s="79" t="s">
        <v>493</v>
      </c>
      <c r="C374" s="80" t="s">
        <v>126</v>
      </c>
      <c r="D374" s="81" t="s">
        <v>103</v>
      </c>
      <c r="E374" s="82">
        <v>21390</v>
      </c>
      <c r="F374" s="82">
        <v>1633</v>
      </c>
      <c r="G374" s="82">
        <v>428</v>
      </c>
      <c r="H374" s="83">
        <v>12.110625653738873</v>
      </c>
      <c r="I374" s="83">
        <v>2982.7048221941513</v>
      </c>
      <c r="J374" s="83">
        <v>16.956258930858443</v>
      </c>
    </row>
    <row r="375" spans="1:10" ht="16">
      <c r="A375" s="79" t="s">
        <v>689</v>
      </c>
      <c r="B375" s="79" t="s">
        <v>661</v>
      </c>
      <c r="C375" s="80" t="s">
        <v>126</v>
      </c>
      <c r="D375" s="81" t="s">
        <v>79</v>
      </c>
      <c r="E375" s="82">
        <v>33125</v>
      </c>
      <c r="F375" s="82">
        <v>2436</v>
      </c>
      <c r="G375" s="82">
        <v>663</v>
      </c>
      <c r="H375" s="83">
        <v>12.109707182947654</v>
      </c>
      <c r="I375" s="83">
        <v>6681.7642138410893</v>
      </c>
      <c r="J375" s="83">
        <v>20.118127549072103</v>
      </c>
    </row>
    <row r="376" spans="1:10" ht="16">
      <c r="A376" s="79" t="s">
        <v>980</v>
      </c>
      <c r="B376" s="79" t="s">
        <v>978</v>
      </c>
      <c r="C376" s="80" t="s">
        <v>95</v>
      </c>
      <c r="D376" s="81" t="s">
        <v>79</v>
      </c>
      <c r="E376" s="82">
        <v>32853</v>
      </c>
      <c r="F376" s="82">
        <v>4159</v>
      </c>
      <c r="G376" s="82">
        <v>6899</v>
      </c>
      <c r="H376" s="83">
        <v>16.747287002287234</v>
      </c>
      <c r="I376" s="83">
        <v>15961.293672625436</v>
      </c>
      <c r="J376" s="83">
        <v>29.766223028962422</v>
      </c>
    </row>
    <row r="377" spans="1:10" ht="16">
      <c r="A377" s="79" t="s">
        <v>981</v>
      </c>
      <c r="B377" s="79" t="s">
        <v>978</v>
      </c>
      <c r="C377" s="80" t="s">
        <v>126</v>
      </c>
      <c r="D377" s="81" t="s">
        <v>149</v>
      </c>
      <c r="E377" s="82">
        <v>6882</v>
      </c>
      <c r="F377" s="82">
        <v>1012</v>
      </c>
      <c r="G377" s="82">
        <v>895</v>
      </c>
      <c r="H377" s="83">
        <v>15.987141193015082</v>
      </c>
      <c r="I377" s="83">
        <v>8226.2594128452747</v>
      </c>
      <c r="J377" s="83">
        <v>27.872543692649856</v>
      </c>
    </row>
    <row r="378" spans="1:10" ht="16">
      <c r="A378" s="79" t="s">
        <v>982</v>
      </c>
      <c r="B378" s="79" t="s">
        <v>978</v>
      </c>
      <c r="C378" s="80" t="s">
        <v>95</v>
      </c>
      <c r="D378" s="81" t="s">
        <v>111</v>
      </c>
      <c r="E378" s="82">
        <v>38865</v>
      </c>
      <c r="F378" s="82">
        <v>4798</v>
      </c>
      <c r="G378" s="82">
        <v>4275</v>
      </c>
      <c r="H378" s="83">
        <v>7.9278775069268983</v>
      </c>
      <c r="I378" s="83">
        <v>3825.6975026904188</v>
      </c>
      <c r="J378" s="83">
        <v>22.34179492656515</v>
      </c>
    </row>
    <row r="379" spans="1:10" ht="16">
      <c r="A379" s="79" t="s">
        <v>1143</v>
      </c>
      <c r="B379" s="79" t="s">
        <v>1139</v>
      </c>
      <c r="C379" s="80" t="s">
        <v>126</v>
      </c>
      <c r="D379" s="81" t="s">
        <v>103</v>
      </c>
      <c r="E379" s="82">
        <v>26846</v>
      </c>
      <c r="F379" s="82">
        <v>1078</v>
      </c>
      <c r="G379" s="82">
        <v>2549</v>
      </c>
      <c r="H379" s="83">
        <v>9.9059702966161982</v>
      </c>
      <c r="I379" s="83">
        <v>1004.9520843375177</v>
      </c>
      <c r="J379" s="83">
        <v>15.308395165078585</v>
      </c>
    </row>
    <row r="380" spans="1:10" ht="16">
      <c r="A380" s="79" t="s">
        <v>983</v>
      </c>
      <c r="B380" s="79" t="s">
        <v>978</v>
      </c>
      <c r="C380" s="80" t="s">
        <v>95</v>
      </c>
      <c r="D380" s="81" t="s">
        <v>78</v>
      </c>
      <c r="E380" s="82">
        <v>11708</v>
      </c>
      <c r="F380" s="82">
        <v>1697</v>
      </c>
      <c r="G380" s="82">
        <v>117</v>
      </c>
      <c r="H380" s="83">
        <v>8.4955469661194538</v>
      </c>
      <c r="I380" s="83">
        <v>5221.043560242375</v>
      </c>
      <c r="J380" s="83">
        <v>30.307022061135868</v>
      </c>
    </row>
    <row r="381" spans="1:10" ht="16">
      <c r="A381" s="79" t="s">
        <v>984</v>
      </c>
      <c r="B381" s="79" t="s">
        <v>978</v>
      </c>
      <c r="C381" s="80" t="s">
        <v>95</v>
      </c>
      <c r="D381" s="81" t="s">
        <v>78</v>
      </c>
      <c r="E381" s="82">
        <v>38971</v>
      </c>
      <c r="F381" s="82">
        <v>3747</v>
      </c>
      <c r="G381" s="82">
        <v>3897</v>
      </c>
      <c r="H381" s="83">
        <v>26.711899629161113</v>
      </c>
      <c r="I381" s="83">
        <v>12833.228261114615</v>
      </c>
      <c r="J381" s="83">
        <v>24.729218207368795</v>
      </c>
    </row>
    <row r="382" spans="1:10" ht="16">
      <c r="A382" s="79" t="s">
        <v>1232</v>
      </c>
      <c r="B382" s="79" t="s">
        <v>1209</v>
      </c>
      <c r="C382" s="80" t="s">
        <v>95</v>
      </c>
      <c r="D382" s="81" t="s">
        <v>103</v>
      </c>
      <c r="E382" s="82">
        <v>15700</v>
      </c>
      <c r="F382" s="82">
        <v>892</v>
      </c>
      <c r="G382" s="82">
        <v>5652</v>
      </c>
      <c r="H382" s="83">
        <v>16.543144620686139</v>
      </c>
      <c r="I382" s="83">
        <v>5200.7387048232358</v>
      </c>
      <c r="J382" s="83">
        <v>18.502448870779418</v>
      </c>
    </row>
    <row r="383" spans="1:10" ht="16">
      <c r="A383" s="79" t="s">
        <v>690</v>
      </c>
      <c r="B383" s="79" t="s">
        <v>661</v>
      </c>
      <c r="C383" s="80" t="s">
        <v>95</v>
      </c>
      <c r="D383" s="81" t="s">
        <v>149</v>
      </c>
      <c r="E383" s="82">
        <v>8503</v>
      </c>
      <c r="F383" s="82">
        <v>1575</v>
      </c>
      <c r="G383" s="82">
        <v>592</v>
      </c>
      <c r="H383" s="83">
        <v>10.42700204758426</v>
      </c>
      <c r="I383" s="83">
        <v>1819.6989993079562</v>
      </c>
      <c r="J383" s="83">
        <v>24.50859889264229</v>
      </c>
    </row>
    <row r="384" spans="1:10" ht="16">
      <c r="A384" s="79" t="s">
        <v>691</v>
      </c>
      <c r="B384" s="79" t="s">
        <v>661</v>
      </c>
      <c r="C384" s="80" t="s">
        <v>126</v>
      </c>
      <c r="D384" s="81" t="s">
        <v>99</v>
      </c>
      <c r="E384" s="82">
        <v>15593</v>
      </c>
      <c r="F384" s="82">
        <v>1641</v>
      </c>
      <c r="G384" s="82">
        <v>1092</v>
      </c>
      <c r="H384" s="83">
        <v>23.30402690134731</v>
      </c>
      <c r="I384" s="83">
        <v>7117.2420842347328</v>
      </c>
      <c r="J384" s="83">
        <v>32.730668886250868</v>
      </c>
    </row>
    <row r="385" spans="1:10" ht="16">
      <c r="A385" s="79" t="s">
        <v>1183</v>
      </c>
      <c r="B385" s="79" t="s">
        <v>1161</v>
      </c>
      <c r="C385" s="80" t="s">
        <v>95</v>
      </c>
      <c r="D385" s="81" t="s">
        <v>103</v>
      </c>
      <c r="E385" s="82">
        <v>5381</v>
      </c>
      <c r="F385" s="82">
        <v>345</v>
      </c>
      <c r="G385" s="82">
        <v>323</v>
      </c>
      <c r="H385" s="83">
        <v>35.042602323324708</v>
      </c>
      <c r="I385" s="83">
        <v>16937.960267340528</v>
      </c>
      <c r="J385" s="83">
        <v>27.60492641403016</v>
      </c>
    </row>
    <row r="386" spans="1:10" ht="16">
      <c r="A386" s="79" t="s">
        <v>692</v>
      </c>
      <c r="B386" s="79" t="s">
        <v>661</v>
      </c>
      <c r="C386" s="80" t="s">
        <v>126</v>
      </c>
      <c r="D386" s="81" t="s">
        <v>99</v>
      </c>
      <c r="E386" s="82">
        <v>5469</v>
      </c>
      <c r="F386" s="82">
        <v>675</v>
      </c>
      <c r="G386" s="82">
        <v>55</v>
      </c>
      <c r="H386" s="83">
        <v>11.178174866386415</v>
      </c>
      <c r="I386" s="83">
        <v>2225.6850151327958</v>
      </c>
      <c r="J386" s="83">
        <v>20.507355832383976</v>
      </c>
    </row>
    <row r="387" spans="1:10" ht="16">
      <c r="A387" s="79" t="s">
        <v>693</v>
      </c>
      <c r="B387" s="79" t="s">
        <v>661</v>
      </c>
      <c r="C387" s="80" t="s">
        <v>126</v>
      </c>
      <c r="D387" s="81" t="s">
        <v>79</v>
      </c>
      <c r="E387" s="82">
        <v>6505</v>
      </c>
      <c r="F387" s="82">
        <v>374</v>
      </c>
      <c r="G387" s="82">
        <v>65</v>
      </c>
      <c r="H387" s="83">
        <v>10.17493933070382</v>
      </c>
      <c r="I387" s="83">
        <v>869.97404479644024</v>
      </c>
      <c r="J387" s="83">
        <v>17.246572814266955</v>
      </c>
    </row>
    <row r="388" spans="1:10" ht="16">
      <c r="A388" s="79" t="s">
        <v>1019</v>
      </c>
      <c r="B388" s="79" t="s">
        <v>1007</v>
      </c>
      <c r="C388" s="80" t="s">
        <v>95</v>
      </c>
      <c r="D388" s="81" t="s">
        <v>111</v>
      </c>
      <c r="E388" s="82">
        <v>12225</v>
      </c>
      <c r="F388" s="82">
        <v>527</v>
      </c>
      <c r="G388" s="82">
        <v>1956</v>
      </c>
      <c r="H388" s="83">
        <v>38.659570941062171</v>
      </c>
      <c r="I388" s="83">
        <v>10440.967661083127</v>
      </c>
      <c r="J388" s="83">
        <v>33.406883592620055</v>
      </c>
    </row>
    <row r="389" spans="1:10" ht="16">
      <c r="A389" s="79" t="s">
        <v>1020</v>
      </c>
      <c r="B389" s="79" t="s">
        <v>1007</v>
      </c>
      <c r="C389" s="80" t="s">
        <v>126</v>
      </c>
      <c r="D389" s="81" t="s">
        <v>101</v>
      </c>
      <c r="E389" s="82">
        <v>17081</v>
      </c>
      <c r="F389" s="82">
        <v>1512</v>
      </c>
      <c r="G389" s="82">
        <v>1708</v>
      </c>
      <c r="H389" s="83">
        <v>10.881723381436991</v>
      </c>
      <c r="I389" s="83">
        <v>1707.5638468173538</v>
      </c>
      <c r="J389" s="83">
        <v>18.866238366500543</v>
      </c>
    </row>
    <row r="390" spans="1:10" ht="16">
      <c r="A390" s="79" t="s">
        <v>1021</v>
      </c>
      <c r="B390" s="79" t="s">
        <v>1007</v>
      </c>
      <c r="C390" s="80" t="s">
        <v>126</v>
      </c>
      <c r="D390" s="81" t="s">
        <v>76</v>
      </c>
      <c r="E390" s="82">
        <v>9481</v>
      </c>
      <c r="F390" s="82">
        <v>930</v>
      </c>
      <c r="G390" s="82">
        <v>758</v>
      </c>
      <c r="H390" s="83">
        <v>66.696141487145283</v>
      </c>
      <c r="I390" s="83">
        <v>38617.727730894985</v>
      </c>
      <c r="J390" s="83">
        <v>62.996191668741567</v>
      </c>
    </row>
    <row r="391" spans="1:10" ht="16">
      <c r="A391" s="79" t="s">
        <v>1022</v>
      </c>
      <c r="B391" s="79" t="s">
        <v>1007</v>
      </c>
      <c r="C391" s="80" t="s">
        <v>126</v>
      </c>
      <c r="D391" s="81" t="s">
        <v>101</v>
      </c>
      <c r="E391" s="82">
        <v>22965</v>
      </c>
      <c r="F391" s="82">
        <v>1435</v>
      </c>
      <c r="G391" s="82">
        <v>5052</v>
      </c>
      <c r="H391" s="83">
        <v>51.04407746779718</v>
      </c>
      <c r="I391" s="83">
        <v>32385.33014657949</v>
      </c>
      <c r="J391" s="83">
        <v>48.961809087396027</v>
      </c>
    </row>
    <row r="392" spans="1:10" ht="16">
      <c r="A392" s="79" t="s">
        <v>1084</v>
      </c>
      <c r="B392" s="79" t="s">
        <v>1081</v>
      </c>
      <c r="C392" s="80" t="s">
        <v>126</v>
      </c>
      <c r="D392" s="81" t="s">
        <v>78</v>
      </c>
      <c r="E392" s="82">
        <v>12659</v>
      </c>
      <c r="F392" s="82">
        <v>806</v>
      </c>
      <c r="G392" s="82">
        <v>2532</v>
      </c>
      <c r="H392" s="83">
        <v>43.169436509337167</v>
      </c>
      <c r="I392" s="83">
        <v>26647.61781373039</v>
      </c>
      <c r="J392" s="83">
        <v>41.377874685630466</v>
      </c>
    </row>
    <row r="393" spans="1:10" ht="16">
      <c r="A393" s="79" t="s">
        <v>165</v>
      </c>
      <c r="B393" s="79" t="s">
        <v>163</v>
      </c>
      <c r="C393" s="80" t="s">
        <v>126</v>
      </c>
      <c r="D393" s="81" t="s">
        <v>99</v>
      </c>
      <c r="E393" s="82">
        <v>45049</v>
      </c>
      <c r="F393" s="82">
        <v>1241</v>
      </c>
      <c r="G393" s="82">
        <v>6757</v>
      </c>
      <c r="H393" s="83">
        <v>74.53792437915493</v>
      </c>
      <c r="I393" s="83">
        <v>63102.748452065374</v>
      </c>
      <c r="J393" s="83">
        <v>59.409124796991733</v>
      </c>
    </row>
    <row r="394" spans="1:10" ht="16">
      <c r="A394" s="79" t="s">
        <v>694</v>
      </c>
      <c r="B394" s="79" t="s">
        <v>661</v>
      </c>
      <c r="C394" s="80" t="s">
        <v>126</v>
      </c>
      <c r="D394" s="81" t="s">
        <v>76</v>
      </c>
      <c r="E394" s="82">
        <v>10032</v>
      </c>
      <c r="F394" s="82">
        <v>1320</v>
      </c>
      <c r="G394" s="82">
        <v>702</v>
      </c>
      <c r="H394" s="83">
        <v>14.183410479033331</v>
      </c>
      <c r="I394" s="83">
        <v>3291.2512070405869</v>
      </c>
      <c r="J394" s="83">
        <v>26.416292358139447</v>
      </c>
    </row>
    <row r="395" spans="1:10" ht="16">
      <c r="A395" s="79" t="s">
        <v>695</v>
      </c>
      <c r="B395" s="79" t="s">
        <v>661</v>
      </c>
      <c r="C395" s="80" t="s">
        <v>126</v>
      </c>
      <c r="D395" s="81" t="s">
        <v>149</v>
      </c>
      <c r="E395" s="82">
        <v>4850</v>
      </c>
      <c r="F395" s="82">
        <v>664</v>
      </c>
      <c r="G395" s="82">
        <v>97</v>
      </c>
      <c r="H395" s="83">
        <v>10.617347797947142</v>
      </c>
      <c r="I395" s="83">
        <v>5550.0488524278453</v>
      </c>
      <c r="J395" s="83">
        <v>21.808041094471971</v>
      </c>
    </row>
    <row r="396" spans="1:10" ht="16">
      <c r="A396" s="79" t="s">
        <v>782</v>
      </c>
      <c r="B396" s="79" t="s">
        <v>783</v>
      </c>
      <c r="C396" s="80" t="s">
        <v>95</v>
      </c>
      <c r="D396" s="81" t="s">
        <v>79</v>
      </c>
      <c r="E396" s="82">
        <v>36551</v>
      </c>
      <c r="F396" s="82">
        <v>1549</v>
      </c>
      <c r="G396" s="82">
        <v>5483</v>
      </c>
      <c r="H396" s="83">
        <v>9.9534334313870634</v>
      </c>
      <c r="I396" s="83">
        <v>3151.5022449283983</v>
      </c>
      <c r="J396" s="83">
        <v>19.246282805409635</v>
      </c>
    </row>
    <row r="397" spans="1:10" ht="16">
      <c r="A397" s="79" t="s">
        <v>696</v>
      </c>
      <c r="B397" s="79" t="s">
        <v>661</v>
      </c>
      <c r="C397" s="80" t="s">
        <v>126</v>
      </c>
      <c r="D397" s="81" t="s">
        <v>103</v>
      </c>
      <c r="E397" s="82">
        <v>24766</v>
      </c>
      <c r="F397" s="82">
        <v>1041</v>
      </c>
      <c r="G397" s="82">
        <v>743</v>
      </c>
      <c r="H397" s="83">
        <v>9.5071282941438309</v>
      </c>
      <c r="I397" s="83">
        <v>1210.3197394368319</v>
      </c>
      <c r="J397" s="83">
        <v>15.498308136237434</v>
      </c>
    </row>
    <row r="398" spans="1:10" ht="16">
      <c r="A398" s="79" t="s">
        <v>697</v>
      </c>
      <c r="B398" s="79" t="s">
        <v>661</v>
      </c>
      <c r="C398" s="80" t="s">
        <v>126</v>
      </c>
      <c r="D398" s="81" t="s">
        <v>75</v>
      </c>
      <c r="E398" s="82">
        <v>3989</v>
      </c>
      <c r="F398" s="82">
        <v>307</v>
      </c>
      <c r="G398" s="82">
        <v>199</v>
      </c>
      <c r="H398" s="83">
        <v>16.781799072681178</v>
      </c>
      <c r="I398" s="83">
        <v>1644.3209424668396</v>
      </c>
      <c r="J398" s="83">
        <v>21.509795428343246</v>
      </c>
    </row>
    <row r="399" spans="1:10" ht="16">
      <c r="A399" s="79" t="s">
        <v>698</v>
      </c>
      <c r="B399" s="79" t="s">
        <v>661</v>
      </c>
      <c r="C399" s="80" t="s">
        <v>126</v>
      </c>
      <c r="D399" s="81" t="s">
        <v>96</v>
      </c>
      <c r="E399" s="82">
        <v>1330</v>
      </c>
      <c r="F399" s="82">
        <v>391</v>
      </c>
      <c r="G399" s="82">
        <v>13</v>
      </c>
      <c r="H399" s="83">
        <v>13.985350868209052</v>
      </c>
      <c r="I399" s="83">
        <v>4515.4576990295009</v>
      </c>
      <c r="J399" s="83">
        <v>32.916080947431411</v>
      </c>
    </row>
    <row r="400" spans="1:10" ht="16">
      <c r="A400" s="79" t="s">
        <v>699</v>
      </c>
      <c r="B400" s="79" t="s">
        <v>661</v>
      </c>
      <c r="C400" s="80" t="s">
        <v>126</v>
      </c>
      <c r="D400" s="81" t="s">
        <v>78</v>
      </c>
      <c r="E400" s="82">
        <v>22566</v>
      </c>
      <c r="F400" s="82">
        <v>2507</v>
      </c>
      <c r="G400" s="82">
        <v>2031</v>
      </c>
      <c r="H400" s="83">
        <v>78.78162651312914</v>
      </c>
      <c r="I400" s="83">
        <v>46829.903118076516</v>
      </c>
      <c r="J400" s="83">
        <v>73.783541918238896</v>
      </c>
    </row>
    <row r="401" spans="1:10" ht="16">
      <c r="A401" s="79" t="s">
        <v>1023</v>
      </c>
      <c r="B401" s="79" t="s">
        <v>1007</v>
      </c>
      <c r="C401" s="80" t="s">
        <v>95</v>
      </c>
      <c r="D401" s="81" t="s">
        <v>103</v>
      </c>
      <c r="E401" s="82">
        <v>22102</v>
      </c>
      <c r="F401" s="82">
        <v>1278</v>
      </c>
      <c r="G401" s="82">
        <v>4862</v>
      </c>
      <c r="H401" s="83">
        <v>40.964913649361918</v>
      </c>
      <c r="I401" s="83">
        <v>22885.019774760069</v>
      </c>
      <c r="J401" s="83">
        <v>34.136289113485667</v>
      </c>
    </row>
    <row r="402" spans="1:10" ht="16">
      <c r="A402" s="79" t="s">
        <v>1024</v>
      </c>
      <c r="B402" s="79" t="s">
        <v>1007</v>
      </c>
      <c r="C402" s="80" t="s">
        <v>126</v>
      </c>
      <c r="D402" s="81" t="s">
        <v>99</v>
      </c>
      <c r="E402" s="82">
        <v>24155</v>
      </c>
      <c r="F402" s="82">
        <v>1028</v>
      </c>
      <c r="G402" s="82">
        <v>1449</v>
      </c>
      <c r="H402" s="83">
        <v>28.967058202619501</v>
      </c>
      <c r="I402" s="83">
        <v>7019.0718332841816</v>
      </c>
      <c r="J402" s="83">
        <v>24.928116164813961</v>
      </c>
    </row>
    <row r="403" spans="1:10" ht="16">
      <c r="A403" s="79" t="s">
        <v>700</v>
      </c>
      <c r="B403" s="79" t="s">
        <v>661</v>
      </c>
      <c r="C403" s="80" t="s">
        <v>126</v>
      </c>
      <c r="D403" s="81" t="s">
        <v>76</v>
      </c>
      <c r="E403" s="82">
        <v>5653</v>
      </c>
      <c r="F403" s="82">
        <v>349</v>
      </c>
      <c r="G403" s="82">
        <v>226</v>
      </c>
      <c r="H403" s="83">
        <v>12.615840857238227</v>
      </c>
      <c r="I403" s="83">
        <v>3853.8451581875629</v>
      </c>
      <c r="J403" s="83">
        <v>19.555160946500781</v>
      </c>
    </row>
    <row r="404" spans="1:10" ht="16">
      <c r="A404" s="79" t="s">
        <v>701</v>
      </c>
      <c r="B404" s="79" t="s">
        <v>661</v>
      </c>
      <c r="C404" s="80" t="s">
        <v>126</v>
      </c>
      <c r="D404" s="81" t="s">
        <v>101</v>
      </c>
      <c r="E404" s="82">
        <v>18643</v>
      </c>
      <c r="F404" s="82">
        <v>2119</v>
      </c>
      <c r="G404" s="82">
        <v>2424</v>
      </c>
      <c r="H404" s="83">
        <v>39.787457333517054</v>
      </c>
      <c r="I404" s="83">
        <v>13448.184975507915</v>
      </c>
      <c r="J404" s="83">
        <v>44.504109908045486</v>
      </c>
    </row>
    <row r="405" spans="1:10" ht="16">
      <c r="A405" s="79" t="s">
        <v>779</v>
      </c>
      <c r="B405" s="79" t="s">
        <v>778</v>
      </c>
      <c r="C405" s="80" t="s">
        <v>126</v>
      </c>
      <c r="D405" s="81" t="s">
        <v>96</v>
      </c>
      <c r="E405" s="82">
        <v>17205</v>
      </c>
      <c r="F405" s="82">
        <v>3246</v>
      </c>
      <c r="G405" s="82">
        <v>688</v>
      </c>
      <c r="H405" s="83">
        <v>7.8212915133128895</v>
      </c>
      <c r="I405" s="83">
        <v>1257.1634699822994</v>
      </c>
      <c r="J405" s="83">
        <v>21.911080011659578</v>
      </c>
    </row>
    <row r="406" spans="1:10" ht="16">
      <c r="A406" s="79" t="s">
        <v>120</v>
      </c>
      <c r="B406" s="79" t="s">
        <v>108</v>
      </c>
      <c r="C406" s="80" t="s">
        <v>95</v>
      </c>
      <c r="D406" s="81" t="s">
        <v>103</v>
      </c>
      <c r="E406" s="82">
        <v>22292</v>
      </c>
      <c r="F406" s="82">
        <v>658</v>
      </c>
      <c r="G406" s="82">
        <v>6465</v>
      </c>
      <c r="H406" s="83">
        <v>33.51522965307538</v>
      </c>
      <c r="I406" s="83">
        <v>24272.431866575316</v>
      </c>
      <c r="J406" s="83">
        <v>27.861750347219985</v>
      </c>
    </row>
    <row r="407" spans="1:10" ht="16">
      <c r="A407" s="79" t="s">
        <v>881</v>
      </c>
      <c r="B407" s="79" t="s">
        <v>877</v>
      </c>
      <c r="C407" s="80" t="s">
        <v>126</v>
      </c>
      <c r="D407" s="81" t="s">
        <v>111</v>
      </c>
      <c r="E407" s="82">
        <v>3859</v>
      </c>
      <c r="F407" s="82">
        <v>264</v>
      </c>
      <c r="G407" s="82">
        <v>39</v>
      </c>
      <c r="H407" s="83">
        <v>12.864598574761597</v>
      </c>
      <c r="I407" s="83">
        <v>4332.0519541990971</v>
      </c>
      <c r="J407" s="83">
        <v>20.472298491624471</v>
      </c>
    </row>
    <row r="408" spans="1:10" ht="16">
      <c r="A408" s="79" t="s">
        <v>206</v>
      </c>
      <c r="B408" s="79" t="s">
        <v>203</v>
      </c>
      <c r="C408" s="80" t="s">
        <v>95</v>
      </c>
      <c r="D408" s="81" t="s">
        <v>76</v>
      </c>
      <c r="E408" s="82">
        <v>8050</v>
      </c>
      <c r="F408" s="82">
        <v>329</v>
      </c>
      <c r="G408" s="82">
        <v>1047</v>
      </c>
      <c r="H408" s="83">
        <v>20.279623852559009</v>
      </c>
      <c r="I408" s="83">
        <v>9167.8790345136513</v>
      </c>
      <c r="J408" s="83">
        <v>18.028803961739282</v>
      </c>
    </row>
    <row r="409" spans="1:10" ht="16">
      <c r="A409" s="79" t="s">
        <v>1233</v>
      </c>
      <c r="B409" s="79" t="s">
        <v>1209</v>
      </c>
      <c r="C409" s="80" t="s">
        <v>95</v>
      </c>
      <c r="D409" s="81" t="s">
        <v>76</v>
      </c>
      <c r="E409" s="82">
        <v>12657</v>
      </c>
      <c r="F409" s="82">
        <v>1013</v>
      </c>
      <c r="G409" s="82">
        <v>4810</v>
      </c>
      <c r="H409" s="83">
        <v>39.643470680583135</v>
      </c>
      <c r="I409" s="83">
        <v>36457.706009588204</v>
      </c>
      <c r="J409" s="83">
        <v>34.735235193899527</v>
      </c>
    </row>
    <row r="410" spans="1:10" ht="16">
      <c r="A410" s="79" t="s">
        <v>389</v>
      </c>
      <c r="B410" s="79" t="s">
        <v>388</v>
      </c>
      <c r="C410" s="80" t="s">
        <v>126</v>
      </c>
      <c r="D410" s="81" t="s">
        <v>78</v>
      </c>
      <c r="E410" s="82">
        <v>3851</v>
      </c>
      <c r="F410" s="82">
        <v>137</v>
      </c>
      <c r="G410" s="82">
        <v>732</v>
      </c>
      <c r="H410" s="83">
        <v>30.46356284189644</v>
      </c>
      <c r="I410" s="83">
        <v>13001.282832890498</v>
      </c>
      <c r="J410" s="83">
        <v>28.360568185671795</v>
      </c>
    </row>
    <row r="411" spans="1:10" ht="16">
      <c r="A411" s="79" t="s">
        <v>784</v>
      </c>
      <c r="B411" s="79" t="s">
        <v>785</v>
      </c>
      <c r="C411" s="80" t="s">
        <v>126</v>
      </c>
      <c r="D411" s="81" t="s">
        <v>149</v>
      </c>
      <c r="E411" s="82">
        <v>4216</v>
      </c>
      <c r="F411" s="82">
        <v>114</v>
      </c>
      <c r="G411" s="82">
        <v>42</v>
      </c>
      <c r="H411" s="83">
        <v>18.184922740227147</v>
      </c>
      <c r="I411" s="83">
        <v>919.62797321809535</v>
      </c>
      <c r="J411" s="83">
        <v>18.217547879647917</v>
      </c>
    </row>
    <row r="412" spans="1:10" ht="16">
      <c r="A412" s="79" t="s">
        <v>207</v>
      </c>
      <c r="B412" s="79" t="s">
        <v>203</v>
      </c>
      <c r="C412" s="80" t="s">
        <v>95</v>
      </c>
      <c r="D412" s="81" t="s">
        <v>76</v>
      </c>
      <c r="E412" s="82">
        <v>29250</v>
      </c>
      <c r="F412" s="82">
        <v>1691</v>
      </c>
      <c r="G412" s="82">
        <v>3803</v>
      </c>
      <c r="H412" s="83">
        <v>32.500535149823357</v>
      </c>
      <c r="I412" s="83">
        <v>21508.833443089639</v>
      </c>
      <c r="J412" s="83">
        <v>40.624080553333762</v>
      </c>
    </row>
    <row r="413" spans="1:10" ht="16">
      <c r="A413" s="79" t="s">
        <v>790</v>
      </c>
      <c r="B413" s="79" t="s">
        <v>789</v>
      </c>
      <c r="C413" s="80" t="s">
        <v>126</v>
      </c>
      <c r="D413" s="81" t="s">
        <v>79</v>
      </c>
      <c r="E413" s="82">
        <v>7866</v>
      </c>
      <c r="F413" s="82">
        <v>587</v>
      </c>
      <c r="G413" s="82">
        <v>1416</v>
      </c>
      <c r="H413" s="83">
        <v>10.687621422447947</v>
      </c>
      <c r="I413" s="83">
        <v>2542.5889318359023</v>
      </c>
      <c r="J413" s="83">
        <v>31.167263861107347</v>
      </c>
    </row>
    <row r="414" spans="1:10" ht="16">
      <c r="A414" s="79" t="s">
        <v>1234</v>
      </c>
      <c r="B414" s="79" t="s">
        <v>1209</v>
      </c>
      <c r="C414" s="80" t="s">
        <v>95</v>
      </c>
      <c r="D414" s="81" t="s">
        <v>103</v>
      </c>
      <c r="E414" s="82">
        <v>19726</v>
      </c>
      <c r="F414" s="82">
        <v>1012</v>
      </c>
      <c r="G414" s="82">
        <v>2367</v>
      </c>
      <c r="H414" s="83">
        <v>14.615427853787963</v>
      </c>
      <c r="I414" s="83">
        <v>5512.326044852909</v>
      </c>
      <c r="J414" s="83">
        <v>16.755223744028747</v>
      </c>
    </row>
    <row r="415" spans="1:10" ht="16">
      <c r="A415" s="79" t="s">
        <v>1349</v>
      </c>
      <c r="B415" s="79" t="s">
        <v>1307</v>
      </c>
      <c r="C415" s="80" t="s">
        <v>126</v>
      </c>
      <c r="D415" s="81" t="s">
        <v>101</v>
      </c>
      <c r="E415" s="82">
        <v>6462</v>
      </c>
      <c r="F415" s="82">
        <v>598</v>
      </c>
      <c r="G415" s="82">
        <v>1099</v>
      </c>
      <c r="H415" s="83">
        <v>21.312825625729555</v>
      </c>
      <c r="I415" s="83">
        <v>10611.672305692886</v>
      </c>
      <c r="J415" s="83">
        <v>27.860023447275804</v>
      </c>
    </row>
    <row r="416" spans="1:10" ht="16">
      <c r="A416" s="79" t="s">
        <v>433</v>
      </c>
      <c r="B416" s="79" t="s">
        <v>421</v>
      </c>
      <c r="C416" s="80" t="s">
        <v>126</v>
      </c>
      <c r="D416" s="81" t="s">
        <v>77</v>
      </c>
      <c r="E416" s="82">
        <v>27625</v>
      </c>
      <c r="F416" s="82">
        <v>512</v>
      </c>
      <c r="G416" s="82">
        <v>3868</v>
      </c>
      <c r="H416" s="83">
        <v>29.948079433903708</v>
      </c>
      <c r="I416" s="83">
        <v>13814.969287623693</v>
      </c>
      <c r="J416" s="83">
        <v>37.443526889373551</v>
      </c>
    </row>
    <row r="417" spans="1:10" ht="16">
      <c r="A417" s="79" t="s">
        <v>842</v>
      </c>
      <c r="B417" s="79" t="s">
        <v>839</v>
      </c>
      <c r="C417" s="80" t="s">
        <v>95</v>
      </c>
      <c r="D417" s="81" t="s">
        <v>96</v>
      </c>
      <c r="E417" s="82">
        <v>28741</v>
      </c>
      <c r="F417" s="82">
        <v>1537</v>
      </c>
      <c r="G417" s="82">
        <v>4599</v>
      </c>
      <c r="H417" s="83">
        <v>65.679676824928734</v>
      </c>
      <c r="I417" s="83">
        <v>54077.975947885992</v>
      </c>
      <c r="J417" s="83">
        <v>48.969313573789861</v>
      </c>
    </row>
    <row r="418" spans="1:10" ht="16">
      <c r="A418" s="79" t="s">
        <v>854</v>
      </c>
      <c r="B418" s="79" t="s">
        <v>853</v>
      </c>
      <c r="C418" s="80" t="s">
        <v>126</v>
      </c>
      <c r="D418" s="81" t="s">
        <v>99</v>
      </c>
      <c r="E418" s="82">
        <v>2476</v>
      </c>
      <c r="F418" s="82">
        <v>183</v>
      </c>
      <c r="G418" s="82">
        <v>966</v>
      </c>
      <c r="H418" s="83">
        <v>20.69983973797164</v>
      </c>
      <c r="I418" s="83">
        <v>9562.2687050722034</v>
      </c>
      <c r="J418" s="83">
        <v>25.174221813379933</v>
      </c>
    </row>
    <row r="419" spans="1:10" ht="16">
      <c r="A419" s="79" t="s">
        <v>1235</v>
      </c>
      <c r="B419" s="79" t="s">
        <v>1209</v>
      </c>
      <c r="C419" s="80" t="s">
        <v>95</v>
      </c>
      <c r="D419" s="81" t="s">
        <v>101</v>
      </c>
      <c r="E419" s="82">
        <v>19461</v>
      </c>
      <c r="F419" s="82">
        <v>1118</v>
      </c>
      <c r="G419" s="82">
        <v>2725</v>
      </c>
      <c r="H419" s="83">
        <v>18.142274078508283</v>
      </c>
      <c r="I419" s="83">
        <v>13688.528301769766</v>
      </c>
      <c r="J419" s="83">
        <v>17.821092462937987</v>
      </c>
    </row>
    <row r="420" spans="1:10" ht="16">
      <c r="A420" s="79" t="s">
        <v>434</v>
      </c>
      <c r="B420" s="79" t="s">
        <v>421</v>
      </c>
      <c r="C420" s="80" t="s">
        <v>95</v>
      </c>
      <c r="D420" s="81" t="s">
        <v>103</v>
      </c>
      <c r="E420" s="82">
        <v>34519</v>
      </c>
      <c r="F420" s="82">
        <v>995</v>
      </c>
      <c r="G420" s="82">
        <v>5868</v>
      </c>
      <c r="H420" s="83">
        <v>77.380456229319535</v>
      </c>
      <c r="I420" s="83">
        <v>68455.86748151794</v>
      </c>
      <c r="J420" s="83">
        <v>69.136281411610881</v>
      </c>
    </row>
    <row r="421" spans="1:10" ht="16">
      <c r="A421" s="79" t="s">
        <v>947</v>
      </c>
      <c r="B421" s="79" t="s">
        <v>938</v>
      </c>
      <c r="C421" s="80" t="s">
        <v>95</v>
      </c>
      <c r="D421" s="81" t="s">
        <v>77</v>
      </c>
      <c r="E421" s="82">
        <v>18077</v>
      </c>
      <c r="F421" s="82">
        <v>2288</v>
      </c>
      <c r="G421" s="82">
        <v>1265</v>
      </c>
      <c r="H421" s="83">
        <v>12.202180001516663</v>
      </c>
      <c r="I421" s="83">
        <v>1446.4757358951288</v>
      </c>
      <c r="J421" s="83">
        <v>26.350129876145154</v>
      </c>
    </row>
    <row r="422" spans="1:10" ht="16">
      <c r="A422" s="79" t="s">
        <v>902</v>
      </c>
      <c r="B422" s="79" t="s">
        <v>898</v>
      </c>
      <c r="C422" s="80" t="s">
        <v>126</v>
      </c>
      <c r="D422" s="81" t="s">
        <v>101</v>
      </c>
      <c r="E422" s="82">
        <v>16372</v>
      </c>
      <c r="F422" s="82">
        <v>1259</v>
      </c>
      <c r="G422" s="82">
        <v>655</v>
      </c>
      <c r="H422" s="83">
        <v>11.272638613635538</v>
      </c>
      <c r="I422" s="83">
        <v>2003.0814283905361</v>
      </c>
      <c r="J422" s="83">
        <v>17.062701827296923</v>
      </c>
    </row>
    <row r="423" spans="1:10" ht="16">
      <c r="A423" s="79" t="s">
        <v>948</v>
      </c>
      <c r="B423" s="79" t="s">
        <v>938</v>
      </c>
      <c r="C423" s="80" t="s">
        <v>126</v>
      </c>
      <c r="D423" s="81" t="s">
        <v>76</v>
      </c>
      <c r="E423" s="82">
        <v>29235</v>
      </c>
      <c r="F423" s="82">
        <v>4005</v>
      </c>
      <c r="G423" s="82">
        <v>8478</v>
      </c>
      <c r="H423" s="83">
        <v>63.383027203507737</v>
      </c>
      <c r="I423" s="83">
        <v>9840.0285967176114</v>
      </c>
      <c r="J423" s="83">
        <v>78.904677811639786</v>
      </c>
    </row>
    <row r="424" spans="1:10" ht="16">
      <c r="A424" s="79" t="s">
        <v>1236</v>
      </c>
      <c r="B424" s="79" t="s">
        <v>1209</v>
      </c>
      <c r="C424" s="80" t="s">
        <v>95</v>
      </c>
      <c r="D424" s="81" t="s">
        <v>103</v>
      </c>
      <c r="E424" s="82">
        <v>10570</v>
      </c>
      <c r="F424" s="82">
        <v>874</v>
      </c>
      <c r="G424" s="82">
        <v>7505</v>
      </c>
      <c r="H424" s="83">
        <v>83.07733152723128</v>
      </c>
      <c r="I424" s="83">
        <v>77081.818877130732</v>
      </c>
      <c r="J424" s="83">
        <v>69.179553604347646</v>
      </c>
    </row>
    <row r="425" spans="1:10" ht="16">
      <c r="A425" s="79" t="s">
        <v>1237</v>
      </c>
      <c r="B425" s="79" t="s">
        <v>1209</v>
      </c>
      <c r="C425" s="80" t="s">
        <v>95</v>
      </c>
      <c r="D425" s="81" t="s">
        <v>79</v>
      </c>
      <c r="E425" s="82">
        <v>12168</v>
      </c>
      <c r="F425" s="82">
        <v>737</v>
      </c>
      <c r="G425" s="82">
        <v>4015</v>
      </c>
      <c r="H425" s="83">
        <v>10.406645835844058</v>
      </c>
      <c r="I425" s="83">
        <v>1887.3075628127017</v>
      </c>
      <c r="J425" s="83">
        <v>15.672248610985722</v>
      </c>
    </row>
    <row r="426" spans="1:10" ht="16">
      <c r="A426" s="79" t="s">
        <v>186</v>
      </c>
      <c r="B426" s="79" t="s">
        <v>169</v>
      </c>
      <c r="C426" s="80" t="s">
        <v>95</v>
      </c>
      <c r="D426" s="81" t="s">
        <v>78</v>
      </c>
      <c r="E426" s="82">
        <v>26685</v>
      </c>
      <c r="F426" s="82">
        <v>1744</v>
      </c>
      <c r="G426" s="82">
        <v>267</v>
      </c>
      <c r="H426" s="83">
        <v>13.988145538689951</v>
      </c>
      <c r="I426" s="83">
        <v>2172.3510766145964</v>
      </c>
      <c r="J426" s="83">
        <v>22.061818164791848</v>
      </c>
    </row>
    <row r="427" spans="1:10" ht="16">
      <c r="A427" s="79" t="s">
        <v>1238</v>
      </c>
      <c r="B427" s="79" t="s">
        <v>1209</v>
      </c>
      <c r="C427" s="80" t="s">
        <v>126</v>
      </c>
      <c r="D427" s="81" t="s">
        <v>76</v>
      </c>
      <c r="E427" s="82">
        <v>14749</v>
      </c>
      <c r="F427" s="82">
        <v>1031</v>
      </c>
      <c r="G427" s="82">
        <v>3687</v>
      </c>
      <c r="H427" s="83">
        <v>34.994468967353377</v>
      </c>
      <c r="I427" s="83">
        <v>18194.897470978314</v>
      </c>
      <c r="J427" s="83">
        <v>34.44142413859683</v>
      </c>
    </row>
    <row r="428" spans="1:10" ht="16">
      <c r="A428" s="79" t="s">
        <v>1350</v>
      </c>
      <c r="B428" s="79" t="s">
        <v>1307</v>
      </c>
      <c r="C428" s="80" t="s">
        <v>95</v>
      </c>
      <c r="D428" s="81" t="s">
        <v>103</v>
      </c>
      <c r="E428" s="82">
        <v>29169</v>
      </c>
      <c r="F428" s="82">
        <v>1409</v>
      </c>
      <c r="G428" s="82">
        <v>1750</v>
      </c>
      <c r="H428" s="83">
        <v>27.152097317998209</v>
      </c>
      <c r="I428" s="83">
        <v>14569.509803532639</v>
      </c>
      <c r="J428" s="83">
        <v>34.793144412093199</v>
      </c>
    </row>
    <row r="429" spans="1:10" ht="16">
      <c r="A429" s="79" t="s">
        <v>1351</v>
      </c>
      <c r="B429" s="79" t="s">
        <v>1307</v>
      </c>
      <c r="C429" s="80" t="s">
        <v>126</v>
      </c>
      <c r="D429" s="81" t="s">
        <v>103</v>
      </c>
      <c r="E429" s="82">
        <v>11210</v>
      </c>
      <c r="F429" s="82">
        <v>496</v>
      </c>
      <c r="G429" s="82">
        <v>448</v>
      </c>
      <c r="H429" s="83">
        <v>9.7826525779702962</v>
      </c>
      <c r="I429" s="83">
        <v>4279.7445626661474</v>
      </c>
      <c r="J429" s="83">
        <v>17.691098143792519</v>
      </c>
    </row>
    <row r="430" spans="1:10" ht="16">
      <c r="A430" s="79" t="s">
        <v>1085</v>
      </c>
      <c r="B430" s="79" t="s">
        <v>1081</v>
      </c>
      <c r="C430" s="80" t="s">
        <v>95</v>
      </c>
      <c r="D430" s="81" t="s">
        <v>77</v>
      </c>
      <c r="E430" s="82">
        <v>27266</v>
      </c>
      <c r="F430" s="82">
        <v>2253</v>
      </c>
      <c r="G430" s="82">
        <v>5181</v>
      </c>
      <c r="H430" s="83">
        <v>54.792779537731363</v>
      </c>
      <c r="I430" s="83">
        <v>46868.704834649812</v>
      </c>
      <c r="J430" s="83">
        <v>41.152542172259672</v>
      </c>
    </row>
    <row r="431" spans="1:10" ht="16">
      <c r="A431" s="79" t="s">
        <v>1198</v>
      </c>
      <c r="B431" s="79" t="s">
        <v>1197</v>
      </c>
      <c r="C431" s="80" t="s">
        <v>126</v>
      </c>
      <c r="D431" s="81" t="s">
        <v>79</v>
      </c>
      <c r="E431" s="82">
        <v>21560</v>
      </c>
      <c r="F431" s="82">
        <v>2053</v>
      </c>
      <c r="G431" s="82">
        <v>216</v>
      </c>
      <c r="H431" s="83">
        <v>8.8694124816018149</v>
      </c>
      <c r="I431" s="83">
        <v>4346.7349552003616</v>
      </c>
      <c r="J431" s="83">
        <v>18.545389937456299</v>
      </c>
    </row>
    <row r="432" spans="1:10" ht="16">
      <c r="A432" s="79" t="s">
        <v>843</v>
      </c>
      <c r="B432" s="79" t="s">
        <v>839</v>
      </c>
      <c r="C432" s="80" t="s">
        <v>95</v>
      </c>
      <c r="D432" s="81" t="s">
        <v>103</v>
      </c>
      <c r="E432" s="82">
        <v>16857</v>
      </c>
      <c r="F432" s="82">
        <v>906</v>
      </c>
      <c r="G432" s="82">
        <v>9103</v>
      </c>
      <c r="H432" s="83">
        <v>48.687748291044414</v>
      </c>
      <c r="I432" s="83">
        <v>37247.350870856913</v>
      </c>
      <c r="J432" s="83">
        <v>40.352802209016801</v>
      </c>
    </row>
    <row r="433" spans="1:10" ht="16">
      <c r="A433" s="79" t="s">
        <v>797</v>
      </c>
      <c r="B433" s="79" t="s">
        <v>798</v>
      </c>
      <c r="C433" s="80" t="s">
        <v>95</v>
      </c>
      <c r="D433" s="81" t="s">
        <v>96</v>
      </c>
      <c r="E433" s="82">
        <v>9924</v>
      </c>
      <c r="F433" s="82">
        <v>407</v>
      </c>
      <c r="G433" s="82">
        <v>7840</v>
      </c>
      <c r="H433" s="83">
        <v>23.102110645890352</v>
      </c>
      <c r="I433" s="83">
        <v>18636.161837780644</v>
      </c>
      <c r="J433" s="83">
        <v>28.080393508842779</v>
      </c>
    </row>
    <row r="434" spans="1:10" ht="16">
      <c r="A434" s="79" t="s">
        <v>121</v>
      </c>
      <c r="B434" s="79" t="s">
        <v>108</v>
      </c>
      <c r="C434" s="80" t="s">
        <v>95</v>
      </c>
      <c r="D434" s="81" t="s">
        <v>79</v>
      </c>
      <c r="E434" s="82">
        <v>30234</v>
      </c>
      <c r="F434" s="82">
        <v>441</v>
      </c>
      <c r="G434" s="82">
        <v>8768</v>
      </c>
      <c r="H434" s="83">
        <v>42.855436848982343</v>
      </c>
      <c r="I434" s="83">
        <v>30616.266830045151</v>
      </c>
      <c r="J434" s="83">
        <v>38.700043656219378</v>
      </c>
    </row>
    <row r="435" spans="1:10" ht="16">
      <c r="A435" s="79" t="s">
        <v>1144</v>
      </c>
      <c r="B435" s="79" t="s">
        <v>1139</v>
      </c>
      <c r="C435" s="80" t="s">
        <v>95</v>
      </c>
      <c r="D435" s="81" t="s">
        <v>103</v>
      </c>
      <c r="E435" s="82">
        <v>13534</v>
      </c>
      <c r="F435" s="82">
        <v>607</v>
      </c>
      <c r="G435" s="82">
        <v>541</v>
      </c>
      <c r="H435" s="83">
        <v>9.8003636962733438</v>
      </c>
      <c r="I435" s="83">
        <v>6720.2403567231813</v>
      </c>
      <c r="J435" s="83">
        <v>14.40445313851261</v>
      </c>
    </row>
    <row r="436" spans="1:10" ht="16">
      <c r="A436" s="79" t="s">
        <v>528</v>
      </c>
      <c r="B436" s="79" t="s">
        <v>493</v>
      </c>
      <c r="C436" s="80" t="s">
        <v>95</v>
      </c>
      <c r="D436" s="81" t="s">
        <v>103</v>
      </c>
      <c r="E436" s="82">
        <v>39252</v>
      </c>
      <c r="F436" s="82">
        <v>1443</v>
      </c>
      <c r="G436" s="82">
        <v>879</v>
      </c>
      <c r="H436" s="83">
        <v>9.5392483019276035</v>
      </c>
      <c r="I436" s="83">
        <v>1607.1721974244801</v>
      </c>
      <c r="J436" s="83">
        <v>14.760759019815481</v>
      </c>
    </row>
    <row r="437" spans="1:10" ht="16">
      <c r="A437" s="79" t="s">
        <v>1145</v>
      </c>
      <c r="B437" s="79" t="s">
        <v>1139</v>
      </c>
      <c r="C437" s="80" t="s">
        <v>95</v>
      </c>
      <c r="D437" s="81" t="s">
        <v>101</v>
      </c>
      <c r="E437" s="82">
        <v>38192</v>
      </c>
      <c r="F437" s="82">
        <v>1303</v>
      </c>
      <c r="G437" s="82">
        <v>3626</v>
      </c>
      <c r="H437" s="83">
        <v>8.6801032378680478</v>
      </c>
      <c r="I437" s="83">
        <v>883.14849902164292</v>
      </c>
      <c r="J437" s="83">
        <v>19.154324551226296</v>
      </c>
    </row>
    <row r="438" spans="1:10" ht="16">
      <c r="A438" s="79" t="s">
        <v>1146</v>
      </c>
      <c r="B438" s="79" t="s">
        <v>1139</v>
      </c>
      <c r="C438" s="80" t="s">
        <v>126</v>
      </c>
      <c r="D438" s="81" t="s">
        <v>79</v>
      </c>
      <c r="E438" s="82">
        <v>28476</v>
      </c>
      <c r="F438" s="82">
        <v>2792</v>
      </c>
      <c r="G438" s="82">
        <v>1139</v>
      </c>
      <c r="H438" s="83">
        <v>21.814681373064229</v>
      </c>
      <c r="I438" s="83">
        <v>9510.1766447874852</v>
      </c>
      <c r="J438" s="83">
        <v>32.531770115657686</v>
      </c>
    </row>
    <row r="439" spans="1:10" ht="16">
      <c r="A439" s="79" t="s">
        <v>1194</v>
      </c>
      <c r="B439" s="79" t="s">
        <v>1195</v>
      </c>
      <c r="C439" s="80" t="s">
        <v>126</v>
      </c>
      <c r="D439" s="81" t="s">
        <v>99</v>
      </c>
      <c r="E439" s="82">
        <v>34651</v>
      </c>
      <c r="F439" s="82">
        <v>1468</v>
      </c>
      <c r="G439" s="82">
        <v>2772</v>
      </c>
      <c r="H439" s="83">
        <v>13.023744816042099</v>
      </c>
      <c r="I439" s="83">
        <v>8869.5239761014054</v>
      </c>
      <c r="J439" s="83">
        <v>16.704823416068677</v>
      </c>
    </row>
    <row r="440" spans="1:10" ht="16">
      <c r="A440" s="79" t="s">
        <v>1239</v>
      </c>
      <c r="B440" s="79" t="s">
        <v>1209</v>
      </c>
      <c r="C440" s="80" t="s">
        <v>95</v>
      </c>
      <c r="D440" s="81" t="s">
        <v>77</v>
      </c>
      <c r="E440" s="82">
        <v>28146</v>
      </c>
      <c r="F440" s="82">
        <v>1864</v>
      </c>
      <c r="G440" s="82">
        <v>4503</v>
      </c>
      <c r="H440" s="83">
        <v>14.882410543784172</v>
      </c>
      <c r="I440" s="83">
        <v>7902.413170426983</v>
      </c>
      <c r="J440" s="83">
        <v>20.610209922885428</v>
      </c>
    </row>
    <row r="441" spans="1:10" ht="16">
      <c r="A441" s="79" t="s">
        <v>529</v>
      </c>
      <c r="B441" s="79" t="s">
        <v>493</v>
      </c>
      <c r="C441" s="80" t="s">
        <v>126</v>
      </c>
      <c r="D441" s="81" t="s">
        <v>76</v>
      </c>
      <c r="E441" s="82">
        <v>23082</v>
      </c>
      <c r="F441" s="82">
        <v>2684</v>
      </c>
      <c r="G441" s="82">
        <v>2539</v>
      </c>
      <c r="H441" s="83">
        <v>12.168151822658057</v>
      </c>
      <c r="I441" s="83">
        <v>1081.6977022239344</v>
      </c>
      <c r="J441" s="83">
        <v>24.387589844861747</v>
      </c>
    </row>
    <row r="442" spans="1:10" ht="16">
      <c r="A442" s="79" t="s">
        <v>375</v>
      </c>
      <c r="B442" s="79" t="s">
        <v>363</v>
      </c>
      <c r="C442" s="80" t="s">
        <v>95</v>
      </c>
      <c r="D442" s="81" t="s">
        <v>99</v>
      </c>
      <c r="E442" s="82">
        <v>140126</v>
      </c>
      <c r="F442" s="82">
        <v>5628</v>
      </c>
      <c r="G442" s="82">
        <v>4204</v>
      </c>
      <c r="H442" s="83">
        <v>9.5629538286805644</v>
      </c>
      <c r="I442" s="83">
        <v>8153.1445224219306</v>
      </c>
      <c r="J442" s="83">
        <v>19.687587219442253</v>
      </c>
    </row>
    <row r="443" spans="1:10" ht="16">
      <c r="A443" s="79" t="s">
        <v>620</v>
      </c>
      <c r="B443" s="79" t="s">
        <v>617</v>
      </c>
      <c r="C443" s="80" t="s">
        <v>126</v>
      </c>
      <c r="D443" s="81" t="s">
        <v>101</v>
      </c>
      <c r="E443" s="82">
        <v>10603</v>
      </c>
      <c r="F443" s="82">
        <v>512</v>
      </c>
      <c r="G443" s="82">
        <v>424</v>
      </c>
      <c r="H443" s="83">
        <v>19.310386820261549</v>
      </c>
      <c r="I443" s="83">
        <v>12453.496686893388</v>
      </c>
      <c r="J443" s="83">
        <v>22.285819397106376</v>
      </c>
    </row>
    <row r="444" spans="1:10" ht="16">
      <c r="A444" s="79" t="s">
        <v>1184</v>
      </c>
      <c r="B444" s="79" t="s">
        <v>1161</v>
      </c>
      <c r="C444" s="80" t="s">
        <v>126</v>
      </c>
      <c r="D444" s="81" t="s">
        <v>101</v>
      </c>
      <c r="E444" s="82">
        <v>59480</v>
      </c>
      <c r="F444" s="82">
        <v>2044</v>
      </c>
      <c r="G444" s="82">
        <v>2379</v>
      </c>
      <c r="H444" s="83">
        <v>9.0600434049966907</v>
      </c>
      <c r="I444" s="83">
        <v>1736.1055948957126</v>
      </c>
      <c r="J444" s="83">
        <v>21.976996632306669</v>
      </c>
    </row>
    <row r="445" spans="1:10" ht="16">
      <c r="A445" s="79" t="s">
        <v>1352</v>
      </c>
      <c r="B445" s="79" t="s">
        <v>1307</v>
      </c>
      <c r="C445" s="80" t="s">
        <v>95</v>
      </c>
      <c r="D445" s="81" t="s">
        <v>79</v>
      </c>
      <c r="E445" s="82">
        <v>10472</v>
      </c>
      <c r="F445" s="82">
        <v>873</v>
      </c>
      <c r="G445" s="82">
        <v>419</v>
      </c>
      <c r="H445" s="83">
        <v>14.817802082246198</v>
      </c>
      <c r="I445" s="83">
        <v>4953.8591951689978</v>
      </c>
      <c r="J445" s="83">
        <v>36.756169869211888</v>
      </c>
    </row>
    <row r="446" spans="1:10" ht="16">
      <c r="A446" s="79" t="s">
        <v>345</v>
      </c>
      <c r="B446" s="79" t="s">
        <v>341</v>
      </c>
      <c r="C446" s="80" t="s">
        <v>95</v>
      </c>
      <c r="D446" s="81" t="s">
        <v>76</v>
      </c>
      <c r="E446" s="82">
        <v>31611</v>
      </c>
      <c r="F446" s="82">
        <v>1565</v>
      </c>
      <c r="G446" s="82">
        <v>6638</v>
      </c>
      <c r="H446" s="83">
        <v>25.91211464504018</v>
      </c>
      <c r="I446" s="83">
        <v>9244.8543979805654</v>
      </c>
      <c r="J446" s="83">
        <v>23.34736539914342</v>
      </c>
    </row>
    <row r="447" spans="1:10" ht="16">
      <c r="A447" s="79" t="s">
        <v>569</v>
      </c>
      <c r="B447" s="79" t="s">
        <v>556</v>
      </c>
      <c r="C447" s="80" t="s">
        <v>95</v>
      </c>
      <c r="D447" s="81" t="s">
        <v>77</v>
      </c>
      <c r="E447" s="82">
        <v>9134</v>
      </c>
      <c r="F447" s="82">
        <v>862</v>
      </c>
      <c r="G447" s="82">
        <v>274</v>
      </c>
      <c r="H447" s="83">
        <v>12.634487670826219</v>
      </c>
      <c r="I447" s="83">
        <v>8995.885886281234</v>
      </c>
      <c r="J447" s="83">
        <v>28.943181497726744</v>
      </c>
    </row>
    <row r="448" spans="1:10" ht="16">
      <c r="A448" s="79" t="s">
        <v>1353</v>
      </c>
      <c r="B448" s="79" t="s">
        <v>1307</v>
      </c>
      <c r="C448" s="80" t="s">
        <v>126</v>
      </c>
      <c r="D448" s="81" t="s">
        <v>103</v>
      </c>
      <c r="E448" s="82">
        <v>11247</v>
      </c>
      <c r="F448" s="82">
        <v>1308</v>
      </c>
      <c r="G448" s="82">
        <v>3824</v>
      </c>
      <c r="H448" s="83">
        <v>92.416430583438455</v>
      </c>
      <c r="I448" s="83">
        <v>91974.445609944465</v>
      </c>
      <c r="J448" s="83">
        <v>91.058097739250499</v>
      </c>
    </row>
    <row r="449" spans="1:10" ht="16">
      <c r="A449" s="79" t="s">
        <v>855</v>
      </c>
      <c r="B449" s="79" t="s">
        <v>853</v>
      </c>
      <c r="C449" s="80" t="s">
        <v>95</v>
      </c>
      <c r="D449" s="81" t="s">
        <v>77</v>
      </c>
      <c r="E449" s="82">
        <v>18653</v>
      </c>
      <c r="F449" s="82">
        <v>1151</v>
      </c>
      <c r="G449" s="82">
        <v>5782</v>
      </c>
      <c r="H449" s="83">
        <v>19.48043540282551</v>
      </c>
      <c r="I449" s="83">
        <v>9291.6189001116836</v>
      </c>
      <c r="J449" s="83">
        <v>23.470624815715908</v>
      </c>
    </row>
    <row r="450" spans="1:10" ht="16">
      <c r="A450" s="79" t="s">
        <v>601</v>
      </c>
      <c r="B450" s="79" t="s">
        <v>600</v>
      </c>
      <c r="C450" s="80" t="s">
        <v>95</v>
      </c>
      <c r="D450" s="81" t="s">
        <v>76</v>
      </c>
      <c r="E450" s="82">
        <v>9291</v>
      </c>
      <c r="F450" s="82">
        <v>328</v>
      </c>
      <c r="G450" s="82">
        <v>1115</v>
      </c>
      <c r="H450" s="83">
        <v>30.109768017362114</v>
      </c>
      <c r="I450" s="83">
        <v>24010.469543713756</v>
      </c>
      <c r="J450" s="83">
        <v>21.22882039292362</v>
      </c>
    </row>
    <row r="451" spans="1:10" ht="16">
      <c r="A451" s="79" t="s">
        <v>208</v>
      </c>
      <c r="B451" s="79" t="s">
        <v>203</v>
      </c>
      <c r="C451" s="80" t="s">
        <v>95</v>
      </c>
      <c r="D451" s="81" t="s">
        <v>101</v>
      </c>
      <c r="E451" s="82">
        <v>31294</v>
      </c>
      <c r="F451" s="82">
        <v>2407</v>
      </c>
      <c r="G451" s="82">
        <v>9075</v>
      </c>
      <c r="H451" s="83">
        <v>72.82342753724258</v>
      </c>
      <c r="I451" s="83">
        <v>60974.890291911644</v>
      </c>
      <c r="J451" s="83">
        <v>65.406950806750018</v>
      </c>
    </row>
    <row r="452" spans="1:10" ht="16">
      <c r="A452" s="79" t="s">
        <v>209</v>
      </c>
      <c r="B452" s="79" t="s">
        <v>203</v>
      </c>
      <c r="C452" s="80" t="s">
        <v>95</v>
      </c>
      <c r="D452" s="81" t="s">
        <v>99</v>
      </c>
      <c r="E452" s="82">
        <v>24412</v>
      </c>
      <c r="F452" s="82">
        <v>869</v>
      </c>
      <c r="G452" s="82">
        <v>4150</v>
      </c>
      <c r="H452" s="83">
        <v>50.456003050754198</v>
      </c>
      <c r="I452" s="83">
        <v>47566.871840299667</v>
      </c>
      <c r="J452" s="83">
        <v>44.728401868185507</v>
      </c>
    </row>
    <row r="453" spans="1:10" ht="16">
      <c r="A453" s="79" t="s">
        <v>148</v>
      </c>
      <c r="B453" s="79" t="s">
        <v>146</v>
      </c>
      <c r="C453" s="80" t="s">
        <v>95</v>
      </c>
      <c r="D453" s="81" t="s">
        <v>149</v>
      </c>
      <c r="E453" s="82">
        <v>3352</v>
      </c>
      <c r="F453" s="82">
        <v>308</v>
      </c>
      <c r="G453" s="82">
        <v>804</v>
      </c>
      <c r="H453" s="83">
        <v>25.614267365205084</v>
      </c>
      <c r="I453" s="83">
        <v>23081.83499466948</v>
      </c>
      <c r="J453" s="83">
        <v>31.802575556467254</v>
      </c>
    </row>
    <row r="454" spans="1:10" ht="16">
      <c r="A454" s="79" t="s">
        <v>150</v>
      </c>
      <c r="B454" s="79" t="s">
        <v>146</v>
      </c>
      <c r="C454" s="80" t="s">
        <v>95</v>
      </c>
      <c r="D454" s="81" t="s">
        <v>79</v>
      </c>
      <c r="E454" s="82">
        <v>2966</v>
      </c>
      <c r="F454" s="82">
        <v>690</v>
      </c>
      <c r="G454" s="82">
        <v>1305</v>
      </c>
      <c r="H454" s="83">
        <v>14.594626835084997</v>
      </c>
      <c r="I454" s="83">
        <v>12725.26975665196</v>
      </c>
      <c r="J454" s="83">
        <v>31.429831635150741</v>
      </c>
    </row>
    <row r="455" spans="1:10" ht="16">
      <c r="A455" s="79" t="s">
        <v>151</v>
      </c>
      <c r="B455" s="79" t="s">
        <v>146</v>
      </c>
      <c r="C455" s="80" t="s">
        <v>95</v>
      </c>
      <c r="D455" s="81" t="s">
        <v>149</v>
      </c>
      <c r="E455" s="82">
        <v>7142</v>
      </c>
      <c r="F455" s="82">
        <v>882</v>
      </c>
      <c r="G455" s="82">
        <v>2143</v>
      </c>
      <c r="H455" s="83">
        <v>23.711804653658898</v>
      </c>
      <c r="I455" s="83">
        <v>21264.611714870705</v>
      </c>
      <c r="J455" s="83">
        <v>33.635188950947388</v>
      </c>
    </row>
    <row r="456" spans="1:10" ht="16">
      <c r="A456" s="79" t="s">
        <v>702</v>
      </c>
      <c r="B456" s="79" t="s">
        <v>661</v>
      </c>
      <c r="C456" s="80" t="s">
        <v>126</v>
      </c>
      <c r="D456" s="81" t="s">
        <v>111</v>
      </c>
      <c r="E456" s="82">
        <v>33309</v>
      </c>
      <c r="F456" s="82">
        <v>2847</v>
      </c>
      <c r="G456" s="82">
        <v>1332</v>
      </c>
      <c r="H456" s="83">
        <v>8.6673444648717712</v>
      </c>
      <c r="I456" s="83">
        <v>982.98893135484457</v>
      </c>
      <c r="J456" s="83">
        <v>18.582517496747545</v>
      </c>
    </row>
    <row r="457" spans="1:10" ht="16">
      <c r="A457" s="79" t="s">
        <v>703</v>
      </c>
      <c r="B457" s="79" t="s">
        <v>661</v>
      </c>
      <c r="C457" s="80" t="s">
        <v>126</v>
      </c>
      <c r="D457" s="81" t="s">
        <v>111</v>
      </c>
      <c r="E457" s="82">
        <v>15412</v>
      </c>
      <c r="F457" s="82">
        <v>491</v>
      </c>
      <c r="G457" s="82">
        <v>154</v>
      </c>
      <c r="H457" s="83">
        <v>10.004998454551771</v>
      </c>
      <c r="I457" s="83">
        <v>1165.5200067435851</v>
      </c>
      <c r="J457" s="83">
        <v>16.121099220020156</v>
      </c>
    </row>
    <row r="458" spans="1:10" ht="16">
      <c r="A458" s="79" t="s">
        <v>210</v>
      </c>
      <c r="B458" s="79" t="s">
        <v>203</v>
      </c>
      <c r="C458" s="80" t="s">
        <v>95</v>
      </c>
      <c r="D458" s="81" t="s">
        <v>99</v>
      </c>
      <c r="E458" s="82">
        <v>15127</v>
      </c>
      <c r="F458" s="82">
        <v>1104</v>
      </c>
      <c r="G458" s="82">
        <v>2723</v>
      </c>
      <c r="H458" s="83">
        <v>19.995116658662599</v>
      </c>
      <c r="I458" s="83">
        <v>11514.665452291427</v>
      </c>
      <c r="J458" s="83">
        <v>21.149568189116195</v>
      </c>
    </row>
    <row r="459" spans="1:10" ht="16">
      <c r="A459" s="79" t="s">
        <v>346</v>
      </c>
      <c r="B459" s="79" t="s">
        <v>341</v>
      </c>
      <c r="C459" s="80" t="s">
        <v>95</v>
      </c>
      <c r="D459" s="81" t="s">
        <v>79</v>
      </c>
      <c r="E459" s="82">
        <v>7215</v>
      </c>
      <c r="F459" s="82">
        <v>501</v>
      </c>
      <c r="G459" s="82">
        <v>1154</v>
      </c>
      <c r="H459" s="83">
        <v>15.669202753481942</v>
      </c>
      <c r="I459" s="83">
        <v>1079.221008004535</v>
      </c>
      <c r="J459" s="83">
        <v>18.885211125618575</v>
      </c>
    </row>
    <row r="460" spans="1:10" ht="16">
      <c r="A460" s="79" t="s">
        <v>376</v>
      </c>
      <c r="B460" s="79" t="s">
        <v>363</v>
      </c>
      <c r="C460" s="80" t="s">
        <v>126</v>
      </c>
      <c r="D460" s="81" t="s">
        <v>76</v>
      </c>
      <c r="E460" s="82">
        <v>84587</v>
      </c>
      <c r="F460" s="82">
        <v>2324</v>
      </c>
      <c r="G460" s="82">
        <v>846</v>
      </c>
      <c r="H460" s="83">
        <v>8.0018365596451382</v>
      </c>
      <c r="I460" s="83">
        <v>1989.6909044569859</v>
      </c>
      <c r="J460" s="83">
        <v>15.864601730128349</v>
      </c>
    </row>
    <row r="461" spans="1:10" ht="16">
      <c r="A461" s="79" t="s">
        <v>823</v>
      </c>
      <c r="B461" s="79" t="s">
        <v>817</v>
      </c>
      <c r="C461" s="80" t="s">
        <v>126</v>
      </c>
      <c r="D461" s="81" t="s">
        <v>79</v>
      </c>
      <c r="E461" s="82">
        <v>57827</v>
      </c>
      <c r="F461" s="82">
        <v>2891</v>
      </c>
      <c r="G461" s="82">
        <v>4024</v>
      </c>
      <c r="H461" s="83">
        <v>16.675782993735599</v>
      </c>
      <c r="I461" s="83">
        <v>11249.911552567324</v>
      </c>
      <c r="J461" s="83">
        <v>16.643618522501043</v>
      </c>
    </row>
    <row r="462" spans="1:10" ht="16">
      <c r="A462" s="79" t="s">
        <v>1354</v>
      </c>
      <c r="B462" s="79" t="s">
        <v>1307</v>
      </c>
      <c r="C462" s="80" t="s">
        <v>95</v>
      </c>
      <c r="D462" s="81" t="s">
        <v>96</v>
      </c>
      <c r="E462" s="82">
        <v>44789</v>
      </c>
      <c r="F462" s="82">
        <v>2714</v>
      </c>
      <c r="G462" s="82">
        <v>7166</v>
      </c>
      <c r="H462" s="83">
        <v>58.221164494318955</v>
      </c>
      <c r="I462" s="83">
        <v>45990.358644283435</v>
      </c>
      <c r="J462" s="83">
        <v>56.915799177810761</v>
      </c>
    </row>
    <row r="463" spans="1:10" ht="16">
      <c r="A463" s="79" t="s">
        <v>1185</v>
      </c>
      <c r="B463" s="79" t="s">
        <v>1161</v>
      </c>
      <c r="C463" s="80" t="s">
        <v>126</v>
      </c>
      <c r="D463" s="81" t="s">
        <v>99</v>
      </c>
      <c r="E463" s="82">
        <v>27455</v>
      </c>
      <c r="F463" s="82">
        <v>869</v>
      </c>
      <c r="G463" s="82">
        <v>1647</v>
      </c>
      <c r="H463" s="83">
        <v>24.057921249813859</v>
      </c>
      <c r="I463" s="83">
        <v>7148.4646144809831</v>
      </c>
      <c r="J463" s="83">
        <v>29.160027920329831</v>
      </c>
    </row>
    <row r="464" spans="1:10" ht="16">
      <c r="A464" s="79" t="s">
        <v>1240</v>
      </c>
      <c r="B464" s="79" t="s">
        <v>1209</v>
      </c>
      <c r="C464" s="80" t="s">
        <v>95</v>
      </c>
      <c r="D464" s="81" t="s">
        <v>111</v>
      </c>
      <c r="E464" s="82">
        <v>15649</v>
      </c>
      <c r="F464" s="82">
        <v>869</v>
      </c>
      <c r="G464" s="82">
        <v>7042</v>
      </c>
      <c r="H464" s="83">
        <v>18.212296599316456</v>
      </c>
      <c r="I464" s="83">
        <v>12864.110406219939</v>
      </c>
      <c r="J464" s="83">
        <v>20.313821606031762</v>
      </c>
    </row>
    <row r="465" spans="1:10" ht="16">
      <c r="A465" s="79" t="s">
        <v>704</v>
      </c>
      <c r="B465" s="79" t="s">
        <v>661</v>
      </c>
      <c r="C465" s="80" t="s">
        <v>126</v>
      </c>
      <c r="D465" s="81" t="s">
        <v>79</v>
      </c>
      <c r="E465" s="82">
        <v>7118</v>
      </c>
      <c r="F465" s="82">
        <v>749</v>
      </c>
      <c r="G465" s="82">
        <v>214</v>
      </c>
      <c r="H465" s="83">
        <v>11.856028564134316</v>
      </c>
      <c r="I465" s="83">
        <v>2444.5664426733229</v>
      </c>
      <c r="J465" s="83">
        <v>21.846952031561901</v>
      </c>
    </row>
    <row r="466" spans="1:10" ht="16">
      <c r="A466" s="79" t="s">
        <v>1109</v>
      </c>
      <c r="B466" s="79" t="s">
        <v>1100</v>
      </c>
      <c r="C466" s="80" t="s">
        <v>95</v>
      </c>
      <c r="D466" s="81" t="s">
        <v>79</v>
      </c>
      <c r="E466" s="82">
        <v>18590</v>
      </c>
      <c r="F466" s="82">
        <v>819</v>
      </c>
      <c r="G466" s="82">
        <v>2231</v>
      </c>
      <c r="H466" s="83">
        <v>12.072056235747885</v>
      </c>
      <c r="I466" s="83">
        <v>1146.797468848267</v>
      </c>
      <c r="J466" s="83">
        <v>14.463916368624277</v>
      </c>
    </row>
    <row r="467" spans="1:10" ht="16">
      <c r="A467" s="79" t="s">
        <v>377</v>
      </c>
      <c r="B467" s="79" t="s">
        <v>363</v>
      </c>
      <c r="C467" s="80" t="s">
        <v>95</v>
      </c>
      <c r="D467" s="81" t="s">
        <v>75</v>
      </c>
      <c r="E467" s="82">
        <v>59181</v>
      </c>
      <c r="F467" s="82">
        <v>3794</v>
      </c>
      <c r="G467" s="82">
        <v>592</v>
      </c>
      <c r="H467" s="83">
        <v>7.3236835080788119</v>
      </c>
      <c r="I467" s="83">
        <v>1714.8661688674015</v>
      </c>
      <c r="J467" s="83">
        <v>16.053734577918792</v>
      </c>
    </row>
    <row r="468" spans="1:10" ht="16">
      <c r="A468" s="79" t="s">
        <v>949</v>
      </c>
      <c r="B468" s="79" t="s">
        <v>938</v>
      </c>
      <c r="C468" s="80" t="s">
        <v>126</v>
      </c>
      <c r="D468" s="81" t="s">
        <v>111</v>
      </c>
      <c r="E468" s="82">
        <v>19965</v>
      </c>
      <c r="F468" s="82">
        <v>1174</v>
      </c>
      <c r="G468" s="82">
        <v>599</v>
      </c>
      <c r="H468" s="83">
        <v>10.187482974649136</v>
      </c>
      <c r="I468" s="83">
        <v>413.85179785112689</v>
      </c>
      <c r="J468" s="83">
        <v>16.096746157215069</v>
      </c>
    </row>
    <row r="469" spans="1:10" ht="16">
      <c r="A469" s="79" t="s">
        <v>1355</v>
      </c>
      <c r="B469" s="79" t="s">
        <v>1307</v>
      </c>
      <c r="C469" s="80" t="s">
        <v>95</v>
      </c>
      <c r="D469" s="81" t="s">
        <v>75</v>
      </c>
      <c r="E469" s="82">
        <v>26121</v>
      </c>
      <c r="F469" s="82">
        <v>1375</v>
      </c>
      <c r="G469" s="82">
        <v>784</v>
      </c>
      <c r="H469" s="83">
        <v>16.24439614428282</v>
      </c>
      <c r="I469" s="83">
        <v>6911.7028885135951</v>
      </c>
      <c r="J469" s="83">
        <v>22.556135357967342</v>
      </c>
    </row>
    <row r="470" spans="1:10" ht="16">
      <c r="A470" s="79" t="s">
        <v>1356</v>
      </c>
      <c r="B470" s="79" t="s">
        <v>1307</v>
      </c>
      <c r="C470" s="80" t="s">
        <v>126</v>
      </c>
      <c r="D470" s="81" t="s">
        <v>75</v>
      </c>
      <c r="E470" s="82">
        <v>8084</v>
      </c>
      <c r="F470" s="82">
        <v>364</v>
      </c>
      <c r="G470" s="82">
        <v>1132</v>
      </c>
      <c r="H470" s="83">
        <v>25.155563798889641</v>
      </c>
      <c r="I470" s="83">
        <v>14584.02575394528</v>
      </c>
      <c r="J470" s="83">
        <v>25.199550303930042</v>
      </c>
    </row>
    <row r="471" spans="1:10" ht="16">
      <c r="A471" s="79" t="s">
        <v>832</v>
      </c>
      <c r="B471" s="79" t="s">
        <v>833</v>
      </c>
      <c r="C471" s="80" t="s">
        <v>95</v>
      </c>
      <c r="D471" s="81" t="s">
        <v>77</v>
      </c>
      <c r="E471" s="82">
        <v>81914</v>
      </c>
      <c r="F471" s="82">
        <v>2453</v>
      </c>
      <c r="G471" s="82">
        <v>4096</v>
      </c>
      <c r="H471" s="83">
        <v>10.12897735642602</v>
      </c>
      <c r="I471" s="83">
        <v>1665.9986297173948</v>
      </c>
      <c r="J471" s="83">
        <v>29.067243708162085</v>
      </c>
    </row>
    <row r="472" spans="1:10" ht="16">
      <c r="A472" s="79" t="s">
        <v>122</v>
      </c>
      <c r="B472" s="79" t="s">
        <v>108</v>
      </c>
      <c r="C472" s="80" t="s">
        <v>95</v>
      </c>
      <c r="D472" s="81" t="s">
        <v>99</v>
      </c>
      <c r="E472" s="82">
        <v>52989</v>
      </c>
      <c r="F472" s="82">
        <v>1563</v>
      </c>
      <c r="G472" s="82">
        <v>20666</v>
      </c>
      <c r="H472" s="83">
        <v>56.605630291428362</v>
      </c>
      <c r="I472" s="83">
        <v>47439.139781638863</v>
      </c>
      <c r="J472" s="83">
        <v>47.865096357108975</v>
      </c>
    </row>
    <row r="473" spans="1:10" ht="16">
      <c r="A473" s="79" t="s">
        <v>1357</v>
      </c>
      <c r="B473" s="79" t="s">
        <v>1307</v>
      </c>
      <c r="C473" s="80" t="s">
        <v>126</v>
      </c>
      <c r="D473" s="81" t="s">
        <v>77</v>
      </c>
      <c r="E473" s="82">
        <v>14357</v>
      </c>
      <c r="F473" s="82">
        <v>740</v>
      </c>
      <c r="G473" s="82">
        <v>431</v>
      </c>
      <c r="H473" s="83">
        <v>19.548213721575923</v>
      </c>
      <c r="I473" s="83">
        <v>13063.793990550177</v>
      </c>
      <c r="J473" s="83">
        <v>19.573855498107694</v>
      </c>
    </row>
    <row r="474" spans="1:10" ht="16">
      <c r="A474" s="79" t="s">
        <v>824</v>
      </c>
      <c r="B474" s="79" t="s">
        <v>817</v>
      </c>
      <c r="C474" s="80" t="s">
        <v>126</v>
      </c>
      <c r="D474" s="81" t="s">
        <v>149</v>
      </c>
      <c r="E474" s="82">
        <v>14343</v>
      </c>
      <c r="F474" s="82">
        <v>885</v>
      </c>
      <c r="G474" s="82">
        <v>1578</v>
      </c>
      <c r="H474" s="83">
        <v>19.113500888875066</v>
      </c>
      <c r="I474" s="83">
        <v>7623.797661460093</v>
      </c>
      <c r="J474" s="83">
        <v>21.094546497926761</v>
      </c>
    </row>
    <row r="475" spans="1:10" ht="16">
      <c r="A475" s="79" t="s">
        <v>401</v>
      </c>
      <c r="B475" s="79" t="s">
        <v>396</v>
      </c>
      <c r="C475" s="80" t="s">
        <v>95</v>
      </c>
      <c r="D475" s="81" t="s">
        <v>76</v>
      </c>
      <c r="E475" s="82">
        <v>39405</v>
      </c>
      <c r="F475" s="82">
        <v>2021</v>
      </c>
      <c r="G475" s="82">
        <v>5911</v>
      </c>
      <c r="H475" s="83">
        <v>27.303294800037222</v>
      </c>
      <c r="I475" s="83">
        <v>18224.444278642379</v>
      </c>
      <c r="J475" s="83">
        <v>36.404361367378307</v>
      </c>
    </row>
    <row r="476" spans="1:10" ht="16">
      <c r="A476" s="79" t="s">
        <v>950</v>
      </c>
      <c r="B476" s="79" t="s">
        <v>938</v>
      </c>
      <c r="C476" s="80" t="s">
        <v>126</v>
      </c>
      <c r="D476" s="81" t="s">
        <v>79</v>
      </c>
      <c r="E476" s="82">
        <v>15248</v>
      </c>
      <c r="F476" s="82">
        <v>1303</v>
      </c>
      <c r="G476" s="82">
        <v>1372</v>
      </c>
      <c r="H476" s="83">
        <v>12.678947160063389</v>
      </c>
      <c r="I476" s="83">
        <v>353.34925221311966</v>
      </c>
      <c r="J476" s="83">
        <v>24.18451003563678</v>
      </c>
    </row>
    <row r="477" spans="1:10" ht="16">
      <c r="A477" s="79" t="s">
        <v>951</v>
      </c>
      <c r="B477" s="79" t="s">
        <v>938</v>
      </c>
      <c r="C477" s="80" t="s">
        <v>126</v>
      </c>
      <c r="D477" s="81" t="s">
        <v>77</v>
      </c>
      <c r="E477" s="82">
        <v>5716</v>
      </c>
      <c r="F477" s="82">
        <v>510</v>
      </c>
      <c r="G477" s="82">
        <v>857</v>
      </c>
      <c r="H477" s="83">
        <v>46.546892075196709</v>
      </c>
      <c r="I477" s="83">
        <v>21558.449995460771</v>
      </c>
      <c r="J477" s="83">
        <v>53.629676429108287</v>
      </c>
    </row>
    <row r="478" spans="1:10" ht="16">
      <c r="A478" s="79" t="s">
        <v>952</v>
      </c>
      <c r="B478" s="79" t="s">
        <v>938</v>
      </c>
      <c r="C478" s="80" t="s">
        <v>126</v>
      </c>
      <c r="D478" s="81" t="s">
        <v>79</v>
      </c>
      <c r="E478" s="82">
        <v>11422</v>
      </c>
      <c r="F478" s="82">
        <v>777</v>
      </c>
      <c r="G478" s="82">
        <v>1142</v>
      </c>
      <c r="H478" s="83">
        <v>11.260177000090117</v>
      </c>
      <c r="I478" s="83">
        <v>623.24202492669133</v>
      </c>
      <c r="J478" s="83">
        <v>19.595557473419532</v>
      </c>
    </row>
    <row r="479" spans="1:10" ht="16">
      <c r="A479" s="79" t="s">
        <v>800</v>
      </c>
      <c r="B479" s="79" t="s">
        <v>801</v>
      </c>
      <c r="C479" s="80" t="s">
        <v>126</v>
      </c>
      <c r="D479" s="81" t="s">
        <v>77</v>
      </c>
      <c r="E479" s="82">
        <v>11080</v>
      </c>
      <c r="F479" s="82">
        <v>833</v>
      </c>
      <c r="G479" s="82">
        <v>997</v>
      </c>
      <c r="H479" s="83">
        <v>10.347140693051493</v>
      </c>
      <c r="I479" s="83">
        <v>1095.2397745137985</v>
      </c>
      <c r="J479" s="83">
        <v>17.149758309606963</v>
      </c>
    </row>
    <row r="480" spans="1:10" ht="16">
      <c r="A480" s="79" t="s">
        <v>123</v>
      </c>
      <c r="B480" s="79" t="s">
        <v>108</v>
      </c>
      <c r="C480" s="80" t="s">
        <v>95</v>
      </c>
      <c r="D480" s="81" t="s">
        <v>101</v>
      </c>
      <c r="E480" s="82">
        <v>14905</v>
      </c>
      <c r="F480" s="82">
        <v>538</v>
      </c>
      <c r="G480" s="82">
        <v>5515</v>
      </c>
      <c r="H480" s="83">
        <v>24.984881080934802</v>
      </c>
      <c r="I480" s="83">
        <v>15430.613006960966</v>
      </c>
      <c r="J480" s="83">
        <v>19.476530184272974</v>
      </c>
    </row>
    <row r="481" spans="1:10" ht="16">
      <c r="A481" s="79" t="s">
        <v>705</v>
      </c>
      <c r="B481" s="79" t="s">
        <v>661</v>
      </c>
      <c r="C481" s="80" t="s">
        <v>126</v>
      </c>
      <c r="D481" s="81" t="s">
        <v>149</v>
      </c>
      <c r="E481" s="82">
        <v>3365</v>
      </c>
      <c r="F481" s="82">
        <v>192</v>
      </c>
      <c r="G481" s="82">
        <v>135</v>
      </c>
      <c r="H481" s="83">
        <v>10.36499275216765</v>
      </c>
      <c r="I481" s="83">
        <v>4019.729910283445</v>
      </c>
      <c r="J481" s="83">
        <v>16.188595625944878</v>
      </c>
    </row>
    <row r="482" spans="1:10" ht="16">
      <c r="A482" s="79" t="s">
        <v>706</v>
      </c>
      <c r="B482" s="79" t="s">
        <v>661</v>
      </c>
      <c r="C482" s="80" t="s">
        <v>126</v>
      </c>
      <c r="D482" s="81" t="s">
        <v>77</v>
      </c>
      <c r="E482" s="82">
        <v>2300</v>
      </c>
      <c r="F482" s="82">
        <v>215</v>
      </c>
      <c r="G482" s="82">
        <v>276</v>
      </c>
      <c r="H482" s="83">
        <v>15.410422758628345</v>
      </c>
      <c r="I482" s="83">
        <v>1720.0700635925441</v>
      </c>
      <c r="J482" s="83">
        <v>25.114442831059375</v>
      </c>
    </row>
    <row r="483" spans="1:10" ht="16">
      <c r="A483" s="79" t="s">
        <v>707</v>
      </c>
      <c r="B483" s="79" t="s">
        <v>661</v>
      </c>
      <c r="C483" s="80" t="s">
        <v>126</v>
      </c>
      <c r="D483" s="81" t="s">
        <v>103</v>
      </c>
      <c r="E483" s="82">
        <v>9163</v>
      </c>
      <c r="F483" s="82">
        <v>1309</v>
      </c>
      <c r="G483" s="82">
        <v>367</v>
      </c>
      <c r="H483" s="83">
        <v>14.81288249754869</v>
      </c>
      <c r="I483" s="83">
        <v>3366.783483906434</v>
      </c>
      <c r="J483" s="83">
        <v>26.192318394294151</v>
      </c>
    </row>
    <row r="484" spans="1:10" ht="16">
      <c r="A484" s="79" t="s">
        <v>708</v>
      </c>
      <c r="B484" s="79" t="s">
        <v>661</v>
      </c>
      <c r="C484" s="80" t="s">
        <v>95</v>
      </c>
      <c r="D484" s="81" t="s">
        <v>78</v>
      </c>
      <c r="E484" s="82">
        <v>4444</v>
      </c>
      <c r="F484" s="82">
        <v>585</v>
      </c>
      <c r="G484" s="82">
        <v>89</v>
      </c>
      <c r="H484" s="83">
        <v>14.707944578650933</v>
      </c>
      <c r="I484" s="83">
        <v>3883.3808110981572</v>
      </c>
      <c r="J484" s="83">
        <v>24.193316919140457</v>
      </c>
    </row>
    <row r="485" spans="1:10" ht="16">
      <c r="A485" s="79" t="s">
        <v>709</v>
      </c>
      <c r="B485" s="79" t="s">
        <v>661</v>
      </c>
      <c r="C485" s="80" t="s">
        <v>126</v>
      </c>
      <c r="D485" s="81" t="s">
        <v>149</v>
      </c>
      <c r="E485" s="82">
        <v>5661</v>
      </c>
      <c r="F485" s="82">
        <v>349</v>
      </c>
      <c r="G485" s="82">
        <v>226</v>
      </c>
      <c r="H485" s="83">
        <v>20.015245794898657</v>
      </c>
      <c r="I485" s="83">
        <v>2490.7837756980398</v>
      </c>
      <c r="J485" s="83">
        <v>18.944573077267812</v>
      </c>
    </row>
    <row r="486" spans="1:10" ht="16">
      <c r="A486" s="79" t="s">
        <v>710</v>
      </c>
      <c r="B486" s="79" t="s">
        <v>661</v>
      </c>
      <c r="C486" s="80" t="s">
        <v>126</v>
      </c>
      <c r="D486" s="81" t="s">
        <v>75</v>
      </c>
      <c r="E486" s="82">
        <v>15676</v>
      </c>
      <c r="F486" s="82">
        <v>1704</v>
      </c>
      <c r="G486" s="82">
        <v>1724</v>
      </c>
      <c r="H486" s="83">
        <v>48.686946445020808</v>
      </c>
      <c r="I486" s="83">
        <v>20768.526210287029</v>
      </c>
      <c r="J486" s="83">
        <v>48.325195956600474</v>
      </c>
    </row>
    <row r="487" spans="1:10" ht="16">
      <c r="A487" s="79" t="s">
        <v>271</v>
      </c>
      <c r="B487" s="79" t="s">
        <v>242</v>
      </c>
      <c r="C487" s="80" t="s">
        <v>95</v>
      </c>
      <c r="D487" s="81" t="s">
        <v>111</v>
      </c>
      <c r="E487" s="82">
        <v>25963</v>
      </c>
      <c r="F487" s="82">
        <v>1633</v>
      </c>
      <c r="G487" s="82">
        <v>779</v>
      </c>
      <c r="H487" s="83">
        <v>17.659929819792108</v>
      </c>
      <c r="I487" s="83">
        <v>7439.4318721602813</v>
      </c>
      <c r="J487" s="83">
        <v>24.126894676473693</v>
      </c>
    </row>
    <row r="488" spans="1:10" ht="16">
      <c r="A488" s="79" t="s">
        <v>272</v>
      </c>
      <c r="B488" s="79" t="s">
        <v>242</v>
      </c>
      <c r="C488" s="80" t="s">
        <v>126</v>
      </c>
      <c r="D488" s="81" t="s">
        <v>78</v>
      </c>
      <c r="E488" s="82">
        <v>15420</v>
      </c>
      <c r="F488" s="82">
        <v>1713</v>
      </c>
      <c r="G488" s="82">
        <v>771</v>
      </c>
      <c r="H488" s="83">
        <v>26.669989062751483</v>
      </c>
      <c r="I488" s="83">
        <v>9348.2470491851145</v>
      </c>
      <c r="J488" s="83">
        <v>38.262595714815049</v>
      </c>
    </row>
    <row r="489" spans="1:10" ht="16">
      <c r="A489" s="79" t="s">
        <v>273</v>
      </c>
      <c r="B489" s="79" t="s">
        <v>242</v>
      </c>
      <c r="C489" s="80" t="s">
        <v>95</v>
      </c>
      <c r="D489" s="81" t="s">
        <v>149</v>
      </c>
      <c r="E489" s="82">
        <v>27490</v>
      </c>
      <c r="F489" s="82">
        <v>2083</v>
      </c>
      <c r="G489" s="82">
        <v>825</v>
      </c>
      <c r="H489" s="83">
        <v>12.397431843565958</v>
      </c>
      <c r="I489" s="83">
        <v>6610.8911552937643</v>
      </c>
      <c r="J489" s="83">
        <v>21.057380703437261</v>
      </c>
    </row>
    <row r="490" spans="1:10" ht="16">
      <c r="A490" s="79" t="s">
        <v>274</v>
      </c>
      <c r="B490" s="79" t="s">
        <v>242</v>
      </c>
      <c r="C490" s="80" t="s">
        <v>95</v>
      </c>
      <c r="D490" s="81" t="s">
        <v>77</v>
      </c>
      <c r="E490" s="82">
        <v>33175</v>
      </c>
      <c r="F490" s="82">
        <v>2387</v>
      </c>
      <c r="G490" s="82">
        <v>664</v>
      </c>
      <c r="H490" s="83">
        <v>12.247652735718091</v>
      </c>
      <c r="I490" s="83">
        <v>6454.0225974613031</v>
      </c>
      <c r="J490" s="83">
        <v>17.939578875378206</v>
      </c>
    </row>
    <row r="491" spans="1:10" ht="16">
      <c r="A491" s="79" t="s">
        <v>275</v>
      </c>
      <c r="B491" s="79" t="s">
        <v>242</v>
      </c>
      <c r="C491" s="80" t="s">
        <v>126</v>
      </c>
      <c r="D491" s="81" t="s">
        <v>96</v>
      </c>
      <c r="E491" s="82">
        <v>34569</v>
      </c>
      <c r="F491" s="82">
        <v>2230</v>
      </c>
      <c r="G491" s="82">
        <v>3457</v>
      </c>
      <c r="H491" s="83">
        <v>48.519224101285559</v>
      </c>
      <c r="I491" s="83">
        <v>34482.341490194674</v>
      </c>
      <c r="J491" s="83">
        <v>51.058726164176541</v>
      </c>
    </row>
    <row r="492" spans="1:10" ht="16">
      <c r="A492" s="79" t="s">
        <v>276</v>
      </c>
      <c r="B492" s="79" t="s">
        <v>242</v>
      </c>
      <c r="C492" s="80" t="s">
        <v>126</v>
      </c>
      <c r="D492" s="81" t="s">
        <v>96</v>
      </c>
      <c r="E492" s="82">
        <v>29542</v>
      </c>
      <c r="F492" s="82">
        <v>1780</v>
      </c>
      <c r="G492" s="82">
        <v>886</v>
      </c>
      <c r="H492" s="83">
        <v>21.73031391070413</v>
      </c>
      <c r="I492" s="83">
        <v>4195.4006816249739</v>
      </c>
      <c r="J492" s="83">
        <v>21.760508033920871</v>
      </c>
    </row>
    <row r="493" spans="1:10" ht="16">
      <c r="A493" s="79" t="s">
        <v>277</v>
      </c>
      <c r="B493" s="79" t="s">
        <v>242</v>
      </c>
      <c r="C493" s="80" t="s">
        <v>126</v>
      </c>
      <c r="D493" s="81" t="s">
        <v>99</v>
      </c>
      <c r="E493" s="82">
        <v>21857</v>
      </c>
      <c r="F493" s="82">
        <v>1410</v>
      </c>
      <c r="G493" s="82">
        <v>656</v>
      </c>
      <c r="H493" s="83">
        <v>15.678953574350484</v>
      </c>
      <c r="I493" s="83">
        <v>10478.590904982495</v>
      </c>
      <c r="J493" s="83">
        <v>17.388217640600775</v>
      </c>
    </row>
    <row r="494" spans="1:10" ht="16">
      <c r="A494" s="79" t="s">
        <v>278</v>
      </c>
      <c r="B494" s="79" t="s">
        <v>242</v>
      </c>
      <c r="C494" s="80" t="s">
        <v>95</v>
      </c>
      <c r="D494" s="81" t="s">
        <v>111</v>
      </c>
      <c r="E494" s="82">
        <v>28061</v>
      </c>
      <c r="F494" s="82">
        <v>2110</v>
      </c>
      <c r="G494" s="82">
        <v>1964</v>
      </c>
      <c r="H494" s="83">
        <v>22.640418782157738</v>
      </c>
      <c r="I494" s="83">
        <v>16526.900827714391</v>
      </c>
      <c r="J494" s="83">
        <v>36.387741875682458</v>
      </c>
    </row>
    <row r="495" spans="1:10" ht="16">
      <c r="A495" s="79" t="s">
        <v>985</v>
      </c>
      <c r="B495" s="79" t="s">
        <v>986</v>
      </c>
      <c r="C495" s="80" t="s">
        <v>126</v>
      </c>
      <c r="D495" s="81" t="s">
        <v>79</v>
      </c>
      <c r="E495" s="82">
        <v>25088</v>
      </c>
      <c r="F495" s="82">
        <v>1578</v>
      </c>
      <c r="G495" s="82">
        <v>6774</v>
      </c>
      <c r="H495" s="83">
        <v>70.454934794728416</v>
      </c>
      <c r="I495" s="83">
        <v>59780.277076418912</v>
      </c>
      <c r="J495" s="83">
        <v>57.814414550117014</v>
      </c>
    </row>
    <row r="496" spans="1:10" ht="16">
      <c r="A496" s="79" t="s">
        <v>711</v>
      </c>
      <c r="B496" s="79" t="s">
        <v>661</v>
      </c>
      <c r="C496" s="80" t="s">
        <v>126</v>
      </c>
      <c r="D496" s="81" t="s">
        <v>111</v>
      </c>
      <c r="E496" s="82">
        <v>1240</v>
      </c>
      <c r="F496" s="82">
        <v>376</v>
      </c>
      <c r="G496" s="82">
        <v>12</v>
      </c>
      <c r="H496" s="83">
        <v>11.613039229620183</v>
      </c>
      <c r="I496" s="83">
        <v>2348.2206891717829</v>
      </c>
      <c r="J496" s="83">
        <v>25.765068347833989</v>
      </c>
    </row>
    <row r="497" spans="1:10" ht="16">
      <c r="A497" s="79" t="s">
        <v>1147</v>
      </c>
      <c r="B497" s="79" t="s">
        <v>1139</v>
      </c>
      <c r="C497" s="80" t="s">
        <v>95</v>
      </c>
      <c r="D497" s="81" t="s">
        <v>79</v>
      </c>
      <c r="E497" s="82">
        <v>22863</v>
      </c>
      <c r="F497" s="82">
        <v>1466</v>
      </c>
      <c r="G497" s="82">
        <v>229</v>
      </c>
      <c r="H497" s="83">
        <v>8.6085978416205897</v>
      </c>
      <c r="I497" s="83">
        <v>987.85089133342001</v>
      </c>
      <c r="J497" s="83">
        <v>17.566542349683527</v>
      </c>
    </row>
    <row r="498" spans="1:10" ht="16">
      <c r="A498" s="79" t="s">
        <v>470</v>
      </c>
      <c r="B498" s="79" t="s">
        <v>467</v>
      </c>
      <c r="C498" s="80" t="s">
        <v>95</v>
      </c>
      <c r="D498" s="81" t="s">
        <v>149</v>
      </c>
      <c r="E498" s="82">
        <v>57697</v>
      </c>
      <c r="F498" s="82">
        <v>2032</v>
      </c>
      <c r="G498" s="82">
        <v>5770</v>
      </c>
      <c r="H498" s="83">
        <v>15.607605650249376</v>
      </c>
      <c r="I498" s="83">
        <v>10958.499304030898</v>
      </c>
      <c r="J498" s="83">
        <v>22.088199474485787</v>
      </c>
    </row>
    <row r="499" spans="1:10" ht="16">
      <c r="A499" s="79" t="s">
        <v>825</v>
      </c>
      <c r="B499" s="79" t="s">
        <v>817</v>
      </c>
      <c r="C499" s="80" t="s">
        <v>95</v>
      </c>
      <c r="D499" s="81" t="s">
        <v>103</v>
      </c>
      <c r="E499" s="82">
        <v>161718</v>
      </c>
      <c r="F499" s="82">
        <v>9457</v>
      </c>
      <c r="G499" s="82">
        <v>12937</v>
      </c>
      <c r="H499" s="83">
        <v>30.732158074765199</v>
      </c>
      <c r="I499" s="83">
        <v>5753.7487225580771</v>
      </c>
      <c r="J499" s="83">
        <v>32.844909365753942</v>
      </c>
    </row>
    <row r="500" spans="1:10" ht="16">
      <c r="A500" s="79" t="s">
        <v>1110</v>
      </c>
      <c r="B500" s="79" t="s">
        <v>1100</v>
      </c>
      <c r="C500" s="80" t="s">
        <v>126</v>
      </c>
      <c r="D500" s="81" t="s">
        <v>79</v>
      </c>
      <c r="E500" s="82">
        <v>10838</v>
      </c>
      <c r="F500" s="82">
        <v>1153</v>
      </c>
      <c r="G500" s="82">
        <v>1084</v>
      </c>
      <c r="H500" s="83">
        <v>22.713542751877991</v>
      </c>
      <c r="I500" s="83">
        <v>5014.9122791379586</v>
      </c>
      <c r="J500" s="83">
        <v>25.608089603113058</v>
      </c>
    </row>
    <row r="501" spans="1:10" ht="16">
      <c r="A501" s="79" t="s">
        <v>1111</v>
      </c>
      <c r="B501" s="79" t="s">
        <v>1100</v>
      </c>
      <c r="C501" s="80" t="s">
        <v>95</v>
      </c>
      <c r="D501" s="81" t="s">
        <v>75</v>
      </c>
      <c r="E501" s="82">
        <v>8180</v>
      </c>
      <c r="F501" s="82">
        <v>375</v>
      </c>
      <c r="G501" s="82">
        <v>654</v>
      </c>
      <c r="H501" s="83">
        <v>18.631079218822684</v>
      </c>
      <c r="I501" s="83">
        <v>2253.7223124818111</v>
      </c>
      <c r="J501" s="83">
        <v>20.731112918806971</v>
      </c>
    </row>
    <row r="502" spans="1:10" ht="16">
      <c r="A502" s="79" t="s">
        <v>1112</v>
      </c>
      <c r="B502" s="79" t="s">
        <v>1100</v>
      </c>
      <c r="C502" s="80" t="s">
        <v>126</v>
      </c>
      <c r="D502" s="81" t="s">
        <v>103</v>
      </c>
      <c r="E502" s="82">
        <v>20663</v>
      </c>
      <c r="F502" s="82">
        <v>1508</v>
      </c>
      <c r="G502" s="82">
        <v>2686</v>
      </c>
      <c r="H502" s="83">
        <v>41.52591822404964</v>
      </c>
      <c r="I502" s="83">
        <v>9423.5427771490904</v>
      </c>
      <c r="J502" s="83">
        <v>33.679301766903528</v>
      </c>
    </row>
    <row r="503" spans="1:10" ht="16">
      <c r="A503" s="79" t="s">
        <v>1113</v>
      </c>
      <c r="B503" s="79" t="s">
        <v>1100</v>
      </c>
      <c r="C503" s="80" t="s">
        <v>95</v>
      </c>
      <c r="D503" s="81" t="s">
        <v>111</v>
      </c>
      <c r="E503" s="82">
        <v>13558</v>
      </c>
      <c r="F503" s="82">
        <v>869</v>
      </c>
      <c r="G503" s="82">
        <v>2169</v>
      </c>
      <c r="H503" s="83">
        <v>29.959018389308468</v>
      </c>
      <c r="I503" s="83">
        <v>3877.0102106506815</v>
      </c>
      <c r="J503" s="83">
        <v>24.10154357412771</v>
      </c>
    </row>
    <row r="504" spans="1:10" ht="16">
      <c r="A504" s="79" t="s">
        <v>1114</v>
      </c>
      <c r="B504" s="79" t="s">
        <v>1100</v>
      </c>
      <c r="C504" s="80" t="s">
        <v>126</v>
      </c>
      <c r="D504" s="81" t="s">
        <v>79</v>
      </c>
      <c r="E504" s="82">
        <v>12017</v>
      </c>
      <c r="F504" s="82">
        <v>720</v>
      </c>
      <c r="G504" s="82">
        <v>1442</v>
      </c>
      <c r="H504" s="83">
        <v>43.546484395153605</v>
      </c>
      <c r="I504" s="83">
        <v>11107.296271336818</v>
      </c>
      <c r="J504" s="83">
        <v>35.889399288664841</v>
      </c>
    </row>
    <row r="505" spans="1:10" ht="16">
      <c r="A505" s="79" t="s">
        <v>1115</v>
      </c>
      <c r="B505" s="79" t="s">
        <v>1100</v>
      </c>
      <c r="C505" s="80" t="s">
        <v>126</v>
      </c>
      <c r="D505" s="81" t="s">
        <v>101</v>
      </c>
      <c r="E505" s="82">
        <v>12219</v>
      </c>
      <c r="F505" s="82">
        <v>465</v>
      </c>
      <c r="G505" s="82">
        <v>367</v>
      </c>
      <c r="H505" s="83">
        <v>12.794783577760374</v>
      </c>
      <c r="I505" s="83">
        <v>994.86731233666922</v>
      </c>
      <c r="J505" s="83">
        <v>15.52623391995931</v>
      </c>
    </row>
    <row r="506" spans="1:10" ht="16">
      <c r="A506" s="79" t="s">
        <v>1116</v>
      </c>
      <c r="B506" s="79" t="s">
        <v>1100</v>
      </c>
      <c r="C506" s="80" t="s">
        <v>126</v>
      </c>
      <c r="D506" s="81" t="s">
        <v>99</v>
      </c>
      <c r="E506" s="82">
        <v>7158</v>
      </c>
      <c r="F506" s="82">
        <v>287</v>
      </c>
      <c r="G506" s="82">
        <v>286</v>
      </c>
      <c r="H506" s="83">
        <v>20.396516167331157</v>
      </c>
      <c r="I506" s="83">
        <v>857.12477260372293</v>
      </c>
      <c r="J506" s="83">
        <v>14.382521490289582</v>
      </c>
    </row>
    <row r="507" spans="1:10" ht="16">
      <c r="A507" s="79" t="s">
        <v>1117</v>
      </c>
      <c r="B507" s="79" t="s">
        <v>1100</v>
      </c>
      <c r="C507" s="80" t="s">
        <v>126</v>
      </c>
      <c r="D507" s="81" t="s">
        <v>111</v>
      </c>
      <c r="E507" s="82">
        <v>10161</v>
      </c>
      <c r="F507" s="82">
        <v>682</v>
      </c>
      <c r="G507" s="82">
        <v>508</v>
      </c>
      <c r="H507" s="83">
        <v>19.192333403685367</v>
      </c>
      <c r="I507" s="83">
        <v>2508.5010369687934</v>
      </c>
      <c r="J507" s="83">
        <v>19.63001758043081</v>
      </c>
    </row>
    <row r="508" spans="1:10" ht="16">
      <c r="A508" s="79" t="s">
        <v>1118</v>
      </c>
      <c r="B508" s="79" t="s">
        <v>1100</v>
      </c>
      <c r="C508" s="80" t="s">
        <v>126</v>
      </c>
      <c r="D508" s="81" t="s">
        <v>78</v>
      </c>
      <c r="E508" s="82">
        <v>15077</v>
      </c>
      <c r="F508" s="82">
        <v>1012</v>
      </c>
      <c r="G508" s="82">
        <v>754</v>
      </c>
      <c r="H508" s="83">
        <v>17.458180922684093</v>
      </c>
      <c r="I508" s="83">
        <v>3143.2159570764088</v>
      </c>
      <c r="J508" s="83">
        <v>21.546328850883857</v>
      </c>
    </row>
    <row r="509" spans="1:10" ht="16">
      <c r="A509" s="79" t="s">
        <v>1119</v>
      </c>
      <c r="B509" s="79" t="s">
        <v>1100</v>
      </c>
      <c r="C509" s="80" t="s">
        <v>95</v>
      </c>
      <c r="D509" s="81" t="s">
        <v>99</v>
      </c>
      <c r="E509" s="82">
        <v>10269</v>
      </c>
      <c r="F509" s="82">
        <v>567</v>
      </c>
      <c r="G509" s="82">
        <v>924</v>
      </c>
      <c r="H509" s="83">
        <v>24.783049631556182</v>
      </c>
      <c r="I509" s="83">
        <v>7126.6890041690431</v>
      </c>
      <c r="J509" s="83">
        <v>16.5372252733609</v>
      </c>
    </row>
    <row r="510" spans="1:10" ht="16">
      <c r="A510" s="79" t="s">
        <v>402</v>
      </c>
      <c r="B510" s="79" t="s">
        <v>396</v>
      </c>
      <c r="C510" s="80" t="s">
        <v>126</v>
      </c>
      <c r="D510" s="81" t="s">
        <v>103</v>
      </c>
      <c r="E510" s="82">
        <v>6173</v>
      </c>
      <c r="F510" s="82">
        <v>315</v>
      </c>
      <c r="G510" s="82">
        <v>1728</v>
      </c>
      <c r="H510" s="83">
        <v>25.919815535884386</v>
      </c>
      <c r="I510" s="83">
        <v>8626.7685514650711</v>
      </c>
      <c r="J510" s="83">
        <v>30.046120250275525</v>
      </c>
    </row>
    <row r="511" spans="1:10" ht="16">
      <c r="A511" s="79" t="s">
        <v>530</v>
      </c>
      <c r="B511" s="79" t="s">
        <v>493</v>
      </c>
      <c r="C511" s="80" t="s">
        <v>126</v>
      </c>
      <c r="D511" s="81" t="s">
        <v>79</v>
      </c>
      <c r="E511" s="82">
        <v>5851</v>
      </c>
      <c r="F511" s="82">
        <v>311</v>
      </c>
      <c r="G511" s="82">
        <v>234</v>
      </c>
      <c r="H511" s="83">
        <v>15.951698835440435</v>
      </c>
      <c r="I511" s="83">
        <v>6785.2342921501831</v>
      </c>
      <c r="J511" s="83">
        <v>27.340931390472299</v>
      </c>
    </row>
    <row r="512" spans="1:10" ht="16">
      <c r="A512" s="79" t="s">
        <v>531</v>
      </c>
      <c r="B512" s="79" t="s">
        <v>493</v>
      </c>
      <c r="C512" s="80" t="s">
        <v>126</v>
      </c>
      <c r="D512" s="81" t="s">
        <v>99</v>
      </c>
      <c r="E512" s="82">
        <v>6081</v>
      </c>
      <c r="F512" s="82">
        <v>318</v>
      </c>
      <c r="G512" s="82">
        <v>486</v>
      </c>
      <c r="H512" s="83">
        <v>17.702968280779981</v>
      </c>
      <c r="I512" s="83">
        <v>5735.9196861053797</v>
      </c>
      <c r="J512" s="83">
        <v>25.638554157808262</v>
      </c>
    </row>
    <row r="513" spans="1:10" ht="16">
      <c r="A513" s="79" t="s">
        <v>826</v>
      </c>
      <c r="B513" s="79" t="s">
        <v>817</v>
      </c>
      <c r="C513" s="80" t="s">
        <v>126</v>
      </c>
      <c r="D513" s="81" t="s">
        <v>79</v>
      </c>
      <c r="E513" s="82">
        <v>177983</v>
      </c>
      <c r="F513" s="82">
        <v>16480</v>
      </c>
      <c r="G513" s="82">
        <v>12385</v>
      </c>
      <c r="H513" s="83">
        <v>9.5553327661221665</v>
      </c>
      <c r="I513" s="83">
        <v>971.18310858512007</v>
      </c>
      <c r="J513" s="83">
        <v>18.275623583570194</v>
      </c>
    </row>
    <row r="514" spans="1:10" ht="16">
      <c r="A514" s="79" t="s">
        <v>953</v>
      </c>
      <c r="B514" s="79" t="s">
        <v>938</v>
      </c>
      <c r="C514" s="80" t="s">
        <v>126</v>
      </c>
      <c r="D514" s="81" t="s">
        <v>111</v>
      </c>
      <c r="E514" s="82">
        <v>6489</v>
      </c>
      <c r="F514" s="82">
        <v>601</v>
      </c>
      <c r="G514" s="82">
        <v>1557</v>
      </c>
      <c r="H514" s="83">
        <v>36.456678911618269</v>
      </c>
      <c r="I514" s="83">
        <v>12155.266618653219</v>
      </c>
      <c r="J514" s="83">
        <v>38.374612981788395</v>
      </c>
    </row>
    <row r="515" spans="1:10" ht="16">
      <c r="A515" s="79" t="s">
        <v>954</v>
      </c>
      <c r="B515" s="79" t="s">
        <v>938</v>
      </c>
      <c r="C515" s="80" t="s">
        <v>95</v>
      </c>
      <c r="D515" s="81" t="s">
        <v>96</v>
      </c>
      <c r="E515" s="82">
        <v>9847</v>
      </c>
      <c r="F515" s="82">
        <v>1015</v>
      </c>
      <c r="G515" s="82">
        <v>689</v>
      </c>
      <c r="H515" s="83">
        <v>12.575217461995036</v>
      </c>
      <c r="I515" s="83">
        <v>3011.5136948222221</v>
      </c>
      <c r="J515" s="83">
        <v>20.912092561026519</v>
      </c>
    </row>
    <row r="516" spans="1:10" ht="16">
      <c r="A516" s="79" t="s">
        <v>1120</v>
      </c>
      <c r="B516" s="79" t="s">
        <v>1100</v>
      </c>
      <c r="C516" s="80" t="s">
        <v>126</v>
      </c>
      <c r="D516" s="81" t="s">
        <v>77</v>
      </c>
      <c r="E516" s="82">
        <v>9190</v>
      </c>
      <c r="F516" s="82">
        <v>696</v>
      </c>
      <c r="G516" s="82">
        <v>551</v>
      </c>
      <c r="H516" s="83">
        <v>28.89075057186507</v>
      </c>
      <c r="I516" s="83">
        <v>6139.2480709051342</v>
      </c>
      <c r="J516" s="83">
        <v>25.275390485998589</v>
      </c>
    </row>
    <row r="517" spans="1:10" ht="16">
      <c r="A517" s="79" t="s">
        <v>1121</v>
      </c>
      <c r="B517" s="79" t="s">
        <v>1100</v>
      </c>
      <c r="C517" s="80" t="s">
        <v>95</v>
      </c>
      <c r="D517" s="81" t="s">
        <v>103</v>
      </c>
      <c r="E517" s="82">
        <v>8645</v>
      </c>
      <c r="F517" s="82">
        <v>509</v>
      </c>
      <c r="G517" s="82">
        <v>346</v>
      </c>
      <c r="H517" s="83">
        <v>15.07492877913492</v>
      </c>
      <c r="I517" s="83">
        <v>3770.5314807926638</v>
      </c>
      <c r="J517" s="83">
        <v>20.209673341552993</v>
      </c>
    </row>
    <row r="518" spans="1:10" ht="16">
      <c r="A518" s="79" t="s">
        <v>1122</v>
      </c>
      <c r="B518" s="79" t="s">
        <v>1100</v>
      </c>
      <c r="C518" s="80" t="s">
        <v>126</v>
      </c>
      <c r="D518" s="81" t="s">
        <v>101</v>
      </c>
      <c r="E518" s="82">
        <v>9994</v>
      </c>
      <c r="F518" s="82">
        <v>629</v>
      </c>
      <c r="G518" s="82">
        <v>800</v>
      </c>
      <c r="H518" s="83">
        <v>21.071255569312548</v>
      </c>
      <c r="I518" s="83">
        <v>4545.3282029278953</v>
      </c>
      <c r="J518" s="83">
        <v>21.932570139027547</v>
      </c>
    </row>
    <row r="519" spans="1:10" ht="16">
      <c r="A519" s="79" t="s">
        <v>1123</v>
      </c>
      <c r="B519" s="79" t="s">
        <v>1100</v>
      </c>
      <c r="C519" s="80" t="s">
        <v>126</v>
      </c>
      <c r="D519" s="81" t="s">
        <v>149</v>
      </c>
      <c r="E519" s="82">
        <v>10789</v>
      </c>
      <c r="F519" s="82">
        <v>892</v>
      </c>
      <c r="G519" s="82">
        <v>2589</v>
      </c>
      <c r="H519" s="83">
        <v>37.943557504487359</v>
      </c>
      <c r="I519" s="83">
        <v>8513.2658245671773</v>
      </c>
      <c r="J519" s="83">
        <v>32.801220382060713</v>
      </c>
    </row>
    <row r="520" spans="1:10" ht="16">
      <c r="A520" s="79" t="s">
        <v>1124</v>
      </c>
      <c r="B520" s="79" t="s">
        <v>1100</v>
      </c>
      <c r="C520" s="80" t="s">
        <v>126</v>
      </c>
      <c r="D520" s="81" t="s">
        <v>103</v>
      </c>
      <c r="E520" s="82">
        <v>8652</v>
      </c>
      <c r="F520" s="82">
        <v>401</v>
      </c>
      <c r="G520" s="82">
        <v>779</v>
      </c>
      <c r="H520" s="83">
        <v>22.105229697397931</v>
      </c>
      <c r="I520" s="83">
        <v>3684.923279983459</v>
      </c>
      <c r="J520" s="83">
        <v>18.962909828988931</v>
      </c>
    </row>
    <row r="521" spans="1:10" ht="16">
      <c r="A521" s="79" t="s">
        <v>1125</v>
      </c>
      <c r="B521" s="79" t="s">
        <v>1100</v>
      </c>
      <c r="C521" s="80" t="s">
        <v>126</v>
      </c>
      <c r="D521" s="81" t="s">
        <v>77</v>
      </c>
      <c r="E521" s="82">
        <v>27254</v>
      </c>
      <c r="F521" s="82">
        <v>2455</v>
      </c>
      <c r="G521" s="82">
        <v>2998</v>
      </c>
      <c r="H521" s="83">
        <v>62.870035983831862</v>
      </c>
      <c r="I521" s="83">
        <v>40179.490435243577</v>
      </c>
      <c r="J521" s="83">
        <v>57.394324914613236</v>
      </c>
    </row>
    <row r="522" spans="1:10" ht="16">
      <c r="A522" s="79" t="s">
        <v>1126</v>
      </c>
      <c r="B522" s="79" t="s">
        <v>1100</v>
      </c>
      <c r="C522" s="80" t="s">
        <v>126</v>
      </c>
      <c r="D522" s="81" t="s">
        <v>76</v>
      </c>
      <c r="E522" s="82">
        <v>8340</v>
      </c>
      <c r="F522" s="82">
        <v>428</v>
      </c>
      <c r="G522" s="82">
        <v>1251</v>
      </c>
      <c r="H522" s="83">
        <v>41.949130595333941</v>
      </c>
      <c r="I522" s="83">
        <v>16516.137205334751</v>
      </c>
      <c r="J522" s="83">
        <v>30.694829468481466</v>
      </c>
    </row>
    <row r="523" spans="1:10" ht="16">
      <c r="A523" s="79" t="s">
        <v>1199</v>
      </c>
      <c r="B523" s="79" t="s">
        <v>1197</v>
      </c>
      <c r="C523" s="80" t="s">
        <v>126</v>
      </c>
      <c r="D523" s="81" t="s">
        <v>75</v>
      </c>
      <c r="E523" s="82">
        <v>13411</v>
      </c>
      <c r="F523" s="82">
        <v>1597</v>
      </c>
      <c r="G523" s="82">
        <v>1207</v>
      </c>
      <c r="H523" s="83">
        <v>8.5523595328024893</v>
      </c>
      <c r="I523" s="83">
        <v>422.53824478778051</v>
      </c>
      <c r="J523" s="83">
        <v>20.382229421895367</v>
      </c>
    </row>
    <row r="524" spans="1:10" ht="16">
      <c r="A524" s="79" t="s">
        <v>471</v>
      </c>
      <c r="B524" s="79" t="s">
        <v>467</v>
      </c>
      <c r="C524" s="80" t="s">
        <v>126</v>
      </c>
      <c r="D524" s="81" t="s">
        <v>96</v>
      </c>
      <c r="E524" s="82">
        <v>14133</v>
      </c>
      <c r="F524" s="82">
        <v>686</v>
      </c>
      <c r="G524" s="82">
        <v>1131</v>
      </c>
      <c r="H524" s="83">
        <v>12.92923210852617</v>
      </c>
      <c r="I524" s="83">
        <v>5783.1285685084513</v>
      </c>
      <c r="J524" s="83">
        <v>23.59392621077075</v>
      </c>
    </row>
    <row r="525" spans="1:10" ht="16">
      <c r="A525" s="79" t="s">
        <v>1127</v>
      </c>
      <c r="B525" s="79" t="s">
        <v>1100</v>
      </c>
      <c r="C525" s="80" t="s">
        <v>126</v>
      </c>
      <c r="D525" s="81" t="s">
        <v>103</v>
      </c>
      <c r="E525" s="82">
        <v>14853</v>
      </c>
      <c r="F525" s="82">
        <v>825</v>
      </c>
      <c r="G525" s="82">
        <v>1485</v>
      </c>
      <c r="H525" s="83">
        <v>46.295416616060862</v>
      </c>
      <c r="I525" s="83">
        <v>23184.823209253864</v>
      </c>
      <c r="J525" s="83">
        <v>35.740181421963683</v>
      </c>
    </row>
    <row r="526" spans="1:10" ht="16">
      <c r="A526" s="79" t="s">
        <v>325</v>
      </c>
      <c r="B526" s="79" t="s">
        <v>323</v>
      </c>
      <c r="C526" s="80" t="s">
        <v>126</v>
      </c>
      <c r="D526" s="81" t="s">
        <v>75</v>
      </c>
      <c r="E526" s="82">
        <v>52085</v>
      </c>
      <c r="F526" s="82">
        <v>2325</v>
      </c>
      <c r="G526" s="82">
        <v>521</v>
      </c>
      <c r="H526" s="83">
        <v>14.670522287183326</v>
      </c>
      <c r="I526" s="83">
        <v>3788.6697970881219</v>
      </c>
      <c r="J526" s="83">
        <v>19.258879163994546</v>
      </c>
    </row>
    <row r="527" spans="1:10" ht="16">
      <c r="A527" s="79" t="s">
        <v>104</v>
      </c>
      <c r="B527" s="79" t="s">
        <v>105</v>
      </c>
      <c r="C527" s="80" t="s">
        <v>95</v>
      </c>
      <c r="D527" s="81" t="s">
        <v>96</v>
      </c>
      <c r="E527" s="82">
        <v>46096</v>
      </c>
      <c r="F527" s="82">
        <v>4802</v>
      </c>
      <c r="G527" s="82">
        <v>922</v>
      </c>
      <c r="H527" s="83">
        <v>7.8424608452362854</v>
      </c>
      <c r="I527" s="83">
        <v>1830.2790610318361</v>
      </c>
      <c r="J527" s="83">
        <v>18.460993840812744</v>
      </c>
    </row>
    <row r="528" spans="1:10" ht="16">
      <c r="A528" s="79" t="s">
        <v>602</v>
      </c>
      <c r="B528" s="79" t="s">
        <v>600</v>
      </c>
      <c r="C528" s="80" t="s">
        <v>95</v>
      </c>
      <c r="D528" s="81" t="s">
        <v>149</v>
      </c>
      <c r="E528" s="82">
        <v>13911</v>
      </c>
      <c r="F528" s="82">
        <v>523</v>
      </c>
      <c r="G528" s="82">
        <v>2365</v>
      </c>
      <c r="H528" s="83">
        <v>30.007292065511137</v>
      </c>
      <c r="I528" s="83">
        <v>22878.769138055639</v>
      </c>
      <c r="J528" s="83">
        <v>28.062968069767397</v>
      </c>
    </row>
    <row r="529" spans="1:10" ht="16">
      <c r="A529" s="79" t="s">
        <v>1128</v>
      </c>
      <c r="B529" s="79" t="s">
        <v>1100</v>
      </c>
      <c r="C529" s="80" t="s">
        <v>126</v>
      </c>
      <c r="D529" s="81" t="s">
        <v>75</v>
      </c>
      <c r="E529" s="82">
        <v>5550</v>
      </c>
      <c r="F529" s="82">
        <v>238</v>
      </c>
      <c r="G529" s="82">
        <v>222</v>
      </c>
      <c r="H529" s="83">
        <v>16.434572729854519</v>
      </c>
      <c r="I529" s="83">
        <v>985.6173014502765</v>
      </c>
      <c r="J529" s="83">
        <v>14.555216527550728</v>
      </c>
    </row>
    <row r="530" spans="1:10" ht="16">
      <c r="A530" s="79" t="s">
        <v>955</v>
      </c>
      <c r="B530" s="79" t="s">
        <v>938</v>
      </c>
      <c r="C530" s="80" t="s">
        <v>126</v>
      </c>
      <c r="D530" s="81" t="s">
        <v>77</v>
      </c>
      <c r="E530" s="82">
        <v>7090</v>
      </c>
      <c r="F530" s="82">
        <v>627</v>
      </c>
      <c r="G530" s="82">
        <v>1843</v>
      </c>
      <c r="H530" s="83">
        <v>23.735676304539556</v>
      </c>
      <c r="I530" s="83">
        <v>6899.6891866517371</v>
      </c>
      <c r="J530" s="83">
        <v>24.867849802958695</v>
      </c>
    </row>
    <row r="531" spans="1:10" ht="16">
      <c r="A531" s="79" t="s">
        <v>882</v>
      </c>
      <c r="B531" s="79" t="s">
        <v>877</v>
      </c>
      <c r="C531" s="80" t="s">
        <v>126</v>
      </c>
      <c r="D531" s="81" t="s">
        <v>77</v>
      </c>
      <c r="E531" s="82">
        <v>10645</v>
      </c>
      <c r="F531" s="82">
        <v>1314</v>
      </c>
      <c r="G531" s="82">
        <v>319</v>
      </c>
      <c r="H531" s="83">
        <v>12.350272662189747</v>
      </c>
      <c r="I531" s="83">
        <v>4120.9770335910207</v>
      </c>
      <c r="J531" s="83">
        <v>21.552705774133841</v>
      </c>
    </row>
    <row r="532" spans="1:10" ht="16">
      <c r="A532" s="79" t="s">
        <v>987</v>
      </c>
      <c r="B532" s="79" t="s">
        <v>986</v>
      </c>
      <c r="C532" s="80" t="s">
        <v>95</v>
      </c>
      <c r="D532" s="81" t="s">
        <v>96</v>
      </c>
      <c r="E532" s="82">
        <v>30869</v>
      </c>
      <c r="F532" s="82">
        <v>1725</v>
      </c>
      <c r="G532" s="82">
        <v>8643</v>
      </c>
      <c r="H532" s="83">
        <v>90.947480058390525</v>
      </c>
      <c r="I532" s="83">
        <v>69580.029097230901</v>
      </c>
      <c r="J532" s="83">
        <v>77.198959413345207</v>
      </c>
    </row>
    <row r="533" spans="1:10" ht="16">
      <c r="A533" s="79" t="s">
        <v>106</v>
      </c>
      <c r="B533" s="79" t="s">
        <v>105</v>
      </c>
      <c r="C533" s="80" t="s">
        <v>95</v>
      </c>
      <c r="D533" s="81" t="s">
        <v>75</v>
      </c>
      <c r="E533" s="82">
        <v>20987</v>
      </c>
      <c r="F533" s="82">
        <v>1312</v>
      </c>
      <c r="G533" s="82">
        <v>2099</v>
      </c>
      <c r="H533" s="83">
        <v>8.2245475110666568</v>
      </c>
      <c r="I533" s="83">
        <v>574.72089234170608</v>
      </c>
      <c r="J533" s="83">
        <v>16.528929719507055</v>
      </c>
    </row>
    <row r="534" spans="1:10" ht="16">
      <c r="A534" s="79" t="s">
        <v>1129</v>
      </c>
      <c r="B534" s="79" t="s">
        <v>1100</v>
      </c>
      <c r="C534" s="80" t="s">
        <v>126</v>
      </c>
      <c r="D534" s="81" t="s">
        <v>96</v>
      </c>
      <c r="E534" s="82">
        <v>4258</v>
      </c>
      <c r="F534" s="82">
        <v>835</v>
      </c>
      <c r="G534" s="82">
        <v>85</v>
      </c>
      <c r="H534" s="83">
        <v>19.703499514619882</v>
      </c>
      <c r="I534" s="83">
        <v>11328.539059560753</v>
      </c>
      <c r="J534" s="83">
        <v>38.786289657721994</v>
      </c>
    </row>
    <row r="535" spans="1:10" ht="16">
      <c r="A535" s="79" t="s">
        <v>1130</v>
      </c>
      <c r="B535" s="79" t="s">
        <v>1100</v>
      </c>
      <c r="C535" s="80" t="s">
        <v>126</v>
      </c>
      <c r="D535" s="81" t="s">
        <v>149</v>
      </c>
      <c r="E535" s="82">
        <v>9215</v>
      </c>
      <c r="F535" s="82">
        <v>370</v>
      </c>
      <c r="G535" s="82">
        <v>369</v>
      </c>
      <c r="H535" s="83">
        <v>27.106160553798301</v>
      </c>
      <c r="I535" s="83">
        <v>1928.7963825155882</v>
      </c>
      <c r="J535" s="83">
        <v>18.14198690632514</v>
      </c>
    </row>
    <row r="536" spans="1:10" ht="16">
      <c r="A536" s="79" t="s">
        <v>1358</v>
      </c>
      <c r="B536" s="79" t="s">
        <v>1307</v>
      </c>
      <c r="C536" s="80" t="s">
        <v>126</v>
      </c>
      <c r="D536" s="81" t="s">
        <v>111</v>
      </c>
      <c r="E536" s="82">
        <v>9279</v>
      </c>
      <c r="F536" s="82">
        <v>615</v>
      </c>
      <c r="G536" s="82">
        <v>1577</v>
      </c>
      <c r="H536" s="83">
        <v>19.823508773505498</v>
      </c>
      <c r="I536" s="83">
        <v>11190.290637038137</v>
      </c>
      <c r="J536" s="83">
        <v>21.963709719290431</v>
      </c>
    </row>
    <row r="537" spans="1:10" ht="16">
      <c r="A537" s="79" t="s">
        <v>1359</v>
      </c>
      <c r="B537" s="79" t="s">
        <v>1307</v>
      </c>
      <c r="C537" s="80" t="s">
        <v>126</v>
      </c>
      <c r="D537" s="81" t="s">
        <v>78</v>
      </c>
      <c r="E537" s="82">
        <v>1809</v>
      </c>
      <c r="F537" s="82">
        <v>160</v>
      </c>
      <c r="G537" s="82">
        <v>145</v>
      </c>
      <c r="H537" s="83">
        <v>15.401978577736198</v>
      </c>
      <c r="I537" s="83">
        <v>10371.269760659661</v>
      </c>
      <c r="J537" s="83">
        <v>22.896676528063644</v>
      </c>
    </row>
    <row r="538" spans="1:10" ht="16">
      <c r="A538" s="79" t="s">
        <v>1360</v>
      </c>
      <c r="B538" s="79" t="s">
        <v>1307</v>
      </c>
      <c r="C538" s="80" t="s">
        <v>95</v>
      </c>
      <c r="D538" s="81" t="s">
        <v>96</v>
      </c>
      <c r="E538" s="82">
        <v>12753</v>
      </c>
      <c r="F538" s="82">
        <v>773</v>
      </c>
      <c r="G538" s="82">
        <v>1020</v>
      </c>
      <c r="H538" s="83">
        <v>15.606301731851373</v>
      </c>
      <c r="I538" s="83">
        <v>7967.7110194575116</v>
      </c>
      <c r="J538" s="83">
        <v>21.696833821219428</v>
      </c>
    </row>
    <row r="539" spans="1:10" ht="16">
      <c r="A539" s="79" t="s">
        <v>1361</v>
      </c>
      <c r="B539" s="79" t="s">
        <v>1307</v>
      </c>
      <c r="C539" s="80" t="s">
        <v>95</v>
      </c>
      <c r="D539" s="81" t="s">
        <v>149</v>
      </c>
      <c r="E539" s="82">
        <v>44466</v>
      </c>
      <c r="F539" s="82">
        <v>4996</v>
      </c>
      <c r="G539" s="82">
        <v>14674</v>
      </c>
      <c r="H539" s="83">
        <v>77.506063712344627</v>
      </c>
      <c r="I539" s="83">
        <v>74848.462394814982</v>
      </c>
      <c r="J539" s="83">
        <v>77.006101864287885</v>
      </c>
    </row>
    <row r="540" spans="1:10" ht="16">
      <c r="A540" s="79" t="s">
        <v>1241</v>
      </c>
      <c r="B540" s="79" t="s">
        <v>1209</v>
      </c>
      <c r="C540" s="80" t="s">
        <v>95</v>
      </c>
      <c r="D540" s="81" t="s">
        <v>111</v>
      </c>
      <c r="E540" s="82">
        <v>22691</v>
      </c>
      <c r="F540" s="82">
        <v>1609</v>
      </c>
      <c r="G540" s="82">
        <v>6127</v>
      </c>
      <c r="H540" s="83">
        <v>36.428895301781374</v>
      </c>
      <c r="I540" s="83">
        <v>31016.16115087799</v>
      </c>
      <c r="J540" s="83">
        <v>32.12769036587855</v>
      </c>
    </row>
    <row r="541" spans="1:10" ht="16">
      <c r="A541" s="79" t="s">
        <v>903</v>
      </c>
      <c r="B541" s="79" t="s">
        <v>898</v>
      </c>
      <c r="C541" s="80" t="s">
        <v>95</v>
      </c>
      <c r="D541" s="81" t="s">
        <v>149</v>
      </c>
      <c r="E541" s="82">
        <v>22438</v>
      </c>
      <c r="F541" s="82">
        <v>2021</v>
      </c>
      <c r="G541" s="82">
        <v>449</v>
      </c>
      <c r="H541" s="83">
        <v>10.659993776664724</v>
      </c>
      <c r="I541" s="83">
        <v>2354.9926134848438</v>
      </c>
      <c r="J541" s="83">
        <v>19.777679495782508</v>
      </c>
    </row>
    <row r="542" spans="1:10" ht="16">
      <c r="A542" s="79" t="s">
        <v>712</v>
      </c>
      <c r="B542" s="79" t="s">
        <v>661</v>
      </c>
      <c r="C542" s="80" t="s">
        <v>126</v>
      </c>
      <c r="D542" s="81" t="s">
        <v>75</v>
      </c>
      <c r="E542" s="82">
        <v>12158</v>
      </c>
      <c r="F542" s="82">
        <v>1539</v>
      </c>
      <c r="G542" s="82">
        <v>243</v>
      </c>
      <c r="H542" s="83">
        <v>13.666285824281683</v>
      </c>
      <c r="I542" s="83">
        <v>5392.3832893360341</v>
      </c>
      <c r="J542" s="83">
        <v>24.057986268934798</v>
      </c>
    </row>
    <row r="543" spans="1:10" ht="16">
      <c r="A543" s="79" t="s">
        <v>713</v>
      </c>
      <c r="B543" s="79" t="s">
        <v>661</v>
      </c>
      <c r="C543" s="80" t="s">
        <v>126</v>
      </c>
      <c r="D543" s="81" t="s">
        <v>149</v>
      </c>
      <c r="E543" s="82">
        <v>850</v>
      </c>
      <c r="F543" s="82">
        <v>944</v>
      </c>
      <c r="G543" s="82">
        <v>59</v>
      </c>
      <c r="H543" s="83">
        <v>8.9044111771335395</v>
      </c>
      <c r="I543" s="83">
        <v>4877.0069482234485</v>
      </c>
      <c r="J543" s="83">
        <v>25.724990879459913</v>
      </c>
    </row>
    <row r="544" spans="1:10" ht="16">
      <c r="A544" s="79" t="s">
        <v>403</v>
      </c>
      <c r="B544" s="79" t="s">
        <v>396</v>
      </c>
      <c r="C544" s="80" t="s">
        <v>95</v>
      </c>
      <c r="D544" s="81" t="s">
        <v>111</v>
      </c>
      <c r="E544" s="82">
        <v>68013</v>
      </c>
      <c r="F544" s="82">
        <v>3350</v>
      </c>
      <c r="G544" s="82">
        <v>7481</v>
      </c>
      <c r="H544" s="83">
        <v>13.578780295052622</v>
      </c>
      <c r="I544" s="83">
        <v>5012.4749233114453</v>
      </c>
      <c r="J544" s="83">
        <v>18.220807642926918</v>
      </c>
    </row>
    <row r="545" spans="1:10" ht="16">
      <c r="A545" s="79" t="s">
        <v>1362</v>
      </c>
      <c r="B545" s="79" t="s">
        <v>1307</v>
      </c>
      <c r="C545" s="80" t="s">
        <v>126</v>
      </c>
      <c r="D545" s="81" t="s">
        <v>149</v>
      </c>
      <c r="E545" s="82">
        <v>30231</v>
      </c>
      <c r="F545" s="82">
        <v>2418</v>
      </c>
      <c r="G545" s="82">
        <v>4535</v>
      </c>
      <c r="H545" s="83">
        <v>35.397350321787791</v>
      </c>
      <c r="I545" s="83">
        <v>22886.37693204977</v>
      </c>
      <c r="J545" s="83">
        <v>37.551333393770385</v>
      </c>
    </row>
    <row r="546" spans="1:10" ht="16">
      <c r="A546" s="79" t="s">
        <v>279</v>
      </c>
      <c r="B546" s="79" t="s">
        <v>242</v>
      </c>
      <c r="C546" s="80" t="s">
        <v>126</v>
      </c>
      <c r="D546" s="81" t="s">
        <v>103</v>
      </c>
      <c r="E546" s="82">
        <v>30733</v>
      </c>
      <c r="F546" s="82">
        <v>1851</v>
      </c>
      <c r="G546" s="82">
        <v>615</v>
      </c>
      <c r="H546" s="83">
        <v>12.780869889080993</v>
      </c>
      <c r="I546" s="83">
        <v>3406.9669510184863</v>
      </c>
      <c r="J546" s="83">
        <v>17.54045323049262</v>
      </c>
    </row>
    <row r="547" spans="1:10" ht="16">
      <c r="A547" s="79" t="s">
        <v>995</v>
      </c>
      <c r="B547" s="79" t="s">
        <v>996</v>
      </c>
      <c r="C547" s="80" t="s">
        <v>95</v>
      </c>
      <c r="D547" s="81" t="s">
        <v>75</v>
      </c>
      <c r="E547" s="82">
        <v>36749</v>
      </c>
      <c r="F547" s="82">
        <v>1229</v>
      </c>
      <c r="G547" s="82">
        <v>1470</v>
      </c>
      <c r="H547" s="83">
        <v>17.748152295489881</v>
      </c>
      <c r="I547" s="83">
        <v>12019.346749584845</v>
      </c>
      <c r="J547" s="83">
        <v>21.097827377589081</v>
      </c>
    </row>
    <row r="548" spans="1:10" ht="16">
      <c r="A548" s="79" t="s">
        <v>280</v>
      </c>
      <c r="B548" s="79" t="s">
        <v>242</v>
      </c>
      <c r="C548" s="80" t="s">
        <v>95</v>
      </c>
      <c r="D548" s="81" t="s">
        <v>99</v>
      </c>
      <c r="E548" s="82">
        <v>25425</v>
      </c>
      <c r="F548" s="82">
        <v>1730</v>
      </c>
      <c r="G548" s="82">
        <v>509</v>
      </c>
      <c r="H548" s="83">
        <v>10.57120206507355</v>
      </c>
      <c r="I548" s="83">
        <v>5018.1889315331991</v>
      </c>
      <c r="J548" s="83">
        <v>24.757553565072218</v>
      </c>
    </row>
    <row r="549" spans="1:10" ht="16">
      <c r="A549" s="79" t="s">
        <v>281</v>
      </c>
      <c r="B549" s="79" t="s">
        <v>242</v>
      </c>
      <c r="C549" s="80" t="s">
        <v>95</v>
      </c>
      <c r="D549" s="81" t="s">
        <v>101</v>
      </c>
      <c r="E549" s="82">
        <v>36015</v>
      </c>
      <c r="F549" s="82">
        <v>2484</v>
      </c>
      <c r="G549" s="82">
        <v>1441</v>
      </c>
      <c r="H549" s="83">
        <v>22.178672377506022</v>
      </c>
      <c r="I549" s="83">
        <v>4275.2191429693612</v>
      </c>
      <c r="J549" s="83">
        <v>25.511571664435273</v>
      </c>
    </row>
    <row r="550" spans="1:10" ht="16">
      <c r="A550" s="79" t="s">
        <v>281</v>
      </c>
      <c r="B550" s="79" t="s">
        <v>1307</v>
      </c>
      <c r="C550" s="80" t="s">
        <v>126</v>
      </c>
      <c r="D550" s="81" t="s">
        <v>99</v>
      </c>
      <c r="E550" s="82">
        <v>19575</v>
      </c>
      <c r="F550" s="82">
        <v>1408</v>
      </c>
      <c r="G550" s="82">
        <v>6851</v>
      </c>
      <c r="H550" s="83">
        <v>28.298492389522089</v>
      </c>
      <c r="I550" s="83">
        <v>27246.966074876611</v>
      </c>
      <c r="J550" s="83">
        <v>38.096696231857109</v>
      </c>
    </row>
    <row r="551" spans="1:10" ht="16">
      <c r="A551" s="79" t="s">
        <v>1363</v>
      </c>
      <c r="B551" s="79" t="s">
        <v>1307</v>
      </c>
      <c r="C551" s="80" t="s">
        <v>95</v>
      </c>
      <c r="D551" s="81" t="s">
        <v>99</v>
      </c>
      <c r="E551" s="82">
        <v>29684</v>
      </c>
      <c r="F551" s="82">
        <v>1056</v>
      </c>
      <c r="G551" s="82">
        <v>1484</v>
      </c>
      <c r="H551" s="83">
        <v>15.276052049993138</v>
      </c>
      <c r="I551" s="83">
        <v>12118.119860697616</v>
      </c>
      <c r="J551" s="83">
        <v>20.49911485254135</v>
      </c>
    </row>
    <row r="552" spans="1:10" ht="16">
      <c r="A552" s="79" t="s">
        <v>1242</v>
      </c>
      <c r="B552" s="79" t="s">
        <v>1209</v>
      </c>
      <c r="C552" s="80" t="s">
        <v>95</v>
      </c>
      <c r="D552" s="81" t="s">
        <v>96</v>
      </c>
      <c r="E552" s="82">
        <v>21811</v>
      </c>
      <c r="F552" s="82">
        <v>1246</v>
      </c>
      <c r="G552" s="82">
        <v>3708</v>
      </c>
      <c r="H552" s="83">
        <v>18.411786847014074</v>
      </c>
      <c r="I552" s="83">
        <v>15508.533251455539</v>
      </c>
      <c r="J552" s="83">
        <v>20.270565050795113</v>
      </c>
    </row>
    <row r="553" spans="1:10" ht="16">
      <c r="A553" s="79" t="s">
        <v>282</v>
      </c>
      <c r="B553" s="79" t="s">
        <v>242</v>
      </c>
      <c r="C553" s="80" t="s">
        <v>95</v>
      </c>
      <c r="D553" s="81" t="s">
        <v>77</v>
      </c>
      <c r="E553" s="82">
        <v>29327</v>
      </c>
      <c r="F553" s="82">
        <v>1917</v>
      </c>
      <c r="G553" s="82">
        <v>293</v>
      </c>
      <c r="H553" s="83">
        <v>13.186618920275489</v>
      </c>
      <c r="I553" s="83">
        <v>4959.3655716829417</v>
      </c>
      <c r="J553" s="83">
        <v>20.758686245792742</v>
      </c>
    </row>
    <row r="554" spans="1:10" ht="16">
      <c r="A554" s="79" t="s">
        <v>283</v>
      </c>
      <c r="B554" s="79" t="s">
        <v>242</v>
      </c>
      <c r="C554" s="80" t="s">
        <v>95</v>
      </c>
      <c r="D554" s="81" t="s">
        <v>96</v>
      </c>
      <c r="E554" s="82">
        <v>24237</v>
      </c>
      <c r="F554" s="82">
        <v>1638</v>
      </c>
      <c r="G554" s="82">
        <v>969</v>
      </c>
      <c r="H554" s="83">
        <v>13.050160399997509</v>
      </c>
      <c r="I554" s="83">
        <v>4788.3879959539872</v>
      </c>
      <c r="J554" s="83">
        <v>19.931785237308777</v>
      </c>
    </row>
    <row r="555" spans="1:10" ht="16">
      <c r="A555" s="79" t="s">
        <v>284</v>
      </c>
      <c r="B555" s="79" t="s">
        <v>242</v>
      </c>
      <c r="C555" s="80" t="s">
        <v>126</v>
      </c>
      <c r="D555" s="81" t="s">
        <v>149</v>
      </c>
      <c r="E555" s="82">
        <v>28432</v>
      </c>
      <c r="F555" s="82">
        <v>2045</v>
      </c>
      <c r="G555" s="82">
        <v>1137</v>
      </c>
      <c r="H555" s="83">
        <v>34.339634955135054</v>
      </c>
      <c r="I555" s="83">
        <v>13521.408695215216</v>
      </c>
      <c r="J555" s="83">
        <v>26.21968280421676</v>
      </c>
    </row>
    <row r="556" spans="1:10" ht="16">
      <c r="A556" s="79" t="s">
        <v>1364</v>
      </c>
      <c r="B556" s="79" t="s">
        <v>1307</v>
      </c>
      <c r="C556" s="80" t="s">
        <v>126</v>
      </c>
      <c r="D556" s="81" t="s">
        <v>103</v>
      </c>
      <c r="E556" s="82">
        <v>17951</v>
      </c>
      <c r="F556" s="82">
        <v>1402</v>
      </c>
      <c r="G556" s="82">
        <v>3590</v>
      </c>
      <c r="H556" s="83">
        <v>83.906301343877089</v>
      </c>
      <c r="I556" s="83">
        <v>82042.851194406918</v>
      </c>
      <c r="J556" s="83">
        <v>74.962964102729387</v>
      </c>
    </row>
    <row r="557" spans="1:10" ht="16">
      <c r="A557" s="79" t="s">
        <v>868</v>
      </c>
      <c r="B557" s="79" t="s">
        <v>869</v>
      </c>
      <c r="C557" s="80" t="s">
        <v>95</v>
      </c>
      <c r="D557" s="81" t="s">
        <v>75</v>
      </c>
      <c r="E557" s="82">
        <v>5790</v>
      </c>
      <c r="F557" s="82">
        <v>839</v>
      </c>
      <c r="G557" s="82">
        <v>1216</v>
      </c>
      <c r="H557" s="83">
        <v>10.716726661108149</v>
      </c>
      <c r="I557" s="83">
        <v>6992.1606258898764</v>
      </c>
      <c r="J557" s="83">
        <v>26.655000399200667</v>
      </c>
    </row>
    <row r="558" spans="1:10" ht="16">
      <c r="A558" s="79" t="s">
        <v>870</v>
      </c>
      <c r="B558" s="79" t="s">
        <v>869</v>
      </c>
      <c r="C558" s="80" t="s">
        <v>126</v>
      </c>
      <c r="D558" s="81" t="s">
        <v>103</v>
      </c>
      <c r="E558" s="82">
        <v>35181</v>
      </c>
      <c r="F558" s="82">
        <v>2227</v>
      </c>
      <c r="G558" s="82">
        <v>2814</v>
      </c>
      <c r="H558" s="83">
        <v>28.544136854622074</v>
      </c>
      <c r="I558" s="83">
        <v>18236.717238779376</v>
      </c>
      <c r="J558" s="83">
        <v>26.38887742094564</v>
      </c>
    </row>
    <row r="559" spans="1:10" ht="16">
      <c r="A559" s="79" t="s">
        <v>1243</v>
      </c>
      <c r="B559" s="79" t="s">
        <v>1209</v>
      </c>
      <c r="C559" s="80" t="s">
        <v>95</v>
      </c>
      <c r="D559" s="81" t="s">
        <v>78</v>
      </c>
      <c r="E559" s="82">
        <v>24140</v>
      </c>
      <c r="F559" s="82">
        <v>1609</v>
      </c>
      <c r="G559" s="82">
        <v>4587</v>
      </c>
      <c r="H559" s="83">
        <v>13.409715473133948</v>
      </c>
      <c r="I559" s="83">
        <v>7684.42176091685</v>
      </c>
      <c r="J559" s="83">
        <v>18.144616595096259</v>
      </c>
    </row>
    <row r="560" spans="1:10" ht="16">
      <c r="A560" s="79" t="s">
        <v>1365</v>
      </c>
      <c r="B560" s="79" t="s">
        <v>1307</v>
      </c>
      <c r="C560" s="80" t="s">
        <v>95</v>
      </c>
      <c r="D560" s="81" t="s">
        <v>79</v>
      </c>
      <c r="E560" s="82">
        <v>17785</v>
      </c>
      <c r="F560" s="82">
        <v>760</v>
      </c>
      <c r="G560" s="82">
        <v>1067</v>
      </c>
      <c r="H560" s="83">
        <v>10.660880429407184</v>
      </c>
      <c r="I560" s="83">
        <v>10275.448069392734</v>
      </c>
      <c r="J560" s="83">
        <v>34.361373770952092</v>
      </c>
    </row>
    <row r="561" spans="1:10" ht="16">
      <c r="A561" s="79" t="s">
        <v>914</v>
      </c>
      <c r="B561" s="79" t="s">
        <v>912</v>
      </c>
      <c r="C561" s="80" t="s">
        <v>126</v>
      </c>
      <c r="D561" s="81" t="s">
        <v>101</v>
      </c>
      <c r="E561" s="82">
        <v>19694</v>
      </c>
      <c r="F561" s="82">
        <v>1088</v>
      </c>
      <c r="G561" s="82">
        <v>3348</v>
      </c>
      <c r="H561" s="83">
        <v>26.682641444667048</v>
      </c>
      <c r="I561" s="83">
        <v>12003.146222325464</v>
      </c>
      <c r="J561" s="83">
        <v>25.037080692149878</v>
      </c>
    </row>
    <row r="562" spans="1:10" ht="16">
      <c r="A562" s="79" t="s">
        <v>956</v>
      </c>
      <c r="B562" s="79" t="s">
        <v>938</v>
      </c>
      <c r="C562" s="80" t="s">
        <v>126</v>
      </c>
      <c r="D562" s="81" t="s">
        <v>79</v>
      </c>
      <c r="E562" s="82">
        <v>11640</v>
      </c>
      <c r="F562" s="82">
        <v>1021</v>
      </c>
      <c r="G562" s="82">
        <v>2328</v>
      </c>
      <c r="H562" s="83">
        <v>12.771513768580469</v>
      </c>
      <c r="I562" s="83">
        <v>1886.6784555682491</v>
      </c>
      <c r="J562" s="83">
        <v>21.269311666867853</v>
      </c>
    </row>
    <row r="563" spans="1:10" ht="16">
      <c r="A563" s="79" t="s">
        <v>957</v>
      </c>
      <c r="B563" s="79" t="s">
        <v>938</v>
      </c>
      <c r="C563" s="80" t="s">
        <v>126</v>
      </c>
      <c r="D563" s="81" t="s">
        <v>99</v>
      </c>
      <c r="E563" s="82">
        <v>7123</v>
      </c>
      <c r="F563" s="82">
        <v>1149</v>
      </c>
      <c r="G563" s="82">
        <v>1425</v>
      </c>
      <c r="H563" s="83">
        <v>31.975562429141505</v>
      </c>
      <c r="I563" s="83">
        <v>9674.2656059367037</v>
      </c>
      <c r="J563" s="83">
        <v>43.430516368949604</v>
      </c>
    </row>
    <row r="564" spans="1:10" ht="16">
      <c r="A564" s="79" t="s">
        <v>1366</v>
      </c>
      <c r="B564" s="79" t="s">
        <v>1307</v>
      </c>
      <c r="C564" s="80" t="s">
        <v>95</v>
      </c>
      <c r="D564" s="81" t="s">
        <v>111</v>
      </c>
      <c r="E564" s="82">
        <v>15887</v>
      </c>
      <c r="F564" s="82">
        <v>841</v>
      </c>
      <c r="G564" s="82">
        <v>635</v>
      </c>
      <c r="H564" s="83">
        <v>13.210551618672879</v>
      </c>
      <c r="I564" s="83">
        <v>3114.2470573579549</v>
      </c>
      <c r="J564" s="83">
        <v>26.49130560411421</v>
      </c>
    </row>
    <row r="565" spans="1:10" ht="16">
      <c r="A565" s="79" t="s">
        <v>285</v>
      </c>
      <c r="B565" s="79" t="s">
        <v>242</v>
      </c>
      <c r="C565" s="80" t="s">
        <v>95</v>
      </c>
      <c r="D565" s="81" t="s">
        <v>149</v>
      </c>
      <c r="E565" s="82">
        <v>32059</v>
      </c>
      <c r="F565" s="82">
        <v>1832</v>
      </c>
      <c r="G565" s="82">
        <v>1282</v>
      </c>
      <c r="H565" s="83">
        <v>15.896938326397789</v>
      </c>
      <c r="I565" s="83">
        <v>4088.0924226600928</v>
      </c>
      <c r="J565" s="83">
        <v>20.353046654595452</v>
      </c>
    </row>
    <row r="566" spans="1:10" ht="16">
      <c r="A566" s="79" t="s">
        <v>714</v>
      </c>
      <c r="B566" s="79" t="s">
        <v>661</v>
      </c>
      <c r="C566" s="80" t="s">
        <v>126</v>
      </c>
      <c r="D566" s="81" t="s">
        <v>103</v>
      </c>
      <c r="E566" s="82">
        <v>2775</v>
      </c>
      <c r="F566" s="82">
        <v>188</v>
      </c>
      <c r="G566" s="82">
        <v>111</v>
      </c>
      <c r="H566" s="83">
        <v>13.150635272412964</v>
      </c>
      <c r="I566" s="83">
        <v>1658.7747280556305</v>
      </c>
      <c r="J566" s="83">
        <v>23.38976406903539</v>
      </c>
    </row>
    <row r="567" spans="1:10" ht="16">
      <c r="A567" s="79" t="s">
        <v>1367</v>
      </c>
      <c r="B567" s="79" t="s">
        <v>1307</v>
      </c>
      <c r="C567" s="80" t="s">
        <v>126</v>
      </c>
      <c r="D567" s="81" t="s">
        <v>78</v>
      </c>
      <c r="E567" s="82">
        <v>54372</v>
      </c>
      <c r="F567" s="82">
        <v>4350</v>
      </c>
      <c r="G567" s="82">
        <v>7068</v>
      </c>
      <c r="H567" s="83">
        <v>56.101807144457609</v>
      </c>
      <c r="I567" s="83">
        <v>48999.857523032057</v>
      </c>
      <c r="J567" s="83">
        <v>57.908106138383808</v>
      </c>
    </row>
    <row r="568" spans="1:10" ht="16">
      <c r="A568" s="79" t="s">
        <v>1368</v>
      </c>
      <c r="B568" s="79" t="s">
        <v>1307</v>
      </c>
      <c r="C568" s="80" t="s">
        <v>95</v>
      </c>
      <c r="D568" s="81" t="s">
        <v>79</v>
      </c>
      <c r="E568" s="82">
        <v>25013</v>
      </c>
      <c r="F568" s="82">
        <v>1122</v>
      </c>
      <c r="G568" s="82">
        <v>1251</v>
      </c>
      <c r="H568" s="83">
        <v>17.615961410244495</v>
      </c>
      <c r="I568" s="83">
        <v>7585.8208088144884</v>
      </c>
      <c r="J568" s="83">
        <v>28.830345092865876</v>
      </c>
    </row>
    <row r="569" spans="1:10" ht="16">
      <c r="A569" s="79" t="s">
        <v>715</v>
      </c>
      <c r="B569" s="79" t="s">
        <v>661</v>
      </c>
      <c r="C569" s="80" t="s">
        <v>126</v>
      </c>
      <c r="D569" s="81" t="s">
        <v>103</v>
      </c>
      <c r="E569" s="82">
        <v>5693</v>
      </c>
      <c r="F569" s="82">
        <v>619</v>
      </c>
      <c r="G569" s="82">
        <v>57</v>
      </c>
      <c r="H569" s="83">
        <v>9.8821212505650813</v>
      </c>
      <c r="I569" s="83">
        <v>1895.0001847918147</v>
      </c>
      <c r="J569" s="83">
        <v>20.352046885385352</v>
      </c>
    </row>
    <row r="570" spans="1:10" ht="16">
      <c r="A570" s="79" t="s">
        <v>716</v>
      </c>
      <c r="B570" s="79" t="s">
        <v>661</v>
      </c>
      <c r="C570" s="80" t="s">
        <v>126</v>
      </c>
      <c r="D570" s="81" t="s">
        <v>101</v>
      </c>
      <c r="E570" s="82">
        <v>13099</v>
      </c>
      <c r="F570" s="82">
        <v>1637</v>
      </c>
      <c r="G570" s="82">
        <v>1048</v>
      </c>
      <c r="H570" s="83">
        <v>17.27928743003849</v>
      </c>
      <c r="I570" s="83">
        <v>4505.4458802006329</v>
      </c>
      <c r="J570" s="83">
        <v>25.945257925127422</v>
      </c>
    </row>
    <row r="571" spans="1:10" ht="16">
      <c r="A571" s="79" t="s">
        <v>1369</v>
      </c>
      <c r="B571" s="79" t="s">
        <v>1307</v>
      </c>
      <c r="C571" s="80" t="s">
        <v>126</v>
      </c>
      <c r="D571" s="81" t="s">
        <v>101</v>
      </c>
      <c r="E571" s="82">
        <v>21494</v>
      </c>
      <c r="F571" s="82">
        <v>1360</v>
      </c>
      <c r="G571" s="82">
        <v>1505</v>
      </c>
      <c r="H571" s="83">
        <v>21.985403675908003</v>
      </c>
      <c r="I571" s="83">
        <v>15322.742627919086</v>
      </c>
      <c r="J571" s="83">
        <v>24.806267038158524</v>
      </c>
    </row>
    <row r="572" spans="1:10" ht="16">
      <c r="A572" s="79" t="s">
        <v>1370</v>
      </c>
      <c r="B572" s="79" t="s">
        <v>1307</v>
      </c>
      <c r="C572" s="80" t="s">
        <v>95</v>
      </c>
      <c r="D572" s="81" t="s">
        <v>111</v>
      </c>
      <c r="E572" s="82">
        <v>18878</v>
      </c>
      <c r="F572" s="82">
        <v>1037</v>
      </c>
      <c r="G572" s="82">
        <v>566</v>
      </c>
      <c r="H572" s="83">
        <v>19.95068605544704</v>
      </c>
      <c r="I572" s="83">
        <v>9982.2165837987122</v>
      </c>
      <c r="J572" s="83">
        <v>23.577046290537393</v>
      </c>
    </row>
    <row r="573" spans="1:10" ht="16">
      <c r="A573" s="79" t="s">
        <v>1186</v>
      </c>
      <c r="B573" s="79" t="s">
        <v>1161</v>
      </c>
      <c r="C573" s="80" t="s">
        <v>95</v>
      </c>
      <c r="D573" s="81" t="s">
        <v>101</v>
      </c>
      <c r="E573" s="82">
        <v>36179</v>
      </c>
      <c r="F573" s="82">
        <v>1096</v>
      </c>
      <c r="G573" s="82">
        <v>2171</v>
      </c>
      <c r="H573" s="83">
        <v>8.9861291929466738</v>
      </c>
      <c r="I573" s="83">
        <v>601.57163695848601</v>
      </c>
      <c r="J573" s="83">
        <v>15.911530135815855</v>
      </c>
    </row>
    <row r="574" spans="1:10" ht="16">
      <c r="A574" s="79" t="s">
        <v>1044</v>
      </c>
      <c r="B574" s="79" t="s">
        <v>1039</v>
      </c>
      <c r="C574" s="80" t="s">
        <v>95</v>
      </c>
      <c r="D574" s="81" t="s">
        <v>99</v>
      </c>
      <c r="E574" s="82">
        <v>22962</v>
      </c>
      <c r="F574" s="82">
        <v>272</v>
      </c>
      <c r="G574" s="82">
        <v>459</v>
      </c>
      <c r="H574" s="83">
        <v>14.436391128476476</v>
      </c>
      <c r="I574" s="83">
        <v>10566.314684675828</v>
      </c>
      <c r="J574" s="83">
        <v>17.485155551340263</v>
      </c>
    </row>
    <row r="575" spans="1:10" ht="16">
      <c r="A575" s="79" t="s">
        <v>1371</v>
      </c>
      <c r="B575" s="79" t="s">
        <v>1307</v>
      </c>
      <c r="C575" s="80" t="s">
        <v>95</v>
      </c>
      <c r="D575" s="81" t="s">
        <v>75</v>
      </c>
      <c r="E575" s="82">
        <v>2895</v>
      </c>
      <c r="F575" s="82">
        <v>2895</v>
      </c>
      <c r="G575" s="82">
        <v>87</v>
      </c>
      <c r="H575" s="83">
        <v>17.390284597463243</v>
      </c>
      <c r="I575" s="83">
        <v>16730.801514790524</v>
      </c>
      <c r="J575" s="83">
        <v>36.656602652056371</v>
      </c>
    </row>
    <row r="576" spans="1:10" ht="16">
      <c r="A576" s="79" t="s">
        <v>1372</v>
      </c>
      <c r="B576" s="79" t="s">
        <v>1307</v>
      </c>
      <c r="C576" s="80" t="s">
        <v>126</v>
      </c>
      <c r="D576" s="81" t="s">
        <v>111</v>
      </c>
      <c r="E576" s="82">
        <v>24798</v>
      </c>
      <c r="F576" s="82">
        <v>1550</v>
      </c>
      <c r="G576" s="82">
        <v>2728</v>
      </c>
      <c r="H576" s="83">
        <v>30.897603393028675</v>
      </c>
      <c r="I576" s="83">
        <v>20274.772653705717</v>
      </c>
      <c r="J576" s="83">
        <v>31.151435331838815</v>
      </c>
    </row>
    <row r="577" spans="1:10" ht="16">
      <c r="A577" s="79" t="s">
        <v>717</v>
      </c>
      <c r="B577" s="79" t="s">
        <v>661</v>
      </c>
      <c r="C577" s="80" t="s">
        <v>126</v>
      </c>
      <c r="D577" s="81" t="s">
        <v>78</v>
      </c>
      <c r="E577" s="82">
        <v>8279</v>
      </c>
      <c r="F577" s="82">
        <v>930</v>
      </c>
      <c r="G577" s="82">
        <v>331</v>
      </c>
      <c r="H577" s="83">
        <v>14.860399221117985</v>
      </c>
      <c r="I577" s="83">
        <v>3836.5290184552823</v>
      </c>
      <c r="J577" s="83">
        <v>25.888159297992974</v>
      </c>
    </row>
    <row r="578" spans="1:10" ht="16">
      <c r="A578" s="79" t="s">
        <v>718</v>
      </c>
      <c r="B578" s="79" t="s">
        <v>661</v>
      </c>
      <c r="C578" s="80" t="s">
        <v>126</v>
      </c>
      <c r="D578" s="81" t="s">
        <v>79</v>
      </c>
      <c r="E578" s="82">
        <v>1248</v>
      </c>
      <c r="F578" s="82">
        <v>462</v>
      </c>
      <c r="G578" s="82">
        <v>12</v>
      </c>
      <c r="H578" s="83">
        <v>10.310849724279546</v>
      </c>
      <c r="I578" s="83">
        <v>1284.4927383503568</v>
      </c>
      <c r="J578" s="83">
        <v>27.3641677430725</v>
      </c>
    </row>
    <row r="579" spans="1:10" ht="16">
      <c r="A579" s="79" t="s">
        <v>719</v>
      </c>
      <c r="B579" s="79" t="s">
        <v>661</v>
      </c>
      <c r="C579" s="80" t="s">
        <v>126</v>
      </c>
      <c r="D579" s="81" t="s">
        <v>79</v>
      </c>
      <c r="E579" s="82">
        <v>7746</v>
      </c>
      <c r="F579" s="82">
        <v>767</v>
      </c>
      <c r="G579" s="82">
        <v>310</v>
      </c>
      <c r="H579" s="83">
        <v>13.698972324530375</v>
      </c>
      <c r="I579" s="83">
        <v>2743.4449526272983</v>
      </c>
      <c r="J579" s="83">
        <v>23.220912159706049</v>
      </c>
    </row>
    <row r="580" spans="1:10" ht="16">
      <c r="A580" s="79" t="s">
        <v>720</v>
      </c>
      <c r="B580" s="79" t="s">
        <v>661</v>
      </c>
      <c r="C580" s="80" t="s">
        <v>126</v>
      </c>
      <c r="D580" s="81" t="s">
        <v>101</v>
      </c>
      <c r="E580" s="82">
        <v>22892</v>
      </c>
      <c r="F580" s="82">
        <v>3094</v>
      </c>
      <c r="G580" s="82">
        <v>2518</v>
      </c>
      <c r="H580" s="83">
        <v>49.632958182344986</v>
      </c>
      <c r="I580" s="83">
        <v>16958.516843245106</v>
      </c>
      <c r="J580" s="83">
        <v>51.722464863779322</v>
      </c>
    </row>
    <row r="581" spans="1:10" ht="16">
      <c r="A581" s="79" t="s">
        <v>532</v>
      </c>
      <c r="B581" s="79" t="s">
        <v>493</v>
      </c>
      <c r="C581" s="80" t="s">
        <v>126</v>
      </c>
      <c r="D581" s="81" t="s">
        <v>96</v>
      </c>
      <c r="E581" s="82">
        <v>12454</v>
      </c>
      <c r="F581" s="82">
        <v>700</v>
      </c>
      <c r="G581" s="82">
        <v>249</v>
      </c>
      <c r="H581" s="83">
        <v>10.867300765463179</v>
      </c>
      <c r="I581" s="83">
        <v>3238.6023918698966</v>
      </c>
      <c r="J581" s="83">
        <v>36.085830298509904</v>
      </c>
    </row>
    <row r="582" spans="1:10" ht="16">
      <c r="A582" s="79" t="s">
        <v>1244</v>
      </c>
      <c r="B582" s="79" t="s">
        <v>1209</v>
      </c>
      <c r="C582" s="80" t="s">
        <v>95</v>
      </c>
      <c r="D582" s="81" t="s">
        <v>96</v>
      </c>
      <c r="E582" s="82">
        <v>13915</v>
      </c>
      <c r="F582" s="82">
        <v>859</v>
      </c>
      <c r="G582" s="82">
        <v>3896</v>
      </c>
      <c r="H582" s="83">
        <v>24.039847494814637</v>
      </c>
      <c r="I582" s="83">
        <v>9008.1683187958351</v>
      </c>
      <c r="J582" s="83">
        <v>28.798362637514447</v>
      </c>
    </row>
    <row r="583" spans="1:10" ht="16">
      <c r="A583" s="79" t="s">
        <v>1187</v>
      </c>
      <c r="B583" s="79" t="s">
        <v>1161</v>
      </c>
      <c r="C583" s="80" t="s">
        <v>95</v>
      </c>
      <c r="D583" s="81" t="s">
        <v>99</v>
      </c>
      <c r="E583" s="82">
        <v>47035</v>
      </c>
      <c r="F583" s="82">
        <v>2138</v>
      </c>
      <c r="G583" s="82">
        <v>1881</v>
      </c>
      <c r="H583" s="83">
        <v>13.828446910938727</v>
      </c>
      <c r="I583" s="83">
        <v>9298.5701533406736</v>
      </c>
      <c r="J583" s="83">
        <v>28.616595837297652</v>
      </c>
    </row>
    <row r="584" spans="1:10" ht="16">
      <c r="A584" s="79" t="s">
        <v>1188</v>
      </c>
      <c r="B584" s="79" t="s">
        <v>1161</v>
      </c>
      <c r="C584" s="80" t="s">
        <v>126</v>
      </c>
      <c r="D584" s="81" t="s">
        <v>78</v>
      </c>
      <c r="E584" s="82">
        <v>46705</v>
      </c>
      <c r="F584" s="82">
        <v>1698</v>
      </c>
      <c r="G584" s="82">
        <v>1401</v>
      </c>
      <c r="H584" s="83">
        <v>8.4468905815231956</v>
      </c>
      <c r="I584" s="83">
        <v>975.69858295255256</v>
      </c>
      <c r="J584" s="83">
        <v>11.922845195403134</v>
      </c>
    </row>
    <row r="585" spans="1:10" ht="16">
      <c r="A585" s="79" t="s">
        <v>1045</v>
      </c>
      <c r="B585" s="79" t="s">
        <v>1039</v>
      </c>
      <c r="C585" s="80" t="s">
        <v>95</v>
      </c>
      <c r="D585" s="81" t="s">
        <v>111</v>
      </c>
      <c r="E585" s="82">
        <v>12113</v>
      </c>
      <c r="F585" s="82">
        <v>841</v>
      </c>
      <c r="G585" s="82">
        <v>2180</v>
      </c>
      <c r="H585" s="83">
        <v>14.243409609180894</v>
      </c>
      <c r="I585" s="83">
        <v>5976.8584487798025</v>
      </c>
      <c r="J585" s="83">
        <v>22.216712370300762</v>
      </c>
    </row>
    <row r="586" spans="1:10" ht="16">
      <c r="A586" s="79" t="s">
        <v>533</v>
      </c>
      <c r="B586" s="79" t="s">
        <v>493</v>
      </c>
      <c r="C586" s="80" t="s">
        <v>126</v>
      </c>
      <c r="D586" s="81" t="s">
        <v>79</v>
      </c>
      <c r="E586" s="82">
        <v>19912</v>
      </c>
      <c r="F586" s="82">
        <v>851</v>
      </c>
      <c r="G586" s="82">
        <v>199</v>
      </c>
      <c r="H586" s="83">
        <v>14.55560864544354</v>
      </c>
      <c r="I586" s="83">
        <v>8175.4233273837972</v>
      </c>
      <c r="J586" s="83">
        <v>27.347082221084754</v>
      </c>
    </row>
    <row r="587" spans="1:10" ht="16">
      <c r="A587" s="79" t="s">
        <v>404</v>
      </c>
      <c r="B587" s="79" t="s">
        <v>396</v>
      </c>
      <c r="C587" s="80" t="s">
        <v>95</v>
      </c>
      <c r="D587" s="81" t="s">
        <v>79</v>
      </c>
      <c r="E587" s="82">
        <v>33434</v>
      </c>
      <c r="F587" s="82">
        <v>921</v>
      </c>
      <c r="G587" s="82">
        <v>5684</v>
      </c>
      <c r="H587" s="83">
        <v>17.333577156404989</v>
      </c>
      <c r="I587" s="83">
        <v>2340.3326554141618</v>
      </c>
      <c r="J587" s="83">
        <v>24.143309484161978</v>
      </c>
    </row>
    <row r="588" spans="1:10" ht="16">
      <c r="A588" s="79" t="s">
        <v>405</v>
      </c>
      <c r="B588" s="79" t="s">
        <v>396</v>
      </c>
      <c r="C588" s="80" t="s">
        <v>95</v>
      </c>
      <c r="D588" s="81" t="s">
        <v>99</v>
      </c>
      <c r="E588" s="82">
        <v>28726</v>
      </c>
      <c r="F588" s="82">
        <v>1981</v>
      </c>
      <c r="G588" s="82">
        <v>4883</v>
      </c>
      <c r="H588" s="83">
        <v>33.189443736409125</v>
      </c>
      <c r="I588" s="83">
        <v>27819.53290011741</v>
      </c>
      <c r="J588" s="83">
        <v>34.017382170298518</v>
      </c>
    </row>
    <row r="589" spans="1:10" ht="16">
      <c r="A589" s="79" t="s">
        <v>286</v>
      </c>
      <c r="B589" s="79" t="s">
        <v>242</v>
      </c>
      <c r="C589" s="80" t="s">
        <v>126</v>
      </c>
      <c r="D589" s="81" t="s">
        <v>103</v>
      </c>
      <c r="E589" s="82">
        <v>39575</v>
      </c>
      <c r="F589" s="82">
        <v>3441</v>
      </c>
      <c r="G589" s="82">
        <v>5936</v>
      </c>
      <c r="H589" s="83">
        <v>90.709661800045382</v>
      </c>
      <c r="I589" s="83">
        <v>65926.909406074948</v>
      </c>
      <c r="J589" s="83">
        <v>89.380490908315409</v>
      </c>
    </row>
    <row r="590" spans="1:10" ht="16">
      <c r="A590" s="79" t="s">
        <v>1373</v>
      </c>
      <c r="B590" s="79" t="s">
        <v>1307</v>
      </c>
      <c r="C590" s="80" t="s">
        <v>126</v>
      </c>
      <c r="D590" s="81" t="s">
        <v>96</v>
      </c>
      <c r="E590" s="82">
        <v>46204</v>
      </c>
      <c r="F590" s="82">
        <v>3020</v>
      </c>
      <c r="G590" s="82">
        <v>7393</v>
      </c>
      <c r="H590" s="83">
        <v>67.672533722330371</v>
      </c>
      <c r="I590" s="83">
        <v>50862.492421764589</v>
      </c>
      <c r="J590" s="83">
        <v>55.784605452957251</v>
      </c>
    </row>
    <row r="591" spans="1:10" ht="16">
      <c r="A591" s="79" t="s">
        <v>958</v>
      </c>
      <c r="B591" s="79" t="s">
        <v>938</v>
      </c>
      <c r="C591" s="80" t="s">
        <v>126</v>
      </c>
      <c r="D591" s="81" t="s">
        <v>79</v>
      </c>
      <c r="E591" s="82">
        <v>8922</v>
      </c>
      <c r="F591" s="82">
        <v>991</v>
      </c>
      <c r="G591" s="82">
        <v>625</v>
      </c>
      <c r="H591" s="83">
        <v>11.195979257618683</v>
      </c>
      <c r="I591" s="83">
        <v>221.06704539715358</v>
      </c>
      <c r="J591" s="83">
        <v>19.738364414931496</v>
      </c>
    </row>
    <row r="592" spans="1:10" ht="16">
      <c r="A592" s="79" t="s">
        <v>959</v>
      </c>
      <c r="B592" s="79" t="s">
        <v>938</v>
      </c>
      <c r="C592" s="80" t="s">
        <v>95</v>
      </c>
      <c r="D592" s="81" t="s">
        <v>96</v>
      </c>
      <c r="E592" s="82">
        <v>9252</v>
      </c>
      <c r="F592" s="82">
        <v>881</v>
      </c>
      <c r="G592" s="82">
        <v>93</v>
      </c>
      <c r="H592" s="83">
        <v>9.893743429358457</v>
      </c>
      <c r="I592" s="83">
        <v>321.85635732226405</v>
      </c>
      <c r="J592" s="83">
        <v>18.613819409770151</v>
      </c>
    </row>
    <row r="593" spans="1:10" ht="16">
      <c r="A593" s="79" t="s">
        <v>960</v>
      </c>
      <c r="B593" s="79" t="s">
        <v>938</v>
      </c>
      <c r="C593" s="80" t="s">
        <v>126</v>
      </c>
      <c r="D593" s="81" t="s">
        <v>77</v>
      </c>
      <c r="E593" s="82">
        <v>18251</v>
      </c>
      <c r="F593" s="82">
        <v>2028</v>
      </c>
      <c r="G593" s="82">
        <v>5110</v>
      </c>
      <c r="H593" s="83">
        <v>16.722426940277511</v>
      </c>
      <c r="I593" s="83">
        <v>9832.7524360542939</v>
      </c>
      <c r="J593" s="83">
        <v>26.245748143656513</v>
      </c>
    </row>
    <row r="594" spans="1:10" ht="16">
      <c r="A594" s="79" t="s">
        <v>961</v>
      </c>
      <c r="B594" s="79" t="s">
        <v>938</v>
      </c>
      <c r="C594" s="80" t="s">
        <v>95</v>
      </c>
      <c r="D594" s="81" t="s">
        <v>103</v>
      </c>
      <c r="E594" s="82">
        <v>8078</v>
      </c>
      <c r="F594" s="82">
        <v>1282</v>
      </c>
      <c r="G594" s="82">
        <v>485</v>
      </c>
      <c r="H594" s="83">
        <v>9.7252993759250792</v>
      </c>
      <c r="I594" s="83">
        <v>333.09013973209585</v>
      </c>
      <c r="J594" s="83">
        <v>23.517465374167244</v>
      </c>
    </row>
    <row r="595" spans="1:10" ht="16">
      <c r="A595" s="79" t="s">
        <v>883</v>
      </c>
      <c r="B595" s="79" t="s">
        <v>877</v>
      </c>
      <c r="C595" s="80" t="s">
        <v>126</v>
      </c>
      <c r="D595" s="81" t="s">
        <v>101</v>
      </c>
      <c r="E595" s="82">
        <v>12452</v>
      </c>
      <c r="F595" s="82">
        <v>239</v>
      </c>
      <c r="G595" s="82">
        <v>197</v>
      </c>
      <c r="H595" s="83">
        <v>9.5428284223948818</v>
      </c>
      <c r="I595" s="83">
        <v>1686.0934076296296</v>
      </c>
      <c r="J595" s="83">
        <v>14.369639783606988</v>
      </c>
    </row>
    <row r="596" spans="1:10" ht="16">
      <c r="A596" s="79" t="s">
        <v>1025</v>
      </c>
      <c r="B596" s="79" t="s">
        <v>1007</v>
      </c>
      <c r="C596" s="80" t="s">
        <v>126</v>
      </c>
      <c r="D596" s="81" t="s">
        <v>103</v>
      </c>
      <c r="E596" s="82">
        <v>3215</v>
      </c>
      <c r="F596" s="82">
        <v>312</v>
      </c>
      <c r="G596" s="82">
        <v>96</v>
      </c>
      <c r="H596" s="83">
        <v>51.199589884034872</v>
      </c>
      <c r="I596" s="83">
        <v>36800.878037531947</v>
      </c>
      <c r="J596" s="83">
        <v>52.063144081636317</v>
      </c>
    </row>
    <row r="597" spans="1:10" ht="16">
      <c r="A597" s="79" t="s">
        <v>915</v>
      </c>
      <c r="B597" s="79" t="s">
        <v>912</v>
      </c>
      <c r="C597" s="80" t="s">
        <v>126</v>
      </c>
      <c r="D597" s="81" t="s">
        <v>76</v>
      </c>
      <c r="E597" s="82">
        <v>18511</v>
      </c>
      <c r="F597" s="82">
        <v>1083</v>
      </c>
      <c r="G597" s="82">
        <v>1111</v>
      </c>
      <c r="H597" s="83">
        <v>9.5060909888285572</v>
      </c>
      <c r="I597" s="83">
        <v>4250.9350096776907</v>
      </c>
      <c r="J597" s="83">
        <v>14.310630513369883</v>
      </c>
    </row>
    <row r="598" spans="1:10" ht="16">
      <c r="A598" s="79" t="s">
        <v>621</v>
      </c>
      <c r="B598" s="79" t="s">
        <v>617</v>
      </c>
      <c r="C598" s="80" t="s">
        <v>126</v>
      </c>
      <c r="D598" s="81" t="s">
        <v>75</v>
      </c>
      <c r="E598" s="82">
        <v>6122</v>
      </c>
      <c r="F598" s="82">
        <v>251</v>
      </c>
      <c r="G598" s="82">
        <v>61</v>
      </c>
      <c r="H598" s="83">
        <v>22.998027009888375</v>
      </c>
      <c r="I598" s="83">
        <v>18624.847509508654</v>
      </c>
      <c r="J598" s="83">
        <v>17.724075805517337</v>
      </c>
    </row>
    <row r="599" spans="1:10" ht="16">
      <c r="A599" s="79" t="s">
        <v>932</v>
      </c>
      <c r="B599" s="79" t="s">
        <v>928</v>
      </c>
      <c r="C599" s="80" t="s">
        <v>126</v>
      </c>
      <c r="D599" s="81" t="s">
        <v>101</v>
      </c>
      <c r="E599" s="82">
        <v>29437</v>
      </c>
      <c r="F599" s="82">
        <v>2181</v>
      </c>
      <c r="G599" s="82">
        <v>883</v>
      </c>
      <c r="H599" s="83">
        <v>10.593356036525876</v>
      </c>
      <c r="I599" s="83">
        <v>1301.9690311083195</v>
      </c>
      <c r="J599" s="83">
        <v>16.822801190702805</v>
      </c>
    </row>
    <row r="600" spans="1:10" ht="16">
      <c r="A600" s="79" t="s">
        <v>1046</v>
      </c>
      <c r="B600" s="79" t="s">
        <v>1039</v>
      </c>
      <c r="C600" s="80" t="s">
        <v>126</v>
      </c>
      <c r="D600" s="81" t="s">
        <v>149</v>
      </c>
      <c r="E600" s="82">
        <v>4749</v>
      </c>
      <c r="F600" s="82">
        <v>448</v>
      </c>
      <c r="G600" s="82">
        <v>285</v>
      </c>
      <c r="H600" s="83">
        <v>11.438301421607262</v>
      </c>
      <c r="I600" s="83">
        <v>2587.5733232450011</v>
      </c>
      <c r="J600" s="83">
        <v>23.522666216365913</v>
      </c>
    </row>
    <row r="601" spans="1:10" ht="16">
      <c r="A601" s="79" t="s">
        <v>1047</v>
      </c>
      <c r="B601" s="79" t="s">
        <v>1039</v>
      </c>
      <c r="C601" s="80" t="s">
        <v>126</v>
      </c>
      <c r="D601" s="81" t="s">
        <v>76</v>
      </c>
      <c r="E601" s="82">
        <v>25484</v>
      </c>
      <c r="F601" s="82">
        <v>2404</v>
      </c>
      <c r="G601" s="82">
        <v>4077</v>
      </c>
      <c r="H601" s="83">
        <v>17.387073534382019</v>
      </c>
      <c r="I601" s="83">
        <v>9787.4673285921199</v>
      </c>
      <c r="J601" s="83">
        <v>24.425639315482496</v>
      </c>
    </row>
    <row r="602" spans="1:10" ht="16">
      <c r="A602" s="79" t="s">
        <v>622</v>
      </c>
      <c r="B602" s="79" t="s">
        <v>617</v>
      </c>
      <c r="C602" s="80" t="s">
        <v>126</v>
      </c>
      <c r="D602" s="81" t="s">
        <v>78</v>
      </c>
      <c r="E602" s="82">
        <v>35184</v>
      </c>
      <c r="F602" s="82">
        <v>1407</v>
      </c>
      <c r="G602" s="82">
        <v>5981</v>
      </c>
      <c r="H602" s="83">
        <v>36.142111935521513</v>
      </c>
      <c r="I602" s="83">
        <v>21018.210944838156</v>
      </c>
      <c r="J602" s="83">
        <v>33.735725158596672</v>
      </c>
    </row>
    <row r="603" spans="1:10" ht="16">
      <c r="A603" s="79" t="s">
        <v>933</v>
      </c>
      <c r="B603" s="79" t="s">
        <v>928</v>
      </c>
      <c r="C603" s="80" t="s">
        <v>126</v>
      </c>
      <c r="D603" s="81" t="s">
        <v>75</v>
      </c>
      <c r="E603" s="82">
        <v>12646</v>
      </c>
      <c r="F603" s="82">
        <v>620</v>
      </c>
      <c r="G603" s="82">
        <v>379</v>
      </c>
      <c r="H603" s="83">
        <v>9.0038046377800338</v>
      </c>
      <c r="I603" s="83">
        <v>1415.5448366305386</v>
      </c>
      <c r="J603" s="83">
        <v>14.39022054068294</v>
      </c>
    </row>
    <row r="604" spans="1:10" ht="16">
      <c r="A604" s="79" t="s">
        <v>623</v>
      </c>
      <c r="B604" s="79" t="s">
        <v>617</v>
      </c>
      <c r="C604" s="80" t="s">
        <v>126</v>
      </c>
      <c r="D604" s="81" t="s">
        <v>76</v>
      </c>
      <c r="E604" s="82">
        <v>31425</v>
      </c>
      <c r="F604" s="82">
        <v>878</v>
      </c>
      <c r="G604" s="82">
        <v>4085</v>
      </c>
      <c r="H604" s="83">
        <v>26.35408167018106</v>
      </c>
      <c r="I604" s="83">
        <v>14056.183479490051</v>
      </c>
      <c r="J604" s="83">
        <v>26.244332544399494</v>
      </c>
    </row>
    <row r="605" spans="1:10" ht="16">
      <c r="A605" s="79" t="s">
        <v>1048</v>
      </c>
      <c r="B605" s="79" t="s">
        <v>1039</v>
      </c>
      <c r="C605" s="80" t="s">
        <v>126</v>
      </c>
      <c r="D605" s="81" t="s">
        <v>99</v>
      </c>
      <c r="E605" s="82">
        <v>21119</v>
      </c>
      <c r="F605" s="82">
        <v>2112</v>
      </c>
      <c r="G605" s="82">
        <v>2957</v>
      </c>
      <c r="H605" s="83">
        <v>12.59333326483779</v>
      </c>
      <c r="I605" s="83">
        <v>4915.6464931171095</v>
      </c>
      <c r="J605" s="83">
        <v>23.039872105168399</v>
      </c>
    </row>
    <row r="606" spans="1:10" ht="16">
      <c r="A606" s="79" t="s">
        <v>1049</v>
      </c>
      <c r="B606" s="79" t="s">
        <v>1039</v>
      </c>
      <c r="C606" s="80" t="s">
        <v>95</v>
      </c>
      <c r="D606" s="81" t="s">
        <v>77</v>
      </c>
      <c r="E606" s="82">
        <v>11636</v>
      </c>
      <c r="F606" s="82">
        <v>539</v>
      </c>
      <c r="G606" s="82">
        <v>1513</v>
      </c>
      <c r="H606" s="83">
        <v>40.352613750122487</v>
      </c>
      <c r="I606" s="83">
        <v>37917.649610527966</v>
      </c>
      <c r="J606" s="83">
        <v>38.329006784619594</v>
      </c>
    </row>
    <row r="607" spans="1:10" ht="16">
      <c r="A607" s="79" t="s">
        <v>534</v>
      </c>
      <c r="B607" s="79" t="s">
        <v>493</v>
      </c>
      <c r="C607" s="80" t="s">
        <v>126</v>
      </c>
      <c r="D607" s="81" t="s">
        <v>101</v>
      </c>
      <c r="E607" s="82">
        <v>6107</v>
      </c>
      <c r="F607" s="82">
        <v>355</v>
      </c>
      <c r="G607" s="82">
        <v>61</v>
      </c>
      <c r="H607" s="83">
        <v>19.754200327703813</v>
      </c>
      <c r="I607" s="83">
        <v>3532.9163151981365</v>
      </c>
      <c r="J607" s="83">
        <v>37.218353095862902</v>
      </c>
    </row>
    <row r="608" spans="1:10" ht="16">
      <c r="A608" s="79" t="s">
        <v>234</v>
      </c>
      <c r="B608" s="79" t="s">
        <v>231</v>
      </c>
      <c r="C608" s="80" t="s">
        <v>95</v>
      </c>
      <c r="D608" s="81" t="s">
        <v>77</v>
      </c>
      <c r="E608" s="82">
        <v>28541</v>
      </c>
      <c r="F608" s="82">
        <v>1903</v>
      </c>
      <c r="G608" s="82">
        <v>1998</v>
      </c>
      <c r="H608" s="83">
        <v>28.877823482091934</v>
      </c>
      <c r="I608" s="83">
        <v>13790.719220731473</v>
      </c>
      <c r="J608" s="83">
        <v>24.863609245280092</v>
      </c>
    </row>
    <row r="609" spans="1:10" ht="16">
      <c r="A609" s="79" t="s">
        <v>187</v>
      </c>
      <c r="B609" s="79" t="s">
        <v>169</v>
      </c>
      <c r="C609" s="80" t="s">
        <v>95</v>
      </c>
      <c r="D609" s="81" t="s">
        <v>78</v>
      </c>
      <c r="E609" s="82">
        <v>34101</v>
      </c>
      <c r="F609" s="82">
        <v>1601</v>
      </c>
      <c r="G609" s="82">
        <v>1705</v>
      </c>
      <c r="H609" s="83">
        <v>8.2404510325299327</v>
      </c>
      <c r="I609" s="83">
        <v>521.4556253724835</v>
      </c>
      <c r="J609" s="83">
        <v>15.35502382939436</v>
      </c>
    </row>
    <row r="610" spans="1:10" ht="16">
      <c r="A610" s="79" t="s">
        <v>891</v>
      </c>
      <c r="B610" s="79" t="s">
        <v>892</v>
      </c>
      <c r="C610" s="80" t="s">
        <v>126</v>
      </c>
      <c r="D610" s="81" t="s">
        <v>78</v>
      </c>
      <c r="E610" s="82">
        <v>24984</v>
      </c>
      <c r="F610" s="82">
        <v>3331</v>
      </c>
      <c r="G610" s="82">
        <v>750</v>
      </c>
      <c r="H610" s="83">
        <v>8.8496565163900378</v>
      </c>
      <c r="I610" s="83">
        <v>2916.6164293147112</v>
      </c>
      <c r="J610" s="83">
        <v>20.260024518757106</v>
      </c>
    </row>
    <row r="611" spans="1:10" ht="16">
      <c r="A611" s="79" t="s">
        <v>188</v>
      </c>
      <c r="B611" s="79" t="s">
        <v>169</v>
      </c>
      <c r="C611" s="80" t="s">
        <v>95</v>
      </c>
      <c r="D611" s="81" t="s">
        <v>76</v>
      </c>
      <c r="E611" s="82">
        <v>15581</v>
      </c>
      <c r="F611" s="82">
        <v>711</v>
      </c>
      <c r="G611" s="82">
        <v>779</v>
      </c>
      <c r="H611" s="83">
        <v>25.896412273439154</v>
      </c>
      <c r="I611" s="83">
        <v>7160.2571174188161</v>
      </c>
      <c r="J611" s="83">
        <v>28.305503518333591</v>
      </c>
    </row>
    <row r="612" spans="1:10" ht="16">
      <c r="A612" s="79" t="s">
        <v>189</v>
      </c>
      <c r="B612" s="79" t="s">
        <v>169</v>
      </c>
      <c r="C612" s="80" t="s">
        <v>126</v>
      </c>
      <c r="D612" s="81" t="s">
        <v>76</v>
      </c>
      <c r="E612" s="82">
        <v>16750</v>
      </c>
      <c r="F612" s="82">
        <v>735</v>
      </c>
      <c r="G612" s="82">
        <v>1153</v>
      </c>
      <c r="H612" s="83">
        <v>14.396736592275916</v>
      </c>
      <c r="I612" s="83">
        <v>5556.0420395137817</v>
      </c>
      <c r="J612" s="83">
        <v>19.425273850646708</v>
      </c>
    </row>
    <row r="613" spans="1:10" ht="16">
      <c r="A613" s="79" t="s">
        <v>326</v>
      </c>
      <c r="B613" s="79" t="s">
        <v>323</v>
      </c>
      <c r="C613" s="80" t="s">
        <v>95</v>
      </c>
      <c r="D613" s="81" t="s">
        <v>103</v>
      </c>
      <c r="E613" s="82">
        <v>30048</v>
      </c>
      <c r="F613" s="82">
        <v>1951</v>
      </c>
      <c r="G613" s="82">
        <v>300</v>
      </c>
      <c r="H613" s="83">
        <v>9.3129075979113747</v>
      </c>
      <c r="I613" s="83">
        <v>8867.4276488520572</v>
      </c>
      <c r="J613" s="83">
        <v>16.242940414215056</v>
      </c>
    </row>
    <row r="614" spans="1:10" ht="16">
      <c r="A614" s="79" t="s">
        <v>1374</v>
      </c>
      <c r="B614" s="79" t="s">
        <v>1307</v>
      </c>
      <c r="C614" s="80" t="s">
        <v>95</v>
      </c>
      <c r="D614" s="81" t="s">
        <v>99</v>
      </c>
      <c r="E614" s="82">
        <v>20219</v>
      </c>
      <c r="F614" s="82">
        <v>1099</v>
      </c>
      <c r="G614" s="82">
        <v>1820</v>
      </c>
      <c r="H614" s="83">
        <v>18.899966896101866</v>
      </c>
      <c r="I614" s="83">
        <v>8219.2372699186744</v>
      </c>
      <c r="J614" s="83">
        <v>21.744930550463014</v>
      </c>
    </row>
    <row r="615" spans="1:10" ht="16">
      <c r="A615" s="79" t="s">
        <v>1148</v>
      </c>
      <c r="B615" s="79" t="s">
        <v>1139</v>
      </c>
      <c r="C615" s="80" t="s">
        <v>95</v>
      </c>
      <c r="D615" s="81" t="s">
        <v>99</v>
      </c>
      <c r="E615" s="82">
        <v>39257</v>
      </c>
      <c r="F615" s="82">
        <v>2485</v>
      </c>
      <c r="G615" s="82">
        <v>785</v>
      </c>
      <c r="H615" s="83">
        <v>10.673137163870932</v>
      </c>
      <c r="I615" s="83">
        <v>1786.9656740005175</v>
      </c>
      <c r="J615" s="83">
        <v>18.876591410046313</v>
      </c>
    </row>
    <row r="616" spans="1:10" ht="16">
      <c r="A616" s="79" t="s">
        <v>1375</v>
      </c>
      <c r="B616" s="79" t="s">
        <v>1307</v>
      </c>
      <c r="C616" s="80" t="s">
        <v>126</v>
      </c>
      <c r="D616" s="81" t="s">
        <v>99</v>
      </c>
      <c r="E616" s="82">
        <v>7983</v>
      </c>
      <c r="F616" s="82">
        <v>986</v>
      </c>
      <c r="G616" s="82">
        <v>1996</v>
      </c>
      <c r="H616" s="83">
        <v>96.528519395130431</v>
      </c>
      <c r="I616" s="83">
        <v>95232.817062969145</v>
      </c>
      <c r="J616" s="83">
        <v>91.114174511566972</v>
      </c>
    </row>
    <row r="617" spans="1:10" ht="16">
      <c r="A617" s="79" t="s">
        <v>535</v>
      </c>
      <c r="B617" s="79" t="s">
        <v>493</v>
      </c>
      <c r="C617" s="80" t="s">
        <v>126</v>
      </c>
      <c r="D617" s="81" t="s">
        <v>75</v>
      </c>
      <c r="E617" s="82">
        <v>8325</v>
      </c>
      <c r="F617" s="82">
        <v>570</v>
      </c>
      <c r="G617" s="82">
        <v>186</v>
      </c>
      <c r="H617" s="83">
        <v>10.403305137442896</v>
      </c>
      <c r="I617" s="83">
        <v>1226.7535915612962</v>
      </c>
      <c r="J617" s="83">
        <v>19.844267415918484</v>
      </c>
    </row>
    <row r="618" spans="1:10" ht="16">
      <c r="A618" s="79" t="s">
        <v>1376</v>
      </c>
      <c r="B618" s="79" t="s">
        <v>1307</v>
      </c>
      <c r="C618" s="80" t="s">
        <v>126</v>
      </c>
      <c r="D618" s="81" t="s">
        <v>103</v>
      </c>
      <c r="E618" s="82">
        <v>40451</v>
      </c>
      <c r="F618" s="82">
        <v>2576</v>
      </c>
      <c r="G618" s="82">
        <v>9304</v>
      </c>
      <c r="H618" s="83">
        <v>67.23903017888135</v>
      </c>
      <c r="I618" s="83">
        <v>41874.794652364668</v>
      </c>
      <c r="J618" s="83">
        <v>57.902671311143855</v>
      </c>
    </row>
    <row r="619" spans="1:10" ht="16">
      <c r="A619" s="79" t="s">
        <v>1026</v>
      </c>
      <c r="B619" s="79" t="s">
        <v>1007</v>
      </c>
      <c r="C619" s="80" t="s">
        <v>126</v>
      </c>
      <c r="D619" s="81" t="s">
        <v>78</v>
      </c>
      <c r="E619" s="82">
        <v>24331</v>
      </c>
      <c r="F619" s="82">
        <v>1330</v>
      </c>
      <c r="G619" s="82">
        <v>2676</v>
      </c>
      <c r="H619" s="83">
        <v>30.081984329399617</v>
      </c>
      <c r="I619" s="83">
        <v>7492.1127617937018</v>
      </c>
      <c r="J619" s="83">
        <v>27.931426708636234</v>
      </c>
    </row>
    <row r="620" spans="1:10" ht="16">
      <c r="A620" s="79" t="s">
        <v>925</v>
      </c>
      <c r="B620" s="79" t="s">
        <v>926</v>
      </c>
      <c r="C620" s="80" t="s">
        <v>95</v>
      </c>
      <c r="D620" s="81" t="s">
        <v>101</v>
      </c>
      <c r="E620" s="82">
        <v>15585</v>
      </c>
      <c r="F620" s="82">
        <v>901</v>
      </c>
      <c r="G620" s="82">
        <v>5922</v>
      </c>
      <c r="H620" s="83">
        <v>27.992449800270705</v>
      </c>
      <c r="I620" s="83">
        <v>17641.552420347962</v>
      </c>
      <c r="J620" s="83">
        <v>20.268497390914639</v>
      </c>
    </row>
    <row r="621" spans="1:10" ht="16">
      <c r="A621" s="79" t="s">
        <v>884</v>
      </c>
      <c r="B621" s="79" t="s">
        <v>877</v>
      </c>
      <c r="C621" s="80" t="s">
        <v>95</v>
      </c>
      <c r="D621" s="81" t="s">
        <v>101</v>
      </c>
      <c r="E621" s="82">
        <v>14694</v>
      </c>
      <c r="F621" s="82">
        <v>593</v>
      </c>
      <c r="G621" s="82">
        <v>147</v>
      </c>
      <c r="H621" s="83">
        <v>18.657432425022733</v>
      </c>
      <c r="I621" s="83">
        <v>15239.79466362685</v>
      </c>
      <c r="J621" s="83">
        <v>21.385502697792464</v>
      </c>
    </row>
    <row r="622" spans="1:10" ht="16">
      <c r="A622" s="79" t="s">
        <v>1245</v>
      </c>
      <c r="B622" s="79" t="s">
        <v>1209</v>
      </c>
      <c r="C622" s="80" t="s">
        <v>95</v>
      </c>
      <c r="D622" s="81" t="s">
        <v>78</v>
      </c>
      <c r="E622" s="82">
        <v>17799</v>
      </c>
      <c r="F622" s="82">
        <v>1262</v>
      </c>
      <c r="G622" s="82">
        <v>7654</v>
      </c>
      <c r="H622" s="83">
        <v>43.263055823582647</v>
      </c>
      <c r="I622" s="83">
        <v>42256.128669816411</v>
      </c>
      <c r="J622" s="83">
        <v>35.337632899044912</v>
      </c>
    </row>
    <row r="623" spans="1:10" ht="16">
      <c r="A623" s="79" t="s">
        <v>124</v>
      </c>
      <c r="B623" s="79" t="s">
        <v>108</v>
      </c>
      <c r="C623" s="80" t="s">
        <v>95</v>
      </c>
      <c r="D623" s="81" t="s">
        <v>111</v>
      </c>
      <c r="E623" s="82">
        <v>34871</v>
      </c>
      <c r="F623" s="82">
        <v>913</v>
      </c>
      <c r="G623" s="82">
        <v>5579</v>
      </c>
      <c r="H623" s="83">
        <v>40.414899388408976</v>
      </c>
      <c r="I623" s="83">
        <v>34884.82534295776</v>
      </c>
      <c r="J623" s="83">
        <v>32.447594262837008</v>
      </c>
    </row>
    <row r="624" spans="1:10" ht="16">
      <c r="A624" s="79" t="s">
        <v>844</v>
      </c>
      <c r="B624" s="79" t="s">
        <v>839</v>
      </c>
      <c r="C624" s="80" t="s">
        <v>95</v>
      </c>
      <c r="D624" s="81" t="s">
        <v>149</v>
      </c>
      <c r="E624" s="82">
        <v>20024</v>
      </c>
      <c r="F624" s="82">
        <v>1144</v>
      </c>
      <c r="G624" s="82">
        <v>2803</v>
      </c>
      <c r="H624" s="83">
        <v>50.742080190469942</v>
      </c>
      <c r="I624" s="83">
        <v>44044.378073897708</v>
      </c>
      <c r="J624" s="83">
        <v>36.448204886483637</v>
      </c>
    </row>
    <row r="625" spans="1:10" ht="16">
      <c r="A625" s="79" t="s">
        <v>287</v>
      </c>
      <c r="B625" s="79" t="s">
        <v>242</v>
      </c>
      <c r="C625" s="80" t="s">
        <v>95</v>
      </c>
      <c r="D625" s="81" t="s">
        <v>79</v>
      </c>
      <c r="E625" s="82">
        <v>25590</v>
      </c>
      <c r="F625" s="82">
        <v>2047</v>
      </c>
      <c r="G625" s="82">
        <v>1535</v>
      </c>
      <c r="H625" s="83">
        <v>22.058516162225843</v>
      </c>
      <c r="I625" s="83">
        <v>10050.299449627824</v>
      </c>
      <c r="J625" s="83">
        <v>43.017277744511468</v>
      </c>
    </row>
    <row r="626" spans="1:10" ht="16">
      <c r="A626" s="79" t="s">
        <v>1377</v>
      </c>
      <c r="B626" s="79" t="s">
        <v>1307</v>
      </c>
      <c r="C626" s="80" t="s">
        <v>126</v>
      </c>
      <c r="D626" s="81" t="s">
        <v>149</v>
      </c>
      <c r="E626" s="82">
        <v>7798</v>
      </c>
      <c r="F626" s="82">
        <v>500</v>
      </c>
      <c r="G626" s="82">
        <v>1560</v>
      </c>
      <c r="H626" s="83">
        <v>29.214639700901824</v>
      </c>
      <c r="I626" s="83">
        <v>16942.100006942444</v>
      </c>
      <c r="J626" s="83">
        <v>30.74124966154605</v>
      </c>
    </row>
    <row r="627" spans="1:10" ht="16">
      <c r="A627" s="79" t="s">
        <v>1378</v>
      </c>
      <c r="B627" s="79" t="s">
        <v>1307</v>
      </c>
      <c r="C627" s="80" t="s">
        <v>126</v>
      </c>
      <c r="D627" s="81" t="s">
        <v>101</v>
      </c>
      <c r="E627" s="82">
        <v>6667</v>
      </c>
      <c r="F627" s="82">
        <v>749</v>
      </c>
      <c r="G627" s="82">
        <v>1867</v>
      </c>
      <c r="H627" s="83">
        <v>39.770114256228013</v>
      </c>
      <c r="I627" s="83">
        <v>37224.091921560692</v>
      </c>
      <c r="J627" s="83">
        <v>49.249545990373669</v>
      </c>
    </row>
    <row r="628" spans="1:10" ht="16">
      <c r="A628" s="79" t="s">
        <v>786</v>
      </c>
      <c r="B628" s="79" t="s">
        <v>785</v>
      </c>
      <c r="C628" s="80" t="s">
        <v>126</v>
      </c>
      <c r="D628" s="81" t="s">
        <v>96</v>
      </c>
      <c r="E628" s="82">
        <v>10805</v>
      </c>
      <c r="F628" s="82">
        <v>363</v>
      </c>
      <c r="G628" s="82">
        <v>1189</v>
      </c>
      <c r="H628" s="83">
        <v>18.260467150531351</v>
      </c>
      <c r="I628" s="83">
        <v>3525.4161637189582</v>
      </c>
      <c r="J628" s="83">
        <v>19.639101786689281</v>
      </c>
    </row>
    <row r="629" spans="1:10" ht="16">
      <c r="A629" s="79" t="s">
        <v>721</v>
      </c>
      <c r="B629" s="79" t="s">
        <v>661</v>
      </c>
      <c r="C629" s="80" t="s">
        <v>95</v>
      </c>
      <c r="D629" s="81" t="s">
        <v>76</v>
      </c>
      <c r="E629" s="82">
        <v>20183</v>
      </c>
      <c r="F629" s="82">
        <v>1431</v>
      </c>
      <c r="G629" s="82">
        <v>807</v>
      </c>
      <c r="H629" s="83">
        <v>9.6218854966176117</v>
      </c>
      <c r="I629" s="83">
        <v>4251.1448927147803</v>
      </c>
      <c r="J629" s="83">
        <v>17.040090690230265</v>
      </c>
    </row>
    <row r="630" spans="1:10" ht="16">
      <c r="A630" s="79" t="s">
        <v>190</v>
      </c>
      <c r="B630" s="79" t="s">
        <v>169</v>
      </c>
      <c r="C630" s="80" t="s">
        <v>95</v>
      </c>
      <c r="D630" s="81" t="s">
        <v>99</v>
      </c>
      <c r="E630" s="82">
        <v>22879</v>
      </c>
      <c r="F630" s="82">
        <v>2571</v>
      </c>
      <c r="G630" s="82">
        <v>1144</v>
      </c>
      <c r="H630" s="83">
        <v>11.875261538256998</v>
      </c>
      <c r="I630" s="83">
        <v>1669.6925463883715</v>
      </c>
      <c r="J630" s="83">
        <v>25.002974931660098</v>
      </c>
    </row>
    <row r="631" spans="1:10" ht="16">
      <c r="A631" s="79" t="s">
        <v>722</v>
      </c>
      <c r="B631" s="79" t="s">
        <v>661</v>
      </c>
      <c r="C631" s="80" t="s">
        <v>126</v>
      </c>
      <c r="D631" s="81" t="s">
        <v>75</v>
      </c>
      <c r="E631" s="82">
        <v>34413</v>
      </c>
      <c r="F631" s="82">
        <v>1880</v>
      </c>
      <c r="G631" s="82">
        <v>2065</v>
      </c>
      <c r="H631" s="83">
        <v>13.229879559732836</v>
      </c>
      <c r="I631" s="83">
        <v>2203.5716109797768</v>
      </c>
      <c r="J631" s="83">
        <v>19.285941993179023</v>
      </c>
    </row>
    <row r="632" spans="1:10" ht="16">
      <c r="A632" s="79" t="s">
        <v>125</v>
      </c>
      <c r="B632" s="79" t="s">
        <v>108</v>
      </c>
      <c r="C632" s="80" t="s">
        <v>126</v>
      </c>
      <c r="D632" s="81" t="s">
        <v>77</v>
      </c>
      <c r="E632" s="82">
        <v>33848</v>
      </c>
      <c r="F632" s="82">
        <v>1511</v>
      </c>
      <c r="G632" s="82">
        <v>10154</v>
      </c>
      <c r="H632" s="83">
        <v>26.255691822669192</v>
      </c>
      <c r="I632" s="83">
        <v>16867.179747056005</v>
      </c>
      <c r="J632" s="83">
        <v>26.5528630134393</v>
      </c>
    </row>
    <row r="633" spans="1:10" ht="16">
      <c r="A633" s="79" t="s">
        <v>1246</v>
      </c>
      <c r="B633" s="79" t="s">
        <v>1209</v>
      </c>
      <c r="C633" s="80" t="s">
        <v>95</v>
      </c>
      <c r="D633" s="81" t="s">
        <v>149</v>
      </c>
      <c r="E633" s="82">
        <v>9489</v>
      </c>
      <c r="F633" s="82">
        <v>465</v>
      </c>
      <c r="G633" s="82">
        <v>2088</v>
      </c>
      <c r="H633" s="83">
        <v>11.713474121648453</v>
      </c>
      <c r="I633" s="83">
        <v>2641.439812347171</v>
      </c>
      <c r="J633" s="83">
        <v>17.655032842544077</v>
      </c>
    </row>
    <row r="634" spans="1:10" ht="16">
      <c r="A634" s="79" t="s">
        <v>1379</v>
      </c>
      <c r="B634" s="79" t="s">
        <v>1307</v>
      </c>
      <c r="C634" s="80" t="s">
        <v>126</v>
      </c>
      <c r="D634" s="81" t="s">
        <v>101</v>
      </c>
      <c r="E634" s="82">
        <v>13996</v>
      </c>
      <c r="F634" s="82">
        <v>891</v>
      </c>
      <c r="G634" s="82">
        <v>2519</v>
      </c>
      <c r="H634" s="83">
        <v>18.549498077231945</v>
      </c>
      <c r="I634" s="83">
        <v>7074.5489437256429</v>
      </c>
      <c r="J634" s="83">
        <v>20.752297335879607</v>
      </c>
    </row>
    <row r="635" spans="1:10" ht="16">
      <c r="A635" s="79" t="s">
        <v>358</v>
      </c>
      <c r="B635" s="79" t="s">
        <v>355</v>
      </c>
      <c r="C635" s="80" t="s">
        <v>95</v>
      </c>
      <c r="D635" s="81" t="s">
        <v>78</v>
      </c>
      <c r="E635" s="82">
        <v>6382</v>
      </c>
      <c r="F635" s="82">
        <v>355</v>
      </c>
      <c r="G635" s="82">
        <v>766</v>
      </c>
      <c r="H635" s="83">
        <v>33.435402096890201</v>
      </c>
      <c r="I635" s="83">
        <v>12385.917954631741</v>
      </c>
      <c r="J635" s="83">
        <v>22.282054401071875</v>
      </c>
    </row>
    <row r="636" spans="1:10" ht="16">
      <c r="A636" s="79" t="s">
        <v>603</v>
      </c>
      <c r="B636" s="79" t="s">
        <v>600</v>
      </c>
      <c r="C636" s="80" t="s">
        <v>95</v>
      </c>
      <c r="D636" s="81" t="s">
        <v>78</v>
      </c>
      <c r="E636" s="82">
        <v>2265</v>
      </c>
      <c r="F636" s="82">
        <v>107</v>
      </c>
      <c r="G636" s="82">
        <v>1472</v>
      </c>
      <c r="H636" s="83">
        <v>27.1477355298682</v>
      </c>
      <c r="I636" s="83">
        <v>24251.206761971982</v>
      </c>
      <c r="J636" s="83">
        <v>30.687261867115705</v>
      </c>
    </row>
    <row r="637" spans="1:10" ht="16">
      <c r="A637" s="79" t="s">
        <v>1247</v>
      </c>
      <c r="B637" s="79" t="s">
        <v>1209</v>
      </c>
      <c r="C637" s="80" t="s">
        <v>95</v>
      </c>
      <c r="D637" s="81" t="s">
        <v>77</v>
      </c>
      <c r="E637" s="82">
        <v>9503</v>
      </c>
      <c r="F637" s="82">
        <v>625</v>
      </c>
      <c r="G637" s="82">
        <v>3421</v>
      </c>
      <c r="H637" s="83">
        <v>30.602526615778601</v>
      </c>
      <c r="I637" s="83">
        <v>22220.387364497681</v>
      </c>
      <c r="J637" s="83">
        <v>31.548947131298206</v>
      </c>
    </row>
    <row r="638" spans="1:10" ht="16">
      <c r="A638" s="79" t="s">
        <v>1248</v>
      </c>
      <c r="B638" s="79" t="s">
        <v>1209</v>
      </c>
      <c r="C638" s="80" t="s">
        <v>95</v>
      </c>
      <c r="D638" s="81" t="s">
        <v>99</v>
      </c>
      <c r="E638" s="82">
        <v>2067</v>
      </c>
      <c r="F638" s="82">
        <v>190</v>
      </c>
      <c r="G638" s="82">
        <v>393</v>
      </c>
      <c r="H638" s="83">
        <v>18.37594682216065</v>
      </c>
      <c r="I638" s="83">
        <v>12672.276638738096</v>
      </c>
      <c r="J638" s="83">
        <v>27.875165094179618</v>
      </c>
    </row>
    <row r="639" spans="1:10" ht="16">
      <c r="A639" s="79" t="s">
        <v>962</v>
      </c>
      <c r="B639" s="79" t="s">
        <v>938</v>
      </c>
      <c r="C639" s="80" t="s">
        <v>95</v>
      </c>
      <c r="D639" s="81" t="s">
        <v>103</v>
      </c>
      <c r="E639" s="82">
        <v>19803</v>
      </c>
      <c r="F639" s="82">
        <v>1707</v>
      </c>
      <c r="G639" s="82">
        <v>5743</v>
      </c>
      <c r="H639" s="83">
        <v>11.725208812901679</v>
      </c>
      <c r="I639" s="83">
        <v>2850.3696139938384</v>
      </c>
      <c r="J639" s="83">
        <v>37.196136614280974</v>
      </c>
    </row>
    <row r="640" spans="1:10" ht="16">
      <c r="A640" s="79" t="s">
        <v>435</v>
      </c>
      <c r="B640" s="79" t="s">
        <v>421</v>
      </c>
      <c r="C640" s="80" t="s">
        <v>126</v>
      </c>
      <c r="D640" s="81" t="s">
        <v>75</v>
      </c>
      <c r="E640" s="82">
        <v>43015</v>
      </c>
      <c r="F640" s="82">
        <v>711</v>
      </c>
      <c r="G640" s="82">
        <v>6022</v>
      </c>
      <c r="H640" s="83">
        <v>45.801094123425273</v>
      </c>
      <c r="I640" s="83">
        <v>26107.277433519343</v>
      </c>
      <c r="J640" s="83">
        <v>40.267864765485179</v>
      </c>
    </row>
    <row r="641" spans="1:10" ht="16">
      <c r="A641" s="79" t="s">
        <v>1380</v>
      </c>
      <c r="B641" s="79" t="s">
        <v>1307</v>
      </c>
      <c r="C641" s="80" t="s">
        <v>95</v>
      </c>
      <c r="D641" s="81" t="s">
        <v>79</v>
      </c>
      <c r="E641" s="82">
        <v>2425</v>
      </c>
      <c r="F641" s="82">
        <v>1213</v>
      </c>
      <c r="G641" s="82">
        <v>24</v>
      </c>
      <c r="H641" s="83">
        <v>13.369311309832037</v>
      </c>
      <c r="I641" s="83">
        <v>11894.438312430502</v>
      </c>
      <c r="J641" s="83">
        <v>37.404989227890525</v>
      </c>
    </row>
    <row r="642" spans="1:10" ht="16">
      <c r="A642" s="79" t="s">
        <v>1381</v>
      </c>
      <c r="B642" s="79" t="s">
        <v>1307</v>
      </c>
      <c r="C642" s="80" t="s">
        <v>95</v>
      </c>
      <c r="D642" s="81" t="s">
        <v>79</v>
      </c>
      <c r="E642" s="82">
        <v>44801</v>
      </c>
      <c r="F642" s="82">
        <v>4000</v>
      </c>
      <c r="G642" s="82">
        <v>7616</v>
      </c>
      <c r="H642" s="83">
        <v>48.591238969428282</v>
      </c>
      <c r="I642" s="83">
        <v>35863.712427891114</v>
      </c>
      <c r="J642" s="83">
        <v>48.414858009461561</v>
      </c>
    </row>
    <row r="643" spans="1:10" ht="16">
      <c r="A643" s="79" t="s">
        <v>436</v>
      </c>
      <c r="B643" s="79" t="s">
        <v>421</v>
      </c>
      <c r="C643" s="80" t="s">
        <v>126</v>
      </c>
      <c r="D643" s="81" t="s">
        <v>77</v>
      </c>
      <c r="E643" s="82">
        <v>45377</v>
      </c>
      <c r="F643" s="82">
        <v>743</v>
      </c>
      <c r="G643" s="82">
        <v>9529</v>
      </c>
      <c r="H643" s="83">
        <v>61.773560470356543</v>
      </c>
      <c r="I643" s="83">
        <v>41407.152275721637</v>
      </c>
      <c r="J643" s="83">
        <v>56.240415113390512</v>
      </c>
    </row>
    <row r="644" spans="1:10" ht="16">
      <c r="A644" s="79" t="s">
        <v>211</v>
      </c>
      <c r="B644" s="79" t="s">
        <v>203</v>
      </c>
      <c r="C644" s="80" t="s">
        <v>95</v>
      </c>
      <c r="D644" s="81" t="s">
        <v>103</v>
      </c>
      <c r="E644" s="82">
        <v>33694</v>
      </c>
      <c r="F644" s="82">
        <v>782</v>
      </c>
      <c r="G644" s="82">
        <v>1348</v>
      </c>
      <c r="H644" s="83">
        <v>26.998585565315061</v>
      </c>
      <c r="I644" s="83">
        <v>10058.721653385421</v>
      </c>
      <c r="J644" s="83">
        <v>20.099299468794317</v>
      </c>
    </row>
    <row r="645" spans="1:10" ht="16">
      <c r="A645" s="79" t="s">
        <v>1189</v>
      </c>
      <c r="B645" s="79" t="s">
        <v>1161</v>
      </c>
      <c r="C645" s="80" t="s">
        <v>126</v>
      </c>
      <c r="D645" s="81" t="s">
        <v>75</v>
      </c>
      <c r="E645" s="82">
        <v>3605</v>
      </c>
      <c r="F645" s="82">
        <v>168</v>
      </c>
      <c r="G645" s="82">
        <v>324</v>
      </c>
      <c r="H645" s="83">
        <v>35.600300421072326</v>
      </c>
      <c r="I645" s="83">
        <v>19747.273819341284</v>
      </c>
      <c r="J645" s="83">
        <v>28.593611925934621</v>
      </c>
    </row>
    <row r="646" spans="1:10" ht="16">
      <c r="A646" s="79" t="s">
        <v>723</v>
      </c>
      <c r="B646" s="79" t="s">
        <v>661</v>
      </c>
      <c r="C646" s="80" t="s">
        <v>126</v>
      </c>
      <c r="D646" s="81" t="s">
        <v>79</v>
      </c>
      <c r="E646" s="82">
        <v>6799</v>
      </c>
      <c r="F646" s="82">
        <v>708</v>
      </c>
      <c r="G646" s="82">
        <v>136</v>
      </c>
      <c r="H646" s="83">
        <v>13.037264012244293</v>
      </c>
      <c r="I646" s="83">
        <v>2335.6810417682777</v>
      </c>
      <c r="J646" s="83">
        <v>22.017982612758125</v>
      </c>
    </row>
    <row r="647" spans="1:10" ht="16">
      <c r="A647" s="79" t="s">
        <v>963</v>
      </c>
      <c r="B647" s="79" t="s">
        <v>938</v>
      </c>
      <c r="C647" s="80" t="s">
        <v>95</v>
      </c>
      <c r="D647" s="81" t="s">
        <v>78</v>
      </c>
      <c r="E647" s="82">
        <v>21489</v>
      </c>
      <c r="F647" s="82">
        <v>2904</v>
      </c>
      <c r="G647" s="82">
        <v>2579</v>
      </c>
      <c r="H647" s="83">
        <v>31.748449656702483</v>
      </c>
      <c r="I647" s="83">
        <v>6115.678753336796</v>
      </c>
      <c r="J647" s="83">
        <v>46.691030238646881</v>
      </c>
    </row>
    <row r="648" spans="1:10" ht="16">
      <c r="A648" s="79" t="s">
        <v>964</v>
      </c>
      <c r="B648" s="79" t="s">
        <v>938</v>
      </c>
      <c r="C648" s="80" t="s">
        <v>126</v>
      </c>
      <c r="D648" s="81" t="s">
        <v>111</v>
      </c>
      <c r="E648" s="82">
        <v>7298</v>
      </c>
      <c r="F648" s="82">
        <v>657</v>
      </c>
      <c r="G648" s="82">
        <v>803</v>
      </c>
      <c r="H648" s="83">
        <v>10.766734472252253</v>
      </c>
      <c r="I648" s="83">
        <v>5085.2991283746933</v>
      </c>
      <c r="J648" s="83">
        <v>20.652266721925781</v>
      </c>
    </row>
    <row r="649" spans="1:10" ht="16">
      <c r="A649" s="79" t="s">
        <v>724</v>
      </c>
      <c r="B649" s="79" t="s">
        <v>661</v>
      </c>
      <c r="C649" s="80" t="s">
        <v>126</v>
      </c>
      <c r="D649" s="81" t="s">
        <v>111</v>
      </c>
      <c r="E649" s="82">
        <v>1909</v>
      </c>
      <c r="F649" s="82">
        <v>1273</v>
      </c>
      <c r="G649" s="82">
        <v>133</v>
      </c>
      <c r="H649" s="83">
        <v>10.185748177877365</v>
      </c>
      <c r="I649" s="83">
        <v>2713.4767405915882</v>
      </c>
      <c r="J649" s="83">
        <v>24.521997475425049</v>
      </c>
    </row>
    <row r="650" spans="1:10" ht="16">
      <c r="A650" s="79" t="s">
        <v>725</v>
      </c>
      <c r="B650" s="79" t="s">
        <v>661</v>
      </c>
      <c r="C650" s="80" t="s">
        <v>126</v>
      </c>
      <c r="D650" s="81" t="s">
        <v>101</v>
      </c>
      <c r="E650" s="82">
        <v>8579</v>
      </c>
      <c r="F650" s="82">
        <v>600</v>
      </c>
      <c r="G650" s="82">
        <v>429</v>
      </c>
      <c r="H650" s="83">
        <v>13.017345381125327</v>
      </c>
      <c r="I650" s="83">
        <v>2967.1343467831489</v>
      </c>
      <c r="J650" s="83">
        <v>19.251028447388251</v>
      </c>
    </row>
    <row r="651" spans="1:10" ht="16">
      <c r="A651" s="79" t="s">
        <v>965</v>
      </c>
      <c r="B651" s="79" t="s">
        <v>938</v>
      </c>
      <c r="C651" s="80" t="s">
        <v>95</v>
      </c>
      <c r="D651" s="81" t="s">
        <v>101</v>
      </c>
      <c r="E651" s="82">
        <v>9660</v>
      </c>
      <c r="F651" s="82">
        <v>911</v>
      </c>
      <c r="G651" s="82">
        <v>1063</v>
      </c>
      <c r="H651" s="83">
        <v>12.685139813751706</v>
      </c>
      <c r="I651" s="83">
        <v>3868.6266396968645</v>
      </c>
      <c r="J651" s="83">
        <v>18.614444527835783</v>
      </c>
    </row>
    <row r="652" spans="1:10" ht="16">
      <c r="A652" s="79" t="s">
        <v>1382</v>
      </c>
      <c r="B652" s="79" t="s">
        <v>1307</v>
      </c>
      <c r="C652" s="80" t="s">
        <v>95</v>
      </c>
      <c r="D652" s="81" t="s">
        <v>77</v>
      </c>
      <c r="E652" s="82">
        <v>30799</v>
      </c>
      <c r="F652" s="82">
        <v>1010</v>
      </c>
      <c r="G652" s="82">
        <v>2464</v>
      </c>
      <c r="H652" s="83">
        <v>24.590517695693947</v>
      </c>
      <c r="I652" s="83">
        <v>15177.862814130747</v>
      </c>
      <c r="J652" s="83">
        <v>23.770863314782382</v>
      </c>
    </row>
    <row r="653" spans="1:10" ht="16">
      <c r="A653" s="79" t="s">
        <v>191</v>
      </c>
      <c r="B653" s="79" t="s">
        <v>169</v>
      </c>
      <c r="C653" s="80" t="s">
        <v>95</v>
      </c>
      <c r="D653" s="81" t="s">
        <v>78</v>
      </c>
      <c r="E653" s="82">
        <v>12922</v>
      </c>
      <c r="F653" s="82">
        <v>1086</v>
      </c>
      <c r="G653" s="82">
        <v>129</v>
      </c>
      <c r="H653" s="83">
        <v>9.8474714301685857</v>
      </c>
      <c r="I653" s="83">
        <v>1825.5624472348677</v>
      </c>
      <c r="J653" s="83">
        <v>18.583775428471238</v>
      </c>
    </row>
    <row r="654" spans="1:10" ht="16">
      <c r="A654" s="79" t="s">
        <v>624</v>
      </c>
      <c r="B654" s="79" t="s">
        <v>617</v>
      </c>
      <c r="C654" s="80" t="s">
        <v>95</v>
      </c>
      <c r="D654" s="81" t="s">
        <v>111</v>
      </c>
      <c r="E654" s="82">
        <v>71318</v>
      </c>
      <c r="F654" s="82">
        <v>3348</v>
      </c>
      <c r="G654" s="82">
        <v>4279</v>
      </c>
      <c r="H654" s="83">
        <v>40.351490620651845</v>
      </c>
      <c r="I654" s="83">
        <v>27943.481619457125</v>
      </c>
      <c r="J654" s="83">
        <v>40.838366205036131</v>
      </c>
    </row>
    <row r="655" spans="1:10" ht="16">
      <c r="A655" s="79" t="s">
        <v>726</v>
      </c>
      <c r="B655" s="79" t="s">
        <v>661</v>
      </c>
      <c r="C655" s="80" t="s">
        <v>126</v>
      </c>
      <c r="D655" s="81" t="s">
        <v>76</v>
      </c>
      <c r="E655" s="82">
        <v>1336</v>
      </c>
      <c r="F655" s="82">
        <v>382</v>
      </c>
      <c r="G655" s="82">
        <v>93</v>
      </c>
      <c r="H655" s="83">
        <v>11.97907324906955</v>
      </c>
      <c r="I655" s="83">
        <v>3808.2603551636107</v>
      </c>
      <c r="J655" s="83">
        <v>29.623240017594156</v>
      </c>
    </row>
    <row r="656" spans="1:10" ht="16">
      <c r="A656" s="79" t="s">
        <v>536</v>
      </c>
      <c r="B656" s="79" t="s">
        <v>493</v>
      </c>
      <c r="C656" s="80" t="s">
        <v>95</v>
      </c>
      <c r="D656" s="81" t="s">
        <v>101</v>
      </c>
      <c r="E656" s="82">
        <v>12234</v>
      </c>
      <c r="F656" s="82">
        <v>844</v>
      </c>
      <c r="G656" s="82">
        <v>274</v>
      </c>
      <c r="H656" s="83">
        <v>12.00562114388803</v>
      </c>
      <c r="I656" s="83">
        <v>3801.6328840350911</v>
      </c>
      <c r="J656" s="83">
        <v>17.618793858295593</v>
      </c>
    </row>
    <row r="657" spans="1:10" ht="16">
      <c r="A657" s="79" t="s">
        <v>537</v>
      </c>
      <c r="B657" s="79" t="s">
        <v>493</v>
      </c>
      <c r="C657" s="80" t="s">
        <v>126</v>
      </c>
      <c r="D657" s="81" t="s">
        <v>111</v>
      </c>
      <c r="E657" s="82">
        <v>14381</v>
      </c>
      <c r="F657" s="82">
        <v>851</v>
      </c>
      <c r="G657" s="82">
        <v>144</v>
      </c>
      <c r="H657" s="83">
        <v>9.4754346112035961</v>
      </c>
      <c r="I657" s="83">
        <v>920.624497506804</v>
      </c>
      <c r="J657" s="83">
        <v>18.456482139046152</v>
      </c>
    </row>
    <row r="658" spans="1:10" ht="16">
      <c r="A658" s="79" t="s">
        <v>538</v>
      </c>
      <c r="B658" s="79" t="s">
        <v>493</v>
      </c>
      <c r="C658" s="80" t="s">
        <v>95</v>
      </c>
      <c r="D658" s="81" t="s">
        <v>77</v>
      </c>
      <c r="E658" s="82">
        <v>6056</v>
      </c>
      <c r="F658" s="82">
        <v>477</v>
      </c>
      <c r="G658" s="82">
        <v>121</v>
      </c>
      <c r="H658" s="83">
        <v>18.529648757790603</v>
      </c>
      <c r="I658" s="83">
        <v>8653.1254531183695</v>
      </c>
      <c r="J658" s="83">
        <v>39.70579903243663</v>
      </c>
    </row>
    <row r="659" spans="1:10" ht="16">
      <c r="A659" s="79" t="s">
        <v>406</v>
      </c>
      <c r="B659" s="79" t="s">
        <v>396</v>
      </c>
      <c r="C659" s="80" t="s">
        <v>95</v>
      </c>
      <c r="D659" s="81" t="s">
        <v>149</v>
      </c>
      <c r="E659" s="82">
        <v>11915</v>
      </c>
      <c r="F659" s="82">
        <v>264</v>
      </c>
      <c r="G659" s="82">
        <v>4051</v>
      </c>
      <c r="H659" s="83">
        <v>27.404929517005172</v>
      </c>
      <c r="I659" s="83">
        <v>15345.606062332199</v>
      </c>
      <c r="J659" s="83">
        <v>30.362084642788421</v>
      </c>
    </row>
    <row r="660" spans="1:10" ht="16">
      <c r="A660" s="79" t="s">
        <v>625</v>
      </c>
      <c r="B660" s="79" t="s">
        <v>617</v>
      </c>
      <c r="C660" s="80" t="s">
        <v>126</v>
      </c>
      <c r="D660" s="81" t="s">
        <v>149</v>
      </c>
      <c r="E660" s="82">
        <v>558</v>
      </c>
      <c r="F660" s="82">
        <v>82</v>
      </c>
      <c r="G660" s="82">
        <v>61</v>
      </c>
      <c r="H660" s="83">
        <v>39.026591706825016</v>
      </c>
      <c r="I660" s="83">
        <v>30229.233035047208</v>
      </c>
      <c r="J660" s="83">
        <v>58.152487998830715</v>
      </c>
    </row>
    <row r="661" spans="1:10" ht="16">
      <c r="A661" s="79" t="s">
        <v>966</v>
      </c>
      <c r="B661" s="79" t="s">
        <v>938</v>
      </c>
      <c r="C661" s="80" t="s">
        <v>95</v>
      </c>
      <c r="D661" s="81" t="s">
        <v>96</v>
      </c>
      <c r="E661" s="82">
        <v>15354</v>
      </c>
      <c r="F661" s="82">
        <v>1872</v>
      </c>
      <c r="G661" s="82">
        <v>2457</v>
      </c>
      <c r="H661" s="83">
        <v>10.024439016307177</v>
      </c>
      <c r="I661" s="83">
        <v>261.82331387628574</v>
      </c>
      <c r="J661" s="83">
        <v>24.733309670573806</v>
      </c>
    </row>
    <row r="662" spans="1:10" ht="16">
      <c r="A662" s="79" t="s">
        <v>1027</v>
      </c>
      <c r="B662" s="79" t="s">
        <v>1007</v>
      </c>
      <c r="C662" s="80" t="s">
        <v>126</v>
      </c>
      <c r="D662" s="81" t="s">
        <v>77</v>
      </c>
      <c r="E662" s="82">
        <v>12119</v>
      </c>
      <c r="F662" s="82">
        <v>713</v>
      </c>
      <c r="G662" s="82">
        <v>1212</v>
      </c>
      <c r="H662" s="83">
        <v>21.220498633824569</v>
      </c>
      <c r="I662" s="83">
        <v>15710.498015388697</v>
      </c>
      <c r="J662" s="83">
        <v>24.047972502761592</v>
      </c>
    </row>
    <row r="663" spans="1:10" ht="16">
      <c r="A663" s="79" t="s">
        <v>487</v>
      </c>
      <c r="B663" s="79" t="s">
        <v>485</v>
      </c>
      <c r="C663" s="80" t="s">
        <v>95</v>
      </c>
      <c r="D663" s="81" t="s">
        <v>101</v>
      </c>
      <c r="E663" s="82">
        <v>10996</v>
      </c>
      <c r="F663" s="82">
        <v>1122</v>
      </c>
      <c r="G663" s="82">
        <v>3409</v>
      </c>
      <c r="H663" s="83">
        <v>12.554649902349155</v>
      </c>
      <c r="I663" s="83">
        <v>9126.2091872291949</v>
      </c>
      <c r="J663" s="83">
        <v>26.499147596608228</v>
      </c>
    </row>
    <row r="664" spans="1:10" ht="16">
      <c r="A664" s="79" t="s">
        <v>570</v>
      </c>
      <c r="B664" s="79" t="s">
        <v>556</v>
      </c>
      <c r="C664" s="80" t="s">
        <v>126</v>
      </c>
      <c r="D664" s="81" t="s">
        <v>103</v>
      </c>
      <c r="E664" s="82">
        <v>12496</v>
      </c>
      <c r="F664" s="82">
        <v>811</v>
      </c>
      <c r="G664" s="82">
        <v>125</v>
      </c>
      <c r="H664" s="83">
        <v>10.670226002012589</v>
      </c>
      <c r="I664" s="83">
        <v>3925.9376758135804</v>
      </c>
      <c r="J664" s="83">
        <v>17.849822722591021</v>
      </c>
    </row>
    <row r="665" spans="1:10" ht="16">
      <c r="A665" s="79" t="s">
        <v>1028</v>
      </c>
      <c r="B665" s="79" t="s">
        <v>1007</v>
      </c>
      <c r="C665" s="80" t="s">
        <v>126</v>
      </c>
      <c r="D665" s="81" t="s">
        <v>96</v>
      </c>
      <c r="E665" s="82">
        <v>26182</v>
      </c>
      <c r="F665" s="82">
        <v>2111</v>
      </c>
      <c r="G665" s="82">
        <v>3142</v>
      </c>
      <c r="H665" s="83">
        <v>72.333748787443</v>
      </c>
      <c r="I665" s="83">
        <v>47658.281021688075</v>
      </c>
      <c r="J665" s="83">
        <v>72.648108948843486</v>
      </c>
    </row>
    <row r="666" spans="1:10" ht="16">
      <c r="A666" s="79" t="s">
        <v>1029</v>
      </c>
      <c r="B666" s="79" t="s">
        <v>1007</v>
      </c>
      <c r="C666" s="80" t="s">
        <v>126</v>
      </c>
      <c r="D666" s="81" t="s">
        <v>75</v>
      </c>
      <c r="E666" s="82">
        <v>11912</v>
      </c>
      <c r="F666" s="82">
        <v>693</v>
      </c>
      <c r="G666" s="82">
        <v>476</v>
      </c>
      <c r="H666" s="83">
        <v>14.162832995374801</v>
      </c>
      <c r="I666" s="83">
        <v>2120.871590247224</v>
      </c>
      <c r="J666" s="83">
        <v>18.452347594972782</v>
      </c>
    </row>
    <row r="667" spans="1:10" ht="16">
      <c r="A667" s="79" t="s">
        <v>551</v>
      </c>
      <c r="B667" s="79" t="s">
        <v>549</v>
      </c>
      <c r="C667" s="80" t="s">
        <v>126</v>
      </c>
      <c r="D667" s="81" t="s">
        <v>76</v>
      </c>
      <c r="E667" s="82">
        <v>14624</v>
      </c>
      <c r="F667" s="82">
        <v>1380</v>
      </c>
      <c r="G667" s="82">
        <v>585</v>
      </c>
      <c r="H667" s="83">
        <v>11.307184760042059</v>
      </c>
      <c r="I667" s="83">
        <v>2607.5997195934547</v>
      </c>
      <c r="J667" s="83">
        <v>19.796279378792544</v>
      </c>
    </row>
    <row r="668" spans="1:10" ht="16">
      <c r="A668" s="79" t="s">
        <v>571</v>
      </c>
      <c r="B668" s="79" t="s">
        <v>556</v>
      </c>
      <c r="C668" s="80" t="s">
        <v>95</v>
      </c>
      <c r="D668" s="81" t="s">
        <v>149</v>
      </c>
      <c r="E668" s="82">
        <v>6350</v>
      </c>
      <c r="F668" s="82">
        <v>327</v>
      </c>
      <c r="G668" s="82">
        <v>292</v>
      </c>
      <c r="H668" s="83">
        <v>12.118416980864671</v>
      </c>
      <c r="I668" s="83">
        <v>1231.9702297709966</v>
      </c>
      <c r="J668" s="83">
        <v>20.21814245514118</v>
      </c>
    </row>
    <row r="669" spans="1:10" ht="16">
      <c r="A669" s="79" t="s">
        <v>572</v>
      </c>
      <c r="B669" s="79" t="s">
        <v>556</v>
      </c>
      <c r="C669" s="80" t="s">
        <v>95</v>
      </c>
      <c r="D669" s="81" t="s">
        <v>103</v>
      </c>
      <c r="E669" s="82">
        <v>14998</v>
      </c>
      <c r="F669" s="82">
        <v>638</v>
      </c>
      <c r="G669" s="82">
        <v>689</v>
      </c>
      <c r="H669" s="83">
        <v>13.777679941283642</v>
      </c>
      <c r="I669" s="83">
        <v>2069.7953192101527</v>
      </c>
      <c r="J669" s="83">
        <v>18.086122593053979</v>
      </c>
    </row>
    <row r="670" spans="1:10" ht="16">
      <c r="A670" s="79" t="s">
        <v>573</v>
      </c>
      <c r="B670" s="79" t="s">
        <v>556</v>
      </c>
      <c r="C670" s="80" t="s">
        <v>95</v>
      </c>
      <c r="D670" s="81" t="s">
        <v>75</v>
      </c>
      <c r="E670" s="82">
        <v>18403</v>
      </c>
      <c r="F670" s="82">
        <v>860</v>
      </c>
      <c r="G670" s="82">
        <v>368</v>
      </c>
      <c r="H670" s="83">
        <v>19.086634847277868</v>
      </c>
      <c r="I670" s="83">
        <v>7251.2167120361273</v>
      </c>
      <c r="J670" s="83">
        <v>22.881718009702787</v>
      </c>
    </row>
    <row r="671" spans="1:10" ht="16">
      <c r="A671" s="79" t="s">
        <v>574</v>
      </c>
      <c r="B671" s="79" t="s">
        <v>556</v>
      </c>
      <c r="C671" s="80" t="s">
        <v>95</v>
      </c>
      <c r="D671" s="81" t="s">
        <v>96</v>
      </c>
      <c r="E671" s="82">
        <v>12713</v>
      </c>
      <c r="F671" s="82">
        <v>1397</v>
      </c>
      <c r="G671" s="82">
        <v>254</v>
      </c>
      <c r="H671" s="83">
        <v>15.104024286813964</v>
      </c>
      <c r="I671" s="83">
        <v>5451.0963755963166</v>
      </c>
      <c r="J671" s="83">
        <v>43.372109528473082</v>
      </c>
    </row>
    <row r="672" spans="1:10" ht="16">
      <c r="A672" s="79" t="s">
        <v>575</v>
      </c>
      <c r="B672" s="79" t="s">
        <v>556</v>
      </c>
      <c r="C672" s="80" t="s">
        <v>95</v>
      </c>
      <c r="D672" s="81" t="s">
        <v>75</v>
      </c>
      <c r="E672" s="82">
        <v>12309</v>
      </c>
      <c r="F672" s="82">
        <v>583</v>
      </c>
      <c r="G672" s="82">
        <v>246</v>
      </c>
      <c r="H672" s="83">
        <v>19.051971042893317</v>
      </c>
      <c r="I672" s="83">
        <v>2995.1726788618371</v>
      </c>
      <c r="J672" s="83">
        <v>27.851823900051972</v>
      </c>
    </row>
    <row r="673" spans="1:10" ht="16">
      <c r="A673" s="79" t="s">
        <v>576</v>
      </c>
      <c r="B673" s="79" t="s">
        <v>556</v>
      </c>
      <c r="C673" s="80" t="s">
        <v>95</v>
      </c>
      <c r="D673" s="81" t="s">
        <v>78</v>
      </c>
      <c r="E673" s="82">
        <v>7378</v>
      </c>
      <c r="F673" s="82">
        <v>324</v>
      </c>
      <c r="G673" s="82">
        <v>339</v>
      </c>
      <c r="H673" s="83">
        <v>11.171842064466647</v>
      </c>
      <c r="I673" s="83">
        <v>3960.0639100609892</v>
      </c>
      <c r="J673" s="83">
        <v>15.691524280763891</v>
      </c>
    </row>
    <row r="674" spans="1:10" ht="16">
      <c r="A674" s="79" t="s">
        <v>577</v>
      </c>
      <c r="B674" s="79" t="s">
        <v>556</v>
      </c>
      <c r="C674" s="80" t="s">
        <v>126</v>
      </c>
      <c r="D674" s="81" t="s">
        <v>111</v>
      </c>
      <c r="E674" s="82">
        <v>8448</v>
      </c>
      <c r="F674" s="82">
        <v>343</v>
      </c>
      <c r="G674" s="82">
        <v>588</v>
      </c>
      <c r="H674" s="83">
        <v>14.027890223341432</v>
      </c>
      <c r="I674" s="83">
        <v>3859.06212941378</v>
      </c>
      <c r="J674" s="83">
        <v>18.26610320395616</v>
      </c>
    </row>
    <row r="675" spans="1:10" ht="16">
      <c r="A675" s="79" t="s">
        <v>288</v>
      </c>
      <c r="B675" s="79" t="s">
        <v>242</v>
      </c>
      <c r="C675" s="80" t="s">
        <v>126</v>
      </c>
      <c r="D675" s="81" t="s">
        <v>103</v>
      </c>
      <c r="E675" s="82">
        <v>45767</v>
      </c>
      <c r="F675" s="82">
        <v>3135</v>
      </c>
      <c r="G675" s="82">
        <v>3204</v>
      </c>
      <c r="H675" s="83">
        <v>29.362220549569404</v>
      </c>
      <c r="I675" s="83">
        <v>10322.559732435398</v>
      </c>
      <c r="J675" s="83">
        <v>33.124213784876723</v>
      </c>
    </row>
    <row r="676" spans="1:10" ht="16">
      <c r="A676" s="79" t="s">
        <v>289</v>
      </c>
      <c r="B676" s="79" t="s">
        <v>242</v>
      </c>
      <c r="C676" s="80" t="s">
        <v>126</v>
      </c>
      <c r="D676" s="81" t="s">
        <v>101</v>
      </c>
      <c r="E676" s="82">
        <v>38853</v>
      </c>
      <c r="F676" s="82">
        <v>3500</v>
      </c>
      <c r="G676" s="82">
        <v>5051</v>
      </c>
      <c r="H676" s="83">
        <v>63.259412203342173</v>
      </c>
      <c r="I676" s="83">
        <v>30223.148238122521</v>
      </c>
      <c r="J676" s="83">
        <v>58.134697198375115</v>
      </c>
    </row>
    <row r="677" spans="1:10" ht="16">
      <c r="A677" s="79" t="s">
        <v>290</v>
      </c>
      <c r="B677" s="79" t="s">
        <v>242</v>
      </c>
      <c r="C677" s="80" t="s">
        <v>126</v>
      </c>
      <c r="D677" s="81" t="s">
        <v>111</v>
      </c>
      <c r="E677" s="82">
        <v>23789</v>
      </c>
      <c r="F677" s="82">
        <v>1329</v>
      </c>
      <c r="G677" s="82">
        <v>714</v>
      </c>
      <c r="H677" s="83">
        <v>10.55532012556119</v>
      </c>
      <c r="I677" s="83">
        <v>3982.4186878220949</v>
      </c>
      <c r="J677" s="83">
        <v>15.313883267941961</v>
      </c>
    </row>
    <row r="678" spans="1:10" ht="16">
      <c r="A678" s="79" t="s">
        <v>291</v>
      </c>
      <c r="B678" s="79" t="s">
        <v>242</v>
      </c>
      <c r="C678" s="80" t="s">
        <v>126</v>
      </c>
      <c r="D678" s="81" t="s">
        <v>96</v>
      </c>
      <c r="E678" s="82">
        <v>36637</v>
      </c>
      <c r="F678" s="82">
        <v>3242</v>
      </c>
      <c r="G678" s="82">
        <v>2198</v>
      </c>
      <c r="H678" s="83">
        <v>25.645464591527759</v>
      </c>
      <c r="I678" s="83">
        <v>7346.0998814702616</v>
      </c>
      <c r="J678" s="83">
        <v>21.221225849472706</v>
      </c>
    </row>
    <row r="679" spans="1:10" ht="16">
      <c r="A679" s="79" t="s">
        <v>292</v>
      </c>
      <c r="B679" s="79" t="s">
        <v>242</v>
      </c>
      <c r="C679" s="80" t="s">
        <v>95</v>
      </c>
      <c r="D679" s="81" t="s">
        <v>149</v>
      </c>
      <c r="E679" s="82">
        <v>15130</v>
      </c>
      <c r="F679" s="82">
        <v>1043</v>
      </c>
      <c r="G679" s="82">
        <v>757</v>
      </c>
      <c r="H679" s="83">
        <v>14.141613805817368</v>
      </c>
      <c r="I679" s="83">
        <v>4637.8138920793635</v>
      </c>
      <c r="J679" s="83">
        <v>28.51239901191364</v>
      </c>
    </row>
    <row r="680" spans="1:10" ht="16">
      <c r="A680" s="79" t="s">
        <v>293</v>
      </c>
      <c r="B680" s="79" t="s">
        <v>242</v>
      </c>
      <c r="C680" s="80" t="s">
        <v>126</v>
      </c>
      <c r="D680" s="81" t="s">
        <v>76</v>
      </c>
      <c r="E680" s="82">
        <v>10305</v>
      </c>
      <c r="F680" s="82">
        <v>881</v>
      </c>
      <c r="G680" s="82">
        <v>103</v>
      </c>
      <c r="H680" s="83">
        <v>15.085172071841278</v>
      </c>
      <c r="I680" s="83">
        <v>5646.9242444018291</v>
      </c>
      <c r="J680" s="83">
        <v>22.163320298096071</v>
      </c>
    </row>
    <row r="681" spans="1:10" ht="16">
      <c r="A681" s="79" t="s">
        <v>578</v>
      </c>
      <c r="B681" s="79" t="s">
        <v>556</v>
      </c>
      <c r="C681" s="80" t="s">
        <v>126</v>
      </c>
      <c r="D681" s="81" t="s">
        <v>77</v>
      </c>
      <c r="E681" s="82">
        <v>9260</v>
      </c>
      <c r="F681" s="82">
        <v>468</v>
      </c>
      <c r="G681" s="82">
        <v>185</v>
      </c>
      <c r="H681" s="83">
        <v>37.445145303503409</v>
      </c>
      <c r="I681" s="83">
        <v>15070.431403693337</v>
      </c>
      <c r="J681" s="83">
        <v>29.55774696147143</v>
      </c>
    </row>
    <row r="682" spans="1:10" ht="16">
      <c r="A682" s="79" t="s">
        <v>1249</v>
      </c>
      <c r="B682" s="79" t="s">
        <v>1209</v>
      </c>
      <c r="C682" s="80" t="s">
        <v>95</v>
      </c>
      <c r="D682" s="81" t="s">
        <v>96</v>
      </c>
      <c r="E682" s="82">
        <v>25119</v>
      </c>
      <c r="F682" s="82">
        <v>1478</v>
      </c>
      <c r="G682" s="82">
        <v>3265</v>
      </c>
      <c r="H682" s="83">
        <v>13.394940468101732</v>
      </c>
      <c r="I682" s="83">
        <v>5491.6947155839634</v>
      </c>
      <c r="J682" s="83">
        <v>17.974102759557585</v>
      </c>
    </row>
    <row r="683" spans="1:10" ht="16">
      <c r="A683" s="79" t="s">
        <v>294</v>
      </c>
      <c r="B683" s="79" t="s">
        <v>242</v>
      </c>
      <c r="C683" s="80" t="s">
        <v>126</v>
      </c>
      <c r="D683" s="81" t="s">
        <v>76</v>
      </c>
      <c r="E683" s="82">
        <v>35171</v>
      </c>
      <c r="F683" s="82">
        <v>2269</v>
      </c>
      <c r="G683" s="82">
        <v>352</v>
      </c>
      <c r="H683" s="83">
        <v>23.229575629686575</v>
      </c>
      <c r="I683" s="83">
        <v>16085.213537943871</v>
      </c>
      <c r="J683" s="83">
        <v>22.830417156576601</v>
      </c>
    </row>
    <row r="684" spans="1:10" ht="16">
      <c r="A684" s="79" t="s">
        <v>727</v>
      </c>
      <c r="B684" s="79" t="s">
        <v>661</v>
      </c>
      <c r="C684" s="80" t="s">
        <v>126</v>
      </c>
      <c r="D684" s="81" t="s">
        <v>75</v>
      </c>
      <c r="E684" s="82">
        <v>7886</v>
      </c>
      <c r="F684" s="82">
        <v>329</v>
      </c>
      <c r="G684" s="82">
        <v>1262</v>
      </c>
      <c r="H684" s="83">
        <v>12.506791191683789</v>
      </c>
      <c r="I684" s="83">
        <v>1258.1982099601751</v>
      </c>
      <c r="J684" s="83">
        <v>17.181024052125863</v>
      </c>
    </row>
    <row r="685" spans="1:10" ht="16">
      <c r="A685" s="79" t="s">
        <v>728</v>
      </c>
      <c r="B685" s="79" t="s">
        <v>661</v>
      </c>
      <c r="C685" s="80" t="s">
        <v>126</v>
      </c>
      <c r="D685" s="81" t="s">
        <v>75</v>
      </c>
      <c r="E685" s="82">
        <v>1164</v>
      </c>
      <c r="F685" s="82">
        <v>375</v>
      </c>
      <c r="G685" s="82">
        <v>23</v>
      </c>
      <c r="H685" s="83">
        <v>11.175527132026094</v>
      </c>
      <c r="I685" s="83">
        <v>2796.7679065645698</v>
      </c>
      <c r="J685" s="83">
        <v>25.946119053086271</v>
      </c>
    </row>
    <row r="686" spans="1:10" ht="16">
      <c r="A686" s="79" t="s">
        <v>729</v>
      </c>
      <c r="B686" s="79" t="s">
        <v>661</v>
      </c>
      <c r="C686" s="80" t="s">
        <v>126</v>
      </c>
      <c r="D686" s="81" t="s">
        <v>77</v>
      </c>
      <c r="E686" s="82">
        <v>6086</v>
      </c>
      <c r="F686" s="82">
        <v>801</v>
      </c>
      <c r="G686" s="82">
        <v>122</v>
      </c>
      <c r="H686" s="83">
        <v>11.266455909429244</v>
      </c>
      <c r="I686" s="83">
        <v>1664.3660391142819</v>
      </c>
      <c r="J686" s="83">
        <v>22.119412925259102</v>
      </c>
    </row>
    <row r="687" spans="1:10" ht="16">
      <c r="A687" s="79" t="s">
        <v>730</v>
      </c>
      <c r="B687" s="79" t="s">
        <v>661</v>
      </c>
      <c r="C687" s="80" t="s">
        <v>126</v>
      </c>
      <c r="D687" s="81" t="s">
        <v>103</v>
      </c>
      <c r="E687" s="82">
        <v>10812</v>
      </c>
      <c r="F687" s="82">
        <v>1050</v>
      </c>
      <c r="G687" s="82">
        <v>324</v>
      </c>
      <c r="H687" s="83">
        <v>15.215365478596636</v>
      </c>
      <c r="I687" s="83">
        <v>4037.850657802926</v>
      </c>
      <c r="J687" s="83">
        <v>21.820942768503429</v>
      </c>
    </row>
    <row r="688" spans="1:10" ht="16">
      <c r="A688" s="79" t="s">
        <v>579</v>
      </c>
      <c r="B688" s="79" t="s">
        <v>556</v>
      </c>
      <c r="C688" s="80" t="s">
        <v>126</v>
      </c>
      <c r="D688" s="81" t="s">
        <v>149</v>
      </c>
      <c r="E688" s="82">
        <v>14286</v>
      </c>
      <c r="F688" s="82">
        <v>693</v>
      </c>
      <c r="G688" s="82">
        <v>657</v>
      </c>
      <c r="H688" s="83">
        <v>25.096640379118835</v>
      </c>
      <c r="I688" s="83">
        <v>6811.6753961036784</v>
      </c>
      <c r="J688" s="83">
        <v>25.284041175913472</v>
      </c>
    </row>
    <row r="689" spans="1:10" ht="16">
      <c r="A689" s="79" t="s">
        <v>580</v>
      </c>
      <c r="B689" s="79" t="s">
        <v>556</v>
      </c>
      <c r="C689" s="80" t="s">
        <v>95</v>
      </c>
      <c r="D689" s="81" t="s">
        <v>149</v>
      </c>
      <c r="E689" s="82">
        <v>10465</v>
      </c>
      <c r="F689" s="82">
        <v>960</v>
      </c>
      <c r="G689" s="82">
        <v>209</v>
      </c>
      <c r="H689" s="83">
        <v>10.949240249347032</v>
      </c>
      <c r="I689" s="83">
        <v>2215.6264722832548</v>
      </c>
      <c r="J689" s="83">
        <v>16.991137645573509</v>
      </c>
    </row>
    <row r="690" spans="1:10" ht="16">
      <c r="A690" s="79" t="s">
        <v>581</v>
      </c>
      <c r="B690" s="79" t="s">
        <v>556</v>
      </c>
      <c r="C690" s="80" t="s">
        <v>126</v>
      </c>
      <c r="D690" s="81" t="s">
        <v>149</v>
      </c>
      <c r="E690" s="82">
        <v>1602</v>
      </c>
      <c r="F690" s="82">
        <v>101</v>
      </c>
      <c r="G690" s="82">
        <v>111</v>
      </c>
      <c r="H690" s="83">
        <v>20.502630763602909</v>
      </c>
      <c r="I690" s="83">
        <v>9478.5504011952671</v>
      </c>
      <c r="J690" s="83">
        <v>24.392416863404573</v>
      </c>
    </row>
    <row r="691" spans="1:10" ht="16">
      <c r="A691" s="79" t="s">
        <v>731</v>
      </c>
      <c r="B691" s="79" t="s">
        <v>661</v>
      </c>
      <c r="C691" s="80" t="s">
        <v>126</v>
      </c>
      <c r="D691" s="81" t="s">
        <v>103</v>
      </c>
      <c r="E691" s="82">
        <v>9956</v>
      </c>
      <c r="F691" s="82">
        <v>732</v>
      </c>
      <c r="G691" s="82">
        <v>299</v>
      </c>
      <c r="H691" s="83">
        <v>14.227278703084103</v>
      </c>
      <c r="I691" s="83">
        <v>1983.9312425432702</v>
      </c>
      <c r="J691" s="83">
        <v>17.901468500255991</v>
      </c>
    </row>
    <row r="692" spans="1:10" ht="16">
      <c r="A692" s="79" t="s">
        <v>732</v>
      </c>
      <c r="B692" s="79" t="s">
        <v>661</v>
      </c>
      <c r="C692" s="80" t="s">
        <v>95</v>
      </c>
      <c r="D692" s="81" t="s">
        <v>101</v>
      </c>
      <c r="E692" s="82">
        <v>3659</v>
      </c>
      <c r="F692" s="82">
        <v>1742</v>
      </c>
      <c r="G692" s="82">
        <v>37</v>
      </c>
      <c r="H692" s="83">
        <v>9.0193822238391022</v>
      </c>
      <c r="I692" s="83">
        <v>1757.6531826980593</v>
      </c>
      <c r="J692" s="83">
        <v>30.435635352480695</v>
      </c>
    </row>
    <row r="693" spans="1:10" ht="16">
      <c r="A693" s="79" t="s">
        <v>967</v>
      </c>
      <c r="B693" s="79" t="s">
        <v>938</v>
      </c>
      <c r="C693" s="80" t="s">
        <v>126</v>
      </c>
      <c r="D693" s="81" t="s">
        <v>111</v>
      </c>
      <c r="E693" s="82">
        <v>23800</v>
      </c>
      <c r="F693" s="82">
        <v>1425</v>
      </c>
      <c r="G693" s="82">
        <v>952</v>
      </c>
      <c r="H693" s="83">
        <v>13.074538920707329</v>
      </c>
      <c r="I693" s="83">
        <v>877.89748064563719</v>
      </c>
      <c r="J693" s="83">
        <v>18.983017235319604</v>
      </c>
    </row>
    <row r="694" spans="1:10" ht="16">
      <c r="A694" s="79" t="s">
        <v>295</v>
      </c>
      <c r="B694" s="79" t="s">
        <v>242</v>
      </c>
      <c r="C694" s="80" t="s">
        <v>126</v>
      </c>
      <c r="D694" s="81" t="s">
        <v>77</v>
      </c>
      <c r="E694" s="82">
        <v>64648</v>
      </c>
      <c r="F694" s="82">
        <v>4685</v>
      </c>
      <c r="G694" s="82">
        <v>2586</v>
      </c>
      <c r="H694" s="83">
        <v>25.006391891655802</v>
      </c>
      <c r="I694" s="83">
        <v>9499.7917295612242</v>
      </c>
      <c r="J694" s="83">
        <v>31.190280216085842</v>
      </c>
    </row>
    <row r="695" spans="1:10" ht="16">
      <c r="A695" s="79" t="s">
        <v>834</v>
      </c>
      <c r="B695" s="79" t="s">
        <v>833</v>
      </c>
      <c r="C695" s="80" t="s">
        <v>126</v>
      </c>
      <c r="D695" s="81" t="s">
        <v>99</v>
      </c>
      <c r="E695" s="82">
        <v>90736</v>
      </c>
      <c r="F695" s="82">
        <v>1589</v>
      </c>
      <c r="G695" s="82">
        <v>1815</v>
      </c>
      <c r="H695" s="83">
        <v>7.9926505223536601</v>
      </c>
      <c r="I695" s="83">
        <v>4065.8006485530045</v>
      </c>
      <c r="J695" s="83">
        <v>26.01108196305373</v>
      </c>
    </row>
    <row r="696" spans="1:10" ht="16">
      <c r="A696" s="79" t="s">
        <v>904</v>
      </c>
      <c r="B696" s="79" t="s">
        <v>898</v>
      </c>
      <c r="C696" s="80" t="s">
        <v>126</v>
      </c>
      <c r="D696" s="81" t="s">
        <v>75</v>
      </c>
      <c r="E696" s="82">
        <v>20646</v>
      </c>
      <c r="F696" s="82">
        <v>1639</v>
      </c>
      <c r="G696" s="82">
        <v>206</v>
      </c>
      <c r="H696" s="83">
        <v>9.497036782184141</v>
      </c>
      <c r="I696" s="83">
        <v>2969.422419763082</v>
      </c>
      <c r="J696" s="83">
        <v>16.506741981319919</v>
      </c>
    </row>
    <row r="697" spans="1:10" ht="16">
      <c r="A697" s="79" t="s">
        <v>1149</v>
      </c>
      <c r="B697" s="79" t="s">
        <v>1139</v>
      </c>
      <c r="C697" s="80" t="s">
        <v>95</v>
      </c>
      <c r="D697" s="81" t="s">
        <v>75</v>
      </c>
      <c r="E697" s="82">
        <v>24542</v>
      </c>
      <c r="F697" s="82">
        <v>1239</v>
      </c>
      <c r="G697" s="82">
        <v>736</v>
      </c>
      <c r="H697" s="83">
        <v>8.7775554829161369</v>
      </c>
      <c r="I697" s="83">
        <v>1131.2810037800232</v>
      </c>
      <c r="J697" s="83">
        <v>16.427638170042986</v>
      </c>
    </row>
    <row r="698" spans="1:10" ht="16">
      <c r="A698" s="79" t="s">
        <v>212</v>
      </c>
      <c r="B698" s="79" t="s">
        <v>203</v>
      </c>
      <c r="C698" s="80" t="s">
        <v>95</v>
      </c>
      <c r="D698" s="81" t="s">
        <v>78</v>
      </c>
      <c r="E698" s="82">
        <v>26521</v>
      </c>
      <c r="F698" s="82">
        <v>971</v>
      </c>
      <c r="G698" s="82">
        <v>7956</v>
      </c>
      <c r="H698" s="83">
        <v>35.85907769457225</v>
      </c>
      <c r="I698" s="83">
        <v>26747.137848175054</v>
      </c>
      <c r="J698" s="83">
        <v>24.185281966581854</v>
      </c>
    </row>
    <row r="699" spans="1:10" ht="16">
      <c r="A699" s="79" t="s">
        <v>990</v>
      </c>
      <c r="B699" s="79" t="s">
        <v>989</v>
      </c>
      <c r="C699" s="80" t="s">
        <v>95</v>
      </c>
      <c r="D699" s="81" t="s">
        <v>78</v>
      </c>
      <c r="E699" s="82">
        <v>6570</v>
      </c>
      <c r="F699" s="82">
        <v>466</v>
      </c>
      <c r="G699" s="82">
        <v>131</v>
      </c>
      <c r="H699" s="83">
        <v>9.0829087208742507</v>
      </c>
      <c r="I699" s="83">
        <v>817.23148397548312</v>
      </c>
      <c r="J699" s="83">
        <v>18.370243412244086</v>
      </c>
    </row>
    <row r="700" spans="1:10" ht="16">
      <c r="A700" s="79" t="s">
        <v>991</v>
      </c>
      <c r="B700" s="79" t="s">
        <v>989</v>
      </c>
      <c r="C700" s="80" t="s">
        <v>126</v>
      </c>
      <c r="D700" s="81" t="s">
        <v>101</v>
      </c>
      <c r="E700" s="82">
        <v>13108</v>
      </c>
      <c r="F700" s="82">
        <v>986</v>
      </c>
      <c r="G700" s="82">
        <v>393</v>
      </c>
      <c r="H700" s="83">
        <v>13.010250260781529</v>
      </c>
      <c r="I700" s="83">
        <v>1217.7125468080728</v>
      </c>
      <c r="J700" s="83">
        <v>22.685030446272904</v>
      </c>
    </row>
    <row r="701" spans="1:10" ht="16">
      <c r="A701" s="79" t="s">
        <v>1250</v>
      </c>
      <c r="B701" s="79" t="s">
        <v>1209</v>
      </c>
      <c r="C701" s="80" t="s">
        <v>95</v>
      </c>
      <c r="D701" s="81" t="s">
        <v>111</v>
      </c>
      <c r="E701" s="82">
        <v>5194</v>
      </c>
      <c r="F701" s="82">
        <v>429</v>
      </c>
      <c r="G701" s="82">
        <v>2753</v>
      </c>
      <c r="H701" s="83">
        <v>38.410054352652196</v>
      </c>
      <c r="I701" s="83">
        <v>11768.862022393243</v>
      </c>
      <c r="J701" s="83">
        <v>42.614906110952546</v>
      </c>
    </row>
    <row r="702" spans="1:10" ht="16">
      <c r="A702" s="79" t="s">
        <v>200</v>
      </c>
      <c r="B702" s="79" t="s">
        <v>201</v>
      </c>
      <c r="C702" s="80" t="s">
        <v>95</v>
      </c>
      <c r="D702" s="81" t="s">
        <v>78</v>
      </c>
      <c r="E702" s="82">
        <v>21988</v>
      </c>
      <c r="F702" s="82">
        <v>2364</v>
      </c>
      <c r="G702" s="82">
        <v>1319</v>
      </c>
      <c r="H702" s="83">
        <v>10.140752952480558</v>
      </c>
      <c r="I702" s="83">
        <v>1373.247257770664</v>
      </c>
      <c r="J702" s="83">
        <v>21.104429110551312</v>
      </c>
    </row>
    <row r="703" spans="1:10" ht="16">
      <c r="A703" s="79" t="s">
        <v>1030</v>
      </c>
      <c r="B703" s="79" t="s">
        <v>1007</v>
      </c>
      <c r="C703" s="80" t="s">
        <v>126</v>
      </c>
      <c r="D703" s="81" t="s">
        <v>79</v>
      </c>
      <c r="E703" s="82">
        <v>9559</v>
      </c>
      <c r="F703" s="82">
        <v>417</v>
      </c>
      <c r="G703" s="82">
        <v>1051</v>
      </c>
      <c r="H703" s="83">
        <v>28.88808962556778</v>
      </c>
      <c r="I703" s="83">
        <v>6660.050453935316</v>
      </c>
      <c r="J703" s="83">
        <v>25.311947946865025</v>
      </c>
    </row>
    <row r="704" spans="1:10" ht="16">
      <c r="A704" s="79" t="s">
        <v>378</v>
      </c>
      <c r="B704" s="79" t="s">
        <v>363</v>
      </c>
      <c r="C704" s="80" t="s">
        <v>95</v>
      </c>
      <c r="D704" s="81" t="s">
        <v>96</v>
      </c>
      <c r="E704" s="82">
        <v>52056</v>
      </c>
      <c r="F704" s="82">
        <v>1808</v>
      </c>
      <c r="G704" s="82">
        <v>1165</v>
      </c>
      <c r="H704" s="83">
        <v>8.0182933627549744</v>
      </c>
      <c r="I704" s="83">
        <v>2638.1370940303914</v>
      </c>
      <c r="J704" s="83">
        <v>13.988749792544484</v>
      </c>
    </row>
    <row r="705" spans="1:10" ht="16">
      <c r="A705" s="79" t="s">
        <v>296</v>
      </c>
      <c r="B705" s="79" t="s">
        <v>242</v>
      </c>
      <c r="C705" s="80" t="s">
        <v>95</v>
      </c>
      <c r="D705" s="81" t="s">
        <v>76</v>
      </c>
      <c r="E705" s="82">
        <v>44835</v>
      </c>
      <c r="F705" s="82">
        <v>2734</v>
      </c>
      <c r="G705" s="82">
        <v>3138</v>
      </c>
      <c r="H705" s="83">
        <v>21.692995930286383</v>
      </c>
      <c r="I705" s="83">
        <v>14190.560450253704</v>
      </c>
      <c r="J705" s="83">
        <v>24.210442254754806</v>
      </c>
    </row>
    <row r="706" spans="1:10" ht="16">
      <c r="A706" s="79" t="s">
        <v>1031</v>
      </c>
      <c r="B706" s="79" t="s">
        <v>1007</v>
      </c>
      <c r="C706" s="80" t="s">
        <v>126</v>
      </c>
      <c r="D706" s="81" t="s">
        <v>75</v>
      </c>
      <c r="E706" s="82">
        <v>15516</v>
      </c>
      <c r="F706" s="82">
        <v>848</v>
      </c>
      <c r="G706" s="82">
        <v>931</v>
      </c>
      <c r="H706" s="83">
        <v>11.013865317526896</v>
      </c>
      <c r="I706" s="83">
        <v>1629.8218900499478</v>
      </c>
      <c r="J706" s="83">
        <v>21.291220866228855</v>
      </c>
    </row>
    <row r="707" spans="1:10" ht="16">
      <c r="A707" s="79" t="s">
        <v>733</v>
      </c>
      <c r="B707" s="79" t="s">
        <v>661</v>
      </c>
      <c r="C707" s="80" t="s">
        <v>95</v>
      </c>
      <c r="D707" s="81" t="s">
        <v>96</v>
      </c>
      <c r="E707" s="82">
        <v>13369</v>
      </c>
      <c r="F707" s="82">
        <v>552</v>
      </c>
      <c r="G707" s="82">
        <v>1203</v>
      </c>
      <c r="H707" s="83">
        <v>11.902644736712903</v>
      </c>
      <c r="I707" s="83">
        <v>1664.6167984254091</v>
      </c>
      <c r="J707" s="83">
        <v>22.248868296195756</v>
      </c>
    </row>
    <row r="708" spans="1:10" ht="16">
      <c r="A708" s="79" t="s">
        <v>407</v>
      </c>
      <c r="B708" s="79" t="s">
        <v>396</v>
      </c>
      <c r="C708" s="80" t="s">
        <v>95</v>
      </c>
      <c r="D708" s="81" t="s">
        <v>75</v>
      </c>
      <c r="E708" s="82">
        <v>43076</v>
      </c>
      <c r="F708" s="82">
        <v>3191</v>
      </c>
      <c r="G708" s="82">
        <v>8184</v>
      </c>
      <c r="H708" s="83">
        <v>50.970188320909287</v>
      </c>
      <c r="I708" s="83">
        <v>40505.129307709227</v>
      </c>
      <c r="J708" s="83">
        <v>63.263760692482478</v>
      </c>
    </row>
    <row r="709" spans="1:10" ht="16">
      <c r="A709" s="79" t="s">
        <v>297</v>
      </c>
      <c r="B709" s="79" t="s">
        <v>242</v>
      </c>
      <c r="C709" s="80" t="s">
        <v>126</v>
      </c>
      <c r="D709" s="81" t="s">
        <v>78</v>
      </c>
      <c r="E709" s="82">
        <v>41139</v>
      </c>
      <c r="F709" s="82">
        <v>2960</v>
      </c>
      <c r="G709" s="82">
        <v>2057</v>
      </c>
      <c r="H709" s="83">
        <v>29.485906496151738</v>
      </c>
      <c r="I709" s="83">
        <v>17847.938094680379</v>
      </c>
      <c r="J709" s="83">
        <v>24.632392493599184</v>
      </c>
    </row>
    <row r="710" spans="1:10" ht="16">
      <c r="A710" s="79" t="s">
        <v>968</v>
      </c>
      <c r="B710" s="79" t="s">
        <v>938</v>
      </c>
      <c r="C710" s="80" t="s">
        <v>126</v>
      </c>
      <c r="D710" s="81" t="s">
        <v>79</v>
      </c>
      <c r="E710" s="82">
        <v>28840</v>
      </c>
      <c r="F710" s="82">
        <v>1687</v>
      </c>
      <c r="G710" s="82">
        <v>1442</v>
      </c>
      <c r="H710" s="83">
        <v>10.877126957594827</v>
      </c>
      <c r="I710" s="83">
        <v>2194.3554351113121</v>
      </c>
      <c r="J710" s="83">
        <v>16.460748421609363</v>
      </c>
    </row>
    <row r="711" spans="1:10" ht="16">
      <c r="A711" s="79" t="s">
        <v>379</v>
      </c>
      <c r="B711" s="79" t="s">
        <v>363</v>
      </c>
      <c r="C711" s="80" t="s">
        <v>95</v>
      </c>
      <c r="D711" s="81" t="s">
        <v>78</v>
      </c>
      <c r="E711" s="82">
        <v>47488</v>
      </c>
      <c r="F711" s="82">
        <v>991</v>
      </c>
      <c r="G711" s="82">
        <v>950</v>
      </c>
      <c r="H711" s="83">
        <v>8.0353395276189303</v>
      </c>
      <c r="I711" s="83">
        <v>3023.1224107583071</v>
      </c>
      <c r="J711" s="83">
        <v>13.05046632863437</v>
      </c>
    </row>
    <row r="712" spans="1:10" ht="16">
      <c r="A712" s="79" t="s">
        <v>298</v>
      </c>
      <c r="B712" s="79" t="s">
        <v>242</v>
      </c>
      <c r="C712" s="80" t="s">
        <v>126</v>
      </c>
      <c r="D712" s="81" t="s">
        <v>99</v>
      </c>
      <c r="E712" s="82">
        <v>32951</v>
      </c>
      <c r="F712" s="82">
        <v>2841</v>
      </c>
      <c r="G712" s="82">
        <v>1648</v>
      </c>
      <c r="H712" s="83">
        <v>34.124948742756501</v>
      </c>
      <c r="I712" s="83">
        <v>14296.031657354595</v>
      </c>
      <c r="J712" s="83">
        <v>30.564510228019287</v>
      </c>
    </row>
    <row r="713" spans="1:10" ht="16">
      <c r="A713" s="79" t="s">
        <v>127</v>
      </c>
      <c r="B713" s="79" t="s">
        <v>108</v>
      </c>
      <c r="C713" s="80" t="s">
        <v>95</v>
      </c>
      <c r="D713" s="81" t="s">
        <v>96</v>
      </c>
      <c r="E713" s="82">
        <v>9064</v>
      </c>
      <c r="F713" s="82">
        <v>363</v>
      </c>
      <c r="G713" s="82">
        <v>2266</v>
      </c>
      <c r="H713" s="83">
        <v>22.281881350802205</v>
      </c>
      <c r="I713" s="83">
        <v>10699.201466682227</v>
      </c>
      <c r="J713" s="83">
        <v>18.522671340897713</v>
      </c>
    </row>
    <row r="714" spans="1:10" ht="16">
      <c r="A714" s="79" t="s">
        <v>969</v>
      </c>
      <c r="B714" s="79" t="s">
        <v>938</v>
      </c>
      <c r="C714" s="80" t="s">
        <v>95</v>
      </c>
      <c r="D714" s="81" t="s">
        <v>75</v>
      </c>
      <c r="E714" s="82">
        <v>19038</v>
      </c>
      <c r="F714" s="82">
        <v>2092</v>
      </c>
      <c r="G714" s="82">
        <v>1713</v>
      </c>
      <c r="H714" s="83">
        <v>10.364409640492307</v>
      </c>
      <c r="I714" s="83">
        <v>2060.4753778893773</v>
      </c>
      <c r="J714" s="83">
        <v>21.323183955733555</v>
      </c>
    </row>
    <row r="715" spans="1:10" ht="16">
      <c r="A715" s="79" t="s">
        <v>299</v>
      </c>
      <c r="B715" s="79" t="s">
        <v>242</v>
      </c>
      <c r="C715" s="80" t="s">
        <v>95</v>
      </c>
      <c r="D715" s="81" t="s">
        <v>78</v>
      </c>
      <c r="E715" s="82">
        <v>19306</v>
      </c>
      <c r="F715" s="82">
        <v>2925</v>
      </c>
      <c r="G715" s="82">
        <v>1351</v>
      </c>
      <c r="H715" s="83">
        <v>12.232057165508113</v>
      </c>
      <c r="I715" s="83">
        <v>3060.3192137764445</v>
      </c>
      <c r="J715" s="83">
        <v>27.287716391331244</v>
      </c>
    </row>
    <row r="716" spans="1:10" ht="16">
      <c r="A716" s="79" t="s">
        <v>300</v>
      </c>
      <c r="B716" s="79" t="s">
        <v>242</v>
      </c>
      <c r="C716" s="80" t="s">
        <v>126</v>
      </c>
      <c r="D716" s="81" t="s">
        <v>96</v>
      </c>
      <c r="E716" s="82">
        <v>3198</v>
      </c>
      <c r="F716" s="82">
        <v>337</v>
      </c>
      <c r="G716" s="82">
        <v>220</v>
      </c>
      <c r="H716" s="83">
        <v>23.851388988818918</v>
      </c>
      <c r="I716" s="83">
        <v>20118.577838814334</v>
      </c>
      <c r="J716" s="83">
        <v>24.29172455849465</v>
      </c>
    </row>
    <row r="717" spans="1:10" ht="16">
      <c r="A717" s="79" t="s">
        <v>301</v>
      </c>
      <c r="B717" s="79" t="s">
        <v>242</v>
      </c>
      <c r="C717" s="80" t="s">
        <v>126</v>
      </c>
      <c r="D717" s="81" t="s">
        <v>75</v>
      </c>
      <c r="E717" s="82">
        <v>38059</v>
      </c>
      <c r="F717" s="82">
        <v>2394</v>
      </c>
      <c r="G717" s="82">
        <v>761</v>
      </c>
      <c r="H717" s="83">
        <v>17.075946735334728</v>
      </c>
      <c r="I717" s="83">
        <v>3459.1211791345472</v>
      </c>
      <c r="J717" s="83">
        <v>18.624332365815363</v>
      </c>
    </row>
    <row r="718" spans="1:10" ht="16">
      <c r="A718" s="79" t="s">
        <v>302</v>
      </c>
      <c r="B718" s="79" t="s">
        <v>242</v>
      </c>
      <c r="C718" s="80" t="s">
        <v>95</v>
      </c>
      <c r="D718" s="81" t="s">
        <v>96</v>
      </c>
      <c r="E718" s="82">
        <v>22283</v>
      </c>
      <c r="F718" s="82">
        <v>1401</v>
      </c>
      <c r="G718" s="82">
        <v>446</v>
      </c>
      <c r="H718" s="83">
        <v>11.689550937694849</v>
      </c>
      <c r="I718" s="83">
        <v>5613.0156509687868</v>
      </c>
      <c r="J718" s="83">
        <v>18.622021687193392</v>
      </c>
    </row>
    <row r="719" spans="1:10" ht="16">
      <c r="A719" s="79" t="s">
        <v>539</v>
      </c>
      <c r="B719" s="79" t="s">
        <v>493</v>
      </c>
      <c r="C719" s="80" t="s">
        <v>126</v>
      </c>
      <c r="D719" s="81" t="s">
        <v>75</v>
      </c>
      <c r="E719" s="82">
        <v>7832</v>
      </c>
      <c r="F719" s="82">
        <v>505</v>
      </c>
      <c r="G719" s="82">
        <v>175</v>
      </c>
      <c r="H719" s="83">
        <v>10.302768607869886</v>
      </c>
      <c r="I719" s="83">
        <v>3287.9917663077999</v>
      </c>
      <c r="J719" s="83">
        <v>37.331094597708365</v>
      </c>
    </row>
    <row r="720" spans="1:10" ht="16">
      <c r="A720" s="79" t="s">
        <v>1150</v>
      </c>
      <c r="B720" s="79" t="s">
        <v>1139</v>
      </c>
      <c r="C720" s="80" t="s">
        <v>95</v>
      </c>
      <c r="D720" s="81" t="s">
        <v>101</v>
      </c>
      <c r="E720" s="82">
        <v>22247</v>
      </c>
      <c r="F720" s="82">
        <v>1279</v>
      </c>
      <c r="G720" s="82">
        <v>2112</v>
      </c>
      <c r="H720" s="83">
        <v>8.5276079470068922</v>
      </c>
      <c r="I720" s="83">
        <v>1068.3085255142519</v>
      </c>
      <c r="J720" s="83">
        <v>20.45703690124623</v>
      </c>
    </row>
    <row r="721" spans="1:10" ht="16">
      <c r="A721" s="79" t="s">
        <v>540</v>
      </c>
      <c r="B721" s="79" t="s">
        <v>493</v>
      </c>
      <c r="C721" s="80" t="s">
        <v>126</v>
      </c>
      <c r="D721" s="81" t="s">
        <v>149</v>
      </c>
      <c r="E721" s="82">
        <v>51031</v>
      </c>
      <c r="F721" s="82">
        <v>3271</v>
      </c>
      <c r="G721" s="82">
        <v>1021</v>
      </c>
      <c r="H721" s="83">
        <v>8.5773904157971508</v>
      </c>
      <c r="I721" s="83">
        <v>1501.2690466058546</v>
      </c>
      <c r="J721" s="83">
        <v>17.893497367474414</v>
      </c>
    </row>
    <row r="722" spans="1:10" ht="16">
      <c r="A722" s="79" t="s">
        <v>734</v>
      </c>
      <c r="B722" s="79" t="s">
        <v>661</v>
      </c>
      <c r="C722" s="80" t="s">
        <v>126</v>
      </c>
      <c r="D722" s="81" t="s">
        <v>77</v>
      </c>
      <c r="E722" s="82">
        <v>846</v>
      </c>
      <c r="F722" s="82">
        <v>846</v>
      </c>
      <c r="G722" s="82">
        <v>8</v>
      </c>
      <c r="H722" s="83">
        <v>8.8260058184984995</v>
      </c>
      <c r="I722" s="83">
        <v>2933.555802966785</v>
      </c>
      <c r="J722" s="83">
        <v>27.646038725509104</v>
      </c>
    </row>
    <row r="723" spans="1:10" ht="16">
      <c r="A723" s="79" t="s">
        <v>970</v>
      </c>
      <c r="B723" s="79" t="s">
        <v>938</v>
      </c>
      <c r="C723" s="80" t="s">
        <v>126</v>
      </c>
      <c r="D723" s="81" t="s">
        <v>149</v>
      </c>
      <c r="E723" s="82">
        <v>8021</v>
      </c>
      <c r="F723" s="82">
        <v>642</v>
      </c>
      <c r="G723" s="82">
        <v>1444</v>
      </c>
      <c r="H723" s="83">
        <v>13.241123255014585</v>
      </c>
      <c r="I723" s="83">
        <v>2679.7121621428923</v>
      </c>
      <c r="J723" s="83">
        <v>20.258433887822903</v>
      </c>
    </row>
    <row r="724" spans="1:10" ht="16">
      <c r="A724" s="79" t="s">
        <v>1251</v>
      </c>
      <c r="B724" s="79" t="s">
        <v>1209</v>
      </c>
      <c r="C724" s="80" t="s">
        <v>126</v>
      </c>
      <c r="D724" s="81" t="s">
        <v>78</v>
      </c>
      <c r="E724" s="82">
        <v>8558</v>
      </c>
      <c r="F724" s="82">
        <v>578</v>
      </c>
      <c r="G724" s="82">
        <v>1027</v>
      </c>
      <c r="H724" s="83">
        <v>10.177892617840277</v>
      </c>
      <c r="I724" s="83">
        <v>4227.2888085740169</v>
      </c>
      <c r="J724" s="83">
        <v>17.263755120847609</v>
      </c>
    </row>
    <row r="725" spans="1:10" ht="16">
      <c r="A725" s="79" t="s">
        <v>1383</v>
      </c>
      <c r="B725" s="79" t="s">
        <v>1307</v>
      </c>
      <c r="C725" s="80" t="s">
        <v>126</v>
      </c>
      <c r="D725" s="81" t="s">
        <v>101</v>
      </c>
      <c r="E725" s="82">
        <v>16135</v>
      </c>
      <c r="F725" s="82">
        <v>2210</v>
      </c>
      <c r="G725" s="82">
        <v>3711</v>
      </c>
      <c r="H725" s="83">
        <v>96.764745703115793</v>
      </c>
      <c r="I725" s="83">
        <v>96370.121238130669</v>
      </c>
      <c r="J725" s="83">
        <v>92.916964427733291</v>
      </c>
    </row>
    <row r="726" spans="1:10" ht="16">
      <c r="A726" s="79" t="s">
        <v>1384</v>
      </c>
      <c r="B726" s="79" t="s">
        <v>1307</v>
      </c>
      <c r="C726" s="80" t="s">
        <v>95</v>
      </c>
      <c r="D726" s="81" t="s">
        <v>101</v>
      </c>
      <c r="E726" s="82">
        <v>15947</v>
      </c>
      <c r="F726" s="82">
        <v>961</v>
      </c>
      <c r="G726" s="82">
        <v>1595</v>
      </c>
      <c r="H726" s="83">
        <v>35.437332918806824</v>
      </c>
      <c r="I726" s="83">
        <v>25818.279331169437</v>
      </c>
      <c r="J726" s="83">
        <v>24.458238214606446</v>
      </c>
    </row>
    <row r="727" spans="1:10" ht="16">
      <c r="A727" s="79" t="s">
        <v>192</v>
      </c>
      <c r="B727" s="79" t="s">
        <v>169</v>
      </c>
      <c r="C727" s="80" t="s">
        <v>95</v>
      </c>
      <c r="D727" s="81" t="s">
        <v>77</v>
      </c>
      <c r="E727" s="82">
        <v>11911</v>
      </c>
      <c r="F727" s="82">
        <v>953</v>
      </c>
      <c r="G727" s="82">
        <v>820</v>
      </c>
      <c r="H727" s="83">
        <v>9.0806956309565141</v>
      </c>
      <c r="I727" s="83">
        <v>2262.7565294324017</v>
      </c>
      <c r="J727" s="83">
        <v>18.424051831749466</v>
      </c>
    </row>
    <row r="728" spans="1:10" ht="16">
      <c r="A728" s="79" t="s">
        <v>193</v>
      </c>
      <c r="B728" s="79" t="s">
        <v>169</v>
      </c>
      <c r="C728" s="80" t="s">
        <v>95</v>
      </c>
      <c r="D728" s="81" t="s">
        <v>111</v>
      </c>
      <c r="E728" s="82">
        <v>3954</v>
      </c>
      <c r="F728" s="82">
        <v>841</v>
      </c>
      <c r="G728" s="82">
        <v>272</v>
      </c>
      <c r="H728" s="83">
        <v>8.1966544127488508</v>
      </c>
      <c r="I728" s="83">
        <v>648.98163204663831</v>
      </c>
      <c r="J728" s="83">
        <v>27.733431062727078</v>
      </c>
    </row>
    <row r="729" spans="1:10" ht="16">
      <c r="A729" s="79" t="s">
        <v>997</v>
      </c>
      <c r="B729" s="79" t="s">
        <v>996</v>
      </c>
      <c r="C729" s="80" t="s">
        <v>95</v>
      </c>
      <c r="D729" s="81" t="s">
        <v>99</v>
      </c>
      <c r="E729" s="82">
        <v>24308</v>
      </c>
      <c r="F729" s="82">
        <v>931</v>
      </c>
      <c r="G729" s="82">
        <v>1945</v>
      </c>
      <c r="H729" s="83">
        <v>35.462076510001438</v>
      </c>
      <c r="I729" s="83">
        <v>25813.585402237393</v>
      </c>
      <c r="J729" s="83">
        <v>30.26264002594209</v>
      </c>
    </row>
    <row r="730" spans="1:10" ht="16">
      <c r="A730" s="79" t="s">
        <v>1385</v>
      </c>
      <c r="B730" s="79" t="s">
        <v>1307</v>
      </c>
      <c r="C730" s="80" t="s">
        <v>126</v>
      </c>
      <c r="D730" s="81" t="s">
        <v>75</v>
      </c>
      <c r="E730" s="82">
        <v>5943</v>
      </c>
      <c r="F730" s="82">
        <v>356</v>
      </c>
      <c r="G730" s="82">
        <v>2258</v>
      </c>
      <c r="H730" s="83">
        <v>16.264379792262183</v>
      </c>
      <c r="I730" s="83">
        <v>9253.801348679799</v>
      </c>
      <c r="J730" s="83">
        <v>23.367501542501014</v>
      </c>
    </row>
    <row r="731" spans="1:10" ht="16">
      <c r="A731" s="79" t="s">
        <v>1086</v>
      </c>
      <c r="B731" s="79" t="s">
        <v>1081</v>
      </c>
      <c r="C731" s="80" t="s">
        <v>126</v>
      </c>
      <c r="D731" s="81" t="s">
        <v>75</v>
      </c>
      <c r="E731" s="82">
        <v>27185</v>
      </c>
      <c r="F731" s="82">
        <v>1394</v>
      </c>
      <c r="G731" s="82">
        <v>3806</v>
      </c>
      <c r="H731" s="83">
        <v>46.814447777560162</v>
      </c>
      <c r="I731" s="83">
        <v>39462.085105920058</v>
      </c>
      <c r="J731" s="83">
        <v>30.587083342011198</v>
      </c>
    </row>
    <row r="732" spans="1:10" ht="16">
      <c r="A732" s="79" t="s">
        <v>1386</v>
      </c>
      <c r="B732" s="79" t="s">
        <v>1307</v>
      </c>
      <c r="C732" s="80" t="s">
        <v>126</v>
      </c>
      <c r="D732" s="81" t="s">
        <v>111</v>
      </c>
      <c r="E732" s="82">
        <v>24201</v>
      </c>
      <c r="F732" s="82">
        <v>2305</v>
      </c>
      <c r="G732" s="82">
        <v>5566</v>
      </c>
      <c r="H732" s="83">
        <v>24.00184271296726</v>
      </c>
      <c r="I732" s="83">
        <v>18125.975225263624</v>
      </c>
      <c r="J732" s="83">
        <v>35.001877577653012</v>
      </c>
    </row>
    <row r="733" spans="1:10" ht="16">
      <c r="A733" s="79" t="s">
        <v>380</v>
      </c>
      <c r="B733" s="79" t="s">
        <v>363</v>
      </c>
      <c r="C733" s="80" t="s">
        <v>95</v>
      </c>
      <c r="D733" s="81" t="s">
        <v>77</v>
      </c>
      <c r="E733" s="82">
        <v>35363</v>
      </c>
      <c r="F733" s="82">
        <v>3274</v>
      </c>
      <c r="G733" s="82">
        <v>354</v>
      </c>
      <c r="H733" s="83">
        <v>8.752215007953799</v>
      </c>
      <c r="I733" s="83">
        <v>7222.258935925227</v>
      </c>
      <c r="J733" s="83">
        <v>20.878276520829594</v>
      </c>
    </row>
    <row r="734" spans="1:10" ht="16">
      <c r="A734" s="79" t="s">
        <v>874</v>
      </c>
      <c r="B734" s="79" t="s">
        <v>875</v>
      </c>
      <c r="C734" s="80" t="s">
        <v>126</v>
      </c>
      <c r="D734" s="81" t="s">
        <v>103</v>
      </c>
      <c r="E734" s="82">
        <v>6823</v>
      </c>
      <c r="F734" s="82">
        <v>922</v>
      </c>
      <c r="G734" s="82">
        <v>273</v>
      </c>
      <c r="H734" s="83">
        <v>11.531826997168123</v>
      </c>
      <c r="I734" s="83">
        <v>2025.7791887857984</v>
      </c>
      <c r="J734" s="83">
        <v>24.39975170021523</v>
      </c>
    </row>
    <row r="735" spans="1:10" ht="16">
      <c r="A735" s="79" t="s">
        <v>1200</v>
      </c>
      <c r="B735" s="79" t="s">
        <v>1197</v>
      </c>
      <c r="C735" s="80" t="s">
        <v>126</v>
      </c>
      <c r="D735" s="81" t="s">
        <v>75</v>
      </c>
      <c r="E735" s="82">
        <v>9293</v>
      </c>
      <c r="F735" s="82">
        <v>894</v>
      </c>
      <c r="G735" s="82">
        <v>1208</v>
      </c>
      <c r="H735" s="83">
        <v>10.097119743028925</v>
      </c>
      <c r="I735" s="83">
        <v>1337.7034451814291</v>
      </c>
      <c r="J735" s="83">
        <v>20.385685236649699</v>
      </c>
    </row>
    <row r="736" spans="1:10" ht="16">
      <c r="A736" s="79" t="s">
        <v>303</v>
      </c>
      <c r="B736" s="79" t="s">
        <v>242</v>
      </c>
      <c r="C736" s="80" t="s">
        <v>95</v>
      </c>
      <c r="D736" s="81" t="s">
        <v>101</v>
      </c>
      <c r="E736" s="82">
        <v>53603</v>
      </c>
      <c r="F736" s="82">
        <v>3229</v>
      </c>
      <c r="G736" s="82">
        <v>4824</v>
      </c>
      <c r="H736" s="83">
        <v>35.806533694643598</v>
      </c>
      <c r="I736" s="83">
        <v>22780.286350610066</v>
      </c>
      <c r="J736" s="83">
        <v>44.281583112137156</v>
      </c>
    </row>
    <row r="737" spans="1:10" ht="16">
      <c r="A737" s="79" t="s">
        <v>1032</v>
      </c>
      <c r="B737" s="79" t="s">
        <v>1007</v>
      </c>
      <c r="C737" s="80" t="s">
        <v>126</v>
      </c>
      <c r="D737" s="81" t="s">
        <v>101</v>
      </c>
      <c r="E737" s="82">
        <v>23342</v>
      </c>
      <c r="F737" s="82">
        <v>1197</v>
      </c>
      <c r="G737" s="82">
        <v>3501</v>
      </c>
      <c r="H737" s="83">
        <v>61.422781733660287</v>
      </c>
      <c r="I737" s="83">
        <v>43054.587628467118</v>
      </c>
      <c r="J737" s="83">
        <v>58.276821964612637</v>
      </c>
    </row>
    <row r="738" spans="1:10" ht="16">
      <c r="A738" s="79" t="s">
        <v>1151</v>
      </c>
      <c r="B738" s="79" t="s">
        <v>1139</v>
      </c>
      <c r="C738" s="80" t="s">
        <v>95</v>
      </c>
      <c r="D738" s="81" t="s">
        <v>101</v>
      </c>
      <c r="E738" s="82">
        <v>15901</v>
      </c>
      <c r="F738" s="82">
        <v>466</v>
      </c>
      <c r="G738" s="82">
        <v>159</v>
      </c>
      <c r="H738" s="83">
        <v>13.183031688240689</v>
      </c>
      <c r="I738" s="83">
        <v>3336.42334622417</v>
      </c>
      <c r="J738" s="83">
        <v>20.212767679243331</v>
      </c>
    </row>
    <row r="739" spans="1:10" ht="16">
      <c r="A739" s="79" t="s">
        <v>1252</v>
      </c>
      <c r="B739" s="79" t="s">
        <v>1209</v>
      </c>
      <c r="C739" s="80" t="s">
        <v>126</v>
      </c>
      <c r="D739" s="81" t="s">
        <v>103</v>
      </c>
      <c r="E739" s="82">
        <v>16445</v>
      </c>
      <c r="F739" s="82">
        <v>985</v>
      </c>
      <c r="G739" s="82">
        <v>3782</v>
      </c>
      <c r="H739" s="83">
        <v>24.413147158301367</v>
      </c>
      <c r="I739" s="83">
        <v>22520.725197221567</v>
      </c>
      <c r="J739" s="83">
        <v>22.172492126346615</v>
      </c>
    </row>
    <row r="740" spans="1:10" ht="16">
      <c r="A740" s="79" t="s">
        <v>1087</v>
      </c>
      <c r="B740" s="79" t="s">
        <v>1081</v>
      </c>
      <c r="C740" s="80" t="s">
        <v>95</v>
      </c>
      <c r="D740" s="81" t="s">
        <v>79</v>
      </c>
      <c r="E740" s="82">
        <v>3737</v>
      </c>
      <c r="F740" s="82">
        <v>830</v>
      </c>
      <c r="G740" s="82">
        <v>149</v>
      </c>
      <c r="H740" s="83">
        <v>30.351737044538261</v>
      </c>
      <c r="I740" s="83">
        <v>21713.009763716123</v>
      </c>
      <c r="J740" s="83">
        <v>31.461211280730751</v>
      </c>
    </row>
    <row r="741" spans="1:10" ht="16">
      <c r="A741" s="79" t="s">
        <v>128</v>
      </c>
      <c r="B741" s="79" t="s">
        <v>108</v>
      </c>
      <c r="C741" s="80" t="s">
        <v>126</v>
      </c>
      <c r="D741" s="81" t="s">
        <v>103</v>
      </c>
      <c r="E741" s="82">
        <v>14379</v>
      </c>
      <c r="F741" s="82">
        <v>515</v>
      </c>
      <c r="G741" s="82">
        <v>3882</v>
      </c>
      <c r="H741" s="83">
        <v>29.222410592068389</v>
      </c>
      <c r="I741" s="83">
        <v>19245.986126468873</v>
      </c>
      <c r="J741" s="83">
        <v>24.884133994718439</v>
      </c>
    </row>
    <row r="742" spans="1:10" ht="16">
      <c r="A742" s="79" t="s">
        <v>905</v>
      </c>
      <c r="B742" s="79" t="s">
        <v>898</v>
      </c>
      <c r="C742" s="80" t="s">
        <v>95</v>
      </c>
      <c r="D742" s="81" t="s">
        <v>101</v>
      </c>
      <c r="E742" s="82">
        <v>13561</v>
      </c>
      <c r="F742" s="82">
        <v>384</v>
      </c>
      <c r="G742" s="82">
        <v>1220</v>
      </c>
      <c r="H742" s="83">
        <v>12.70327261388203</v>
      </c>
      <c r="I742" s="83">
        <v>2599.9840729792004</v>
      </c>
      <c r="J742" s="83">
        <v>16.083185599921887</v>
      </c>
    </row>
    <row r="743" spans="1:10" ht="16">
      <c r="A743" s="79" t="s">
        <v>1387</v>
      </c>
      <c r="B743" s="79" t="s">
        <v>1307</v>
      </c>
      <c r="C743" s="80" t="s">
        <v>95</v>
      </c>
      <c r="D743" s="81" t="s">
        <v>101</v>
      </c>
      <c r="E743" s="82">
        <v>20236</v>
      </c>
      <c r="F743" s="82">
        <v>1289</v>
      </c>
      <c r="G743" s="82">
        <v>4047</v>
      </c>
      <c r="H743" s="83">
        <v>29.682024300395799</v>
      </c>
      <c r="I743" s="83">
        <v>23167.247924745989</v>
      </c>
      <c r="J743" s="83">
        <v>35.912603806290328</v>
      </c>
    </row>
    <row r="744" spans="1:10" ht="16">
      <c r="A744" s="79" t="s">
        <v>582</v>
      </c>
      <c r="B744" s="79" t="s">
        <v>556</v>
      </c>
      <c r="C744" s="80" t="s">
        <v>126</v>
      </c>
      <c r="D744" s="81" t="s">
        <v>78</v>
      </c>
      <c r="E744" s="82">
        <v>8047</v>
      </c>
      <c r="F744" s="82">
        <v>847</v>
      </c>
      <c r="G744" s="82">
        <v>370</v>
      </c>
      <c r="H744" s="83">
        <v>12.596400695363144</v>
      </c>
      <c r="I744" s="83">
        <v>4426.9227564539406</v>
      </c>
      <c r="J744" s="83">
        <v>45.264187201218128</v>
      </c>
    </row>
    <row r="745" spans="1:10" ht="16">
      <c r="A745" s="79" t="s">
        <v>1131</v>
      </c>
      <c r="B745" s="79" t="s">
        <v>1100</v>
      </c>
      <c r="C745" s="80" t="s">
        <v>95</v>
      </c>
      <c r="D745" s="81" t="s">
        <v>96</v>
      </c>
      <c r="E745" s="82">
        <v>5973</v>
      </c>
      <c r="F745" s="82">
        <v>586</v>
      </c>
      <c r="G745" s="82">
        <v>597</v>
      </c>
      <c r="H745" s="83">
        <v>32.15828062957376</v>
      </c>
      <c r="I745" s="83">
        <v>21602.165274647377</v>
      </c>
      <c r="J745" s="83">
        <v>29.579952288997074</v>
      </c>
    </row>
    <row r="746" spans="1:10" ht="16">
      <c r="A746" s="79" t="s">
        <v>383</v>
      </c>
      <c r="B746" s="79" t="s">
        <v>384</v>
      </c>
      <c r="C746" s="80" t="s">
        <v>95</v>
      </c>
      <c r="D746" s="81" t="s">
        <v>76</v>
      </c>
      <c r="E746" s="82">
        <v>7681</v>
      </c>
      <c r="F746" s="82">
        <v>282</v>
      </c>
      <c r="G746" s="82">
        <v>922</v>
      </c>
      <c r="H746" s="83">
        <v>20.621202614712008</v>
      </c>
      <c r="I746" s="83">
        <v>5936.9492972750722</v>
      </c>
      <c r="J746" s="83">
        <v>17.692999954539363</v>
      </c>
    </row>
    <row r="747" spans="1:10" ht="16">
      <c r="A747" s="79" t="s">
        <v>385</v>
      </c>
      <c r="B747" s="79" t="s">
        <v>384</v>
      </c>
      <c r="C747" s="80" t="s">
        <v>126</v>
      </c>
      <c r="D747" s="81" t="s">
        <v>101</v>
      </c>
      <c r="E747" s="82">
        <v>9895</v>
      </c>
      <c r="F747" s="82">
        <v>454</v>
      </c>
      <c r="G747" s="82">
        <v>1385</v>
      </c>
      <c r="H747" s="83">
        <v>13.227135899622505</v>
      </c>
      <c r="I747" s="83">
        <v>3674.0106377289612</v>
      </c>
      <c r="J747" s="83">
        <v>18.045841772054072</v>
      </c>
    </row>
    <row r="748" spans="1:10" ht="16">
      <c r="A748" s="79" t="s">
        <v>541</v>
      </c>
      <c r="B748" s="79" t="s">
        <v>493</v>
      </c>
      <c r="C748" s="80" t="s">
        <v>95</v>
      </c>
      <c r="D748" s="81" t="s">
        <v>79</v>
      </c>
      <c r="E748" s="82">
        <v>6279</v>
      </c>
      <c r="F748" s="82">
        <v>826</v>
      </c>
      <c r="G748" s="82">
        <v>141</v>
      </c>
      <c r="H748" s="83">
        <v>9.5549658986771249</v>
      </c>
      <c r="I748" s="83">
        <v>243.95581018826104</v>
      </c>
      <c r="J748" s="83">
        <v>24.406226718007346</v>
      </c>
    </row>
    <row r="749" spans="1:10" ht="16">
      <c r="A749" s="79" t="s">
        <v>1132</v>
      </c>
      <c r="B749" s="79" t="s">
        <v>1100</v>
      </c>
      <c r="C749" s="80" t="s">
        <v>126</v>
      </c>
      <c r="D749" s="81" t="s">
        <v>101</v>
      </c>
      <c r="E749" s="82">
        <v>26032</v>
      </c>
      <c r="F749" s="82">
        <v>1054</v>
      </c>
      <c r="G749" s="82">
        <v>2083</v>
      </c>
      <c r="H749" s="83">
        <v>13.231275691850097</v>
      </c>
      <c r="I749" s="83">
        <v>1666.0616571567639</v>
      </c>
      <c r="J749" s="83">
        <v>16.412464649762327</v>
      </c>
    </row>
    <row r="750" spans="1:10" ht="16">
      <c r="A750" s="79" t="s">
        <v>390</v>
      </c>
      <c r="B750" s="79" t="s">
        <v>388</v>
      </c>
      <c r="C750" s="80" t="s">
        <v>95</v>
      </c>
      <c r="D750" s="81" t="s">
        <v>79</v>
      </c>
      <c r="E750" s="82">
        <v>15149</v>
      </c>
      <c r="F750" s="82">
        <v>695</v>
      </c>
      <c r="G750" s="82">
        <v>909</v>
      </c>
      <c r="H750" s="83">
        <v>35.619830022821191</v>
      </c>
      <c r="I750" s="83">
        <v>28458.739703402756</v>
      </c>
      <c r="J750" s="83">
        <v>26.536281276222809</v>
      </c>
    </row>
    <row r="751" spans="1:10" ht="16">
      <c r="A751" s="79" t="s">
        <v>381</v>
      </c>
      <c r="B751" s="79" t="s">
        <v>363</v>
      </c>
      <c r="C751" s="80" t="s">
        <v>95</v>
      </c>
      <c r="D751" s="81" t="s">
        <v>101</v>
      </c>
      <c r="E751" s="82">
        <v>128995</v>
      </c>
      <c r="F751" s="82">
        <v>5466</v>
      </c>
      <c r="G751" s="82">
        <v>1290</v>
      </c>
      <c r="H751" s="83">
        <v>7.707149107476476</v>
      </c>
      <c r="I751" s="83">
        <v>2567.6911274548224</v>
      </c>
      <c r="J751" s="83">
        <v>21.16197902013651</v>
      </c>
    </row>
    <row r="752" spans="1:10" ht="16">
      <c r="A752" s="79" t="s">
        <v>1201</v>
      </c>
      <c r="B752" s="79" t="s">
        <v>1197</v>
      </c>
      <c r="C752" s="80" t="s">
        <v>95</v>
      </c>
      <c r="D752" s="81" t="s">
        <v>76</v>
      </c>
      <c r="E752" s="82">
        <v>23229</v>
      </c>
      <c r="F752" s="82">
        <v>2640</v>
      </c>
      <c r="G752" s="82">
        <v>697</v>
      </c>
      <c r="H752" s="83">
        <v>9.836674063209438</v>
      </c>
      <c r="I752" s="83">
        <v>821.52617566057677</v>
      </c>
      <c r="J752" s="83">
        <v>24.343359157760236</v>
      </c>
    </row>
    <row r="753" spans="1:10" ht="16">
      <c r="A753" s="79" t="s">
        <v>437</v>
      </c>
      <c r="B753" s="79" t="s">
        <v>421</v>
      </c>
      <c r="C753" s="80" t="s">
        <v>126</v>
      </c>
      <c r="D753" s="81" t="s">
        <v>101</v>
      </c>
      <c r="E753" s="82">
        <v>22622</v>
      </c>
      <c r="F753" s="82">
        <v>373</v>
      </c>
      <c r="G753" s="82">
        <v>5429</v>
      </c>
      <c r="H753" s="83">
        <v>54.743828117872582</v>
      </c>
      <c r="I753" s="83">
        <v>33640.447269011216</v>
      </c>
      <c r="J753" s="83">
        <v>50.921445918551498</v>
      </c>
    </row>
    <row r="754" spans="1:10" ht="16">
      <c r="A754" s="79" t="s">
        <v>934</v>
      </c>
      <c r="B754" s="79" t="s">
        <v>928</v>
      </c>
      <c r="C754" s="80" t="s">
        <v>126</v>
      </c>
      <c r="D754" s="81" t="s">
        <v>75</v>
      </c>
      <c r="E754" s="82">
        <v>19745</v>
      </c>
      <c r="F754" s="82">
        <v>1103</v>
      </c>
      <c r="G754" s="82">
        <v>197</v>
      </c>
      <c r="H754" s="83">
        <v>10.11115069484279</v>
      </c>
      <c r="I754" s="83">
        <v>1680.617209233722</v>
      </c>
      <c r="J754" s="83">
        <v>15.803613228951134</v>
      </c>
    </row>
    <row r="755" spans="1:10" ht="16">
      <c r="A755" s="79" t="s">
        <v>438</v>
      </c>
      <c r="B755" s="79" t="s">
        <v>421</v>
      </c>
      <c r="C755" s="80" t="s">
        <v>126</v>
      </c>
      <c r="D755" s="81" t="s">
        <v>77</v>
      </c>
      <c r="E755" s="82">
        <v>18166</v>
      </c>
      <c r="F755" s="82">
        <v>445</v>
      </c>
      <c r="G755" s="82">
        <v>3088</v>
      </c>
      <c r="H755" s="83">
        <v>44.538223221148563</v>
      </c>
      <c r="I755" s="83">
        <v>22294.467787955018</v>
      </c>
      <c r="J755" s="83">
        <v>42.790827606061939</v>
      </c>
    </row>
    <row r="756" spans="1:10" ht="16">
      <c r="A756" s="79" t="s">
        <v>359</v>
      </c>
      <c r="B756" s="79" t="s">
        <v>355</v>
      </c>
      <c r="C756" s="80" t="s">
        <v>126</v>
      </c>
      <c r="D756" s="81" t="s">
        <v>101</v>
      </c>
      <c r="E756" s="82">
        <v>9265</v>
      </c>
      <c r="F756" s="82">
        <v>1404</v>
      </c>
      <c r="G756" s="82">
        <v>2316</v>
      </c>
      <c r="H756" s="83">
        <v>40.98696578167614</v>
      </c>
      <c r="I756" s="83">
        <v>29720.558222473483</v>
      </c>
      <c r="J756" s="83">
        <v>40.211723288795056</v>
      </c>
    </row>
    <row r="757" spans="1:10" ht="16">
      <c r="A757" s="79" t="s">
        <v>347</v>
      </c>
      <c r="B757" s="79" t="s">
        <v>341</v>
      </c>
      <c r="C757" s="80" t="s">
        <v>95</v>
      </c>
      <c r="D757" s="81" t="s">
        <v>103</v>
      </c>
      <c r="E757" s="82">
        <v>5321</v>
      </c>
      <c r="F757" s="82">
        <v>560</v>
      </c>
      <c r="G757" s="82">
        <v>639</v>
      </c>
      <c r="H757" s="83">
        <v>12.468237457450448</v>
      </c>
      <c r="I757" s="83">
        <v>702.16457413299815</v>
      </c>
      <c r="J757" s="83">
        <v>20.051087117591965</v>
      </c>
    </row>
    <row r="758" spans="1:10" ht="16">
      <c r="A758" s="79" t="s">
        <v>1050</v>
      </c>
      <c r="B758" s="79" t="s">
        <v>1039</v>
      </c>
      <c r="C758" s="80" t="s">
        <v>126</v>
      </c>
      <c r="D758" s="81" t="s">
        <v>103</v>
      </c>
      <c r="E758" s="82">
        <v>40592</v>
      </c>
      <c r="F758" s="82">
        <v>2899</v>
      </c>
      <c r="G758" s="82">
        <v>5277</v>
      </c>
      <c r="H758" s="83">
        <v>14.999271668125306</v>
      </c>
      <c r="I758" s="83">
        <v>5641.4140710283391</v>
      </c>
      <c r="J758" s="83">
        <v>22.689324825690676</v>
      </c>
    </row>
    <row r="759" spans="1:10" ht="16">
      <c r="A759" s="79" t="s">
        <v>439</v>
      </c>
      <c r="B759" s="79" t="s">
        <v>421</v>
      </c>
      <c r="C759" s="80" t="s">
        <v>126</v>
      </c>
      <c r="D759" s="81" t="s">
        <v>101</v>
      </c>
      <c r="E759" s="82">
        <v>40472</v>
      </c>
      <c r="F759" s="82">
        <v>847</v>
      </c>
      <c r="G759" s="82">
        <v>10927</v>
      </c>
      <c r="H759" s="83">
        <v>70.820875797287215</v>
      </c>
      <c r="I759" s="83">
        <v>60212.399039926247</v>
      </c>
      <c r="J759" s="83">
        <v>65.141821793537233</v>
      </c>
    </row>
    <row r="760" spans="1:10" ht="16">
      <c r="A760" s="79" t="s">
        <v>613</v>
      </c>
      <c r="B760" s="79" t="s">
        <v>610</v>
      </c>
      <c r="C760" s="80" t="s">
        <v>126</v>
      </c>
      <c r="D760" s="81" t="s">
        <v>103</v>
      </c>
      <c r="E760" s="82">
        <v>14703</v>
      </c>
      <c r="F760" s="82">
        <v>674</v>
      </c>
      <c r="G760" s="82">
        <v>735</v>
      </c>
      <c r="H760" s="83">
        <v>32.157629932705682</v>
      </c>
      <c r="I760" s="83">
        <v>17930.7376670181</v>
      </c>
      <c r="J760" s="83">
        <v>32.657148844922752</v>
      </c>
    </row>
    <row r="761" spans="1:10" ht="16">
      <c r="A761" s="79" t="s">
        <v>604</v>
      </c>
      <c r="B761" s="79" t="s">
        <v>600</v>
      </c>
      <c r="C761" s="80" t="s">
        <v>126</v>
      </c>
      <c r="D761" s="81" t="s">
        <v>149</v>
      </c>
      <c r="E761" s="82">
        <v>14904</v>
      </c>
      <c r="F761" s="82">
        <v>745</v>
      </c>
      <c r="G761" s="82">
        <v>2981</v>
      </c>
      <c r="H761" s="83">
        <v>13.367540273493658</v>
      </c>
      <c r="I761" s="83">
        <v>4389.1997701786886</v>
      </c>
      <c r="J761" s="83">
        <v>15.857449703965212</v>
      </c>
    </row>
    <row r="762" spans="1:10" ht="16">
      <c r="A762" s="79" t="s">
        <v>1253</v>
      </c>
      <c r="B762" s="79" t="s">
        <v>1209</v>
      </c>
      <c r="C762" s="80" t="s">
        <v>95</v>
      </c>
      <c r="D762" s="81" t="s">
        <v>77</v>
      </c>
      <c r="E762" s="82">
        <v>11919</v>
      </c>
      <c r="F762" s="82">
        <v>651</v>
      </c>
      <c r="G762" s="82">
        <v>1311</v>
      </c>
      <c r="H762" s="83">
        <v>11.074228942108897</v>
      </c>
      <c r="I762" s="83">
        <v>4655.9226923239848</v>
      </c>
      <c r="J762" s="83">
        <v>16.360739631548118</v>
      </c>
    </row>
    <row r="763" spans="1:10" ht="16">
      <c r="A763" s="79" t="s">
        <v>583</v>
      </c>
      <c r="B763" s="79" t="s">
        <v>556</v>
      </c>
      <c r="C763" s="80" t="s">
        <v>95</v>
      </c>
      <c r="D763" s="81" t="s">
        <v>101</v>
      </c>
      <c r="E763" s="82">
        <v>12511</v>
      </c>
      <c r="F763" s="82">
        <v>1813</v>
      </c>
      <c r="G763" s="82">
        <v>876</v>
      </c>
      <c r="H763" s="83">
        <v>16.421330745024072</v>
      </c>
      <c r="I763" s="83">
        <v>7725.6160450731422</v>
      </c>
      <c r="J763" s="83">
        <v>45.055227388393376</v>
      </c>
    </row>
    <row r="764" spans="1:10" ht="16">
      <c r="A764" s="79" t="s">
        <v>735</v>
      </c>
      <c r="B764" s="79" t="s">
        <v>661</v>
      </c>
      <c r="C764" s="80" t="s">
        <v>126</v>
      </c>
      <c r="D764" s="81" t="s">
        <v>101</v>
      </c>
      <c r="E764" s="82">
        <v>22873</v>
      </c>
      <c r="F764" s="82">
        <v>1370</v>
      </c>
      <c r="G764" s="82">
        <v>457</v>
      </c>
      <c r="H764" s="83">
        <v>10.935839512832715</v>
      </c>
      <c r="I764" s="83">
        <v>10411.061897476902</v>
      </c>
      <c r="J764" s="83">
        <v>15.48774977347037</v>
      </c>
    </row>
    <row r="765" spans="1:10" ht="16">
      <c r="A765" s="79" t="s">
        <v>614</v>
      </c>
      <c r="B765" s="79" t="s">
        <v>610</v>
      </c>
      <c r="C765" s="80" t="s">
        <v>95</v>
      </c>
      <c r="D765" s="81" t="s">
        <v>79</v>
      </c>
      <c r="E765" s="82">
        <v>22414</v>
      </c>
      <c r="F765" s="82">
        <v>1005</v>
      </c>
      <c r="G765" s="82">
        <v>1569</v>
      </c>
      <c r="H765" s="83">
        <v>51.725057578936067</v>
      </c>
      <c r="I765" s="83">
        <v>36578.025396746496</v>
      </c>
      <c r="J765" s="83">
        <v>42.182358944467261</v>
      </c>
    </row>
    <row r="766" spans="1:10" ht="16">
      <c r="A766" s="79" t="s">
        <v>1388</v>
      </c>
      <c r="B766" s="79" t="s">
        <v>1307</v>
      </c>
      <c r="C766" s="80" t="s">
        <v>95</v>
      </c>
      <c r="D766" s="81" t="s">
        <v>101</v>
      </c>
      <c r="E766" s="82">
        <v>35814</v>
      </c>
      <c r="F766" s="82">
        <v>2755</v>
      </c>
      <c r="G766" s="82">
        <v>3223</v>
      </c>
      <c r="H766" s="83">
        <v>24.38298228620457</v>
      </c>
      <c r="I766" s="83">
        <v>18684.348935607679</v>
      </c>
      <c r="J766" s="83">
        <v>39.855718599428037</v>
      </c>
    </row>
    <row r="767" spans="1:10" ht="16">
      <c r="A767" s="79" t="s">
        <v>1389</v>
      </c>
      <c r="B767" s="79" t="s">
        <v>1307</v>
      </c>
      <c r="C767" s="80" t="s">
        <v>126</v>
      </c>
      <c r="D767" s="81" t="s">
        <v>103</v>
      </c>
      <c r="E767" s="82">
        <v>60818</v>
      </c>
      <c r="F767" s="82">
        <v>2452</v>
      </c>
      <c r="G767" s="82">
        <v>4865</v>
      </c>
      <c r="H767" s="83">
        <v>55.028794158475179</v>
      </c>
      <c r="I767" s="83">
        <v>34462.193342252969</v>
      </c>
      <c r="J767" s="83">
        <v>49.327520707077973</v>
      </c>
    </row>
    <row r="768" spans="1:10" ht="16">
      <c r="A768" s="79" t="s">
        <v>1390</v>
      </c>
      <c r="B768" s="79" t="s">
        <v>1307</v>
      </c>
      <c r="C768" s="80" t="s">
        <v>95</v>
      </c>
      <c r="D768" s="81" t="s">
        <v>101</v>
      </c>
      <c r="E768" s="82">
        <v>31893</v>
      </c>
      <c r="F768" s="82">
        <v>1670</v>
      </c>
      <c r="G768" s="82">
        <v>319</v>
      </c>
      <c r="H768" s="83">
        <v>14.703014982366655</v>
      </c>
      <c r="I768" s="83">
        <v>3904.4649211647829</v>
      </c>
      <c r="J768" s="83">
        <v>17.850765225120682</v>
      </c>
    </row>
    <row r="769" spans="1:10" ht="16">
      <c r="A769" s="79" t="s">
        <v>1391</v>
      </c>
      <c r="B769" s="79" t="s">
        <v>1307</v>
      </c>
      <c r="C769" s="80" t="s">
        <v>126</v>
      </c>
      <c r="D769" s="81" t="s">
        <v>75</v>
      </c>
      <c r="E769" s="82">
        <v>33015</v>
      </c>
      <c r="F769" s="82">
        <v>1603</v>
      </c>
      <c r="G769" s="82">
        <v>2971</v>
      </c>
      <c r="H769" s="83">
        <v>21.21395107061938</v>
      </c>
      <c r="I769" s="83">
        <v>9729.1638693084042</v>
      </c>
      <c r="J769" s="83">
        <v>30.943978805926918</v>
      </c>
    </row>
    <row r="770" spans="1:10" ht="16">
      <c r="A770" s="79" t="s">
        <v>542</v>
      </c>
      <c r="B770" s="79" t="s">
        <v>493</v>
      </c>
      <c r="C770" s="80" t="s">
        <v>126</v>
      </c>
      <c r="D770" s="81" t="s">
        <v>77</v>
      </c>
      <c r="E770" s="82">
        <v>3904</v>
      </c>
      <c r="F770" s="82">
        <v>279</v>
      </c>
      <c r="G770" s="82">
        <v>39</v>
      </c>
      <c r="H770" s="83">
        <v>12.870324692325029</v>
      </c>
      <c r="I770" s="83">
        <v>3624.4303750861636</v>
      </c>
      <c r="J770" s="83">
        <v>26.690046160052791</v>
      </c>
    </row>
    <row r="771" spans="1:10" ht="16">
      <c r="A771" s="79" t="s">
        <v>1152</v>
      </c>
      <c r="B771" s="79" t="s">
        <v>1139</v>
      </c>
      <c r="C771" s="80" t="s">
        <v>95</v>
      </c>
      <c r="D771" s="81" t="s">
        <v>76</v>
      </c>
      <c r="E771" s="82">
        <v>33506</v>
      </c>
      <c r="F771" s="82">
        <v>2769</v>
      </c>
      <c r="G771" s="82">
        <v>335</v>
      </c>
      <c r="H771" s="83">
        <v>12.217370714153049</v>
      </c>
      <c r="I771" s="83">
        <v>1371.47583646214</v>
      </c>
      <c r="J771" s="83">
        <v>19.581077497192339</v>
      </c>
    </row>
    <row r="772" spans="1:10" ht="16">
      <c r="A772" s="79" t="s">
        <v>543</v>
      </c>
      <c r="B772" s="79" t="s">
        <v>493</v>
      </c>
      <c r="C772" s="80" t="s">
        <v>126</v>
      </c>
      <c r="D772" s="81" t="s">
        <v>99</v>
      </c>
      <c r="E772" s="82">
        <v>7752</v>
      </c>
      <c r="F772" s="82">
        <v>524</v>
      </c>
      <c r="G772" s="82">
        <v>78</v>
      </c>
      <c r="H772" s="83">
        <v>10.066217679712665</v>
      </c>
      <c r="I772" s="83">
        <v>6488.4043215483389</v>
      </c>
      <c r="J772" s="83">
        <v>19.905691087240221</v>
      </c>
    </row>
    <row r="773" spans="1:10" ht="16">
      <c r="A773" s="79" t="s">
        <v>482</v>
      </c>
      <c r="B773" s="79" t="s">
        <v>478</v>
      </c>
      <c r="C773" s="80" t="s">
        <v>126</v>
      </c>
      <c r="D773" s="81" t="s">
        <v>101</v>
      </c>
      <c r="E773" s="82">
        <v>10125</v>
      </c>
      <c r="F773" s="82">
        <v>454</v>
      </c>
      <c r="G773" s="82">
        <v>3139</v>
      </c>
      <c r="H773" s="83">
        <v>66.570278279703587</v>
      </c>
      <c r="I773" s="83">
        <v>59418.720475851231</v>
      </c>
      <c r="J773" s="83">
        <v>58.026325941383654</v>
      </c>
    </row>
    <row r="774" spans="1:10" ht="16">
      <c r="A774" s="79" t="s">
        <v>1392</v>
      </c>
      <c r="B774" s="79" t="s">
        <v>1307</v>
      </c>
      <c r="C774" s="80" t="s">
        <v>95</v>
      </c>
      <c r="D774" s="81" t="s">
        <v>76</v>
      </c>
      <c r="E774" s="82">
        <v>10434</v>
      </c>
      <c r="F774" s="82">
        <v>1110</v>
      </c>
      <c r="G774" s="82">
        <v>3652</v>
      </c>
      <c r="H774" s="83">
        <v>16.089025713874307</v>
      </c>
      <c r="I774" s="83">
        <v>4604.9621021767871</v>
      </c>
      <c r="J774" s="83">
        <v>24.107415055229346</v>
      </c>
    </row>
    <row r="775" spans="1:10" ht="16">
      <c r="A775" s="79" t="s">
        <v>1254</v>
      </c>
      <c r="B775" s="79" t="s">
        <v>1209</v>
      </c>
      <c r="C775" s="80" t="s">
        <v>95</v>
      </c>
      <c r="D775" s="81" t="s">
        <v>101</v>
      </c>
      <c r="E775" s="82">
        <v>61915</v>
      </c>
      <c r="F775" s="82">
        <v>1917</v>
      </c>
      <c r="G775" s="82">
        <v>4953</v>
      </c>
      <c r="H775" s="83">
        <v>16.800591231653765</v>
      </c>
      <c r="I775" s="83">
        <v>10727.854013904171</v>
      </c>
      <c r="J775" s="83">
        <v>19.130243569131281</v>
      </c>
    </row>
    <row r="776" spans="1:10" ht="16">
      <c r="A776" s="79" t="s">
        <v>736</v>
      </c>
      <c r="B776" s="79" t="s">
        <v>661</v>
      </c>
      <c r="C776" s="80" t="s">
        <v>126</v>
      </c>
      <c r="D776" s="81" t="s">
        <v>149</v>
      </c>
      <c r="E776" s="82">
        <v>1165</v>
      </c>
      <c r="F776" s="82">
        <v>108</v>
      </c>
      <c r="G776" s="82">
        <v>58</v>
      </c>
      <c r="H776" s="83">
        <v>12.895704520618247</v>
      </c>
      <c r="I776" s="83">
        <v>5234.1472584681742</v>
      </c>
      <c r="J776" s="83">
        <v>21.611974657359458</v>
      </c>
    </row>
    <row r="777" spans="1:10" ht="16">
      <c r="A777" s="79" t="s">
        <v>737</v>
      </c>
      <c r="B777" s="79" t="s">
        <v>661</v>
      </c>
      <c r="C777" s="80" t="s">
        <v>126</v>
      </c>
      <c r="D777" s="81" t="s">
        <v>111</v>
      </c>
      <c r="E777" s="82">
        <v>4813</v>
      </c>
      <c r="F777" s="82">
        <v>319</v>
      </c>
      <c r="G777" s="82">
        <v>241</v>
      </c>
      <c r="H777" s="83">
        <v>18.809146415399741</v>
      </c>
      <c r="I777" s="83">
        <v>2630.8243920429209</v>
      </c>
      <c r="J777" s="83">
        <v>19.801110216916854</v>
      </c>
    </row>
    <row r="778" spans="1:10" ht="16">
      <c r="A778" s="79" t="s">
        <v>1393</v>
      </c>
      <c r="B778" s="79" t="s">
        <v>1307</v>
      </c>
      <c r="C778" s="80" t="s">
        <v>95</v>
      </c>
      <c r="D778" s="81" t="s">
        <v>79</v>
      </c>
      <c r="E778" s="82">
        <v>25907</v>
      </c>
      <c r="F778" s="82">
        <v>1542</v>
      </c>
      <c r="G778" s="82">
        <v>1295</v>
      </c>
      <c r="H778" s="83">
        <v>24.157849194231392</v>
      </c>
      <c r="I778" s="83">
        <v>18846.089394360999</v>
      </c>
      <c r="J778" s="83">
        <v>33.318812788014469</v>
      </c>
    </row>
    <row r="779" spans="1:10" ht="16">
      <c r="A779" s="79" t="s">
        <v>658</v>
      </c>
      <c r="B779" s="79" t="s">
        <v>659</v>
      </c>
      <c r="C779" s="80" t="s">
        <v>95</v>
      </c>
      <c r="D779" s="81" t="s">
        <v>111</v>
      </c>
      <c r="E779" s="82">
        <v>23305</v>
      </c>
      <c r="F779" s="82">
        <v>1050</v>
      </c>
      <c r="G779" s="82">
        <v>233</v>
      </c>
      <c r="H779" s="83">
        <v>11.268705505402746</v>
      </c>
      <c r="I779" s="83">
        <v>8167.1476701046531</v>
      </c>
      <c r="J779" s="83">
        <v>18.235817372758024</v>
      </c>
    </row>
    <row r="780" spans="1:10" ht="16">
      <c r="A780" s="79" t="s">
        <v>738</v>
      </c>
      <c r="B780" s="79" t="s">
        <v>661</v>
      </c>
      <c r="C780" s="80" t="s">
        <v>126</v>
      </c>
      <c r="D780" s="81" t="s">
        <v>79</v>
      </c>
      <c r="E780" s="82">
        <v>25913</v>
      </c>
      <c r="F780" s="82">
        <v>2445</v>
      </c>
      <c r="G780" s="82">
        <v>3110</v>
      </c>
      <c r="H780" s="83">
        <v>90.447028185618464</v>
      </c>
      <c r="I780" s="83">
        <v>54430.630824596141</v>
      </c>
      <c r="J780" s="83">
        <v>86.47043326181138</v>
      </c>
    </row>
    <row r="781" spans="1:10" ht="16">
      <c r="A781" s="79" t="s">
        <v>304</v>
      </c>
      <c r="B781" s="79" t="s">
        <v>242</v>
      </c>
      <c r="C781" s="80" t="s">
        <v>95</v>
      </c>
      <c r="D781" s="81" t="s">
        <v>101</v>
      </c>
      <c r="E781" s="82">
        <v>34780</v>
      </c>
      <c r="F781" s="82">
        <v>2484</v>
      </c>
      <c r="G781" s="82">
        <v>2087</v>
      </c>
      <c r="H781" s="83">
        <v>35.970794818464945</v>
      </c>
      <c r="I781" s="83">
        <v>13889.415781936166</v>
      </c>
      <c r="J781" s="83">
        <v>32.734588796409334</v>
      </c>
    </row>
    <row r="782" spans="1:10" ht="16">
      <c r="A782" s="79" t="s">
        <v>845</v>
      </c>
      <c r="B782" s="79" t="s">
        <v>839</v>
      </c>
      <c r="C782" s="80" t="s">
        <v>126</v>
      </c>
      <c r="D782" s="81" t="s">
        <v>76</v>
      </c>
      <c r="E782" s="82">
        <v>8033</v>
      </c>
      <c r="F782" s="82">
        <v>375</v>
      </c>
      <c r="G782" s="82">
        <v>1205</v>
      </c>
      <c r="H782" s="83">
        <v>48.91737344654311</v>
      </c>
      <c r="I782" s="83">
        <v>30305.487627474606</v>
      </c>
      <c r="J782" s="83">
        <v>37.104104711962506</v>
      </c>
    </row>
    <row r="783" spans="1:10" ht="16">
      <c r="A783" s="79" t="s">
        <v>1190</v>
      </c>
      <c r="B783" s="79" t="s">
        <v>1161</v>
      </c>
      <c r="C783" s="80" t="s">
        <v>126</v>
      </c>
      <c r="D783" s="81" t="s">
        <v>76</v>
      </c>
      <c r="E783" s="82">
        <v>5836</v>
      </c>
      <c r="F783" s="82">
        <v>347</v>
      </c>
      <c r="G783" s="82">
        <v>58</v>
      </c>
      <c r="H783" s="83">
        <v>11.932834227378246</v>
      </c>
      <c r="I783" s="83">
        <v>2599.8602997076964</v>
      </c>
      <c r="J783" s="83">
        <v>16.255731175980639</v>
      </c>
    </row>
    <row r="784" spans="1:10" ht="16">
      <c r="A784" s="79" t="s">
        <v>739</v>
      </c>
      <c r="B784" s="79" t="s">
        <v>661</v>
      </c>
      <c r="C784" s="80" t="s">
        <v>126</v>
      </c>
      <c r="D784" s="81" t="s">
        <v>111</v>
      </c>
      <c r="E784" s="82">
        <v>5204</v>
      </c>
      <c r="F784" s="82">
        <v>394</v>
      </c>
      <c r="G784" s="82">
        <v>52</v>
      </c>
      <c r="H784" s="83">
        <v>13.953180885523814</v>
      </c>
      <c r="I784" s="83">
        <v>3501.6574703800238</v>
      </c>
      <c r="J784" s="83">
        <v>22.324266615080212</v>
      </c>
    </row>
    <row r="785" spans="1:10" ht="16">
      <c r="A785" s="79" t="s">
        <v>740</v>
      </c>
      <c r="B785" s="79" t="s">
        <v>661</v>
      </c>
      <c r="C785" s="80" t="s">
        <v>126</v>
      </c>
      <c r="D785" s="81" t="s">
        <v>149</v>
      </c>
      <c r="E785" s="82">
        <v>17735</v>
      </c>
      <c r="F785" s="82">
        <v>2163</v>
      </c>
      <c r="G785" s="82">
        <v>2128</v>
      </c>
      <c r="H785" s="83">
        <v>54.569830463509831</v>
      </c>
      <c r="I785" s="83">
        <v>21678.577043506382</v>
      </c>
      <c r="J785" s="83">
        <v>53.619423505804498</v>
      </c>
    </row>
    <row r="786" spans="1:10" ht="16">
      <c r="A786" s="79" t="s">
        <v>741</v>
      </c>
      <c r="B786" s="79" t="s">
        <v>661</v>
      </c>
      <c r="C786" s="80" t="s">
        <v>126</v>
      </c>
      <c r="D786" s="81" t="s">
        <v>103</v>
      </c>
      <c r="E786" s="82">
        <v>29848</v>
      </c>
      <c r="F786" s="82">
        <v>2296</v>
      </c>
      <c r="G786" s="82">
        <v>597</v>
      </c>
      <c r="H786" s="83">
        <v>9.7805081595830448</v>
      </c>
      <c r="I786" s="83">
        <v>2024.2586039130401</v>
      </c>
      <c r="J786" s="83">
        <v>19.447628626104152</v>
      </c>
    </row>
    <row r="787" spans="1:10" ht="16">
      <c r="A787" s="79" t="s">
        <v>1191</v>
      </c>
      <c r="B787" s="79" t="s">
        <v>1161</v>
      </c>
      <c r="C787" s="80" t="s">
        <v>126</v>
      </c>
      <c r="D787" s="81" t="s">
        <v>75</v>
      </c>
      <c r="E787" s="82">
        <v>23679</v>
      </c>
      <c r="F787" s="82">
        <v>1133</v>
      </c>
      <c r="G787" s="82">
        <v>474</v>
      </c>
      <c r="H787" s="83">
        <v>7.7086302191000868</v>
      </c>
      <c r="I787" s="83">
        <v>1385.7743935672665</v>
      </c>
      <c r="J787" s="83">
        <v>13.244411488393453</v>
      </c>
    </row>
    <row r="788" spans="1:10" ht="16">
      <c r="A788" s="79" t="s">
        <v>742</v>
      </c>
      <c r="B788" s="79" t="s">
        <v>661</v>
      </c>
      <c r="C788" s="80" t="s">
        <v>126</v>
      </c>
      <c r="D788" s="81" t="s">
        <v>78</v>
      </c>
      <c r="E788" s="82">
        <v>7553</v>
      </c>
      <c r="F788" s="82">
        <v>868</v>
      </c>
      <c r="G788" s="82">
        <v>227</v>
      </c>
      <c r="H788" s="83">
        <v>19.912334835809983</v>
      </c>
      <c r="I788" s="83">
        <v>2866.1513368011915</v>
      </c>
      <c r="J788" s="83">
        <v>26.629298993572316</v>
      </c>
    </row>
    <row r="789" spans="1:10" ht="16">
      <c r="A789" s="79" t="s">
        <v>743</v>
      </c>
      <c r="B789" s="79" t="s">
        <v>661</v>
      </c>
      <c r="C789" s="80" t="s">
        <v>126</v>
      </c>
      <c r="D789" s="81" t="s">
        <v>79</v>
      </c>
      <c r="E789" s="82">
        <v>7481</v>
      </c>
      <c r="F789" s="82">
        <v>502</v>
      </c>
      <c r="G789" s="82">
        <v>75</v>
      </c>
      <c r="H789" s="83">
        <v>10.478443641641777</v>
      </c>
      <c r="I789" s="83">
        <v>702.01750093241048</v>
      </c>
      <c r="J789" s="83">
        <v>17.222236640480372</v>
      </c>
    </row>
    <row r="790" spans="1:10" ht="16">
      <c r="A790" s="79" t="s">
        <v>744</v>
      </c>
      <c r="B790" s="79" t="s">
        <v>661</v>
      </c>
      <c r="C790" s="80" t="s">
        <v>126</v>
      </c>
      <c r="D790" s="81" t="s">
        <v>76</v>
      </c>
      <c r="E790" s="82">
        <v>9285</v>
      </c>
      <c r="F790" s="82">
        <v>363</v>
      </c>
      <c r="G790" s="82">
        <v>186</v>
      </c>
      <c r="H790" s="83">
        <v>9.4233687122148133</v>
      </c>
      <c r="I790" s="83">
        <v>317.70890990922601</v>
      </c>
      <c r="J790" s="83">
        <v>15.650530332173233</v>
      </c>
    </row>
    <row r="791" spans="1:10" ht="16">
      <c r="A791" s="79" t="s">
        <v>745</v>
      </c>
      <c r="B791" s="79" t="s">
        <v>661</v>
      </c>
      <c r="C791" s="80" t="s">
        <v>126</v>
      </c>
      <c r="D791" s="81" t="s">
        <v>96</v>
      </c>
      <c r="E791" s="82">
        <v>9752</v>
      </c>
      <c r="F791" s="82">
        <v>1266</v>
      </c>
      <c r="G791" s="82">
        <v>1268</v>
      </c>
      <c r="H791" s="83">
        <v>52.128406430804738</v>
      </c>
      <c r="I791" s="83">
        <v>19407.143916484103</v>
      </c>
      <c r="J791" s="83">
        <v>51.777960078968825</v>
      </c>
    </row>
    <row r="792" spans="1:10" ht="16">
      <c r="A792" s="79" t="s">
        <v>746</v>
      </c>
      <c r="B792" s="79" t="s">
        <v>661</v>
      </c>
      <c r="C792" s="80" t="s">
        <v>126</v>
      </c>
      <c r="D792" s="81" t="s">
        <v>103</v>
      </c>
      <c r="E792" s="82">
        <v>2999</v>
      </c>
      <c r="F792" s="82">
        <v>909</v>
      </c>
      <c r="G792" s="82">
        <v>270</v>
      </c>
      <c r="H792" s="83">
        <v>24.414462634131972</v>
      </c>
      <c r="I792" s="83">
        <v>14071.72258873936</v>
      </c>
      <c r="J792" s="83">
        <v>45.818649761988674</v>
      </c>
    </row>
    <row r="793" spans="1:10" ht="16">
      <c r="A793" s="79" t="s">
        <v>747</v>
      </c>
      <c r="B793" s="79" t="s">
        <v>661</v>
      </c>
      <c r="C793" s="80" t="s">
        <v>95</v>
      </c>
      <c r="D793" s="81" t="s">
        <v>77</v>
      </c>
      <c r="E793" s="82">
        <v>1350</v>
      </c>
      <c r="F793" s="82">
        <v>844</v>
      </c>
      <c r="G793" s="82">
        <v>14</v>
      </c>
      <c r="H793" s="83">
        <v>11.410403876000853</v>
      </c>
      <c r="I793" s="83">
        <v>3762.6001812902891</v>
      </c>
      <c r="J793" s="83">
        <v>30.253402155605158</v>
      </c>
    </row>
    <row r="794" spans="1:10" ht="16">
      <c r="A794" s="79" t="s">
        <v>748</v>
      </c>
      <c r="B794" s="79" t="s">
        <v>661</v>
      </c>
      <c r="C794" s="80" t="s">
        <v>126</v>
      </c>
      <c r="D794" s="81" t="s">
        <v>99</v>
      </c>
      <c r="E794" s="82">
        <v>9160</v>
      </c>
      <c r="F794" s="82">
        <v>674</v>
      </c>
      <c r="G794" s="82">
        <v>458</v>
      </c>
      <c r="H794" s="83">
        <v>17.929185041237101</v>
      </c>
      <c r="I794" s="83">
        <v>9424.8205228630031</v>
      </c>
      <c r="J794" s="83">
        <v>25.872981306492864</v>
      </c>
    </row>
    <row r="795" spans="1:10" ht="16">
      <c r="A795" s="79" t="s">
        <v>749</v>
      </c>
      <c r="B795" s="79" t="s">
        <v>661</v>
      </c>
      <c r="C795" s="80" t="s">
        <v>126</v>
      </c>
      <c r="D795" s="81" t="s">
        <v>78</v>
      </c>
      <c r="E795" s="82">
        <v>12221</v>
      </c>
      <c r="F795" s="82">
        <v>361</v>
      </c>
      <c r="G795" s="82">
        <v>244</v>
      </c>
      <c r="H795" s="83">
        <v>10.728641702462129</v>
      </c>
      <c r="I795" s="83">
        <v>1034.0433981905023</v>
      </c>
      <c r="J795" s="83">
        <v>16.719155487833998</v>
      </c>
    </row>
    <row r="796" spans="1:10" ht="16">
      <c r="A796" s="79" t="s">
        <v>750</v>
      </c>
      <c r="B796" s="79" t="s">
        <v>661</v>
      </c>
      <c r="C796" s="80" t="s">
        <v>126</v>
      </c>
      <c r="D796" s="81" t="s">
        <v>76</v>
      </c>
      <c r="E796" s="82">
        <v>5766</v>
      </c>
      <c r="F796" s="82">
        <v>390</v>
      </c>
      <c r="G796" s="82">
        <v>346</v>
      </c>
      <c r="H796" s="83">
        <v>23.589760066486313</v>
      </c>
      <c r="I796" s="83">
        <v>4190.147756771541</v>
      </c>
      <c r="J796" s="83">
        <v>24.580178031265127</v>
      </c>
    </row>
    <row r="797" spans="1:10" ht="16">
      <c r="A797" s="79" t="s">
        <v>751</v>
      </c>
      <c r="B797" s="79" t="s">
        <v>661</v>
      </c>
      <c r="C797" s="80" t="s">
        <v>126</v>
      </c>
      <c r="D797" s="81" t="s">
        <v>103</v>
      </c>
      <c r="E797" s="82">
        <v>2654</v>
      </c>
      <c r="F797" s="82">
        <v>248</v>
      </c>
      <c r="G797" s="82">
        <v>186</v>
      </c>
      <c r="H797" s="83">
        <v>14.214602419087855</v>
      </c>
      <c r="I797" s="83">
        <v>1448.7852516616254</v>
      </c>
      <c r="J797" s="83">
        <v>25.174487528134037</v>
      </c>
    </row>
    <row r="798" spans="1:10" ht="16">
      <c r="A798" s="79" t="s">
        <v>752</v>
      </c>
      <c r="B798" s="79" t="s">
        <v>661</v>
      </c>
      <c r="C798" s="80" t="s">
        <v>126</v>
      </c>
      <c r="D798" s="81" t="s">
        <v>99</v>
      </c>
      <c r="E798" s="82">
        <v>18490</v>
      </c>
      <c r="F798" s="82">
        <v>758</v>
      </c>
      <c r="G798" s="82">
        <v>370</v>
      </c>
      <c r="H798" s="83">
        <v>24.52322601442819</v>
      </c>
      <c r="I798" s="83">
        <v>4652.0346482795485</v>
      </c>
      <c r="J798" s="83">
        <v>22.416802080766029</v>
      </c>
    </row>
    <row r="799" spans="1:10" ht="16">
      <c r="A799" s="79" t="s">
        <v>971</v>
      </c>
      <c r="B799" s="79" t="s">
        <v>938</v>
      </c>
      <c r="C799" s="80" t="s">
        <v>126</v>
      </c>
      <c r="D799" s="81" t="s">
        <v>75</v>
      </c>
      <c r="E799" s="82">
        <v>9121</v>
      </c>
      <c r="F799" s="82">
        <v>1048</v>
      </c>
      <c r="G799" s="82">
        <v>2554</v>
      </c>
      <c r="H799" s="83">
        <v>20.706986565475638</v>
      </c>
      <c r="I799" s="83">
        <v>7368.5198422065641</v>
      </c>
      <c r="J799" s="83">
        <v>26.356128702321641</v>
      </c>
    </row>
    <row r="800" spans="1:10" ht="16">
      <c r="A800" s="79" t="s">
        <v>972</v>
      </c>
      <c r="B800" s="79" t="s">
        <v>938</v>
      </c>
      <c r="C800" s="80" t="s">
        <v>126</v>
      </c>
      <c r="D800" s="81" t="s">
        <v>77</v>
      </c>
      <c r="E800" s="82">
        <v>7655</v>
      </c>
      <c r="F800" s="82">
        <v>643</v>
      </c>
      <c r="G800" s="82">
        <v>2220</v>
      </c>
      <c r="H800" s="83">
        <v>34.692596788941721</v>
      </c>
      <c r="I800" s="83">
        <v>7896.9218571863694</v>
      </c>
      <c r="J800" s="83">
        <v>41.096064318584943</v>
      </c>
    </row>
    <row r="801" spans="1:10" ht="16">
      <c r="A801" s="79" t="s">
        <v>305</v>
      </c>
      <c r="B801" s="79" t="s">
        <v>242</v>
      </c>
      <c r="C801" s="80" t="s">
        <v>126</v>
      </c>
      <c r="D801" s="81" t="s">
        <v>76</v>
      </c>
      <c r="E801" s="82">
        <v>35690</v>
      </c>
      <c r="F801" s="82">
        <v>2724</v>
      </c>
      <c r="G801" s="82">
        <v>4640</v>
      </c>
      <c r="H801" s="83">
        <v>44.036164928308978</v>
      </c>
      <c r="I801" s="83">
        <v>15092.445468069371</v>
      </c>
      <c r="J801" s="83">
        <v>35.826938389431248</v>
      </c>
    </row>
    <row r="802" spans="1:10" ht="16">
      <c r="A802" s="79" t="s">
        <v>753</v>
      </c>
      <c r="B802" s="79" t="s">
        <v>661</v>
      </c>
      <c r="C802" s="80" t="s">
        <v>126</v>
      </c>
      <c r="D802" s="81" t="s">
        <v>111</v>
      </c>
      <c r="E802" s="82">
        <v>6096</v>
      </c>
      <c r="F802" s="82">
        <v>813</v>
      </c>
      <c r="G802" s="82">
        <v>122</v>
      </c>
      <c r="H802" s="83">
        <v>11.050060138051624</v>
      </c>
      <c r="I802" s="83">
        <v>1345.1505510518525</v>
      </c>
      <c r="J802" s="83">
        <v>22.152808029176118</v>
      </c>
    </row>
    <row r="803" spans="1:10" ht="16">
      <c r="A803" s="79" t="s">
        <v>754</v>
      </c>
      <c r="B803" s="79" t="s">
        <v>661</v>
      </c>
      <c r="C803" s="80" t="s">
        <v>126</v>
      </c>
      <c r="D803" s="81" t="s">
        <v>101</v>
      </c>
      <c r="E803" s="82">
        <v>32404</v>
      </c>
      <c r="F803" s="82">
        <v>1062</v>
      </c>
      <c r="G803" s="82">
        <v>1620</v>
      </c>
      <c r="H803" s="83">
        <v>9.5677186295866807</v>
      </c>
      <c r="I803" s="83">
        <v>577.94514377151381</v>
      </c>
      <c r="J803" s="83">
        <v>15.764802096850289</v>
      </c>
    </row>
    <row r="804" spans="1:10" ht="16">
      <c r="A804" s="79" t="s">
        <v>755</v>
      </c>
      <c r="B804" s="79" t="s">
        <v>661</v>
      </c>
      <c r="C804" s="80" t="s">
        <v>126</v>
      </c>
      <c r="D804" s="81" t="s">
        <v>96</v>
      </c>
      <c r="E804" s="82">
        <v>2135</v>
      </c>
      <c r="F804" s="82">
        <v>243</v>
      </c>
      <c r="G804" s="82">
        <v>149</v>
      </c>
      <c r="H804" s="83">
        <v>17.695810915661752</v>
      </c>
      <c r="I804" s="83">
        <v>2722.6686150373298</v>
      </c>
      <c r="J804" s="83">
        <v>22.440492768975972</v>
      </c>
    </row>
    <row r="805" spans="1:10" ht="16">
      <c r="A805" s="79" t="s">
        <v>836</v>
      </c>
      <c r="B805" s="79" t="s">
        <v>837</v>
      </c>
      <c r="C805" s="80" t="s">
        <v>126</v>
      </c>
      <c r="D805" s="81" t="s">
        <v>101</v>
      </c>
      <c r="E805" s="82">
        <v>418053</v>
      </c>
      <c r="F805" s="82">
        <v>11613</v>
      </c>
      <c r="G805" s="82">
        <v>29090</v>
      </c>
      <c r="H805" s="83">
        <v>7.3856057193156506</v>
      </c>
      <c r="I805" s="83">
        <v>2126.5018878600795</v>
      </c>
      <c r="J805" s="83">
        <v>11.928993371833393</v>
      </c>
    </row>
    <row r="806" spans="1:10" ht="16">
      <c r="A806" s="79" t="s">
        <v>605</v>
      </c>
      <c r="B806" s="79" t="s">
        <v>600</v>
      </c>
      <c r="C806" s="80" t="s">
        <v>95</v>
      </c>
      <c r="D806" s="81" t="s">
        <v>101</v>
      </c>
      <c r="E806" s="82">
        <v>16853</v>
      </c>
      <c r="F806" s="82">
        <v>770</v>
      </c>
      <c r="G806" s="82">
        <v>5056</v>
      </c>
      <c r="H806" s="83">
        <v>43.906167324208283</v>
      </c>
      <c r="I806" s="83">
        <v>33114.616963228429</v>
      </c>
      <c r="J806" s="83">
        <v>42.300949822282718</v>
      </c>
    </row>
    <row r="807" spans="1:10" ht="16">
      <c r="A807" s="79" t="s">
        <v>998</v>
      </c>
      <c r="B807" s="79" t="s">
        <v>996</v>
      </c>
      <c r="C807" s="80" t="s">
        <v>95</v>
      </c>
      <c r="D807" s="81" t="s">
        <v>99</v>
      </c>
      <c r="E807" s="82">
        <v>45992</v>
      </c>
      <c r="F807" s="82">
        <v>1167</v>
      </c>
      <c r="G807" s="82">
        <v>920</v>
      </c>
      <c r="H807" s="83">
        <v>7.4282263328305724</v>
      </c>
      <c r="I807" s="83">
        <v>3014.2820468101509</v>
      </c>
      <c r="J807" s="83">
        <v>14.86098186105842</v>
      </c>
    </row>
    <row r="808" spans="1:10" ht="16">
      <c r="A808" s="79" t="s">
        <v>306</v>
      </c>
      <c r="B808" s="79" t="s">
        <v>242</v>
      </c>
      <c r="C808" s="80" t="s">
        <v>126</v>
      </c>
      <c r="D808" s="81" t="s">
        <v>111</v>
      </c>
      <c r="E808" s="82">
        <v>38783</v>
      </c>
      <c r="F808" s="82">
        <v>3232</v>
      </c>
      <c r="G808" s="82">
        <v>4266</v>
      </c>
      <c r="H808" s="83">
        <v>94.134991837469897</v>
      </c>
      <c r="I808" s="83">
        <v>70131.380847653723</v>
      </c>
      <c r="J808" s="83">
        <v>86.841070797192941</v>
      </c>
    </row>
    <row r="809" spans="1:10" ht="16">
      <c r="A809" s="79" t="s">
        <v>440</v>
      </c>
      <c r="B809" s="79" t="s">
        <v>421</v>
      </c>
      <c r="C809" s="80" t="s">
        <v>126</v>
      </c>
      <c r="D809" s="81" t="s">
        <v>101</v>
      </c>
      <c r="E809" s="82">
        <v>20020</v>
      </c>
      <c r="F809" s="82">
        <v>1925</v>
      </c>
      <c r="G809" s="82">
        <v>2803</v>
      </c>
      <c r="H809" s="83">
        <v>16.572036210603457</v>
      </c>
      <c r="I809" s="83">
        <v>7851.0797186634027</v>
      </c>
      <c r="J809" s="83">
        <v>26.038167819027976</v>
      </c>
    </row>
    <row r="810" spans="1:10" ht="16">
      <c r="A810" s="79" t="s">
        <v>441</v>
      </c>
      <c r="B810" s="79" t="s">
        <v>421</v>
      </c>
      <c r="C810" s="80" t="s">
        <v>126</v>
      </c>
      <c r="D810" s="81" t="s">
        <v>78</v>
      </c>
      <c r="E810" s="82">
        <v>34267</v>
      </c>
      <c r="F810" s="82">
        <v>315</v>
      </c>
      <c r="G810" s="82">
        <v>3427</v>
      </c>
      <c r="H810" s="83">
        <v>41.776586281156725</v>
      </c>
      <c r="I810" s="83">
        <v>22439.279232770492</v>
      </c>
      <c r="J810" s="83">
        <v>37.946567527904584</v>
      </c>
    </row>
    <row r="811" spans="1:10" ht="16">
      <c r="A811" s="79" t="s">
        <v>442</v>
      </c>
      <c r="B811" s="79" t="s">
        <v>421</v>
      </c>
      <c r="C811" s="80" t="s">
        <v>126</v>
      </c>
      <c r="D811" s="81" t="s">
        <v>75</v>
      </c>
      <c r="E811" s="82">
        <v>32309</v>
      </c>
      <c r="F811" s="82">
        <v>945</v>
      </c>
      <c r="G811" s="82">
        <v>4523</v>
      </c>
      <c r="H811" s="83">
        <v>48.785387825333423</v>
      </c>
      <c r="I811" s="83">
        <v>35434.947261264228</v>
      </c>
      <c r="J811" s="83">
        <v>46.690811500964848</v>
      </c>
    </row>
    <row r="812" spans="1:10" ht="16">
      <c r="A812" s="79" t="s">
        <v>1394</v>
      </c>
      <c r="B812" s="79" t="s">
        <v>1307</v>
      </c>
      <c r="C812" s="80" t="s">
        <v>95</v>
      </c>
      <c r="D812" s="81" t="s">
        <v>111</v>
      </c>
      <c r="E812" s="82">
        <v>11017</v>
      </c>
      <c r="F812" s="82">
        <v>1124</v>
      </c>
      <c r="G812" s="82">
        <v>1763</v>
      </c>
      <c r="H812" s="83">
        <v>35.190121833811894</v>
      </c>
      <c r="I812" s="83">
        <v>32297.728338357058</v>
      </c>
      <c r="J812" s="83">
        <v>50.074675308550759</v>
      </c>
    </row>
    <row r="813" spans="1:10" ht="16">
      <c r="A813" s="79" t="s">
        <v>1395</v>
      </c>
      <c r="B813" s="79" t="s">
        <v>1307</v>
      </c>
      <c r="C813" s="80" t="s">
        <v>95</v>
      </c>
      <c r="D813" s="81" t="s">
        <v>77</v>
      </c>
      <c r="E813" s="82">
        <v>11185</v>
      </c>
      <c r="F813" s="82">
        <v>1141</v>
      </c>
      <c r="G813" s="82">
        <v>1230</v>
      </c>
      <c r="H813" s="83">
        <v>24.919716796294541</v>
      </c>
      <c r="I813" s="83">
        <v>17528.871318271242</v>
      </c>
      <c r="J813" s="83">
        <v>43.167535934192202</v>
      </c>
    </row>
    <row r="814" spans="1:10" ht="16">
      <c r="A814" s="79" t="s">
        <v>1133</v>
      </c>
      <c r="B814" s="79" t="s">
        <v>1100</v>
      </c>
      <c r="C814" s="80" t="s">
        <v>95</v>
      </c>
      <c r="D814" s="81" t="s">
        <v>76</v>
      </c>
      <c r="E814" s="82">
        <v>15704</v>
      </c>
      <c r="F814" s="82">
        <v>586</v>
      </c>
      <c r="G814" s="82">
        <v>1570</v>
      </c>
      <c r="H814" s="83">
        <v>13.236294388714329</v>
      </c>
      <c r="I814" s="83">
        <v>1345.2042375897761</v>
      </c>
      <c r="J814" s="83">
        <v>15.697302421123458</v>
      </c>
    </row>
    <row r="815" spans="1:10" ht="16">
      <c r="A815" s="79" t="s">
        <v>1134</v>
      </c>
      <c r="B815" s="79" t="s">
        <v>1100</v>
      </c>
      <c r="C815" s="80" t="s">
        <v>95</v>
      </c>
      <c r="D815" s="81" t="s">
        <v>101</v>
      </c>
      <c r="E815" s="82">
        <v>3492</v>
      </c>
      <c r="F815" s="82">
        <v>346</v>
      </c>
      <c r="G815" s="82">
        <v>175</v>
      </c>
      <c r="H815" s="83">
        <v>14.191423093994782</v>
      </c>
      <c r="I815" s="83">
        <v>2135.6506410291204</v>
      </c>
      <c r="J815" s="83">
        <v>20.505900251916998</v>
      </c>
    </row>
    <row r="816" spans="1:10" ht="16">
      <c r="A816" s="79" t="s">
        <v>1255</v>
      </c>
      <c r="B816" s="79" t="s">
        <v>1209</v>
      </c>
      <c r="C816" s="80" t="s">
        <v>95</v>
      </c>
      <c r="D816" s="81" t="s">
        <v>96</v>
      </c>
      <c r="E816" s="82">
        <v>32665</v>
      </c>
      <c r="F816" s="82">
        <v>3082</v>
      </c>
      <c r="G816" s="82">
        <v>16986</v>
      </c>
      <c r="H816" s="83">
        <v>88.838679182783949</v>
      </c>
      <c r="I816" s="83">
        <v>85285.222505598358</v>
      </c>
      <c r="J816" s="83">
        <v>77.92355446975759</v>
      </c>
    </row>
    <row r="817" spans="1:10" ht="16">
      <c r="A817" s="79" t="s">
        <v>973</v>
      </c>
      <c r="B817" s="79" t="s">
        <v>938</v>
      </c>
      <c r="C817" s="80" t="s">
        <v>126</v>
      </c>
      <c r="D817" s="81" t="s">
        <v>101</v>
      </c>
      <c r="E817" s="82">
        <v>14111</v>
      </c>
      <c r="F817" s="82">
        <v>2520</v>
      </c>
      <c r="G817" s="82">
        <v>141</v>
      </c>
      <c r="H817" s="83">
        <v>8.1772688458324634</v>
      </c>
      <c r="I817" s="83">
        <v>803.24597495585124</v>
      </c>
      <c r="J817" s="83">
        <v>20.945032298761056</v>
      </c>
    </row>
    <row r="818" spans="1:10" ht="16">
      <c r="A818" s="79" t="s">
        <v>871</v>
      </c>
      <c r="B818" s="79" t="s">
        <v>869</v>
      </c>
      <c r="C818" s="80" t="s">
        <v>95</v>
      </c>
      <c r="D818" s="81" t="s">
        <v>103</v>
      </c>
      <c r="E818" s="82">
        <v>16475</v>
      </c>
      <c r="F818" s="82">
        <v>1267</v>
      </c>
      <c r="G818" s="82">
        <v>1648</v>
      </c>
      <c r="H818" s="83">
        <v>18.065045747490917</v>
      </c>
      <c r="I818" s="83">
        <v>14423.835358970673</v>
      </c>
      <c r="J818" s="83">
        <v>21.502318456806293</v>
      </c>
    </row>
    <row r="819" spans="1:10" ht="16">
      <c r="A819" s="79" t="s">
        <v>443</v>
      </c>
      <c r="B819" s="79" t="s">
        <v>421</v>
      </c>
      <c r="C819" s="80" t="s">
        <v>126</v>
      </c>
      <c r="D819" s="81" t="s">
        <v>111</v>
      </c>
      <c r="E819" s="82">
        <v>10629</v>
      </c>
      <c r="F819" s="82">
        <v>384</v>
      </c>
      <c r="G819" s="82">
        <v>1382</v>
      </c>
      <c r="H819" s="83">
        <v>37.092318962249166</v>
      </c>
      <c r="I819" s="83">
        <v>34769.335379180695</v>
      </c>
      <c r="J819" s="83">
        <v>41.251995755025767</v>
      </c>
    </row>
    <row r="820" spans="1:10" ht="16">
      <c r="A820" s="79" t="s">
        <v>1033</v>
      </c>
      <c r="B820" s="79" t="s">
        <v>1007</v>
      </c>
      <c r="C820" s="80" t="s">
        <v>126</v>
      </c>
      <c r="D820" s="81" t="s">
        <v>101</v>
      </c>
      <c r="E820" s="82">
        <v>4127</v>
      </c>
      <c r="F820" s="82">
        <v>297</v>
      </c>
      <c r="G820" s="82">
        <v>330</v>
      </c>
      <c r="H820" s="83">
        <v>38.809342874835394</v>
      </c>
      <c r="I820" s="83">
        <v>35254.963191741714</v>
      </c>
      <c r="J820" s="83">
        <v>28.526886553111197</v>
      </c>
    </row>
    <row r="821" spans="1:10" ht="16">
      <c r="A821" s="79" t="s">
        <v>1256</v>
      </c>
      <c r="B821" s="79" t="s">
        <v>1209</v>
      </c>
      <c r="C821" s="80" t="s">
        <v>95</v>
      </c>
      <c r="D821" s="81" t="s">
        <v>103</v>
      </c>
      <c r="E821" s="82">
        <v>17817</v>
      </c>
      <c r="F821" s="82">
        <v>1042</v>
      </c>
      <c r="G821" s="82">
        <v>1425</v>
      </c>
      <c r="H821" s="83">
        <v>18.482471306433013</v>
      </c>
      <c r="I821" s="83">
        <v>7402.5797008394411</v>
      </c>
      <c r="J821" s="83">
        <v>21.590074632992071</v>
      </c>
    </row>
    <row r="822" spans="1:10" ht="16">
      <c r="A822" s="79" t="s">
        <v>1206</v>
      </c>
      <c r="B822" s="79" t="s">
        <v>1204</v>
      </c>
      <c r="C822" s="80" t="s">
        <v>95</v>
      </c>
      <c r="D822" s="81" t="s">
        <v>149</v>
      </c>
      <c r="E822" s="82">
        <v>7523</v>
      </c>
      <c r="F822" s="82">
        <v>818</v>
      </c>
      <c r="G822" s="82">
        <v>1580</v>
      </c>
      <c r="H822" s="83">
        <v>19.430562406370175</v>
      </c>
      <c r="I822" s="83">
        <v>16246.756410739745</v>
      </c>
      <c r="J822" s="83">
        <v>24.560803283716524</v>
      </c>
    </row>
    <row r="823" spans="1:10" ht="16">
      <c r="A823" s="79" t="s">
        <v>893</v>
      </c>
      <c r="B823" s="79" t="s">
        <v>892</v>
      </c>
      <c r="C823" s="80" t="s">
        <v>95</v>
      </c>
      <c r="D823" s="81" t="s">
        <v>111</v>
      </c>
      <c r="E823" s="82">
        <v>6236</v>
      </c>
      <c r="F823" s="82">
        <v>588</v>
      </c>
      <c r="G823" s="82">
        <v>99</v>
      </c>
      <c r="H823" s="83">
        <v>12.042845581305839</v>
      </c>
      <c r="I823" s="83">
        <v>9428.193480884147</v>
      </c>
      <c r="J823" s="83">
        <v>17.824829874876013</v>
      </c>
    </row>
    <row r="824" spans="1:10" ht="16">
      <c r="A824" s="79" t="s">
        <v>552</v>
      </c>
      <c r="B824" s="79" t="s">
        <v>549</v>
      </c>
      <c r="C824" s="80" t="s">
        <v>95</v>
      </c>
      <c r="D824" s="81" t="s">
        <v>111</v>
      </c>
      <c r="E824" s="82">
        <v>38310</v>
      </c>
      <c r="F824" s="82">
        <v>4455</v>
      </c>
      <c r="G824" s="82">
        <v>766</v>
      </c>
      <c r="H824" s="83">
        <v>11.392941635078886</v>
      </c>
      <c r="I824" s="83">
        <v>1733.9080583029211</v>
      </c>
      <c r="J824" s="83">
        <v>23.947036088890417</v>
      </c>
    </row>
    <row r="825" spans="1:10" ht="16">
      <c r="A825" s="79" t="s">
        <v>198</v>
      </c>
      <c r="B825" s="79" t="s">
        <v>199</v>
      </c>
      <c r="C825" s="80" t="s">
        <v>95</v>
      </c>
      <c r="D825" s="81" t="s">
        <v>149</v>
      </c>
      <c r="E825" s="82">
        <v>3830</v>
      </c>
      <c r="F825" s="82">
        <v>351</v>
      </c>
      <c r="G825" s="82">
        <v>575</v>
      </c>
      <c r="H825" s="83">
        <v>19.475283812967906</v>
      </c>
      <c r="I825" s="83">
        <v>14385.372627590423</v>
      </c>
      <c r="J825" s="83">
        <v>23.44740115814627</v>
      </c>
    </row>
    <row r="826" spans="1:10" ht="16">
      <c r="A826" s="79" t="s">
        <v>802</v>
      </c>
      <c r="B826" s="79" t="s">
        <v>801</v>
      </c>
      <c r="C826" s="80" t="s">
        <v>95</v>
      </c>
      <c r="D826" s="81" t="s">
        <v>79</v>
      </c>
      <c r="E826" s="82">
        <v>17180</v>
      </c>
      <c r="F826" s="82">
        <v>1701</v>
      </c>
      <c r="G826" s="82">
        <v>2577</v>
      </c>
      <c r="H826" s="83">
        <v>19.658024390658944</v>
      </c>
      <c r="I826" s="83">
        <v>6360.8656153712836</v>
      </c>
      <c r="J826" s="83">
        <v>34.477830286501749</v>
      </c>
    </row>
    <row r="827" spans="1:10" ht="16">
      <c r="A827" s="79" t="s">
        <v>803</v>
      </c>
      <c r="B827" s="79" t="s">
        <v>801</v>
      </c>
      <c r="C827" s="80" t="s">
        <v>126</v>
      </c>
      <c r="D827" s="81" t="s">
        <v>111</v>
      </c>
      <c r="E827" s="82">
        <v>12154</v>
      </c>
      <c r="F827" s="82">
        <v>711</v>
      </c>
      <c r="G827" s="82">
        <v>608</v>
      </c>
      <c r="H827" s="83">
        <v>12.03666909024207</v>
      </c>
      <c r="I827" s="83">
        <v>7550.5942793118184</v>
      </c>
      <c r="J827" s="83">
        <v>17.379813850196637</v>
      </c>
    </row>
    <row r="828" spans="1:10" ht="16">
      <c r="A828" s="79" t="s">
        <v>804</v>
      </c>
      <c r="B828" s="79" t="s">
        <v>801</v>
      </c>
      <c r="C828" s="80" t="s">
        <v>95</v>
      </c>
      <c r="D828" s="81" t="s">
        <v>103</v>
      </c>
      <c r="E828" s="82">
        <v>15973</v>
      </c>
      <c r="F828" s="82">
        <v>850</v>
      </c>
      <c r="G828" s="82">
        <v>958</v>
      </c>
      <c r="H828" s="83">
        <v>9.4188135058876856</v>
      </c>
      <c r="I828" s="83">
        <v>871.07998118681621</v>
      </c>
      <c r="J828" s="83">
        <v>18.079834979486137</v>
      </c>
    </row>
    <row r="829" spans="1:10" ht="16">
      <c r="A829" s="79" t="s">
        <v>805</v>
      </c>
      <c r="B829" s="79" t="s">
        <v>801</v>
      </c>
      <c r="C829" s="80" t="s">
        <v>95</v>
      </c>
      <c r="D829" s="81" t="s">
        <v>99</v>
      </c>
      <c r="E829" s="82">
        <v>20018</v>
      </c>
      <c r="F829" s="82">
        <v>1654</v>
      </c>
      <c r="G829" s="82">
        <v>4604</v>
      </c>
      <c r="H829" s="83">
        <v>31.956392699455549</v>
      </c>
      <c r="I829" s="83">
        <v>6006.6960302659863</v>
      </c>
      <c r="J829" s="83">
        <v>32.328367760766902</v>
      </c>
    </row>
    <row r="830" spans="1:10" ht="16">
      <c r="A830" s="79" t="s">
        <v>806</v>
      </c>
      <c r="B830" s="79" t="s">
        <v>801</v>
      </c>
      <c r="C830" s="80" t="s">
        <v>95</v>
      </c>
      <c r="D830" s="81" t="s">
        <v>101</v>
      </c>
      <c r="E830" s="82">
        <v>20908</v>
      </c>
      <c r="F830" s="82">
        <v>1954</v>
      </c>
      <c r="G830" s="82">
        <v>3136</v>
      </c>
      <c r="H830" s="83">
        <v>22.955101185577306</v>
      </c>
      <c r="I830" s="83">
        <v>6063.3053728286832</v>
      </c>
      <c r="J830" s="83">
        <v>35.832846120993239</v>
      </c>
    </row>
    <row r="831" spans="1:10" ht="16">
      <c r="A831" s="79" t="s">
        <v>807</v>
      </c>
      <c r="B831" s="79" t="s">
        <v>801</v>
      </c>
      <c r="C831" s="80" t="s">
        <v>95</v>
      </c>
      <c r="D831" s="81" t="s">
        <v>78</v>
      </c>
      <c r="E831" s="82">
        <v>19087</v>
      </c>
      <c r="F831" s="82">
        <v>1704</v>
      </c>
      <c r="G831" s="82">
        <v>2672</v>
      </c>
      <c r="H831" s="83">
        <v>25.890201315968028</v>
      </c>
      <c r="I831" s="83">
        <v>7382.7096010267769</v>
      </c>
      <c r="J831" s="83">
        <v>37.159482623405694</v>
      </c>
    </row>
    <row r="832" spans="1:10" ht="16">
      <c r="A832" s="79" t="s">
        <v>808</v>
      </c>
      <c r="B832" s="79" t="s">
        <v>801</v>
      </c>
      <c r="C832" s="80" t="s">
        <v>95</v>
      </c>
      <c r="D832" s="81" t="s">
        <v>77</v>
      </c>
      <c r="E832" s="82">
        <v>54483</v>
      </c>
      <c r="F832" s="82">
        <v>3186</v>
      </c>
      <c r="G832" s="82">
        <v>3791</v>
      </c>
      <c r="H832" s="83">
        <v>13.417271079006113</v>
      </c>
      <c r="I832" s="83">
        <v>1398.897786354346</v>
      </c>
      <c r="J832" s="83">
        <v>18.533011436251389</v>
      </c>
    </row>
    <row r="833" spans="1:10" ht="16">
      <c r="A833" s="79" t="s">
        <v>809</v>
      </c>
      <c r="B833" s="79" t="s">
        <v>801</v>
      </c>
      <c r="C833" s="80" t="s">
        <v>126</v>
      </c>
      <c r="D833" s="81" t="s">
        <v>149</v>
      </c>
      <c r="E833" s="82">
        <v>6212</v>
      </c>
      <c r="F833" s="82">
        <v>391</v>
      </c>
      <c r="G833" s="82">
        <v>1056</v>
      </c>
      <c r="H833" s="83">
        <v>30.603163831940506</v>
      </c>
      <c r="I833" s="83">
        <v>8089.9635176441661</v>
      </c>
      <c r="J833" s="83">
        <v>27.483919846138964</v>
      </c>
    </row>
    <row r="834" spans="1:10" ht="16">
      <c r="A834" s="79" t="s">
        <v>810</v>
      </c>
      <c r="B834" s="79" t="s">
        <v>801</v>
      </c>
      <c r="C834" s="80" t="s">
        <v>126</v>
      </c>
      <c r="D834" s="81" t="s">
        <v>79</v>
      </c>
      <c r="E834" s="82">
        <v>6780</v>
      </c>
      <c r="F834" s="82">
        <v>421</v>
      </c>
      <c r="G834" s="82">
        <v>407</v>
      </c>
      <c r="H834" s="83">
        <v>14.115933099072295</v>
      </c>
      <c r="I834" s="83">
        <v>4686.9028135105054</v>
      </c>
      <c r="J834" s="83">
        <v>18.207987200110036</v>
      </c>
    </row>
    <row r="835" spans="1:10" ht="16">
      <c r="A835" s="79" t="s">
        <v>811</v>
      </c>
      <c r="B835" s="79" t="s">
        <v>801</v>
      </c>
      <c r="C835" s="80" t="s">
        <v>95</v>
      </c>
      <c r="D835" s="81" t="s">
        <v>99</v>
      </c>
      <c r="E835" s="82">
        <v>18763</v>
      </c>
      <c r="F835" s="82">
        <v>1165</v>
      </c>
      <c r="G835" s="82">
        <v>375</v>
      </c>
      <c r="H835" s="83">
        <v>13.052794353266197</v>
      </c>
      <c r="I835" s="83">
        <v>9987.0813167524029</v>
      </c>
      <c r="J835" s="83">
        <v>15.413981171275539</v>
      </c>
    </row>
    <row r="836" spans="1:10" ht="16">
      <c r="A836" s="79" t="s">
        <v>812</v>
      </c>
      <c r="B836" s="79" t="s">
        <v>801</v>
      </c>
      <c r="C836" s="80" t="s">
        <v>95</v>
      </c>
      <c r="D836" s="81" t="s">
        <v>75</v>
      </c>
      <c r="E836" s="82">
        <v>12871</v>
      </c>
      <c r="F836" s="82">
        <v>1100</v>
      </c>
      <c r="G836" s="82">
        <v>3218</v>
      </c>
      <c r="H836" s="83">
        <v>21.092117767949489</v>
      </c>
      <c r="I836" s="83">
        <v>1940.3114422649519</v>
      </c>
      <c r="J836" s="83">
        <v>31.275840688175279</v>
      </c>
    </row>
    <row r="837" spans="1:10" ht="16">
      <c r="A837" s="79" t="s">
        <v>1396</v>
      </c>
      <c r="B837" s="79" t="s">
        <v>1307</v>
      </c>
      <c r="C837" s="80" t="s">
        <v>126</v>
      </c>
      <c r="D837" s="81" t="s">
        <v>103</v>
      </c>
      <c r="E837" s="82">
        <v>25849</v>
      </c>
      <c r="F837" s="82">
        <v>1486</v>
      </c>
      <c r="G837" s="82">
        <v>4394</v>
      </c>
      <c r="H837" s="83">
        <v>33.316296410366768</v>
      </c>
      <c r="I837" s="83">
        <v>24149.162663581152</v>
      </c>
      <c r="J837" s="83">
        <v>37.547446897567823</v>
      </c>
    </row>
    <row r="838" spans="1:10" ht="16">
      <c r="A838" s="79" t="s">
        <v>606</v>
      </c>
      <c r="B838" s="79" t="s">
        <v>600</v>
      </c>
      <c r="C838" s="80" t="s">
        <v>95</v>
      </c>
      <c r="D838" s="81" t="s">
        <v>76</v>
      </c>
      <c r="E838" s="82">
        <v>16861</v>
      </c>
      <c r="F838" s="82">
        <v>937</v>
      </c>
      <c r="G838" s="82">
        <v>3035</v>
      </c>
      <c r="H838" s="83">
        <v>23.187125012296676</v>
      </c>
      <c r="I838" s="83">
        <v>17913.931483464894</v>
      </c>
      <c r="J838" s="83">
        <v>25.667062821829813</v>
      </c>
    </row>
    <row r="839" spans="1:10" ht="16">
      <c r="A839" s="79" t="s">
        <v>607</v>
      </c>
      <c r="B839" s="79" t="s">
        <v>600</v>
      </c>
      <c r="C839" s="80" t="s">
        <v>95</v>
      </c>
      <c r="D839" s="81" t="s">
        <v>79</v>
      </c>
      <c r="E839" s="82">
        <v>22541</v>
      </c>
      <c r="F839" s="82">
        <v>976</v>
      </c>
      <c r="G839" s="82">
        <v>6537</v>
      </c>
      <c r="H839" s="83">
        <v>36.808775717643378</v>
      </c>
      <c r="I839" s="83">
        <v>26912.139050174843</v>
      </c>
      <c r="J839" s="83">
        <v>31.116005046088691</v>
      </c>
    </row>
    <row r="840" spans="1:10" ht="16">
      <c r="A840" s="79" t="s">
        <v>1257</v>
      </c>
      <c r="B840" s="79" t="s">
        <v>1209</v>
      </c>
      <c r="C840" s="80" t="s">
        <v>95</v>
      </c>
      <c r="D840" s="81" t="s">
        <v>103</v>
      </c>
      <c r="E840" s="82">
        <v>12399</v>
      </c>
      <c r="F840" s="82">
        <v>790</v>
      </c>
      <c r="G840" s="82">
        <v>4836</v>
      </c>
      <c r="H840" s="83">
        <v>33.888297130041295</v>
      </c>
      <c r="I840" s="83">
        <v>31767.358636663645</v>
      </c>
      <c r="J840" s="83">
        <v>31.150313508750589</v>
      </c>
    </row>
    <row r="841" spans="1:10" ht="16">
      <c r="A841" s="79" t="s">
        <v>129</v>
      </c>
      <c r="B841" s="79" t="s">
        <v>108</v>
      </c>
      <c r="C841" s="80" t="s">
        <v>126</v>
      </c>
      <c r="D841" s="81" t="s">
        <v>79</v>
      </c>
      <c r="E841" s="82">
        <v>21093</v>
      </c>
      <c r="F841" s="82">
        <v>705</v>
      </c>
      <c r="G841" s="82">
        <v>6117</v>
      </c>
      <c r="H841" s="83">
        <v>41.745406699008818</v>
      </c>
      <c r="I841" s="83">
        <v>39730.939956506816</v>
      </c>
      <c r="J841" s="83">
        <v>34.315167299232563</v>
      </c>
    </row>
    <row r="842" spans="1:10" ht="16">
      <c r="A842" s="79" t="s">
        <v>885</v>
      </c>
      <c r="B842" s="79" t="s">
        <v>877</v>
      </c>
      <c r="C842" s="80" t="s">
        <v>126</v>
      </c>
      <c r="D842" s="81" t="s">
        <v>76</v>
      </c>
      <c r="E842" s="82">
        <v>24440</v>
      </c>
      <c r="F842" s="82">
        <v>690</v>
      </c>
      <c r="G842" s="82">
        <v>1701</v>
      </c>
      <c r="H842" s="83">
        <v>17.144596631040105</v>
      </c>
      <c r="I842" s="83">
        <v>4724.5954048555504</v>
      </c>
      <c r="J842" s="83">
        <v>18.484250790418692</v>
      </c>
    </row>
    <row r="843" spans="1:10" ht="16">
      <c r="A843" s="79" t="s">
        <v>1397</v>
      </c>
      <c r="B843" s="79" t="s">
        <v>1307</v>
      </c>
      <c r="C843" s="80" t="s">
        <v>95</v>
      </c>
      <c r="D843" s="81" t="s">
        <v>79</v>
      </c>
      <c r="E843" s="82">
        <v>35120</v>
      </c>
      <c r="F843" s="82">
        <v>1561</v>
      </c>
      <c r="G843" s="82">
        <v>1405</v>
      </c>
      <c r="H843" s="83">
        <v>23.392407809696266</v>
      </c>
      <c r="I843" s="83">
        <v>17388.326107497891</v>
      </c>
      <c r="J843" s="83">
        <v>27.031023026443648</v>
      </c>
    </row>
    <row r="844" spans="1:10" ht="16">
      <c r="A844" s="79" t="s">
        <v>1398</v>
      </c>
      <c r="B844" s="79" t="s">
        <v>1307</v>
      </c>
      <c r="C844" s="80" t="s">
        <v>95</v>
      </c>
      <c r="D844" s="81" t="s">
        <v>79</v>
      </c>
      <c r="E844" s="82">
        <v>16927</v>
      </c>
      <c r="F844" s="82">
        <v>1014</v>
      </c>
      <c r="G844" s="82">
        <v>1016</v>
      </c>
      <c r="H844" s="83">
        <v>33.886281317258117</v>
      </c>
      <c r="I844" s="83">
        <v>32783.704096583482</v>
      </c>
      <c r="J844" s="83">
        <v>39.688866034179249</v>
      </c>
    </row>
    <row r="845" spans="1:10" ht="16">
      <c r="A845" s="79" t="s">
        <v>1399</v>
      </c>
      <c r="B845" s="79" t="s">
        <v>1307</v>
      </c>
      <c r="C845" s="80" t="s">
        <v>126</v>
      </c>
      <c r="D845" s="81" t="s">
        <v>101</v>
      </c>
      <c r="E845" s="82">
        <v>6729</v>
      </c>
      <c r="F845" s="82">
        <v>413</v>
      </c>
      <c r="G845" s="82">
        <v>538</v>
      </c>
      <c r="H845" s="83">
        <v>22.993858049414456</v>
      </c>
      <c r="I845" s="83">
        <v>13043.400995253018</v>
      </c>
      <c r="J845" s="83">
        <v>22.816504088365399</v>
      </c>
    </row>
    <row r="846" spans="1:10" ht="16">
      <c r="A846" s="79" t="s">
        <v>1400</v>
      </c>
      <c r="B846" s="79" t="s">
        <v>1307</v>
      </c>
      <c r="C846" s="80" t="s">
        <v>95</v>
      </c>
      <c r="D846" s="81" t="s">
        <v>149</v>
      </c>
      <c r="E846" s="82">
        <v>3593</v>
      </c>
      <c r="F846" s="82">
        <v>413</v>
      </c>
      <c r="G846" s="82">
        <v>180</v>
      </c>
      <c r="H846" s="83">
        <v>25.4520737376059</v>
      </c>
      <c r="I846" s="83">
        <v>18189.236632379721</v>
      </c>
      <c r="J846" s="83">
        <v>27.65348363169527</v>
      </c>
    </row>
    <row r="847" spans="1:10" ht="16">
      <c r="A847" s="79" t="s">
        <v>213</v>
      </c>
      <c r="B847" s="79" t="s">
        <v>203</v>
      </c>
      <c r="C847" s="80" t="s">
        <v>95</v>
      </c>
      <c r="D847" s="81" t="s">
        <v>77</v>
      </c>
      <c r="E847" s="82">
        <v>31919</v>
      </c>
      <c r="F847" s="82">
        <v>1520</v>
      </c>
      <c r="G847" s="82">
        <v>8299</v>
      </c>
      <c r="H847" s="83">
        <v>49.673046997507605</v>
      </c>
      <c r="I847" s="83">
        <v>34311.938279261078</v>
      </c>
      <c r="J847" s="83">
        <v>48.7652334569635</v>
      </c>
    </row>
    <row r="848" spans="1:10" ht="16">
      <c r="A848" s="79" t="s">
        <v>916</v>
      </c>
      <c r="B848" s="79" t="s">
        <v>912</v>
      </c>
      <c r="C848" s="80" t="s">
        <v>95</v>
      </c>
      <c r="D848" s="81" t="s">
        <v>75</v>
      </c>
      <c r="E848" s="82">
        <v>7780</v>
      </c>
      <c r="F848" s="82">
        <v>603</v>
      </c>
      <c r="G848" s="82">
        <v>1245</v>
      </c>
      <c r="H848" s="83">
        <v>13.993319128923957</v>
      </c>
      <c r="I848" s="83">
        <v>5456.9832974358487</v>
      </c>
      <c r="J848" s="83">
        <v>17.836866403811108</v>
      </c>
    </row>
    <row r="849" spans="1:10" ht="16">
      <c r="A849" s="79" t="s">
        <v>1051</v>
      </c>
      <c r="B849" s="79" t="s">
        <v>1039</v>
      </c>
      <c r="C849" s="80" t="s">
        <v>95</v>
      </c>
      <c r="D849" s="81" t="s">
        <v>149</v>
      </c>
      <c r="E849" s="82">
        <v>27207</v>
      </c>
      <c r="F849" s="82">
        <v>1479</v>
      </c>
      <c r="G849" s="82">
        <v>2449</v>
      </c>
      <c r="H849" s="83">
        <v>15.457484238617289</v>
      </c>
      <c r="I849" s="83">
        <v>4267.1143450887221</v>
      </c>
      <c r="J849" s="83">
        <v>20.966262173378507</v>
      </c>
    </row>
    <row r="850" spans="1:10" ht="16">
      <c r="A850" s="79" t="s">
        <v>846</v>
      </c>
      <c r="B850" s="79" t="s">
        <v>839</v>
      </c>
      <c r="C850" s="80" t="s">
        <v>95</v>
      </c>
      <c r="D850" s="81" t="s">
        <v>77</v>
      </c>
      <c r="E850" s="82">
        <v>26723</v>
      </c>
      <c r="F850" s="82">
        <v>1979</v>
      </c>
      <c r="G850" s="82">
        <v>4810</v>
      </c>
      <c r="H850" s="83">
        <v>63.951578129193102</v>
      </c>
      <c r="I850" s="83">
        <v>57876.173147055939</v>
      </c>
      <c r="J850" s="83">
        <v>48.042231501947349</v>
      </c>
    </row>
    <row r="851" spans="1:10" ht="16">
      <c r="A851" s="79" t="s">
        <v>327</v>
      </c>
      <c r="B851" s="79" t="s">
        <v>323</v>
      </c>
      <c r="C851" s="80" t="s">
        <v>95</v>
      </c>
      <c r="D851" s="81" t="s">
        <v>79</v>
      </c>
      <c r="E851" s="82">
        <v>41389</v>
      </c>
      <c r="F851" s="82">
        <v>1725</v>
      </c>
      <c r="G851" s="82">
        <v>2850</v>
      </c>
      <c r="H851" s="83">
        <v>17.58944518294053</v>
      </c>
      <c r="I851" s="83">
        <v>2932.5639375212845</v>
      </c>
      <c r="J851" s="83">
        <v>16.987128920758177</v>
      </c>
    </row>
    <row r="852" spans="1:10" ht="16">
      <c r="A852" s="79" t="s">
        <v>166</v>
      </c>
      <c r="B852" s="79" t="s">
        <v>163</v>
      </c>
      <c r="C852" s="80" t="s">
        <v>95</v>
      </c>
      <c r="D852" s="81" t="s">
        <v>149</v>
      </c>
      <c r="E852" s="82">
        <v>15166</v>
      </c>
      <c r="F852" s="82">
        <v>518</v>
      </c>
      <c r="G852" s="82">
        <v>2578</v>
      </c>
      <c r="H852" s="83">
        <v>44.648312452987099</v>
      </c>
      <c r="I852" s="83">
        <v>33787.344397785171</v>
      </c>
      <c r="J852" s="83">
        <v>36.356074271776272</v>
      </c>
    </row>
    <row r="853" spans="1:10" ht="16">
      <c r="A853" s="79" t="s">
        <v>1401</v>
      </c>
      <c r="B853" s="79" t="s">
        <v>1307</v>
      </c>
      <c r="C853" s="80" t="s">
        <v>95</v>
      </c>
      <c r="D853" s="81" t="s">
        <v>101</v>
      </c>
      <c r="E853" s="82">
        <v>39124</v>
      </c>
      <c r="F853" s="82">
        <v>2126</v>
      </c>
      <c r="G853" s="82">
        <v>3912</v>
      </c>
      <c r="H853" s="83">
        <v>53.745572402589879</v>
      </c>
      <c r="I853" s="83">
        <v>45862.462280317945</v>
      </c>
      <c r="J853" s="83">
        <v>52.860698846325654</v>
      </c>
    </row>
    <row r="854" spans="1:10" ht="16">
      <c r="A854" s="79" t="s">
        <v>1402</v>
      </c>
      <c r="B854" s="79" t="s">
        <v>1307</v>
      </c>
      <c r="C854" s="80" t="s">
        <v>95</v>
      </c>
      <c r="D854" s="81" t="s">
        <v>111</v>
      </c>
      <c r="E854" s="82">
        <v>24754</v>
      </c>
      <c r="F854" s="82">
        <v>1250</v>
      </c>
      <c r="G854" s="82">
        <v>1238</v>
      </c>
      <c r="H854" s="83">
        <v>23.374769581159867</v>
      </c>
      <c r="I854" s="83">
        <v>8534.2208363479476</v>
      </c>
      <c r="J854" s="83">
        <v>27.628242749471276</v>
      </c>
    </row>
    <row r="855" spans="1:10" ht="16">
      <c r="A855" s="79" t="s">
        <v>856</v>
      </c>
      <c r="B855" s="79" t="s">
        <v>853</v>
      </c>
      <c r="C855" s="80" t="s">
        <v>95</v>
      </c>
      <c r="D855" s="81" t="s">
        <v>149</v>
      </c>
      <c r="E855" s="82">
        <v>32821</v>
      </c>
      <c r="F855" s="82">
        <v>1485</v>
      </c>
      <c r="G855" s="82">
        <v>10503</v>
      </c>
      <c r="H855" s="83">
        <v>43.954466609950373</v>
      </c>
      <c r="I855" s="83">
        <v>35216.30435131563</v>
      </c>
      <c r="J855" s="83">
        <v>31.592807103167551</v>
      </c>
    </row>
    <row r="856" spans="1:10" ht="16">
      <c r="A856" s="79" t="s">
        <v>917</v>
      </c>
      <c r="B856" s="79" t="s">
        <v>912</v>
      </c>
      <c r="C856" s="80" t="s">
        <v>95</v>
      </c>
      <c r="D856" s="81" t="s">
        <v>78</v>
      </c>
      <c r="E856" s="82">
        <v>9774</v>
      </c>
      <c r="F856" s="82">
        <v>592</v>
      </c>
      <c r="G856" s="82">
        <v>1173</v>
      </c>
      <c r="H856" s="83">
        <v>25.655391111714291</v>
      </c>
      <c r="I856" s="83">
        <v>10389.791860996873</v>
      </c>
      <c r="J856" s="83">
        <v>24.983791456716656</v>
      </c>
    </row>
    <row r="857" spans="1:10" ht="16">
      <c r="A857" s="79" t="s">
        <v>596</v>
      </c>
      <c r="B857" s="79" t="s">
        <v>597</v>
      </c>
      <c r="C857" s="80" t="s">
        <v>95</v>
      </c>
      <c r="D857" s="81" t="s">
        <v>79</v>
      </c>
      <c r="E857" s="82">
        <v>66399</v>
      </c>
      <c r="F857" s="82">
        <v>6385</v>
      </c>
      <c r="G857" s="82">
        <v>4620</v>
      </c>
      <c r="H857" s="83">
        <v>8.0024987629383073</v>
      </c>
      <c r="I857" s="83">
        <v>3446.7946448571151</v>
      </c>
      <c r="J857" s="83">
        <v>20.356212244165285</v>
      </c>
    </row>
    <row r="858" spans="1:10" ht="16">
      <c r="A858" s="79" t="s">
        <v>1052</v>
      </c>
      <c r="B858" s="79" t="s">
        <v>1039</v>
      </c>
      <c r="C858" s="80" t="s">
        <v>95</v>
      </c>
      <c r="D858" s="81" t="s">
        <v>99</v>
      </c>
      <c r="E858" s="82">
        <v>46214</v>
      </c>
      <c r="F858" s="82">
        <v>3916</v>
      </c>
      <c r="G858" s="82">
        <v>4621</v>
      </c>
      <c r="H858" s="83">
        <v>32.986957911957127</v>
      </c>
      <c r="I858" s="83">
        <v>28518.549173901483</v>
      </c>
      <c r="J858" s="83">
        <v>38.224673997943249</v>
      </c>
    </row>
    <row r="859" spans="1:10" ht="16">
      <c r="A859" s="79" t="s">
        <v>626</v>
      </c>
      <c r="B859" s="79" t="s">
        <v>617</v>
      </c>
      <c r="C859" s="80" t="s">
        <v>95</v>
      </c>
      <c r="D859" s="81" t="s">
        <v>76</v>
      </c>
      <c r="E859" s="82">
        <v>29564</v>
      </c>
      <c r="F859" s="82">
        <v>1442</v>
      </c>
      <c r="G859" s="82">
        <v>296</v>
      </c>
      <c r="H859" s="83">
        <v>17.911145883081257</v>
      </c>
      <c r="I859" s="83">
        <v>14947.264343239043</v>
      </c>
      <c r="J859" s="83">
        <v>17.377554467800692</v>
      </c>
    </row>
    <row r="860" spans="1:10" ht="16">
      <c r="A860" s="79" t="s">
        <v>1092</v>
      </c>
      <c r="B860" s="79" t="s">
        <v>1091</v>
      </c>
      <c r="C860" s="80" t="s">
        <v>95</v>
      </c>
      <c r="D860" s="81" t="s">
        <v>76</v>
      </c>
      <c r="E860" s="82">
        <v>11518</v>
      </c>
      <c r="F860" s="82">
        <v>729</v>
      </c>
      <c r="G860" s="82">
        <v>3110</v>
      </c>
      <c r="H860" s="83">
        <v>41.649035649485079</v>
      </c>
      <c r="I860" s="83">
        <v>37664.40486385976</v>
      </c>
      <c r="J860" s="83">
        <v>43.212076308693604</v>
      </c>
    </row>
    <row r="861" spans="1:10" ht="16">
      <c r="A861" s="79" t="s">
        <v>1258</v>
      </c>
      <c r="B861" s="79" t="s">
        <v>1209</v>
      </c>
      <c r="C861" s="80" t="s">
        <v>126</v>
      </c>
      <c r="D861" s="81" t="s">
        <v>79</v>
      </c>
      <c r="E861" s="82">
        <v>13825</v>
      </c>
      <c r="F861" s="82">
        <v>843</v>
      </c>
      <c r="G861" s="82">
        <v>4424</v>
      </c>
      <c r="H861" s="83">
        <v>32.008272924132079</v>
      </c>
      <c r="I861" s="83">
        <v>23616.321632203861</v>
      </c>
      <c r="J861" s="83">
        <v>28.778220574733364</v>
      </c>
    </row>
    <row r="862" spans="1:10" ht="16">
      <c r="A862" s="79" t="s">
        <v>444</v>
      </c>
      <c r="B862" s="79" t="s">
        <v>421</v>
      </c>
      <c r="C862" s="80" t="s">
        <v>126</v>
      </c>
      <c r="D862" s="81" t="s">
        <v>79</v>
      </c>
      <c r="E862" s="82">
        <v>9255</v>
      </c>
      <c r="F862" s="82">
        <v>312</v>
      </c>
      <c r="G862" s="82">
        <v>926</v>
      </c>
      <c r="H862" s="83">
        <v>34.946032118269748</v>
      </c>
      <c r="I862" s="83">
        <v>19253.241047535324</v>
      </c>
      <c r="J862" s="83">
        <v>35.255154050534365</v>
      </c>
    </row>
    <row r="863" spans="1:10" ht="16">
      <c r="A863" s="79" t="s">
        <v>1259</v>
      </c>
      <c r="B863" s="79" t="s">
        <v>1209</v>
      </c>
      <c r="C863" s="80" t="s">
        <v>95</v>
      </c>
      <c r="D863" s="81" t="s">
        <v>79</v>
      </c>
      <c r="E863" s="82">
        <v>10808</v>
      </c>
      <c r="F863" s="82">
        <v>540</v>
      </c>
      <c r="G863" s="82">
        <v>3675</v>
      </c>
      <c r="H863" s="83">
        <v>14.190215387614048</v>
      </c>
      <c r="I863" s="83">
        <v>3996.7892615687247</v>
      </c>
      <c r="J863" s="83">
        <v>17.817609066719555</v>
      </c>
    </row>
    <row r="864" spans="1:10" ht="16">
      <c r="A864" s="79" t="s">
        <v>918</v>
      </c>
      <c r="B864" s="79" t="s">
        <v>912</v>
      </c>
      <c r="C864" s="80" t="s">
        <v>95</v>
      </c>
      <c r="D864" s="81" t="s">
        <v>76</v>
      </c>
      <c r="E864" s="82">
        <v>7022</v>
      </c>
      <c r="F864" s="82">
        <v>447</v>
      </c>
      <c r="G864" s="82">
        <v>983</v>
      </c>
      <c r="H864" s="83">
        <v>16.578806616226331</v>
      </c>
      <c r="I864" s="83">
        <v>8064.9865314174958</v>
      </c>
      <c r="J864" s="83">
        <v>18.636838777026881</v>
      </c>
    </row>
    <row r="865" spans="1:10" ht="16">
      <c r="A865" s="79" t="s">
        <v>627</v>
      </c>
      <c r="B865" s="79" t="s">
        <v>617</v>
      </c>
      <c r="C865" s="80" t="s">
        <v>95</v>
      </c>
      <c r="D865" s="81" t="s">
        <v>79</v>
      </c>
      <c r="E865" s="82">
        <v>19022</v>
      </c>
      <c r="F865" s="82">
        <v>334</v>
      </c>
      <c r="G865" s="82">
        <v>1332</v>
      </c>
      <c r="H865" s="83">
        <v>21.181446187083139</v>
      </c>
      <c r="I865" s="83">
        <v>12483.055127539812</v>
      </c>
      <c r="J865" s="83">
        <v>20.105103651125912</v>
      </c>
    </row>
    <row r="866" spans="1:10" ht="16">
      <c r="A866" s="79" t="s">
        <v>872</v>
      </c>
      <c r="B866" s="79" t="s">
        <v>869</v>
      </c>
      <c r="C866" s="80" t="s">
        <v>95</v>
      </c>
      <c r="D866" s="81" t="s">
        <v>101</v>
      </c>
      <c r="E866" s="82">
        <v>14007</v>
      </c>
      <c r="F866" s="82">
        <v>1121</v>
      </c>
      <c r="G866" s="82">
        <v>1961</v>
      </c>
      <c r="H866" s="83">
        <v>30.222594062361853</v>
      </c>
      <c r="I866" s="83">
        <v>27696.051879105802</v>
      </c>
      <c r="J866" s="83">
        <v>29.733290121563897</v>
      </c>
    </row>
    <row r="867" spans="1:10" ht="16">
      <c r="A867" s="79" t="s">
        <v>1093</v>
      </c>
      <c r="B867" s="79" t="s">
        <v>1091</v>
      </c>
      <c r="C867" s="80" t="s">
        <v>95</v>
      </c>
      <c r="D867" s="81" t="s">
        <v>96</v>
      </c>
      <c r="E867" s="82">
        <v>11090</v>
      </c>
      <c r="F867" s="82">
        <v>672</v>
      </c>
      <c r="G867" s="82">
        <v>1774</v>
      </c>
      <c r="H867" s="83">
        <v>41.389538296825393</v>
      </c>
      <c r="I867" s="83">
        <v>35740.129895802922</v>
      </c>
      <c r="J867" s="83">
        <v>45.449571144648012</v>
      </c>
    </row>
    <row r="868" spans="1:10" ht="16">
      <c r="A868" s="79" t="s">
        <v>584</v>
      </c>
      <c r="B868" s="79" t="s">
        <v>556</v>
      </c>
      <c r="C868" s="80" t="s">
        <v>95</v>
      </c>
      <c r="D868" s="81" t="s">
        <v>75</v>
      </c>
      <c r="E868" s="82">
        <v>11000</v>
      </c>
      <c r="F868" s="82">
        <v>451</v>
      </c>
      <c r="G868" s="82">
        <v>110</v>
      </c>
      <c r="H868" s="83">
        <v>8.3640883992126849</v>
      </c>
      <c r="I868" s="83">
        <v>694.24162069477609</v>
      </c>
      <c r="J868" s="83">
        <v>17.07072844817954</v>
      </c>
    </row>
    <row r="869" spans="1:10" ht="16">
      <c r="A869" s="79" t="s">
        <v>1260</v>
      </c>
      <c r="B869" s="79" t="s">
        <v>1209</v>
      </c>
      <c r="C869" s="80" t="s">
        <v>95</v>
      </c>
      <c r="D869" s="81" t="s">
        <v>75</v>
      </c>
      <c r="E869" s="82">
        <v>29542</v>
      </c>
      <c r="F869" s="82">
        <v>1906</v>
      </c>
      <c r="G869" s="82">
        <v>8567</v>
      </c>
      <c r="H869" s="83">
        <v>46.238486747171486</v>
      </c>
      <c r="I869" s="83">
        <v>42081.599550072628</v>
      </c>
      <c r="J869" s="83">
        <v>39.828126957615126</v>
      </c>
    </row>
    <row r="870" spans="1:10" ht="16">
      <c r="A870" s="79" t="s">
        <v>93</v>
      </c>
      <c r="B870" s="79" t="s">
        <v>94</v>
      </c>
      <c r="C870" s="80" t="s">
        <v>95</v>
      </c>
      <c r="D870" s="81" t="s">
        <v>96</v>
      </c>
      <c r="E870" s="82">
        <v>34037</v>
      </c>
      <c r="F870" s="82">
        <v>1389</v>
      </c>
      <c r="G870" s="82">
        <v>340</v>
      </c>
      <c r="H870" s="83">
        <v>7.8555492169273373</v>
      </c>
      <c r="I870" s="83">
        <v>1033.9704096330418</v>
      </c>
      <c r="J870" s="83">
        <v>16.248217415186616</v>
      </c>
    </row>
    <row r="871" spans="1:10" ht="16">
      <c r="A871" s="79" t="s">
        <v>628</v>
      </c>
      <c r="B871" s="79" t="s">
        <v>617</v>
      </c>
      <c r="C871" s="80" t="s">
        <v>95</v>
      </c>
      <c r="D871" s="81" t="s">
        <v>101</v>
      </c>
      <c r="E871" s="82">
        <v>65819</v>
      </c>
      <c r="F871" s="82">
        <v>2742</v>
      </c>
      <c r="G871" s="82">
        <v>7898</v>
      </c>
      <c r="H871" s="83">
        <v>35.563397998204053</v>
      </c>
      <c r="I871" s="83">
        <v>29183.621174521515</v>
      </c>
      <c r="J871" s="83">
        <v>51.809407741732208</v>
      </c>
    </row>
    <row r="872" spans="1:10" ht="16">
      <c r="A872" s="79" t="s">
        <v>445</v>
      </c>
      <c r="B872" s="79" t="s">
        <v>421</v>
      </c>
      <c r="C872" s="80" t="s">
        <v>95</v>
      </c>
      <c r="D872" s="81" t="s">
        <v>101</v>
      </c>
      <c r="E872" s="82">
        <v>36352</v>
      </c>
      <c r="F872" s="82">
        <v>537</v>
      </c>
      <c r="G872" s="82">
        <v>4726</v>
      </c>
      <c r="H872" s="83">
        <v>47.844988041504202</v>
      </c>
      <c r="I872" s="83">
        <v>41403.765712201974</v>
      </c>
      <c r="J872" s="83">
        <v>47.880293957047733</v>
      </c>
    </row>
    <row r="873" spans="1:10" ht="16">
      <c r="A873" s="79" t="s">
        <v>408</v>
      </c>
      <c r="B873" s="79" t="s">
        <v>396</v>
      </c>
      <c r="C873" s="80" t="s">
        <v>95</v>
      </c>
      <c r="D873" s="81" t="s">
        <v>103</v>
      </c>
      <c r="E873" s="82">
        <v>54965</v>
      </c>
      <c r="F873" s="82">
        <v>2545</v>
      </c>
      <c r="G873" s="82">
        <v>7145</v>
      </c>
      <c r="H873" s="83">
        <v>23.594586833586551</v>
      </c>
      <c r="I873" s="83">
        <v>15226.616975661384</v>
      </c>
      <c r="J873" s="83">
        <v>30.660782308295516</v>
      </c>
    </row>
    <row r="874" spans="1:10" ht="16">
      <c r="A874" s="79" t="s">
        <v>1261</v>
      </c>
      <c r="B874" s="79" t="s">
        <v>1209</v>
      </c>
      <c r="C874" s="80" t="s">
        <v>95</v>
      </c>
      <c r="D874" s="81" t="s">
        <v>99</v>
      </c>
      <c r="E874" s="82">
        <v>8917</v>
      </c>
      <c r="F874" s="82">
        <v>504</v>
      </c>
      <c r="G874" s="82">
        <v>2497</v>
      </c>
      <c r="H874" s="83">
        <v>16.58193795882443</v>
      </c>
      <c r="I874" s="83">
        <v>5443.0920878285715</v>
      </c>
      <c r="J874" s="83">
        <v>19.629233392822016</v>
      </c>
    </row>
    <row r="875" spans="1:10" ht="16">
      <c r="A875" s="79" t="s">
        <v>553</v>
      </c>
      <c r="B875" s="79" t="s">
        <v>549</v>
      </c>
      <c r="C875" s="80" t="s">
        <v>95</v>
      </c>
      <c r="D875" s="81" t="s">
        <v>77</v>
      </c>
      <c r="E875" s="82">
        <v>52975</v>
      </c>
      <c r="F875" s="82">
        <v>2803</v>
      </c>
      <c r="G875" s="82">
        <v>530</v>
      </c>
      <c r="H875" s="83">
        <v>9.4620401782578352</v>
      </c>
      <c r="I875" s="83">
        <v>707.87701650231054</v>
      </c>
      <c r="J875" s="83">
        <v>16.643120510024243</v>
      </c>
    </row>
    <row r="876" spans="1:10" ht="16">
      <c r="A876" s="79" t="s">
        <v>446</v>
      </c>
      <c r="B876" s="79" t="s">
        <v>421</v>
      </c>
      <c r="C876" s="80" t="s">
        <v>95</v>
      </c>
      <c r="D876" s="81" t="s">
        <v>149</v>
      </c>
      <c r="E876" s="82">
        <v>18915</v>
      </c>
      <c r="F876" s="82">
        <v>593</v>
      </c>
      <c r="G876" s="82">
        <v>2270</v>
      </c>
      <c r="H876" s="83">
        <v>36.938723941696516</v>
      </c>
      <c r="I876" s="83">
        <v>20248.37387561701</v>
      </c>
      <c r="J876" s="83">
        <v>37.669615154178352</v>
      </c>
    </row>
    <row r="877" spans="1:10" ht="16">
      <c r="A877" s="79" t="s">
        <v>629</v>
      </c>
      <c r="B877" s="79" t="s">
        <v>617</v>
      </c>
      <c r="C877" s="80" t="s">
        <v>126</v>
      </c>
      <c r="D877" s="81" t="s">
        <v>101</v>
      </c>
      <c r="E877" s="82">
        <v>14206</v>
      </c>
      <c r="F877" s="82">
        <v>522</v>
      </c>
      <c r="G877" s="82">
        <v>994</v>
      </c>
      <c r="H877" s="83">
        <v>17.529053864054692</v>
      </c>
      <c r="I877" s="83">
        <v>12149.857249269537</v>
      </c>
      <c r="J877" s="83">
        <v>15.648689787155568</v>
      </c>
    </row>
    <row r="878" spans="1:10" ht="16">
      <c r="A878" s="79" t="s">
        <v>1262</v>
      </c>
      <c r="B878" s="79" t="s">
        <v>1209</v>
      </c>
      <c r="C878" s="80" t="s">
        <v>95</v>
      </c>
      <c r="D878" s="81" t="s">
        <v>103</v>
      </c>
      <c r="E878" s="82">
        <v>17155</v>
      </c>
      <c r="F878" s="82">
        <v>953</v>
      </c>
      <c r="G878" s="82">
        <v>3603</v>
      </c>
      <c r="H878" s="83">
        <v>14.616746097902418</v>
      </c>
      <c r="I878" s="83">
        <v>6200.0459793521568</v>
      </c>
      <c r="J878" s="83">
        <v>17.847565263614744</v>
      </c>
    </row>
    <row r="879" spans="1:10" ht="16">
      <c r="A879" s="79" t="s">
        <v>1263</v>
      </c>
      <c r="B879" s="79" t="s">
        <v>1209</v>
      </c>
      <c r="C879" s="80" t="s">
        <v>95</v>
      </c>
      <c r="D879" s="81" t="s">
        <v>76</v>
      </c>
      <c r="E879" s="82">
        <v>21783</v>
      </c>
      <c r="F879" s="82">
        <v>1602</v>
      </c>
      <c r="G879" s="82">
        <v>5881</v>
      </c>
      <c r="H879" s="83">
        <v>48.949874108104645</v>
      </c>
      <c r="I879" s="83">
        <v>46304.3739407338</v>
      </c>
      <c r="J879" s="83">
        <v>42.32136661004612</v>
      </c>
    </row>
    <row r="880" spans="1:10" ht="16">
      <c r="A880" s="79" t="s">
        <v>214</v>
      </c>
      <c r="B880" s="79" t="s">
        <v>203</v>
      </c>
      <c r="C880" s="80" t="s">
        <v>95</v>
      </c>
      <c r="D880" s="81" t="s">
        <v>103</v>
      </c>
      <c r="E880" s="82">
        <v>52108</v>
      </c>
      <c r="F880" s="82">
        <v>2879</v>
      </c>
      <c r="G880" s="82">
        <v>16675</v>
      </c>
      <c r="H880" s="83">
        <v>73.577088678937642</v>
      </c>
      <c r="I880" s="83">
        <v>67761.77132866731</v>
      </c>
      <c r="J880" s="83">
        <v>61.693883843175691</v>
      </c>
    </row>
    <row r="881" spans="1:10" ht="16">
      <c r="A881" s="79" t="s">
        <v>935</v>
      </c>
      <c r="B881" s="79" t="s">
        <v>928</v>
      </c>
      <c r="C881" s="80" t="s">
        <v>95</v>
      </c>
      <c r="D881" s="81" t="s">
        <v>76</v>
      </c>
      <c r="E881" s="82">
        <v>30192</v>
      </c>
      <c r="F881" s="82">
        <v>1725</v>
      </c>
      <c r="G881" s="82">
        <v>604</v>
      </c>
      <c r="H881" s="83">
        <v>11.349086736904301</v>
      </c>
      <c r="I881" s="83">
        <v>1615.5799217517267</v>
      </c>
      <c r="J881" s="83">
        <v>19.175160831994209</v>
      </c>
    </row>
    <row r="882" spans="1:10" ht="16">
      <c r="A882" s="79" t="s">
        <v>1053</v>
      </c>
      <c r="B882" s="79" t="s">
        <v>1039</v>
      </c>
      <c r="C882" s="80" t="s">
        <v>95</v>
      </c>
      <c r="D882" s="81" t="s">
        <v>78</v>
      </c>
      <c r="E882" s="82">
        <v>7369</v>
      </c>
      <c r="F882" s="82">
        <v>550</v>
      </c>
      <c r="G882" s="82">
        <v>221</v>
      </c>
      <c r="H882" s="83">
        <v>12.021811807261907</v>
      </c>
      <c r="I882" s="83">
        <v>3105.9601143309687</v>
      </c>
      <c r="J882" s="83">
        <v>21.503502901350437</v>
      </c>
    </row>
    <row r="883" spans="1:10" ht="16">
      <c r="A883" s="79" t="s">
        <v>1054</v>
      </c>
      <c r="B883" s="79" t="s">
        <v>1039</v>
      </c>
      <c r="C883" s="80" t="s">
        <v>95</v>
      </c>
      <c r="D883" s="81" t="s">
        <v>149</v>
      </c>
      <c r="E883" s="82">
        <v>19288</v>
      </c>
      <c r="F883" s="82">
        <v>1010</v>
      </c>
      <c r="G883" s="82">
        <v>1543</v>
      </c>
      <c r="H883" s="83">
        <v>15.780423749455485</v>
      </c>
      <c r="I883" s="83">
        <v>4261.2465511086557</v>
      </c>
      <c r="J883" s="83">
        <v>27.477303523512703</v>
      </c>
    </row>
    <row r="884" spans="1:10" ht="16">
      <c r="A884" s="79" t="s">
        <v>630</v>
      </c>
      <c r="B884" s="79" t="s">
        <v>617</v>
      </c>
      <c r="C884" s="80" t="s">
        <v>95</v>
      </c>
      <c r="D884" s="81" t="s">
        <v>149</v>
      </c>
      <c r="E884" s="82">
        <v>27403</v>
      </c>
      <c r="F884" s="82">
        <v>830</v>
      </c>
      <c r="G884" s="82">
        <v>548</v>
      </c>
      <c r="H884" s="83">
        <v>18.425599600370653</v>
      </c>
      <c r="I884" s="83">
        <v>10467.213546945351</v>
      </c>
      <c r="J884" s="83">
        <v>18.348401380974437</v>
      </c>
    </row>
    <row r="885" spans="1:10" ht="16">
      <c r="A885" s="79" t="s">
        <v>215</v>
      </c>
      <c r="B885" s="79" t="s">
        <v>203</v>
      </c>
      <c r="C885" s="80" t="s">
        <v>95</v>
      </c>
      <c r="D885" s="81" t="s">
        <v>75</v>
      </c>
      <c r="E885" s="82">
        <v>28560</v>
      </c>
      <c r="F885" s="82">
        <v>1785</v>
      </c>
      <c r="G885" s="82">
        <v>5426</v>
      </c>
      <c r="H885" s="83">
        <v>34.886059815258967</v>
      </c>
      <c r="I885" s="83">
        <v>29006.987327391533</v>
      </c>
      <c r="J885" s="83">
        <v>34.42488717564099</v>
      </c>
    </row>
    <row r="886" spans="1:10" ht="16">
      <c r="A886" s="79" t="s">
        <v>1403</v>
      </c>
      <c r="B886" s="79" t="s">
        <v>1307</v>
      </c>
      <c r="C886" s="80" t="s">
        <v>126</v>
      </c>
      <c r="D886" s="81" t="s">
        <v>79</v>
      </c>
      <c r="E886" s="82">
        <v>41081</v>
      </c>
      <c r="F886" s="82">
        <v>2999</v>
      </c>
      <c r="G886" s="82">
        <v>6984</v>
      </c>
      <c r="H886" s="83">
        <v>91.286692879898055</v>
      </c>
      <c r="I886" s="83">
        <v>89952.490291600756</v>
      </c>
      <c r="J886" s="83">
        <v>83.403611790851855</v>
      </c>
    </row>
    <row r="887" spans="1:10" ht="16">
      <c r="A887" s="79" t="s">
        <v>1404</v>
      </c>
      <c r="B887" s="79" t="s">
        <v>1307</v>
      </c>
      <c r="C887" s="80" t="s">
        <v>95</v>
      </c>
      <c r="D887" s="81" t="s">
        <v>78</v>
      </c>
      <c r="E887" s="82">
        <v>39164</v>
      </c>
      <c r="F887" s="82">
        <v>3264</v>
      </c>
      <c r="G887" s="82">
        <v>5483</v>
      </c>
      <c r="H887" s="83">
        <v>67.605121182555251</v>
      </c>
      <c r="I887" s="83">
        <v>55690.528256527301</v>
      </c>
      <c r="J887" s="83">
        <v>63.071666517454084</v>
      </c>
    </row>
    <row r="888" spans="1:10" ht="16">
      <c r="A888" s="79" t="s">
        <v>1405</v>
      </c>
      <c r="B888" s="79" t="s">
        <v>1307</v>
      </c>
      <c r="C888" s="80" t="s">
        <v>95</v>
      </c>
      <c r="D888" s="81" t="s">
        <v>99</v>
      </c>
      <c r="E888" s="82">
        <v>32706</v>
      </c>
      <c r="F888" s="82">
        <v>1982</v>
      </c>
      <c r="G888" s="82">
        <v>8504</v>
      </c>
      <c r="H888" s="83">
        <v>46.863890009817069</v>
      </c>
      <c r="I888" s="83">
        <v>44164.691232879421</v>
      </c>
      <c r="J888" s="83">
        <v>43.579188958686196</v>
      </c>
    </row>
    <row r="889" spans="1:10" ht="16">
      <c r="A889" s="79" t="s">
        <v>1406</v>
      </c>
      <c r="B889" s="79" t="s">
        <v>1307</v>
      </c>
      <c r="C889" s="80" t="s">
        <v>95</v>
      </c>
      <c r="D889" s="81" t="s">
        <v>101</v>
      </c>
      <c r="E889" s="82">
        <v>41066</v>
      </c>
      <c r="F889" s="82">
        <v>4369</v>
      </c>
      <c r="G889" s="82">
        <v>6981</v>
      </c>
      <c r="H889" s="83">
        <v>89.127843409048026</v>
      </c>
      <c r="I889" s="83">
        <v>86286.055660565864</v>
      </c>
      <c r="J889" s="83">
        <v>83.415531508515997</v>
      </c>
    </row>
    <row r="890" spans="1:10" ht="16">
      <c r="A890" s="79" t="s">
        <v>1407</v>
      </c>
      <c r="B890" s="79" t="s">
        <v>1307</v>
      </c>
      <c r="C890" s="80" t="s">
        <v>95</v>
      </c>
      <c r="D890" s="81" t="s">
        <v>75</v>
      </c>
      <c r="E890" s="82">
        <v>7324</v>
      </c>
      <c r="F890" s="82">
        <v>350</v>
      </c>
      <c r="G890" s="82">
        <v>586</v>
      </c>
      <c r="H890" s="83">
        <v>22.2271787960266</v>
      </c>
      <c r="I890" s="83">
        <v>20678.644839270797</v>
      </c>
      <c r="J890" s="83">
        <v>17.725740181473228</v>
      </c>
    </row>
    <row r="891" spans="1:10" ht="16">
      <c r="A891" s="79" t="s">
        <v>1408</v>
      </c>
      <c r="B891" s="79" t="s">
        <v>1307</v>
      </c>
      <c r="C891" s="80" t="s">
        <v>95</v>
      </c>
      <c r="D891" s="81" t="s">
        <v>76</v>
      </c>
      <c r="E891" s="82">
        <v>22272</v>
      </c>
      <c r="F891" s="82">
        <v>1237</v>
      </c>
      <c r="G891" s="82">
        <v>3118</v>
      </c>
      <c r="H891" s="83">
        <v>30.871480332656965</v>
      </c>
      <c r="I891" s="83">
        <v>26110.667933236989</v>
      </c>
      <c r="J891" s="83">
        <v>31.743968161746103</v>
      </c>
    </row>
    <row r="892" spans="1:10" ht="16">
      <c r="A892" s="79" t="s">
        <v>1409</v>
      </c>
      <c r="B892" s="79" t="s">
        <v>1307</v>
      </c>
      <c r="C892" s="80" t="s">
        <v>126</v>
      </c>
      <c r="D892" s="81" t="s">
        <v>76</v>
      </c>
      <c r="E892" s="82">
        <v>33579</v>
      </c>
      <c r="F892" s="82">
        <v>2583</v>
      </c>
      <c r="G892" s="82">
        <v>7723</v>
      </c>
      <c r="H892" s="83">
        <v>79.531344433822028</v>
      </c>
      <c r="I892" s="83">
        <v>77175.503039437099</v>
      </c>
      <c r="J892" s="83">
        <v>63.585205240428948</v>
      </c>
    </row>
    <row r="893" spans="1:10" ht="16">
      <c r="A893" s="79" t="s">
        <v>1410</v>
      </c>
      <c r="B893" s="79" t="s">
        <v>1307</v>
      </c>
      <c r="C893" s="80" t="s">
        <v>95</v>
      </c>
      <c r="D893" s="81" t="s">
        <v>101</v>
      </c>
      <c r="E893" s="82">
        <v>24089</v>
      </c>
      <c r="F893" s="82">
        <v>873</v>
      </c>
      <c r="G893" s="82">
        <v>3854</v>
      </c>
      <c r="H893" s="83">
        <v>63.892688091107686</v>
      </c>
      <c r="I893" s="83">
        <v>61342.913640123872</v>
      </c>
      <c r="J893" s="83">
        <v>48.156805422350331</v>
      </c>
    </row>
    <row r="894" spans="1:10" ht="16">
      <c r="A894" s="79" t="s">
        <v>1411</v>
      </c>
      <c r="B894" s="79" t="s">
        <v>1307</v>
      </c>
      <c r="C894" s="80" t="s">
        <v>126</v>
      </c>
      <c r="D894" s="81" t="s">
        <v>78</v>
      </c>
      <c r="E894" s="82">
        <v>18783</v>
      </c>
      <c r="F894" s="82">
        <v>817</v>
      </c>
      <c r="G894" s="82">
        <v>1878</v>
      </c>
      <c r="H894" s="83">
        <v>35.660473325912669</v>
      </c>
      <c r="I894" s="83">
        <v>34102.254557433895</v>
      </c>
      <c r="J894" s="83">
        <v>33.158241271351017</v>
      </c>
    </row>
    <row r="895" spans="1:10" ht="16">
      <c r="A895" s="79" t="s">
        <v>1264</v>
      </c>
      <c r="B895" s="79" t="s">
        <v>1209</v>
      </c>
      <c r="C895" s="80" t="s">
        <v>126</v>
      </c>
      <c r="D895" s="81" t="s">
        <v>149</v>
      </c>
      <c r="E895" s="82">
        <v>18978</v>
      </c>
      <c r="F895" s="82">
        <v>1741</v>
      </c>
      <c r="G895" s="82">
        <v>7022</v>
      </c>
      <c r="H895" s="83">
        <v>98.707783651638863</v>
      </c>
      <c r="I895" s="83">
        <v>94640.776432226019</v>
      </c>
      <c r="J895" s="83">
        <v>91.682506643012715</v>
      </c>
    </row>
    <row r="896" spans="1:10" ht="16">
      <c r="A896" s="79" t="s">
        <v>194</v>
      </c>
      <c r="B896" s="79" t="s">
        <v>169</v>
      </c>
      <c r="C896" s="80" t="s">
        <v>126</v>
      </c>
      <c r="D896" s="81" t="s">
        <v>101</v>
      </c>
      <c r="E896" s="82">
        <v>28795</v>
      </c>
      <c r="F896" s="82">
        <v>1907</v>
      </c>
      <c r="G896" s="82">
        <v>864</v>
      </c>
      <c r="H896" s="83">
        <v>38.669522422462322</v>
      </c>
      <c r="I896" s="83">
        <v>13233.811508710825</v>
      </c>
      <c r="J896" s="83">
        <v>45.084690534192539</v>
      </c>
    </row>
    <row r="897" spans="1:10" ht="16">
      <c r="A897" s="79" t="s">
        <v>130</v>
      </c>
      <c r="B897" s="79" t="s">
        <v>108</v>
      </c>
      <c r="C897" s="80" t="s">
        <v>95</v>
      </c>
      <c r="D897" s="81" t="s">
        <v>78</v>
      </c>
      <c r="E897" s="82">
        <v>10823</v>
      </c>
      <c r="F897" s="82">
        <v>299</v>
      </c>
      <c r="G897" s="82">
        <v>3463</v>
      </c>
      <c r="H897" s="83">
        <v>31.794026288059808</v>
      </c>
      <c r="I897" s="83">
        <v>30932.582641565506</v>
      </c>
      <c r="J897" s="83">
        <v>25.950568456762444</v>
      </c>
    </row>
    <row r="898" spans="1:10" ht="16">
      <c r="A898" s="79" t="s">
        <v>857</v>
      </c>
      <c r="B898" s="79" t="s">
        <v>853</v>
      </c>
      <c r="C898" s="80" t="s">
        <v>126</v>
      </c>
      <c r="D898" s="81" t="s">
        <v>103</v>
      </c>
      <c r="E898" s="82">
        <v>13089</v>
      </c>
      <c r="F898" s="82">
        <v>727</v>
      </c>
      <c r="G898" s="82">
        <v>3141</v>
      </c>
      <c r="H898" s="83">
        <v>27.998942734021039</v>
      </c>
      <c r="I898" s="83">
        <v>19792.478660631048</v>
      </c>
      <c r="J898" s="83">
        <v>24.836444527694823</v>
      </c>
    </row>
    <row r="899" spans="1:10" ht="16">
      <c r="A899" s="79" t="s">
        <v>999</v>
      </c>
      <c r="B899" s="79" t="s">
        <v>996</v>
      </c>
      <c r="C899" s="80" t="s">
        <v>95</v>
      </c>
      <c r="D899" s="81" t="s">
        <v>79</v>
      </c>
      <c r="E899" s="82">
        <v>21812</v>
      </c>
      <c r="F899" s="82">
        <v>1833</v>
      </c>
      <c r="G899" s="82">
        <v>3708</v>
      </c>
      <c r="H899" s="83">
        <v>43.485225228355944</v>
      </c>
      <c r="I899" s="83">
        <v>38668.379488641556</v>
      </c>
      <c r="J899" s="83">
        <v>33.245845223452214</v>
      </c>
    </row>
    <row r="900" spans="1:10" ht="16">
      <c r="A900" s="79" t="s">
        <v>1153</v>
      </c>
      <c r="B900" s="79" t="s">
        <v>1154</v>
      </c>
      <c r="C900" s="80" t="s">
        <v>95</v>
      </c>
      <c r="D900" s="81" t="s">
        <v>149</v>
      </c>
      <c r="E900" s="82">
        <v>32088</v>
      </c>
      <c r="F900" s="82">
        <v>3177</v>
      </c>
      <c r="G900" s="82">
        <v>321</v>
      </c>
      <c r="H900" s="83">
        <v>9.0325767843106366</v>
      </c>
      <c r="I900" s="83">
        <v>1628.2778208908387</v>
      </c>
      <c r="J900" s="83">
        <v>19.898849175639352</v>
      </c>
    </row>
    <row r="901" spans="1:10" ht="16">
      <c r="A901" s="79" t="s">
        <v>1055</v>
      </c>
      <c r="B901" s="79" t="s">
        <v>1039</v>
      </c>
      <c r="C901" s="80" t="s">
        <v>95</v>
      </c>
      <c r="D901" s="81" t="s">
        <v>149</v>
      </c>
      <c r="E901" s="82">
        <v>23530</v>
      </c>
      <c r="F901" s="82">
        <v>1705</v>
      </c>
      <c r="G901" s="82">
        <v>1412</v>
      </c>
      <c r="H901" s="83">
        <v>13.196132762161822</v>
      </c>
      <c r="I901" s="83">
        <v>4106.0232594535173</v>
      </c>
      <c r="J901" s="83">
        <v>16.772399409717764</v>
      </c>
    </row>
    <row r="902" spans="1:10" ht="16">
      <c r="A902" s="79" t="s">
        <v>631</v>
      </c>
      <c r="B902" s="79" t="s">
        <v>617</v>
      </c>
      <c r="C902" s="80" t="s">
        <v>95</v>
      </c>
      <c r="D902" s="81" t="s">
        <v>149</v>
      </c>
      <c r="E902" s="82">
        <v>25392</v>
      </c>
      <c r="F902" s="82">
        <v>1245</v>
      </c>
      <c r="G902" s="82">
        <v>508</v>
      </c>
      <c r="H902" s="83">
        <v>17.80018704177299</v>
      </c>
      <c r="I902" s="83">
        <v>12001.312860096265</v>
      </c>
      <c r="J902" s="83">
        <v>33.962671660525892</v>
      </c>
    </row>
    <row r="903" spans="1:10" ht="16">
      <c r="A903" s="79" t="s">
        <v>195</v>
      </c>
      <c r="B903" s="79" t="s">
        <v>169</v>
      </c>
      <c r="C903" s="80" t="s">
        <v>95</v>
      </c>
      <c r="D903" s="81" t="s">
        <v>75</v>
      </c>
      <c r="E903" s="82">
        <v>17101</v>
      </c>
      <c r="F903" s="82">
        <v>687</v>
      </c>
      <c r="G903" s="82">
        <v>855</v>
      </c>
      <c r="H903" s="83">
        <v>7.8466441475262521</v>
      </c>
      <c r="I903" s="83">
        <v>599.19349569857297</v>
      </c>
      <c r="J903" s="83">
        <v>14.179660458052261</v>
      </c>
    </row>
    <row r="904" spans="1:10" ht="16">
      <c r="A904" s="79" t="s">
        <v>1412</v>
      </c>
      <c r="B904" s="79" t="s">
        <v>1307</v>
      </c>
      <c r="C904" s="80" t="s">
        <v>95</v>
      </c>
      <c r="D904" s="81" t="s">
        <v>99</v>
      </c>
      <c r="E904" s="82">
        <v>56228</v>
      </c>
      <c r="F904" s="82">
        <v>1593</v>
      </c>
      <c r="G904" s="82">
        <v>2249</v>
      </c>
      <c r="H904" s="83">
        <v>29.079741807982899</v>
      </c>
      <c r="I904" s="83">
        <v>14308.222800742456</v>
      </c>
      <c r="J904" s="83">
        <v>27.218458021007379</v>
      </c>
    </row>
    <row r="905" spans="1:10" ht="16">
      <c r="A905" s="79" t="s">
        <v>1265</v>
      </c>
      <c r="B905" s="79" t="s">
        <v>1209</v>
      </c>
      <c r="C905" s="80" t="s">
        <v>95</v>
      </c>
      <c r="D905" s="81" t="s">
        <v>96</v>
      </c>
      <c r="E905" s="82">
        <v>18824</v>
      </c>
      <c r="F905" s="82">
        <v>1141</v>
      </c>
      <c r="G905" s="82">
        <v>3388</v>
      </c>
      <c r="H905" s="83">
        <v>13.287369818250024</v>
      </c>
      <c r="I905" s="83">
        <v>5065.4809686470408</v>
      </c>
      <c r="J905" s="83">
        <v>15.855914781994437</v>
      </c>
    </row>
    <row r="906" spans="1:10" ht="16">
      <c r="A906" s="79" t="s">
        <v>409</v>
      </c>
      <c r="B906" s="79" t="s">
        <v>396</v>
      </c>
      <c r="C906" s="80" t="s">
        <v>95</v>
      </c>
      <c r="D906" s="81" t="s">
        <v>111</v>
      </c>
      <c r="E906" s="82">
        <v>14867</v>
      </c>
      <c r="F906" s="82">
        <v>912</v>
      </c>
      <c r="G906" s="82">
        <v>2379</v>
      </c>
      <c r="H906" s="83">
        <v>13.815032770133273</v>
      </c>
      <c r="I906" s="83">
        <v>3224.6607547500216</v>
      </c>
      <c r="J906" s="83">
        <v>16.848003436262331</v>
      </c>
    </row>
    <row r="907" spans="1:10" ht="16">
      <c r="A907" s="79" t="s">
        <v>348</v>
      </c>
      <c r="B907" s="79" t="s">
        <v>341</v>
      </c>
      <c r="C907" s="80" t="s">
        <v>95</v>
      </c>
      <c r="D907" s="81" t="s">
        <v>75</v>
      </c>
      <c r="E907" s="82">
        <v>4285</v>
      </c>
      <c r="F907" s="82">
        <v>437</v>
      </c>
      <c r="G907" s="82">
        <v>857</v>
      </c>
      <c r="H907" s="83">
        <v>15.449842497432384</v>
      </c>
      <c r="I907" s="83">
        <v>2600.354201799435</v>
      </c>
      <c r="J907" s="83">
        <v>25.120118521420434</v>
      </c>
    </row>
    <row r="908" spans="1:10" ht="16">
      <c r="A908" s="79" t="s">
        <v>1266</v>
      </c>
      <c r="B908" s="79" t="s">
        <v>1209</v>
      </c>
      <c r="C908" s="80" t="s">
        <v>95</v>
      </c>
      <c r="D908" s="81" t="s">
        <v>76</v>
      </c>
      <c r="E908" s="82">
        <v>10915</v>
      </c>
      <c r="F908" s="82">
        <v>560</v>
      </c>
      <c r="G908" s="82">
        <v>1201</v>
      </c>
      <c r="H908" s="83">
        <v>13.622064843209488</v>
      </c>
      <c r="I908" s="83">
        <v>3162.7813984698614</v>
      </c>
      <c r="J908" s="83">
        <v>16.225263085666988</v>
      </c>
    </row>
    <row r="909" spans="1:10" ht="16">
      <c r="A909" s="79" t="s">
        <v>1413</v>
      </c>
      <c r="B909" s="79" t="s">
        <v>1307</v>
      </c>
      <c r="C909" s="80" t="s">
        <v>126</v>
      </c>
      <c r="D909" s="81" t="s">
        <v>76</v>
      </c>
      <c r="E909" s="82">
        <v>13833</v>
      </c>
      <c r="F909" s="82">
        <v>2427</v>
      </c>
      <c r="G909" s="82">
        <v>3873</v>
      </c>
      <c r="H909" s="83">
        <v>92.368919335059047</v>
      </c>
      <c r="I909" s="83">
        <v>88412.171672877987</v>
      </c>
      <c r="J909" s="83">
        <v>89.741693643673358</v>
      </c>
    </row>
    <row r="910" spans="1:10" ht="16">
      <c r="A910" s="79" t="s">
        <v>235</v>
      </c>
      <c r="B910" s="79" t="s">
        <v>231</v>
      </c>
      <c r="C910" s="80" t="s">
        <v>126</v>
      </c>
      <c r="D910" s="81" t="s">
        <v>76</v>
      </c>
      <c r="E910" s="82">
        <v>35447</v>
      </c>
      <c r="F910" s="82">
        <v>2363</v>
      </c>
      <c r="G910" s="82">
        <v>2127</v>
      </c>
      <c r="H910" s="83">
        <v>17.107831747504768</v>
      </c>
      <c r="I910" s="83">
        <v>5829.105405113648</v>
      </c>
      <c r="J910" s="83">
        <v>23.538779017046732</v>
      </c>
    </row>
    <row r="911" spans="1:10" ht="16">
      <c r="A911" s="79" t="s">
        <v>1414</v>
      </c>
      <c r="B911" s="79" t="s">
        <v>1307</v>
      </c>
      <c r="C911" s="80" t="s">
        <v>95</v>
      </c>
      <c r="D911" s="81" t="s">
        <v>77</v>
      </c>
      <c r="E911" s="82">
        <v>28434</v>
      </c>
      <c r="F911" s="82">
        <v>1394</v>
      </c>
      <c r="G911" s="82">
        <v>2559</v>
      </c>
      <c r="H911" s="83">
        <v>31.637758194047656</v>
      </c>
      <c r="I911" s="83">
        <v>25923.013285240035</v>
      </c>
      <c r="J911" s="83">
        <v>36.0594122451731</v>
      </c>
    </row>
    <row r="912" spans="1:10" ht="16">
      <c r="A912" s="79" t="s">
        <v>410</v>
      </c>
      <c r="B912" s="79" t="s">
        <v>396</v>
      </c>
      <c r="C912" s="80" t="s">
        <v>95</v>
      </c>
      <c r="D912" s="81" t="s">
        <v>103</v>
      </c>
      <c r="E912" s="82">
        <v>34644</v>
      </c>
      <c r="F912" s="82">
        <v>1843</v>
      </c>
      <c r="G912" s="82">
        <v>4504</v>
      </c>
      <c r="H912" s="83">
        <v>10.701472324135411</v>
      </c>
      <c r="I912" s="83">
        <v>5714.4947525450398</v>
      </c>
      <c r="J912" s="83">
        <v>19.443703612780606</v>
      </c>
    </row>
    <row r="913" spans="1:10" ht="16">
      <c r="A913" s="79" t="s">
        <v>919</v>
      </c>
      <c r="B913" s="79" t="s">
        <v>912</v>
      </c>
      <c r="C913" s="80" t="s">
        <v>95</v>
      </c>
      <c r="D913" s="81" t="s">
        <v>99</v>
      </c>
      <c r="E913" s="82">
        <v>21404</v>
      </c>
      <c r="F913" s="82">
        <v>1216</v>
      </c>
      <c r="G913" s="82">
        <v>4067</v>
      </c>
      <c r="H913" s="83">
        <v>28.322542874956316</v>
      </c>
      <c r="I913" s="83">
        <v>13340.055934949365</v>
      </c>
      <c r="J913" s="83">
        <v>23.703804914527993</v>
      </c>
    </row>
    <row r="914" spans="1:10" ht="16">
      <c r="A914" s="79" t="s">
        <v>447</v>
      </c>
      <c r="B914" s="79" t="s">
        <v>421</v>
      </c>
      <c r="C914" s="80" t="s">
        <v>95</v>
      </c>
      <c r="D914" s="81" t="s">
        <v>96</v>
      </c>
      <c r="E914" s="82">
        <v>36965</v>
      </c>
      <c r="F914" s="82">
        <v>1013</v>
      </c>
      <c r="G914" s="82">
        <v>5914</v>
      </c>
      <c r="H914" s="83">
        <v>43.038699862476712</v>
      </c>
      <c r="I914" s="83">
        <v>35005.773148236731</v>
      </c>
      <c r="J914" s="83">
        <v>44.319440635942762</v>
      </c>
    </row>
    <row r="915" spans="1:10" ht="16">
      <c r="A915" s="79" t="s">
        <v>1077</v>
      </c>
      <c r="B915" s="79" t="s">
        <v>1078</v>
      </c>
      <c r="C915" s="80" t="s">
        <v>95</v>
      </c>
      <c r="D915" s="81" t="s">
        <v>76</v>
      </c>
      <c r="E915" s="82">
        <v>22322</v>
      </c>
      <c r="F915" s="82">
        <v>754</v>
      </c>
      <c r="G915" s="82">
        <v>223</v>
      </c>
      <c r="H915" s="83">
        <v>8.1163150632012293</v>
      </c>
      <c r="I915" s="83">
        <v>1112.1494067539277</v>
      </c>
      <c r="J915" s="83">
        <v>13.79825449492183</v>
      </c>
    </row>
    <row r="916" spans="1:10" ht="16">
      <c r="A916" s="79" t="s">
        <v>1415</v>
      </c>
      <c r="B916" s="79" t="s">
        <v>1307</v>
      </c>
      <c r="C916" s="80" t="s">
        <v>126</v>
      </c>
      <c r="D916" s="81" t="s">
        <v>77</v>
      </c>
      <c r="E916" s="82">
        <v>33186</v>
      </c>
      <c r="F916" s="82">
        <v>2036</v>
      </c>
      <c r="G916" s="82">
        <v>3650</v>
      </c>
      <c r="H916" s="83">
        <v>45.651975706425112</v>
      </c>
      <c r="I916" s="83">
        <v>42456.353331766033</v>
      </c>
      <c r="J916" s="83">
        <v>45.656839301698568</v>
      </c>
    </row>
    <row r="917" spans="1:10" ht="16">
      <c r="A917" s="79" t="s">
        <v>1416</v>
      </c>
      <c r="B917" s="79" t="s">
        <v>1307</v>
      </c>
      <c r="C917" s="80" t="s">
        <v>95</v>
      </c>
      <c r="D917" s="81" t="s">
        <v>111</v>
      </c>
      <c r="E917" s="82">
        <v>32446</v>
      </c>
      <c r="F917" s="82">
        <v>2135</v>
      </c>
      <c r="G917" s="82">
        <v>2920</v>
      </c>
      <c r="H917" s="83">
        <v>30.660872340483486</v>
      </c>
      <c r="I917" s="83">
        <v>18017.661418825715</v>
      </c>
      <c r="J917" s="83">
        <v>36.55387611894858</v>
      </c>
    </row>
    <row r="918" spans="1:10" ht="16">
      <c r="A918" s="79" t="s">
        <v>97</v>
      </c>
      <c r="B918" s="79" t="s">
        <v>94</v>
      </c>
      <c r="C918" s="80" t="s">
        <v>95</v>
      </c>
      <c r="D918" s="81" t="s">
        <v>78</v>
      </c>
      <c r="E918" s="82">
        <v>35382</v>
      </c>
      <c r="F918" s="82">
        <v>1726</v>
      </c>
      <c r="G918" s="82">
        <v>1769</v>
      </c>
      <c r="H918" s="83">
        <v>7.6842837291732033</v>
      </c>
      <c r="I918" s="83">
        <v>598.66963081248025</v>
      </c>
      <c r="J918" s="83">
        <v>19.986371595759358</v>
      </c>
    </row>
    <row r="919" spans="1:10" ht="16">
      <c r="A919" s="79" t="s">
        <v>360</v>
      </c>
      <c r="B919" s="79" t="s">
        <v>355</v>
      </c>
      <c r="C919" s="80" t="s">
        <v>95</v>
      </c>
      <c r="D919" s="81" t="s">
        <v>79</v>
      </c>
      <c r="E919" s="82">
        <v>31219</v>
      </c>
      <c r="F919" s="82">
        <v>7260</v>
      </c>
      <c r="G919" s="82">
        <v>5307</v>
      </c>
      <c r="H919" s="83">
        <v>44.37706340189078</v>
      </c>
      <c r="I919" s="83">
        <v>39552.931063705219</v>
      </c>
      <c r="J919" s="83">
        <v>48.827200462271186</v>
      </c>
    </row>
    <row r="920" spans="1:10" ht="16">
      <c r="A920" s="79" t="s">
        <v>330</v>
      </c>
      <c r="B920" s="79" t="s">
        <v>331</v>
      </c>
      <c r="C920" s="80" t="s">
        <v>95</v>
      </c>
      <c r="D920" s="81" t="s">
        <v>96</v>
      </c>
      <c r="E920" s="82">
        <v>33900</v>
      </c>
      <c r="F920" s="82">
        <v>2245</v>
      </c>
      <c r="G920" s="82">
        <v>678</v>
      </c>
      <c r="H920" s="83">
        <v>8.1674492670413734</v>
      </c>
      <c r="I920" s="83">
        <v>6128.7511671016173</v>
      </c>
      <c r="J920" s="83">
        <v>16.924595713665198</v>
      </c>
    </row>
    <row r="921" spans="1:10" ht="16">
      <c r="A921" s="79" t="s">
        <v>472</v>
      </c>
      <c r="B921" s="79" t="s">
        <v>467</v>
      </c>
      <c r="C921" s="80" t="s">
        <v>95</v>
      </c>
      <c r="D921" s="81" t="s">
        <v>111</v>
      </c>
      <c r="E921" s="82">
        <v>13321</v>
      </c>
      <c r="F921" s="82">
        <v>569</v>
      </c>
      <c r="G921" s="82">
        <v>533</v>
      </c>
      <c r="H921" s="83">
        <v>20.799207223351697</v>
      </c>
      <c r="I921" s="83">
        <v>18376.344974791617</v>
      </c>
      <c r="J921" s="83">
        <v>18.676820343671935</v>
      </c>
    </row>
    <row r="922" spans="1:10" ht="16">
      <c r="A922" s="79" t="s">
        <v>339</v>
      </c>
      <c r="B922" s="79" t="s">
        <v>338</v>
      </c>
      <c r="C922" s="80" t="s">
        <v>95</v>
      </c>
      <c r="D922" s="81" t="s">
        <v>111</v>
      </c>
      <c r="E922" s="82">
        <v>6635</v>
      </c>
      <c r="F922" s="82">
        <v>302</v>
      </c>
      <c r="G922" s="82">
        <v>730</v>
      </c>
      <c r="H922" s="83">
        <v>25.571851561027959</v>
      </c>
      <c r="I922" s="83">
        <v>15331.065966472044</v>
      </c>
      <c r="J922" s="83">
        <v>24.762421999297345</v>
      </c>
    </row>
    <row r="923" spans="1:10" ht="16">
      <c r="A923" s="79" t="s">
        <v>1136</v>
      </c>
      <c r="B923" s="79" t="s">
        <v>1137</v>
      </c>
      <c r="C923" s="80" t="s">
        <v>126</v>
      </c>
      <c r="D923" s="81" t="s">
        <v>79</v>
      </c>
      <c r="E923" s="82">
        <v>30139</v>
      </c>
      <c r="F923" s="82">
        <v>1578</v>
      </c>
      <c r="G923" s="82">
        <v>478</v>
      </c>
      <c r="H923" s="83">
        <v>7.6138001931552193</v>
      </c>
      <c r="I923" s="83">
        <v>1495.9670922769501</v>
      </c>
      <c r="J923" s="83">
        <v>14.499965672018126</v>
      </c>
    </row>
    <row r="924" spans="1:10" ht="16">
      <c r="A924" s="79" t="s">
        <v>488</v>
      </c>
      <c r="B924" s="79" t="s">
        <v>485</v>
      </c>
      <c r="C924" s="80" t="s">
        <v>95</v>
      </c>
      <c r="D924" s="81" t="s">
        <v>149</v>
      </c>
      <c r="E924" s="82">
        <v>26771</v>
      </c>
      <c r="F924" s="82">
        <v>2250</v>
      </c>
      <c r="G924" s="82">
        <v>4819</v>
      </c>
      <c r="H924" s="83">
        <v>10.617812099592218</v>
      </c>
      <c r="I924" s="83">
        <v>2992.6825436236995</v>
      </c>
      <c r="J924" s="83">
        <v>20.780104664808999</v>
      </c>
    </row>
    <row r="925" spans="1:10" ht="16">
      <c r="A925" s="79" t="s">
        <v>1417</v>
      </c>
      <c r="B925" s="79" t="s">
        <v>1307</v>
      </c>
      <c r="C925" s="80" t="s">
        <v>95</v>
      </c>
      <c r="D925" s="81" t="s">
        <v>76</v>
      </c>
      <c r="E925" s="82">
        <v>20566</v>
      </c>
      <c r="F925" s="82">
        <v>1210</v>
      </c>
      <c r="G925" s="82">
        <v>2057</v>
      </c>
      <c r="H925" s="83">
        <v>38.744279631939563</v>
      </c>
      <c r="I925" s="83">
        <v>27374.911489244183</v>
      </c>
      <c r="J925" s="83">
        <v>28.726797640472402</v>
      </c>
    </row>
    <row r="926" spans="1:10" ht="16">
      <c r="A926" s="79" t="s">
        <v>544</v>
      </c>
      <c r="B926" s="79" t="s">
        <v>493</v>
      </c>
      <c r="C926" s="80" t="s">
        <v>126</v>
      </c>
      <c r="D926" s="81" t="s">
        <v>101</v>
      </c>
      <c r="E926" s="82">
        <v>24547</v>
      </c>
      <c r="F926" s="82">
        <v>1067</v>
      </c>
      <c r="G926" s="82">
        <v>245</v>
      </c>
      <c r="H926" s="83">
        <v>17.830632917279459</v>
      </c>
      <c r="I926" s="83">
        <v>7620.2912122642556</v>
      </c>
      <c r="J926" s="83">
        <v>38.509083607766179</v>
      </c>
    </row>
    <row r="927" spans="1:10" ht="16">
      <c r="A927" s="79" t="s">
        <v>1418</v>
      </c>
      <c r="B927" s="79" t="s">
        <v>1307</v>
      </c>
      <c r="C927" s="80" t="s">
        <v>95</v>
      </c>
      <c r="D927" s="81" t="s">
        <v>76</v>
      </c>
      <c r="E927" s="82">
        <v>9535</v>
      </c>
      <c r="F927" s="82">
        <v>733</v>
      </c>
      <c r="G927" s="82">
        <v>858</v>
      </c>
      <c r="H927" s="83">
        <v>22.803495275440962</v>
      </c>
      <c r="I927" s="83">
        <v>16875.920114800345</v>
      </c>
      <c r="J927" s="83">
        <v>41.38165353421163</v>
      </c>
    </row>
    <row r="928" spans="1:10" ht="16">
      <c r="A928" s="79" t="s">
        <v>1267</v>
      </c>
      <c r="B928" s="79" t="s">
        <v>1209</v>
      </c>
      <c r="C928" s="80" t="s">
        <v>95</v>
      </c>
      <c r="D928" s="81" t="s">
        <v>101</v>
      </c>
      <c r="E928" s="82">
        <v>13502</v>
      </c>
      <c r="F928" s="82">
        <v>888</v>
      </c>
      <c r="G928" s="82">
        <v>1755</v>
      </c>
      <c r="H928" s="83">
        <v>11.172906578074343</v>
      </c>
      <c r="I928" s="83">
        <v>3304.3786925341019</v>
      </c>
      <c r="J928" s="83">
        <v>16.836866100902949</v>
      </c>
    </row>
    <row r="929" spans="1:10" ht="16">
      <c r="A929" s="79" t="s">
        <v>236</v>
      </c>
      <c r="B929" s="79" t="s">
        <v>231</v>
      </c>
      <c r="C929" s="80" t="s">
        <v>95</v>
      </c>
      <c r="D929" s="81" t="s">
        <v>79</v>
      </c>
      <c r="E929" s="82">
        <v>15384</v>
      </c>
      <c r="F929" s="82">
        <v>810</v>
      </c>
      <c r="G929" s="82">
        <v>615</v>
      </c>
      <c r="H929" s="83">
        <v>8.9985686421903495</v>
      </c>
      <c r="I929" s="83">
        <v>8778.8520745362748</v>
      </c>
      <c r="J929" s="83">
        <v>14.398912281720813</v>
      </c>
    </row>
    <row r="930" spans="1:10" ht="16">
      <c r="A930" s="79" t="s">
        <v>1056</v>
      </c>
      <c r="B930" s="79" t="s">
        <v>1039</v>
      </c>
      <c r="C930" s="80" t="s">
        <v>95</v>
      </c>
      <c r="D930" s="81" t="s">
        <v>75</v>
      </c>
      <c r="E930" s="82">
        <v>9209</v>
      </c>
      <c r="F930" s="82">
        <v>422</v>
      </c>
      <c r="G930" s="82">
        <v>1013</v>
      </c>
      <c r="H930" s="83">
        <v>18.306303216219096</v>
      </c>
      <c r="I930" s="83">
        <v>6984.2393930832986</v>
      </c>
      <c r="J930" s="83">
        <v>22.046459605968519</v>
      </c>
    </row>
    <row r="931" spans="1:10" ht="16">
      <c r="A931" s="79" t="s">
        <v>158</v>
      </c>
      <c r="B931" s="79" t="s">
        <v>159</v>
      </c>
      <c r="C931" s="80" t="s">
        <v>126</v>
      </c>
      <c r="D931" s="81" t="s">
        <v>99</v>
      </c>
      <c r="E931" s="82">
        <v>34108</v>
      </c>
      <c r="F931" s="82">
        <v>2186</v>
      </c>
      <c r="G931" s="82">
        <v>1705</v>
      </c>
      <c r="H931" s="83">
        <v>9.448135353263595</v>
      </c>
      <c r="I931" s="83">
        <v>1453.9326133253044</v>
      </c>
      <c r="J931" s="83">
        <v>16.234845700104763</v>
      </c>
    </row>
    <row r="932" spans="1:10" ht="16">
      <c r="A932" s="79" t="s">
        <v>448</v>
      </c>
      <c r="B932" s="79" t="s">
        <v>421</v>
      </c>
      <c r="C932" s="80" t="s">
        <v>126</v>
      </c>
      <c r="D932" s="81" t="s">
        <v>96</v>
      </c>
      <c r="E932" s="82">
        <v>42698</v>
      </c>
      <c r="F932" s="82">
        <v>806</v>
      </c>
      <c r="G932" s="82">
        <v>8113</v>
      </c>
      <c r="H932" s="83">
        <v>33.254364846112011</v>
      </c>
      <c r="I932" s="83">
        <v>30150.064334306709</v>
      </c>
      <c r="J932" s="83">
        <v>35.039089934271786</v>
      </c>
    </row>
    <row r="933" spans="1:10" ht="16">
      <c r="A933" s="79" t="s">
        <v>1268</v>
      </c>
      <c r="B933" s="79" t="s">
        <v>1209</v>
      </c>
      <c r="C933" s="80" t="s">
        <v>95</v>
      </c>
      <c r="D933" s="81" t="s">
        <v>111</v>
      </c>
      <c r="E933" s="82">
        <v>12122</v>
      </c>
      <c r="F933" s="82">
        <v>689</v>
      </c>
      <c r="G933" s="82">
        <v>2667</v>
      </c>
      <c r="H933" s="83">
        <v>31.562141478130599</v>
      </c>
      <c r="I933" s="83">
        <v>28326.871732607702</v>
      </c>
      <c r="J933" s="83">
        <v>25.046830098013654</v>
      </c>
    </row>
    <row r="934" spans="1:10" ht="16">
      <c r="A934" s="79" t="s">
        <v>1269</v>
      </c>
      <c r="B934" s="79" t="s">
        <v>1209</v>
      </c>
      <c r="C934" s="80" t="s">
        <v>95</v>
      </c>
      <c r="D934" s="81" t="s">
        <v>78</v>
      </c>
      <c r="E934" s="82">
        <v>15195</v>
      </c>
      <c r="F934" s="82">
        <v>1093</v>
      </c>
      <c r="G934" s="82">
        <v>4255</v>
      </c>
      <c r="H934" s="83">
        <v>30.4075939772484</v>
      </c>
      <c r="I934" s="83">
        <v>29327.097917197971</v>
      </c>
      <c r="J934" s="83">
        <v>28.397274534048375</v>
      </c>
    </row>
    <row r="935" spans="1:10" ht="16">
      <c r="A935" s="79" t="s">
        <v>1270</v>
      </c>
      <c r="B935" s="79" t="s">
        <v>1209</v>
      </c>
      <c r="C935" s="80" t="s">
        <v>95</v>
      </c>
      <c r="D935" s="81" t="s">
        <v>78</v>
      </c>
      <c r="E935" s="82">
        <v>10302</v>
      </c>
      <c r="F935" s="82">
        <v>599</v>
      </c>
      <c r="G935" s="82">
        <v>3091</v>
      </c>
      <c r="H935" s="83">
        <v>15.208406339668379</v>
      </c>
      <c r="I935" s="83">
        <v>4787.9150167244925</v>
      </c>
      <c r="J935" s="83">
        <v>20.75671062150721</v>
      </c>
    </row>
    <row r="936" spans="1:10" ht="16">
      <c r="A936" s="79" t="s">
        <v>391</v>
      </c>
      <c r="B936" s="79" t="s">
        <v>388</v>
      </c>
      <c r="C936" s="80" t="s">
        <v>95</v>
      </c>
      <c r="D936" s="81" t="s">
        <v>149</v>
      </c>
      <c r="E936" s="82">
        <v>11630</v>
      </c>
      <c r="F936" s="82">
        <v>629</v>
      </c>
      <c r="G936" s="82">
        <v>698</v>
      </c>
      <c r="H936" s="83">
        <v>28.798208182196436</v>
      </c>
      <c r="I936" s="83">
        <v>19736.709729845581</v>
      </c>
      <c r="J936" s="83">
        <v>25.547433556663851</v>
      </c>
    </row>
    <row r="937" spans="1:10" ht="16">
      <c r="A937" s="79" t="s">
        <v>349</v>
      </c>
      <c r="B937" s="79" t="s">
        <v>341</v>
      </c>
      <c r="C937" s="80" t="s">
        <v>95</v>
      </c>
      <c r="D937" s="81" t="s">
        <v>149</v>
      </c>
      <c r="E937" s="82">
        <v>14011</v>
      </c>
      <c r="F937" s="82">
        <v>499</v>
      </c>
      <c r="G937" s="82">
        <v>3223</v>
      </c>
      <c r="H937" s="83">
        <v>13.576264479469012</v>
      </c>
      <c r="I937" s="83">
        <v>734.58458846023098</v>
      </c>
      <c r="J937" s="83">
        <v>19.897760768937754</v>
      </c>
    </row>
    <row r="938" spans="1:10" ht="16">
      <c r="A938" s="79" t="s">
        <v>1271</v>
      </c>
      <c r="B938" s="79" t="s">
        <v>1209</v>
      </c>
      <c r="C938" s="80" t="s">
        <v>95</v>
      </c>
      <c r="D938" s="81" t="s">
        <v>76</v>
      </c>
      <c r="E938" s="82">
        <v>29433</v>
      </c>
      <c r="F938" s="82">
        <v>2299</v>
      </c>
      <c r="G938" s="82">
        <v>12068</v>
      </c>
      <c r="H938" s="83">
        <v>74.965695995158839</v>
      </c>
      <c r="I938" s="83">
        <v>71453.461144740315</v>
      </c>
      <c r="J938" s="83">
        <v>68.057110269457297</v>
      </c>
    </row>
    <row r="939" spans="1:10" ht="16">
      <c r="A939" s="79" t="s">
        <v>307</v>
      </c>
      <c r="B939" s="79" t="s">
        <v>242</v>
      </c>
      <c r="C939" s="80" t="s">
        <v>126</v>
      </c>
      <c r="D939" s="81" t="s">
        <v>103</v>
      </c>
      <c r="E939" s="82">
        <v>33242</v>
      </c>
      <c r="F939" s="82">
        <v>2027</v>
      </c>
      <c r="G939" s="82">
        <v>1330</v>
      </c>
      <c r="H939" s="83">
        <v>22.480886345115298</v>
      </c>
      <c r="I939" s="83">
        <v>12238.016588997461</v>
      </c>
      <c r="J939" s="83">
        <v>24.15538803983333</v>
      </c>
    </row>
    <row r="940" spans="1:10" ht="16">
      <c r="A940" s="79" t="s">
        <v>886</v>
      </c>
      <c r="B940" s="79" t="s">
        <v>877</v>
      </c>
      <c r="C940" s="80" t="s">
        <v>126</v>
      </c>
      <c r="D940" s="81" t="s">
        <v>103</v>
      </c>
      <c r="E940" s="82">
        <v>14654</v>
      </c>
      <c r="F940" s="82">
        <v>1011</v>
      </c>
      <c r="G940" s="82">
        <v>293</v>
      </c>
      <c r="H940" s="83">
        <v>9.6055933703879699</v>
      </c>
      <c r="I940" s="83">
        <v>1791.6379040172078</v>
      </c>
      <c r="J940" s="83">
        <v>15.746518914308439</v>
      </c>
    </row>
    <row r="941" spans="1:10" ht="16">
      <c r="A941" s="79" t="s">
        <v>449</v>
      </c>
      <c r="B941" s="79" t="s">
        <v>421</v>
      </c>
      <c r="C941" s="80" t="s">
        <v>126</v>
      </c>
      <c r="D941" s="81" t="s">
        <v>78</v>
      </c>
      <c r="E941" s="82">
        <v>38111</v>
      </c>
      <c r="F941" s="82">
        <v>669</v>
      </c>
      <c r="G941" s="82">
        <v>4573</v>
      </c>
      <c r="H941" s="83">
        <v>46.210182917105826</v>
      </c>
      <c r="I941" s="83">
        <v>34447.628052936241</v>
      </c>
      <c r="J941" s="83">
        <v>41.155918733117176</v>
      </c>
    </row>
    <row r="942" spans="1:10" ht="16">
      <c r="A942" s="79" t="s">
        <v>1272</v>
      </c>
      <c r="B942" s="79" t="s">
        <v>1209</v>
      </c>
      <c r="C942" s="80" t="s">
        <v>95</v>
      </c>
      <c r="D942" s="81" t="s">
        <v>77</v>
      </c>
      <c r="E942" s="82">
        <v>11923</v>
      </c>
      <c r="F942" s="82">
        <v>741</v>
      </c>
      <c r="G942" s="82">
        <v>4650</v>
      </c>
      <c r="H942" s="83">
        <v>35.060022105102071</v>
      </c>
      <c r="I942" s="83">
        <v>23546.972434151379</v>
      </c>
      <c r="J942" s="83">
        <v>32.029854500184648</v>
      </c>
    </row>
    <row r="943" spans="1:10" ht="16">
      <c r="A943" s="79" t="s">
        <v>1273</v>
      </c>
      <c r="B943" s="79" t="s">
        <v>1209</v>
      </c>
      <c r="C943" s="80" t="s">
        <v>95</v>
      </c>
      <c r="D943" s="81" t="s">
        <v>149</v>
      </c>
      <c r="E943" s="82">
        <v>21451</v>
      </c>
      <c r="F943" s="82">
        <v>1219</v>
      </c>
      <c r="G943" s="82">
        <v>6006</v>
      </c>
      <c r="H943" s="83">
        <v>39.653766893648395</v>
      </c>
      <c r="I943" s="83">
        <v>35949.868290190003</v>
      </c>
      <c r="J943" s="83">
        <v>34.84127475501581</v>
      </c>
    </row>
    <row r="944" spans="1:10" ht="16">
      <c r="A944" s="79" t="s">
        <v>632</v>
      </c>
      <c r="B944" s="79" t="s">
        <v>617</v>
      </c>
      <c r="C944" s="80" t="s">
        <v>95</v>
      </c>
      <c r="D944" s="81" t="s">
        <v>149</v>
      </c>
      <c r="E944" s="82">
        <v>14644</v>
      </c>
      <c r="F944" s="82">
        <v>581</v>
      </c>
      <c r="G944" s="82">
        <v>1025</v>
      </c>
      <c r="H944" s="83">
        <v>20.297804577882566</v>
      </c>
      <c r="I944" s="83">
        <v>15171.787667590097</v>
      </c>
      <c r="J944" s="83">
        <v>21.613540885049236</v>
      </c>
    </row>
    <row r="945" spans="1:10" ht="16">
      <c r="A945" s="79" t="s">
        <v>633</v>
      </c>
      <c r="B945" s="79" t="s">
        <v>617</v>
      </c>
      <c r="C945" s="80" t="s">
        <v>95</v>
      </c>
      <c r="D945" s="81" t="s">
        <v>99</v>
      </c>
      <c r="E945" s="82">
        <v>34686</v>
      </c>
      <c r="F945" s="82">
        <v>1700</v>
      </c>
      <c r="G945" s="82">
        <v>3815</v>
      </c>
      <c r="H945" s="83">
        <v>25.4833320206736</v>
      </c>
      <c r="I945" s="83">
        <v>16546.198420808181</v>
      </c>
      <c r="J945" s="83">
        <v>38.136507537864858</v>
      </c>
    </row>
    <row r="946" spans="1:10" ht="16">
      <c r="A946" s="79" t="s">
        <v>1419</v>
      </c>
      <c r="B946" s="79" t="s">
        <v>1307</v>
      </c>
      <c r="C946" s="80" t="s">
        <v>95</v>
      </c>
      <c r="D946" s="81" t="s">
        <v>75</v>
      </c>
      <c r="E946" s="82">
        <v>46642</v>
      </c>
      <c r="F946" s="82">
        <v>2776</v>
      </c>
      <c r="G946" s="82">
        <v>4664</v>
      </c>
      <c r="H946" s="83">
        <v>54.302093014419633</v>
      </c>
      <c r="I946" s="83">
        <v>33307.822192927626</v>
      </c>
      <c r="J946" s="83">
        <v>54.829767409312097</v>
      </c>
    </row>
    <row r="947" spans="1:10" ht="16">
      <c r="A947" s="79" t="s">
        <v>196</v>
      </c>
      <c r="B947" s="79" t="s">
        <v>169</v>
      </c>
      <c r="C947" s="80" t="s">
        <v>126</v>
      </c>
      <c r="D947" s="81" t="s">
        <v>78</v>
      </c>
      <c r="E947" s="82">
        <v>23923</v>
      </c>
      <c r="F947" s="82">
        <v>1574</v>
      </c>
      <c r="G947" s="82">
        <v>1647</v>
      </c>
      <c r="H947" s="83">
        <v>7.6628213350952334</v>
      </c>
      <c r="I947" s="83">
        <v>3033.4383655772353</v>
      </c>
      <c r="J947" s="83">
        <v>15.464629404895406</v>
      </c>
    </row>
    <row r="948" spans="1:10" ht="16">
      <c r="A948" s="79" t="s">
        <v>450</v>
      </c>
      <c r="B948" s="79" t="s">
        <v>421</v>
      </c>
      <c r="C948" s="80" t="s">
        <v>95</v>
      </c>
      <c r="D948" s="81" t="s">
        <v>79</v>
      </c>
      <c r="E948" s="82">
        <v>21475</v>
      </c>
      <c r="F948" s="82">
        <v>502</v>
      </c>
      <c r="G948" s="82">
        <v>4939</v>
      </c>
      <c r="H948" s="83">
        <v>52.125770514291958</v>
      </c>
      <c r="I948" s="83">
        <v>42948.179916087312</v>
      </c>
      <c r="J948" s="83">
        <v>49.224412893476071</v>
      </c>
    </row>
    <row r="949" spans="1:10" ht="16">
      <c r="A949" s="79" t="s">
        <v>1094</v>
      </c>
      <c r="B949" s="79" t="s">
        <v>1091</v>
      </c>
      <c r="C949" s="80" t="s">
        <v>95</v>
      </c>
      <c r="D949" s="81" t="s">
        <v>111</v>
      </c>
      <c r="E949" s="82">
        <v>10887</v>
      </c>
      <c r="F949" s="82">
        <v>337</v>
      </c>
      <c r="G949" s="82">
        <v>1960</v>
      </c>
      <c r="H949" s="83">
        <v>32.894025508080873</v>
      </c>
      <c r="I949" s="83">
        <v>20967.100451588783</v>
      </c>
      <c r="J949" s="83">
        <v>32.609518676840757</v>
      </c>
    </row>
    <row r="950" spans="1:10" ht="16">
      <c r="A950" s="79" t="s">
        <v>756</v>
      </c>
      <c r="B950" s="79" t="s">
        <v>661</v>
      </c>
      <c r="C950" s="80" t="s">
        <v>126</v>
      </c>
      <c r="D950" s="81" t="s">
        <v>101</v>
      </c>
      <c r="E950" s="82">
        <v>5020</v>
      </c>
      <c r="F950" s="82">
        <v>540</v>
      </c>
      <c r="G950" s="82">
        <v>201</v>
      </c>
      <c r="H950" s="83">
        <v>11.40020724998748</v>
      </c>
      <c r="I950" s="83">
        <v>1046.3267737100491</v>
      </c>
      <c r="J950" s="83">
        <v>19.714689237285501</v>
      </c>
    </row>
    <row r="951" spans="1:10" ht="16">
      <c r="A951" s="79" t="s">
        <v>906</v>
      </c>
      <c r="B951" s="79" t="s">
        <v>898</v>
      </c>
      <c r="C951" s="80" t="s">
        <v>95</v>
      </c>
      <c r="D951" s="81" t="s">
        <v>149</v>
      </c>
      <c r="E951" s="82">
        <v>27859</v>
      </c>
      <c r="F951" s="82">
        <v>1629</v>
      </c>
      <c r="G951" s="82">
        <v>557</v>
      </c>
      <c r="H951" s="83">
        <v>11.027310649454137</v>
      </c>
      <c r="I951" s="83">
        <v>2105.9395816647188</v>
      </c>
      <c r="J951" s="83">
        <v>16.494414732904957</v>
      </c>
    </row>
    <row r="952" spans="1:10" ht="16">
      <c r="A952" s="79" t="s">
        <v>1095</v>
      </c>
      <c r="B952" s="79" t="s">
        <v>1091</v>
      </c>
      <c r="C952" s="80" t="s">
        <v>95</v>
      </c>
      <c r="D952" s="81" t="s">
        <v>79</v>
      </c>
      <c r="E952" s="82">
        <v>16935</v>
      </c>
      <c r="F952" s="82">
        <v>1086</v>
      </c>
      <c r="G952" s="82">
        <v>6605</v>
      </c>
      <c r="H952" s="83">
        <v>44.058967714477987</v>
      </c>
      <c r="I952" s="83">
        <v>35198.977588486596</v>
      </c>
      <c r="J952" s="83">
        <v>38.487109920071468</v>
      </c>
    </row>
    <row r="953" spans="1:10" ht="16">
      <c r="A953" s="79" t="s">
        <v>634</v>
      </c>
      <c r="B953" s="79" t="s">
        <v>617</v>
      </c>
      <c r="C953" s="80" t="s">
        <v>95</v>
      </c>
      <c r="D953" s="81" t="s">
        <v>99</v>
      </c>
      <c r="E953" s="82">
        <v>23977</v>
      </c>
      <c r="F953" s="82">
        <v>1230</v>
      </c>
      <c r="G953" s="82">
        <v>2158</v>
      </c>
      <c r="H953" s="83">
        <v>23.887019184481979</v>
      </c>
      <c r="I953" s="83">
        <v>14775.329780647728</v>
      </c>
      <c r="J953" s="83">
        <v>32.870301731107446</v>
      </c>
    </row>
    <row r="954" spans="1:10" ht="16">
      <c r="A954" s="79" t="s">
        <v>1420</v>
      </c>
      <c r="B954" s="79" t="s">
        <v>1307</v>
      </c>
      <c r="C954" s="80" t="s">
        <v>95</v>
      </c>
      <c r="D954" s="81" t="s">
        <v>78</v>
      </c>
      <c r="E954" s="82">
        <v>35164</v>
      </c>
      <c r="F954" s="82">
        <v>2157</v>
      </c>
      <c r="G954" s="82">
        <v>2461</v>
      </c>
      <c r="H954" s="83">
        <v>36.491474904946877</v>
      </c>
      <c r="I954" s="83">
        <v>19979.414803943146</v>
      </c>
      <c r="J954" s="83">
        <v>35.471630579414274</v>
      </c>
    </row>
    <row r="955" spans="1:10" ht="16">
      <c r="A955" s="79" t="s">
        <v>464</v>
      </c>
      <c r="B955" s="79" t="s">
        <v>465</v>
      </c>
      <c r="C955" s="80" t="s">
        <v>126</v>
      </c>
      <c r="D955" s="81" t="s">
        <v>96</v>
      </c>
      <c r="E955" s="82">
        <v>36819</v>
      </c>
      <c r="F955" s="82">
        <v>1283</v>
      </c>
      <c r="G955" s="82">
        <v>368</v>
      </c>
      <c r="H955" s="83">
        <v>16.249413979308294</v>
      </c>
      <c r="I955" s="83">
        <v>4362.3560199542617</v>
      </c>
      <c r="J955" s="83">
        <v>15.861828910951544</v>
      </c>
    </row>
    <row r="956" spans="1:10" ht="16">
      <c r="A956" s="79" t="s">
        <v>1057</v>
      </c>
      <c r="B956" s="79" t="s">
        <v>1039</v>
      </c>
      <c r="C956" s="80" t="s">
        <v>95</v>
      </c>
      <c r="D956" s="81" t="s">
        <v>149</v>
      </c>
      <c r="E956" s="82">
        <v>13906</v>
      </c>
      <c r="F956" s="82">
        <v>732</v>
      </c>
      <c r="G956" s="82">
        <v>1947</v>
      </c>
      <c r="H956" s="83">
        <v>18.319869181140046</v>
      </c>
      <c r="I956" s="83">
        <v>10526.556682092898</v>
      </c>
      <c r="J956" s="83">
        <v>19.894892648679981</v>
      </c>
    </row>
    <row r="957" spans="1:10" ht="16">
      <c r="A957" s="79" t="s">
        <v>1274</v>
      </c>
      <c r="B957" s="79" t="s">
        <v>1209</v>
      </c>
      <c r="C957" s="80" t="s">
        <v>95</v>
      </c>
      <c r="D957" s="81" t="s">
        <v>111</v>
      </c>
      <c r="E957" s="82">
        <v>25357</v>
      </c>
      <c r="F957" s="82">
        <v>1647</v>
      </c>
      <c r="G957" s="82">
        <v>9382</v>
      </c>
      <c r="H957" s="83">
        <v>48.452238919484152</v>
      </c>
      <c r="I957" s="83">
        <v>44025.285077949331</v>
      </c>
      <c r="J957" s="83">
        <v>41.529091538262115</v>
      </c>
    </row>
    <row r="958" spans="1:10" ht="16">
      <c r="A958" s="79" t="s">
        <v>1088</v>
      </c>
      <c r="B958" s="79" t="s">
        <v>1081</v>
      </c>
      <c r="C958" s="80" t="s">
        <v>126</v>
      </c>
      <c r="D958" s="81" t="s">
        <v>79</v>
      </c>
      <c r="E958" s="82">
        <v>19677</v>
      </c>
      <c r="F958" s="82">
        <v>1929</v>
      </c>
      <c r="G958" s="82">
        <v>2558</v>
      </c>
      <c r="H958" s="83">
        <v>41.657350287217625</v>
      </c>
      <c r="I958" s="83">
        <v>38824.829376889167</v>
      </c>
      <c r="J958" s="83">
        <v>28.305480437191129</v>
      </c>
    </row>
    <row r="959" spans="1:10" ht="16">
      <c r="A959" s="79" t="s">
        <v>1058</v>
      </c>
      <c r="B959" s="79" t="s">
        <v>1039</v>
      </c>
      <c r="C959" s="80" t="s">
        <v>95</v>
      </c>
      <c r="D959" s="81" t="s">
        <v>79</v>
      </c>
      <c r="E959" s="82">
        <v>56044</v>
      </c>
      <c r="F959" s="82">
        <v>3639</v>
      </c>
      <c r="G959" s="82">
        <v>5604</v>
      </c>
      <c r="H959" s="83">
        <v>21.228906034367185</v>
      </c>
      <c r="I959" s="83">
        <v>10879.885519120371</v>
      </c>
      <c r="J959" s="83">
        <v>19.616753853269554</v>
      </c>
    </row>
    <row r="960" spans="1:10" ht="16">
      <c r="A960" s="79" t="s">
        <v>152</v>
      </c>
      <c r="B960" s="79" t="s">
        <v>146</v>
      </c>
      <c r="C960" s="80" t="s">
        <v>95</v>
      </c>
      <c r="D960" s="81" t="s">
        <v>78</v>
      </c>
      <c r="E960" s="82">
        <v>20312</v>
      </c>
      <c r="F960" s="82">
        <v>927</v>
      </c>
      <c r="G960" s="82">
        <v>2641</v>
      </c>
      <c r="H960" s="83">
        <v>18.633594327548327</v>
      </c>
      <c r="I960" s="83">
        <v>10271.991585450613</v>
      </c>
      <c r="J960" s="83">
        <v>23.696798620116034</v>
      </c>
    </row>
    <row r="961" spans="1:10" ht="16">
      <c r="A961" s="79" t="s">
        <v>1275</v>
      </c>
      <c r="B961" s="79" t="s">
        <v>1209</v>
      </c>
      <c r="C961" s="80" t="s">
        <v>95</v>
      </c>
      <c r="D961" s="81" t="s">
        <v>79</v>
      </c>
      <c r="E961" s="82">
        <v>14477</v>
      </c>
      <c r="F961" s="82">
        <v>804</v>
      </c>
      <c r="G961" s="82">
        <v>5212</v>
      </c>
      <c r="H961" s="83">
        <v>15.455648712688401</v>
      </c>
      <c r="I961" s="83">
        <v>6013.6390507114638</v>
      </c>
      <c r="J961" s="83">
        <v>17.126216981474435</v>
      </c>
    </row>
    <row r="962" spans="1:10" ht="16">
      <c r="A962" s="79" t="s">
        <v>451</v>
      </c>
      <c r="B962" s="79" t="s">
        <v>421</v>
      </c>
      <c r="C962" s="80" t="s">
        <v>95</v>
      </c>
      <c r="D962" s="81" t="s">
        <v>101</v>
      </c>
      <c r="E962" s="82">
        <v>10247</v>
      </c>
      <c r="F962" s="82">
        <v>486</v>
      </c>
      <c r="G962" s="82">
        <v>717</v>
      </c>
      <c r="H962" s="83">
        <v>22.66704606915085</v>
      </c>
      <c r="I962" s="83">
        <v>13538.41815674516</v>
      </c>
      <c r="J962" s="83">
        <v>30.303620527380083</v>
      </c>
    </row>
    <row r="963" spans="1:10" ht="16">
      <c r="A963" s="79" t="s">
        <v>847</v>
      </c>
      <c r="B963" s="79" t="s">
        <v>839</v>
      </c>
      <c r="C963" s="80" t="s">
        <v>95</v>
      </c>
      <c r="D963" s="81" t="s">
        <v>76</v>
      </c>
      <c r="E963" s="82">
        <v>27228</v>
      </c>
      <c r="F963" s="82">
        <v>1144</v>
      </c>
      <c r="G963" s="82">
        <v>5718</v>
      </c>
      <c r="H963" s="83">
        <v>55.72964975812495</v>
      </c>
      <c r="I963" s="83">
        <v>50932.098725188087</v>
      </c>
      <c r="J963" s="83">
        <v>43.043092517683185</v>
      </c>
    </row>
    <row r="964" spans="1:10" ht="16">
      <c r="A964" s="79" t="s">
        <v>827</v>
      </c>
      <c r="B964" s="79" t="s">
        <v>817</v>
      </c>
      <c r="C964" s="80" t="s">
        <v>95</v>
      </c>
      <c r="D964" s="81" t="s">
        <v>101</v>
      </c>
      <c r="E964" s="82">
        <v>123932</v>
      </c>
      <c r="F964" s="82">
        <v>2229</v>
      </c>
      <c r="G964" s="82">
        <v>8624</v>
      </c>
      <c r="H964" s="83">
        <v>8.0354992204251445</v>
      </c>
      <c r="I964" s="83">
        <v>787.3630505321803</v>
      </c>
      <c r="J964" s="83">
        <v>16.126334045729681</v>
      </c>
    </row>
    <row r="965" spans="1:10" ht="16">
      <c r="A965" s="79" t="s">
        <v>828</v>
      </c>
      <c r="B965" s="79" t="s">
        <v>817</v>
      </c>
      <c r="C965" s="80" t="s">
        <v>95</v>
      </c>
      <c r="D965" s="81" t="s">
        <v>76</v>
      </c>
      <c r="E965" s="82">
        <v>26034</v>
      </c>
      <c r="F965" s="82">
        <v>1315</v>
      </c>
      <c r="G965" s="82">
        <v>781</v>
      </c>
      <c r="H965" s="83">
        <v>8.7983657639486239</v>
      </c>
      <c r="I965" s="83">
        <v>1185.8869073813341</v>
      </c>
      <c r="J965" s="83">
        <v>17.285596788407471</v>
      </c>
    </row>
    <row r="966" spans="1:10" ht="16">
      <c r="A966" s="79" t="s">
        <v>216</v>
      </c>
      <c r="B966" s="79" t="s">
        <v>203</v>
      </c>
      <c r="C966" s="80" t="s">
        <v>95</v>
      </c>
      <c r="D966" s="81" t="s">
        <v>79</v>
      </c>
      <c r="E966" s="82">
        <v>22165</v>
      </c>
      <c r="F966" s="82">
        <v>762</v>
      </c>
      <c r="G966" s="82">
        <v>1995</v>
      </c>
      <c r="H966" s="83">
        <v>30.086329811782104</v>
      </c>
      <c r="I966" s="83">
        <v>13964.322550413575</v>
      </c>
      <c r="J966" s="83">
        <v>26.965182500882367</v>
      </c>
    </row>
    <row r="967" spans="1:10" ht="16">
      <c r="A967" s="79" t="s">
        <v>585</v>
      </c>
      <c r="B967" s="79" t="s">
        <v>556</v>
      </c>
      <c r="C967" s="80" t="s">
        <v>95</v>
      </c>
      <c r="D967" s="81" t="s">
        <v>77</v>
      </c>
      <c r="E967" s="82">
        <v>16240</v>
      </c>
      <c r="F967" s="82">
        <v>576</v>
      </c>
      <c r="G967" s="82">
        <v>746</v>
      </c>
      <c r="H967" s="83">
        <v>14.567339863022482</v>
      </c>
      <c r="I967" s="83">
        <v>4026.4185814841126</v>
      </c>
      <c r="J967" s="83">
        <v>20.416288427703204</v>
      </c>
    </row>
    <row r="968" spans="1:10" ht="16">
      <c r="A968" s="79" t="s">
        <v>615</v>
      </c>
      <c r="B968" s="79" t="s">
        <v>610</v>
      </c>
      <c r="C968" s="80" t="s">
        <v>95</v>
      </c>
      <c r="D968" s="81" t="s">
        <v>77</v>
      </c>
      <c r="E968" s="82">
        <v>16164</v>
      </c>
      <c r="F968" s="82">
        <v>770</v>
      </c>
      <c r="G968" s="82">
        <v>323</v>
      </c>
      <c r="H968" s="83">
        <v>32.229324156325212</v>
      </c>
      <c r="I968" s="83">
        <v>16875.590102405429</v>
      </c>
      <c r="J968" s="83">
        <v>26.87705428941188</v>
      </c>
    </row>
    <row r="969" spans="1:10" ht="16">
      <c r="A969" s="79" t="s">
        <v>452</v>
      </c>
      <c r="B969" s="79" t="s">
        <v>421</v>
      </c>
      <c r="C969" s="80" t="s">
        <v>95</v>
      </c>
      <c r="D969" s="81" t="s">
        <v>99</v>
      </c>
      <c r="E969" s="82">
        <v>30375</v>
      </c>
      <c r="F969" s="82">
        <v>512</v>
      </c>
      <c r="G969" s="82">
        <v>3645</v>
      </c>
      <c r="H969" s="83">
        <v>49.832004664435821</v>
      </c>
      <c r="I969" s="83">
        <v>36881.625493733751</v>
      </c>
      <c r="J969" s="83">
        <v>44.745227492984974</v>
      </c>
    </row>
    <row r="970" spans="1:10" ht="16">
      <c r="A970" s="79" t="s">
        <v>335</v>
      </c>
      <c r="B970" s="79" t="s">
        <v>336</v>
      </c>
      <c r="C970" s="80" t="s">
        <v>95</v>
      </c>
      <c r="D970" s="81" t="s">
        <v>78</v>
      </c>
      <c r="E970" s="82">
        <v>14856</v>
      </c>
      <c r="F970" s="82">
        <v>1516</v>
      </c>
      <c r="G970" s="82">
        <v>1040</v>
      </c>
      <c r="H970" s="83">
        <v>9.1210621824997862</v>
      </c>
      <c r="I970" s="83">
        <v>860.99055269046562</v>
      </c>
      <c r="J970" s="83">
        <v>21.902293268566858</v>
      </c>
    </row>
    <row r="971" spans="1:10" ht="16">
      <c r="A971" s="79" t="s">
        <v>392</v>
      </c>
      <c r="B971" s="79" t="s">
        <v>388</v>
      </c>
      <c r="C971" s="80" t="s">
        <v>95</v>
      </c>
      <c r="D971" s="81" t="s">
        <v>77</v>
      </c>
      <c r="E971" s="82">
        <v>22072</v>
      </c>
      <c r="F971" s="82">
        <v>1330</v>
      </c>
      <c r="G971" s="82">
        <v>1104</v>
      </c>
      <c r="H971" s="83">
        <v>59.914823180424293</v>
      </c>
      <c r="I971" s="83">
        <v>52290.371486040531</v>
      </c>
      <c r="J971" s="83">
        <v>43.423623363319869</v>
      </c>
    </row>
    <row r="972" spans="1:10" ht="16">
      <c r="A972" s="79" t="s">
        <v>1276</v>
      </c>
      <c r="B972" s="79" t="s">
        <v>1209</v>
      </c>
      <c r="C972" s="80" t="s">
        <v>95</v>
      </c>
      <c r="D972" s="81" t="s">
        <v>76</v>
      </c>
      <c r="E972" s="82">
        <v>17584</v>
      </c>
      <c r="F972" s="82">
        <v>1005</v>
      </c>
      <c r="G972" s="82">
        <v>4924</v>
      </c>
      <c r="H972" s="83">
        <v>13.691036301874666</v>
      </c>
      <c r="I972" s="83">
        <v>5557.7116225258478</v>
      </c>
      <c r="J972" s="83">
        <v>17.651169654702461</v>
      </c>
    </row>
    <row r="973" spans="1:10" ht="16">
      <c r="A973" s="79" t="s">
        <v>453</v>
      </c>
      <c r="B973" s="79" t="s">
        <v>421</v>
      </c>
      <c r="C973" s="80" t="s">
        <v>95</v>
      </c>
      <c r="D973" s="81" t="s">
        <v>77</v>
      </c>
      <c r="E973" s="82">
        <v>9234</v>
      </c>
      <c r="F973" s="82">
        <v>244</v>
      </c>
      <c r="G973" s="82">
        <v>1385</v>
      </c>
      <c r="H973" s="83">
        <v>31.956484666689995</v>
      </c>
      <c r="I973" s="83">
        <v>28607.847881526865</v>
      </c>
      <c r="J973" s="83">
        <v>35.116651452639708</v>
      </c>
    </row>
    <row r="974" spans="1:10" ht="16">
      <c r="A974" s="79" t="s">
        <v>483</v>
      </c>
      <c r="B974" s="79" t="s">
        <v>478</v>
      </c>
      <c r="C974" s="80" t="s">
        <v>95</v>
      </c>
      <c r="D974" s="81" t="s">
        <v>76</v>
      </c>
      <c r="E974" s="82">
        <v>18260</v>
      </c>
      <c r="F974" s="82">
        <v>1003</v>
      </c>
      <c r="G974" s="82">
        <v>8034</v>
      </c>
      <c r="H974" s="83">
        <v>77.783301115307282</v>
      </c>
      <c r="I974" s="83">
        <v>59186.307081284533</v>
      </c>
      <c r="J974" s="83">
        <v>69.954387154193469</v>
      </c>
    </row>
    <row r="975" spans="1:10" ht="16">
      <c r="A975" s="79" t="s">
        <v>1421</v>
      </c>
      <c r="B975" s="79" t="s">
        <v>1307</v>
      </c>
      <c r="C975" s="80" t="s">
        <v>126</v>
      </c>
      <c r="D975" s="81" t="s">
        <v>77</v>
      </c>
      <c r="E975" s="82">
        <v>44128</v>
      </c>
      <c r="F975" s="82">
        <v>1717</v>
      </c>
      <c r="G975" s="82">
        <v>3972</v>
      </c>
      <c r="H975" s="83">
        <v>25.908894026053606</v>
      </c>
      <c r="I975" s="83">
        <v>15050.680402146218</v>
      </c>
      <c r="J975" s="83">
        <v>34.525598669586834</v>
      </c>
    </row>
    <row r="976" spans="1:10" ht="16">
      <c r="A976" s="79" t="s">
        <v>1277</v>
      </c>
      <c r="B976" s="79" t="s">
        <v>1209</v>
      </c>
      <c r="C976" s="80" t="s">
        <v>95</v>
      </c>
      <c r="D976" s="81" t="s">
        <v>79</v>
      </c>
      <c r="E976" s="82">
        <v>14483</v>
      </c>
      <c r="F976" s="82">
        <v>700</v>
      </c>
      <c r="G976" s="82">
        <v>3476</v>
      </c>
      <c r="H976" s="83">
        <v>20.159839944341133</v>
      </c>
      <c r="I976" s="83">
        <v>8990.2570562141336</v>
      </c>
      <c r="J976" s="83">
        <v>23.144557388859841</v>
      </c>
    </row>
    <row r="977" spans="1:10" ht="16">
      <c r="A977" s="79" t="s">
        <v>1278</v>
      </c>
      <c r="B977" s="79" t="s">
        <v>1209</v>
      </c>
      <c r="C977" s="80" t="s">
        <v>95</v>
      </c>
      <c r="D977" s="81" t="s">
        <v>79</v>
      </c>
      <c r="E977" s="82">
        <v>14047</v>
      </c>
      <c r="F977" s="82">
        <v>772</v>
      </c>
      <c r="G977" s="82">
        <v>2669</v>
      </c>
      <c r="H977" s="83">
        <v>23.973820412200386</v>
      </c>
      <c r="I977" s="83">
        <v>12917.933653763341</v>
      </c>
      <c r="J977" s="83">
        <v>23.213886604818583</v>
      </c>
    </row>
    <row r="978" spans="1:10" ht="16">
      <c r="A978" s="79" t="s">
        <v>757</v>
      </c>
      <c r="B978" s="79" t="s">
        <v>661</v>
      </c>
      <c r="C978" s="80" t="s">
        <v>126</v>
      </c>
      <c r="D978" s="81" t="s">
        <v>77</v>
      </c>
      <c r="E978" s="82">
        <v>6566</v>
      </c>
      <c r="F978" s="82">
        <v>513</v>
      </c>
      <c r="G978" s="82">
        <v>197</v>
      </c>
      <c r="H978" s="83">
        <v>12.534816152510247</v>
      </c>
      <c r="I978" s="83">
        <v>1262.2369962277157</v>
      </c>
      <c r="J978" s="83">
        <v>16.891294327343399</v>
      </c>
    </row>
    <row r="979" spans="1:10" ht="16">
      <c r="A979" s="79" t="s">
        <v>863</v>
      </c>
      <c r="B979" s="79" t="s">
        <v>862</v>
      </c>
      <c r="C979" s="80" t="s">
        <v>126</v>
      </c>
      <c r="D979" s="81" t="s">
        <v>99</v>
      </c>
      <c r="E979" s="82">
        <v>26648</v>
      </c>
      <c r="F979" s="82">
        <v>1625</v>
      </c>
      <c r="G979" s="82">
        <v>266</v>
      </c>
      <c r="H979" s="83">
        <v>12.350245652470434</v>
      </c>
      <c r="I979" s="83">
        <v>9417.2084324403986</v>
      </c>
      <c r="J979" s="83">
        <v>23.843560267489689</v>
      </c>
    </row>
    <row r="980" spans="1:10" ht="16">
      <c r="A980" s="79" t="s">
        <v>490</v>
      </c>
      <c r="B980" s="79" t="s">
        <v>491</v>
      </c>
      <c r="C980" s="80" t="s">
        <v>95</v>
      </c>
      <c r="D980" s="81" t="s">
        <v>76</v>
      </c>
      <c r="E980" s="82">
        <v>8135</v>
      </c>
      <c r="F980" s="82">
        <v>585</v>
      </c>
      <c r="G980" s="82">
        <v>976</v>
      </c>
      <c r="H980" s="83">
        <v>30.830132977684695</v>
      </c>
      <c r="I980" s="83">
        <v>22537.009998841324</v>
      </c>
      <c r="J980" s="83">
        <v>19.751396433572864</v>
      </c>
    </row>
    <row r="981" spans="1:10" ht="16">
      <c r="A981" s="79" t="s">
        <v>1422</v>
      </c>
      <c r="B981" s="79" t="s">
        <v>1307</v>
      </c>
      <c r="C981" s="80" t="s">
        <v>126</v>
      </c>
      <c r="D981" s="81" t="s">
        <v>79</v>
      </c>
      <c r="E981" s="82">
        <v>9694</v>
      </c>
      <c r="F981" s="82">
        <v>570</v>
      </c>
      <c r="G981" s="82">
        <v>776</v>
      </c>
      <c r="H981" s="83">
        <v>21.818578429701414</v>
      </c>
      <c r="I981" s="83">
        <v>11270.472394922575</v>
      </c>
      <c r="J981" s="83">
        <v>34.275647728409403</v>
      </c>
    </row>
    <row r="982" spans="1:10" ht="16">
      <c r="A982" s="79" t="s">
        <v>1423</v>
      </c>
      <c r="B982" s="79" t="s">
        <v>1307</v>
      </c>
      <c r="C982" s="80" t="s">
        <v>95</v>
      </c>
      <c r="D982" s="81" t="s">
        <v>111</v>
      </c>
      <c r="E982" s="82">
        <v>27031</v>
      </c>
      <c r="F982" s="82">
        <v>2351</v>
      </c>
      <c r="G982" s="82">
        <v>5406</v>
      </c>
      <c r="H982" s="83">
        <v>33.872827220061353</v>
      </c>
      <c r="I982" s="83">
        <v>23321.505841782575</v>
      </c>
      <c r="J982" s="83">
        <v>45.477801085782694</v>
      </c>
    </row>
    <row r="983" spans="1:10" ht="16">
      <c r="A983" s="79" t="s">
        <v>1424</v>
      </c>
      <c r="B983" s="79" t="s">
        <v>1307</v>
      </c>
      <c r="C983" s="80" t="s">
        <v>126</v>
      </c>
      <c r="D983" s="81" t="s">
        <v>75</v>
      </c>
      <c r="E983" s="82">
        <v>44916</v>
      </c>
      <c r="F983" s="82">
        <v>2509</v>
      </c>
      <c r="G983" s="82">
        <v>10780</v>
      </c>
      <c r="H983" s="83">
        <v>78.97895080353878</v>
      </c>
      <c r="I983" s="83">
        <v>65895.282378715405</v>
      </c>
      <c r="J983" s="83">
        <v>63.234754094424858</v>
      </c>
    </row>
    <row r="984" spans="1:10" ht="16">
      <c r="A984" s="79" t="s">
        <v>554</v>
      </c>
      <c r="B984" s="79" t="s">
        <v>549</v>
      </c>
      <c r="C984" s="80" t="s">
        <v>95</v>
      </c>
      <c r="D984" s="81" t="s">
        <v>111</v>
      </c>
      <c r="E984" s="82">
        <v>41170</v>
      </c>
      <c r="F984" s="82">
        <v>4159</v>
      </c>
      <c r="G984" s="82">
        <v>4529</v>
      </c>
      <c r="H984" s="83">
        <v>19.572328307638546</v>
      </c>
      <c r="I984" s="83">
        <v>3211.0634731760206</v>
      </c>
      <c r="J984" s="83">
        <v>39.545703589640787</v>
      </c>
    </row>
    <row r="985" spans="1:10" ht="16">
      <c r="A985" s="79" t="s">
        <v>153</v>
      </c>
      <c r="B985" s="79" t="s">
        <v>146</v>
      </c>
      <c r="C985" s="80" t="s">
        <v>95</v>
      </c>
      <c r="D985" s="81" t="s">
        <v>76</v>
      </c>
      <c r="E985" s="82">
        <v>14128</v>
      </c>
      <c r="F985" s="82">
        <v>1121</v>
      </c>
      <c r="G985" s="82">
        <v>5651</v>
      </c>
      <c r="H985" s="83">
        <v>22.412977293419694</v>
      </c>
      <c r="I985" s="83">
        <v>13561.875360312119</v>
      </c>
      <c r="J985" s="83">
        <v>28.452853644549823</v>
      </c>
    </row>
    <row r="986" spans="1:10" ht="16">
      <c r="A986" s="79" t="s">
        <v>635</v>
      </c>
      <c r="B986" s="79" t="s">
        <v>617</v>
      </c>
      <c r="C986" s="80" t="s">
        <v>95</v>
      </c>
      <c r="D986" s="81" t="s">
        <v>149</v>
      </c>
      <c r="E986" s="82">
        <v>7646</v>
      </c>
      <c r="F986" s="82">
        <v>346</v>
      </c>
      <c r="G986" s="82">
        <v>459</v>
      </c>
      <c r="H986" s="83">
        <v>20.395016947743223</v>
      </c>
      <c r="I986" s="83">
        <v>14106.642830896113</v>
      </c>
      <c r="J986" s="83">
        <v>19.066171964817052</v>
      </c>
    </row>
    <row r="987" spans="1:10" ht="16">
      <c r="A987" s="79" t="s">
        <v>308</v>
      </c>
      <c r="B987" s="79" t="s">
        <v>242</v>
      </c>
      <c r="C987" s="80" t="s">
        <v>95</v>
      </c>
      <c r="D987" s="81" t="s">
        <v>75</v>
      </c>
      <c r="E987" s="82">
        <v>15775</v>
      </c>
      <c r="F987" s="82">
        <v>907</v>
      </c>
      <c r="G987" s="82">
        <v>2840</v>
      </c>
      <c r="H987" s="83">
        <v>17.008927342697792</v>
      </c>
      <c r="I987" s="83">
        <v>5686.6483427552785</v>
      </c>
      <c r="J987" s="83">
        <v>25.549210680220575</v>
      </c>
    </row>
    <row r="988" spans="1:10" ht="16">
      <c r="A988" s="79" t="s">
        <v>473</v>
      </c>
      <c r="B988" s="79" t="s">
        <v>467</v>
      </c>
      <c r="C988" s="80" t="s">
        <v>126</v>
      </c>
      <c r="D988" s="81" t="s">
        <v>111</v>
      </c>
      <c r="E988" s="82">
        <v>21902</v>
      </c>
      <c r="F988" s="82">
        <v>494</v>
      </c>
      <c r="G988" s="82">
        <v>657</v>
      </c>
      <c r="H988" s="83">
        <v>15.168189710419654</v>
      </c>
      <c r="I988" s="83">
        <v>8884.4651639804742</v>
      </c>
      <c r="J988" s="83">
        <v>16.956855683716501</v>
      </c>
    </row>
    <row r="989" spans="1:10" ht="16">
      <c r="A989" s="79" t="s">
        <v>1425</v>
      </c>
      <c r="B989" s="79" t="s">
        <v>1307</v>
      </c>
      <c r="C989" s="80" t="s">
        <v>95</v>
      </c>
      <c r="D989" s="81" t="s">
        <v>78</v>
      </c>
      <c r="E989" s="82">
        <v>28945</v>
      </c>
      <c r="F989" s="82">
        <v>2495</v>
      </c>
      <c r="G989" s="82">
        <v>3473</v>
      </c>
      <c r="H989" s="83">
        <v>30.452777060900026</v>
      </c>
      <c r="I989" s="83">
        <v>24347.634796027003</v>
      </c>
      <c r="J989" s="83">
        <v>44.094945519157442</v>
      </c>
    </row>
    <row r="990" spans="1:10" ht="16">
      <c r="A990" s="79" t="s">
        <v>586</v>
      </c>
      <c r="B990" s="79" t="s">
        <v>556</v>
      </c>
      <c r="C990" s="80" t="s">
        <v>95</v>
      </c>
      <c r="D990" s="81" t="s">
        <v>111</v>
      </c>
      <c r="E990" s="82">
        <v>13782</v>
      </c>
      <c r="F990" s="82">
        <v>659</v>
      </c>
      <c r="G990" s="82">
        <v>138</v>
      </c>
      <c r="H990" s="83">
        <v>22.639419295458772</v>
      </c>
      <c r="I990" s="83">
        <v>3035.9459131938338</v>
      </c>
      <c r="J990" s="83">
        <v>31.739996504249895</v>
      </c>
    </row>
    <row r="991" spans="1:10" ht="16">
      <c r="A991" s="79" t="s">
        <v>1000</v>
      </c>
      <c r="B991" s="79" t="s">
        <v>996</v>
      </c>
      <c r="C991" s="80" t="s">
        <v>95</v>
      </c>
      <c r="D991" s="81" t="s">
        <v>79</v>
      </c>
      <c r="E991" s="82">
        <v>26445</v>
      </c>
      <c r="F991" s="82">
        <v>1106</v>
      </c>
      <c r="G991" s="82">
        <v>3967</v>
      </c>
      <c r="H991" s="83">
        <v>26.175316842125699</v>
      </c>
      <c r="I991" s="83">
        <v>10971.479507432832</v>
      </c>
      <c r="J991" s="83">
        <v>19.763944802218049</v>
      </c>
    </row>
    <row r="992" spans="1:10" ht="16">
      <c r="A992" s="79" t="s">
        <v>775</v>
      </c>
      <c r="B992" s="79" t="s">
        <v>772</v>
      </c>
      <c r="C992" s="80" t="s">
        <v>95</v>
      </c>
      <c r="D992" s="81" t="s">
        <v>76</v>
      </c>
      <c r="E992" s="82">
        <v>30495</v>
      </c>
      <c r="F992" s="82">
        <v>1804</v>
      </c>
      <c r="G992" s="82">
        <v>4879</v>
      </c>
      <c r="H992" s="83">
        <v>11.065702537947741</v>
      </c>
      <c r="I992" s="83">
        <v>2984.6952529605633</v>
      </c>
      <c r="J992" s="83">
        <v>25.62577636945079</v>
      </c>
    </row>
    <row r="993" spans="1:10" ht="16">
      <c r="A993" s="79" t="s">
        <v>454</v>
      </c>
      <c r="B993" s="79" t="s">
        <v>421</v>
      </c>
      <c r="C993" s="80" t="s">
        <v>126</v>
      </c>
      <c r="D993" s="81" t="s">
        <v>96</v>
      </c>
      <c r="E993" s="82">
        <v>14869</v>
      </c>
      <c r="F993" s="82">
        <v>288</v>
      </c>
      <c r="G993" s="82">
        <v>2676</v>
      </c>
      <c r="H993" s="83">
        <v>24.458213646090805</v>
      </c>
      <c r="I993" s="83">
        <v>9961.1120256224094</v>
      </c>
      <c r="J993" s="83">
        <v>34.177459389896988</v>
      </c>
    </row>
    <row r="994" spans="1:10" ht="16">
      <c r="A994" s="79" t="s">
        <v>1426</v>
      </c>
      <c r="B994" s="79" t="s">
        <v>1307</v>
      </c>
      <c r="C994" s="80" t="s">
        <v>95</v>
      </c>
      <c r="D994" s="81" t="s">
        <v>99</v>
      </c>
      <c r="E994" s="82">
        <v>24526</v>
      </c>
      <c r="F994" s="82">
        <v>2477</v>
      </c>
      <c r="G994" s="82">
        <v>2207</v>
      </c>
      <c r="H994" s="83">
        <v>23.463628082209382</v>
      </c>
      <c r="I994" s="83">
        <v>15473.241841286785</v>
      </c>
      <c r="J994" s="83">
        <v>37.265435941653472</v>
      </c>
    </row>
    <row r="995" spans="1:10" ht="16">
      <c r="A995" s="79" t="s">
        <v>587</v>
      </c>
      <c r="B995" s="79" t="s">
        <v>556</v>
      </c>
      <c r="C995" s="80" t="s">
        <v>95</v>
      </c>
      <c r="D995" s="81" t="s">
        <v>78</v>
      </c>
      <c r="E995" s="82">
        <v>8438</v>
      </c>
      <c r="F995" s="82">
        <v>308</v>
      </c>
      <c r="G995" s="82">
        <v>253</v>
      </c>
      <c r="H995" s="83">
        <v>18.501461251931147</v>
      </c>
      <c r="I995" s="83">
        <v>13755.353029978252</v>
      </c>
      <c r="J995" s="83">
        <v>20.416870969611075</v>
      </c>
    </row>
    <row r="996" spans="1:10" ht="16">
      <c r="A996" s="79" t="s">
        <v>1279</v>
      </c>
      <c r="B996" s="79" t="s">
        <v>1209</v>
      </c>
      <c r="C996" s="80" t="s">
        <v>95</v>
      </c>
      <c r="D996" s="81" t="s">
        <v>103</v>
      </c>
      <c r="E996" s="82">
        <v>17754</v>
      </c>
      <c r="F996" s="82">
        <v>888</v>
      </c>
      <c r="G996" s="82">
        <v>5504</v>
      </c>
      <c r="H996" s="83">
        <v>28.903146860068052</v>
      </c>
      <c r="I996" s="83">
        <v>19291.08352562572</v>
      </c>
      <c r="J996" s="83">
        <v>24.240342666490992</v>
      </c>
    </row>
    <row r="997" spans="1:10" ht="16">
      <c r="A997" s="79" t="s">
        <v>1427</v>
      </c>
      <c r="B997" s="79" t="s">
        <v>1307</v>
      </c>
      <c r="C997" s="80" t="s">
        <v>95</v>
      </c>
      <c r="D997" s="81" t="s">
        <v>149</v>
      </c>
      <c r="E997" s="82">
        <v>27078</v>
      </c>
      <c r="F997" s="82">
        <v>2184</v>
      </c>
      <c r="G997" s="82">
        <v>1083</v>
      </c>
      <c r="H997" s="83">
        <v>25.895462071575658</v>
      </c>
      <c r="I997" s="83">
        <v>13839.887708630804</v>
      </c>
      <c r="J997" s="83">
        <v>37.457913427718857</v>
      </c>
    </row>
    <row r="998" spans="1:10" ht="16">
      <c r="A998" s="79" t="s">
        <v>455</v>
      </c>
      <c r="B998" s="79" t="s">
        <v>421</v>
      </c>
      <c r="C998" s="80" t="s">
        <v>95</v>
      </c>
      <c r="D998" s="81" t="s">
        <v>149</v>
      </c>
      <c r="E998" s="82">
        <v>26412</v>
      </c>
      <c r="F998" s="82">
        <v>1190</v>
      </c>
      <c r="G998" s="82">
        <v>2113</v>
      </c>
      <c r="H998" s="83">
        <v>27.644466108056193</v>
      </c>
      <c r="I998" s="83">
        <v>23946.981729267143</v>
      </c>
      <c r="J998" s="83">
        <v>31.260582821984514</v>
      </c>
    </row>
    <row r="999" spans="1:10" ht="16">
      <c r="A999" s="79" t="s">
        <v>154</v>
      </c>
      <c r="B999" s="79" t="s">
        <v>146</v>
      </c>
      <c r="C999" s="80" t="s">
        <v>95</v>
      </c>
      <c r="D999" s="81" t="s">
        <v>99</v>
      </c>
      <c r="E999" s="82">
        <v>3639</v>
      </c>
      <c r="F999" s="82">
        <v>337</v>
      </c>
      <c r="G999" s="82">
        <v>801</v>
      </c>
      <c r="H999" s="83">
        <v>16.853011755667492</v>
      </c>
      <c r="I999" s="83">
        <v>14327.000170904437</v>
      </c>
      <c r="J999" s="83">
        <v>25.99015230761901</v>
      </c>
    </row>
    <row r="1000" spans="1:10" ht="16">
      <c r="A1000" s="79" t="s">
        <v>456</v>
      </c>
      <c r="B1000" s="79" t="s">
        <v>421</v>
      </c>
      <c r="C1000" s="80" t="s">
        <v>95</v>
      </c>
      <c r="D1000" s="81" t="s">
        <v>103</v>
      </c>
      <c r="E1000" s="82">
        <v>11387</v>
      </c>
      <c r="F1000" s="82">
        <v>203</v>
      </c>
      <c r="G1000" s="82">
        <v>1480</v>
      </c>
      <c r="H1000" s="83">
        <v>44.240192066335098</v>
      </c>
      <c r="I1000" s="83">
        <v>29396.016267675088</v>
      </c>
      <c r="J1000" s="83">
        <v>38.813978346572</v>
      </c>
    </row>
    <row r="1001" spans="1:10" ht="16">
      <c r="A1001" s="79" t="s">
        <v>588</v>
      </c>
      <c r="B1001" s="79" t="s">
        <v>556</v>
      </c>
      <c r="C1001" s="80" t="s">
        <v>95</v>
      </c>
      <c r="D1001" s="81" t="s">
        <v>101</v>
      </c>
      <c r="E1001" s="82">
        <v>9441</v>
      </c>
      <c r="F1001" s="82">
        <v>327</v>
      </c>
      <c r="G1001" s="82">
        <v>94</v>
      </c>
      <c r="H1001" s="83">
        <v>14.00960010216226</v>
      </c>
      <c r="I1001" s="83">
        <v>6127.5977645811563</v>
      </c>
      <c r="J1001" s="83">
        <v>14.930300766893597</v>
      </c>
    </row>
    <row r="1002" spans="1:10" ht="16">
      <c r="A1002" s="79" t="s">
        <v>1001</v>
      </c>
      <c r="B1002" s="79" t="s">
        <v>996</v>
      </c>
      <c r="C1002" s="80" t="s">
        <v>95</v>
      </c>
      <c r="D1002" s="81" t="s">
        <v>79</v>
      </c>
      <c r="E1002" s="82">
        <v>36660</v>
      </c>
      <c r="F1002" s="82">
        <v>1255</v>
      </c>
      <c r="G1002" s="82">
        <v>1466</v>
      </c>
      <c r="H1002" s="83">
        <v>29.676448090077148</v>
      </c>
      <c r="I1002" s="83">
        <v>20188.817318352456</v>
      </c>
      <c r="J1002" s="83">
        <v>25.882288781188716</v>
      </c>
    </row>
    <row r="1003" spans="1:10" ht="16">
      <c r="A1003" s="79" t="s">
        <v>237</v>
      </c>
      <c r="B1003" s="79" t="s">
        <v>231</v>
      </c>
      <c r="C1003" s="80" t="s">
        <v>126</v>
      </c>
      <c r="D1003" s="81" t="s">
        <v>75</v>
      </c>
      <c r="E1003" s="82">
        <v>10437</v>
      </c>
      <c r="F1003" s="82">
        <v>424</v>
      </c>
      <c r="G1003" s="82">
        <v>104</v>
      </c>
      <c r="H1003" s="83">
        <v>16.401208344079155</v>
      </c>
      <c r="I1003" s="83">
        <v>5451.773192277361</v>
      </c>
      <c r="J1003" s="83">
        <v>15.893696656357717</v>
      </c>
    </row>
    <row r="1004" spans="1:10" ht="16">
      <c r="A1004" s="79" t="s">
        <v>1059</v>
      </c>
      <c r="B1004" s="79" t="s">
        <v>1039</v>
      </c>
      <c r="C1004" s="80" t="s">
        <v>95</v>
      </c>
      <c r="D1004" s="81" t="s">
        <v>101</v>
      </c>
      <c r="E1004" s="82">
        <v>18336</v>
      </c>
      <c r="F1004" s="82">
        <v>1421</v>
      </c>
      <c r="G1004" s="82">
        <v>733</v>
      </c>
      <c r="H1004" s="83">
        <v>11.953177635644106</v>
      </c>
      <c r="I1004" s="83">
        <v>7845.6464238007811</v>
      </c>
      <c r="J1004" s="83">
        <v>19.374842419751481</v>
      </c>
    </row>
    <row r="1005" spans="1:10" ht="16">
      <c r="A1005" s="79" t="s">
        <v>864</v>
      </c>
      <c r="B1005" s="79" t="s">
        <v>862</v>
      </c>
      <c r="C1005" s="80" t="s">
        <v>126</v>
      </c>
      <c r="D1005" s="81" t="s">
        <v>101</v>
      </c>
      <c r="E1005" s="82">
        <v>34056</v>
      </c>
      <c r="F1005" s="82">
        <v>1678</v>
      </c>
      <c r="G1005" s="82">
        <v>2370</v>
      </c>
      <c r="H1005" s="83">
        <v>9.3697389774106021</v>
      </c>
      <c r="I1005" s="83">
        <v>5309.5379996463935</v>
      </c>
      <c r="J1005" s="83">
        <v>16.479862950964854</v>
      </c>
    </row>
    <row r="1006" spans="1:10" ht="16">
      <c r="A1006" s="79" t="s">
        <v>1060</v>
      </c>
      <c r="B1006" s="79" t="s">
        <v>1039</v>
      </c>
      <c r="C1006" s="80" t="s">
        <v>95</v>
      </c>
      <c r="D1006" s="81" t="s">
        <v>77</v>
      </c>
      <c r="E1006" s="82">
        <v>18714</v>
      </c>
      <c r="F1006" s="82">
        <v>1094</v>
      </c>
      <c r="G1006" s="82">
        <v>1310</v>
      </c>
      <c r="H1006" s="83">
        <v>12.836138445956038</v>
      </c>
      <c r="I1006" s="83">
        <v>5304.5313852226291</v>
      </c>
      <c r="J1006" s="83">
        <v>17.831401733083659</v>
      </c>
    </row>
    <row r="1007" spans="1:10" ht="16">
      <c r="A1007" s="79" t="s">
        <v>787</v>
      </c>
      <c r="B1007" s="79" t="s">
        <v>785</v>
      </c>
      <c r="C1007" s="80" t="s">
        <v>95</v>
      </c>
      <c r="D1007" s="81" t="s">
        <v>99</v>
      </c>
      <c r="E1007" s="82">
        <v>12367</v>
      </c>
      <c r="F1007" s="82">
        <v>374</v>
      </c>
      <c r="G1007" s="82">
        <v>742</v>
      </c>
      <c r="H1007" s="83">
        <v>19.511813306059622</v>
      </c>
      <c r="I1007" s="83">
        <v>4733.9811995387417</v>
      </c>
      <c r="J1007" s="83">
        <v>17.128412781828825</v>
      </c>
    </row>
    <row r="1008" spans="1:10" ht="16">
      <c r="A1008" s="79" t="s">
        <v>1096</v>
      </c>
      <c r="B1008" s="79" t="s">
        <v>1091</v>
      </c>
      <c r="C1008" s="80" t="s">
        <v>95</v>
      </c>
      <c r="D1008" s="81" t="s">
        <v>78</v>
      </c>
      <c r="E1008" s="82">
        <v>12197</v>
      </c>
      <c r="F1008" s="82">
        <v>1271</v>
      </c>
      <c r="G1008" s="82">
        <v>2927</v>
      </c>
      <c r="H1008" s="83">
        <v>44.812112910796309</v>
      </c>
      <c r="I1008" s="83">
        <v>32471.454880282086</v>
      </c>
      <c r="J1008" s="83">
        <v>33.280368701185701</v>
      </c>
    </row>
    <row r="1009" spans="1:10" ht="16">
      <c r="A1009" s="79" t="s">
        <v>1280</v>
      </c>
      <c r="B1009" s="79" t="s">
        <v>1209</v>
      </c>
      <c r="C1009" s="80" t="s">
        <v>95</v>
      </c>
      <c r="D1009" s="81" t="s">
        <v>96</v>
      </c>
      <c r="E1009" s="82">
        <v>30236</v>
      </c>
      <c r="F1009" s="82">
        <v>2129</v>
      </c>
      <c r="G1009" s="82">
        <v>8768</v>
      </c>
      <c r="H1009" s="83">
        <v>45.996655157870947</v>
      </c>
      <c r="I1009" s="83">
        <v>35873.582137187754</v>
      </c>
      <c r="J1009" s="83">
        <v>41.11859707341317</v>
      </c>
    </row>
    <row r="1010" spans="1:10" ht="16">
      <c r="A1010" s="79" t="s">
        <v>1281</v>
      </c>
      <c r="B1010" s="79" t="s">
        <v>1209</v>
      </c>
      <c r="C1010" s="80" t="s">
        <v>95</v>
      </c>
      <c r="D1010" s="81" t="s">
        <v>77</v>
      </c>
      <c r="E1010" s="82">
        <v>14645</v>
      </c>
      <c r="F1010" s="82">
        <v>1024</v>
      </c>
      <c r="G1010" s="82">
        <v>4686</v>
      </c>
      <c r="H1010" s="83">
        <v>35.073630707725982</v>
      </c>
      <c r="I1010" s="83">
        <v>33481.349996225625</v>
      </c>
      <c r="J1010" s="83">
        <v>31.062108269625057</v>
      </c>
    </row>
    <row r="1011" spans="1:10" ht="16">
      <c r="A1011" s="79" t="s">
        <v>155</v>
      </c>
      <c r="B1011" s="79" t="s">
        <v>146</v>
      </c>
      <c r="C1011" s="80" t="s">
        <v>126</v>
      </c>
      <c r="D1011" s="81" t="s">
        <v>78</v>
      </c>
      <c r="E1011" s="82">
        <v>3074</v>
      </c>
      <c r="F1011" s="82">
        <v>521</v>
      </c>
      <c r="G1011" s="82">
        <v>461</v>
      </c>
      <c r="H1011" s="83">
        <v>11.55035505046262</v>
      </c>
      <c r="I1011" s="83">
        <v>4010.4420037864761</v>
      </c>
      <c r="J1011" s="83">
        <v>28.201920859371768</v>
      </c>
    </row>
    <row r="1012" spans="1:10" ht="16">
      <c r="A1012" s="79" t="s">
        <v>217</v>
      </c>
      <c r="B1012" s="79" t="s">
        <v>203</v>
      </c>
      <c r="C1012" s="80" t="s">
        <v>95</v>
      </c>
      <c r="D1012" s="81" t="s">
        <v>103</v>
      </c>
      <c r="E1012" s="82">
        <v>6996</v>
      </c>
      <c r="F1012" s="82">
        <v>542</v>
      </c>
      <c r="G1012" s="82">
        <v>840</v>
      </c>
      <c r="H1012" s="83">
        <v>13.156891238679059</v>
      </c>
      <c r="I1012" s="83">
        <v>2779.9637045880058</v>
      </c>
      <c r="J1012" s="83">
        <v>17.406886189956612</v>
      </c>
    </row>
    <row r="1013" spans="1:10" ht="16">
      <c r="A1013" s="79" t="s">
        <v>411</v>
      </c>
      <c r="B1013" s="79" t="s">
        <v>396</v>
      </c>
      <c r="C1013" s="80" t="s">
        <v>95</v>
      </c>
      <c r="D1013" s="81" t="s">
        <v>96</v>
      </c>
      <c r="E1013" s="82">
        <v>69287</v>
      </c>
      <c r="F1013" s="82">
        <v>2389</v>
      </c>
      <c r="G1013" s="82">
        <v>9007</v>
      </c>
      <c r="H1013" s="83">
        <v>17.310059085502711</v>
      </c>
      <c r="I1013" s="83">
        <v>9211.9632408700072</v>
      </c>
      <c r="J1013" s="83">
        <v>20.672504099297928</v>
      </c>
    </row>
    <row r="1014" spans="1:10" ht="16">
      <c r="A1014" s="79" t="s">
        <v>608</v>
      </c>
      <c r="B1014" s="79" t="s">
        <v>600</v>
      </c>
      <c r="C1014" s="80" t="s">
        <v>126</v>
      </c>
      <c r="D1014" s="81" t="s">
        <v>103</v>
      </c>
      <c r="E1014" s="82">
        <v>14221</v>
      </c>
      <c r="F1014" s="82">
        <v>655</v>
      </c>
      <c r="G1014" s="82">
        <v>2418</v>
      </c>
      <c r="H1014" s="83">
        <v>24.230697593526148</v>
      </c>
      <c r="I1014" s="83">
        <v>12862.095177175988</v>
      </c>
      <c r="J1014" s="83">
        <v>20.692465073929526</v>
      </c>
    </row>
    <row r="1015" spans="1:10" ht="16">
      <c r="A1015" s="79" t="s">
        <v>1282</v>
      </c>
      <c r="B1015" s="79" t="s">
        <v>1209</v>
      </c>
      <c r="C1015" s="80" t="s">
        <v>95</v>
      </c>
      <c r="D1015" s="81" t="s">
        <v>96</v>
      </c>
      <c r="E1015" s="82">
        <v>12060</v>
      </c>
      <c r="F1015" s="82">
        <v>799</v>
      </c>
      <c r="G1015" s="82">
        <v>1568</v>
      </c>
      <c r="H1015" s="83">
        <v>14.755206010525267</v>
      </c>
      <c r="I1015" s="83">
        <v>9104.6395803091982</v>
      </c>
      <c r="J1015" s="83">
        <v>17.499051357973794</v>
      </c>
    </row>
    <row r="1016" spans="1:10" ht="16">
      <c r="A1016" s="79" t="s">
        <v>920</v>
      </c>
      <c r="B1016" s="79" t="s">
        <v>912</v>
      </c>
      <c r="C1016" s="80" t="s">
        <v>95</v>
      </c>
      <c r="D1016" s="81" t="s">
        <v>111</v>
      </c>
      <c r="E1016" s="82">
        <v>47886</v>
      </c>
      <c r="F1016" s="82">
        <v>2705</v>
      </c>
      <c r="G1016" s="82">
        <v>5746</v>
      </c>
      <c r="H1016" s="83">
        <v>30.085775498418798</v>
      </c>
      <c r="I1016" s="83">
        <v>15713.277416827308</v>
      </c>
      <c r="J1016" s="83">
        <v>25.604580866035494</v>
      </c>
    </row>
    <row r="1017" spans="1:10" ht="16">
      <c r="A1017" s="79" t="s">
        <v>1283</v>
      </c>
      <c r="B1017" s="79" t="s">
        <v>1209</v>
      </c>
      <c r="C1017" s="80" t="s">
        <v>95</v>
      </c>
      <c r="D1017" s="81" t="s">
        <v>103</v>
      </c>
      <c r="E1017" s="82">
        <v>23057</v>
      </c>
      <c r="F1017" s="82">
        <v>1671</v>
      </c>
      <c r="G1017" s="82">
        <v>7609</v>
      </c>
      <c r="H1017" s="83">
        <v>37.773466929372603</v>
      </c>
      <c r="I1017" s="83">
        <v>33329.69812559984</v>
      </c>
      <c r="J1017" s="83">
        <v>35.595882510130622</v>
      </c>
    </row>
    <row r="1018" spans="1:10" ht="16">
      <c r="A1018" s="79" t="s">
        <v>992</v>
      </c>
      <c r="B1018" s="79" t="s">
        <v>993</v>
      </c>
      <c r="C1018" s="80" t="s">
        <v>95</v>
      </c>
      <c r="D1018" s="81" t="s">
        <v>103</v>
      </c>
      <c r="E1018" s="82">
        <v>40110</v>
      </c>
      <c r="F1018" s="82">
        <v>2729</v>
      </c>
      <c r="G1018" s="82">
        <v>2407</v>
      </c>
      <c r="H1018" s="83">
        <v>19.443709873365325</v>
      </c>
      <c r="I1018" s="83">
        <v>8412.9971104595425</v>
      </c>
      <c r="J1018" s="83">
        <v>21.280509159288037</v>
      </c>
    </row>
    <row r="1019" spans="1:10" ht="16">
      <c r="A1019" s="79" t="s">
        <v>1061</v>
      </c>
      <c r="B1019" s="79" t="s">
        <v>1039</v>
      </c>
      <c r="C1019" s="80" t="s">
        <v>95</v>
      </c>
      <c r="D1019" s="81" t="s">
        <v>96</v>
      </c>
      <c r="E1019" s="82">
        <v>8595</v>
      </c>
      <c r="F1019" s="82">
        <v>585</v>
      </c>
      <c r="G1019" s="82">
        <v>688</v>
      </c>
      <c r="H1019" s="83">
        <v>15.431388585800867</v>
      </c>
      <c r="I1019" s="83">
        <v>7461.673478251505</v>
      </c>
      <c r="J1019" s="83">
        <v>24.166896866975279</v>
      </c>
    </row>
    <row r="1020" spans="1:10" ht="16">
      <c r="A1020" s="79" t="s">
        <v>412</v>
      </c>
      <c r="B1020" s="79" t="s">
        <v>396</v>
      </c>
      <c r="C1020" s="80" t="s">
        <v>95</v>
      </c>
      <c r="D1020" s="81" t="s">
        <v>99</v>
      </c>
      <c r="E1020" s="82">
        <v>58678</v>
      </c>
      <c r="F1020" s="82">
        <v>3056</v>
      </c>
      <c r="G1020" s="82">
        <v>9388</v>
      </c>
      <c r="H1020" s="83">
        <v>14.128284059639441</v>
      </c>
      <c r="I1020" s="83">
        <v>8312.6527091569969</v>
      </c>
      <c r="J1020" s="83">
        <v>22.222658903268616</v>
      </c>
    </row>
    <row r="1021" spans="1:10" ht="16">
      <c r="A1021" s="79" t="s">
        <v>795</v>
      </c>
      <c r="B1021" s="79" t="s">
        <v>796</v>
      </c>
      <c r="C1021" s="80" t="s">
        <v>95</v>
      </c>
      <c r="D1021" s="81" t="s">
        <v>79</v>
      </c>
      <c r="E1021" s="82">
        <v>4654</v>
      </c>
      <c r="F1021" s="82">
        <v>249</v>
      </c>
      <c r="G1021" s="82">
        <v>2280</v>
      </c>
      <c r="H1021" s="83">
        <v>36.512042886486725</v>
      </c>
      <c r="I1021" s="83">
        <v>27738.036184549568</v>
      </c>
      <c r="J1021" s="83">
        <v>38.003104203623877</v>
      </c>
    </row>
    <row r="1022" spans="1:10" ht="16">
      <c r="A1022" s="79" t="s">
        <v>799</v>
      </c>
      <c r="B1022" s="79" t="s">
        <v>798</v>
      </c>
      <c r="C1022" s="80" t="s">
        <v>95</v>
      </c>
      <c r="D1022" s="81" t="s">
        <v>76</v>
      </c>
      <c r="E1022" s="82">
        <v>9340</v>
      </c>
      <c r="F1022" s="82">
        <v>649</v>
      </c>
      <c r="G1022" s="82">
        <v>3456</v>
      </c>
      <c r="H1022" s="83">
        <v>32.823851047264597</v>
      </c>
      <c r="I1022" s="83">
        <v>20233.310822014373</v>
      </c>
      <c r="J1022" s="83">
        <v>32.484179688022792</v>
      </c>
    </row>
    <row r="1023" spans="1:10" ht="16">
      <c r="A1023" s="79" t="s">
        <v>1062</v>
      </c>
      <c r="B1023" s="79" t="s">
        <v>1039</v>
      </c>
      <c r="C1023" s="80" t="s">
        <v>95</v>
      </c>
      <c r="D1023" s="81" t="s">
        <v>103</v>
      </c>
      <c r="E1023" s="82">
        <v>35654</v>
      </c>
      <c r="F1023" s="82">
        <v>2764</v>
      </c>
      <c r="G1023" s="82">
        <v>3209</v>
      </c>
      <c r="H1023" s="83">
        <v>11.920523828246148</v>
      </c>
      <c r="I1023" s="83">
        <v>3813.2526674763681</v>
      </c>
      <c r="J1023" s="83">
        <v>20.764093569490647</v>
      </c>
    </row>
    <row r="1024" spans="1:10" ht="16">
      <c r="A1024" s="79" t="s">
        <v>813</v>
      </c>
      <c r="B1024" s="79" t="s">
        <v>801</v>
      </c>
      <c r="C1024" s="80" t="s">
        <v>95</v>
      </c>
      <c r="D1024" s="81" t="s">
        <v>79</v>
      </c>
      <c r="E1024" s="82">
        <v>15140</v>
      </c>
      <c r="F1024" s="82">
        <v>1893</v>
      </c>
      <c r="G1024" s="82">
        <v>3028</v>
      </c>
      <c r="H1024" s="83">
        <v>31.247191584104385</v>
      </c>
      <c r="I1024" s="83">
        <v>17285.431802007421</v>
      </c>
      <c r="J1024" s="83">
        <v>41.747874721554403</v>
      </c>
    </row>
    <row r="1025" spans="1:10" ht="16">
      <c r="A1025" s="79" t="s">
        <v>814</v>
      </c>
      <c r="B1025" s="79" t="s">
        <v>815</v>
      </c>
      <c r="C1025" s="80" t="s">
        <v>95</v>
      </c>
      <c r="D1025" s="81" t="s">
        <v>99</v>
      </c>
      <c r="E1025" s="82">
        <v>11772</v>
      </c>
      <c r="F1025" s="82">
        <v>906</v>
      </c>
      <c r="G1025" s="82">
        <v>1059</v>
      </c>
      <c r="H1025" s="83">
        <v>14.080644924326487</v>
      </c>
      <c r="I1025" s="83">
        <v>6609.1954311574091</v>
      </c>
      <c r="J1025" s="83">
        <v>17.172534923993343</v>
      </c>
    </row>
    <row r="1026" spans="1:10" ht="16">
      <c r="A1026" s="79" t="s">
        <v>1284</v>
      </c>
      <c r="B1026" s="79" t="s">
        <v>1209</v>
      </c>
      <c r="C1026" s="80" t="s">
        <v>95</v>
      </c>
      <c r="D1026" s="81" t="s">
        <v>99</v>
      </c>
      <c r="E1026" s="82">
        <v>37038</v>
      </c>
      <c r="F1026" s="82">
        <v>2572</v>
      </c>
      <c r="G1026" s="82">
        <v>14815</v>
      </c>
      <c r="H1026" s="83">
        <v>64.008706075922703</v>
      </c>
      <c r="I1026" s="83">
        <v>54431.504482854136</v>
      </c>
      <c r="J1026" s="83">
        <v>57.043533174105612</v>
      </c>
    </row>
    <row r="1027" spans="1:10" ht="16">
      <c r="A1027" s="79" t="s">
        <v>218</v>
      </c>
      <c r="B1027" s="79" t="s">
        <v>203</v>
      </c>
      <c r="C1027" s="80" t="s">
        <v>95</v>
      </c>
      <c r="D1027" s="81" t="s">
        <v>75</v>
      </c>
      <c r="E1027" s="82">
        <v>29311</v>
      </c>
      <c r="F1027" s="82">
        <v>997</v>
      </c>
      <c r="G1027" s="82">
        <v>4983</v>
      </c>
      <c r="H1027" s="83">
        <v>31.509815691044672</v>
      </c>
      <c r="I1027" s="83">
        <v>21561.894359236729</v>
      </c>
      <c r="J1027" s="83">
        <v>28.542342763771114</v>
      </c>
    </row>
    <row r="1028" spans="1:10" ht="16">
      <c r="A1028" s="79" t="s">
        <v>457</v>
      </c>
      <c r="B1028" s="79" t="s">
        <v>421</v>
      </c>
      <c r="C1028" s="80" t="s">
        <v>95</v>
      </c>
      <c r="D1028" s="81" t="s">
        <v>101</v>
      </c>
      <c r="E1028" s="82">
        <v>10730</v>
      </c>
      <c r="F1028" s="82">
        <v>134</v>
      </c>
      <c r="G1028" s="82">
        <v>1931</v>
      </c>
      <c r="H1028" s="83">
        <v>50.786528017955007</v>
      </c>
      <c r="I1028" s="83">
        <v>39155.915668794732</v>
      </c>
      <c r="J1028" s="83">
        <v>42.741868288476873</v>
      </c>
    </row>
    <row r="1029" spans="1:10" ht="16">
      <c r="A1029" s="79" t="s">
        <v>1155</v>
      </c>
      <c r="B1029" s="79" t="s">
        <v>1154</v>
      </c>
      <c r="C1029" s="80" t="s">
        <v>95</v>
      </c>
      <c r="D1029" s="81" t="s">
        <v>96</v>
      </c>
      <c r="E1029" s="82">
        <v>18361</v>
      </c>
      <c r="F1029" s="82">
        <v>1360</v>
      </c>
      <c r="G1029" s="82">
        <v>184</v>
      </c>
      <c r="H1029" s="83">
        <v>8.229541677594538</v>
      </c>
      <c r="I1029" s="83">
        <v>1904.9751875425586</v>
      </c>
      <c r="J1029" s="83">
        <v>19.419151614064084</v>
      </c>
    </row>
    <row r="1030" spans="1:10" ht="16">
      <c r="A1030" s="79" t="s">
        <v>458</v>
      </c>
      <c r="B1030" s="79" t="s">
        <v>421</v>
      </c>
      <c r="C1030" s="80" t="s">
        <v>95</v>
      </c>
      <c r="D1030" s="81" t="s">
        <v>101</v>
      </c>
      <c r="E1030" s="82">
        <v>25541</v>
      </c>
      <c r="F1030" s="82">
        <v>736</v>
      </c>
      <c r="G1030" s="82">
        <v>3065</v>
      </c>
      <c r="H1030" s="83">
        <v>29.190081078893968</v>
      </c>
      <c r="I1030" s="83">
        <v>21363.675818484342</v>
      </c>
      <c r="J1030" s="83">
        <v>33.965541870541877</v>
      </c>
    </row>
    <row r="1031" spans="1:10" ht="16">
      <c r="A1031" s="79" t="s">
        <v>994</v>
      </c>
      <c r="B1031" s="79" t="s">
        <v>993</v>
      </c>
      <c r="C1031" s="80" t="s">
        <v>95</v>
      </c>
      <c r="D1031" s="81" t="s">
        <v>76</v>
      </c>
      <c r="E1031" s="82">
        <v>12124</v>
      </c>
      <c r="F1031" s="82">
        <v>891</v>
      </c>
      <c r="G1031" s="82">
        <v>606</v>
      </c>
      <c r="H1031" s="83">
        <v>16.771134862544198</v>
      </c>
      <c r="I1031" s="83">
        <v>4908.070015167681</v>
      </c>
      <c r="J1031" s="83">
        <v>17.141962217270596</v>
      </c>
    </row>
    <row r="1032" spans="1:10" ht="16">
      <c r="A1032" s="79" t="s">
        <v>835</v>
      </c>
      <c r="B1032" s="79" t="s">
        <v>833</v>
      </c>
      <c r="C1032" s="80" t="s">
        <v>95</v>
      </c>
      <c r="D1032" s="81" t="s">
        <v>101</v>
      </c>
      <c r="E1032" s="82">
        <v>102000</v>
      </c>
      <c r="F1032" s="82">
        <v>1553</v>
      </c>
      <c r="G1032" s="82">
        <v>1020</v>
      </c>
      <c r="H1032" s="83">
        <v>8.7630546601755164</v>
      </c>
      <c r="I1032" s="83">
        <v>1952.432450450237</v>
      </c>
      <c r="J1032" s="83">
        <v>18.721309451580279</v>
      </c>
    </row>
    <row r="1033" spans="1:10" ht="16">
      <c r="A1033" s="79" t="s">
        <v>1428</v>
      </c>
      <c r="B1033" s="79" t="s">
        <v>1307</v>
      </c>
      <c r="C1033" s="80" t="s">
        <v>126</v>
      </c>
      <c r="D1033" s="81" t="s">
        <v>96</v>
      </c>
      <c r="E1033" s="82">
        <v>11667</v>
      </c>
      <c r="F1033" s="82">
        <v>645</v>
      </c>
      <c r="G1033" s="82">
        <v>933</v>
      </c>
      <c r="H1033" s="83">
        <v>17.503290974049921</v>
      </c>
      <c r="I1033" s="83">
        <v>10107.259502137511</v>
      </c>
      <c r="J1033" s="83">
        <v>23.720174972061479</v>
      </c>
    </row>
    <row r="1034" spans="1:10" ht="16">
      <c r="A1034" s="79" t="s">
        <v>1429</v>
      </c>
      <c r="B1034" s="79" t="s">
        <v>1307</v>
      </c>
      <c r="C1034" s="80" t="s">
        <v>126</v>
      </c>
      <c r="D1034" s="81" t="s">
        <v>99</v>
      </c>
      <c r="E1034" s="82">
        <v>33108</v>
      </c>
      <c r="F1034" s="82">
        <v>1994</v>
      </c>
      <c r="G1034" s="82">
        <v>3642</v>
      </c>
      <c r="H1034" s="83">
        <v>59.427550801811968</v>
      </c>
      <c r="I1034" s="83">
        <v>53015.062420938804</v>
      </c>
      <c r="J1034" s="83">
        <v>47.684058604400349</v>
      </c>
    </row>
    <row r="1035" spans="1:10" ht="16">
      <c r="A1035" s="79" t="s">
        <v>1430</v>
      </c>
      <c r="B1035" s="79" t="s">
        <v>1307</v>
      </c>
      <c r="C1035" s="80" t="s">
        <v>126</v>
      </c>
      <c r="D1035" s="81" t="s">
        <v>149</v>
      </c>
      <c r="E1035" s="82">
        <v>61204</v>
      </c>
      <c r="F1035" s="82">
        <v>4708</v>
      </c>
      <c r="G1035" s="82">
        <v>9181</v>
      </c>
      <c r="H1035" s="83">
        <v>31.241065405767959</v>
      </c>
      <c r="I1035" s="83">
        <v>27105.576964426058</v>
      </c>
      <c r="J1035" s="83">
        <v>38.687363002037493</v>
      </c>
    </row>
    <row r="1036" spans="1:10" ht="16">
      <c r="A1036" s="79" t="s">
        <v>589</v>
      </c>
      <c r="B1036" s="79" t="s">
        <v>556</v>
      </c>
      <c r="C1036" s="80" t="s">
        <v>95</v>
      </c>
      <c r="D1036" s="81" t="s">
        <v>103</v>
      </c>
      <c r="E1036" s="82">
        <v>12942</v>
      </c>
      <c r="F1036" s="82">
        <v>384</v>
      </c>
      <c r="G1036" s="82">
        <v>259</v>
      </c>
      <c r="H1036" s="83">
        <v>11.997631437124497</v>
      </c>
      <c r="I1036" s="83">
        <v>3841.64727855304</v>
      </c>
      <c r="J1036" s="83">
        <v>28.706134710953002</v>
      </c>
    </row>
    <row r="1037" spans="1:10" ht="16">
      <c r="A1037" s="79" t="s">
        <v>131</v>
      </c>
      <c r="B1037" s="79" t="s">
        <v>108</v>
      </c>
      <c r="C1037" s="80" t="s">
        <v>95</v>
      </c>
      <c r="D1037" s="81" t="s">
        <v>96</v>
      </c>
      <c r="E1037" s="82">
        <v>47385</v>
      </c>
      <c r="F1037" s="82">
        <v>1802</v>
      </c>
      <c r="G1037" s="82">
        <v>21797</v>
      </c>
      <c r="H1037" s="83">
        <v>74.289437445989677</v>
      </c>
      <c r="I1037" s="83">
        <v>66560.431584638703</v>
      </c>
      <c r="J1037" s="83">
        <v>66.345675741029396</v>
      </c>
    </row>
    <row r="1038" spans="1:10" ht="16">
      <c r="A1038" s="79" t="s">
        <v>1431</v>
      </c>
      <c r="B1038" s="79" t="s">
        <v>1307</v>
      </c>
      <c r="C1038" s="80" t="s">
        <v>95</v>
      </c>
      <c r="D1038" s="81" t="s">
        <v>103</v>
      </c>
      <c r="E1038" s="82">
        <v>15971</v>
      </c>
      <c r="F1038" s="82">
        <v>2535</v>
      </c>
      <c r="G1038" s="82">
        <v>2555</v>
      </c>
      <c r="H1038" s="83">
        <v>25.224818271588777</v>
      </c>
      <c r="I1038" s="83">
        <v>20995.13817744872</v>
      </c>
      <c r="J1038" s="83">
        <v>44.1353059858696</v>
      </c>
    </row>
    <row r="1039" spans="1:10" ht="16">
      <c r="A1039" s="79" t="s">
        <v>1432</v>
      </c>
      <c r="B1039" s="79" t="s">
        <v>1307</v>
      </c>
      <c r="C1039" s="80" t="s">
        <v>126</v>
      </c>
      <c r="D1039" s="81" t="s">
        <v>75</v>
      </c>
      <c r="E1039" s="82">
        <v>42982</v>
      </c>
      <c r="F1039" s="82">
        <v>5179</v>
      </c>
      <c r="G1039" s="82">
        <v>7307</v>
      </c>
      <c r="H1039" s="83">
        <v>86.223638250122562</v>
      </c>
      <c r="I1039" s="83">
        <v>81794.947205483899</v>
      </c>
      <c r="J1039" s="83">
        <v>80.023225460170963</v>
      </c>
    </row>
    <row r="1040" spans="1:10" ht="16">
      <c r="A1040" s="79" t="s">
        <v>636</v>
      </c>
      <c r="B1040" s="79" t="s">
        <v>617</v>
      </c>
      <c r="C1040" s="80" t="s">
        <v>95</v>
      </c>
      <c r="D1040" s="81" t="s">
        <v>103</v>
      </c>
      <c r="E1040" s="82">
        <v>45451</v>
      </c>
      <c r="F1040" s="82">
        <v>2124</v>
      </c>
      <c r="G1040" s="82">
        <v>2727</v>
      </c>
      <c r="H1040" s="83">
        <v>29.003209409275069</v>
      </c>
      <c r="I1040" s="83">
        <v>20918.852479039648</v>
      </c>
      <c r="J1040" s="83">
        <v>36.624202386391254</v>
      </c>
    </row>
    <row r="1041" spans="1:10" ht="16">
      <c r="A1041" s="79" t="s">
        <v>637</v>
      </c>
      <c r="B1041" s="79" t="s">
        <v>617</v>
      </c>
      <c r="C1041" s="80" t="s">
        <v>95</v>
      </c>
      <c r="D1041" s="81" t="s">
        <v>79</v>
      </c>
      <c r="E1041" s="82">
        <v>26509</v>
      </c>
      <c r="F1041" s="82">
        <v>917</v>
      </c>
      <c r="G1041" s="82">
        <v>1591</v>
      </c>
      <c r="H1041" s="83">
        <v>20.638205631484002</v>
      </c>
      <c r="I1041" s="83">
        <v>16355.353239923361</v>
      </c>
      <c r="J1041" s="83">
        <v>24.284311200465847</v>
      </c>
    </row>
    <row r="1042" spans="1:10" ht="16">
      <c r="A1042" s="79" t="s">
        <v>921</v>
      </c>
      <c r="B1042" s="79" t="s">
        <v>912</v>
      </c>
      <c r="C1042" s="80" t="s">
        <v>95</v>
      </c>
      <c r="D1042" s="81" t="s">
        <v>75</v>
      </c>
      <c r="E1042" s="82">
        <v>18066</v>
      </c>
      <c r="F1042" s="82">
        <v>1009</v>
      </c>
      <c r="G1042" s="82">
        <v>1807</v>
      </c>
      <c r="H1042" s="83">
        <v>20.108726370827451</v>
      </c>
      <c r="I1042" s="83">
        <v>6716.7328113796721</v>
      </c>
      <c r="J1042" s="83">
        <v>22.532247593127977</v>
      </c>
    </row>
    <row r="1043" spans="1:10" ht="16">
      <c r="A1043" s="79" t="s">
        <v>1433</v>
      </c>
      <c r="B1043" s="79" t="s">
        <v>1307</v>
      </c>
      <c r="C1043" s="80" t="s">
        <v>95</v>
      </c>
      <c r="D1043" s="81" t="s">
        <v>149</v>
      </c>
      <c r="E1043" s="82">
        <v>61120</v>
      </c>
      <c r="F1043" s="82">
        <v>4929</v>
      </c>
      <c r="G1043" s="82">
        <v>6723</v>
      </c>
      <c r="H1043" s="83">
        <v>59.559415162033083</v>
      </c>
      <c r="I1043" s="83">
        <v>49076.547049998073</v>
      </c>
      <c r="J1043" s="83">
        <v>56.014482543891788</v>
      </c>
    </row>
    <row r="1044" spans="1:10" ht="16">
      <c r="A1044" s="79" t="s">
        <v>1434</v>
      </c>
      <c r="B1044" s="79" t="s">
        <v>1307</v>
      </c>
      <c r="C1044" s="80" t="s">
        <v>95</v>
      </c>
      <c r="D1044" s="81" t="s">
        <v>77</v>
      </c>
      <c r="E1044" s="82">
        <v>28513</v>
      </c>
      <c r="F1044" s="82">
        <v>2144</v>
      </c>
      <c r="G1044" s="82">
        <v>1711</v>
      </c>
      <c r="H1044" s="83">
        <v>24.613126056186136</v>
      </c>
      <c r="I1044" s="83">
        <v>15951.918913027243</v>
      </c>
      <c r="J1044" s="83">
        <v>35.770931852787534</v>
      </c>
    </row>
    <row r="1045" spans="1:10" ht="16">
      <c r="A1045" s="79" t="s">
        <v>1435</v>
      </c>
      <c r="B1045" s="79" t="s">
        <v>1307</v>
      </c>
      <c r="C1045" s="80" t="s">
        <v>95</v>
      </c>
      <c r="D1045" s="81" t="s">
        <v>101</v>
      </c>
      <c r="E1045" s="82">
        <v>7019</v>
      </c>
      <c r="F1045" s="82">
        <v>439</v>
      </c>
      <c r="G1045" s="82">
        <v>421</v>
      </c>
      <c r="H1045" s="83">
        <v>25.114059456533347</v>
      </c>
      <c r="I1045" s="83">
        <v>17410.491307875658</v>
      </c>
      <c r="J1045" s="83">
        <v>30.471796757984134</v>
      </c>
    </row>
    <row r="1046" spans="1:10" ht="16">
      <c r="A1046" s="79" t="s">
        <v>758</v>
      </c>
      <c r="B1046" s="79" t="s">
        <v>661</v>
      </c>
      <c r="C1046" s="80" t="s">
        <v>126</v>
      </c>
      <c r="D1046" s="81" t="s">
        <v>99</v>
      </c>
      <c r="E1046" s="82">
        <v>5488</v>
      </c>
      <c r="F1046" s="82">
        <v>695</v>
      </c>
      <c r="G1046" s="82">
        <v>165</v>
      </c>
      <c r="H1046" s="83">
        <v>10.023738045794312</v>
      </c>
      <c r="I1046" s="83">
        <v>2106.014890650164</v>
      </c>
      <c r="J1046" s="83">
        <v>21.011546448057285</v>
      </c>
    </row>
    <row r="1047" spans="1:10" ht="16">
      <c r="A1047" s="79" t="s">
        <v>638</v>
      </c>
      <c r="B1047" s="79" t="s">
        <v>617</v>
      </c>
      <c r="C1047" s="80" t="s">
        <v>95</v>
      </c>
      <c r="D1047" s="81" t="s">
        <v>78</v>
      </c>
      <c r="E1047" s="82">
        <v>17432</v>
      </c>
      <c r="F1047" s="82">
        <v>703</v>
      </c>
      <c r="G1047" s="82">
        <v>1046</v>
      </c>
      <c r="H1047" s="83">
        <v>20.018740302909947</v>
      </c>
      <c r="I1047" s="83">
        <v>13692.40860279952</v>
      </c>
      <c r="J1047" s="83">
        <v>32.424770856382096</v>
      </c>
    </row>
    <row r="1048" spans="1:10" ht="16">
      <c r="A1048" s="79" t="s">
        <v>1156</v>
      </c>
      <c r="B1048" s="79" t="s">
        <v>1154</v>
      </c>
      <c r="C1048" s="80" t="s">
        <v>95</v>
      </c>
      <c r="D1048" s="81" t="s">
        <v>99</v>
      </c>
      <c r="E1048" s="82">
        <v>19973</v>
      </c>
      <c r="F1048" s="82">
        <v>2059</v>
      </c>
      <c r="G1048" s="82">
        <v>200</v>
      </c>
      <c r="H1048" s="83">
        <v>9.586367774806412</v>
      </c>
      <c r="I1048" s="83">
        <v>1121.1145043488677</v>
      </c>
      <c r="J1048" s="83">
        <v>21.497253863300475</v>
      </c>
    </row>
    <row r="1049" spans="1:10" ht="16">
      <c r="A1049" s="79" t="s">
        <v>830</v>
      </c>
      <c r="B1049" s="79" t="s">
        <v>831</v>
      </c>
      <c r="C1049" s="80" t="s">
        <v>95</v>
      </c>
      <c r="D1049" s="81" t="s">
        <v>149</v>
      </c>
      <c r="E1049" s="82">
        <v>19171</v>
      </c>
      <c r="F1049" s="82">
        <v>702</v>
      </c>
      <c r="G1049" s="82">
        <v>383</v>
      </c>
      <c r="H1049" s="83">
        <v>10.431785525493572</v>
      </c>
      <c r="I1049" s="83">
        <v>1476.9106982234207</v>
      </c>
      <c r="J1049" s="83">
        <v>12.907849432553354</v>
      </c>
    </row>
    <row r="1050" spans="1:10" ht="16">
      <c r="A1050" s="79" t="s">
        <v>219</v>
      </c>
      <c r="B1050" s="79" t="s">
        <v>203</v>
      </c>
      <c r="C1050" s="80" t="s">
        <v>126</v>
      </c>
      <c r="D1050" s="81" t="s">
        <v>111</v>
      </c>
      <c r="E1050" s="82">
        <v>36794</v>
      </c>
      <c r="F1050" s="82">
        <v>1821</v>
      </c>
      <c r="G1050" s="82">
        <v>8095</v>
      </c>
      <c r="H1050" s="83">
        <v>50.477500774749373</v>
      </c>
      <c r="I1050" s="83">
        <v>43003.172857634869</v>
      </c>
      <c r="J1050" s="83">
        <v>48.84115690513854</v>
      </c>
    </row>
    <row r="1051" spans="1:10" ht="16">
      <c r="A1051" s="79" t="s">
        <v>545</v>
      </c>
      <c r="B1051" s="79" t="s">
        <v>493</v>
      </c>
      <c r="C1051" s="80" t="s">
        <v>126</v>
      </c>
      <c r="D1051" s="81" t="s">
        <v>79</v>
      </c>
      <c r="E1051" s="82">
        <v>7874</v>
      </c>
      <c r="F1051" s="82">
        <v>435</v>
      </c>
      <c r="G1051" s="82">
        <v>176</v>
      </c>
      <c r="H1051" s="83">
        <v>11.171315306810229</v>
      </c>
      <c r="I1051" s="83">
        <v>1770.1200666410773</v>
      </c>
      <c r="J1051" s="83">
        <v>31.430101370836617</v>
      </c>
    </row>
    <row r="1052" spans="1:10" ht="16">
      <c r="A1052" s="79" t="s">
        <v>1063</v>
      </c>
      <c r="B1052" s="79" t="s">
        <v>1039</v>
      </c>
      <c r="C1052" s="80" t="s">
        <v>95</v>
      </c>
      <c r="D1052" s="81" t="s">
        <v>76</v>
      </c>
      <c r="E1052" s="82">
        <v>27662</v>
      </c>
      <c r="F1052" s="82">
        <v>1697</v>
      </c>
      <c r="G1052" s="82">
        <v>1936</v>
      </c>
      <c r="H1052" s="83">
        <v>13.930971201504084</v>
      </c>
      <c r="I1052" s="83">
        <v>4511.1914597113455</v>
      </c>
      <c r="J1052" s="83">
        <v>22.566477739593267</v>
      </c>
    </row>
    <row r="1053" spans="1:10" ht="16">
      <c r="A1053" s="79" t="s">
        <v>546</v>
      </c>
      <c r="B1053" s="79" t="s">
        <v>493</v>
      </c>
      <c r="C1053" s="80" t="s">
        <v>126</v>
      </c>
      <c r="D1053" s="81" t="s">
        <v>79</v>
      </c>
      <c r="E1053" s="82">
        <v>7810</v>
      </c>
      <c r="F1053" s="82">
        <v>367</v>
      </c>
      <c r="G1053" s="82">
        <v>781</v>
      </c>
      <c r="H1053" s="83">
        <v>9.155216339259189</v>
      </c>
      <c r="I1053" s="83">
        <v>694.79197293395509</v>
      </c>
      <c r="J1053" s="83">
        <v>32.215450185385663</v>
      </c>
    </row>
    <row r="1054" spans="1:10" ht="16">
      <c r="A1054" s="79" t="s">
        <v>780</v>
      </c>
      <c r="B1054" s="79" t="s">
        <v>781</v>
      </c>
      <c r="C1054" s="80" t="s">
        <v>126</v>
      </c>
      <c r="D1054" s="81" t="s">
        <v>76</v>
      </c>
      <c r="E1054" s="82">
        <v>69456</v>
      </c>
      <c r="F1054" s="82">
        <v>1767</v>
      </c>
      <c r="G1054" s="82">
        <v>695</v>
      </c>
      <c r="H1054" s="83">
        <v>10.795929388509457</v>
      </c>
      <c r="I1054" s="83">
        <v>4933.480797332425</v>
      </c>
      <c r="J1054" s="83">
        <v>14.764312459343717</v>
      </c>
    </row>
    <row r="1055" spans="1:10" ht="16">
      <c r="A1055" s="79" t="s">
        <v>413</v>
      </c>
      <c r="B1055" s="79" t="s">
        <v>396</v>
      </c>
      <c r="C1055" s="80" t="s">
        <v>95</v>
      </c>
      <c r="D1055" s="81" t="s">
        <v>111</v>
      </c>
      <c r="E1055" s="82">
        <v>37078</v>
      </c>
      <c r="F1055" s="82">
        <v>1501</v>
      </c>
      <c r="G1055" s="82">
        <v>4079</v>
      </c>
      <c r="H1055" s="83">
        <v>21.01213887577925</v>
      </c>
      <c r="I1055" s="83">
        <v>12076.257051087727</v>
      </c>
      <c r="J1055" s="83">
        <v>20.296563400287873</v>
      </c>
    </row>
    <row r="1056" spans="1:10" ht="16">
      <c r="A1056" s="79" t="s">
        <v>639</v>
      </c>
      <c r="B1056" s="79" t="s">
        <v>617</v>
      </c>
      <c r="C1056" s="80" t="s">
        <v>95</v>
      </c>
      <c r="D1056" s="81" t="s">
        <v>111</v>
      </c>
      <c r="E1056" s="82">
        <v>49604</v>
      </c>
      <c r="F1056" s="82">
        <v>2531</v>
      </c>
      <c r="G1056" s="82">
        <v>992</v>
      </c>
      <c r="H1056" s="83">
        <v>23.54339072350626</v>
      </c>
      <c r="I1056" s="83">
        <v>16861.70402421735</v>
      </c>
      <c r="J1056" s="83">
        <v>35.486248526306518</v>
      </c>
    </row>
    <row r="1057" spans="1:10" ht="16">
      <c r="A1057" s="79" t="s">
        <v>1064</v>
      </c>
      <c r="B1057" s="79" t="s">
        <v>1039</v>
      </c>
      <c r="C1057" s="80" t="s">
        <v>95</v>
      </c>
      <c r="D1057" s="81" t="s">
        <v>77</v>
      </c>
      <c r="E1057" s="82">
        <v>10833</v>
      </c>
      <c r="F1057" s="82">
        <v>833</v>
      </c>
      <c r="G1057" s="82">
        <v>2383</v>
      </c>
      <c r="H1057" s="83">
        <v>28.18611560213531</v>
      </c>
      <c r="I1057" s="83">
        <v>22446.851750537618</v>
      </c>
      <c r="J1057" s="83">
        <v>31.241456674969275</v>
      </c>
    </row>
    <row r="1058" spans="1:10" ht="16">
      <c r="A1058" s="79" t="s">
        <v>1436</v>
      </c>
      <c r="B1058" s="79" t="s">
        <v>1307</v>
      </c>
      <c r="C1058" s="80" t="s">
        <v>95</v>
      </c>
      <c r="D1058" s="81" t="s">
        <v>78</v>
      </c>
      <c r="E1058" s="82">
        <v>3041</v>
      </c>
      <c r="F1058" s="82">
        <v>1322</v>
      </c>
      <c r="G1058" s="82">
        <v>213</v>
      </c>
      <c r="H1058" s="83">
        <v>12.181348954548293</v>
      </c>
      <c r="I1058" s="83">
        <v>6985.3553163032784</v>
      </c>
      <c r="J1058" s="83">
        <v>36.055049032952972</v>
      </c>
    </row>
    <row r="1059" spans="1:10" ht="16">
      <c r="A1059" s="79" t="s">
        <v>1437</v>
      </c>
      <c r="B1059" s="79" t="s">
        <v>1307</v>
      </c>
      <c r="C1059" s="80" t="s">
        <v>126</v>
      </c>
      <c r="D1059" s="81" t="s">
        <v>77</v>
      </c>
      <c r="E1059" s="82">
        <v>24610</v>
      </c>
      <c r="F1059" s="82">
        <v>1431</v>
      </c>
      <c r="G1059" s="82">
        <v>2707</v>
      </c>
      <c r="H1059" s="83">
        <v>28.736838369406279</v>
      </c>
      <c r="I1059" s="83">
        <v>17701.647304440961</v>
      </c>
      <c r="J1059" s="83">
        <v>30.842033161284927</v>
      </c>
    </row>
    <row r="1060" spans="1:10" ht="16">
      <c r="A1060" s="79" t="s">
        <v>1438</v>
      </c>
      <c r="B1060" s="79" t="s">
        <v>1307</v>
      </c>
      <c r="C1060" s="80" t="s">
        <v>95</v>
      </c>
      <c r="D1060" s="81" t="s">
        <v>99</v>
      </c>
      <c r="E1060" s="82">
        <v>24982</v>
      </c>
      <c r="F1060" s="82">
        <v>1101</v>
      </c>
      <c r="G1060" s="82">
        <v>1249</v>
      </c>
      <c r="H1060" s="83">
        <v>22.93507590902847</v>
      </c>
      <c r="I1060" s="83">
        <v>9369.6560222205135</v>
      </c>
      <c r="J1060" s="83">
        <v>28.922828305298868</v>
      </c>
    </row>
    <row r="1061" spans="1:10" ht="16">
      <c r="A1061" s="79" t="s">
        <v>1439</v>
      </c>
      <c r="B1061" s="79" t="s">
        <v>1307</v>
      </c>
      <c r="C1061" s="80" t="s">
        <v>95</v>
      </c>
      <c r="D1061" s="81" t="s">
        <v>111</v>
      </c>
      <c r="E1061" s="82">
        <v>19382</v>
      </c>
      <c r="F1061" s="82">
        <v>1133</v>
      </c>
      <c r="G1061" s="82">
        <v>969</v>
      </c>
      <c r="H1061" s="83">
        <v>32.702977290780538</v>
      </c>
      <c r="I1061" s="83">
        <v>26631.475984025961</v>
      </c>
      <c r="J1061" s="83">
        <v>29.568867015823503</v>
      </c>
    </row>
    <row r="1062" spans="1:10" ht="16">
      <c r="A1062" s="79" t="s">
        <v>132</v>
      </c>
      <c r="B1062" s="79" t="s">
        <v>108</v>
      </c>
      <c r="C1062" s="80" t="s">
        <v>95</v>
      </c>
      <c r="D1062" s="81" t="s">
        <v>96</v>
      </c>
      <c r="E1062" s="82">
        <v>22100</v>
      </c>
      <c r="F1062" s="82">
        <v>1068</v>
      </c>
      <c r="G1062" s="82">
        <v>3978</v>
      </c>
      <c r="H1062" s="83">
        <v>29.058087855462077</v>
      </c>
      <c r="I1062" s="83">
        <v>21702.961469550319</v>
      </c>
      <c r="J1062" s="83">
        <v>24.581500033691626</v>
      </c>
    </row>
    <row r="1063" spans="1:10" ht="16">
      <c r="A1063" s="79" t="s">
        <v>865</v>
      </c>
      <c r="B1063" s="79" t="s">
        <v>862</v>
      </c>
      <c r="C1063" s="80" t="s">
        <v>95</v>
      </c>
      <c r="D1063" s="81" t="s">
        <v>111</v>
      </c>
      <c r="E1063" s="82">
        <v>34227</v>
      </c>
      <c r="F1063" s="82">
        <v>2593</v>
      </c>
      <c r="G1063" s="82">
        <v>342</v>
      </c>
      <c r="H1063" s="83">
        <v>9.2087653910327472</v>
      </c>
      <c r="I1063" s="83">
        <v>1601.7199254187965</v>
      </c>
      <c r="J1063" s="83">
        <v>23.596813902567042</v>
      </c>
    </row>
    <row r="1064" spans="1:10" ht="16">
      <c r="A1064" s="79" t="s">
        <v>1440</v>
      </c>
      <c r="B1064" s="79" t="s">
        <v>1307</v>
      </c>
      <c r="C1064" s="80" t="s">
        <v>95</v>
      </c>
      <c r="D1064" s="81" t="s">
        <v>77</v>
      </c>
      <c r="E1064" s="82">
        <v>35419</v>
      </c>
      <c r="F1064" s="82">
        <v>3768</v>
      </c>
      <c r="G1064" s="82">
        <v>2834</v>
      </c>
      <c r="H1064" s="83">
        <v>63.65096765781049</v>
      </c>
      <c r="I1064" s="83">
        <v>61280.637912416583</v>
      </c>
      <c r="J1064" s="83">
        <v>60.602881670015307</v>
      </c>
    </row>
    <row r="1065" spans="1:10" ht="16">
      <c r="A1065" s="79" t="s">
        <v>1441</v>
      </c>
      <c r="B1065" s="79" t="s">
        <v>1307</v>
      </c>
      <c r="C1065" s="80" t="s">
        <v>95</v>
      </c>
      <c r="D1065" s="81" t="s">
        <v>77</v>
      </c>
      <c r="E1065" s="82">
        <v>18999</v>
      </c>
      <c r="F1065" s="82">
        <v>856</v>
      </c>
      <c r="G1065" s="82">
        <v>760</v>
      </c>
      <c r="H1065" s="83">
        <v>19.760435943799241</v>
      </c>
      <c r="I1065" s="83">
        <v>9669.8257427296976</v>
      </c>
      <c r="J1065" s="83">
        <v>21.270304412744888</v>
      </c>
    </row>
    <row r="1066" spans="1:10" ht="16">
      <c r="A1066" s="79" t="s">
        <v>1442</v>
      </c>
      <c r="B1066" s="79" t="s">
        <v>1307</v>
      </c>
      <c r="C1066" s="80" t="s">
        <v>95</v>
      </c>
      <c r="D1066" s="81" t="s">
        <v>75</v>
      </c>
      <c r="E1066" s="82">
        <v>14791</v>
      </c>
      <c r="F1066" s="82">
        <v>755</v>
      </c>
      <c r="G1066" s="82">
        <v>296</v>
      </c>
      <c r="H1066" s="83">
        <v>8.4194707069466759</v>
      </c>
      <c r="I1066" s="83">
        <v>1805.7725669160943</v>
      </c>
      <c r="J1066" s="83">
        <v>16.565107183497638</v>
      </c>
    </row>
    <row r="1067" spans="1:10" ht="16">
      <c r="A1067" s="79" t="s">
        <v>1443</v>
      </c>
      <c r="B1067" s="79" t="s">
        <v>1307</v>
      </c>
      <c r="C1067" s="80" t="s">
        <v>95</v>
      </c>
      <c r="D1067" s="81" t="s">
        <v>77</v>
      </c>
      <c r="E1067" s="82">
        <v>12132</v>
      </c>
      <c r="F1067" s="82">
        <v>685</v>
      </c>
      <c r="G1067" s="82">
        <v>243</v>
      </c>
      <c r="H1067" s="83">
        <v>11.327119480397879</v>
      </c>
      <c r="I1067" s="83">
        <v>2720.3734258931072</v>
      </c>
      <c r="J1067" s="83">
        <v>25.464230176141346</v>
      </c>
    </row>
    <row r="1068" spans="1:10" ht="16">
      <c r="A1068" s="79" t="s">
        <v>220</v>
      </c>
      <c r="B1068" s="79" t="s">
        <v>203</v>
      </c>
      <c r="C1068" s="80" t="s">
        <v>95</v>
      </c>
      <c r="D1068" s="81" t="s">
        <v>101</v>
      </c>
      <c r="E1068" s="82">
        <v>2733</v>
      </c>
      <c r="F1068" s="82">
        <v>195</v>
      </c>
      <c r="G1068" s="82">
        <v>219</v>
      </c>
      <c r="H1068" s="83">
        <v>18.768324177855732</v>
      </c>
      <c r="I1068" s="83">
        <v>7803.9457192238206</v>
      </c>
      <c r="J1068" s="83">
        <v>19.808076387469882</v>
      </c>
    </row>
    <row r="1069" spans="1:10" ht="16">
      <c r="A1069" s="79" t="s">
        <v>1444</v>
      </c>
      <c r="B1069" s="79" t="s">
        <v>1307</v>
      </c>
      <c r="C1069" s="80" t="s">
        <v>126</v>
      </c>
      <c r="D1069" s="81" t="s">
        <v>76</v>
      </c>
      <c r="E1069" s="82">
        <v>12104</v>
      </c>
      <c r="F1069" s="82">
        <v>884</v>
      </c>
      <c r="G1069" s="82">
        <v>1452</v>
      </c>
      <c r="H1069" s="83">
        <v>47.06646489114091</v>
      </c>
      <c r="I1069" s="83">
        <v>33999.736303129896</v>
      </c>
      <c r="J1069" s="83">
        <v>53.343486109219199</v>
      </c>
    </row>
    <row r="1070" spans="1:10" ht="16">
      <c r="A1070" s="79" t="s">
        <v>1285</v>
      </c>
      <c r="B1070" s="79" t="s">
        <v>1209</v>
      </c>
      <c r="C1070" s="80" t="s">
        <v>95</v>
      </c>
      <c r="D1070" s="81" t="s">
        <v>103</v>
      </c>
      <c r="E1070" s="82">
        <v>29699</v>
      </c>
      <c r="F1070" s="82">
        <v>2034</v>
      </c>
      <c r="G1070" s="82">
        <v>8613</v>
      </c>
      <c r="H1070" s="83">
        <v>42.7163045409646</v>
      </c>
      <c r="I1070" s="83">
        <v>34252.408653399725</v>
      </c>
      <c r="J1070" s="83">
        <v>43.169825736510099</v>
      </c>
    </row>
    <row r="1071" spans="1:10" ht="16">
      <c r="A1071" s="79" t="s">
        <v>759</v>
      </c>
      <c r="B1071" s="79" t="s">
        <v>661</v>
      </c>
      <c r="C1071" s="80" t="s">
        <v>95</v>
      </c>
      <c r="D1071" s="81" t="s">
        <v>99</v>
      </c>
      <c r="E1071" s="82">
        <v>1142</v>
      </c>
      <c r="F1071" s="82">
        <v>439</v>
      </c>
      <c r="G1071" s="82">
        <v>11</v>
      </c>
      <c r="H1071" s="83">
        <v>10.267196914593193</v>
      </c>
      <c r="I1071" s="83">
        <v>9659.9152846319066</v>
      </c>
      <c r="J1071" s="83">
        <v>27.827615753633534</v>
      </c>
    </row>
    <row r="1072" spans="1:10" ht="16">
      <c r="A1072" s="79" t="s">
        <v>1445</v>
      </c>
      <c r="B1072" s="79" t="s">
        <v>1307</v>
      </c>
      <c r="C1072" s="80" t="s">
        <v>95</v>
      </c>
      <c r="D1072" s="81" t="s">
        <v>103</v>
      </c>
      <c r="E1072" s="82">
        <v>22143</v>
      </c>
      <c r="F1072" s="82">
        <v>2050</v>
      </c>
      <c r="G1072" s="82">
        <v>2657</v>
      </c>
      <c r="H1072" s="83">
        <v>29.638592034083647</v>
      </c>
      <c r="I1072" s="83">
        <v>24586.004467078674</v>
      </c>
      <c r="J1072" s="83">
        <v>34.67050271757914</v>
      </c>
    </row>
    <row r="1073" spans="1:10" ht="16">
      <c r="A1073" s="79" t="s">
        <v>873</v>
      </c>
      <c r="B1073" s="79" t="s">
        <v>869</v>
      </c>
      <c r="C1073" s="80" t="s">
        <v>95</v>
      </c>
      <c r="D1073" s="81" t="s">
        <v>78</v>
      </c>
      <c r="E1073" s="82">
        <v>20783</v>
      </c>
      <c r="F1073" s="82">
        <v>1649</v>
      </c>
      <c r="G1073" s="82">
        <v>3533</v>
      </c>
      <c r="H1073" s="83">
        <v>43.95231951169125</v>
      </c>
      <c r="I1073" s="83">
        <v>39480.82315128007</v>
      </c>
      <c r="J1073" s="83">
        <v>40.351821223128781</v>
      </c>
    </row>
    <row r="1074" spans="1:10" ht="16">
      <c r="A1074" s="79" t="s">
        <v>350</v>
      </c>
      <c r="B1074" s="79" t="s">
        <v>341</v>
      </c>
      <c r="C1074" s="80" t="s">
        <v>95</v>
      </c>
      <c r="D1074" s="81" t="s">
        <v>75</v>
      </c>
      <c r="E1074" s="82">
        <v>8872</v>
      </c>
      <c r="F1074" s="82">
        <v>485</v>
      </c>
      <c r="G1074" s="82">
        <v>798</v>
      </c>
      <c r="H1074" s="83">
        <v>13.910862601583284</v>
      </c>
      <c r="I1074" s="83">
        <v>3953.2835533309967</v>
      </c>
      <c r="J1074" s="83">
        <v>17.407492629253355</v>
      </c>
    </row>
    <row r="1075" spans="1:10" ht="16">
      <c r="A1075" s="79" t="s">
        <v>858</v>
      </c>
      <c r="B1075" s="79" t="s">
        <v>853</v>
      </c>
      <c r="C1075" s="80" t="s">
        <v>95</v>
      </c>
      <c r="D1075" s="81" t="s">
        <v>103</v>
      </c>
      <c r="E1075" s="82">
        <v>18196</v>
      </c>
      <c r="F1075" s="82">
        <v>910</v>
      </c>
      <c r="G1075" s="82">
        <v>3821</v>
      </c>
      <c r="H1075" s="83">
        <v>32.313414016586663</v>
      </c>
      <c r="I1075" s="83">
        <v>27196.894753288383</v>
      </c>
      <c r="J1075" s="83">
        <v>30.457652318626188</v>
      </c>
    </row>
    <row r="1076" spans="1:10" ht="16">
      <c r="A1076" s="79" t="s">
        <v>221</v>
      </c>
      <c r="B1076" s="79" t="s">
        <v>203</v>
      </c>
      <c r="C1076" s="80" t="s">
        <v>95</v>
      </c>
      <c r="D1076" s="81" t="s">
        <v>77</v>
      </c>
      <c r="E1076" s="82">
        <v>35365</v>
      </c>
      <c r="F1076" s="82">
        <v>1432</v>
      </c>
      <c r="G1076" s="82">
        <v>6719</v>
      </c>
      <c r="H1076" s="83">
        <v>42.892136685681329</v>
      </c>
      <c r="I1076" s="83">
        <v>36279.928620316154</v>
      </c>
      <c r="J1076" s="83">
        <v>41.553990005099728</v>
      </c>
    </row>
    <row r="1077" spans="1:10" ht="16">
      <c r="A1077" s="79" t="s">
        <v>393</v>
      </c>
      <c r="B1077" s="79" t="s">
        <v>388</v>
      </c>
      <c r="C1077" s="80" t="s">
        <v>95</v>
      </c>
      <c r="D1077" s="81" t="s">
        <v>75</v>
      </c>
      <c r="E1077" s="82">
        <v>10086</v>
      </c>
      <c r="F1077" s="82">
        <v>336</v>
      </c>
      <c r="G1077" s="82">
        <v>605</v>
      </c>
      <c r="H1077" s="83">
        <v>34.423298711764538</v>
      </c>
      <c r="I1077" s="83">
        <v>26334.031572171065</v>
      </c>
      <c r="J1077" s="83">
        <v>30.623034164409507</v>
      </c>
    </row>
    <row r="1078" spans="1:10" ht="16">
      <c r="A1078" s="79" t="s">
        <v>1065</v>
      </c>
      <c r="B1078" s="79" t="s">
        <v>1039</v>
      </c>
      <c r="C1078" s="80" t="s">
        <v>95</v>
      </c>
      <c r="D1078" s="81" t="s">
        <v>75</v>
      </c>
      <c r="E1078" s="82">
        <v>21663</v>
      </c>
      <c r="F1078" s="82">
        <v>1706</v>
      </c>
      <c r="G1078" s="82">
        <v>650</v>
      </c>
      <c r="H1078" s="83">
        <v>15.865152522189044</v>
      </c>
      <c r="I1078" s="83">
        <v>8369.917041914734</v>
      </c>
      <c r="J1078" s="83">
        <v>17.221613970757176</v>
      </c>
    </row>
    <row r="1079" spans="1:10" ht="16">
      <c r="A1079" s="79" t="s">
        <v>1286</v>
      </c>
      <c r="B1079" s="79" t="s">
        <v>1209</v>
      </c>
      <c r="C1079" s="80" t="s">
        <v>126</v>
      </c>
      <c r="D1079" s="81" t="s">
        <v>75</v>
      </c>
      <c r="E1079" s="82">
        <v>20664</v>
      </c>
      <c r="F1079" s="82">
        <v>1845</v>
      </c>
      <c r="G1079" s="82">
        <v>8472</v>
      </c>
      <c r="H1079" s="83">
        <v>100.04345606197853</v>
      </c>
      <c r="I1079" s="83">
        <v>98092.505255995158</v>
      </c>
      <c r="J1079" s="83">
        <v>90.918513762815039</v>
      </c>
    </row>
    <row r="1080" spans="1:10" ht="16">
      <c r="A1080" s="79" t="s">
        <v>640</v>
      </c>
      <c r="B1080" s="79" t="s">
        <v>617</v>
      </c>
      <c r="C1080" s="80" t="s">
        <v>95</v>
      </c>
      <c r="D1080" s="81" t="s">
        <v>79</v>
      </c>
      <c r="E1080" s="82">
        <v>45169</v>
      </c>
      <c r="F1080" s="82">
        <v>2121</v>
      </c>
      <c r="G1080" s="82">
        <v>1807</v>
      </c>
      <c r="H1080" s="83">
        <v>31.271371751032902</v>
      </c>
      <c r="I1080" s="83">
        <v>24844.351863630629</v>
      </c>
      <c r="J1080" s="83">
        <v>42.834057313813112</v>
      </c>
    </row>
    <row r="1081" spans="1:10" ht="16">
      <c r="A1081" s="79" t="s">
        <v>641</v>
      </c>
      <c r="B1081" s="79" t="s">
        <v>617</v>
      </c>
      <c r="C1081" s="80" t="s">
        <v>95</v>
      </c>
      <c r="D1081" s="81" t="s">
        <v>96</v>
      </c>
      <c r="E1081" s="82">
        <v>29437</v>
      </c>
      <c r="F1081" s="82">
        <v>1436</v>
      </c>
      <c r="G1081" s="82">
        <v>294</v>
      </c>
      <c r="H1081" s="83">
        <v>18.195360911460028</v>
      </c>
      <c r="I1081" s="83">
        <v>11334.8217027953</v>
      </c>
      <c r="J1081" s="83">
        <v>22.089412545361142</v>
      </c>
    </row>
    <row r="1082" spans="1:10" ht="16">
      <c r="A1082" s="79" t="s">
        <v>351</v>
      </c>
      <c r="B1082" s="79" t="s">
        <v>341</v>
      </c>
      <c r="C1082" s="80" t="s">
        <v>95</v>
      </c>
      <c r="D1082" s="81" t="s">
        <v>149</v>
      </c>
      <c r="E1082" s="82">
        <v>7266</v>
      </c>
      <c r="F1082" s="82">
        <v>530</v>
      </c>
      <c r="G1082" s="82">
        <v>509</v>
      </c>
      <c r="H1082" s="83">
        <v>16.296420373537504</v>
      </c>
      <c r="I1082" s="83">
        <v>1596.1013467669673</v>
      </c>
      <c r="J1082" s="83">
        <v>18.524111048779758</v>
      </c>
    </row>
    <row r="1083" spans="1:10" ht="16">
      <c r="A1083" s="79" t="s">
        <v>414</v>
      </c>
      <c r="B1083" s="79" t="s">
        <v>396</v>
      </c>
      <c r="C1083" s="80" t="s">
        <v>95</v>
      </c>
      <c r="D1083" s="81" t="s">
        <v>77</v>
      </c>
      <c r="E1083" s="82">
        <v>61390</v>
      </c>
      <c r="F1083" s="82">
        <v>3961</v>
      </c>
      <c r="G1083" s="82">
        <v>10436</v>
      </c>
      <c r="H1083" s="83">
        <v>36.589393087441692</v>
      </c>
      <c r="I1083" s="83">
        <v>31940.861044387595</v>
      </c>
      <c r="J1083" s="83">
        <v>52.399411684918448</v>
      </c>
    </row>
    <row r="1084" spans="1:10" ht="16">
      <c r="A1084" s="79" t="s">
        <v>642</v>
      </c>
      <c r="B1084" s="79" t="s">
        <v>617</v>
      </c>
      <c r="C1084" s="80" t="s">
        <v>95</v>
      </c>
      <c r="D1084" s="81" t="s">
        <v>78</v>
      </c>
      <c r="E1084" s="82">
        <v>25140</v>
      </c>
      <c r="F1084" s="82">
        <v>918</v>
      </c>
      <c r="G1084" s="82">
        <v>1508</v>
      </c>
      <c r="H1084" s="83">
        <v>19.239360881265618</v>
      </c>
      <c r="I1084" s="83">
        <v>12459.66073586387</v>
      </c>
      <c r="J1084" s="83">
        <v>18.761481514725162</v>
      </c>
    </row>
    <row r="1085" spans="1:10" ht="16">
      <c r="A1085" s="79" t="s">
        <v>459</v>
      </c>
      <c r="B1085" s="79" t="s">
        <v>421</v>
      </c>
      <c r="C1085" s="80" t="s">
        <v>95</v>
      </c>
      <c r="D1085" s="81" t="s">
        <v>96</v>
      </c>
      <c r="E1085" s="82">
        <v>11387</v>
      </c>
      <c r="F1085" s="82">
        <v>131</v>
      </c>
      <c r="G1085" s="82">
        <v>1366</v>
      </c>
      <c r="H1085" s="83">
        <v>40.067772984762776</v>
      </c>
      <c r="I1085" s="83">
        <v>29716.156248375595</v>
      </c>
      <c r="J1085" s="83">
        <v>33.513308388079523</v>
      </c>
    </row>
    <row r="1086" spans="1:10" ht="16">
      <c r="A1086" s="79" t="s">
        <v>474</v>
      </c>
      <c r="B1086" s="79" t="s">
        <v>467</v>
      </c>
      <c r="C1086" s="80" t="s">
        <v>126</v>
      </c>
      <c r="D1086" s="81" t="s">
        <v>96</v>
      </c>
      <c r="E1086" s="82">
        <v>25580</v>
      </c>
      <c r="F1086" s="82">
        <v>927</v>
      </c>
      <c r="G1086" s="82">
        <v>1279</v>
      </c>
      <c r="H1086" s="83">
        <v>11.910146940518542</v>
      </c>
      <c r="I1086" s="83">
        <v>4570.0951090364297</v>
      </c>
      <c r="J1086" s="83">
        <v>16.731796345042419</v>
      </c>
    </row>
    <row r="1087" spans="1:10" ht="16">
      <c r="A1087" s="79" t="s">
        <v>643</v>
      </c>
      <c r="B1087" s="79" t="s">
        <v>617</v>
      </c>
      <c r="C1087" s="80" t="s">
        <v>95</v>
      </c>
      <c r="D1087" s="81" t="s">
        <v>76</v>
      </c>
      <c r="E1087" s="82">
        <v>24623</v>
      </c>
      <c r="F1087" s="82">
        <v>593</v>
      </c>
      <c r="G1087" s="82">
        <v>1970</v>
      </c>
      <c r="H1087" s="83">
        <v>26.020245542215964</v>
      </c>
      <c r="I1087" s="83">
        <v>16834.30741397171</v>
      </c>
      <c r="J1087" s="83">
        <v>24.607435095271722</v>
      </c>
    </row>
    <row r="1088" spans="1:10" ht="16">
      <c r="A1088" s="79" t="s">
        <v>1446</v>
      </c>
      <c r="B1088" s="79" t="s">
        <v>1307</v>
      </c>
      <c r="C1088" s="80" t="s">
        <v>95</v>
      </c>
      <c r="D1088" s="81" t="s">
        <v>103</v>
      </c>
      <c r="E1088" s="82">
        <v>20578</v>
      </c>
      <c r="F1088" s="82">
        <v>3166</v>
      </c>
      <c r="G1088" s="82">
        <v>4321</v>
      </c>
      <c r="H1088" s="83">
        <v>91.191470323603909</v>
      </c>
      <c r="I1088" s="83">
        <v>88839.573984407354</v>
      </c>
      <c r="J1088" s="83">
        <v>88.143848442672876</v>
      </c>
    </row>
    <row r="1089" spans="1:10" ht="16">
      <c r="A1089" s="79" t="s">
        <v>1079</v>
      </c>
      <c r="B1089" s="79" t="s">
        <v>1078</v>
      </c>
      <c r="C1089" s="80" t="s">
        <v>95</v>
      </c>
      <c r="D1089" s="81" t="s">
        <v>79</v>
      </c>
      <c r="E1089" s="82">
        <v>17482</v>
      </c>
      <c r="F1089" s="82">
        <v>1619</v>
      </c>
      <c r="G1089" s="82">
        <v>175</v>
      </c>
      <c r="H1089" s="83">
        <v>7.6809210385441613</v>
      </c>
      <c r="I1089" s="83">
        <v>7629.4379099842099</v>
      </c>
      <c r="J1089" s="83">
        <v>16.9666507328349</v>
      </c>
    </row>
    <row r="1090" spans="1:10" ht="16">
      <c r="A1090" s="79" t="s">
        <v>644</v>
      </c>
      <c r="B1090" s="79" t="s">
        <v>617</v>
      </c>
      <c r="C1090" s="80" t="s">
        <v>95</v>
      </c>
      <c r="D1090" s="81" t="s">
        <v>111</v>
      </c>
      <c r="E1090" s="82">
        <v>24830</v>
      </c>
      <c r="F1090" s="82">
        <v>769</v>
      </c>
      <c r="G1090" s="82">
        <v>1490</v>
      </c>
      <c r="H1090" s="83">
        <v>23.120488437457627</v>
      </c>
      <c r="I1090" s="83">
        <v>19996.491259417973</v>
      </c>
      <c r="J1090" s="83">
        <v>18.801066910362824</v>
      </c>
    </row>
    <row r="1091" spans="1:10" ht="16">
      <c r="A1091" s="79" t="s">
        <v>887</v>
      </c>
      <c r="B1091" s="79" t="s">
        <v>877</v>
      </c>
      <c r="C1091" s="80" t="s">
        <v>126</v>
      </c>
      <c r="D1091" s="81" t="s">
        <v>76</v>
      </c>
      <c r="E1091" s="82">
        <v>5647</v>
      </c>
      <c r="F1091" s="82">
        <v>528</v>
      </c>
      <c r="G1091" s="82">
        <v>113</v>
      </c>
      <c r="H1091" s="83">
        <v>10.887362334800606</v>
      </c>
      <c r="I1091" s="83">
        <v>1606.4331144521991</v>
      </c>
      <c r="J1091" s="83">
        <v>25.430965742857165</v>
      </c>
    </row>
    <row r="1092" spans="1:10" ht="16">
      <c r="A1092" s="79" t="s">
        <v>645</v>
      </c>
      <c r="B1092" s="79" t="s">
        <v>617</v>
      </c>
      <c r="C1092" s="80" t="s">
        <v>95</v>
      </c>
      <c r="D1092" s="81" t="s">
        <v>96</v>
      </c>
      <c r="E1092" s="82">
        <v>33726</v>
      </c>
      <c r="F1092" s="82">
        <v>1506</v>
      </c>
      <c r="G1092" s="82">
        <v>2024</v>
      </c>
      <c r="H1092" s="83">
        <v>26.864133683074883</v>
      </c>
      <c r="I1092" s="83">
        <v>19745.903625680217</v>
      </c>
      <c r="J1092" s="83">
        <v>31.762977853897581</v>
      </c>
    </row>
    <row r="1093" spans="1:10" ht="16">
      <c r="A1093" s="79" t="s">
        <v>1447</v>
      </c>
      <c r="B1093" s="79" t="s">
        <v>1307</v>
      </c>
      <c r="C1093" s="80" t="s">
        <v>95</v>
      </c>
      <c r="D1093" s="81" t="s">
        <v>75</v>
      </c>
      <c r="E1093" s="82">
        <v>26652</v>
      </c>
      <c r="F1093" s="82">
        <v>4595</v>
      </c>
      <c r="G1093" s="82">
        <v>2932</v>
      </c>
      <c r="H1093" s="83">
        <v>46.182525787162547</v>
      </c>
      <c r="I1093" s="83">
        <v>43343.026398460017</v>
      </c>
      <c r="J1093" s="83">
        <v>48.36302787601123</v>
      </c>
    </row>
    <row r="1094" spans="1:10" ht="16">
      <c r="A1094" s="79" t="s">
        <v>1287</v>
      </c>
      <c r="B1094" s="79" t="s">
        <v>1209</v>
      </c>
      <c r="C1094" s="80" t="s">
        <v>95</v>
      </c>
      <c r="D1094" s="81" t="s">
        <v>101</v>
      </c>
      <c r="E1094" s="82">
        <v>17667</v>
      </c>
      <c r="F1094" s="82">
        <v>1027</v>
      </c>
      <c r="G1094" s="82">
        <v>2650</v>
      </c>
      <c r="H1094" s="83">
        <v>19.518843425384688</v>
      </c>
      <c r="I1094" s="83">
        <v>13030.722976370447</v>
      </c>
      <c r="J1094" s="83">
        <v>20.44775173067142</v>
      </c>
    </row>
    <row r="1095" spans="1:10" ht="16">
      <c r="A1095" s="79" t="s">
        <v>922</v>
      </c>
      <c r="B1095" s="79" t="s">
        <v>912</v>
      </c>
      <c r="C1095" s="80" t="s">
        <v>95</v>
      </c>
      <c r="D1095" s="81" t="s">
        <v>78</v>
      </c>
      <c r="E1095" s="82">
        <v>32020</v>
      </c>
      <c r="F1095" s="82">
        <v>1712</v>
      </c>
      <c r="G1095" s="82">
        <v>4803</v>
      </c>
      <c r="H1095" s="83">
        <v>27.902399484490008</v>
      </c>
      <c r="I1095" s="83">
        <v>17370.667104241496</v>
      </c>
      <c r="J1095" s="83">
        <v>27.962625235777722</v>
      </c>
    </row>
    <row r="1096" spans="1:10" ht="16">
      <c r="A1096" s="79" t="s">
        <v>1288</v>
      </c>
      <c r="B1096" s="79" t="s">
        <v>1209</v>
      </c>
      <c r="C1096" s="80" t="s">
        <v>126</v>
      </c>
      <c r="D1096" s="81" t="s">
        <v>111</v>
      </c>
      <c r="E1096" s="82">
        <v>20186</v>
      </c>
      <c r="F1096" s="82">
        <v>1311</v>
      </c>
      <c r="G1096" s="82">
        <v>5248</v>
      </c>
      <c r="H1096" s="83">
        <v>17.009424245858455</v>
      </c>
      <c r="I1096" s="83">
        <v>11533.845992056302</v>
      </c>
      <c r="J1096" s="83">
        <v>18.441041125252422</v>
      </c>
    </row>
    <row r="1097" spans="1:10" ht="16">
      <c r="A1097" s="79" t="s">
        <v>460</v>
      </c>
      <c r="B1097" s="79" t="s">
        <v>421</v>
      </c>
      <c r="C1097" s="80" t="s">
        <v>95</v>
      </c>
      <c r="D1097" s="81" t="s">
        <v>149</v>
      </c>
      <c r="E1097" s="82">
        <v>20063</v>
      </c>
      <c r="F1097" s="82">
        <v>372</v>
      </c>
      <c r="G1097" s="82">
        <v>2207</v>
      </c>
      <c r="H1097" s="83">
        <v>41.008508410725852</v>
      </c>
      <c r="I1097" s="83">
        <v>26627.669153638242</v>
      </c>
      <c r="J1097" s="83">
        <v>37.251454554702441</v>
      </c>
    </row>
    <row r="1098" spans="1:10" ht="16">
      <c r="A1098" s="79" t="s">
        <v>1002</v>
      </c>
      <c r="B1098" s="79" t="s">
        <v>996</v>
      </c>
      <c r="C1098" s="80" t="s">
        <v>95</v>
      </c>
      <c r="D1098" s="81" t="s">
        <v>111</v>
      </c>
      <c r="E1098" s="82">
        <v>35086</v>
      </c>
      <c r="F1098" s="82">
        <v>1595</v>
      </c>
      <c r="G1098" s="82">
        <v>2807</v>
      </c>
      <c r="H1098" s="83">
        <v>30.247469544548881</v>
      </c>
      <c r="I1098" s="83">
        <v>9953.6980028261369</v>
      </c>
      <c r="J1098" s="83">
        <v>25.735368860063531</v>
      </c>
    </row>
    <row r="1099" spans="1:10" ht="16">
      <c r="A1099" s="79" t="s">
        <v>923</v>
      </c>
      <c r="B1099" s="79" t="s">
        <v>924</v>
      </c>
      <c r="C1099" s="80" t="s">
        <v>95</v>
      </c>
      <c r="D1099" s="81" t="s">
        <v>77</v>
      </c>
      <c r="E1099" s="82">
        <v>49713</v>
      </c>
      <c r="F1099" s="82">
        <v>3576</v>
      </c>
      <c r="G1099" s="82">
        <v>497</v>
      </c>
      <c r="H1099" s="83">
        <v>8.6361129804316317</v>
      </c>
      <c r="I1099" s="83">
        <v>3757.8523896457109</v>
      </c>
      <c r="J1099" s="83">
        <v>18.904243214727941</v>
      </c>
    </row>
    <row r="1100" spans="1:10" ht="16">
      <c r="A1100" s="79" t="s">
        <v>133</v>
      </c>
      <c r="B1100" s="79" t="s">
        <v>108</v>
      </c>
      <c r="C1100" s="80" t="s">
        <v>95</v>
      </c>
      <c r="D1100" s="81" t="s">
        <v>101</v>
      </c>
      <c r="E1100" s="82">
        <v>39144</v>
      </c>
      <c r="F1100" s="82">
        <v>1096</v>
      </c>
      <c r="G1100" s="82">
        <v>13309</v>
      </c>
      <c r="H1100" s="83">
        <v>58.991729938613084</v>
      </c>
      <c r="I1100" s="83">
        <v>51011.014224845458</v>
      </c>
      <c r="J1100" s="83">
        <v>50.218221848832485</v>
      </c>
    </row>
    <row r="1101" spans="1:10" ht="16">
      <c r="A1101" s="79" t="s">
        <v>1289</v>
      </c>
      <c r="B1101" s="79" t="s">
        <v>1209</v>
      </c>
      <c r="C1101" s="80" t="s">
        <v>95</v>
      </c>
      <c r="D1101" s="81" t="s">
        <v>75</v>
      </c>
      <c r="E1101" s="82">
        <v>14107</v>
      </c>
      <c r="F1101" s="82">
        <v>947</v>
      </c>
      <c r="G1101" s="82">
        <v>4373</v>
      </c>
      <c r="H1101" s="83">
        <v>35.423473567425496</v>
      </c>
      <c r="I1101" s="83">
        <v>27111.230674896855</v>
      </c>
      <c r="J1101" s="83">
        <v>32.202431456628581</v>
      </c>
    </row>
    <row r="1102" spans="1:10" ht="16">
      <c r="A1102" s="79" t="s">
        <v>222</v>
      </c>
      <c r="B1102" s="79" t="s">
        <v>203</v>
      </c>
      <c r="C1102" s="80" t="s">
        <v>95</v>
      </c>
      <c r="D1102" s="81" t="s">
        <v>77</v>
      </c>
      <c r="E1102" s="82">
        <v>12935</v>
      </c>
      <c r="F1102" s="82">
        <v>553</v>
      </c>
      <c r="G1102" s="82">
        <v>2846</v>
      </c>
      <c r="H1102" s="83">
        <v>15.739388261717135</v>
      </c>
      <c r="I1102" s="83">
        <v>7068.603317413058</v>
      </c>
      <c r="J1102" s="83">
        <v>17.243794823169004</v>
      </c>
    </row>
    <row r="1103" spans="1:10" ht="16">
      <c r="A1103" s="79" t="s">
        <v>415</v>
      </c>
      <c r="B1103" s="79" t="s">
        <v>396</v>
      </c>
      <c r="C1103" s="80" t="s">
        <v>95</v>
      </c>
      <c r="D1103" s="81" t="s">
        <v>77</v>
      </c>
      <c r="E1103" s="82">
        <v>28351</v>
      </c>
      <c r="F1103" s="82">
        <v>1575</v>
      </c>
      <c r="G1103" s="82">
        <v>3402</v>
      </c>
      <c r="H1103" s="83">
        <v>15.947646243107375</v>
      </c>
      <c r="I1103" s="83">
        <v>7921.5387379851827</v>
      </c>
      <c r="J1103" s="83">
        <v>21.959188924784353</v>
      </c>
    </row>
    <row r="1104" spans="1:10" ht="16">
      <c r="A1104" s="79" t="s">
        <v>1448</v>
      </c>
      <c r="B1104" s="79" t="s">
        <v>1307</v>
      </c>
      <c r="C1104" s="80" t="s">
        <v>95</v>
      </c>
      <c r="D1104" s="81" t="s">
        <v>149</v>
      </c>
      <c r="E1104" s="82">
        <v>16569</v>
      </c>
      <c r="F1104" s="82">
        <v>858</v>
      </c>
      <c r="G1104" s="82">
        <v>497</v>
      </c>
      <c r="H1104" s="83">
        <v>17.77395334279386</v>
      </c>
      <c r="I1104" s="83">
        <v>11693.261771359746</v>
      </c>
      <c r="J1104" s="83">
        <v>24.105340803868163</v>
      </c>
    </row>
    <row r="1105" spans="1:10" ht="16">
      <c r="A1105" s="79" t="s">
        <v>1449</v>
      </c>
      <c r="B1105" s="79" t="s">
        <v>1307</v>
      </c>
      <c r="C1105" s="80" t="s">
        <v>126</v>
      </c>
      <c r="D1105" s="81" t="s">
        <v>99</v>
      </c>
      <c r="E1105" s="82">
        <v>9824</v>
      </c>
      <c r="F1105" s="82">
        <v>2339</v>
      </c>
      <c r="G1105" s="82">
        <v>3045</v>
      </c>
      <c r="H1105" s="83">
        <v>30.620188666923699</v>
      </c>
      <c r="I1105" s="83">
        <v>27781.896547692828</v>
      </c>
      <c r="J1105" s="83">
        <v>43.822222969381812</v>
      </c>
    </row>
    <row r="1106" spans="1:10" ht="16">
      <c r="A1106" s="79" t="s">
        <v>1290</v>
      </c>
      <c r="B1106" s="79" t="s">
        <v>1209</v>
      </c>
      <c r="C1106" s="80" t="s">
        <v>95</v>
      </c>
      <c r="D1106" s="81" t="s">
        <v>111</v>
      </c>
      <c r="E1106" s="82">
        <v>7665</v>
      </c>
      <c r="F1106" s="82">
        <v>470</v>
      </c>
      <c r="G1106" s="82">
        <v>2146</v>
      </c>
      <c r="H1106" s="83">
        <v>20.832696229614836</v>
      </c>
      <c r="I1106" s="83">
        <v>6239.5568722030866</v>
      </c>
      <c r="J1106" s="83">
        <v>19.209422207714717</v>
      </c>
    </row>
    <row r="1107" spans="1:10" ht="16">
      <c r="A1107" s="79" t="s">
        <v>646</v>
      </c>
      <c r="B1107" s="79" t="s">
        <v>617</v>
      </c>
      <c r="C1107" s="80" t="s">
        <v>95</v>
      </c>
      <c r="D1107" s="81" t="s">
        <v>79</v>
      </c>
      <c r="E1107" s="82">
        <v>31696</v>
      </c>
      <c r="F1107" s="82">
        <v>633</v>
      </c>
      <c r="G1107" s="82">
        <v>1585</v>
      </c>
      <c r="H1107" s="83">
        <v>23.598723243381766</v>
      </c>
      <c r="I1107" s="83">
        <v>13924.1885677397</v>
      </c>
      <c r="J1107" s="83">
        <v>23.995699132468864</v>
      </c>
    </row>
    <row r="1108" spans="1:10" ht="16">
      <c r="A1108" s="79" t="s">
        <v>1066</v>
      </c>
      <c r="B1108" s="79" t="s">
        <v>1039</v>
      </c>
      <c r="C1108" s="80" t="s">
        <v>95</v>
      </c>
      <c r="D1108" s="81" t="s">
        <v>78</v>
      </c>
      <c r="E1108" s="82">
        <v>12411</v>
      </c>
      <c r="F1108" s="82">
        <v>1009</v>
      </c>
      <c r="G1108" s="82">
        <v>1365</v>
      </c>
      <c r="H1108" s="83">
        <v>21.584569833563169</v>
      </c>
      <c r="I1108" s="83">
        <v>14232.439096681996</v>
      </c>
      <c r="J1108" s="83">
        <v>24.339610333542119</v>
      </c>
    </row>
    <row r="1109" spans="1:10" ht="16">
      <c r="A1109" s="79" t="s">
        <v>1067</v>
      </c>
      <c r="B1109" s="79" t="s">
        <v>1039</v>
      </c>
      <c r="C1109" s="80" t="s">
        <v>95</v>
      </c>
      <c r="D1109" s="81" t="s">
        <v>101</v>
      </c>
      <c r="E1109" s="82">
        <v>28673</v>
      </c>
      <c r="F1109" s="82">
        <v>1629</v>
      </c>
      <c r="G1109" s="82">
        <v>4588</v>
      </c>
      <c r="H1109" s="83">
        <v>17.77058763133229</v>
      </c>
      <c r="I1109" s="83">
        <v>6642.2435536566873</v>
      </c>
      <c r="J1109" s="83">
        <v>26.815438967683054</v>
      </c>
    </row>
    <row r="1110" spans="1:10" ht="16">
      <c r="A1110" s="79" t="s">
        <v>647</v>
      </c>
      <c r="B1110" s="79" t="s">
        <v>617</v>
      </c>
      <c r="C1110" s="80" t="s">
        <v>95</v>
      </c>
      <c r="D1110" s="81" t="s">
        <v>96</v>
      </c>
      <c r="E1110" s="82">
        <v>12040</v>
      </c>
      <c r="F1110" s="82">
        <v>405</v>
      </c>
      <c r="G1110" s="82">
        <v>120</v>
      </c>
      <c r="H1110" s="83">
        <v>21.258945547738971</v>
      </c>
      <c r="I1110" s="83">
        <v>11864.235614527193</v>
      </c>
      <c r="J1110" s="83">
        <v>27.691062487173358</v>
      </c>
    </row>
    <row r="1111" spans="1:10" ht="16">
      <c r="A1111" s="79" t="s">
        <v>648</v>
      </c>
      <c r="B1111" s="79" t="s">
        <v>617</v>
      </c>
      <c r="C1111" s="80" t="s">
        <v>95</v>
      </c>
      <c r="D1111" s="81" t="s">
        <v>103</v>
      </c>
      <c r="E1111" s="82">
        <v>24290</v>
      </c>
      <c r="F1111" s="82">
        <v>941</v>
      </c>
      <c r="G1111" s="82">
        <v>486</v>
      </c>
      <c r="H1111" s="83">
        <v>20.145946323408307</v>
      </c>
      <c r="I1111" s="83">
        <v>18346.163324029265</v>
      </c>
      <c r="J1111" s="83">
        <v>20.555841712994383</v>
      </c>
    </row>
    <row r="1112" spans="1:10" ht="16">
      <c r="A1112" s="79" t="s">
        <v>1291</v>
      </c>
      <c r="B1112" s="79" t="s">
        <v>1209</v>
      </c>
      <c r="C1112" s="80" t="s">
        <v>95</v>
      </c>
      <c r="D1112" s="81" t="s">
        <v>101</v>
      </c>
      <c r="E1112" s="82">
        <v>15356</v>
      </c>
      <c r="F1112" s="82">
        <v>903</v>
      </c>
      <c r="G1112" s="82">
        <v>3378</v>
      </c>
      <c r="H1112" s="83">
        <v>15.593626078104871</v>
      </c>
      <c r="I1112" s="83">
        <v>5735.5047613590614</v>
      </c>
      <c r="J1112" s="83">
        <v>19.451397334348581</v>
      </c>
    </row>
    <row r="1113" spans="1:10" ht="16">
      <c r="A1113" s="79" t="s">
        <v>1068</v>
      </c>
      <c r="B1113" s="79" t="s">
        <v>1039</v>
      </c>
      <c r="C1113" s="80" t="s">
        <v>95</v>
      </c>
      <c r="D1113" s="81" t="s">
        <v>78</v>
      </c>
      <c r="E1113" s="82">
        <v>25455</v>
      </c>
      <c r="F1113" s="82">
        <v>1675</v>
      </c>
      <c r="G1113" s="82">
        <v>2036</v>
      </c>
      <c r="H1113" s="83">
        <v>16.82202508467746</v>
      </c>
      <c r="I1113" s="83">
        <v>7806.7522337508281</v>
      </c>
      <c r="J1113" s="83">
        <v>22.565952037781255</v>
      </c>
    </row>
    <row r="1114" spans="1:10" ht="16">
      <c r="A1114" s="79" t="s">
        <v>238</v>
      </c>
      <c r="B1114" s="79" t="s">
        <v>231</v>
      </c>
      <c r="C1114" s="80" t="s">
        <v>126</v>
      </c>
      <c r="D1114" s="81" t="s">
        <v>101</v>
      </c>
      <c r="E1114" s="82">
        <v>22818</v>
      </c>
      <c r="F1114" s="82">
        <v>939</v>
      </c>
      <c r="G1114" s="82">
        <v>456</v>
      </c>
      <c r="H1114" s="83">
        <v>15.069473021973005</v>
      </c>
      <c r="I1114" s="83">
        <v>1726.3271915446126</v>
      </c>
      <c r="J1114" s="83">
        <v>16.613863801348085</v>
      </c>
    </row>
    <row r="1115" spans="1:10" ht="16">
      <c r="A1115" s="79" t="s">
        <v>888</v>
      </c>
      <c r="B1115" s="79" t="s">
        <v>877</v>
      </c>
      <c r="C1115" s="80" t="s">
        <v>95</v>
      </c>
      <c r="D1115" s="81" t="s">
        <v>101</v>
      </c>
      <c r="E1115" s="82">
        <v>26206</v>
      </c>
      <c r="F1115" s="82">
        <v>771</v>
      </c>
      <c r="G1115" s="82">
        <v>1824</v>
      </c>
      <c r="H1115" s="83">
        <v>9.2613306111720153</v>
      </c>
      <c r="I1115" s="83">
        <v>875.70905863361179</v>
      </c>
      <c r="J1115" s="83">
        <v>12.580237508333672</v>
      </c>
    </row>
    <row r="1116" spans="1:10" ht="16">
      <c r="A1116" s="79" t="s">
        <v>223</v>
      </c>
      <c r="B1116" s="79" t="s">
        <v>203</v>
      </c>
      <c r="C1116" s="80" t="s">
        <v>95</v>
      </c>
      <c r="D1116" s="81" t="s">
        <v>78</v>
      </c>
      <c r="E1116" s="82">
        <v>17194</v>
      </c>
      <c r="F1116" s="82">
        <v>971</v>
      </c>
      <c r="G1116" s="82">
        <v>3439</v>
      </c>
      <c r="H1116" s="83">
        <v>27.805342377514908</v>
      </c>
      <c r="I1116" s="83">
        <v>12981.533183873693</v>
      </c>
      <c r="J1116" s="83">
        <v>36.701710733423482</v>
      </c>
    </row>
    <row r="1117" spans="1:10" ht="16">
      <c r="A1117" s="79" t="s">
        <v>649</v>
      </c>
      <c r="B1117" s="79" t="s">
        <v>617</v>
      </c>
      <c r="C1117" s="80" t="s">
        <v>95</v>
      </c>
      <c r="D1117" s="81" t="s">
        <v>78</v>
      </c>
      <c r="E1117" s="82">
        <v>12993</v>
      </c>
      <c r="F1117" s="82">
        <v>539</v>
      </c>
      <c r="G1117" s="82">
        <v>260</v>
      </c>
      <c r="H1117" s="83">
        <v>18.091769714686336</v>
      </c>
      <c r="I1117" s="83">
        <v>8250.5985224033557</v>
      </c>
      <c r="J1117" s="83">
        <v>23.162247731176201</v>
      </c>
    </row>
    <row r="1118" spans="1:10" ht="16">
      <c r="A1118" s="79" t="s">
        <v>309</v>
      </c>
      <c r="B1118" s="79" t="s">
        <v>242</v>
      </c>
      <c r="C1118" s="80" t="s">
        <v>126</v>
      </c>
      <c r="D1118" s="81" t="s">
        <v>79</v>
      </c>
      <c r="E1118" s="82">
        <v>24232</v>
      </c>
      <c r="F1118" s="82">
        <v>1648</v>
      </c>
      <c r="G1118" s="82">
        <v>969</v>
      </c>
      <c r="H1118" s="83">
        <v>25.713171708096343</v>
      </c>
      <c r="I1118" s="83">
        <v>7457.2875398612368</v>
      </c>
      <c r="J1118" s="83">
        <v>28.092074471908148</v>
      </c>
    </row>
    <row r="1119" spans="1:10" ht="16">
      <c r="A1119" s="79" t="s">
        <v>310</v>
      </c>
      <c r="B1119" s="79" t="s">
        <v>242</v>
      </c>
      <c r="C1119" s="80" t="s">
        <v>126</v>
      </c>
      <c r="D1119" s="81" t="s">
        <v>111</v>
      </c>
      <c r="E1119" s="82">
        <v>16245</v>
      </c>
      <c r="F1119" s="82">
        <v>2110</v>
      </c>
      <c r="G1119" s="82">
        <v>650</v>
      </c>
      <c r="H1119" s="83">
        <v>60.147843982243337</v>
      </c>
      <c r="I1119" s="83">
        <v>44506.822861046327</v>
      </c>
      <c r="J1119" s="83">
        <v>65.12535055086289</v>
      </c>
    </row>
    <row r="1120" spans="1:10" ht="16">
      <c r="A1120" s="79" t="s">
        <v>98</v>
      </c>
      <c r="B1120" s="79" t="s">
        <v>94</v>
      </c>
      <c r="C1120" s="80" t="s">
        <v>95</v>
      </c>
      <c r="D1120" s="81" t="s">
        <v>99</v>
      </c>
      <c r="E1120" s="82">
        <v>22049</v>
      </c>
      <c r="F1120" s="82">
        <v>1885</v>
      </c>
      <c r="G1120" s="82">
        <v>441</v>
      </c>
      <c r="H1120" s="83">
        <v>7.7486476226341079</v>
      </c>
      <c r="I1120" s="83">
        <v>507.79691422347366</v>
      </c>
      <c r="J1120" s="83">
        <v>19.032092541643411</v>
      </c>
    </row>
    <row r="1121" spans="1:10" ht="16">
      <c r="A1121" s="79" t="s">
        <v>100</v>
      </c>
      <c r="B1121" s="79" t="s">
        <v>94</v>
      </c>
      <c r="C1121" s="80" t="s">
        <v>95</v>
      </c>
      <c r="D1121" s="81" t="s">
        <v>101</v>
      </c>
      <c r="E1121" s="82">
        <v>41865</v>
      </c>
      <c r="F1121" s="82">
        <v>1861</v>
      </c>
      <c r="G1121" s="82">
        <v>419</v>
      </c>
      <c r="H1121" s="83">
        <v>7.7458723268320204</v>
      </c>
      <c r="I1121" s="83">
        <v>614.93004566773061</v>
      </c>
      <c r="J1121" s="83">
        <v>16.119759532543998</v>
      </c>
    </row>
    <row r="1122" spans="1:10" ht="16">
      <c r="A1122" s="79" t="s">
        <v>1034</v>
      </c>
      <c r="B1122" s="79" t="s">
        <v>1007</v>
      </c>
      <c r="C1122" s="80" t="s">
        <v>95</v>
      </c>
      <c r="D1122" s="81" t="s">
        <v>77</v>
      </c>
      <c r="E1122" s="82">
        <v>8807</v>
      </c>
      <c r="F1122" s="82">
        <v>531</v>
      </c>
      <c r="G1122" s="82">
        <v>440</v>
      </c>
      <c r="H1122" s="83">
        <v>19.048494337975733</v>
      </c>
      <c r="I1122" s="83">
        <v>4502.1290733070609</v>
      </c>
      <c r="J1122" s="83">
        <v>22.827419097769809</v>
      </c>
    </row>
    <row r="1123" spans="1:10" ht="16">
      <c r="A1123" s="79" t="s">
        <v>1069</v>
      </c>
      <c r="B1123" s="79" t="s">
        <v>1039</v>
      </c>
      <c r="C1123" s="80" t="s">
        <v>95</v>
      </c>
      <c r="D1123" s="81" t="s">
        <v>101</v>
      </c>
      <c r="E1123" s="82">
        <v>62811</v>
      </c>
      <c r="F1123" s="82">
        <v>3049</v>
      </c>
      <c r="G1123" s="82">
        <v>3769</v>
      </c>
      <c r="H1123" s="83">
        <v>18.952910922781363</v>
      </c>
      <c r="I1123" s="83">
        <v>6846.3612977024086</v>
      </c>
      <c r="J1123" s="83">
        <v>25.540942640768833</v>
      </c>
    </row>
    <row r="1124" spans="1:10" ht="16">
      <c r="A1124" s="79" t="s">
        <v>1157</v>
      </c>
      <c r="B1124" s="79" t="s">
        <v>1154</v>
      </c>
      <c r="C1124" s="80" t="s">
        <v>95</v>
      </c>
      <c r="D1124" s="81" t="s">
        <v>149</v>
      </c>
      <c r="E1124" s="82">
        <v>32178</v>
      </c>
      <c r="F1124" s="82">
        <v>2384</v>
      </c>
      <c r="G1124" s="82">
        <v>322</v>
      </c>
      <c r="H1124" s="83">
        <v>11.380356924971107</v>
      </c>
      <c r="I1124" s="83">
        <v>1806.7457900380537</v>
      </c>
      <c r="J1124" s="83">
        <v>28.970376148693173</v>
      </c>
    </row>
    <row r="1125" spans="1:10" ht="16">
      <c r="A1125" s="79" t="s">
        <v>1207</v>
      </c>
      <c r="B1125" s="79" t="s">
        <v>1204</v>
      </c>
      <c r="C1125" s="80" t="s">
        <v>95</v>
      </c>
      <c r="D1125" s="81" t="s">
        <v>101</v>
      </c>
      <c r="E1125" s="82">
        <v>14286</v>
      </c>
      <c r="F1125" s="82">
        <v>687</v>
      </c>
      <c r="G1125" s="82">
        <v>8572</v>
      </c>
      <c r="H1125" s="83">
        <v>12.042162267279032</v>
      </c>
      <c r="I1125" s="83">
        <v>4610.8858189593129</v>
      </c>
      <c r="J1125" s="83">
        <v>19.599975995564439</v>
      </c>
    </row>
    <row r="1126" spans="1:10" ht="16">
      <c r="A1126" s="79" t="s">
        <v>1292</v>
      </c>
      <c r="B1126" s="79" t="s">
        <v>1209</v>
      </c>
      <c r="C1126" s="80" t="s">
        <v>126</v>
      </c>
      <c r="D1126" s="81" t="s">
        <v>79</v>
      </c>
      <c r="E1126" s="82">
        <v>26218</v>
      </c>
      <c r="F1126" s="82">
        <v>1748</v>
      </c>
      <c r="G1126" s="82">
        <v>8914</v>
      </c>
      <c r="H1126" s="83">
        <v>46.57087254145155</v>
      </c>
      <c r="I1126" s="83">
        <v>38542.431642106356</v>
      </c>
      <c r="J1126" s="83">
        <v>46.034959460276539</v>
      </c>
    </row>
    <row r="1127" spans="1:10" ht="16">
      <c r="A1127" s="79" t="s">
        <v>760</v>
      </c>
      <c r="B1127" s="79" t="s">
        <v>661</v>
      </c>
      <c r="C1127" s="80" t="s">
        <v>95</v>
      </c>
      <c r="D1127" s="81" t="s">
        <v>103</v>
      </c>
      <c r="E1127" s="82">
        <v>3002</v>
      </c>
      <c r="F1127" s="82">
        <v>259</v>
      </c>
      <c r="G1127" s="82">
        <v>90</v>
      </c>
      <c r="H1127" s="83">
        <v>12.83844052750433</v>
      </c>
      <c r="I1127" s="83">
        <v>1617.7579575294881</v>
      </c>
      <c r="J1127" s="83">
        <v>21.040383919327986</v>
      </c>
    </row>
    <row r="1128" spans="1:10" ht="16">
      <c r="A1128" s="79" t="s">
        <v>461</v>
      </c>
      <c r="B1128" s="79" t="s">
        <v>421</v>
      </c>
      <c r="C1128" s="80" t="s">
        <v>126</v>
      </c>
      <c r="D1128" s="81" t="s">
        <v>101</v>
      </c>
      <c r="E1128" s="82">
        <v>19268</v>
      </c>
      <c r="F1128" s="82">
        <v>456</v>
      </c>
      <c r="G1128" s="82">
        <v>2312</v>
      </c>
      <c r="H1128" s="83">
        <v>26.189336055053381</v>
      </c>
      <c r="I1128" s="83">
        <v>14486.633551994049</v>
      </c>
      <c r="J1128" s="83">
        <v>22.293178211213309</v>
      </c>
    </row>
    <row r="1129" spans="1:10" ht="16">
      <c r="A1129" s="79" t="s">
        <v>650</v>
      </c>
      <c r="B1129" s="79" t="s">
        <v>617</v>
      </c>
      <c r="C1129" s="80" t="s">
        <v>95</v>
      </c>
      <c r="D1129" s="81" t="s">
        <v>101</v>
      </c>
      <c r="E1129" s="82">
        <v>12636</v>
      </c>
      <c r="F1129" s="82">
        <v>854</v>
      </c>
      <c r="G1129" s="82">
        <v>1011</v>
      </c>
      <c r="H1129" s="83">
        <v>22.236100246123453</v>
      </c>
      <c r="I1129" s="83">
        <v>14668.493156750588</v>
      </c>
      <c r="J1129" s="83">
        <v>38.258917041408402</v>
      </c>
    </row>
    <row r="1130" spans="1:10" ht="16">
      <c r="A1130" s="79" t="s">
        <v>907</v>
      </c>
      <c r="B1130" s="79" t="s">
        <v>898</v>
      </c>
      <c r="C1130" s="80" t="s">
        <v>95</v>
      </c>
      <c r="D1130" s="81" t="s">
        <v>78</v>
      </c>
      <c r="E1130" s="82">
        <v>24174</v>
      </c>
      <c r="F1130" s="82">
        <v>1889</v>
      </c>
      <c r="G1130" s="82">
        <v>725</v>
      </c>
      <c r="H1130" s="83">
        <v>9.2883024724341947</v>
      </c>
      <c r="I1130" s="83">
        <v>1669.1768074290028</v>
      </c>
      <c r="J1130" s="83">
        <v>18.472829169497125</v>
      </c>
    </row>
    <row r="1131" spans="1:10" ht="16">
      <c r="A1131" s="79" t="s">
        <v>829</v>
      </c>
      <c r="B1131" s="79" t="s">
        <v>817</v>
      </c>
      <c r="C1131" s="80" t="s">
        <v>95</v>
      </c>
      <c r="D1131" s="81" t="s">
        <v>103</v>
      </c>
      <c r="E1131" s="82">
        <v>29921</v>
      </c>
      <c r="F1131" s="82">
        <v>1432</v>
      </c>
      <c r="G1131" s="82">
        <v>299</v>
      </c>
      <c r="H1131" s="83">
        <v>7.5870893352224726</v>
      </c>
      <c r="I1131" s="83">
        <v>683.30898490815787</v>
      </c>
      <c r="J1131" s="83">
        <v>14.716123954548536</v>
      </c>
    </row>
    <row r="1132" spans="1:10" ht="16">
      <c r="A1132" s="79" t="s">
        <v>1158</v>
      </c>
      <c r="B1132" s="79" t="s">
        <v>1154</v>
      </c>
      <c r="C1132" s="80" t="s">
        <v>95</v>
      </c>
      <c r="D1132" s="81" t="s">
        <v>103</v>
      </c>
      <c r="E1132" s="82">
        <v>25335</v>
      </c>
      <c r="F1132" s="82">
        <v>2282</v>
      </c>
      <c r="G1132" s="82">
        <v>253</v>
      </c>
      <c r="H1132" s="83">
        <v>8.045267620706035</v>
      </c>
      <c r="I1132" s="83">
        <v>1062.961309381519</v>
      </c>
      <c r="J1132" s="83">
        <v>23.26304801845798</v>
      </c>
    </row>
    <row r="1133" spans="1:10" ht="16">
      <c r="A1133" s="79" t="s">
        <v>1003</v>
      </c>
      <c r="B1133" s="79" t="s">
        <v>996</v>
      </c>
      <c r="C1133" s="80" t="s">
        <v>95</v>
      </c>
      <c r="D1133" s="81" t="s">
        <v>77</v>
      </c>
      <c r="E1133" s="82">
        <v>193874</v>
      </c>
      <c r="F1133" s="82">
        <v>1249</v>
      </c>
      <c r="G1133" s="82">
        <v>13571</v>
      </c>
      <c r="H1133" s="83">
        <v>20.063036341861828</v>
      </c>
      <c r="I1133" s="83">
        <v>2867.0787762722725</v>
      </c>
      <c r="J1133" s="83">
        <v>22.509436962602919</v>
      </c>
    </row>
    <row r="1134" spans="1:10" ht="16">
      <c r="A1134" s="79" t="s">
        <v>134</v>
      </c>
      <c r="B1134" s="79" t="s">
        <v>108</v>
      </c>
      <c r="C1134" s="80" t="s">
        <v>95</v>
      </c>
      <c r="D1134" s="81" t="s">
        <v>76</v>
      </c>
      <c r="E1134" s="82">
        <v>20268</v>
      </c>
      <c r="F1134" s="82">
        <v>665</v>
      </c>
      <c r="G1134" s="82">
        <v>5067</v>
      </c>
      <c r="H1134" s="83">
        <v>39.667235390337687</v>
      </c>
      <c r="I1134" s="83">
        <v>25959.866659685449</v>
      </c>
      <c r="J1134" s="83">
        <v>31.516675728785192</v>
      </c>
    </row>
    <row r="1135" spans="1:10" ht="16">
      <c r="A1135" s="79" t="s">
        <v>1450</v>
      </c>
      <c r="B1135" s="79" t="s">
        <v>1307</v>
      </c>
      <c r="C1135" s="80" t="s">
        <v>95</v>
      </c>
      <c r="D1135" s="81" t="s">
        <v>77</v>
      </c>
      <c r="E1135" s="82">
        <v>32291</v>
      </c>
      <c r="F1135" s="82">
        <v>1993</v>
      </c>
      <c r="G1135" s="82">
        <v>1615</v>
      </c>
      <c r="H1135" s="83">
        <v>26.023754386977771</v>
      </c>
      <c r="I1135" s="83">
        <v>16300.857457811873</v>
      </c>
      <c r="J1135" s="83">
        <v>33.479781415747823</v>
      </c>
    </row>
    <row r="1136" spans="1:10" ht="16">
      <c r="A1136" s="79" t="s">
        <v>311</v>
      </c>
      <c r="B1136" s="79" t="s">
        <v>242</v>
      </c>
      <c r="C1136" s="80" t="s">
        <v>95</v>
      </c>
      <c r="D1136" s="81" t="s">
        <v>103</v>
      </c>
      <c r="E1136" s="82">
        <v>21401</v>
      </c>
      <c r="F1136" s="82">
        <v>2140</v>
      </c>
      <c r="G1136" s="82">
        <v>1473</v>
      </c>
      <c r="H1136" s="83">
        <v>10.05464262739145</v>
      </c>
      <c r="I1136" s="83">
        <v>1065.9380208373982</v>
      </c>
      <c r="J1136" s="83">
        <v>19.334930076314468</v>
      </c>
    </row>
    <row r="1137" spans="1:10" ht="16">
      <c r="A1137" s="79" t="s">
        <v>1451</v>
      </c>
      <c r="B1137" s="79" t="s">
        <v>1307</v>
      </c>
      <c r="C1137" s="80" t="s">
        <v>95</v>
      </c>
      <c r="D1137" s="81" t="s">
        <v>103</v>
      </c>
      <c r="E1137" s="82">
        <v>14542</v>
      </c>
      <c r="F1137" s="82">
        <v>414</v>
      </c>
      <c r="G1137" s="82">
        <v>436</v>
      </c>
      <c r="H1137" s="83">
        <v>16.257408853053374</v>
      </c>
      <c r="I1137" s="83">
        <v>7335.4394542986793</v>
      </c>
      <c r="J1137" s="83">
        <v>31.753850946498385</v>
      </c>
    </row>
    <row r="1138" spans="1:10" ht="16">
      <c r="A1138" s="79" t="s">
        <v>1452</v>
      </c>
      <c r="B1138" s="79" t="s">
        <v>1307</v>
      </c>
      <c r="C1138" s="80" t="s">
        <v>95</v>
      </c>
      <c r="D1138" s="81" t="s">
        <v>78</v>
      </c>
      <c r="E1138" s="82">
        <v>33885</v>
      </c>
      <c r="F1138" s="82">
        <v>1793</v>
      </c>
      <c r="G1138" s="82">
        <v>4744</v>
      </c>
      <c r="H1138" s="83">
        <v>34.758705940802436</v>
      </c>
      <c r="I1138" s="83">
        <v>29940.239107207344</v>
      </c>
      <c r="J1138" s="83">
        <v>31.112734524097828</v>
      </c>
    </row>
    <row r="1139" spans="1:10" ht="16">
      <c r="A1139" s="79" t="s">
        <v>1293</v>
      </c>
      <c r="B1139" s="79" t="s">
        <v>1209</v>
      </c>
      <c r="C1139" s="80" t="s">
        <v>95</v>
      </c>
      <c r="D1139" s="81" t="s">
        <v>99</v>
      </c>
      <c r="E1139" s="82">
        <v>15664</v>
      </c>
      <c r="F1139" s="82">
        <v>1058</v>
      </c>
      <c r="G1139" s="82">
        <v>2976</v>
      </c>
      <c r="H1139" s="83">
        <v>10.080121020517424</v>
      </c>
      <c r="I1139" s="83">
        <v>2579.5600700364866</v>
      </c>
      <c r="J1139" s="83">
        <v>17.126749954593926</v>
      </c>
    </row>
    <row r="1140" spans="1:10" ht="16">
      <c r="A1140" s="79" t="s">
        <v>1294</v>
      </c>
      <c r="B1140" s="79" t="s">
        <v>1209</v>
      </c>
      <c r="C1140" s="80" t="s">
        <v>95</v>
      </c>
      <c r="D1140" s="81" t="s">
        <v>76</v>
      </c>
      <c r="E1140" s="82">
        <v>23863</v>
      </c>
      <c r="F1140" s="82">
        <v>1742</v>
      </c>
      <c r="G1140" s="82">
        <v>8113</v>
      </c>
      <c r="H1140" s="83">
        <v>45.271111398562141</v>
      </c>
      <c r="I1140" s="83">
        <v>39052.226316608394</v>
      </c>
      <c r="J1140" s="83">
        <v>40.680825413496898</v>
      </c>
    </row>
    <row r="1141" spans="1:10" ht="16">
      <c r="A1141" s="79" t="s">
        <v>1453</v>
      </c>
      <c r="B1141" s="79" t="s">
        <v>1307</v>
      </c>
      <c r="C1141" s="80" t="s">
        <v>95</v>
      </c>
      <c r="D1141" s="81" t="s">
        <v>101</v>
      </c>
      <c r="E1141" s="82">
        <v>36929</v>
      </c>
      <c r="F1141" s="82">
        <v>3156</v>
      </c>
      <c r="G1141" s="82">
        <v>9232</v>
      </c>
      <c r="H1141" s="83">
        <v>59.898089410989897</v>
      </c>
      <c r="I1141" s="83">
        <v>55209.637289358747</v>
      </c>
      <c r="J1141" s="83">
        <v>55.198018363206579</v>
      </c>
    </row>
    <row r="1142" spans="1:10" ht="16">
      <c r="A1142" s="79" t="s">
        <v>361</v>
      </c>
      <c r="B1142" s="79" t="s">
        <v>355</v>
      </c>
      <c r="C1142" s="80" t="s">
        <v>95</v>
      </c>
      <c r="D1142" s="81" t="s">
        <v>79</v>
      </c>
      <c r="E1142" s="82">
        <v>21281</v>
      </c>
      <c r="F1142" s="82">
        <v>1759</v>
      </c>
      <c r="G1142" s="82">
        <v>3618</v>
      </c>
      <c r="H1142" s="83">
        <v>28.614887055862575</v>
      </c>
      <c r="I1142" s="83">
        <v>23993.380725701525</v>
      </c>
      <c r="J1142" s="83">
        <v>21.529149318531456</v>
      </c>
    </row>
    <row r="1143" spans="1:10" ht="16">
      <c r="A1143" s="79" t="s">
        <v>135</v>
      </c>
      <c r="B1143" s="79" t="s">
        <v>108</v>
      </c>
      <c r="C1143" s="80" t="s">
        <v>95</v>
      </c>
      <c r="D1143" s="81" t="s">
        <v>79</v>
      </c>
      <c r="E1143" s="82">
        <v>12405</v>
      </c>
      <c r="F1143" s="82">
        <v>481</v>
      </c>
      <c r="G1143" s="82">
        <v>1861</v>
      </c>
      <c r="H1143" s="83">
        <v>20.093892222593368</v>
      </c>
      <c r="I1143" s="83">
        <v>10922.425424772831</v>
      </c>
      <c r="J1143" s="83">
        <v>20.125029781157625</v>
      </c>
    </row>
    <row r="1144" spans="1:10" ht="16">
      <c r="A1144" s="79" t="s">
        <v>332</v>
      </c>
      <c r="B1144" s="79" t="s">
        <v>333</v>
      </c>
      <c r="C1144" s="80" t="s">
        <v>126</v>
      </c>
      <c r="D1144" s="81" t="s">
        <v>76</v>
      </c>
      <c r="E1144" s="82">
        <v>20043</v>
      </c>
      <c r="F1144" s="82">
        <v>891</v>
      </c>
      <c r="G1144" s="82">
        <v>401</v>
      </c>
      <c r="H1144" s="83">
        <v>13.051756420914119</v>
      </c>
      <c r="I1144" s="83">
        <v>7022.7949888986486</v>
      </c>
      <c r="J1144" s="83">
        <v>16.258594236841617</v>
      </c>
    </row>
    <row r="1145" spans="1:10" ht="16">
      <c r="A1145" s="79" t="s">
        <v>1295</v>
      </c>
      <c r="B1145" s="79" t="s">
        <v>1209</v>
      </c>
      <c r="C1145" s="80" t="s">
        <v>95</v>
      </c>
      <c r="D1145" s="81" t="s">
        <v>101</v>
      </c>
      <c r="E1145" s="82">
        <v>9213</v>
      </c>
      <c r="F1145" s="82">
        <v>725</v>
      </c>
      <c r="G1145" s="82">
        <v>4238</v>
      </c>
      <c r="H1145" s="83">
        <v>42.15654788214286</v>
      </c>
      <c r="I1145" s="83">
        <v>28372.719594412472</v>
      </c>
      <c r="J1145" s="83">
        <v>43.136719360362335</v>
      </c>
    </row>
    <row r="1146" spans="1:10" ht="16">
      <c r="A1146" s="79" t="s">
        <v>1097</v>
      </c>
      <c r="B1146" s="79" t="s">
        <v>1091</v>
      </c>
      <c r="C1146" s="80" t="s">
        <v>126</v>
      </c>
      <c r="D1146" s="81" t="s">
        <v>149</v>
      </c>
      <c r="E1146" s="82">
        <v>7579</v>
      </c>
      <c r="F1146" s="82">
        <v>642</v>
      </c>
      <c r="G1146" s="82">
        <v>2577</v>
      </c>
      <c r="H1146" s="83">
        <v>20.357425469010881</v>
      </c>
      <c r="I1146" s="83">
        <v>11601.208375824399</v>
      </c>
      <c r="J1146" s="83">
        <v>31.429965671235184</v>
      </c>
    </row>
    <row r="1147" spans="1:10" ht="16">
      <c r="A1147" s="79" t="s">
        <v>1296</v>
      </c>
      <c r="B1147" s="79" t="s">
        <v>1209</v>
      </c>
      <c r="C1147" s="80" t="s">
        <v>95</v>
      </c>
      <c r="D1147" s="81" t="s">
        <v>78</v>
      </c>
      <c r="E1147" s="82">
        <v>9250</v>
      </c>
      <c r="F1147" s="82">
        <v>585</v>
      </c>
      <c r="G1147" s="82">
        <v>2128</v>
      </c>
      <c r="H1147" s="83">
        <v>26.210699867655158</v>
      </c>
      <c r="I1147" s="83">
        <v>19109.622600513165</v>
      </c>
      <c r="J1147" s="83">
        <v>24.503167339020486</v>
      </c>
    </row>
    <row r="1148" spans="1:10" ht="16">
      <c r="A1148" s="79" t="s">
        <v>416</v>
      </c>
      <c r="B1148" s="79" t="s">
        <v>396</v>
      </c>
      <c r="C1148" s="80" t="s">
        <v>95</v>
      </c>
      <c r="D1148" s="81" t="s">
        <v>99</v>
      </c>
      <c r="E1148" s="82">
        <v>46898</v>
      </c>
      <c r="F1148" s="82">
        <v>2495</v>
      </c>
      <c r="G1148" s="82">
        <v>9380</v>
      </c>
      <c r="H1148" s="83">
        <v>21.793022935166938</v>
      </c>
      <c r="I1148" s="83">
        <v>13168.211159283817</v>
      </c>
      <c r="J1148" s="83">
        <v>29.289445132716772</v>
      </c>
    </row>
    <row r="1149" spans="1:10" ht="16">
      <c r="A1149" s="79" t="s">
        <v>1297</v>
      </c>
      <c r="B1149" s="79" t="s">
        <v>1209</v>
      </c>
      <c r="C1149" s="80" t="s">
        <v>126</v>
      </c>
      <c r="D1149" s="81" t="s">
        <v>99</v>
      </c>
      <c r="E1149" s="82">
        <v>18517</v>
      </c>
      <c r="F1149" s="82">
        <v>975</v>
      </c>
      <c r="G1149" s="82">
        <v>5000</v>
      </c>
      <c r="H1149" s="83">
        <v>32.365425982853559</v>
      </c>
      <c r="I1149" s="83">
        <v>16403.698947284411</v>
      </c>
      <c r="J1149" s="83">
        <v>28.649786183150958</v>
      </c>
    </row>
    <row r="1150" spans="1:10" ht="16">
      <c r="A1150" s="79" t="s">
        <v>462</v>
      </c>
      <c r="B1150" s="79" t="s">
        <v>421</v>
      </c>
      <c r="C1150" s="80" t="s">
        <v>126</v>
      </c>
      <c r="D1150" s="81" t="s">
        <v>96</v>
      </c>
      <c r="E1150" s="82">
        <v>26004</v>
      </c>
      <c r="F1150" s="82">
        <v>568</v>
      </c>
      <c r="G1150" s="82">
        <v>5201</v>
      </c>
      <c r="H1150" s="83">
        <v>45.538822433526455</v>
      </c>
      <c r="I1150" s="83">
        <v>23793.683071107313</v>
      </c>
      <c r="J1150" s="83">
        <v>42.067881668111582</v>
      </c>
    </row>
    <row r="1151" spans="1:10" ht="16">
      <c r="A1151" s="79" t="s">
        <v>1298</v>
      </c>
      <c r="B1151" s="79" t="s">
        <v>1209</v>
      </c>
      <c r="C1151" s="80" t="s">
        <v>95</v>
      </c>
      <c r="D1151" s="81" t="s">
        <v>96</v>
      </c>
      <c r="E1151" s="82">
        <v>13125</v>
      </c>
      <c r="F1151" s="82">
        <v>820</v>
      </c>
      <c r="G1151" s="82">
        <v>4856</v>
      </c>
      <c r="H1151" s="83">
        <v>35.23511819542415</v>
      </c>
      <c r="I1151" s="83">
        <v>24679.786761451014</v>
      </c>
      <c r="J1151" s="83">
        <v>31.170411098657254</v>
      </c>
    </row>
    <row r="1152" spans="1:10" ht="16">
      <c r="A1152" s="79" t="s">
        <v>1299</v>
      </c>
      <c r="B1152" s="79" t="s">
        <v>1209</v>
      </c>
      <c r="C1152" s="80" t="s">
        <v>95</v>
      </c>
      <c r="D1152" s="81" t="s">
        <v>79</v>
      </c>
      <c r="E1152" s="82">
        <v>14978</v>
      </c>
      <c r="F1152" s="82">
        <v>930</v>
      </c>
      <c r="G1152" s="82">
        <v>5841</v>
      </c>
      <c r="H1152" s="83">
        <v>38.4669638011693</v>
      </c>
      <c r="I1152" s="83">
        <v>34810.421668134433</v>
      </c>
      <c r="J1152" s="83">
        <v>36.255603925402198</v>
      </c>
    </row>
    <row r="1153" spans="1:10" ht="16">
      <c r="A1153" s="79" t="s">
        <v>136</v>
      </c>
      <c r="B1153" s="79" t="s">
        <v>108</v>
      </c>
      <c r="C1153" s="80" t="s">
        <v>95</v>
      </c>
      <c r="D1153" s="81" t="s">
        <v>77</v>
      </c>
      <c r="E1153" s="82">
        <v>45111</v>
      </c>
      <c r="F1153" s="82">
        <v>2244</v>
      </c>
      <c r="G1153" s="82">
        <v>17593</v>
      </c>
      <c r="H1153" s="83">
        <v>62.419063426074104</v>
      </c>
      <c r="I1153" s="83">
        <v>55827.096044743652</v>
      </c>
      <c r="J1153" s="83">
        <v>51.007638927224043</v>
      </c>
    </row>
    <row r="1154" spans="1:10" ht="16">
      <c r="A1154" s="79" t="s">
        <v>489</v>
      </c>
      <c r="B1154" s="79" t="s">
        <v>485</v>
      </c>
      <c r="C1154" s="80" t="s">
        <v>95</v>
      </c>
      <c r="D1154" s="81" t="s">
        <v>99</v>
      </c>
      <c r="E1154" s="82">
        <v>19700</v>
      </c>
      <c r="F1154" s="82">
        <v>1576</v>
      </c>
      <c r="G1154" s="82">
        <v>3152</v>
      </c>
      <c r="H1154" s="83">
        <v>13.336556171951448</v>
      </c>
      <c r="I1154" s="83">
        <v>4549.7477497509326</v>
      </c>
      <c r="J1154" s="83">
        <v>22.032208646849313</v>
      </c>
    </row>
    <row r="1155" spans="1:10" ht="16">
      <c r="A1155" s="79" t="s">
        <v>590</v>
      </c>
      <c r="B1155" s="79" t="s">
        <v>556</v>
      </c>
      <c r="C1155" s="80" t="s">
        <v>126</v>
      </c>
      <c r="D1155" s="81" t="s">
        <v>103</v>
      </c>
      <c r="E1155" s="82">
        <v>20360</v>
      </c>
      <c r="F1155" s="82">
        <v>771</v>
      </c>
      <c r="G1155" s="82">
        <v>936</v>
      </c>
      <c r="H1155" s="83">
        <v>20.232055748540446</v>
      </c>
      <c r="I1155" s="83">
        <v>8401.2016265341208</v>
      </c>
      <c r="J1155" s="83">
        <v>28.024699081450169</v>
      </c>
    </row>
    <row r="1156" spans="1:10" ht="16">
      <c r="A1156" s="79" t="s">
        <v>239</v>
      </c>
      <c r="B1156" s="79" t="s">
        <v>231</v>
      </c>
      <c r="C1156" s="80" t="s">
        <v>126</v>
      </c>
      <c r="D1156" s="81" t="s">
        <v>96</v>
      </c>
      <c r="E1156" s="82">
        <v>10795</v>
      </c>
      <c r="F1156" s="82">
        <v>670</v>
      </c>
      <c r="G1156" s="82">
        <v>108</v>
      </c>
      <c r="H1156" s="83">
        <v>11.474359084545744</v>
      </c>
      <c r="I1156" s="83">
        <v>3087.826599892207</v>
      </c>
      <c r="J1156" s="83">
        <v>15.800034410824198</v>
      </c>
    </row>
    <row r="1157" spans="1:10" ht="16">
      <c r="A1157" s="79" t="s">
        <v>386</v>
      </c>
      <c r="B1157" s="79" t="s">
        <v>384</v>
      </c>
      <c r="C1157" s="80" t="s">
        <v>95</v>
      </c>
      <c r="D1157" s="81" t="s">
        <v>149</v>
      </c>
      <c r="E1157" s="82">
        <v>8532</v>
      </c>
      <c r="F1157" s="82">
        <v>736</v>
      </c>
      <c r="G1157" s="82">
        <v>683</v>
      </c>
      <c r="H1157" s="83">
        <v>27.841692575494598</v>
      </c>
      <c r="I1157" s="83">
        <v>22405.594334600784</v>
      </c>
      <c r="J1157" s="83">
        <v>27.032720387821499</v>
      </c>
    </row>
    <row r="1158" spans="1:10" ht="16">
      <c r="A1158" s="79" t="s">
        <v>137</v>
      </c>
      <c r="B1158" s="79" t="s">
        <v>108</v>
      </c>
      <c r="C1158" s="80" t="s">
        <v>95</v>
      </c>
      <c r="D1158" s="81" t="s">
        <v>78</v>
      </c>
      <c r="E1158" s="82">
        <v>18219</v>
      </c>
      <c r="F1158" s="82">
        <v>732</v>
      </c>
      <c r="G1158" s="82">
        <v>5466</v>
      </c>
      <c r="H1158" s="83">
        <v>34.608010845704634</v>
      </c>
      <c r="I1158" s="83">
        <v>21280.469408060922</v>
      </c>
      <c r="J1158" s="83">
        <v>26.73885414806664</v>
      </c>
    </row>
    <row r="1159" spans="1:10" ht="16">
      <c r="A1159" s="79" t="s">
        <v>138</v>
      </c>
      <c r="B1159" s="79" t="s">
        <v>108</v>
      </c>
      <c r="C1159" s="80" t="s">
        <v>95</v>
      </c>
      <c r="D1159" s="81" t="s">
        <v>75</v>
      </c>
      <c r="E1159" s="82">
        <v>26385</v>
      </c>
      <c r="F1159" s="82">
        <v>608</v>
      </c>
      <c r="G1159" s="82">
        <v>8971</v>
      </c>
      <c r="H1159" s="83">
        <v>43.595094256521172</v>
      </c>
      <c r="I1159" s="83">
        <v>32323.280481648078</v>
      </c>
      <c r="J1159" s="83">
        <v>33.513524054350604</v>
      </c>
    </row>
    <row r="1160" spans="1:10" ht="16">
      <c r="A1160" s="79" t="s">
        <v>598</v>
      </c>
      <c r="B1160" s="79" t="s">
        <v>597</v>
      </c>
      <c r="C1160" s="80" t="s">
        <v>95</v>
      </c>
      <c r="D1160" s="81" t="s">
        <v>76</v>
      </c>
      <c r="E1160" s="82">
        <v>10450</v>
      </c>
      <c r="F1160" s="82">
        <v>1659</v>
      </c>
      <c r="G1160" s="82">
        <v>727</v>
      </c>
      <c r="H1160" s="83">
        <v>7.2488140673169452</v>
      </c>
      <c r="I1160" s="83">
        <v>1421.5057370970133</v>
      </c>
      <c r="J1160" s="83">
        <v>21.431074868468446</v>
      </c>
    </row>
    <row r="1161" spans="1:10" ht="16">
      <c r="A1161" s="79" t="s">
        <v>591</v>
      </c>
      <c r="B1161" s="79" t="s">
        <v>556</v>
      </c>
      <c r="C1161" s="80" t="s">
        <v>126</v>
      </c>
      <c r="D1161" s="81" t="s">
        <v>101</v>
      </c>
      <c r="E1161" s="82">
        <v>53614</v>
      </c>
      <c r="F1161" s="82">
        <v>2188</v>
      </c>
      <c r="G1161" s="82">
        <v>1072</v>
      </c>
      <c r="H1161" s="83">
        <v>23.722665184358871</v>
      </c>
      <c r="I1161" s="83">
        <v>9114.311304108438</v>
      </c>
      <c r="J1161" s="83">
        <v>37.545076175878108</v>
      </c>
    </row>
    <row r="1162" spans="1:10" ht="16">
      <c r="A1162" s="79" t="s">
        <v>1454</v>
      </c>
      <c r="B1162" s="79" t="s">
        <v>1307</v>
      </c>
      <c r="C1162" s="80" t="s">
        <v>95</v>
      </c>
      <c r="D1162" s="81" t="s">
        <v>101</v>
      </c>
      <c r="E1162" s="82">
        <v>28835</v>
      </c>
      <c r="F1162" s="82">
        <v>1144</v>
      </c>
      <c r="G1162" s="82">
        <v>4325</v>
      </c>
      <c r="H1162" s="83">
        <v>18.82366590684644</v>
      </c>
      <c r="I1162" s="83">
        <v>9196.7302068581394</v>
      </c>
      <c r="J1162" s="83">
        <v>21.737380815340305</v>
      </c>
    </row>
    <row r="1163" spans="1:10" ht="16">
      <c r="A1163" s="79" t="s">
        <v>1455</v>
      </c>
      <c r="B1163" s="79" t="s">
        <v>1307</v>
      </c>
      <c r="C1163" s="80" t="s">
        <v>95</v>
      </c>
      <c r="D1163" s="81" t="s">
        <v>77</v>
      </c>
      <c r="E1163" s="82">
        <v>49165</v>
      </c>
      <c r="F1163" s="82">
        <v>2858</v>
      </c>
      <c r="G1163" s="82">
        <v>4917</v>
      </c>
      <c r="H1163" s="83">
        <v>76.651089175978569</v>
      </c>
      <c r="I1163" s="83">
        <v>71058.038522787974</v>
      </c>
      <c r="J1163" s="83">
        <v>69.001439687319348</v>
      </c>
    </row>
    <row r="1164" spans="1:10" ht="16">
      <c r="A1164" s="79" t="s">
        <v>1456</v>
      </c>
      <c r="B1164" s="79" t="s">
        <v>1307</v>
      </c>
      <c r="C1164" s="80" t="s">
        <v>126</v>
      </c>
      <c r="D1164" s="81" t="s">
        <v>111</v>
      </c>
      <c r="E1164" s="82">
        <v>22757</v>
      </c>
      <c r="F1164" s="82">
        <v>1054</v>
      </c>
      <c r="G1164" s="82">
        <v>5689</v>
      </c>
      <c r="H1164" s="83">
        <v>29.82382016037544</v>
      </c>
      <c r="I1164" s="83">
        <v>24074.81334419339</v>
      </c>
      <c r="J1164" s="83">
        <v>23.96576266960167</v>
      </c>
    </row>
    <row r="1165" spans="1:10" ht="16">
      <c r="A1165" s="79" t="s">
        <v>1457</v>
      </c>
      <c r="B1165" s="79" t="s">
        <v>1307</v>
      </c>
      <c r="C1165" s="80" t="s">
        <v>95</v>
      </c>
      <c r="D1165" s="81" t="s">
        <v>96</v>
      </c>
      <c r="E1165" s="82">
        <v>17089</v>
      </c>
      <c r="F1165" s="82">
        <v>737</v>
      </c>
      <c r="G1165" s="82">
        <v>1367</v>
      </c>
      <c r="H1165" s="83">
        <v>23.311201257200505</v>
      </c>
      <c r="I1165" s="83">
        <v>8345.9268387414959</v>
      </c>
      <c r="J1165" s="83">
        <v>21.356275040627285</v>
      </c>
    </row>
    <row r="1166" spans="1:10" ht="16">
      <c r="A1166" s="79" t="s">
        <v>1458</v>
      </c>
      <c r="B1166" s="79" t="s">
        <v>1307</v>
      </c>
      <c r="C1166" s="80" t="s">
        <v>95</v>
      </c>
      <c r="D1166" s="81" t="s">
        <v>99</v>
      </c>
      <c r="E1166" s="82">
        <v>24435</v>
      </c>
      <c r="F1166" s="82">
        <v>997</v>
      </c>
      <c r="G1166" s="82">
        <v>977</v>
      </c>
      <c r="H1166" s="83">
        <v>21.769449552443337</v>
      </c>
      <c r="I1166" s="83">
        <v>16482.405235534217</v>
      </c>
      <c r="J1166" s="83">
        <v>18.284684591335854</v>
      </c>
    </row>
    <row r="1167" spans="1:10" ht="16">
      <c r="A1167" s="79" t="s">
        <v>475</v>
      </c>
      <c r="B1167" s="79" t="s">
        <v>467</v>
      </c>
      <c r="C1167" s="80" t="s">
        <v>95</v>
      </c>
      <c r="D1167" s="81" t="s">
        <v>149</v>
      </c>
      <c r="E1167" s="82">
        <v>13040</v>
      </c>
      <c r="F1167" s="82">
        <v>316</v>
      </c>
      <c r="G1167" s="82">
        <v>130</v>
      </c>
      <c r="H1167" s="83">
        <v>18.623795735183496</v>
      </c>
      <c r="I1167" s="83">
        <v>7895.3005554676784</v>
      </c>
      <c r="J1167" s="83">
        <v>18.26729745369175</v>
      </c>
    </row>
    <row r="1168" spans="1:10" ht="16">
      <c r="A1168" s="79" t="s">
        <v>240</v>
      </c>
      <c r="B1168" s="79" t="s">
        <v>231</v>
      </c>
      <c r="C1168" s="80" t="s">
        <v>95</v>
      </c>
      <c r="D1168" s="81" t="s">
        <v>101</v>
      </c>
      <c r="E1168" s="82">
        <v>8402</v>
      </c>
      <c r="F1168" s="82">
        <v>583</v>
      </c>
      <c r="G1168" s="82">
        <v>168</v>
      </c>
      <c r="H1168" s="83">
        <v>10.673377980802396</v>
      </c>
      <c r="I1168" s="83">
        <v>1648.2938864357736</v>
      </c>
      <c r="J1168" s="83">
        <v>16.760001052060826</v>
      </c>
    </row>
    <row r="1169" spans="1:10" ht="16">
      <c r="A1169" s="79" t="s">
        <v>328</v>
      </c>
      <c r="B1169" s="79" t="s">
        <v>323</v>
      </c>
      <c r="C1169" s="80" t="s">
        <v>126</v>
      </c>
      <c r="D1169" s="81" t="s">
        <v>77</v>
      </c>
      <c r="E1169" s="82">
        <v>15521</v>
      </c>
      <c r="F1169" s="82">
        <v>1176</v>
      </c>
      <c r="G1169" s="82">
        <v>310</v>
      </c>
      <c r="H1169" s="83">
        <v>16.857887196395186</v>
      </c>
      <c r="I1169" s="83">
        <v>7175.4174518883829</v>
      </c>
      <c r="J1169" s="83">
        <v>21.398513984724435</v>
      </c>
    </row>
    <row r="1170" spans="1:10" ht="16">
      <c r="A1170" s="79" t="s">
        <v>1477</v>
      </c>
      <c r="B1170" s="79" t="s">
        <v>1478</v>
      </c>
      <c r="C1170" s="80" t="s">
        <v>95</v>
      </c>
      <c r="D1170" s="81" t="s">
        <v>103</v>
      </c>
      <c r="E1170" s="82">
        <v>42198</v>
      </c>
      <c r="F1170" s="82">
        <v>2512</v>
      </c>
      <c r="G1170" s="82">
        <v>4007</v>
      </c>
      <c r="H1170" s="83">
        <v>8.4769335981907528</v>
      </c>
      <c r="I1170" s="83">
        <v>719.89501112023277</v>
      </c>
      <c r="J1170" s="83">
        <v>15.318187376794722</v>
      </c>
    </row>
    <row r="1171" spans="1:10" ht="16">
      <c r="A1171" s="79" t="s">
        <v>1070</v>
      </c>
      <c r="B1171" s="79" t="s">
        <v>1039</v>
      </c>
      <c r="C1171" s="80" t="s">
        <v>95</v>
      </c>
      <c r="D1171" s="81" t="s">
        <v>77</v>
      </c>
      <c r="E1171" s="82">
        <v>11277</v>
      </c>
      <c r="F1171" s="82">
        <v>881</v>
      </c>
      <c r="G1171" s="82">
        <v>789</v>
      </c>
      <c r="H1171" s="83">
        <v>13.720270479638012</v>
      </c>
      <c r="I1171" s="83">
        <v>8044.1484302153995</v>
      </c>
      <c r="J1171" s="83">
        <v>20.760920686265553</v>
      </c>
    </row>
    <row r="1172" spans="1:10" ht="16">
      <c r="A1172" s="79" t="s">
        <v>1071</v>
      </c>
      <c r="B1172" s="79" t="s">
        <v>1039</v>
      </c>
      <c r="C1172" s="80" t="s">
        <v>95</v>
      </c>
      <c r="D1172" s="81" t="s">
        <v>101</v>
      </c>
      <c r="E1172" s="82">
        <v>42485</v>
      </c>
      <c r="F1172" s="82">
        <v>2871</v>
      </c>
      <c r="G1172" s="82">
        <v>1699</v>
      </c>
      <c r="H1172" s="83">
        <v>17.832438040928771</v>
      </c>
      <c r="I1172" s="83">
        <v>8110.6317468716416</v>
      </c>
      <c r="J1172" s="83">
        <v>22.980567284730817</v>
      </c>
    </row>
    <row r="1173" spans="1:10" ht="16">
      <c r="A1173" s="79" t="s">
        <v>329</v>
      </c>
      <c r="B1173" s="79" t="s">
        <v>323</v>
      </c>
      <c r="C1173" s="80" t="s">
        <v>95</v>
      </c>
      <c r="D1173" s="81" t="s">
        <v>79</v>
      </c>
      <c r="E1173" s="82">
        <v>14228</v>
      </c>
      <c r="F1173" s="82">
        <v>694</v>
      </c>
      <c r="G1173" s="82">
        <v>427</v>
      </c>
      <c r="H1173" s="83">
        <v>11.662711069110273</v>
      </c>
      <c r="I1173" s="83">
        <v>1255.1459335302086</v>
      </c>
      <c r="J1173" s="83">
        <v>15.498732424025848</v>
      </c>
    </row>
    <row r="1174" spans="1:10" ht="16">
      <c r="A1174" s="79" t="s">
        <v>896</v>
      </c>
      <c r="B1174" s="79" t="s">
        <v>895</v>
      </c>
      <c r="C1174" s="80" t="s">
        <v>95</v>
      </c>
      <c r="D1174" s="81" t="s">
        <v>78</v>
      </c>
      <c r="E1174" s="82">
        <v>39877</v>
      </c>
      <c r="F1174" s="82">
        <v>4747</v>
      </c>
      <c r="G1174" s="82">
        <v>399</v>
      </c>
      <c r="H1174" s="83">
        <v>18.0892763787982</v>
      </c>
      <c r="I1174" s="83">
        <v>14999.857570663034</v>
      </c>
      <c r="J1174" s="83">
        <v>24.458951326675358</v>
      </c>
    </row>
    <row r="1175" spans="1:10" ht="16">
      <c r="A1175" s="79" t="s">
        <v>889</v>
      </c>
      <c r="B1175" s="79" t="s">
        <v>877</v>
      </c>
      <c r="C1175" s="80" t="s">
        <v>95</v>
      </c>
      <c r="D1175" s="81" t="s">
        <v>101</v>
      </c>
      <c r="E1175" s="82">
        <v>27907</v>
      </c>
      <c r="F1175" s="82">
        <v>1037</v>
      </c>
      <c r="G1175" s="82">
        <v>1942</v>
      </c>
      <c r="H1175" s="83">
        <v>10.558268330026221</v>
      </c>
      <c r="I1175" s="83">
        <v>3552.1745234993955</v>
      </c>
      <c r="J1175" s="83">
        <v>20.419233864029191</v>
      </c>
    </row>
    <row r="1176" spans="1:10" ht="16">
      <c r="A1176" s="79" t="s">
        <v>761</v>
      </c>
      <c r="B1176" s="79" t="s">
        <v>661</v>
      </c>
      <c r="C1176" s="80" t="s">
        <v>126</v>
      </c>
      <c r="D1176" s="81" t="s">
        <v>76</v>
      </c>
      <c r="E1176" s="82">
        <v>8222</v>
      </c>
      <c r="F1176" s="82">
        <v>754</v>
      </c>
      <c r="G1176" s="82">
        <v>164</v>
      </c>
      <c r="H1176" s="83">
        <v>12.409111416715421</v>
      </c>
      <c r="I1176" s="83">
        <v>1786.8439358941155</v>
      </c>
      <c r="J1176" s="83">
        <v>19.906283721971501</v>
      </c>
    </row>
    <row r="1177" spans="1:10" ht="16">
      <c r="A1177" s="79" t="s">
        <v>197</v>
      </c>
      <c r="B1177" s="79" t="s">
        <v>169</v>
      </c>
      <c r="C1177" s="80" t="s">
        <v>95</v>
      </c>
      <c r="D1177" s="81" t="s">
        <v>149</v>
      </c>
      <c r="E1177" s="82">
        <v>21715</v>
      </c>
      <c r="F1177" s="82">
        <v>916</v>
      </c>
      <c r="G1177" s="82">
        <v>1495</v>
      </c>
      <c r="H1177" s="83">
        <v>10.142718010480065</v>
      </c>
      <c r="I1177" s="83">
        <v>2150.7644676940195</v>
      </c>
      <c r="J1177" s="83">
        <v>18.638250366657211</v>
      </c>
    </row>
    <row r="1178" spans="1:10" ht="16">
      <c r="A1178" s="79" t="s">
        <v>139</v>
      </c>
      <c r="B1178" s="79" t="s">
        <v>108</v>
      </c>
      <c r="C1178" s="80" t="s">
        <v>95</v>
      </c>
      <c r="D1178" s="81" t="s">
        <v>103</v>
      </c>
      <c r="E1178" s="82">
        <v>9720</v>
      </c>
      <c r="F1178" s="82">
        <v>311</v>
      </c>
      <c r="G1178" s="82">
        <v>1652</v>
      </c>
      <c r="H1178" s="83">
        <v>23.698104174119774</v>
      </c>
      <c r="I1178" s="83">
        <v>10854.528723861777</v>
      </c>
      <c r="J1178" s="83">
        <v>17.82136695359592</v>
      </c>
    </row>
    <row r="1179" spans="1:10" ht="16">
      <c r="A1179" s="79" t="s">
        <v>1300</v>
      </c>
      <c r="B1179" s="79" t="s">
        <v>1209</v>
      </c>
      <c r="C1179" s="80" t="s">
        <v>95</v>
      </c>
      <c r="D1179" s="81" t="s">
        <v>103</v>
      </c>
      <c r="E1179" s="82">
        <v>21737</v>
      </c>
      <c r="F1179" s="82">
        <v>1188</v>
      </c>
      <c r="G1179" s="82">
        <v>4565</v>
      </c>
      <c r="H1179" s="83">
        <v>16.17026579713713</v>
      </c>
      <c r="I1179" s="83">
        <v>7400.1948380638914</v>
      </c>
      <c r="J1179" s="83">
        <v>17.991810670677513</v>
      </c>
    </row>
    <row r="1180" spans="1:10" ht="16">
      <c r="A1180" s="79" t="s">
        <v>1301</v>
      </c>
      <c r="B1180" s="79" t="s">
        <v>1209</v>
      </c>
      <c r="C1180" s="80" t="s">
        <v>95</v>
      </c>
      <c r="D1180" s="81" t="s">
        <v>99</v>
      </c>
      <c r="E1180" s="82">
        <v>11730</v>
      </c>
      <c r="F1180" s="82">
        <v>524</v>
      </c>
      <c r="G1180" s="82">
        <v>2463</v>
      </c>
      <c r="H1180" s="83">
        <v>14.532471188843015</v>
      </c>
      <c r="I1180" s="83">
        <v>10728.448691993104</v>
      </c>
      <c r="J1180" s="83">
        <v>14.044728044438783</v>
      </c>
    </row>
    <row r="1181" spans="1:10" ht="16">
      <c r="A1181" s="79" t="s">
        <v>1004</v>
      </c>
      <c r="B1181" s="79" t="s">
        <v>996</v>
      </c>
      <c r="C1181" s="80" t="s">
        <v>95</v>
      </c>
      <c r="D1181" s="81" t="s">
        <v>99</v>
      </c>
      <c r="E1181" s="82">
        <v>21999</v>
      </c>
      <c r="F1181" s="82">
        <v>721</v>
      </c>
      <c r="G1181" s="82">
        <v>1760</v>
      </c>
      <c r="H1181" s="83">
        <v>20.254072996396619</v>
      </c>
      <c r="I1181" s="83">
        <v>12066.741003726509</v>
      </c>
      <c r="J1181" s="83">
        <v>18.371793416498448</v>
      </c>
    </row>
    <row r="1182" spans="1:10" ht="16">
      <c r="A1182" s="79" t="s">
        <v>1005</v>
      </c>
      <c r="B1182" s="79" t="s">
        <v>996</v>
      </c>
      <c r="C1182" s="80" t="s">
        <v>95</v>
      </c>
      <c r="D1182" s="81" t="s">
        <v>75</v>
      </c>
      <c r="E1182" s="82">
        <v>28521</v>
      </c>
      <c r="F1182" s="82">
        <v>1084</v>
      </c>
      <c r="G1182" s="82">
        <v>2282</v>
      </c>
      <c r="H1182" s="83">
        <v>43.809255362627802</v>
      </c>
      <c r="I1182" s="83">
        <v>34051.761088724365</v>
      </c>
      <c r="J1182" s="83">
        <v>31.978091569651745</v>
      </c>
    </row>
    <row r="1183" spans="1:10" ht="16">
      <c r="A1183" s="79" t="s">
        <v>476</v>
      </c>
      <c r="B1183" s="79" t="s">
        <v>467</v>
      </c>
      <c r="C1183" s="80" t="s">
        <v>95</v>
      </c>
      <c r="D1183" s="81" t="s">
        <v>75</v>
      </c>
      <c r="E1183" s="82">
        <v>17004</v>
      </c>
      <c r="F1183" s="82">
        <v>437</v>
      </c>
      <c r="G1183" s="82">
        <v>680</v>
      </c>
      <c r="H1183" s="83">
        <v>20.70253145764983</v>
      </c>
      <c r="I1183" s="83">
        <v>9864.3226735499393</v>
      </c>
      <c r="J1183" s="83">
        <v>15.917166798874065</v>
      </c>
    </row>
    <row r="1184" spans="1:10" ht="16">
      <c r="A1184" s="79" t="s">
        <v>102</v>
      </c>
      <c r="B1184" s="79" t="s">
        <v>94</v>
      </c>
      <c r="C1184" s="80" t="s">
        <v>95</v>
      </c>
      <c r="D1184" s="81" t="s">
        <v>103</v>
      </c>
      <c r="E1184" s="82">
        <v>43446</v>
      </c>
      <c r="F1184" s="82">
        <v>1773</v>
      </c>
      <c r="G1184" s="82">
        <v>434</v>
      </c>
      <c r="H1184" s="83">
        <v>9.7475041592817391</v>
      </c>
      <c r="I1184" s="83">
        <v>496.34714768367803</v>
      </c>
      <c r="J1184" s="83">
        <v>29.290818220975861</v>
      </c>
    </row>
    <row r="1185" spans="1:10" ht="16">
      <c r="A1185" s="79" t="s">
        <v>1459</v>
      </c>
      <c r="B1185" s="79" t="s">
        <v>1307</v>
      </c>
      <c r="C1185" s="80" t="s">
        <v>95</v>
      </c>
      <c r="D1185" s="81" t="s">
        <v>77</v>
      </c>
      <c r="E1185" s="82">
        <v>18587</v>
      </c>
      <c r="F1185" s="82">
        <v>1199</v>
      </c>
      <c r="G1185" s="82">
        <v>2045</v>
      </c>
      <c r="H1185" s="83">
        <v>14.811525939173739</v>
      </c>
      <c r="I1185" s="83">
        <v>6807.2501949426578</v>
      </c>
      <c r="J1185" s="83">
        <v>33.855442982260342</v>
      </c>
    </row>
    <row r="1186" spans="1:10" ht="16">
      <c r="A1186" s="79" t="s">
        <v>224</v>
      </c>
      <c r="B1186" s="79" t="s">
        <v>203</v>
      </c>
      <c r="C1186" s="80" t="s">
        <v>95</v>
      </c>
      <c r="D1186" s="81" t="s">
        <v>78</v>
      </c>
      <c r="E1186" s="82">
        <v>73370</v>
      </c>
      <c r="F1186" s="82">
        <v>3650</v>
      </c>
      <c r="G1186" s="82">
        <v>15408</v>
      </c>
      <c r="H1186" s="83">
        <v>90.391239218414128</v>
      </c>
      <c r="I1186" s="83">
        <v>83830.788374811556</v>
      </c>
      <c r="J1186" s="83">
        <v>77.563711033215711</v>
      </c>
    </row>
    <row r="1187" spans="1:10" ht="16">
      <c r="A1187" s="79" t="s">
        <v>417</v>
      </c>
      <c r="B1187" s="79" t="s">
        <v>396</v>
      </c>
      <c r="C1187" s="80" t="s">
        <v>95</v>
      </c>
      <c r="D1187" s="81" t="s">
        <v>75</v>
      </c>
      <c r="E1187" s="82">
        <v>27285</v>
      </c>
      <c r="F1187" s="82">
        <v>1287</v>
      </c>
      <c r="G1187" s="82">
        <v>3001</v>
      </c>
      <c r="H1187" s="83">
        <v>12.765475699677969</v>
      </c>
      <c r="I1187" s="83">
        <v>6091.7678153968664</v>
      </c>
      <c r="J1187" s="83">
        <v>30.811257570573318</v>
      </c>
    </row>
    <row r="1188" spans="1:10" ht="16">
      <c r="A1188" s="79" t="s">
        <v>762</v>
      </c>
      <c r="B1188" s="79" t="s">
        <v>661</v>
      </c>
      <c r="C1188" s="80" t="s">
        <v>126</v>
      </c>
      <c r="D1188" s="81" t="s">
        <v>76</v>
      </c>
      <c r="E1188" s="82">
        <v>9133</v>
      </c>
      <c r="F1188" s="82">
        <v>761</v>
      </c>
      <c r="G1188" s="82">
        <v>274</v>
      </c>
      <c r="H1188" s="83">
        <v>13.253482666259496</v>
      </c>
      <c r="I1188" s="83">
        <v>2647.4779016011144</v>
      </c>
      <c r="J1188" s="83">
        <v>21.346454411267214</v>
      </c>
    </row>
    <row r="1189" spans="1:10" ht="16">
      <c r="A1189" s="79" t="s">
        <v>651</v>
      </c>
      <c r="B1189" s="79" t="s">
        <v>617</v>
      </c>
      <c r="C1189" s="80" t="s">
        <v>95</v>
      </c>
      <c r="D1189" s="81" t="s">
        <v>76</v>
      </c>
      <c r="E1189" s="82">
        <v>12920</v>
      </c>
      <c r="F1189" s="82">
        <v>663</v>
      </c>
      <c r="G1189" s="82">
        <v>904</v>
      </c>
      <c r="H1189" s="83">
        <v>31.749663695771901</v>
      </c>
      <c r="I1189" s="83">
        <v>24731.457119451872</v>
      </c>
      <c r="J1189" s="83">
        <v>27.77861591566268</v>
      </c>
    </row>
    <row r="1190" spans="1:10" ht="16">
      <c r="A1190" s="79" t="s">
        <v>652</v>
      </c>
      <c r="B1190" s="79" t="s">
        <v>617</v>
      </c>
      <c r="C1190" s="80" t="s">
        <v>95</v>
      </c>
      <c r="D1190" s="81" t="s">
        <v>76</v>
      </c>
      <c r="E1190" s="82">
        <v>15933</v>
      </c>
      <c r="F1190" s="82">
        <v>678</v>
      </c>
      <c r="G1190" s="82">
        <v>1275</v>
      </c>
      <c r="H1190" s="83">
        <v>22.923495054735163</v>
      </c>
      <c r="I1190" s="83">
        <v>15196.175904667121</v>
      </c>
      <c r="J1190" s="83">
        <v>30.429356134796979</v>
      </c>
    </row>
    <row r="1191" spans="1:10" ht="16">
      <c r="A1191" s="79" t="s">
        <v>763</v>
      </c>
      <c r="B1191" s="79" t="s">
        <v>661</v>
      </c>
      <c r="C1191" s="80" t="s">
        <v>126</v>
      </c>
      <c r="D1191" s="81" t="s">
        <v>149</v>
      </c>
      <c r="E1191" s="82">
        <v>16844</v>
      </c>
      <c r="F1191" s="82">
        <v>1239</v>
      </c>
      <c r="G1191" s="82">
        <v>3537</v>
      </c>
      <c r="H1191" s="83">
        <v>37.577660421469808</v>
      </c>
      <c r="I1191" s="83">
        <v>12811.99211940526</v>
      </c>
      <c r="J1191" s="83">
        <v>43.986542561090971</v>
      </c>
    </row>
    <row r="1192" spans="1:10" ht="16">
      <c r="A1192" s="79" t="s">
        <v>1460</v>
      </c>
      <c r="B1192" s="79" t="s">
        <v>1307</v>
      </c>
      <c r="C1192" s="80" t="s">
        <v>126</v>
      </c>
      <c r="D1192" s="81" t="s">
        <v>76</v>
      </c>
      <c r="E1192" s="82">
        <v>5067</v>
      </c>
      <c r="F1192" s="82">
        <v>409</v>
      </c>
      <c r="G1192" s="82">
        <v>811</v>
      </c>
      <c r="H1192" s="83">
        <v>17.057608245416812</v>
      </c>
      <c r="I1192" s="83">
        <v>11187.194699551825</v>
      </c>
      <c r="J1192" s="83">
        <v>34.01590964802093</v>
      </c>
    </row>
    <row r="1193" spans="1:10" ht="16">
      <c r="A1193" s="79" t="s">
        <v>1159</v>
      </c>
      <c r="B1193" s="79" t="s">
        <v>1154</v>
      </c>
      <c r="C1193" s="80" t="s">
        <v>95</v>
      </c>
      <c r="D1193" s="81" t="s">
        <v>96</v>
      </c>
      <c r="E1193" s="82">
        <v>33923</v>
      </c>
      <c r="F1193" s="82">
        <v>3359</v>
      </c>
      <c r="G1193" s="82">
        <v>339</v>
      </c>
      <c r="H1193" s="83">
        <v>10.80823191779432</v>
      </c>
      <c r="I1193" s="83">
        <v>1826.9757572430747</v>
      </c>
      <c r="J1193" s="83">
        <v>26.004157757281586</v>
      </c>
    </row>
    <row r="1194" spans="1:10" ht="16">
      <c r="A1194" s="79" t="s">
        <v>653</v>
      </c>
      <c r="B1194" s="79" t="s">
        <v>617</v>
      </c>
      <c r="C1194" s="80" t="s">
        <v>95</v>
      </c>
      <c r="D1194" s="81" t="s">
        <v>103</v>
      </c>
      <c r="E1194" s="82">
        <v>55957</v>
      </c>
      <c r="F1194" s="82">
        <v>1890</v>
      </c>
      <c r="G1194" s="82">
        <v>4477</v>
      </c>
      <c r="H1194" s="83">
        <v>28.081449113769089</v>
      </c>
      <c r="I1194" s="83">
        <v>20565.68088288424</v>
      </c>
      <c r="J1194" s="83">
        <v>23.128812327611811</v>
      </c>
    </row>
    <row r="1195" spans="1:10" ht="16">
      <c r="A1195" s="79" t="s">
        <v>394</v>
      </c>
      <c r="B1195" s="79" t="s">
        <v>388</v>
      </c>
      <c r="C1195" s="80" t="s">
        <v>95</v>
      </c>
      <c r="D1195" s="81" t="s">
        <v>103</v>
      </c>
      <c r="E1195" s="82">
        <v>12785</v>
      </c>
      <c r="F1195" s="82">
        <v>784</v>
      </c>
      <c r="G1195" s="82">
        <v>767</v>
      </c>
      <c r="H1195" s="83">
        <v>31.528982721293424</v>
      </c>
      <c r="I1195" s="83">
        <v>22701.988468959396</v>
      </c>
      <c r="J1195" s="83">
        <v>27.680637105983401</v>
      </c>
    </row>
    <row r="1196" spans="1:10" ht="16">
      <c r="A1196" s="79" t="s">
        <v>848</v>
      </c>
      <c r="B1196" s="79" t="s">
        <v>839</v>
      </c>
      <c r="C1196" s="80" t="s">
        <v>126</v>
      </c>
      <c r="D1196" s="81" t="s">
        <v>75</v>
      </c>
      <c r="E1196" s="82">
        <v>7584</v>
      </c>
      <c r="F1196" s="82">
        <v>546</v>
      </c>
      <c r="G1196" s="82">
        <v>2427</v>
      </c>
      <c r="H1196" s="83">
        <v>47.693265720539095</v>
      </c>
      <c r="I1196" s="83">
        <v>26044.341793750868</v>
      </c>
      <c r="J1196" s="83">
        <v>35.810658311384117</v>
      </c>
    </row>
    <row r="1197" spans="1:10" ht="16">
      <c r="A1197" s="79" t="s">
        <v>654</v>
      </c>
      <c r="B1197" s="79" t="s">
        <v>617</v>
      </c>
      <c r="C1197" s="80" t="s">
        <v>95</v>
      </c>
      <c r="D1197" s="81" t="s">
        <v>79</v>
      </c>
      <c r="E1197" s="82">
        <v>11793</v>
      </c>
      <c r="F1197" s="82">
        <v>663</v>
      </c>
      <c r="G1197" s="82">
        <v>826</v>
      </c>
      <c r="H1197" s="83">
        <v>16.145801452639887</v>
      </c>
      <c r="I1197" s="83">
        <v>11105.278048054339</v>
      </c>
      <c r="J1197" s="83">
        <v>26.784460680288525</v>
      </c>
    </row>
    <row r="1198" spans="1:10" ht="16">
      <c r="A1198" s="79" t="s">
        <v>1035</v>
      </c>
      <c r="B1198" s="79" t="s">
        <v>1007</v>
      </c>
      <c r="C1198" s="80" t="s">
        <v>126</v>
      </c>
      <c r="D1198" s="81" t="s">
        <v>77</v>
      </c>
      <c r="E1198" s="82">
        <v>12730</v>
      </c>
      <c r="F1198" s="82">
        <v>1107</v>
      </c>
      <c r="G1198" s="82">
        <v>382</v>
      </c>
      <c r="H1198" s="83">
        <v>23.62527596216162</v>
      </c>
      <c r="I1198" s="83">
        <v>14475.443163836242</v>
      </c>
      <c r="J1198" s="83">
        <v>21.346734794533116</v>
      </c>
    </row>
    <row r="1199" spans="1:10" ht="16">
      <c r="A1199" s="79" t="s">
        <v>655</v>
      </c>
      <c r="B1199" s="79" t="s">
        <v>617</v>
      </c>
      <c r="C1199" s="80" t="s">
        <v>95</v>
      </c>
      <c r="D1199" s="81" t="s">
        <v>78</v>
      </c>
      <c r="E1199" s="82">
        <v>14278</v>
      </c>
      <c r="F1199" s="82">
        <v>361</v>
      </c>
      <c r="G1199" s="82">
        <v>857</v>
      </c>
      <c r="H1199" s="83">
        <v>15.443273324351772</v>
      </c>
      <c r="I1199" s="83">
        <v>12950.532343930319</v>
      </c>
      <c r="J1199" s="83">
        <v>17.905993311382588</v>
      </c>
    </row>
    <row r="1200" spans="1:10" ht="16">
      <c r="A1200" s="79" t="s">
        <v>1461</v>
      </c>
      <c r="B1200" s="79" t="s">
        <v>1307</v>
      </c>
      <c r="C1200" s="80" t="s">
        <v>126</v>
      </c>
      <c r="D1200" s="81" t="s">
        <v>79</v>
      </c>
      <c r="E1200" s="82">
        <v>30365</v>
      </c>
      <c r="F1200" s="82">
        <v>2138</v>
      </c>
      <c r="G1200" s="82">
        <v>2429</v>
      </c>
      <c r="H1200" s="83">
        <v>35.306609290161163</v>
      </c>
      <c r="I1200" s="83">
        <v>30057.192228116342</v>
      </c>
      <c r="J1200" s="83">
        <v>39.026407888884478</v>
      </c>
    </row>
    <row r="1201" spans="1:10" ht="16">
      <c r="A1201" s="79" t="s">
        <v>1072</v>
      </c>
      <c r="B1201" s="79" t="s">
        <v>1039</v>
      </c>
      <c r="C1201" s="80" t="s">
        <v>95</v>
      </c>
      <c r="D1201" s="81" t="s">
        <v>77</v>
      </c>
      <c r="E1201" s="82">
        <v>50311</v>
      </c>
      <c r="F1201" s="82">
        <v>3377</v>
      </c>
      <c r="G1201" s="82">
        <v>6037</v>
      </c>
      <c r="H1201" s="83">
        <v>21.589601056226627</v>
      </c>
      <c r="I1201" s="83">
        <v>14742.076009996488</v>
      </c>
      <c r="J1201" s="83">
        <v>24.976332402084939</v>
      </c>
    </row>
    <row r="1202" spans="1:10" ht="16">
      <c r="A1202" s="79" t="s">
        <v>1073</v>
      </c>
      <c r="B1202" s="79" t="s">
        <v>1039</v>
      </c>
      <c r="C1202" s="80" t="s">
        <v>95</v>
      </c>
      <c r="D1202" s="81" t="s">
        <v>99</v>
      </c>
      <c r="E1202" s="82">
        <v>23232</v>
      </c>
      <c r="F1202" s="82">
        <v>1889</v>
      </c>
      <c r="G1202" s="82">
        <v>1394</v>
      </c>
      <c r="H1202" s="83">
        <v>12.197218499062251</v>
      </c>
      <c r="I1202" s="83">
        <v>2737.9258885206168</v>
      </c>
      <c r="J1202" s="83">
        <v>22.679075378990134</v>
      </c>
    </row>
    <row r="1203" spans="1:10" ht="16">
      <c r="A1203" s="79" t="s">
        <v>890</v>
      </c>
      <c r="B1203" s="79" t="s">
        <v>877</v>
      </c>
      <c r="C1203" s="80" t="s">
        <v>126</v>
      </c>
      <c r="D1203" s="81" t="s">
        <v>111</v>
      </c>
      <c r="E1203" s="82">
        <v>5794</v>
      </c>
      <c r="F1203" s="82">
        <v>203</v>
      </c>
      <c r="G1203" s="82">
        <v>58</v>
      </c>
      <c r="H1203" s="83">
        <v>11.063126466496001</v>
      </c>
      <c r="I1203" s="83">
        <v>883.8679113982563</v>
      </c>
      <c r="J1203" s="83">
        <v>15.025070354510779</v>
      </c>
    </row>
    <row r="1204" spans="1:10" ht="16">
      <c r="A1204" s="79" t="s">
        <v>225</v>
      </c>
      <c r="B1204" s="79" t="s">
        <v>203</v>
      </c>
      <c r="C1204" s="80" t="s">
        <v>95</v>
      </c>
      <c r="D1204" s="81" t="s">
        <v>79</v>
      </c>
      <c r="E1204" s="82">
        <v>21169</v>
      </c>
      <c r="F1204" s="82">
        <v>824</v>
      </c>
      <c r="G1204" s="82">
        <v>4234</v>
      </c>
      <c r="H1204" s="83">
        <v>16.304179830893691</v>
      </c>
      <c r="I1204" s="83">
        <v>11215.611376636469</v>
      </c>
      <c r="J1204" s="83">
        <v>24.516069273763261</v>
      </c>
    </row>
    <row r="1205" spans="1:10" ht="16">
      <c r="A1205" s="79" t="s">
        <v>156</v>
      </c>
      <c r="B1205" s="79" t="s">
        <v>146</v>
      </c>
      <c r="C1205" s="80" t="s">
        <v>95</v>
      </c>
      <c r="D1205" s="81" t="s">
        <v>96</v>
      </c>
      <c r="E1205" s="82">
        <v>33547</v>
      </c>
      <c r="F1205" s="82">
        <v>835</v>
      </c>
      <c r="G1205" s="82">
        <v>9058</v>
      </c>
      <c r="H1205" s="83">
        <v>56.165538093555604</v>
      </c>
      <c r="I1205" s="83">
        <v>35727.803865364309</v>
      </c>
      <c r="J1205" s="83">
        <v>48.262144372465649</v>
      </c>
    </row>
    <row r="1206" spans="1:10" ht="16">
      <c r="A1206" s="79" t="s">
        <v>1074</v>
      </c>
      <c r="B1206" s="79" t="s">
        <v>1039</v>
      </c>
      <c r="C1206" s="80" t="s">
        <v>126</v>
      </c>
      <c r="D1206" s="81" t="s">
        <v>96</v>
      </c>
      <c r="E1206" s="82">
        <v>18652</v>
      </c>
      <c r="F1206" s="82">
        <v>1137</v>
      </c>
      <c r="G1206" s="82">
        <v>933</v>
      </c>
      <c r="H1206" s="83">
        <v>14.852085425786676</v>
      </c>
      <c r="I1206" s="83">
        <v>5783.2014226462834</v>
      </c>
      <c r="J1206" s="83">
        <v>18.153978898294298</v>
      </c>
    </row>
    <row r="1207" spans="1:10" ht="16">
      <c r="A1207" s="79" t="s">
        <v>1462</v>
      </c>
      <c r="B1207" s="79" t="s">
        <v>1307</v>
      </c>
      <c r="C1207" s="80" t="s">
        <v>95</v>
      </c>
      <c r="D1207" s="81" t="s">
        <v>149</v>
      </c>
      <c r="E1207" s="82">
        <v>23116</v>
      </c>
      <c r="F1207" s="82">
        <v>2688</v>
      </c>
      <c r="G1207" s="82">
        <v>2774</v>
      </c>
      <c r="H1207" s="83">
        <v>43.972475347188741</v>
      </c>
      <c r="I1207" s="83">
        <v>39788.293048457061</v>
      </c>
      <c r="J1207" s="83">
        <v>54.706765962850248</v>
      </c>
    </row>
    <row r="1208" spans="1:10" ht="16">
      <c r="A1208" s="79" t="s">
        <v>859</v>
      </c>
      <c r="B1208" s="79" t="s">
        <v>853</v>
      </c>
      <c r="C1208" s="80" t="s">
        <v>95</v>
      </c>
      <c r="D1208" s="81" t="s">
        <v>149</v>
      </c>
      <c r="E1208" s="82">
        <v>9892</v>
      </c>
      <c r="F1208" s="82">
        <v>547</v>
      </c>
      <c r="G1208" s="82">
        <v>1879</v>
      </c>
      <c r="H1208" s="83">
        <v>26.930209656342939</v>
      </c>
      <c r="I1208" s="83">
        <v>12880.803625447246</v>
      </c>
      <c r="J1208" s="83">
        <v>21.038298967648842</v>
      </c>
    </row>
    <row r="1209" spans="1:10" ht="16">
      <c r="A1209" s="79" t="s">
        <v>908</v>
      </c>
      <c r="B1209" s="79" t="s">
        <v>898</v>
      </c>
      <c r="C1209" s="80" t="s">
        <v>95</v>
      </c>
      <c r="D1209" s="81" t="s">
        <v>103</v>
      </c>
      <c r="E1209" s="82">
        <v>50484</v>
      </c>
      <c r="F1209" s="82">
        <v>3606</v>
      </c>
      <c r="G1209" s="82">
        <v>5048</v>
      </c>
      <c r="H1209" s="83">
        <v>21.895610683731498</v>
      </c>
      <c r="I1209" s="83">
        <v>8918.5251654795247</v>
      </c>
      <c r="J1209" s="83">
        <v>26.182076041434893</v>
      </c>
    </row>
    <row r="1210" spans="1:10" ht="16">
      <c r="A1210" s="79" t="s">
        <v>1302</v>
      </c>
      <c r="B1210" s="79" t="s">
        <v>1209</v>
      </c>
      <c r="C1210" s="80" t="s">
        <v>126</v>
      </c>
      <c r="D1210" s="81" t="s">
        <v>101</v>
      </c>
      <c r="E1210" s="82">
        <v>20599</v>
      </c>
      <c r="F1210" s="82">
        <v>1561</v>
      </c>
      <c r="G1210" s="82">
        <v>8446</v>
      </c>
      <c r="H1210" s="83">
        <v>53.688749179380785</v>
      </c>
      <c r="I1210" s="83">
        <v>46877.76259746468</v>
      </c>
      <c r="J1210" s="83">
        <v>47.276398800607438</v>
      </c>
    </row>
    <row r="1211" spans="1:10" ht="16">
      <c r="A1211" s="79" t="s">
        <v>1463</v>
      </c>
      <c r="B1211" s="79" t="s">
        <v>1307</v>
      </c>
      <c r="C1211" s="80" t="s">
        <v>95</v>
      </c>
      <c r="D1211" s="81" t="s">
        <v>77</v>
      </c>
      <c r="E1211" s="82">
        <v>45692</v>
      </c>
      <c r="F1211" s="82">
        <v>4116</v>
      </c>
      <c r="G1211" s="82">
        <v>7311</v>
      </c>
      <c r="H1211" s="83">
        <v>82.399480124766612</v>
      </c>
      <c r="I1211" s="83">
        <v>81094.73796835418</v>
      </c>
      <c r="J1211" s="83">
        <v>72.399862558752559</v>
      </c>
    </row>
    <row r="1212" spans="1:10" ht="16">
      <c r="A1212" s="79" t="s">
        <v>226</v>
      </c>
      <c r="B1212" s="79" t="s">
        <v>203</v>
      </c>
      <c r="C1212" s="80" t="s">
        <v>126</v>
      </c>
      <c r="D1212" s="81" t="s">
        <v>101</v>
      </c>
      <c r="E1212" s="82">
        <v>33519</v>
      </c>
      <c r="F1212" s="82">
        <v>1420</v>
      </c>
      <c r="G1212" s="82">
        <v>6704</v>
      </c>
      <c r="H1212" s="83">
        <v>42.989617946790496</v>
      </c>
      <c r="I1212" s="83">
        <v>27935.560968089394</v>
      </c>
      <c r="J1212" s="83">
        <v>35.966720838611934</v>
      </c>
    </row>
    <row r="1213" spans="1:10" ht="16">
      <c r="A1213" s="79" t="s">
        <v>352</v>
      </c>
      <c r="B1213" s="79" t="s">
        <v>341</v>
      </c>
      <c r="C1213" s="80" t="s">
        <v>95</v>
      </c>
      <c r="D1213" s="81" t="s">
        <v>77</v>
      </c>
      <c r="E1213" s="82">
        <v>10540</v>
      </c>
      <c r="F1213" s="82">
        <v>693</v>
      </c>
      <c r="G1213" s="82">
        <v>527</v>
      </c>
      <c r="H1213" s="83">
        <v>16.201416109397545</v>
      </c>
      <c r="I1213" s="83">
        <v>2633.9504976879243</v>
      </c>
      <c r="J1213" s="83">
        <v>18.747660554185927</v>
      </c>
    </row>
    <row r="1214" spans="1:10" ht="16">
      <c r="A1214" s="79" t="s">
        <v>140</v>
      </c>
      <c r="B1214" s="79" t="s">
        <v>108</v>
      </c>
      <c r="C1214" s="80" t="s">
        <v>126</v>
      </c>
      <c r="D1214" s="81" t="s">
        <v>76</v>
      </c>
      <c r="E1214" s="82">
        <v>18400</v>
      </c>
      <c r="F1214" s="82">
        <v>793</v>
      </c>
      <c r="G1214" s="82">
        <v>5336</v>
      </c>
      <c r="H1214" s="83">
        <v>43.909904609161934</v>
      </c>
      <c r="I1214" s="83">
        <v>40025.78043342664</v>
      </c>
      <c r="J1214" s="83">
        <v>33.240910602471232</v>
      </c>
    </row>
    <row r="1215" spans="1:10" ht="16">
      <c r="A1215" s="79" t="s">
        <v>1303</v>
      </c>
      <c r="B1215" s="79" t="s">
        <v>1209</v>
      </c>
      <c r="C1215" s="80" t="s">
        <v>95</v>
      </c>
      <c r="D1215" s="81" t="s">
        <v>75</v>
      </c>
      <c r="E1215" s="82">
        <v>16401</v>
      </c>
      <c r="F1215" s="82">
        <v>943</v>
      </c>
      <c r="G1215" s="82">
        <v>7544</v>
      </c>
      <c r="H1215" s="83">
        <v>16.470704324029793</v>
      </c>
      <c r="I1215" s="83">
        <v>5972.2822853176567</v>
      </c>
      <c r="J1215" s="83">
        <v>18.6312882410962</v>
      </c>
    </row>
    <row r="1216" spans="1:10" ht="16">
      <c r="A1216" s="79" t="s">
        <v>227</v>
      </c>
      <c r="B1216" s="79" t="s">
        <v>203</v>
      </c>
      <c r="C1216" s="80" t="s">
        <v>95</v>
      </c>
      <c r="D1216" s="81" t="s">
        <v>99</v>
      </c>
      <c r="E1216" s="82">
        <v>13140</v>
      </c>
      <c r="F1216" s="82">
        <v>453</v>
      </c>
      <c r="G1216" s="82">
        <v>3022</v>
      </c>
      <c r="H1216" s="83">
        <v>27.288606851770432</v>
      </c>
      <c r="I1216" s="83">
        <v>8936.8035654171836</v>
      </c>
      <c r="J1216" s="83">
        <v>33.999470333953994</v>
      </c>
    </row>
    <row r="1217" spans="1:10" ht="16">
      <c r="A1217" s="79" t="s">
        <v>1464</v>
      </c>
      <c r="B1217" s="79" t="s">
        <v>1307</v>
      </c>
      <c r="C1217" s="80" t="s">
        <v>126</v>
      </c>
      <c r="D1217" s="81" t="s">
        <v>111</v>
      </c>
      <c r="E1217" s="82">
        <v>39154</v>
      </c>
      <c r="F1217" s="82">
        <v>3915</v>
      </c>
      <c r="G1217" s="82">
        <v>5090</v>
      </c>
      <c r="H1217" s="83">
        <v>71.135135470249153</v>
      </c>
      <c r="I1217" s="83">
        <v>59991.209746723078</v>
      </c>
      <c r="J1217" s="83">
        <v>68.911868282931579</v>
      </c>
    </row>
    <row r="1218" spans="1:10" ht="16">
      <c r="A1218" s="79" t="s">
        <v>1465</v>
      </c>
      <c r="B1218" s="79" t="s">
        <v>1307</v>
      </c>
      <c r="C1218" s="80" t="s">
        <v>95</v>
      </c>
      <c r="D1218" s="81" t="s">
        <v>96</v>
      </c>
      <c r="E1218" s="82">
        <v>20874</v>
      </c>
      <c r="F1218" s="82">
        <v>1082</v>
      </c>
      <c r="G1218" s="82">
        <v>1252</v>
      </c>
      <c r="H1218" s="83">
        <v>23.352171661818442</v>
      </c>
      <c r="I1218" s="83">
        <v>15251.241725078929</v>
      </c>
      <c r="J1218" s="83">
        <v>22.018833802729439</v>
      </c>
    </row>
    <row r="1219" spans="1:10" ht="16">
      <c r="A1219" s="79" t="s">
        <v>141</v>
      </c>
      <c r="B1219" s="79" t="s">
        <v>108</v>
      </c>
      <c r="C1219" s="80" t="s">
        <v>95</v>
      </c>
      <c r="D1219" s="81" t="s">
        <v>79</v>
      </c>
      <c r="E1219" s="82">
        <v>18642</v>
      </c>
      <c r="F1219" s="82">
        <v>592</v>
      </c>
      <c r="G1219" s="82">
        <v>5406</v>
      </c>
      <c r="H1219" s="83">
        <v>35.049260317126283</v>
      </c>
      <c r="I1219" s="83">
        <v>26490.749337257628</v>
      </c>
      <c r="J1219" s="83">
        <v>30.422916596106337</v>
      </c>
    </row>
    <row r="1220" spans="1:10" ht="16">
      <c r="A1220" s="79" t="s">
        <v>1304</v>
      </c>
      <c r="B1220" s="79" t="s">
        <v>1209</v>
      </c>
      <c r="C1220" s="80" t="s">
        <v>95</v>
      </c>
      <c r="D1220" s="81" t="s">
        <v>149</v>
      </c>
      <c r="E1220" s="82">
        <v>15687</v>
      </c>
      <c r="F1220" s="82">
        <v>769</v>
      </c>
      <c r="G1220" s="82">
        <v>3294</v>
      </c>
      <c r="H1220" s="83">
        <v>13.487124249439431</v>
      </c>
      <c r="I1220" s="83">
        <v>4658.9137668737048</v>
      </c>
      <c r="J1220" s="83">
        <v>16.768343667318074</v>
      </c>
    </row>
    <row r="1221" spans="1:10" ht="16">
      <c r="A1221" s="79" t="s">
        <v>463</v>
      </c>
      <c r="B1221" s="79" t="s">
        <v>421</v>
      </c>
      <c r="C1221" s="80" t="s">
        <v>95</v>
      </c>
      <c r="D1221" s="81" t="s">
        <v>77</v>
      </c>
      <c r="E1221" s="82">
        <v>23343</v>
      </c>
      <c r="F1221" s="82">
        <v>418</v>
      </c>
      <c r="G1221" s="82">
        <v>2568</v>
      </c>
      <c r="H1221" s="83">
        <v>17.969097316730011</v>
      </c>
      <c r="I1221" s="83">
        <v>10796.532282515773</v>
      </c>
      <c r="J1221" s="83">
        <v>25.671324429664327</v>
      </c>
    </row>
    <row r="1222" spans="1:10" ht="16">
      <c r="A1222" s="79" t="s">
        <v>764</v>
      </c>
      <c r="B1222" s="79" t="s">
        <v>661</v>
      </c>
      <c r="C1222" s="80" t="s">
        <v>126</v>
      </c>
      <c r="D1222" s="81" t="s">
        <v>76</v>
      </c>
      <c r="E1222" s="82">
        <v>4659</v>
      </c>
      <c r="F1222" s="82">
        <v>740</v>
      </c>
      <c r="G1222" s="82">
        <v>186</v>
      </c>
      <c r="H1222" s="83">
        <v>10.730066782933458</v>
      </c>
      <c r="I1222" s="83">
        <v>2758.5503579597148</v>
      </c>
      <c r="J1222" s="83">
        <v>24.019943464726648</v>
      </c>
    </row>
    <row r="1223" spans="1:10" ht="16">
      <c r="A1223" s="79" t="s">
        <v>1305</v>
      </c>
      <c r="B1223" s="79" t="s">
        <v>1209</v>
      </c>
      <c r="C1223" s="80" t="s">
        <v>95</v>
      </c>
      <c r="D1223" s="81" t="s">
        <v>79</v>
      </c>
      <c r="E1223" s="82">
        <v>16058</v>
      </c>
      <c r="F1223" s="82">
        <v>1078</v>
      </c>
      <c r="G1223" s="82">
        <v>3854</v>
      </c>
      <c r="H1223" s="83">
        <v>46.78521448045074</v>
      </c>
      <c r="I1223" s="83">
        <v>39665.722477461117</v>
      </c>
      <c r="J1223" s="83">
        <v>41.248181782390461</v>
      </c>
    </row>
    <row r="1224" spans="1:10" ht="16">
      <c r="A1224" s="79" t="s">
        <v>334</v>
      </c>
      <c r="B1224" s="79" t="s">
        <v>333</v>
      </c>
      <c r="C1224" s="80" t="s">
        <v>95</v>
      </c>
      <c r="D1224" s="81" t="s">
        <v>79</v>
      </c>
      <c r="E1224" s="82">
        <v>68216</v>
      </c>
      <c r="F1224" s="82">
        <v>3609</v>
      </c>
      <c r="G1224" s="82">
        <v>2046</v>
      </c>
      <c r="H1224" s="83">
        <v>13.813140474278361</v>
      </c>
      <c r="I1224" s="83">
        <v>3277.8270209229217</v>
      </c>
      <c r="J1224" s="83">
        <v>18.019603277024661</v>
      </c>
    </row>
    <row r="1225" spans="1:10" ht="16">
      <c r="A1225" s="79" t="s">
        <v>592</v>
      </c>
      <c r="B1225" s="79" t="s">
        <v>556</v>
      </c>
      <c r="C1225" s="80" t="s">
        <v>95</v>
      </c>
      <c r="D1225" s="81" t="s">
        <v>77</v>
      </c>
      <c r="E1225" s="82">
        <v>9980</v>
      </c>
      <c r="F1225" s="82">
        <v>398</v>
      </c>
      <c r="G1225" s="82">
        <v>459</v>
      </c>
      <c r="H1225" s="83">
        <v>13.161972942955495</v>
      </c>
      <c r="I1225" s="83">
        <v>3515.3748690773532</v>
      </c>
      <c r="J1225" s="83">
        <v>17.942730502883006</v>
      </c>
    </row>
    <row r="1226" spans="1:10" ht="16">
      <c r="A1226" s="79" t="s">
        <v>1075</v>
      </c>
      <c r="B1226" s="79" t="s">
        <v>1039</v>
      </c>
      <c r="C1226" s="80" t="s">
        <v>95</v>
      </c>
      <c r="D1226" s="81" t="s">
        <v>75</v>
      </c>
      <c r="E1226" s="82">
        <v>28211</v>
      </c>
      <c r="F1226" s="82">
        <v>2739</v>
      </c>
      <c r="G1226" s="82">
        <v>1693</v>
      </c>
      <c r="H1226" s="83">
        <v>13.876056338308267</v>
      </c>
      <c r="I1226" s="83">
        <v>5911.2760191899943</v>
      </c>
      <c r="J1226" s="83">
        <v>22.810521125828867</v>
      </c>
    </row>
    <row r="1227" spans="1:10" ht="16">
      <c r="A1227" s="79" t="s">
        <v>1098</v>
      </c>
      <c r="B1227" s="79" t="s">
        <v>1091</v>
      </c>
      <c r="C1227" s="80" t="s">
        <v>95</v>
      </c>
      <c r="D1227" s="81" t="s">
        <v>75</v>
      </c>
      <c r="E1227" s="82">
        <v>22609</v>
      </c>
      <c r="F1227" s="82">
        <v>1838</v>
      </c>
      <c r="G1227" s="82">
        <v>4748</v>
      </c>
      <c r="H1227" s="83">
        <v>47.680751597776521</v>
      </c>
      <c r="I1227" s="83">
        <v>41266.739244531367</v>
      </c>
      <c r="J1227" s="83">
        <v>47.099079353942649</v>
      </c>
    </row>
    <row r="1228" spans="1:10" ht="16">
      <c r="A1228" s="79" t="s">
        <v>1076</v>
      </c>
      <c r="B1228" s="79" t="s">
        <v>1039</v>
      </c>
      <c r="C1228" s="80" t="s">
        <v>95</v>
      </c>
      <c r="D1228" s="81" t="s">
        <v>77</v>
      </c>
      <c r="E1228" s="82">
        <v>42079</v>
      </c>
      <c r="F1228" s="82">
        <v>1670</v>
      </c>
      <c r="G1228" s="82">
        <v>4629</v>
      </c>
      <c r="H1228" s="83">
        <v>11.11485839433403</v>
      </c>
      <c r="I1228" s="83">
        <v>4419.2197441358949</v>
      </c>
      <c r="J1228" s="83">
        <v>19.207307589382388</v>
      </c>
    </row>
    <row r="1229" spans="1:10" ht="16">
      <c r="A1229" s="79" t="s">
        <v>142</v>
      </c>
      <c r="B1229" s="79" t="s">
        <v>108</v>
      </c>
      <c r="C1229" s="80" t="s">
        <v>126</v>
      </c>
      <c r="D1229" s="81" t="s">
        <v>99</v>
      </c>
      <c r="E1229" s="82">
        <v>44336</v>
      </c>
      <c r="F1229" s="82">
        <v>1242</v>
      </c>
      <c r="G1229" s="82">
        <v>18178</v>
      </c>
      <c r="H1229" s="83">
        <v>59.131300530948643</v>
      </c>
      <c r="I1229" s="83">
        <v>48253.138254214333</v>
      </c>
      <c r="J1229" s="83">
        <v>50.414831359213871</v>
      </c>
    </row>
    <row r="1230" spans="1:10" ht="16">
      <c r="A1230" s="79" t="s">
        <v>1089</v>
      </c>
      <c r="B1230" s="79" t="s">
        <v>1081</v>
      </c>
      <c r="C1230" s="80" t="s">
        <v>95</v>
      </c>
      <c r="D1230" s="81" t="s">
        <v>111</v>
      </c>
      <c r="E1230" s="82">
        <v>25438</v>
      </c>
      <c r="F1230" s="82">
        <v>1523</v>
      </c>
      <c r="G1230" s="82">
        <v>3816</v>
      </c>
      <c r="H1230" s="83">
        <v>57.31832455889046</v>
      </c>
      <c r="I1230" s="83">
        <v>47945.539085770411</v>
      </c>
      <c r="J1230" s="83">
        <v>41.823801084680063</v>
      </c>
    </row>
    <row r="1231" spans="1:10" ht="16">
      <c r="A1231" s="79" t="s">
        <v>974</v>
      </c>
      <c r="B1231" s="79" t="s">
        <v>938</v>
      </c>
      <c r="C1231" s="80" t="s">
        <v>126</v>
      </c>
      <c r="D1231" s="81" t="s">
        <v>101</v>
      </c>
      <c r="E1231" s="82">
        <v>25000</v>
      </c>
      <c r="F1231" s="82">
        <v>2155</v>
      </c>
      <c r="G1231" s="82">
        <v>2750</v>
      </c>
      <c r="H1231" s="83">
        <v>17.742885580511246</v>
      </c>
      <c r="I1231" s="83">
        <v>2129.3123514914769</v>
      </c>
      <c r="J1231" s="83">
        <v>24.235991262637597</v>
      </c>
    </row>
    <row r="1232" spans="1:10" ht="16">
      <c r="A1232" s="79" t="s">
        <v>593</v>
      </c>
      <c r="B1232" s="79" t="s">
        <v>556</v>
      </c>
      <c r="C1232" s="80" t="s">
        <v>126</v>
      </c>
      <c r="D1232" s="81" t="s">
        <v>78</v>
      </c>
      <c r="E1232" s="82">
        <v>13500</v>
      </c>
      <c r="F1232" s="82">
        <v>472</v>
      </c>
      <c r="G1232" s="82">
        <v>620</v>
      </c>
      <c r="H1232" s="83">
        <v>13.032418260719938</v>
      </c>
      <c r="I1232" s="83">
        <v>2365.9886428236746</v>
      </c>
      <c r="J1232" s="83">
        <v>20.090574085968441</v>
      </c>
    </row>
    <row r="1233" spans="1:10" ht="16">
      <c r="A1233" s="79" t="s">
        <v>849</v>
      </c>
      <c r="B1233" s="79" t="s">
        <v>839</v>
      </c>
      <c r="C1233" s="80" t="s">
        <v>95</v>
      </c>
      <c r="D1233" s="81" t="s">
        <v>96</v>
      </c>
      <c r="E1233" s="82">
        <v>31833</v>
      </c>
      <c r="F1233" s="82">
        <v>2242</v>
      </c>
      <c r="G1233" s="82">
        <v>2865</v>
      </c>
      <c r="H1233" s="83">
        <v>61.357225227221981</v>
      </c>
      <c r="I1233" s="83">
        <v>54154.625466739322</v>
      </c>
      <c r="J1233" s="83">
        <v>44.955851092129691</v>
      </c>
    </row>
    <row r="1234" spans="1:10" ht="16">
      <c r="A1234" s="79" t="s">
        <v>765</v>
      </c>
      <c r="B1234" s="79" t="s">
        <v>661</v>
      </c>
      <c r="C1234" s="80" t="s">
        <v>126</v>
      </c>
      <c r="D1234" s="81" t="s">
        <v>96</v>
      </c>
      <c r="E1234" s="82">
        <v>4872</v>
      </c>
      <c r="F1234" s="82">
        <v>364</v>
      </c>
      <c r="G1234" s="82">
        <v>195</v>
      </c>
      <c r="H1234" s="83">
        <v>11.163032386177829</v>
      </c>
      <c r="I1234" s="83">
        <v>620.19634420778937</v>
      </c>
      <c r="J1234" s="83">
        <v>18.758436138153069</v>
      </c>
    </row>
    <row r="1235" spans="1:10" ht="16">
      <c r="A1235" s="79" t="s">
        <v>1202</v>
      </c>
      <c r="B1235" s="79" t="s">
        <v>1197</v>
      </c>
      <c r="C1235" s="80" t="s">
        <v>126</v>
      </c>
      <c r="D1235" s="81" t="s">
        <v>99</v>
      </c>
      <c r="E1235" s="82">
        <v>17109</v>
      </c>
      <c r="F1235" s="82">
        <v>1880</v>
      </c>
      <c r="G1235" s="82">
        <v>4277</v>
      </c>
      <c r="H1235" s="83">
        <v>9.3111440749059611</v>
      </c>
      <c r="I1235" s="83">
        <v>840.30755970011671</v>
      </c>
      <c r="J1235" s="83">
        <v>20.917772714350452</v>
      </c>
    </row>
    <row r="1236" spans="1:10" ht="16">
      <c r="A1236" s="79" t="s">
        <v>1466</v>
      </c>
      <c r="B1236" s="79" t="s">
        <v>1307</v>
      </c>
      <c r="C1236" s="80" t="s">
        <v>95</v>
      </c>
      <c r="D1236" s="81" t="s">
        <v>77</v>
      </c>
      <c r="E1236" s="82">
        <v>12006</v>
      </c>
      <c r="F1236" s="82">
        <v>4002</v>
      </c>
      <c r="G1236" s="82">
        <v>1681</v>
      </c>
      <c r="H1236" s="83">
        <v>43.028177635654686</v>
      </c>
      <c r="I1236" s="83">
        <v>40251.307599207219</v>
      </c>
      <c r="J1236" s="83">
        <v>49.498646176435855</v>
      </c>
    </row>
    <row r="1237" spans="1:10" ht="16">
      <c r="A1237" s="79" t="s">
        <v>656</v>
      </c>
      <c r="B1237" s="79" t="s">
        <v>617</v>
      </c>
      <c r="C1237" s="80" t="s">
        <v>95</v>
      </c>
      <c r="D1237" s="81" t="s">
        <v>75</v>
      </c>
      <c r="E1237" s="82">
        <v>19873</v>
      </c>
      <c r="F1237" s="82">
        <v>723</v>
      </c>
      <c r="G1237" s="82">
        <v>994</v>
      </c>
      <c r="H1237" s="83">
        <v>21.144984010695207</v>
      </c>
      <c r="I1237" s="83">
        <v>12975.669509900483</v>
      </c>
      <c r="J1237" s="83">
        <v>32.303974371941784</v>
      </c>
    </row>
    <row r="1238" spans="1:10" ht="16">
      <c r="A1238" s="79" t="s">
        <v>143</v>
      </c>
      <c r="B1238" s="79" t="s">
        <v>108</v>
      </c>
      <c r="C1238" s="80" t="s">
        <v>95</v>
      </c>
      <c r="D1238" s="81" t="s">
        <v>75</v>
      </c>
      <c r="E1238" s="82">
        <v>14815</v>
      </c>
      <c r="F1238" s="82">
        <v>460</v>
      </c>
      <c r="G1238" s="82">
        <v>3407</v>
      </c>
      <c r="H1238" s="83">
        <v>26.139954921027886</v>
      </c>
      <c r="I1238" s="83">
        <v>19611.329465418421</v>
      </c>
      <c r="J1238" s="83">
        <v>24.014079577642761</v>
      </c>
    </row>
    <row r="1239" spans="1:10" ht="16">
      <c r="A1239" s="79" t="s">
        <v>860</v>
      </c>
      <c r="B1239" s="79" t="s">
        <v>853</v>
      </c>
      <c r="C1239" s="80" t="s">
        <v>95</v>
      </c>
      <c r="D1239" s="81" t="s">
        <v>99</v>
      </c>
      <c r="E1239" s="82">
        <v>17442</v>
      </c>
      <c r="F1239" s="82">
        <v>923</v>
      </c>
      <c r="G1239" s="82">
        <v>3663</v>
      </c>
      <c r="H1239" s="83">
        <v>32.284265300103968</v>
      </c>
      <c r="I1239" s="83">
        <v>14506.977257099206</v>
      </c>
      <c r="J1239" s="83">
        <v>23.021431510850697</v>
      </c>
    </row>
    <row r="1240" spans="1:10" ht="16">
      <c r="A1240" s="79" t="s">
        <v>157</v>
      </c>
      <c r="B1240" s="79" t="s">
        <v>146</v>
      </c>
      <c r="C1240" s="80" t="s">
        <v>126</v>
      </c>
      <c r="D1240" s="81" t="s">
        <v>75</v>
      </c>
      <c r="E1240" s="82">
        <v>10464</v>
      </c>
      <c r="F1240" s="82">
        <v>526</v>
      </c>
      <c r="G1240" s="82">
        <v>3035</v>
      </c>
      <c r="H1240" s="83">
        <v>37.352084898013949</v>
      </c>
      <c r="I1240" s="83">
        <v>16788.38363243718</v>
      </c>
      <c r="J1240" s="83">
        <v>38.752383275254559</v>
      </c>
    </row>
    <row r="1241" spans="1:10" ht="16">
      <c r="A1241" s="79" t="s">
        <v>1481</v>
      </c>
      <c r="B1241" s="79" t="s">
        <v>1480</v>
      </c>
      <c r="C1241" s="80" t="s">
        <v>95</v>
      </c>
      <c r="D1241" s="81" t="s">
        <v>103</v>
      </c>
      <c r="E1241" s="82">
        <v>63479</v>
      </c>
      <c r="F1241" s="82">
        <v>2925</v>
      </c>
      <c r="G1241" s="82">
        <v>635</v>
      </c>
      <c r="H1241" s="83">
        <v>9.0916637331643972</v>
      </c>
      <c r="I1241" s="83">
        <v>1402.0928002006951</v>
      </c>
      <c r="J1241" s="83">
        <v>14.88338726056937</v>
      </c>
    </row>
    <row r="1242" spans="1:10" ht="16">
      <c r="A1242" s="79" t="s">
        <v>1482</v>
      </c>
      <c r="B1242" s="79" t="s">
        <v>1480</v>
      </c>
      <c r="C1242" s="80" t="s">
        <v>95</v>
      </c>
      <c r="D1242" s="81" t="s">
        <v>96</v>
      </c>
      <c r="E1242" s="82">
        <v>32944</v>
      </c>
      <c r="F1242" s="82">
        <v>2459</v>
      </c>
      <c r="G1242" s="82">
        <v>329</v>
      </c>
      <c r="H1242" s="83">
        <v>9.1629909387887061</v>
      </c>
      <c r="I1242" s="83">
        <v>3537.2012222313938</v>
      </c>
      <c r="J1242" s="83">
        <v>22.652795886971099</v>
      </c>
    </row>
    <row r="1243" spans="1:10" ht="16">
      <c r="A1243" s="79" t="s">
        <v>793</v>
      </c>
      <c r="B1243" s="79" t="s">
        <v>792</v>
      </c>
      <c r="C1243" s="80" t="s">
        <v>126</v>
      </c>
      <c r="D1243" s="81" t="s">
        <v>111</v>
      </c>
      <c r="E1243" s="82">
        <v>9551</v>
      </c>
      <c r="F1243" s="82">
        <v>677</v>
      </c>
      <c r="G1243" s="82">
        <v>955</v>
      </c>
      <c r="H1243" s="83">
        <v>12.604375767695148</v>
      </c>
      <c r="I1243" s="83">
        <v>3959.3918040232234</v>
      </c>
      <c r="J1243" s="83">
        <v>17.198429672684767</v>
      </c>
    </row>
    <row r="1244" spans="1:10" ht="16">
      <c r="A1244" s="79" t="s">
        <v>794</v>
      </c>
      <c r="B1244" s="79" t="s">
        <v>792</v>
      </c>
      <c r="C1244" s="80" t="s">
        <v>95</v>
      </c>
      <c r="D1244" s="81" t="s">
        <v>76</v>
      </c>
      <c r="E1244" s="82">
        <v>16216</v>
      </c>
      <c r="F1244" s="82">
        <v>1501</v>
      </c>
      <c r="G1244" s="82">
        <v>1459</v>
      </c>
      <c r="H1244" s="83">
        <v>14.593480174407889</v>
      </c>
      <c r="I1244" s="83">
        <v>5308.6224129543289</v>
      </c>
      <c r="J1244" s="83">
        <v>20.189809020071138</v>
      </c>
    </row>
    <row r="1245" spans="1:10" ht="16">
      <c r="A1245" s="79" t="s">
        <v>1467</v>
      </c>
      <c r="B1245" s="79" t="s">
        <v>1307</v>
      </c>
      <c r="C1245" s="80" t="s">
        <v>126</v>
      </c>
      <c r="D1245" s="81" t="s">
        <v>75</v>
      </c>
      <c r="E1245" s="82">
        <v>32838</v>
      </c>
      <c r="F1245" s="82">
        <v>1794</v>
      </c>
      <c r="G1245" s="82">
        <v>4597</v>
      </c>
      <c r="H1245" s="83">
        <v>43.195952128526102</v>
      </c>
      <c r="I1245" s="83">
        <v>30035.826791446005</v>
      </c>
      <c r="J1245" s="83">
        <v>38.138015862644203</v>
      </c>
    </row>
    <row r="1246" spans="1:10" ht="16">
      <c r="A1246" s="79" t="s">
        <v>547</v>
      </c>
      <c r="B1246" s="79" t="s">
        <v>493</v>
      </c>
      <c r="C1246" s="80" t="s">
        <v>126</v>
      </c>
      <c r="D1246" s="81" t="s">
        <v>75</v>
      </c>
      <c r="E1246" s="82">
        <v>33380</v>
      </c>
      <c r="F1246" s="82">
        <v>1677</v>
      </c>
      <c r="G1246" s="82">
        <v>334</v>
      </c>
      <c r="H1246" s="83">
        <v>13.593218668132137</v>
      </c>
      <c r="I1246" s="83">
        <v>5575.0117079025331</v>
      </c>
      <c r="J1246" s="83">
        <v>20.864675170306512</v>
      </c>
    </row>
    <row r="1247" spans="1:10" ht="16">
      <c r="A1247" s="79" t="s">
        <v>657</v>
      </c>
      <c r="B1247" s="79" t="s">
        <v>617</v>
      </c>
      <c r="C1247" s="80" t="s">
        <v>95</v>
      </c>
      <c r="D1247" s="81" t="s">
        <v>99</v>
      </c>
      <c r="E1247" s="82">
        <v>2610</v>
      </c>
      <c r="F1247" s="82">
        <v>244</v>
      </c>
      <c r="G1247" s="82">
        <v>78</v>
      </c>
      <c r="H1247" s="83">
        <v>22.847515152256893</v>
      </c>
      <c r="I1247" s="83">
        <v>21876.873659522033</v>
      </c>
      <c r="J1247" s="83">
        <v>39.598346583496308</v>
      </c>
    </row>
    <row r="1248" spans="1:10" ht="16">
      <c r="A1248" s="79" t="s">
        <v>975</v>
      </c>
      <c r="B1248" s="79" t="s">
        <v>938</v>
      </c>
      <c r="C1248" s="80" t="s">
        <v>126</v>
      </c>
      <c r="D1248" s="81" t="s">
        <v>96</v>
      </c>
      <c r="E1248" s="82">
        <v>14764</v>
      </c>
      <c r="F1248" s="82">
        <v>984</v>
      </c>
      <c r="G1248" s="82">
        <v>1033</v>
      </c>
      <c r="H1248" s="83">
        <v>9.7293615305164192</v>
      </c>
      <c r="I1248" s="83">
        <v>2027.8474016904831</v>
      </c>
      <c r="J1248" s="83">
        <v>15.581096086719601</v>
      </c>
    </row>
    <row r="1249" spans="1:10" ht="16">
      <c r="A1249" s="79" t="s">
        <v>976</v>
      </c>
      <c r="B1249" s="79" t="s">
        <v>938</v>
      </c>
      <c r="C1249" s="80" t="s">
        <v>95</v>
      </c>
      <c r="D1249" s="81" t="s">
        <v>96</v>
      </c>
      <c r="E1249" s="82">
        <v>15246</v>
      </c>
      <c r="F1249" s="82">
        <v>1386</v>
      </c>
      <c r="G1249" s="82">
        <v>1525</v>
      </c>
      <c r="H1249" s="83">
        <v>8.9737424195928099</v>
      </c>
      <c r="I1249" s="83">
        <v>368.98732568143669</v>
      </c>
      <c r="J1249" s="83">
        <v>21.459105917815627</v>
      </c>
    </row>
    <row r="1250" spans="1:10" ht="16">
      <c r="A1250" s="79" t="s">
        <v>850</v>
      </c>
      <c r="B1250" s="79" t="s">
        <v>839</v>
      </c>
      <c r="C1250" s="80" t="s">
        <v>95</v>
      </c>
      <c r="D1250" s="81" t="s">
        <v>79</v>
      </c>
      <c r="E1250" s="82">
        <v>23025</v>
      </c>
      <c r="F1250" s="82">
        <v>1395</v>
      </c>
      <c r="G1250" s="82">
        <v>2303</v>
      </c>
      <c r="H1250" s="83">
        <v>48.681877860203429</v>
      </c>
      <c r="I1250" s="83">
        <v>42521.878347490951</v>
      </c>
      <c r="J1250" s="83">
        <v>35.85617462957164</v>
      </c>
    </row>
    <row r="1251" spans="1:10" ht="16">
      <c r="A1251" s="79" t="s">
        <v>167</v>
      </c>
      <c r="B1251" s="79" t="s">
        <v>163</v>
      </c>
      <c r="C1251" s="80" t="s">
        <v>95</v>
      </c>
      <c r="D1251" s="81" t="s">
        <v>149</v>
      </c>
      <c r="E1251" s="82">
        <v>11371</v>
      </c>
      <c r="F1251" s="82">
        <v>400</v>
      </c>
      <c r="G1251" s="82">
        <v>2502</v>
      </c>
      <c r="H1251" s="83">
        <v>42.430284183203291</v>
      </c>
      <c r="I1251" s="83">
        <v>26544.19227210871</v>
      </c>
      <c r="J1251" s="83">
        <v>37.619049177509908</v>
      </c>
    </row>
    <row r="1252" spans="1:10" ht="16">
      <c r="A1252" s="79" t="s">
        <v>353</v>
      </c>
      <c r="B1252" s="79" t="s">
        <v>341</v>
      </c>
      <c r="C1252" s="80" t="s">
        <v>126</v>
      </c>
      <c r="D1252" s="81" t="s">
        <v>76</v>
      </c>
      <c r="E1252" s="82">
        <v>13381</v>
      </c>
      <c r="F1252" s="82">
        <v>910</v>
      </c>
      <c r="G1252" s="82">
        <v>1740</v>
      </c>
      <c r="H1252" s="83">
        <v>13.784110369433161</v>
      </c>
      <c r="I1252" s="83">
        <v>1334.6293568327242</v>
      </c>
      <c r="J1252" s="83">
        <v>18.776536904822731</v>
      </c>
    </row>
    <row r="1253" spans="1:10" ht="16">
      <c r="A1253" s="79" t="s">
        <v>851</v>
      </c>
      <c r="B1253" s="79" t="s">
        <v>839</v>
      </c>
      <c r="C1253" s="80" t="s">
        <v>95</v>
      </c>
      <c r="D1253" s="81" t="s">
        <v>99</v>
      </c>
      <c r="E1253" s="82">
        <v>13914</v>
      </c>
      <c r="F1253" s="82">
        <v>653</v>
      </c>
      <c r="G1253" s="82">
        <v>3757</v>
      </c>
      <c r="H1253" s="83">
        <v>57.289039867026332</v>
      </c>
      <c r="I1253" s="83">
        <v>54885.30329744245</v>
      </c>
      <c r="J1253" s="83">
        <v>50.175209261602525</v>
      </c>
    </row>
    <row r="1254" spans="1:10" ht="16">
      <c r="A1254" s="79" t="s">
        <v>1468</v>
      </c>
      <c r="B1254" s="79" t="s">
        <v>1307</v>
      </c>
      <c r="C1254" s="80" t="s">
        <v>95</v>
      </c>
      <c r="D1254" s="81" t="s">
        <v>79</v>
      </c>
      <c r="E1254" s="82">
        <v>7675</v>
      </c>
      <c r="F1254" s="82">
        <v>1919</v>
      </c>
      <c r="G1254" s="82">
        <v>691</v>
      </c>
      <c r="H1254" s="83">
        <v>19.081851360239664</v>
      </c>
      <c r="I1254" s="83">
        <v>17702.999143689372</v>
      </c>
      <c r="J1254" s="83">
        <v>43.544444519574675</v>
      </c>
    </row>
    <row r="1255" spans="1:10" ht="16">
      <c r="A1255" s="79" t="s">
        <v>909</v>
      </c>
      <c r="B1255" s="79" t="s">
        <v>898</v>
      </c>
      <c r="C1255" s="80" t="s">
        <v>126</v>
      </c>
      <c r="D1255" s="81" t="s">
        <v>78</v>
      </c>
      <c r="E1255" s="82">
        <v>29709</v>
      </c>
      <c r="F1255" s="82">
        <v>2303</v>
      </c>
      <c r="G1255" s="82">
        <v>1783</v>
      </c>
      <c r="H1255" s="83">
        <v>12.795241721170123</v>
      </c>
      <c r="I1255" s="83">
        <v>3635.2896437333352</v>
      </c>
      <c r="J1255" s="83">
        <v>20.093973630557684</v>
      </c>
    </row>
    <row r="1256" spans="1:10" ht="16">
      <c r="A1256" s="79" t="s">
        <v>766</v>
      </c>
      <c r="B1256" s="79" t="s">
        <v>661</v>
      </c>
      <c r="C1256" s="80" t="s">
        <v>126</v>
      </c>
      <c r="D1256" s="81" t="s">
        <v>101</v>
      </c>
      <c r="E1256" s="82">
        <v>48839</v>
      </c>
      <c r="F1256" s="82">
        <v>3464</v>
      </c>
      <c r="G1256" s="82">
        <v>4884</v>
      </c>
      <c r="H1256" s="83">
        <v>23.186846538491356</v>
      </c>
      <c r="I1256" s="83">
        <v>6438.7680866151359</v>
      </c>
      <c r="J1256" s="83">
        <v>31.45127175327006</v>
      </c>
    </row>
    <row r="1257" spans="1:10" ht="16">
      <c r="A1257" s="79" t="s">
        <v>1469</v>
      </c>
      <c r="B1257" s="79" t="s">
        <v>1307</v>
      </c>
      <c r="C1257" s="80" t="s">
        <v>95</v>
      </c>
      <c r="D1257" s="81" t="s">
        <v>101</v>
      </c>
      <c r="E1257" s="82">
        <v>27957</v>
      </c>
      <c r="F1257" s="82">
        <v>1545</v>
      </c>
      <c r="G1257" s="82">
        <v>1957</v>
      </c>
      <c r="H1257" s="83">
        <v>28.850023976885439</v>
      </c>
      <c r="I1257" s="83">
        <v>20535.13979987213</v>
      </c>
      <c r="J1257" s="83">
        <v>31.175039732763199</v>
      </c>
    </row>
    <row r="1258" spans="1:10" ht="16">
      <c r="A1258" s="79" t="s">
        <v>1470</v>
      </c>
      <c r="B1258" s="79" t="s">
        <v>1307</v>
      </c>
      <c r="C1258" s="80" t="s">
        <v>126</v>
      </c>
      <c r="D1258" s="81" t="s">
        <v>75</v>
      </c>
      <c r="E1258" s="82">
        <v>13401</v>
      </c>
      <c r="F1258" s="82">
        <v>1787</v>
      </c>
      <c r="G1258" s="82">
        <v>2680</v>
      </c>
      <c r="H1258" s="83">
        <v>58.015704117748967</v>
      </c>
      <c r="I1258" s="83">
        <v>56865.416248316324</v>
      </c>
      <c r="J1258" s="83">
        <v>64.250200593543354</v>
      </c>
    </row>
    <row r="1259" spans="1:10" ht="16">
      <c r="A1259" s="79" t="s">
        <v>1471</v>
      </c>
      <c r="B1259" s="79" t="s">
        <v>1307</v>
      </c>
      <c r="C1259" s="80" t="s">
        <v>95</v>
      </c>
      <c r="D1259" s="81" t="s">
        <v>111</v>
      </c>
      <c r="E1259" s="82">
        <v>22295</v>
      </c>
      <c r="F1259" s="82">
        <v>1973</v>
      </c>
      <c r="G1259" s="82">
        <v>2007</v>
      </c>
      <c r="H1259" s="83">
        <v>18.875837571980256</v>
      </c>
      <c r="I1259" s="83">
        <v>15100.566969259738</v>
      </c>
      <c r="J1259" s="83">
        <v>34.234179973542709</v>
      </c>
    </row>
    <row r="1260" spans="1:10" ht="16">
      <c r="A1260" s="79" t="s">
        <v>312</v>
      </c>
      <c r="B1260" s="79" t="s">
        <v>242</v>
      </c>
      <c r="C1260" s="80" t="s">
        <v>95</v>
      </c>
      <c r="D1260" s="81" t="s">
        <v>101</v>
      </c>
      <c r="E1260" s="82">
        <v>15971</v>
      </c>
      <c r="F1260" s="82">
        <v>1365</v>
      </c>
      <c r="G1260" s="82">
        <v>799</v>
      </c>
      <c r="H1260" s="83">
        <v>13.094297018607074</v>
      </c>
      <c r="I1260" s="83">
        <v>3565.8655828190958</v>
      </c>
      <c r="J1260" s="83">
        <v>17.171214543296845</v>
      </c>
    </row>
    <row r="1261" spans="1:10" ht="16">
      <c r="A1261" s="79" t="s">
        <v>936</v>
      </c>
      <c r="B1261" s="79" t="s">
        <v>928</v>
      </c>
      <c r="C1261" s="80" t="s">
        <v>95</v>
      </c>
      <c r="D1261" s="81" t="s">
        <v>76</v>
      </c>
      <c r="E1261" s="82">
        <v>13550</v>
      </c>
      <c r="F1261" s="82">
        <v>753</v>
      </c>
      <c r="G1261" s="82">
        <v>542</v>
      </c>
      <c r="H1261" s="83">
        <v>9.3763724509280451</v>
      </c>
      <c r="I1261" s="83">
        <v>1100.5211899090662</v>
      </c>
      <c r="J1261" s="83">
        <v>17.923912377492659</v>
      </c>
    </row>
    <row r="1262" spans="1:10" ht="16">
      <c r="A1262" s="79" t="s">
        <v>1472</v>
      </c>
      <c r="B1262" s="79" t="s">
        <v>1307</v>
      </c>
      <c r="C1262" s="80" t="s">
        <v>126</v>
      </c>
      <c r="D1262" s="81" t="s">
        <v>75</v>
      </c>
      <c r="E1262" s="82">
        <v>25966</v>
      </c>
      <c r="F1262" s="82">
        <v>1404</v>
      </c>
      <c r="G1262" s="82">
        <v>2077</v>
      </c>
      <c r="H1262" s="83">
        <v>17.187028753426127</v>
      </c>
      <c r="I1262" s="83">
        <v>10147.236141958016</v>
      </c>
      <c r="J1262" s="83">
        <v>28.121541761940751</v>
      </c>
    </row>
    <row r="1263" spans="1:10" ht="16">
      <c r="A1263" s="79" t="s">
        <v>144</v>
      </c>
      <c r="B1263" s="79" t="s">
        <v>108</v>
      </c>
      <c r="C1263" s="80" t="s">
        <v>95</v>
      </c>
      <c r="D1263" s="81" t="s">
        <v>79</v>
      </c>
      <c r="E1263" s="82">
        <v>32259</v>
      </c>
      <c r="F1263" s="82">
        <v>904</v>
      </c>
      <c r="G1263" s="82">
        <v>5484</v>
      </c>
      <c r="H1263" s="83">
        <v>30.059083002356441</v>
      </c>
      <c r="I1263" s="83">
        <v>24132.641993496782</v>
      </c>
      <c r="J1263" s="83">
        <v>24.179498446805336</v>
      </c>
    </row>
    <row r="1264" spans="1:10" ht="16">
      <c r="A1264" s="79" t="s">
        <v>228</v>
      </c>
      <c r="B1264" s="79" t="s">
        <v>203</v>
      </c>
      <c r="C1264" s="80" t="s">
        <v>95</v>
      </c>
      <c r="D1264" s="81" t="s">
        <v>78</v>
      </c>
      <c r="E1264" s="82">
        <v>29865</v>
      </c>
      <c r="F1264" s="82">
        <v>1293</v>
      </c>
      <c r="G1264" s="82">
        <v>5376</v>
      </c>
      <c r="H1264" s="83">
        <v>35.920139130216768</v>
      </c>
      <c r="I1264" s="83">
        <v>27279.117243377081</v>
      </c>
      <c r="J1264" s="83">
        <v>40.99581393677331</v>
      </c>
    </row>
    <row r="1265" spans="1:10" ht="16">
      <c r="A1265" s="79" t="s">
        <v>1473</v>
      </c>
      <c r="B1265" s="79" t="s">
        <v>1307</v>
      </c>
      <c r="C1265" s="80" t="s">
        <v>95</v>
      </c>
      <c r="D1265" s="81" t="s">
        <v>77</v>
      </c>
      <c r="E1265" s="82">
        <v>13726</v>
      </c>
      <c r="F1265" s="82">
        <v>775</v>
      </c>
      <c r="G1265" s="82">
        <v>137</v>
      </c>
      <c r="H1265" s="83">
        <v>10.623122408916512</v>
      </c>
      <c r="I1265" s="83">
        <v>6653.8281612031124</v>
      </c>
      <c r="J1265" s="83">
        <v>16.436656039773212</v>
      </c>
    </row>
    <row r="1266" spans="1:10" ht="16">
      <c r="A1266" s="79" t="s">
        <v>1474</v>
      </c>
      <c r="B1266" s="79" t="s">
        <v>1307</v>
      </c>
      <c r="C1266" s="80" t="s">
        <v>95</v>
      </c>
      <c r="D1266" s="81" t="s">
        <v>101</v>
      </c>
      <c r="E1266" s="82">
        <v>8235</v>
      </c>
      <c r="F1266" s="82">
        <v>722</v>
      </c>
      <c r="G1266" s="82">
        <v>741</v>
      </c>
      <c r="H1266" s="83">
        <v>21.442583498679731</v>
      </c>
      <c r="I1266" s="83">
        <v>18488.55266158274</v>
      </c>
      <c r="J1266" s="83">
        <v>48.101953135466324</v>
      </c>
    </row>
    <row r="1267" spans="1:10" ht="16">
      <c r="A1267" s="79" t="s">
        <v>1475</v>
      </c>
      <c r="B1267" s="79" t="s">
        <v>1307</v>
      </c>
      <c r="C1267" s="80" t="s">
        <v>126</v>
      </c>
      <c r="D1267" s="81" t="s">
        <v>101</v>
      </c>
      <c r="E1267" s="82">
        <v>5733</v>
      </c>
      <c r="F1267" s="82">
        <v>451</v>
      </c>
      <c r="G1267" s="82">
        <v>1261</v>
      </c>
      <c r="H1267" s="83">
        <v>17.90109905620837</v>
      </c>
      <c r="I1267" s="83">
        <v>10469.923016721426</v>
      </c>
      <c r="J1267" s="83">
        <v>20.453914413769471</v>
      </c>
    </row>
    <row r="1268" spans="1:10" ht="16">
      <c r="A1268" s="79" t="s">
        <v>910</v>
      </c>
      <c r="B1268" s="79" t="s">
        <v>898</v>
      </c>
      <c r="C1268" s="80" t="s">
        <v>126</v>
      </c>
      <c r="D1268" s="81" t="s">
        <v>78</v>
      </c>
      <c r="E1268" s="82">
        <v>28329</v>
      </c>
      <c r="F1268" s="82">
        <v>1914</v>
      </c>
      <c r="G1268" s="82">
        <v>850</v>
      </c>
      <c r="H1268" s="83">
        <v>11.583645548263451</v>
      </c>
      <c r="I1268" s="83">
        <v>2302.5790008203585</v>
      </c>
      <c r="J1268" s="83">
        <v>17.569669073035111</v>
      </c>
    </row>
    <row r="1269" spans="1:10" ht="16">
      <c r="A1269" s="79" t="s">
        <v>313</v>
      </c>
      <c r="B1269" s="79" t="s">
        <v>242</v>
      </c>
      <c r="C1269" s="80" t="s">
        <v>95</v>
      </c>
      <c r="D1269" s="81" t="s">
        <v>103</v>
      </c>
      <c r="E1269" s="82">
        <v>52502</v>
      </c>
      <c r="F1269" s="82">
        <v>3596</v>
      </c>
      <c r="G1269" s="82">
        <v>3675</v>
      </c>
      <c r="H1269" s="83">
        <v>34.416988203363665</v>
      </c>
      <c r="I1269" s="83">
        <v>17855.778950634311</v>
      </c>
      <c r="J1269" s="83">
        <v>44.639259487266465</v>
      </c>
    </row>
    <row r="1270" spans="1:10" ht="16">
      <c r="A1270" s="79" t="s">
        <v>314</v>
      </c>
      <c r="B1270" s="79" t="s">
        <v>242</v>
      </c>
      <c r="C1270" s="80" t="s">
        <v>126</v>
      </c>
      <c r="D1270" s="81" t="s">
        <v>75</v>
      </c>
      <c r="E1270" s="82">
        <v>51684</v>
      </c>
      <c r="F1270" s="82">
        <v>3692</v>
      </c>
      <c r="G1270" s="82">
        <v>1551</v>
      </c>
      <c r="H1270" s="83">
        <v>13.616991484492555</v>
      </c>
      <c r="I1270" s="83">
        <v>5483.5051665059445</v>
      </c>
      <c r="J1270" s="83">
        <v>19.323098008324155</v>
      </c>
    </row>
    <row r="1271" spans="1:10" ht="16">
      <c r="A1271" s="79" t="s">
        <v>315</v>
      </c>
      <c r="B1271" s="79" t="s">
        <v>242</v>
      </c>
      <c r="C1271" s="80" t="s">
        <v>126</v>
      </c>
      <c r="D1271" s="81" t="s">
        <v>99</v>
      </c>
      <c r="E1271" s="82">
        <v>40841</v>
      </c>
      <c r="F1271" s="82">
        <v>2797</v>
      </c>
      <c r="G1271" s="82">
        <v>1634</v>
      </c>
      <c r="H1271" s="83">
        <v>23.044172316610169</v>
      </c>
      <c r="I1271" s="83">
        <v>13086.710203476616</v>
      </c>
      <c r="J1271" s="83">
        <v>27.65478216244227</v>
      </c>
    </row>
    <row r="1272" spans="1:10" ht="16">
      <c r="A1272" s="79" t="s">
        <v>316</v>
      </c>
      <c r="B1272" s="79" t="s">
        <v>242</v>
      </c>
      <c r="C1272" s="80" t="s">
        <v>95</v>
      </c>
      <c r="D1272" s="81" t="s">
        <v>111</v>
      </c>
      <c r="E1272" s="82">
        <v>31340</v>
      </c>
      <c r="F1272" s="82">
        <v>1478</v>
      </c>
      <c r="G1272" s="82">
        <v>313</v>
      </c>
      <c r="H1272" s="83">
        <v>12.181578434009975</v>
      </c>
      <c r="I1272" s="83">
        <v>5542.2580241618152</v>
      </c>
      <c r="J1272" s="83">
        <v>15.390213135924581</v>
      </c>
    </row>
    <row r="1273" spans="1:10" ht="16">
      <c r="A1273" s="79" t="s">
        <v>317</v>
      </c>
      <c r="B1273" s="79" t="s">
        <v>242</v>
      </c>
      <c r="C1273" s="80" t="s">
        <v>126</v>
      </c>
      <c r="D1273" s="81" t="s">
        <v>101</v>
      </c>
      <c r="E1273" s="82">
        <v>34140</v>
      </c>
      <c r="F1273" s="82">
        <v>1996</v>
      </c>
      <c r="G1273" s="82">
        <v>1024</v>
      </c>
      <c r="H1273" s="83">
        <v>17.881756088344925</v>
      </c>
      <c r="I1273" s="83">
        <v>5669.6881185164866</v>
      </c>
      <c r="J1273" s="83">
        <v>21.204271983194619</v>
      </c>
    </row>
    <row r="1274" spans="1:10" ht="16">
      <c r="A1274" s="79" t="s">
        <v>1476</v>
      </c>
      <c r="B1274" s="79" t="s">
        <v>1307</v>
      </c>
      <c r="C1274" s="80" t="s">
        <v>126</v>
      </c>
      <c r="D1274" s="81" t="s">
        <v>99</v>
      </c>
      <c r="E1274" s="82">
        <v>12402</v>
      </c>
      <c r="F1274" s="82">
        <v>2297</v>
      </c>
      <c r="G1274" s="82">
        <v>2480</v>
      </c>
      <c r="H1274" s="83">
        <v>94.970812531133546</v>
      </c>
      <c r="I1274" s="83">
        <v>92298.425598028087</v>
      </c>
      <c r="J1274" s="83">
        <v>92.272792518540854</v>
      </c>
    </row>
    <row r="1275" spans="1:10" ht="16">
      <c r="A1275" s="79" t="s">
        <v>767</v>
      </c>
      <c r="B1275" s="79" t="s">
        <v>661</v>
      </c>
      <c r="C1275" s="80" t="s">
        <v>126</v>
      </c>
      <c r="D1275" s="81" t="s">
        <v>76</v>
      </c>
      <c r="E1275" s="82">
        <v>8913</v>
      </c>
      <c r="F1275" s="82">
        <v>1024</v>
      </c>
      <c r="G1275" s="82">
        <v>178</v>
      </c>
      <c r="H1275" s="83">
        <v>12.397438530107179</v>
      </c>
      <c r="I1275" s="83">
        <v>2161.6593826470039</v>
      </c>
      <c r="J1275" s="83">
        <v>22.512455820478785</v>
      </c>
    </row>
    <row r="1276" spans="1:10" ht="16">
      <c r="A1276" s="79" t="s">
        <v>768</v>
      </c>
      <c r="B1276" s="79" t="s">
        <v>661</v>
      </c>
      <c r="C1276" s="80" t="s">
        <v>126</v>
      </c>
      <c r="D1276" s="81" t="s">
        <v>75</v>
      </c>
      <c r="E1276" s="82">
        <v>10580</v>
      </c>
      <c r="F1276" s="82">
        <v>980</v>
      </c>
      <c r="G1276" s="82">
        <v>529</v>
      </c>
      <c r="H1276" s="83">
        <v>12.934618912371594</v>
      </c>
      <c r="I1276" s="83">
        <v>1876.1610036143222</v>
      </c>
      <c r="J1276" s="83">
        <v>21.513854282884267</v>
      </c>
    </row>
    <row r="1277" spans="1:10" ht="16">
      <c r="A1277" s="79" t="s">
        <v>318</v>
      </c>
      <c r="B1277" s="79" t="s">
        <v>242</v>
      </c>
      <c r="C1277" s="80" t="s">
        <v>95</v>
      </c>
      <c r="D1277" s="81" t="s">
        <v>149</v>
      </c>
      <c r="E1277" s="82">
        <v>36880</v>
      </c>
      <c r="F1277" s="82">
        <v>2442</v>
      </c>
      <c r="G1277" s="82">
        <v>1106</v>
      </c>
      <c r="H1277" s="83">
        <v>10.837237854340612</v>
      </c>
      <c r="I1277" s="83">
        <v>4399.9240524862253</v>
      </c>
      <c r="J1277" s="83">
        <v>15.976281935309526</v>
      </c>
    </row>
    <row r="1278" spans="1:10" ht="16">
      <c r="A1278" s="79" t="s">
        <v>319</v>
      </c>
      <c r="B1278" s="79" t="s">
        <v>242</v>
      </c>
      <c r="C1278" s="80" t="s">
        <v>126</v>
      </c>
      <c r="D1278" s="81" t="s">
        <v>77</v>
      </c>
      <c r="E1278" s="82">
        <v>32748</v>
      </c>
      <c r="F1278" s="82">
        <v>2140</v>
      </c>
      <c r="G1278" s="82">
        <v>327</v>
      </c>
      <c r="H1278" s="83">
        <v>12.151539250356834</v>
      </c>
      <c r="I1278" s="83">
        <v>1672.6447437643492</v>
      </c>
      <c r="J1278" s="83">
        <v>18.409458090621438</v>
      </c>
    </row>
    <row r="1279" spans="1:10" ht="16">
      <c r="A1279" s="79" t="s">
        <v>776</v>
      </c>
      <c r="B1279" s="79" t="s">
        <v>772</v>
      </c>
      <c r="C1279" s="80" t="s">
        <v>95</v>
      </c>
      <c r="D1279" s="81" t="s">
        <v>149</v>
      </c>
      <c r="E1279" s="82">
        <v>35353</v>
      </c>
      <c r="F1279" s="82">
        <v>1163</v>
      </c>
      <c r="G1279" s="82">
        <v>3182</v>
      </c>
      <c r="H1279" s="83">
        <v>9.183785121506796</v>
      </c>
      <c r="I1279" s="83">
        <v>589.87974751788011</v>
      </c>
      <c r="J1279" s="83">
        <v>19.590824113980489</v>
      </c>
    </row>
    <row r="1280" spans="1:10" ht="16">
      <c r="A1280" s="79" t="s">
        <v>594</v>
      </c>
      <c r="B1280" s="79" t="s">
        <v>556</v>
      </c>
      <c r="C1280" s="80" t="s">
        <v>126</v>
      </c>
      <c r="D1280" s="81" t="s">
        <v>101</v>
      </c>
      <c r="E1280" s="82">
        <v>6332</v>
      </c>
      <c r="F1280" s="82">
        <v>230</v>
      </c>
      <c r="G1280" s="82">
        <v>441</v>
      </c>
      <c r="H1280" s="83">
        <v>15.860321877155011</v>
      </c>
      <c r="I1280" s="83">
        <v>14232.172014123249</v>
      </c>
      <c r="J1280" s="83">
        <v>15.475045254699321</v>
      </c>
    </row>
    <row r="1281" spans="1:10" ht="16">
      <c r="A1281" s="79" t="s">
        <v>595</v>
      </c>
      <c r="B1281" s="79" t="s">
        <v>556</v>
      </c>
      <c r="C1281" s="80" t="s">
        <v>95</v>
      </c>
      <c r="D1281" s="81" t="s">
        <v>96</v>
      </c>
      <c r="E1281" s="82">
        <v>13745</v>
      </c>
      <c r="F1281" s="82">
        <v>455</v>
      </c>
      <c r="G1281" s="82">
        <v>137</v>
      </c>
      <c r="H1281" s="83">
        <v>14.999292464407453</v>
      </c>
      <c r="I1281" s="83">
        <v>2331.5485344107319</v>
      </c>
      <c r="J1281" s="83">
        <v>16.901816125500943</v>
      </c>
    </row>
    <row r="1282" spans="1:10" ht="16">
      <c r="A1282" s="79" t="s">
        <v>1192</v>
      </c>
      <c r="B1282" s="79" t="s">
        <v>1161</v>
      </c>
      <c r="C1282" s="80" t="s">
        <v>95</v>
      </c>
      <c r="D1282" s="81" t="s">
        <v>149</v>
      </c>
      <c r="E1282" s="82">
        <v>19508</v>
      </c>
      <c r="F1282" s="82">
        <v>522</v>
      </c>
      <c r="G1282" s="82">
        <v>390</v>
      </c>
      <c r="H1282" s="83">
        <v>12.394012797901107</v>
      </c>
      <c r="I1282" s="83">
        <v>1452.8846185498023</v>
      </c>
      <c r="J1282" s="83">
        <v>19.41079738599057</v>
      </c>
    </row>
    <row r="1283" spans="1:10" ht="16">
      <c r="A1283" s="79" t="s">
        <v>1036</v>
      </c>
      <c r="B1283" s="79" t="s">
        <v>1007</v>
      </c>
      <c r="C1283" s="80" t="s">
        <v>126</v>
      </c>
      <c r="D1283" s="81" t="s">
        <v>101</v>
      </c>
      <c r="E1283" s="82">
        <v>20135</v>
      </c>
      <c r="F1283" s="82">
        <v>1360</v>
      </c>
      <c r="G1283" s="82">
        <v>1007</v>
      </c>
      <c r="H1283" s="83">
        <v>13.279999300065217</v>
      </c>
      <c r="I1283" s="83">
        <v>5854.8455316155241</v>
      </c>
      <c r="J1283" s="83">
        <v>18.846367631873299</v>
      </c>
    </row>
    <row r="1284" spans="1:10" ht="16">
      <c r="A1284" s="79" t="s">
        <v>1193</v>
      </c>
      <c r="B1284" s="79" t="s">
        <v>1161</v>
      </c>
      <c r="C1284" s="80" t="s">
        <v>126</v>
      </c>
      <c r="D1284" s="81" t="s">
        <v>99</v>
      </c>
      <c r="E1284" s="82">
        <v>36946</v>
      </c>
      <c r="F1284" s="82">
        <v>1103</v>
      </c>
      <c r="G1284" s="82">
        <v>1478</v>
      </c>
      <c r="H1284" s="83">
        <v>13.207298397902782</v>
      </c>
      <c r="I1284" s="83">
        <v>2982.0051986873532</v>
      </c>
      <c r="J1284" s="83">
        <v>16.045635568517159</v>
      </c>
    </row>
    <row r="1285" spans="1:10" ht="16">
      <c r="A1285" s="79" t="s">
        <v>769</v>
      </c>
      <c r="B1285" s="79" t="s">
        <v>661</v>
      </c>
      <c r="C1285" s="80" t="s">
        <v>95</v>
      </c>
      <c r="D1285" s="81" t="s">
        <v>149</v>
      </c>
      <c r="E1285" s="82">
        <v>4910</v>
      </c>
      <c r="F1285" s="82">
        <v>1091</v>
      </c>
      <c r="G1285" s="82">
        <v>98</v>
      </c>
      <c r="H1285" s="83">
        <v>8.6456881506030676</v>
      </c>
      <c r="I1285" s="83">
        <v>7408.9066978923138</v>
      </c>
      <c r="J1285" s="83">
        <v>26.177525601797772</v>
      </c>
    </row>
    <row r="1286" spans="1:10" ht="16">
      <c r="A1286" s="79" t="s">
        <v>770</v>
      </c>
      <c r="B1286" s="79" t="s">
        <v>661</v>
      </c>
      <c r="C1286" s="80" t="s">
        <v>126</v>
      </c>
      <c r="D1286" s="81" t="s">
        <v>77</v>
      </c>
      <c r="E1286" s="82">
        <v>9889</v>
      </c>
      <c r="F1286" s="82">
        <v>791</v>
      </c>
      <c r="G1286" s="82">
        <v>692</v>
      </c>
      <c r="H1286" s="83">
        <v>16.935667235304454</v>
      </c>
      <c r="I1286" s="83">
        <v>2680.3372743966856</v>
      </c>
      <c r="J1286" s="83">
        <v>23.057384182243059</v>
      </c>
    </row>
    <row r="1287" spans="1:10" ht="16">
      <c r="A1287" s="79" t="s">
        <v>1037</v>
      </c>
      <c r="B1287" s="79" t="s">
        <v>1007</v>
      </c>
      <c r="C1287" s="80" t="s">
        <v>126</v>
      </c>
      <c r="D1287" s="81" t="s">
        <v>103</v>
      </c>
      <c r="E1287" s="82">
        <v>17744</v>
      </c>
      <c r="F1287" s="82">
        <v>1215</v>
      </c>
      <c r="G1287" s="82">
        <v>3904</v>
      </c>
      <c r="H1287" s="83">
        <v>53.385573567050344</v>
      </c>
      <c r="I1287" s="83">
        <v>27878.414971441132</v>
      </c>
      <c r="J1287" s="83">
        <v>51.594677978296694</v>
      </c>
    </row>
    <row r="1288" spans="1:10" ht="16">
      <c r="A1288" s="79" t="s">
        <v>229</v>
      </c>
      <c r="B1288" s="79" t="s">
        <v>203</v>
      </c>
      <c r="C1288" s="80" t="s">
        <v>95</v>
      </c>
      <c r="D1288" s="81" t="s">
        <v>103</v>
      </c>
      <c r="E1288" s="82">
        <v>46683</v>
      </c>
      <c r="F1288" s="82">
        <v>1319</v>
      </c>
      <c r="G1288" s="82">
        <v>11204</v>
      </c>
      <c r="H1288" s="83">
        <v>37.74475485700664</v>
      </c>
      <c r="I1288" s="83">
        <v>19084.698322418644</v>
      </c>
      <c r="J1288" s="83">
        <v>29.058088141005005</v>
      </c>
    </row>
    <row r="1289" spans="1:10" ht="16">
      <c r="A1289" s="79" t="s">
        <v>1135</v>
      </c>
      <c r="B1289" s="79" t="s">
        <v>1100</v>
      </c>
      <c r="C1289" s="80" t="s">
        <v>126</v>
      </c>
      <c r="D1289" s="81" t="s">
        <v>96</v>
      </c>
      <c r="E1289" s="82">
        <v>8356</v>
      </c>
      <c r="F1289" s="82">
        <v>429</v>
      </c>
      <c r="G1289" s="82">
        <v>668</v>
      </c>
      <c r="H1289" s="83">
        <v>14.088188030996918</v>
      </c>
      <c r="I1289" s="83">
        <v>2156.2988781668441</v>
      </c>
      <c r="J1289" s="83">
        <v>17.372434784874887</v>
      </c>
    </row>
    <row r="1290" spans="1:10" ht="16">
      <c r="A1290" s="79" t="s">
        <v>382</v>
      </c>
      <c r="B1290" s="79" t="s">
        <v>363</v>
      </c>
      <c r="C1290" s="80" t="s">
        <v>95</v>
      </c>
      <c r="D1290" s="81" t="s">
        <v>96</v>
      </c>
      <c r="E1290" s="82">
        <v>156419</v>
      </c>
      <c r="F1290" s="82">
        <v>6517</v>
      </c>
      <c r="G1290" s="82">
        <v>1564</v>
      </c>
      <c r="H1290" s="83">
        <v>8.3969662009800867</v>
      </c>
      <c r="I1290" s="83">
        <v>2303.5513429438001</v>
      </c>
      <c r="J1290" s="83">
        <v>14.293472389504107</v>
      </c>
    </row>
    <row r="1291" spans="1:10" ht="16">
      <c r="A1291" s="79" t="s">
        <v>320</v>
      </c>
      <c r="B1291" s="79" t="s">
        <v>242</v>
      </c>
      <c r="C1291" s="80" t="s">
        <v>126</v>
      </c>
      <c r="D1291" s="81" t="s">
        <v>101</v>
      </c>
      <c r="E1291" s="82">
        <v>33427</v>
      </c>
      <c r="F1291" s="82">
        <v>3124</v>
      </c>
      <c r="G1291" s="82">
        <v>7354</v>
      </c>
      <c r="H1291" s="83">
        <v>64.940573204975266</v>
      </c>
      <c r="I1291" s="83">
        <v>32767.976776843549</v>
      </c>
      <c r="J1291" s="83">
        <v>66.528242408881312</v>
      </c>
    </row>
    <row r="1292" spans="1:10" ht="16">
      <c r="A1292" s="79" t="s">
        <v>321</v>
      </c>
      <c r="B1292" s="79" t="s">
        <v>242</v>
      </c>
      <c r="C1292" s="80" t="s">
        <v>95</v>
      </c>
      <c r="D1292" s="81" t="s">
        <v>79</v>
      </c>
      <c r="E1292" s="82">
        <v>31228</v>
      </c>
      <c r="F1292" s="82">
        <v>2124</v>
      </c>
      <c r="G1292" s="82">
        <v>2498</v>
      </c>
      <c r="H1292" s="83">
        <v>14.733529899637755</v>
      </c>
      <c r="I1292" s="83">
        <v>4616.0889748992395</v>
      </c>
      <c r="J1292" s="83">
        <v>16.990600943346841</v>
      </c>
    </row>
  </sheetData>
  <phoneticPr fontId="4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1666D-E764-F148-A16C-864CBFF95465}">
  <sheetPr codeName="Sheet5"/>
  <dimension ref="A1:J1292"/>
  <sheetViews>
    <sheetView zoomScale="95" zoomScaleNormal="95" workbookViewId="0"/>
  </sheetViews>
  <sheetFormatPr baseColWidth="10" defaultRowHeight="15"/>
  <cols>
    <col min="1" max="1" width="59" style="26" customWidth="1"/>
    <col min="2" max="2" width="19" style="26" bestFit="1" customWidth="1"/>
    <col min="3" max="3" width="21.83203125" style="26" bestFit="1" customWidth="1"/>
    <col min="4" max="4" width="30.6640625" style="26" bestFit="1" customWidth="1"/>
    <col min="5" max="5" width="24.6640625" style="26" bestFit="1" customWidth="1"/>
    <col min="6" max="6" width="19.6640625" style="26" bestFit="1" customWidth="1"/>
    <col min="7" max="7" width="40.83203125" style="26" bestFit="1" customWidth="1"/>
    <col min="8" max="8" width="18.5" style="26" bestFit="1" customWidth="1"/>
    <col min="9" max="9" width="24.5" style="26" bestFit="1" customWidth="1"/>
    <col min="10" max="10" width="18.5" style="26" bestFit="1" customWidth="1"/>
    <col min="11" max="16384" width="10.83203125" style="26"/>
  </cols>
  <sheetData>
    <row r="1" spans="1:10" ht="21">
      <c r="A1" s="78" t="s">
        <v>83</v>
      </c>
      <c r="B1" s="78" t="s">
        <v>84</v>
      </c>
      <c r="C1" s="78" t="s">
        <v>85</v>
      </c>
      <c r="D1" s="78" t="s">
        <v>86</v>
      </c>
      <c r="E1" s="78" t="s">
        <v>87</v>
      </c>
      <c r="F1" s="78" t="s">
        <v>88</v>
      </c>
      <c r="G1" s="78" t="s">
        <v>89</v>
      </c>
      <c r="H1" s="78" t="s">
        <v>90</v>
      </c>
      <c r="I1" s="78" t="s">
        <v>91</v>
      </c>
      <c r="J1" s="78" t="s">
        <v>92</v>
      </c>
    </row>
    <row r="2" spans="1:10" ht="16">
      <c r="A2" s="79" t="s">
        <v>354</v>
      </c>
      <c r="B2" s="79" t="s">
        <v>355</v>
      </c>
      <c r="C2" s="80" t="s">
        <v>95</v>
      </c>
      <c r="D2" s="81" t="s">
        <v>101</v>
      </c>
      <c r="E2" s="82">
        <v>16340</v>
      </c>
      <c r="F2" s="82">
        <v>1201</v>
      </c>
      <c r="G2" s="82">
        <v>2451</v>
      </c>
      <c r="H2" s="83">
        <v>39.741889933805624</v>
      </c>
      <c r="I2" s="83">
        <v>34061.82910297843</v>
      </c>
      <c r="J2" s="83">
        <v>28.596838419718708</v>
      </c>
    </row>
    <row r="3" spans="1:10" ht="16">
      <c r="A3" s="79" t="s">
        <v>387</v>
      </c>
      <c r="B3" s="79" t="s">
        <v>388</v>
      </c>
      <c r="C3" s="80" t="s">
        <v>126</v>
      </c>
      <c r="D3" s="81" t="s">
        <v>75</v>
      </c>
      <c r="E3" s="82">
        <v>12195</v>
      </c>
      <c r="F3" s="82">
        <v>656</v>
      </c>
      <c r="G3" s="82">
        <v>3171</v>
      </c>
      <c r="H3" s="83">
        <v>39.990520350935213</v>
      </c>
      <c r="I3" s="83">
        <v>30276.385915972645</v>
      </c>
      <c r="J3" s="83">
        <v>42.331836733166369</v>
      </c>
    </row>
    <row r="4" spans="1:10" ht="16">
      <c r="A4" s="79" t="s">
        <v>356</v>
      </c>
      <c r="B4" s="79" t="s">
        <v>355</v>
      </c>
      <c r="C4" s="80" t="s">
        <v>95</v>
      </c>
      <c r="D4" s="81" t="s">
        <v>76</v>
      </c>
      <c r="E4" s="82">
        <v>26842</v>
      </c>
      <c r="F4" s="82">
        <v>1864</v>
      </c>
      <c r="G4" s="82">
        <v>2416</v>
      </c>
      <c r="H4" s="83">
        <v>54.686651511522875</v>
      </c>
      <c r="I4" s="83">
        <v>46171.122348344812</v>
      </c>
      <c r="J4" s="83">
        <v>37.599338580949372</v>
      </c>
    </row>
    <row r="5" spans="1:10" ht="16">
      <c r="A5" s="79" t="s">
        <v>1208</v>
      </c>
      <c r="B5" s="79" t="s">
        <v>1209</v>
      </c>
      <c r="C5" s="80" t="s">
        <v>126</v>
      </c>
      <c r="D5" s="81" t="s">
        <v>77</v>
      </c>
      <c r="E5" s="82">
        <v>6866</v>
      </c>
      <c r="F5" s="82">
        <v>424</v>
      </c>
      <c r="G5" s="82">
        <v>1305</v>
      </c>
      <c r="H5" s="83">
        <v>23.103855505742736</v>
      </c>
      <c r="I5" s="83">
        <v>15196.846277321372</v>
      </c>
      <c r="J5" s="83">
        <v>25.308296037748995</v>
      </c>
    </row>
    <row r="6" spans="1:10" ht="16">
      <c r="A6" s="79" t="s">
        <v>492</v>
      </c>
      <c r="B6" s="79" t="s">
        <v>493</v>
      </c>
      <c r="C6" s="80" t="s">
        <v>126</v>
      </c>
      <c r="D6" s="81" t="s">
        <v>75</v>
      </c>
      <c r="E6" s="82">
        <v>4792</v>
      </c>
      <c r="F6" s="82">
        <v>383</v>
      </c>
      <c r="G6" s="82">
        <v>288</v>
      </c>
      <c r="H6" s="83">
        <v>9.9342317792191661</v>
      </c>
      <c r="I6" s="83">
        <v>1445.4450241455093</v>
      </c>
      <c r="J6" s="83">
        <v>40.699843846677908</v>
      </c>
    </row>
    <row r="7" spans="1:10" ht="16">
      <c r="A7" s="79" t="s">
        <v>1160</v>
      </c>
      <c r="B7" s="79" t="s">
        <v>1161</v>
      </c>
      <c r="C7" s="80" t="s">
        <v>95</v>
      </c>
      <c r="D7" s="81" t="s">
        <v>79</v>
      </c>
      <c r="E7" s="82">
        <v>2342</v>
      </c>
      <c r="F7" s="82">
        <v>545</v>
      </c>
      <c r="G7" s="82">
        <v>47</v>
      </c>
      <c r="H7" s="83">
        <v>9.0332546762093884</v>
      </c>
      <c r="I7" s="83">
        <v>646.23172270903842</v>
      </c>
      <c r="J7" s="83">
        <v>22.757200387694493</v>
      </c>
    </row>
    <row r="8" spans="1:10" ht="16">
      <c r="A8" s="79" t="s">
        <v>897</v>
      </c>
      <c r="B8" s="79" t="s">
        <v>898</v>
      </c>
      <c r="C8" s="80" t="s">
        <v>95</v>
      </c>
      <c r="D8" s="81" t="s">
        <v>111</v>
      </c>
      <c r="E8" s="82">
        <v>37634</v>
      </c>
      <c r="F8" s="82">
        <v>2650</v>
      </c>
      <c r="G8" s="82">
        <v>753</v>
      </c>
      <c r="H8" s="83">
        <v>13.955698953979212</v>
      </c>
      <c r="I8" s="83">
        <v>4413.1805696080828</v>
      </c>
      <c r="J8" s="83">
        <v>18.596723844125073</v>
      </c>
    </row>
    <row r="9" spans="1:10" ht="16">
      <c r="A9" s="79" t="s">
        <v>899</v>
      </c>
      <c r="B9" s="79" t="s">
        <v>898</v>
      </c>
      <c r="C9" s="80" t="s">
        <v>126</v>
      </c>
      <c r="D9" s="81" t="s">
        <v>103</v>
      </c>
      <c r="E9" s="82">
        <v>28620</v>
      </c>
      <c r="F9" s="82">
        <v>2202</v>
      </c>
      <c r="G9" s="82">
        <v>572</v>
      </c>
      <c r="H9" s="83">
        <v>13.586485395464539</v>
      </c>
      <c r="I9" s="83">
        <v>3195.4069896933479</v>
      </c>
      <c r="J9" s="83">
        <v>18.044233377413132</v>
      </c>
    </row>
    <row r="10" spans="1:10" ht="16">
      <c r="A10" s="79" t="s">
        <v>660</v>
      </c>
      <c r="B10" s="79" t="s">
        <v>661</v>
      </c>
      <c r="C10" s="80" t="s">
        <v>95</v>
      </c>
      <c r="D10" s="81" t="s">
        <v>103</v>
      </c>
      <c r="E10" s="82">
        <v>1288</v>
      </c>
      <c r="F10" s="82">
        <v>460</v>
      </c>
      <c r="G10" s="82">
        <v>13</v>
      </c>
      <c r="H10" s="83">
        <v>11.209706769901937</v>
      </c>
      <c r="I10" s="83">
        <v>3515.3340003600188</v>
      </c>
      <c r="J10" s="83">
        <v>26.051856160867199</v>
      </c>
    </row>
    <row r="11" spans="1:10" ht="16">
      <c r="A11" s="79" t="s">
        <v>362</v>
      </c>
      <c r="B11" s="79" t="s">
        <v>363</v>
      </c>
      <c r="C11" s="80" t="s">
        <v>95</v>
      </c>
      <c r="D11" s="81" t="s">
        <v>76</v>
      </c>
      <c r="E11" s="82">
        <v>179636</v>
      </c>
      <c r="F11" s="82">
        <v>10629</v>
      </c>
      <c r="G11" s="82">
        <v>5389</v>
      </c>
      <c r="H11" s="83">
        <v>10.156126339199945</v>
      </c>
      <c r="I11" s="83">
        <v>3211.2691151187887</v>
      </c>
      <c r="J11" s="83">
        <v>21.232404044625344</v>
      </c>
    </row>
    <row r="12" spans="1:10" ht="16">
      <c r="A12" s="79" t="s">
        <v>395</v>
      </c>
      <c r="B12" s="79" t="s">
        <v>396</v>
      </c>
      <c r="C12" s="80" t="s">
        <v>95</v>
      </c>
      <c r="D12" s="81" t="s">
        <v>79</v>
      </c>
      <c r="E12" s="82">
        <v>67857</v>
      </c>
      <c r="F12" s="82">
        <v>4088</v>
      </c>
      <c r="G12" s="82">
        <v>8143</v>
      </c>
      <c r="H12" s="83">
        <v>25.438538699026754</v>
      </c>
      <c r="I12" s="83">
        <v>17041.745825505284</v>
      </c>
      <c r="J12" s="83">
        <v>42.095340826408062</v>
      </c>
    </row>
    <row r="13" spans="1:10" ht="16">
      <c r="A13" s="79" t="s">
        <v>1006</v>
      </c>
      <c r="B13" s="79" t="s">
        <v>1007</v>
      </c>
      <c r="C13" s="80" t="s">
        <v>95</v>
      </c>
      <c r="D13" s="81" t="s">
        <v>149</v>
      </c>
      <c r="E13" s="82">
        <v>9906</v>
      </c>
      <c r="F13" s="82">
        <v>877</v>
      </c>
      <c r="G13" s="82">
        <v>693</v>
      </c>
      <c r="H13" s="83">
        <v>23.870342709407918</v>
      </c>
      <c r="I13" s="83">
        <v>6999.98089994778</v>
      </c>
      <c r="J13" s="83">
        <v>24.221231802544494</v>
      </c>
    </row>
    <row r="14" spans="1:10" ht="16">
      <c r="A14" s="79" t="s">
        <v>1162</v>
      </c>
      <c r="B14" s="79" t="s">
        <v>1161</v>
      </c>
      <c r="C14" s="80" t="s">
        <v>126</v>
      </c>
      <c r="D14" s="81" t="s">
        <v>101</v>
      </c>
      <c r="E14" s="82">
        <v>42862</v>
      </c>
      <c r="F14" s="82">
        <v>1194</v>
      </c>
      <c r="G14" s="82">
        <v>429</v>
      </c>
      <c r="H14" s="83">
        <v>9.2035442620496628</v>
      </c>
      <c r="I14" s="83">
        <v>1255.0359460373854</v>
      </c>
      <c r="J14" s="83">
        <v>15.274486479497945</v>
      </c>
    </row>
    <row r="15" spans="1:10" ht="16">
      <c r="A15" s="79" t="s">
        <v>662</v>
      </c>
      <c r="B15" s="79" t="s">
        <v>661</v>
      </c>
      <c r="C15" s="80" t="s">
        <v>126</v>
      </c>
      <c r="D15" s="81" t="s">
        <v>79</v>
      </c>
      <c r="E15" s="82">
        <v>4942</v>
      </c>
      <c r="F15" s="82">
        <v>504</v>
      </c>
      <c r="G15" s="82">
        <v>198</v>
      </c>
      <c r="H15" s="83">
        <v>10.830334188762619</v>
      </c>
      <c r="I15" s="83">
        <v>985.04115513279771</v>
      </c>
      <c r="J15" s="83">
        <v>21.88769559567428</v>
      </c>
    </row>
    <row r="16" spans="1:10" ht="16">
      <c r="A16" s="79" t="s">
        <v>364</v>
      </c>
      <c r="B16" s="79" t="s">
        <v>363</v>
      </c>
      <c r="C16" s="80" t="s">
        <v>126</v>
      </c>
      <c r="D16" s="81" t="s">
        <v>103</v>
      </c>
      <c r="E16" s="82">
        <v>342151</v>
      </c>
      <c r="F16" s="82">
        <v>10495</v>
      </c>
      <c r="G16" s="82">
        <v>20529</v>
      </c>
      <c r="H16" s="83">
        <v>8.9479747669344771</v>
      </c>
      <c r="I16" s="83">
        <v>1382.2137414712265</v>
      </c>
      <c r="J16" s="83">
        <v>16.080700043664656</v>
      </c>
    </row>
    <row r="17" spans="1:10" ht="16">
      <c r="A17" s="79" t="s">
        <v>771</v>
      </c>
      <c r="B17" s="79" t="s">
        <v>772</v>
      </c>
      <c r="C17" s="80" t="s">
        <v>95</v>
      </c>
      <c r="D17" s="81" t="s">
        <v>75</v>
      </c>
      <c r="E17" s="82">
        <v>33918</v>
      </c>
      <c r="F17" s="82">
        <v>1084</v>
      </c>
      <c r="G17" s="82">
        <v>1357</v>
      </c>
      <c r="H17" s="83">
        <v>9.6679942723841066</v>
      </c>
      <c r="I17" s="83">
        <v>4735.2532424788169</v>
      </c>
      <c r="J17" s="83">
        <v>11.942319617257988</v>
      </c>
    </row>
    <row r="18" spans="1:10" ht="16">
      <c r="A18" s="79" t="s">
        <v>777</v>
      </c>
      <c r="B18" s="79" t="s">
        <v>778</v>
      </c>
      <c r="C18" s="80" t="s">
        <v>95</v>
      </c>
      <c r="D18" s="81" t="s">
        <v>99</v>
      </c>
      <c r="E18" s="82">
        <v>21138</v>
      </c>
      <c r="F18" s="82">
        <v>3775</v>
      </c>
      <c r="G18" s="82">
        <v>2325</v>
      </c>
      <c r="H18" s="83">
        <v>10.205771277915035</v>
      </c>
      <c r="I18" s="83">
        <v>2008.1672518305591</v>
      </c>
      <c r="J18" s="83">
        <v>24.9579105737809</v>
      </c>
    </row>
    <row r="19" spans="1:10" ht="16">
      <c r="A19" s="79" t="s">
        <v>365</v>
      </c>
      <c r="B19" s="79" t="s">
        <v>363</v>
      </c>
      <c r="C19" s="80" t="s">
        <v>95</v>
      </c>
      <c r="D19" s="81" t="s">
        <v>111</v>
      </c>
      <c r="E19" s="82">
        <v>182129</v>
      </c>
      <c r="F19" s="82">
        <v>6647</v>
      </c>
      <c r="G19" s="82">
        <v>5464</v>
      </c>
      <c r="H19" s="83">
        <v>13.535693378400003</v>
      </c>
      <c r="I19" s="83">
        <v>3176.5523136714323</v>
      </c>
      <c r="J19" s="83">
        <v>19.659668404694024</v>
      </c>
    </row>
    <row r="20" spans="1:10" ht="16">
      <c r="A20" s="79" t="s">
        <v>927</v>
      </c>
      <c r="B20" s="79" t="s">
        <v>928</v>
      </c>
      <c r="C20" s="80" t="s">
        <v>95</v>
      </c>
      <c r="D20" s="81" t="s">
        <v>75</v>
      </c>
      <c r="E20" s="82">
        <v>23124</v>
      </c>
      <c r="F20" s="82">
        <v>1278</v>
      </c>
      <c r="G20" s="82">
        <v>1387</v>
      </c>
      <c r="H20" s="83">
        <v>11.815204369642888</v>
      </c>
      <c r="I20" s="83">
        <v>1077.1356466951884</v>
      </c>
      <c r="J20" s="83">
        <v>17.002184825262521</v>
      </c>
    </row>
    <row r="21" spans="1:10" ht="16">
      <c r="A21" s="79" t="s">
        <v>977</v>
      </c>
      <c r="B21" s="79" t="s">
        <v>978</v>
      </c>
      <c r="C21" s="80" t="s">
        <v>95</v>
      </c>
      <c r="D21" s="81" t="s">
        <v>75</v>
      </c>
      <c r="E21" s="82">
        <v>2566</v>
      </c>
      <c r="F21" s="82">
        <v>247</v>
      </c>
      <c r="G21" s="82">
        <v>872</v>
      </c>
      <c r="H21" s="83">
        <v>21.988295317840024</v>
      </c>
      <c r="I21" s="83">
        <v>20172.048830456235</v>
      </c>
      <c r="J21" s="83">
        <v>20.071175301507996</v>
      </c>
    </row>
    <row r="22" spans="1:10" ht="16">
      <c r="A22" s="79" t="s">
        <v>494</v>
      </c>
      <c r="B22" s="79" t="s">
        <v>493</v>
      </c>
      <c r="C22" s="80" t="s">
        <v>126</v>
      </c>
      <c r="D22" s="81" t="s">
        <v>99</v>
      </c>
      <c r="E22" s="82">
        <v>18783</v>
      </c>
      <c r="F22" s="82">
        <v>1391</v>
      </c>
      <c r="G22" s="82">
        <v>376</v>
      </c>
      <c r="H22" s="83">
        <v>10.679060816177575</v>
      </c>
      <c r="I22" s="83">
        <v>4301.3473975541847</v>
      </c>
      <c r="J22" s="83">
        <v>29.663779455711605</v>
      </c>
    </row>
    <row r="23" spans="1:10" ht="16">
      <c r="A23" s="79" t="s">
        <v>555</v>
      </c>
      <c r="B23" s="79" t="s">
        <v>556</v>
      </c>
      <c r="C23" s="80" t="s">
        <v>95</v>
      </c>
      <c r="D23" s="81" t="s">
        <v>101</v>
      </c>
      <c r="E23" s="82">
        <v>10110</v>
      </c>
      <c r="F23" s="82">
        <v>449</v>
      </c>
      <c r="G23" s="82">
        <v>101</v>
      </c>
      <c r="H23" s="83">
        <v>10.381038251464425</v>
      </c>
      <c r="I23" s="83">
        <v>1671.1349708222278</v>
      </c>
      <c r="J23" s="83">
        <v>18.309885474004385</v>
      </c>
    </row>
    <row r="24" spans="1:10" ht="16">
      <c r="A24" s="79" t="s">
        <v>616</v>
      </c>
      <c r="B24" s="79" t="s">
        <v>617</v>
      </c>
      <c r="C24" s="80" t="s">
        <v>95</v>
      </c>
      <c r="D24" s="81" t="s">
        <v>76</v>
      </c>
      <c r="E24" s="82">
        <v>13447</v>
      </c>
      <c r="F24" s="82">
        <v>372</v>
      </c>
      <c r="G24" s="82">
        <v>807</v>
      </c>
      <c r="H24" s="83">
        <v>19.477932237748917</v>
      </c>
      <c r="I24" s="83">
        <v>12516.936901181891</v>
      </c>
      <c r="J24" s="83">
        <v>15.548608172127967</v>
      </c>
    </row>
    <row r="25" spans="1:10" ht="16">
      <c r="A25" s="79" t="s">
        <v>1306</v>
      </c>
      <c r="B25" s="79" t="s">
        <v>1307</v>
      </c>
      <c r="C25" s="80" t="s">
        <v>95</v>
      </c>
      <c r="D25" s="81" t="s">
        <v>96</v>
      </c>
      <c r="E25" s="82">
        <v>11750</v>
      </c>
      <c r="F25" s="82">
        <v>1068</v>
      </c>
      <c r="G25" s="82">
        <v>1410</v>
      </c>
      <c r="H25" s="83">
        <v>19.730335066731808</v>
      </c>
      <c r="I25" s="83">
        <v>12836.22746576154</v>
      </c>
      <c r="J25" s="83">
        <v>41.678209182739337</v>
      </c>
    </row>
    <row r="26" spans="1:10" ht="16">
      <c r="A26" s="79" t="s">
        <v>366</v>
      </c>
      <c r="B26" s="79" t="s">
        <v>363</v>
      </c>
      <c r="C26" s="80" t="s">
        <v>95</v>
      </c>
      <c r="D26" s="81" t="s">
        <v>77</v>
      </c>
      <c r="E26" s="82">
        <v>5936</v>
      </c>
      <c r="F26" s="82">
        <v>433</v>
      </c>
      <c r="G26" s="82">
        <v>297</v>
      </c>
      <c r="H26" s="83">
        <v>25.642056511895504</v>
      </c>
      <c r="I26" s="83">
        <v>5089.3414407167065</v>
      </c>
      <c r="J26" s="83">
        <v>27.287949900939132</v>
      </c>
    </row>
    <row r="27" spans="1:10" ht="16">
      <c r="A27" s="79" t="s">
        <v>788</v>
      </c>
      <c r="B27" s="79" t="s">
        <v>789</v>
      </c>
      <c r="C27" s="80" t="s">
        <v>95</v>
      </c>
      <c r="D27" s="81" t="s">
        <v>99</v>
      </c>
      <c r="E27" s="82">
        <v>8401</v>
      </c>
      <c r="F27" s="82">
        <v>988</v>
      </c>
      <c r="G27" s="82">
        <v>1764</v>
      </c>
      <c r="H27" s="83">
        <v>15.644540531201635</v>
      </c>
      <c r="I27" s="83">
        <v>11544.266957448648</v>
      </c>
      <c r="J27" s="83">
        <v>29.684141968498544</v>
      </c>
    </row>
    <row r="28" spans="1:10" ht="16">
      <c r="A28" s="79" t="s">
        <v>1203</v>
      </c>
      <c r="B28" s="79" t="s">
        <v>1204</v>
      </c>
      <c r="C28" s="80" t="s">
        <v>126</v>
      </c>
      <c r="D28" s="81" t="s">
        <v>103</v>
      </c>
      <c r="E28" s="82">
        <v>5652</v>
      </c>
      <c r="F28" s="82">
        <v>404</v>
      </c>
      <c r="G28" s="82">
        <v>4691</v>
      </c>
      <c r="H28" s="83">
        <v>15.245941784598735</v>
      </c>
      <c r="I28" s="83">
        <v>3407.80629977546</v>
      </c>
      <c r="J28" s="83">
        <v>20.115028466029084</v>
      </c>
    </row>
    <row r="29" spans="1:10" ht="16">
      <c r="A29" s="79" t="s">
        <v>557</v>
      </c>
      <c r="B29" s="79" t="s">
        <v>556</v>
      </c>
      <c r="C29" s="80" t="s">
        <v>126</v>
      </c>
      <c r="D29" s="81" t="s">
        <v>96</v>
      </c>
      <c r="E29" s="82">
        <v>11580</v>
      </c>
      <c r="F29" s="82">
        <v>536</v>
      </c>
      <c r="G29" s="82">
        <v>232</v>
      </c>
      <c r="H29" s="83">
        <v>32.230796133282702</v>
      </c>
      <c r="I29" s="83">
        <v>13740.824307427292</v>
      </c>
      <c r="J29" s="83">
        <v>35.115097080798215</v>
      </c>
    </row>
    <row r="30" spans="1:10" ht="16">
      <c r="A30" s="79" t="s">
        <v>495</v>
      </c>
      <c r="B30" s="79" t="s">
        <v>493</v>
      </c>
      <c r="C30" s="80" t="s">
        <v>126</v>
      </c>
      <c r="D30" s="81" t="s">
        <v>103</v>
      </c>
      <c r="E30" s="82">
        <v>29623</v>
      </c>
      <c r="F30" s="82">
        <v>1975</v>
      </c>
      <c r="G30" s="82">
        <v>1185</v>
      </c>
      <c r="H30" s="83">
        <v>9.6634670377816594</v>
      </c>
      <c r="I30" s="83">
        <v>1764.9757722435886</v>
      </c>
      <c r="J30" s="83">
        <v>16.576552970861211</v>
      </c>
    </row>
    <row r="31" spans="1:10" ht="16">
      <c r="A31" s="79" t="s">
        <v>496</v>
      </c>
      <c r="B31" s="79" t="s">
        <v>493</v>
      </c>
      <c r="C31" s="80" t="s">
        <v>126</v>
      </c>
      <c r="D31" s="81" t="s">
        <v>103</v>
      </c>
      <c r="E31" s="82">
        <v>14689</v>
      </c>
      <c r="F31" s="82">
        <v>1234</v>
      </c>
      <c r="G31" s="82">
        <v>1763</v>
      </c>
      <c r="H31" s="83">
        <v>17.41426690406049</v>
      </c>
      <c r="I31" s="83">
        <v>8136.4045685906576</v>
      </c>
      <c r="J31" s="83">
        <v>27.020891665825612</v>
      </c>
    </row>
    <row r="32" spans="1:10" ht="16">
      <c r="A32" s="79" t="s">
        <v>1163</v>
      </c>
      <c r="B32" s="79" t="s">
        <v>1161</v>
      </c>
      <c r="C32" s="80" t="s">
        <v>126</v>
      </c>
      <c r="D32" s="81" t="s">
        <v>75</v>
      </c>
      <c r="E32" s="82">
        <v>830104</v>
      </c>
      <c r="F32" s="82">
        <v>1682</v>
      </c>
      <c r="G32" s="82">
        <v>8301</v>
      </c>
      <c r="H32" s="83">
        <v>24.376594208909836</v>
      </c>
      <c r="I32" s="83">
        <v>3979.1491538359232</v>
      </c>
      <c r="J32" s="83">
        <v>13.85819272394693</v>
      </c>
    </row>
    <row r="33" spans="1:10" ht="16">
      <c r="A33" s="79" t="s">
        <v>497</v>
      </c>
      <c r="B33" s="79" t="s">
        <v>493</v>
      </c>
      <c r="C33" s="80" t="s">
        <v>95</v>
      </c>
      <c r="D33" s="81" t="s">
        <v>149</v>
      </c>
      <c r="E33" s="82">
        <v>9785</v>
      </c>
      <c r="F33" s="82">
        <v>589</v>
      </c>
      <c r="G33" s="82">
        <v>196</v>
      </c>
      <c r="H33" s="83">
        <v>11.792610875318742</v>
      </c>
      <c r="I33" s="83">
        <v>870.44122768859086</v>
      </c>
      <c r="J33" s="83">
        <v>38.182102789863485</v>
      </c>
    </row>
    <row r="34" spans="1:10" ht="16">
      <c r="A34" s="79" t="s">
        <v>1210</v>
      </c>
      <c r="B34" s="79" t="s">
        <v>1209</v>
      </c>
      <c r="C34" s="80" t="s">
        <v>95</v>
      </c>
      <c r="D34" s="81" t="s">
        <v>96</v>
      </c>
      <c r="E34" s="82">
        <v>18022</v>
      </c>
      <c r="F34" s="82">
        <v>780</v>
      </c>
      <c r="G34" s="82">
        <v>5407</v>
      </c>
      <c r="H34" s="83">
        <v>15.378286242824062</v>
      </c>
      <c r="I34" s="83">
        <v>14431.83958880612</v>
      </c>
      <c r="J34" s="83">
        <v>18.332188404383547</v>
      </c>
    </row>
    <row r="35" spans="1:10" ht="16">
      <c r="A35" s="79" t="s">
        <v>1164</v>
      </c>
      <c r="B35" s="79" t="s">
        <v>1161</v>
      </c>
      <c r="C35" s="80" t="s">
        <v>126</v>
      </c>
      <c r="D35" s="81" t="s">
        <v>79</v>
      </c>
      <c r="E35" s="82">
        <v>69737</v>
      </c>
      <c r="F35" s="82">
        <v>3651</v>
      </c>
      <c r="G35" s="82">
        <v>2789</v>
      </c>
      <c r="H35" s="83">
        <v>10.508891981116866</v>
      </c>
      <c r="I35" s="83">
        <v>1391.9348423756621</v>
      </c>
      <c r="J35" s="83">
        <v>20.162679747068495</v>
      </c>
    </row>
    <row r="36" spans="1:10" ht="16">
      <c r="A36" s="79" t="s">
        <v>498</v>
      </c>
      <c r="B36" s="79" t="s">
        <v>493</v>
      </c>
      <c r="C36" s="80" t="s">
        <v>126</v>
      </c>
      <c r="D36" s="81" t="s">
        <v>78</v>
      </c>
      <c r="E36" s="82">
        <v>14428</v>
      </c>
      <c r="F36" s="82">
        <v>925</v>
      </c>
      <c r="G36" s="82">
        <v>144</v>
      </c>
      <c r="H36" s="83">
        <v>14.162153009836025</v>
      </c>
      <c r="I36" s="83">
        <v>2625.0378926583662</v>
      </c>
      <c r="J36" s="83">
        <v>22.648723407977361</v>
      </c>
    </row>
    <row r="37" spans="1:10" ht="16">
      <c r="A37" s="79" t="s">
        <v>499</v>
      </c>
      <c r="B37" s="79" t="s">
        <v>493</v>
      </c>
      <c r="C37" s="80" t="s">
        <v>126</v>
      </c>
      <c r="D37" s="81" t="s">
        <v>103</v>
      </c>
      <c r="E37" s="82">
        <v>23098</v>
      </c>
      <c r="F37" s="82">
        <v>1638</v>
      </c>
      <c r="G37" s="82">
        <v>462</v>
      </c>
      <c r="H37" s="83">
        <v>9.2248392107022319</v>
      </c>
      <c r="I37" s="83">
        <v>1611.3667231177521</v>
      </c>
      <c r="J37" s="83">
        <v>29.808349583019197</v>
      </c>
    </row>
    <row r="38" spans="1:10" ht="16">
      <c r="A38" s="79" t="s">
        <v>663</v>
      </c>
      <c r="B38" s="79" t="s">
        <v>661</v>
      </c>
      <c r="C38" s="80" t="s">
        <v>126</v>
      </c>
      <c r="D38" s="81" t="s">
        <v>99</v>
      </c>
      <c r="E38" s="82">
        <v>19143</v>
      </c>
      <c r="F38" s="82">
        <v>1679</v>
      </c>
      <c r="G38" s="82">
        <v>574</v>
      </c>
      <c r="H38" s="83">
        <v>8.3042052506250048</v>
      </c>
      <c r="I38" s="83">
        <v>1659.1474520799998</v>
      </c>
      <c r="J38" s="83">
        <v>16.726770622795929</v>
      </c>
    </row>
    <row r="39" spans="1:10" ht="16">
      <c r="A39" s="79" t="s">
        <v>466</v>
      </c>
      <c r="B39" s="79" t="s">
        <v>467</v>
      </c>
      <c r="C39" s="80" t="s">
        <v>95</v>
      </c>
      <c r="D39" s="81" t="s">
        <v>77</v>
      </c>
      <c r="E39" s="82">
        <v>46505</v>
      </c>
      <c r="F39" s="82">
        <v>1735</v>
      </c>
      <c r="G39" s="82">
        <v>2325</v>
      </c>
      <c r="H39" s="83">
        <v>17.078226491206454</v>
      </c>
      <c r="I39" s="83">
        <v>10856.286039258977</v>
      </c>
      <c r="J39" s="83">
        <v>19.939214483265651</v>
      </c>
    </row>
    <row r="40" spans="1:10" ht="16">
      <c r="A40" s="79" t="s">
        <v>1308</v>
      </c>
      <c r="B40" s="79" t="s">
        <v>1307</v>
      </c>
      <c r="C40" s="80" t="s">
        <v>126</v>
      </c>
      <c r="D40" s="81" t="s">
        <v>78</v>
      </c>
      <c r="E40" s="82">
        <v>46683</v>
      </c>
      <c r="F40" s="82">
        <v>2212</v>
      </c>
      <c r="G40" s="82">
        <v>9803</v>
      </c>
      <c r="H40" s="83">
        <v>51.41578460434517</v>
      </c>
      <c r="I40" s="83">
        <v>41424.674573799173</v>
      </c>
      <c r="J40" s="83">
        <v>39.838040546439743</v>
      </c>
    </row>
    <row r="41" spans="1:10" ht="16">
      <c r="A41" s="79" t="s">
        <v>1099</v>
      </c>
      <c r="B41" s="79" t="s">
        <v>1100</v>
      </c>
      <c r="C41" s="80" t="s">
        <v>95</v>
      </c>
      <c r="D41" s="81" t="s">
        <v>96</v>
      </c>
      <c r="E41" s="82">
        <v>11779</v>
      </c>
      <c r="F41" s="82">
        <v>395</v>
      </c>
      <c r="G41" s="82">
        <v>589</v>
      </c>
      <c r="H41" s="83">
        <v>33.897413673502435</v>
      </c>
      <c r="I41" s="83">
        <v>7758.5875944203281</v>
      </c>
      <c r="J41" s="83">
        <v>17.518400599713342</v>
      </c>
    </row>
    <row r="42" spans="1:10" ht="16">
      <c r="A42" s="79" t="s">
        <v>367</v>
      </c>
      <c r="B42" s="79" t="s">
        <v>363</v>
      </c>
      <c r="C42" s="80" t="s">
        <v>126</v>
      </c>
      <c r="D42" s="81" t="s">
        <v>111</v>
      </c>
      <c r="E42" s="82">
        <v>87471</v>
      </c>
      <c r="F42" s="82">
        <v>4440</v>
      </c>
      <c r="G42" s="82">
        <v>875</v>
      </c>
      <c r="H42" s="83">
        <v>9.2972834951258641</v>
      </c>
      <c r="I42" s="83">
        <v>2337.7658215692395</v>
      </c>
      <c r="J42" s="83">
        <v>15.425503931169175</v>
      </c>
    </row>
    <row r="43" spans="1:10" ht="16">
      <c r="A43" s="79" t="s">
        <v>1211</v>
      </c>
      <c r="B43" s="79" t="s">
        <v>1209</v>
      </c>
      <c r="C43" s="80" t="s">
        <v>126</v>
      </c>
      <c r="D43" s="81" t="s">
        <v>103</v>
      </c>
      <c r="E43" s="82">
        <v>11113</v>
      </c>
      <c r="F43" s="82">
        <v>527</v>
      </c>
      <c r="G43" s="82">
        <v>2889</v>
      </c>
      <c r="H43" s="83">
        <v>24.227899702824764</v>
      </c>
      <c r="I43" s="83">
        <v>13336.527021688209</v>
      </c>
      <c r="J43" s="83">
        <v>21.431738072698415</v>
      </c>
    </row>
    <row r="44" spans="1:10" ht="16">
      <c r="A44" s="79" t="s">
        <v>368</v>
      </c>
      <c r="B44" s="79" t="s">
        <v>363</v>
      </c>
      <c r="C44" s="80" t="s">
        <v>95</v>
      </c>
      <c r="D44" s="81" t="s">
        <v>79</v>
      </c>
      <c r="E44" s="82">
        <v>22393</v>
      </c>
      <c r="F44" s="82">
        <v>549</v>
      </c>
      <c r="G44" s="82">
        <v>501</v>
      </c>
      <c r="H44" s="83">
        <v>9.2218799723243272</v>
      </c>
      <c r="I44" s="83">
        <v>8776.648244623304</v>
      </c>
      <c r="J44" s="83">
        <v>12.427801721254337</v>
      </c>
    </row>
    <row r="45" spans="1:10" ht="16">
      <c r="A45" s="79" t="s">
        <v>468</v>
      </c>
      <c r="B45" s="79" t="s">
        <v>467</v>
      </c>
      <c r="C45" s="80" t="s">
        <v>126</v>
      </c>
      <c r="D45" s="81" t="s">
        <v>79</v>
      </c>
      <c r="E45" s="82">
        <v>9678</v>
      </c>
      <c r="F45" s="82">
        <v>218</v>
      </c>
      <c r="G45" s="82">
        <v>484</v>
      </c>
      <c r="H45" s="83">
        <v>21.910598418439573</v>
      </c>
      <c r="I45" s="83">
        <v>8367.6052706453847</v>
      </c>
      <c r="J45" s="83">
        <v>18.127805619726118</v>
      </c>
    </row>
    <row r="46" spans="1:10" ht="16">
      <c r="A46" s="79" t="s">
        <v>1165</v>
      </c>
      <c r="B46" s="79" t="s">
        <v>1161</v>
      </c>
      <c r="C46" s="80" t="s">
        <v>126</v>
      </c>
      <c r="D46" s="81" t="s">
        <v>149</v>
      </c>
      <c r="E46" s="82">
        <v>9862</v>
      </c>
      <c r="F46" s="82">
        <v>587</v>
      </c>
      <c r="G46" s="82">
        <v>592</v>
      </c>
      <c r="H46" s="83">
        <v>9.3706803237069636</v>
      </c>
      <c r="I46" s="83">
        <v>3470.7760955523759</v>
      </c>
      <c r="J46" s="83">
        <v>14.791754881818118</v>
      </c>
    </row>
    <row r="47" spans="1:10" ht="16">
      <c r="A47" s="79" t="s">
        <v>1309</v>
      </c>
      <c r="B47" s="79" t="s">
        <v>1307</v>
      </c>
      <c r="C47" s="80" t="s">
        <v>95</v>
      </c>
      <c r="D47" s="81" t="s">
        <v>99</v>
      </c>
      <c r="E47" s="82">
        <v>26641</v>
      </c>
      <c r="F47" s="82">
        <v>1417</v>
      </c>
      <c r="G47" s="82">
        <v>2398</v>
      </c>
      <c r="H47" s="83">
        <v>21.826303702723507</v>
      </c>
      <c r="I47" s="83">
        <v>9174.5405096560753</v>
      </c>
      <c r="J47" s="83">
        <v>32.892214269940709</v>
      </c>
    </row>
    <row r="48" spans="1:10" ht="16">
      <c r="A48" s="79" t="s">
        <v>852</v>
      </c>
      <c r="B48" s="79" t="s">
        <v>853</v>
      </c>
      <c r="C48" s="80" t="s">
        <v>95</v>
      </c>
      <c r="D48" s="81" t="s">
        <v>111</v>
      </c>
      <c r="E48" s="82">
        <v>18035</v>
      </c>
      <c r="F48" s="82">
        <v>1055</v>
      </c>
      <c r="G48" s="82">
        <v>8476</v>
      </c>
      <c r="H48" s="83">
        <v>19.323328257526789</v>
      </c>
      <c r="I48" s="83">
        <v>18053.676941434984</v>
      </c>
      <c r="J48" s="83">
        <v>20.446781948941481</v>
      </c>
    </row>
    <row r="49" spans="1:10" ht="16">
      <c r="A49" s="79" t="s">
        <v>230</v>
      </c>
      <c r="B49" s="79" t="s">
        <v>231</v>
      </c>
      <c r="C49" s="80" t="s">
        <v>126</v>
      </c>
      <c r="D49" s="81" t="s">
        <v>101</v>
      </c>
      <c r="E49" s="82">
        <v>15575</v>
      </c>
      <c r="F49" s="82">
        <v>880</v>
      </c>
      <c r="G49" s="82">
        <v>312</v>
      </c>
      <c r="H49" s="83">
        <v>12.583489990507317</v>
      </c>
      <c r="I49" s="83">
        <v>2792.7566882202582</v>
      </c>
      <c r="J49" s="83">
        <v>15.845849758369578</v>
      </c>
    </row>
    <row r="50" spans="1:10" ht="16">
      <c r="A50" s="79" t="s">
        <v>107</v>
      </c>
      <c r="B50" s="79" t="s">
        <v>108</v>
      </c>
      <c r="C50" s="80" t="s">
        <v>95</v>
      </c>
      <c r="D50" s="81" t="s">
        <v>75</v>
      </c>
      <c r="E50" s="82">
        <v>23886</v>
      </c>
      <c r="F50" s="82">
        <v>549</v>
      </c>
      <c r="G50" s="82">
        <v>2866</v>
      </c>
      <c r="H50" s="83">
        <v>27.79914950161767</v>
      </c>
      <c r="I50" s="83">
        <v>20231.82511083232</v>
      </c>
      <c r="J50" s="83">
        <v>20.740069734331239</v>
      </c>
    </row>
    <row r="51" spans="1:10" ht="16">
      <c r="A51" s="79" t="s">
        <v>109</v>
      </c>
      <c r="B51" s="79" t="s">
        <v>108</v>
      </c>
      <c r="C51" s="80" t="s">
        <v>95</v>
      </c>
      <c r="D51" s="81" t="s">
        <v>99</v>
      </c>
      <c r="E51" s="82">
        <v>17359</v>
      </c>
      <c r="F51" s="82">
        <v>975</v>
      </c>
      <c r="G51" s="82">
        <v>7638</v>
      </c>
      <c r="H51" s="83">
        <v>70.494018567251103</v>
      </c>
      <c r="I51" s="83">
        <v>61684.663338888524</v>
      </c>
      <c r="J51" s="83">
        <v>55.239063867719651</v>
      </c>
    </row>
    <row r="52" spans="1:10" ht="16">
      <c r="A52" s="79" t="s">
        <v>816</v>
      </c>
      <c r="B52" s="79" t="s">
        <v>817</v>
      </c>
      <c r="C52" s="80" t="s">
        <v>95</v>
      </c>
      <c r="D52" s="81" t="s">
        <v>149</v>
      </c>
      <c r="E52" s="82">
        <v>59507</v>
      </c>
      <c r="F52" s="82">
        <v>3362</v>
      </c>
      <c r="G52" s="82">
        <v>1190</v>
      </c>
      <c r="H52" s="83">
        <v>8.9207244638252874</v>
      </c>
      <c r="I52" s="83">
        <v>683.78421648080405</v>
      </c>
      <c r="J52" s="83">
        <v>13.860915316362675</v>
      </c>
    </row>
    <row r="53" spans="1:10" ht="16">
      <c r="A53" s="79" t="s">
        <v>1038</v>
      </c>
      <c r="B53" s="79" t="s">
        <v>1039</v>
      </c>
      <c r="C53" s="80" t="s">
        <v>95</v>
      </c>
      <c r="D53" s="81" t="s">
        <v>111</v>
      </c>
      <c r="E53" s="82">
        <v>31877</v>
      </c>
      <c r="F53" s="82">
        <v>2530</v>
      </c>
      <c r="G53" s="82">
        <v>5100</v>
      </c>
      <c r="H53" s="83">
        <v>36.258634894938197</v>
      </c>
      <c r="I53" s="83">
        <v>33625.796964624547</v>
      </c>
      <c r="J53" s="83">
        <v>41.29822224449196</v>
      </c>
    </row>
    <row r="54" spans="1:10" ht="16">
      <c r="A54" s="79" t="s">
        <v>818</v>
      </c>
      <c r="B54" s="79" t="s">
        <v>817</v>
      </c>
      <c r="C54" s="80" t="s">
        <v>95</v>
      </c>
      <c r="D54" s="81" t="s">
        <v>96</v>
      </c>
      <c r="E54" s="82">
        <v>34995</v>
      </c>
      <c r="F54" s="82">
        <v>1923</v>
      </c>
      <c r="G54" s="82">
        <v>350</v>
      </c>
      <c r="H54" s="83">
        <v>8.4826426239466457</v>
      </c>
      <c r="I54" s="83">
        <v>692.07347702106972</v>
      </c>
      <c r="J54" s="83">
        <v>15.265618900314049</v>
      </c>
    </row>
    <row r="55" spans="1:10" ht="16">
      <c r="A55" s="79" t="s">
        <v>1040</v>
      </c>
      <c r="B55" s="79" t="s">
        <v>1039</v>
      </c>
      <c r="C55" s="80" t="s">
        <v>95</v>
      </c>
      <c r="D55" s="81" t="s">
        <v>79</v>
      </c>
      <c r="E55" s="82">
        <v>29576</v>
      </c>
      <c r="F55" s="82">
        <v>2207</v>
      </c>
      <c r="G55" s="82">
        <v>4141</v>
      </c>
      <c r="H55" s="83">
        <v>29.030894704950406</v>
      </c>
      <c r="I55" s="83">
        <v>21435.508809824951</v>
      </c>
      <c r="J55" s="83">
        <v>41.064234175097674</v>
      </c>
    </row>
    <row r="56" spans="1:10" ht="16">
      <c r="A56" s="79" t="s">
        <v>819</v>
      </c>
      <c r="B56" s="79" t="s">
        <v>817</v>
      </c>
      <c r="C56" s="80" t="s">
        <v>95</v>
      </c>
      <c r="D56" s="81" t="s">
        <v>79</v>
      </c>
      <c r="E56" s="82">
        <v>69982</v>
      </c>
      <c r="F56" s="82">
        <v>2108</v>
      </c>
      <c r="G56" s="82">
        <v>700</v>
      </c>
      <c r="H56" s="83">
        <v>7.9818491259561819</v>
      </c>
      <c r="I56" s="83">
        <v>968.61449932712799</v>
      </c>
      <c r="J56" s="83">
        <v>16.75445596643986</v>
      </c>
    </row>
    <row r="57" spans="1:10" ht="16">
      <c r="A57" s="79" t="s">
        <v>820</v>
      </c>
      <c r="B57" s="79" t="s">
        <v>817</v>
      </c>
      <c r="C57" s="80" t="s">
        <v>95</v>
      </c>
      <c r="D57" s="81" t="s">
        <v>99</v>
      </c>
      <c r="E57" s="82">
        <v>32012</v>
      </c>
      <c r="F57" s="82">
        <v>3370</v>
      </c>
      <c r="G57" s="82">
        <v>320</v>
      </c>
      <c r="H57" s="83">
        <v>7.4131471818615289</v>
      </c>
      <c r="I57" s="83">
        <v>888.35046688393368</v>
      </c>
      <c r="J57" s="83">
        <v>18.016293319443918</v>
      </c>
    </row>
    <row r="58" spans="1:10" ht="16">
      <c r="A58" s="79" t="s">
        <v>821</v>
      </c>
      <c r="B58" s="79" t="s">
        <v>817</v>
      </c>
      <c r="C58" s="80" t="s">
        <v>95</v>
      </c>
      <c r="D58" s="81" t="s">
        <v>79</v>
      </c>
      <c r="E58" s="82">
        <v>72792</v>
      </c>
      <c r="F58" s="82">
        <v>3386</v>
      </c>
      <c r="G58" s="82">
        <v>5065</v>
      </c>
      <c r="H58" s="83">
        <v>8.7930097418473476</v>
      </c>
      <c r="I58" s="83">
        <v>1141.9223410098309</v>
      </c>
      <c r="J58" s="83">
        <v>13.473488594967717</v>
      </c>
    </row>
    <row r="59" spans="1:10" ht="16">
      <c r="A59" s="79" t="s">
        <v>822</v>
      </c>
      <c r="B59" s="79" t="s">
        <v>817</v>
      </c>
      <c r="C59" s="80" t="s">
        <v>95</v>
      </c>
      <c r="D59" s="81" t="s">
        <v>149</v>
      </c>
      <c r="E59" s="82">
        <v>57588</v>
      </c>
      <c r="F59" s="82">
        <v>2594</v>
      </c>
      <c r="G59" s="82">
        <v>576</v>
      </c>
      <c r="H59" s="83">
        <v>10.087588930304474</v>
      </c>
      <c r="I59" s="83">
        <v>636.75634135406619</v>
      </c>
      <c r="J59" s="83">
        <v>15.264611159456912</v>
      </c>
    </row>
    <row r="60" spans="1:10" ht="16">
      <c r="A60" s="79" t="s">
        <v>558</v>
      </c>
      <c r="B60" s="79" t="s">
        <v>556</v>
      </c>
      <c r="C60" s="80" t="s">
        <v>95</v>
      </c>
      <c r="D60" s="81" t="s">
        <v>99</v>
      </c>
      <c r="E60" s="82">
        <v>6329</v>
      </c>
      <c r="F60" s="82">
        <v>265</v>
      </c>
      <c r="G60" s="82">
        <v>291</v>
      </c>
      <c r="H60" s="83">
        <v>12.896167591328826</v>
      </c>
      <c r="I60" s="83">
        <v>2992.6456919884104</v>
      </c>
      <c r="J60" s="83">
        <v>19.035937591214594</v>
      </c>
    </row>
    <row r="61" spans="1:10" ht="16">
      <c r="A61" s="79" t="s">
        <v>929</v>
      </c>
      <c r="B61" s="79" t="s">
        <v>928</v>
      </c>
      <c r="C61" s="80" t="s">
        <v>95</v>
      </c>
      <c r="D61" s="81" t="s">
        <v>75</v>
      </c>
      <c r="E61" s="82">
        <v>37168</v>
      </c>
      <c r="F61" s="82">
        <v>1511</v>
      </c>
      <c r="G61" s="82">
        <v>1487</v>
      </c>
      <c r="H61" s="83">
        <v>14.985704433298741</v>
      </c>
      <c r="I61" s="83">
        <v>5208.7325733942398</v>
      </c>
      <c r="J61" s="83">
        <v>17.428053869344769</v>
      </c>
    </row>
    <row r="62" spans="1:10" ht="16">
      <c r="A62" s="79" t="s">
        <v>559</v>
      </c>
      <c r="B62" s="79" t="s">
        <v>556</v>
      </c>
      <c r="C62" s="80" t="s">
        <v>126</v>
      </c>
      <c r="D62" s="81" t="s">
        <v>75</v>
      </c>
      <c r="E62" s="82">
        <v>5744</v>
      </c>
      <c r="F62" s="82">
        <v>194</v>
      </c>
      <c r="G62" s="82">
        <v>400</v>
      </c>
      <c r="H62" s="83">
        <v>21.298936493125108</v>
      </c>
      <c r="I62" s="83">
        <v>21203.218499345741</v>
      </c>
      <c r="J62" s="83">
        <v>15.831487521430647</v>
      </c>
    </row>
    <row r="63" spans="1:10" ht="16">
      <c r="A63" s="79" t="s">
        <v>876</v>
      </c>
      <c r="B63" s="79" t="s">
        <v>877</v>
      </c>
      <c r="C63" s="80" t="s">
        <v>126</v>
      </c>
      <c r="D63" s="81" t="s">
        <v>96</v>
      </c>
      <c r="E63" s="82">
        <v>28135</v>
      </c>
      <c r="F63" s="82">
        <v>816</v>
      </c>
      <c r="G63" s="82">
        <v>1958</v>
      </c>
      <c r="H63" s="83">
        <v>9.4622197141831439</v>
      </c>
      <c r="I63" s="83">
        <v>1791.6967765776292</v>
      </c>
      <c r="J63" s="83">
        <v>14.254557338099927</v>
      </c>
    </row>
    <row r="64" spans="1:10" ht="16">
      <c r="A64" s="79" t="s">
        <v>1166</v>
      </c>
      <c r="B64" s="79" t="s">
        <v>1161</v>
      </c>
      <c r="C64" s="80" t="s">
        <v>126</v>
      </c>
      <c r="D64" s="81" t="s">
        <v>77</v>
      </c>
      <c r="E64" s="82">
        <v>16458</v>
      </c>
      <c r="F64" s="82">
        <v>430</v>
      </c>
      <c r="G64" s="82">
        <v>1975</v>
      </c>
      <c r="H64" s="83">
        <v>15.691517796579129</v>
      </c>
      <c r="I64" s="83">
        <v>2185.1450985362067</v>
      </c>
      <c r="J64" s="83">
        <v>19.105425220970165</v>
      </c>
    </row>
    <row r="65" spans="1:10" ht="16">
      <c r="A65" s="79" t="s">
        <v>500</v>
      </c>
      <c r="B65" s="79" t="s">
        <v>493</v>
      </c>
      <c r="C65" s="80" t="s">
        <v>126</v>
      </c>
      <c r="D65" s="81" t="s">
        <v>103</v>
      </c>
      <c r="E65" s="82">
        <v>14953</v>
      </c>
      <c r="F65" s="82">
        <v>1323</v>
      </c>
      <c r="G65" s="82">
        <v>449</v>
      </c>
      <c r="H65" s="83">
        <v>17.103190197921801</v>
      </c>
      <c r="I65" s="83">
        <v>7671.6220941077463</v>
      </c>
      <c r="J65" s="83">
        <v>30.991101817169291</v>
      </c>
    </row>
    <row r="66" spans="1:10" ht="16">
      <c r="A66" s="79" t="s">
        <v>501</v>
      </c>
      <c r="B66" s="79" t="s">
        <v>493</v>
      </c>
      <c r="C66" s="80" t="s">
        <v>95</v>
      </c>
      <c r="D66" s="81" t="s">
        <v>96</v>
      </c>
      <c r="E66" s="82">
        <v>10355</v>
      </c>
      <c r="F66" s="82">
        <v>542</v>
      </c>
      <c r="G66" s="82">
        <v>414</v>
      </c>
      <c r="H66" s="83">
        <v>10.886278935722355</v>
      </c>
      <c r="I66" s="83">
        <v>1110.3206544785028</v>
      </c>
      <c r="J66" s="83">
        <v>33.008303391955948</v>
      </c>
    </row>
    <row r="67" spans="1:10" ht="16">
      <c r="A67" s="79" t="s">
        <v>548</v>
      </c>
      <c r="B67" s="79" t="s">
        <v>549</v>
      </c>
      <c r="C67" s="80" t="s">
        <v>126</v>
      </c>
      <c r="D67" s="81" t="s">
        <v>75</v>
      </c>
      <c r="E67" s="82">
        <v>17382</v>
      </c>
      <c r="F67" s="82">
        <v>1655</v>
      </c>
      <c r="G67" s="82">
        <v>348</v>
      </c>
      <c r="H67" s="83">
        <v>16.748337653480164</v>
      </c>
      <c r="I67" s="83">
        <v>2731.6759633065139</v>
      </c>
      <c r="J67" s="83">
        <v>22.679208496516353</v>
      </c>
    </row>
    <row r="68" spans="1:10" ht="16">
      <c r="A68" s="79" t="s">
        <v>1212</v>
      </c>
      <c r="B68" s="79" t="s">
        <v>1209</v>
      </c>
      <c r="C68" s="80" t="s">
        <v>95</v>
      </c>
      <c r="D68" s="81" t="s">
        <v>75</v>
      </c>
      <c r="E68" s="82">
        <v>9590</v>
      </c>
      <c r="F68" s="82">
        <v>588</v>
      </c>
      <c r="G68" s="82">
        <v>2206</v>
      </c>
      <c r="H68" s="83">
        <v>21.428680563573337</v>
      </c>
      <c r="I68" s="83">
        <v>13766.198184320259</v>
      </c>
      <c r="J68" s="83">
        <v>23.280861218267638</v>
      </c>
    </row>
    <row r="69" spans="1:10" ht="16">
      <c r="A69" s="79" t="s">
        <v>609</v>
      </c>
      <c r="B69" s="79" t="s">
        <v>610</v>
      </c>
      <c r="C69" s="80" t="s">
        <v>95</v>
      </c>
      <c r="D69" s="81" t="s">
        <v>78</v>
      </c>
      <c r="E69" s="82">
        <v>16723</v>
      </c>
      <c r="F69" s="82">
        <v>956</v>
      </c>
      <c r="G69" s="82">
        <v>836</v>
      </c>
      <c r="H69" s="83">
        <v>36.680922507637995</v>
      </c>
      <c r="I69" s="83">
        <v>16176.891463725617</v>
      </c>
      <c r="J69" s="83">
        <v>30.006725548737613</v>
      </c>
    </row>
    <row r="70" spans="1:10" ht="16">
      <c r="A70" s="79" t="s">
        <v>937</v>
      </c>
      <c r="B70" s="79" t="s">
        <v>938</v>
      </c>
      <c r="C70" s="80" t="s">
        <v>95</v>
      </c>
      <c r="D70" s="81" t="s">
        <v>149</v>
      </c>
      <c r="E70" s="82">
        <v>15236</v>
      </c>
      <c r="F70" s="82">
        <v>1373</v>
      </c>
      <c r="G70" s="82">
        <v>457</v>
      </c>
      <c r="H70" s="83">
        <v>8.4679848980298793</v>
      </c>
      <c r="I70" s="83">
        <v>365.41608845477055</v>
      </c>
      <c r="J70" s="83">
        <v>17.111434290276826</v>
      </c>
    </row>
    <row r="71" spans="1:10" ht="16">
      <c r="A71" s="79" t="s">
        <v>1167</v>
      </c>
      <c r="B71" s="79" t="s">
        <v>1161</v>
      </c>
      <c r="C71" s="80" t="s">
        <v>95</v>
      </c>
      <c r="D71" s="81" t="s">
        <v>99</v>
      </c>
      <c r="E71" s="82">
        <v>12516</v>
      </c>
      <c r="F71" s="82">
        <v>1138</v>
      </c>
      <c r="G71" s="82">
        <v>1188</v>
      </c>
      <c r="H71" s="83">
        <v>11.18353846815927</v>
      </c>
      <c r="I71" s="83">
        <v>524.50099255789951</v>
      </c>
      <c r="J71" s="83">
        <v>21.721176325721185</v>
      </c>
    </row>
    <row r="72" spans="1:10" ht="16">
      <c r="A72" s="79" t="s">
        <v>939</v>
      </c>
      <c r="B72" s="79" t="s">
        <v>938</v>
      </c>
      <c r="C72" s="80" t="s">
        <v>126</v>
      </c>
      <c r="D72" s="81" t="s">
        <v>103</v>
      </c>
      <c r="E72" s="82">
        <v>19785</v>
      </c>
      <c r="F72" s="82">
        <v>4122</v>
      </c>
      <c r="G72" s="82">
        <v>1583</v>
      </c>
      <c r="H72" s="83">
        <v>17.436860201172298</v>
      </c>
      <c r="I72" s="83">
        <v>2929.611449141591</v>
      </c>
      <c r="J72" s="83">
        <v>34.309397208418915</v>
      </c>
    </row>
    <row r="73" spans="1:10" ht="16">
      <c r="A73" s="79" t="s">
        <v>1310</v>
      </c>
      <c r="B73" s="79" t="s">
        <v>1307</v>
      </c>
      <c r="C73" s="80" t="s">
        <v>95</v>
      </c>
      <c r="D73" s="81" t="s">
        <v>96</v>
      </c>
      <c r="E73" s="82">
        <v>17078</v>
      </c>
      <c r="F73" s="82">
        <v>1054</v>
      </c>
      <c r="G73" s="82">
        <v>1025</v>
      </c>
      <c r="H73" s="83">
        <v>18.808867233041127</v>
      </c>
      <c r="I73" s="83">
        <v>9831.6118083544025</v>
      </c>
      <c r="J73" s="83">
        <v>33.026225370955231</v>
      </c>
    </row>
    <row r="74" spans="1:10" ht="16">
      <c r="A74" s="79" t="s">
        <v>241</v>
      </c>
      <c r="B74" s="79" t="s">
        <v>242</v>
      </c>
      <c r="C74" s="80" t="s">
        <v>126</v>
      </c>
      <c r="D74" s="81" t="s">
        <v>149</v>
      </c>
      <c r="E74" s="82">
        <v>29952</v>
      </c>
      <c r="F74" s="82">
        <v>2186</v>
      </c>
      <c r="G74" s="82">
        <v>1797</v>
      </c>
      <c r="H74" s="83">
        <v>35.100764486566575</v>
      </c>
      <c r="I74" s="83">
        <v>13065.559992518542</v>
      </c>
      <c r="J74" s="83">
        <v>30.917481232749669</v>
      </c>
    </row>
    <row r="75" spans="1:10" ht="16">
      <c r="A75" s="79" t="s">
        <v>243</v>
      </c>
      <c r="B75" s="79" t="s">
        <v>242</v>
      </c>
      <c r="C75" s="80" t="s">
        <v>126</v>
      </c>
      <c r="D75" s="81" t="s">
        <v>99</v>
      </c>
      <c r="E75" s="82">
        <v>30608</v>
      </c>
      <c r="F75" s="82">
        <v>2301</v>
      </c>
      <c r="G75" s="82">
        <v>2449</v>
      </c>
      <c r="H75" s="83">
        <v>32.594134553024411</v>
      </c>
      <c r="I75" s="83">
        <v>10528.829091409547</v>
      </c>
      <c r="J75" s="83">
        <v>31.048191349872617</v>
      </c>
    </row>
    <row r="76" spans="1:10" ht="16">
      <c r="A76" s="79" t="s">
        <v>244</v>
      </c>
      <c r="B76" s="79" t="s">
        <v>242</v>
      </c>
      <c r="C76" s="80" t="s">
        <v>95</v>
      </c>
      <c r="D76" s="81" t="s">
        <v>78</v>
      </c>
      <c r="E76" s="82">
        <v>26457</v>
      </c>
      <c r="F76" s="82">
        <v>1890</v>
      </c>
      <c r="G76" s="82">
        <v>2117</v>
      </c>
      <c r="H76" s="83">
        <v>23.629618883392553</v>
      </c>
      <c r="I76" s="83">
        <v>4782.0608580751077</v>
      </c>
      <c r="J76" s="83">
        <v>24.127377649339916</v>
      </c>
    </row>
    <row r="77" spans="1:10" ht="16">
      <c r="A77" s="79" t="s">
        <v>245</v>
      </c>
      <c r="B77" s="79" t="s">
        <v>242</v>
      </c>
      <c r="C77" s="80" t="s">
        <v>95</v>
      </c>
      <c r="D77" s="81" t="s">
        <v>78</v>
      </c>
      <c r="E77" s="82">
        <v>23524</v>
      </c>
      <c r="F77" s="82">
        <v>1528</v>
      </c>
      <c r="G77" s="82">
        <v>2588</v>
      </c>
      <c r="H77" s="83">
        <v>39.915211366268309</v>
      </c>
      <c r="I77" s="83">
        <v>19278.062220324093</v>
      </c>
      <c r="J77" s="83">
        <v>46.670213161106936</v>
      </c>
    </row>
    <row r="78" spans="1:10" ht="16">
      <c r="A78" s="79" t="s">
        <v>160</v>
      </c>
      <c r="B78" s="79" t="s">
        <v>161</v>
      </c>
      <c r="C78" s="80" t="s">
        <v>95</v>
      </c>
      <c r="D78" s="81" t="s">
        <v>76</v>
      </c>
      <c r="E78" s="82">
        <v>27101</v>
      </c>
      <c r="F78" s="82">
        <v>3226</v>
      </c>
      <c r="G78" s="82">
        <v>2439</v>
      </c>
      <c r="H78" s="83">
        <v>10.588773881962592</v>
      </c>
      <c r="I78" s="83">
        <v>1300.4370744662428</v>
      </c>
      <c r="J78" s="83">
        <v>21.480268052605147</v>
      </c>
    </row>
    <row r="79" spans="1:10" ht="16">
      <c r="A79" s="79" t="s">
        <v>940</v>
      </c>
      <c r="B79" s="79" t="s">
        <v>938</v>
      </c>
      <c r="C79" s="80" t="s">
        <v>95</v>
      </c>
      <c r="D79" s="81" t="s">
        <v>77</v>
      </c>
      <c r="E79" s="82">
        <v>13175</v>
      </c>
      <c r="F79" s="82">
        <v>983</v>
      </c>
      <c r="G79" s="82">
        <v>2372</v>
      </c>
      <c r="H79" s="83">
        <v>10.543570579879677</v>
      </c>
      <c r="I79" s="83">
        <v>2039.4109982733312</v>
      </c>
      <c r="J79" s="83">
        <v>19.322381348760164</v>
      </c>
    </row>
    <row r="80" spans="1:10" ht="16">
      <c r="A80" s="79" t="s">
        <v>369</v>
      </c>
      <c r="B80" s="79" t="s">
        <v>363</v>
      </c>
      <c r="C80" s="80" t="s">
        <v>126</v>
      </c>
      <c r="D80" s="81" t="s">
        <v>79</v>
      </c>
      <c r="E80" s="82">
        <v>97843</v>
      </c>
      <c r="F80" s="82">
        <v>3208</v>
      </c>
      <c r="G80" s="82">
        <v>4892</v>
      </c>
      <c r="H80" s="83">
        <v>8.4184776860089414</v>
      </c>
      <c r="I80" s="83">
        <v>4097.5038275958641</v>
      </c>
      <c r="J80" s="83">
        <v>15.750443062602757</v>
      </c>
    </row>
    <row r="81" spans="1:10" ht="16">
      <c r="A81" s="79" t="s">
        <v>370</v>
      </c>
      <c r="B81" s="79" t="s">
        <v>363</v>
      </c>
      <c r="C81" s="80" t="s">
        <v>126</v>
      </c>
      <c r="D81" s="81" t="s">
        <v>101</v>
      </c>
      <c r="E81" s="82">
        <v>67981</v>
      </c>
      <c r="F81" s="82">
        <v>2687</v>
      </c>
      <c r="G81" s="82">
        <v>680</v>
      </c>
      <c r="H81" s="83">
        <v>7.5621706061979621</v>
      </c>
      <c r="I81" s="83">
        <v>4508.5029607581955</v>
      </c>
      <c r="J81" s="83">
        <v>15.663277604521387</v>
      </c>
    </row>
    <row r="82" spans="1:10" ht="16">
      <c r="A82" s="79" t="s">
        <v>420</v>
      </c>
      <c r="B82" s="79" t="s">
        <v>421</v>
      </c>
      <c r="C82" s="80" t="s">
        <v>95</v>
      </c>
      <c r="D82" s="81" t="s">
        <v>96</v>
      </c>
      <c r="E82" s="82">
        <v>24875</v>
      </c>
      <c r="F82" s="82">
        <v>321</v>
      </c>
      <c r="G82" s="82">
        <v>1990</v>
      </c>
      <c r="H82" s="83">
        <v>43.272333958772393</v>
      </c>
      <c r="I82" s="83">
        <v>38912.47685850165</v>
      </c>
      <c r="J82" s="83">
        <v>37.075186763769388</v>
      </c>
    </row>
    <row r="83" spans="1:10" ht="16">
      <c r="A83" s="79" t="s">
        <v>1168</v>
      </c>
      <c r="B83" s="79" t="s">
        <v>1161</v>
      </c>
      <c r="C83" s="80" t="s">
        <v>126</v>
      </c>
      <c r="D83" s="81" t="s">
        <v>78</v>
      </c>
      <c r="E83" s="82">
        <v>10374</v>
      </c>
      <c r="F83" s="82">
        <v>715</v>
      </c>
      <c r="G83" s="82">
        <v>934</v>
      </c>
      <c r="H83" s="83">
        <v>25.596492424934532</v>
      </c>
      <c r="I83" s="83">
        <v>13150.43472699939</v>
      </c>
      <c r="J83" s="83">
        <v>24.632908332805286</v>
      </c>
    </row>
    <row r="84" spans="1:10" ht="16">
      <c r="A84" s="79" t="s">
        <v>1311</v>
      </c>
      <c r="B84" s="79" t="s">
        <v>1307</v>
      </c>
      <c r="C84" s="80" t="s">
        <v>126</v>
      </c>
      <c r="D84" s="81" t="s">
        <v>76</v>
      </c>
      <c r="E84" s="82">
        <v>17848</v>
      </c>
      <c r="F84" s="82">
        <v>766</v>
      </c>
      <c r="G84" s="82">
        <v>2499</v>
      </c>
      <c r="H84" s="83">
        <v>22.259774507886927</v>
      </c>
      <c r="I84" s="83">
        <v>13604.61518637938</v>
      </c>
      <c r="J84" s="83">
        <v>23.676920348720241</v>
      </c>
    </row>
    <row r="85" spans="1:10" ht="16">
      <c r="A85" s="79" t="s">
        <v>1213</v>
      </c>
      <c r="B85" s="79" t="s">
        <v>1209</v>
      </c>
      <c r="C85" s="80" t="s">
        <v>95</v>
      </c>
      <c r="D85" s="81" t="s">
        <v>78</v>
      </c>
      <c r="E85" s="82">
        <v>8631</v>
      </c>
      <c r="F85" s="82">
        <v>546</v>
      </c>
      <c r="G85" s="82">
        <v>3280</v>
      </c>
      <c r="H85" s="83">
        <v>31.906928262158839</v>
      </c>
      <c r="I85" s="83">
        <v>19835.970147124834</v>
      </c>
      <c r="J85" s="83">
        <v>28.058905213355423</v>
      </c>
    </row>
    <row r="86" spans="1:10" ht="16">
      <c r="A86" s="79" t="s">
        <v>502</v>
      </c>
      <c r="B86" s="79" t="s">
        <v>493</v>
      </c>
      <c r="C86" s="80" t="s">
        <v>126</v>
      </c>
      <c r="D86" s="81" t="s">
        <v>76</v>
      </c>
      <c r="E86" s="82">
        <v>13535</v>
      </c>
      <c r="F86" s="82">
        <v>778</v>
      </c>
      <c r="G86" s="82">
        <v>135</v>
      </c>
      <c r="H86" s="83">
        <v>11.412311336636437</v>
      </c>
      <c r="I86" s="83">
        <v>3381.9624345103557</v>
      </c>
      <c r="J86" s="83">
        <v>19.79686971978062</v>
      </c>
    </row>
    <row r="87" spans="1:10" ht="16">
      <c r="A87" s="79" t="s">
        <v>1214</v>
      </c>
      <c r="B87" s="79" t="s">
        <v>1209</v>
      </c>
      <c r="C87" s="80" t="s">
        <v>95</v>
      </c>
      <c r="D87" s="81" t="s">
        <v>103</v>
      </c>
      <c r="E87" s="82">
        <v>19975</v>
      </c>
      <c r="F87" s="82">
        <v>1104</v>
      </c>
      <c r="G87" s="82">
        <v>4594</v>
      </c>
      <c r="H87" s="83">
        <v>10.626837474011493</v>
      </c>
      <c r="I87" s="83">
        <v>3879.0744759846875</v>
      </c>
      <c r="J87" s="83">
        <v>16.067314117619848</v>
      </c>
    </row>
    <row r="88" spans="1:10" ht="16">
      <c r="A88" s="79" t="s">
        <v>1169</v>
      </c>
      <c r="B88" s="79" t="s">
        <v>1161</v>
      </c>
      <c r="C88" s="80" t="s">
        <v>126</v>
      </c>
      <c r="D88" s="81" t="s">
        <v>96</v>
      </c>
      <c r="E88" s="82">
        <v>13202</v>
      </c>
      <c r="F88" s="82">
        <v>569</v>
      </c>
      <c r="G88" s="82">
        <v>396</v>
      </c>
      <c r="H88" s="83">
        <v>21.230381722728406</v>
      </c>
      <c r="I88" s="83">
        <v>10521.232889851506</v>
      </c>
      <c r="J88" s="83">
        <v>23.997727142678166</v>
      </c>
    </row>
    <row r="89" spans="1:10" ht="16">
      <c r="A89" s="79" t="s">
        <v>550</v>
      </c>
      <c r="B89" s="79" t="s">
        <v>549</v>
      </c>
      <c r="C89" s="80" t="s">
        <v>95</v>
      </c>
      <c r="D89" s="81" t="s">
        <v>78</v>
      </c>
      <c r="E89" s="82">
        <v>22289</v>
      </c>
      <c r="F89" s="82">
        <v>1798</v>
      </c>
      <c r="G89" s="82">
        <v>669</v>
      </c>
      <c r="H89" s="83">
        <v>11.284666389032472</v>
      </c>
      <c r="I89" s="83">
        <v>946.56807543522757</v>
      </c>
      <c r="J89" s="83">
        <v>19.020267049006549</v>
      </c>
    </row>
    <row r="90" spans="1:10" ht="16">
      <c r="A90" s="79" t="s">
        <v>110</v>
      </c>
      <c r="B90" s="79" t="s">
        <v>108</v>
      </c>
      <c r="C90" s="80" t="s">
        <v>95</v>
      </c>
      <c r="D90" s="81" t="s">
        <v>111</v>
      </c>
      <c r="E90" s="82">
        <v>3341</v>
      </c>
      <c r="F90" s="82">
        <v>324</v>
      </c>
      <c r="G90" s="82">
        <v>1437</v>
      </c>
      <c r="H90" s="83">
        <v>19.758925243044388</v>
      </c>
      <c r="I90" s="83">
        <v>12667.570819215218</v>
      </c>
      <c r="J90" s="83">
        <v>21.352191767063495</v>
      </c>
    </row>
    <row r="91" spans="1:10" ht="16">
      <c r="A91" s="79" t="s">
        <v>1312</v>
      </c>
      <c r="B91" s="79" t="s">
        <v>1307</v>
      </c>
      <c r="C91" s="80" t="s">
        <v>95</v>
      </c>
      <c r="D91" s="81" t="s">
        <v>75</v>
      </c>
      <c r="E91" s="82">
        <v>12904</v>
      </c>
      <c r="F91" s="82">
        <v>822</v>
      </c>
      <c r="G91" s="82">
        <v>1419</v>
      </c>
      <c r="H91" s="83">
        <v>34.106887993926428</v>
      </c>
      <c r="I91" s="83">
        <v>23388.911696002979</v>
      </c>
      <c r="J91" s="83">
        <v>36.959504732216345</v>
      </c>
    </row>
    <row r="92" spans="1:10" ht="16">
      <c r="A92" s="79" t="s">
        <v>1313</v>
      </c>
      <c r="B92" s="79" t="s">
        <v>1307</v>
      </c>
      <c r="C92" s="80" t="s">
        <v>95</v>
      </c>
      <c r="D92" s="81" t="s">
        <v>96</v>
      </c>
      <c r="E92" s="82">
        <v>25662</v>
      </c>
      <c r="F92" s="82">
        <v>2212</v>
      </c>
      <c r="G92" s="82">
        <v>6929</v>
      </c>
      <c r="H92" s="83">
        <v>55.898200351011695</v>
      </c>
      <c r="I92" s="83">
        <v>53302.761445874028</v>
      </c>
      <c r="J92" s="83">
        <v>58.09372273685527</v>
      </c>
    </row>
    <row r="93" spans="1:10" ht="16">
      <c r="A93" s="79" t="s">
        <v>1215</v>
      </c>
      <c r="B93" s="79" t="s">
        <v>1209</v>
      </c>
      <c r="C93" s="80" t="s">
        <v>95</v>
      </c>
      <c r="D93" s="81" t="s">
        <v>111</v>
      </c>
      <c r="E93" s="82">
        <v>13692</v>
      </c>
      <c r="F93" s="82">
        <v>801</v>
      </c>
      <c r="G93" s="82">
        <v>2465</v>
      </c>
      <c r="H93" s="83">
        <v>18.772301188513993</v>
      </c>
      <c r="I93" s="83">
        <v>10429.469558326991</v>
      </c>
      <c r="J93" s="83">
        <v>33.516041717013834</v>
      </c>
    </row>
    <row r="94" spans="1:10" ht="16">
      <c r="A94" s="79" t="s">
        <v>1314</v>
      </c>
      <c r="B94" s="79" t="s">
        <v>1307</v>
      </c>
      <c r="C94" s="80" t="s">
        <v>95</v>
      </c>
      <c r="D94" s="81" t="s">
        <v>77</v>
      </c>
      <c r="E94" s="82">
        <v>5375</v>
      </c>
      <c r="F94" s="82">
        <v>441</v>
      </c>
      <c r="G94" s="82">
        <v>1451</v>
      </c>
      <c r="H94" s="83">
        <v>23.523863759922076</v>
      </c>
      <c r="I94" s="83">
        <v>22937.382360677031</v>
      </c>
      <c r="J94" s="83">
        <v>29.031355061824421</v>
      </c>
    </row>
    <row r="95" spans="1:10" ht="16">
      <c r="A95" s="79" t="s">
        <v>1216</v>
      </c>
      <c r="B95" s="79" t="s">
        <v>1209</v>
      </c>
      <c r="C95" s="80" t="s">
        <v>95</v>
      </c>
      <c r="D95" s="81" t="s">
        <v>149</v>
      </c>
      <c r="E95" s="82">
        <v>879</v>
      </c>
      <c r="F95" s="82">
        <v>78</v>
      </c>
      <c r="G95" s="82">
        <v>132</v>
      </c>
      <c r="H95" s="83">
        <v>20.043741445662576</v>
      </c>
      <c r="I95" s="83">
        <v>19983.916598941913</v>
      </c>
      <c r="J95" s="83">
        <v>16.787680158919038</v>
      </c>
    </row>
    <row r="96" spans="1:10" ht="16">
      <c r="A96" s="79" t="s">
        <v>340</v>
      </c>
      <c r="B96" s="79" t="s">
        <v>341</v>
      </c>
      <c r="C96" s="80" t="s">
        <v>126</v>
      </c>
      <c r="D96" s="81" t="s">
        <v>149</v>
      </c>
      <c r="E96" s="82">
        <v>20275</v>
      </c>
      <c r="F96" s="82">
        <v>1034</v>
      </c>
      <c r="G96" s="82">
        <v>4461</v>
      </c>
      <c r="H96" s="83">
        <v>16.555577603323101</v>
      </c>
      <c r="I96" s="83">
        <v>3399.4971433977089</v>
      </c>
      <c r="J96" s="83">
        <v>18.718981077640287</v>
      </c>
    </row>
    <row r="97" spans="1:10" ht="16">
      <c r="A97" s="79" t="s">
        <v>1315</v>
      </c>
      <c r="B97" s="79" t="s">
        <v>1307</v>
      </c>
      <c r="C97" s="80" t="s">
        <v>126</v>
      </c>
      <c r="D97" s="81" t="s">
        <v>77</v>
      </c>
      <c r="E97" s="82">
        <v>9391</v>
      </c>
      <c r="F97" s="82">
        <v>870</v>
      </c>
      <c r="G97" s="82">
        <v>1878</v>
      </c>
      <c r="H97" s="83">
        <v>56.997954307764616</v>
      </c>
      <c r="I97" s="83">
        <v>53282.482798815225</v>
      </c>
      <c r="J97" s="83">
        <v>64.292361496694326</v>
      </c>
    </row>
    <row r="98" spans="1:10" ht="16">
      <c r="A98" s="79" t="s">
        <v>1217</v>
      </c>
      <c r="B98" s="79" t="s">
        <v>1209</v>
      </c>
      <c r="C98" s="80" t="s">
        <v>126</v>
      </c>
      <c r="D98" s="81" t="s">
        <v>77</v>
      </c>
      <c r="E98" s="82">
        <v>10961</v>
      </c>
      <c r="F98" s="82">
        <v>672</v>
      </c>
      <c r="G98" s="82">
        <v>3946</v>
      </c>
      <c r="H98" s="83">
        <v>27.057307983348043</v>
      </c>
      <c r="I98" s="83">
        <v>17046.966466416485</v>
      </c>
      <c r="J98" s="83">
        <v>27.637798103894575</v>
      </c>
    </row>
    <row r="99" spans="1:10" ht="16">
      <c r="A99" s="79" t="s">
        <v>560</v>
      </c>
      <c r="B99" s="79" t="s">
        <v>556</v>
      </c>
      <c r="C99" s="80" t="s">
        <v>95</v>
      </c>
      <c r="D99" s="81" t="s">
        <v>75</v>
      </c>
      <c r="E99" s="82">
        <v>11609</v>
      </c>
      <c r="F99" s="82">
        <v>441</v>
      </c>
      <c r="G99" s="82">
        <v>116</v>
      </c>
      <c r="H99" s="83">
        <v>16.15601631608623</v>
      </c>
      <c r="I99" s="83">
        <v>3967.7387174699797</v>
      </c>
      <c r="J99" s="83">
        <v>22.391802135048181</v>
      </c>
    </row>
    <row r="100" spans="1:10" ht="16">
      <c r="A100" s="79" t="s">
        <v>930</v>
      </c>
      <c r="B100" s="79" t="s">
        <v>928</v>
      </c>
      <c r="C100" s="80" t="s">
        <v>95</v>
      </c>
      <c r="D100" s="81" t="s">
        <v>75</v>
      </c>
      <c r="E100" s="82">
        <v>22022</v>
      </c>
      <c r="F100" s="82">
        <v>1488</v>
      </c>
      <c r="G100" s="82">
        <v>661</v>
      </c>
      <c r="H100" s="83">
        <v>10.233133393894706</v>
      </c>
      <c r="I100" s="83">
        <v>5325.5995997265827</v>
      </c>
      <c r="J100" s="83">
        <v>15.519965850757819</v>
      </c>
    </row>
    <row r="101" spans="1:10" ht="16">
      <c r="A101" s="79" t="s">
        <v>484</v>
      </c>
      <c r="B101" s="79" t="s">
        <v>485</v>
      </c>
      <c r="C101" s="80" t="s">
        <v>126</v>
      </c>
      <c r="D101" s="81" t="s">
        <v>101</v>
      </c>
      <c r="E101" s="82">
        <v>18219</v>
      </c>
      <c r="F101" s="82">
        <v>1078</v>
      </c>
      <c r="G101" s="82">
        <v>1275</v>
      </c>
      <c r="H101" s="83">
        <v>15.909227716938135</v>
      </c>
      <c r="I101" s="83">
        <v>4016.0508690512261</v>
      </c>
      <c r="J101" s="83">
        <v>18.027058424906613</v>
      </c>
    </row>
    <row r="102" spans="1:10" ht="16">
      <c r="A102" s="79" t="s">
        <v>371</v>
      </c>
      <c r="B102" s="79" t="s">
        <v>363</v>
      </c>
      <c r="C102" s="80" t="s">
        <v>126</v>
      </c>
      <c r="D102" s="81" t="s">
        <v>99</v>
      </c>
      <c r="E102" s="82">
        <v>223275</v>
      </c>
      <c r="F102" s="82">
        <v>5499</v>
      </c>
      <c r="G102" s="82">
        <v>4466</v>
      </c>
      <c r="H102" s="83">
        <v>13.774438351724035</v>
      </c>
      <c r="I102" s="83">
        <v>7101.3026762708078</v>
      </c>
      <c r="J102" s="83">
        <v>22.31225139188453</v>
      </c>
    </row>
    <row r="103" spans="1:10" ht="16">
      <c r="A103" s="79" t="s">
        <v>1316</v>
      </c>
      <c r="B103" s="79" t="s">
        <v>1307</v>
      </c>
      <c r="C103" s="80" t="s">
        <v>126</v>
      </c>
      <c r="D103" s="81" t="s">
        <v>149</v>
      </c>
      <c r="E103" s="82">
        <v>2240</v>
      </c>
      <c r="F103" s="82">
        <v>350</v>
      </c>
      <c r="G103" s="82">
        <v>672</v>
      </c>
      <c r="H103" s="83">
        <v>97.893942469242759</v>
      </c>
      <c r="I103" s="83">
        <v>95230.110174965434</v>
      </c>
      <c r="J103" s="83">
        <v>92.605153901224725</v>
      </c>
    </row>
    <row r="104" spans="1:10" ht="16">
      <c r="A104" s="79" t="s">
        <v>1317</v>
      </c>
      <c r="B104" s="79" t="s">
        <v>1307</v>
      </c>
      <c r="C104" s="80" t="s">
        <v>95</v>
      </c>
      <c r="D104" s="81" t="s">
        <v>96</v>
      </c>
      <c r="E104" s="82">
        <v>30595</v>
      </c>
      <c r="F104" s="82">
        <v>1553</v>
      </c>
      <c r="G104" s="82">
        <v>1224</v>
      </c>
      <c r="H104" s="83">
        <v>10.598826577873922</v>
      </c>
      <c r="I104" s="83">
        <v>2773.019968758932</v>
      </c>
      <c r="J104" s="83">
        <v>23.644593567307055</v>
      </c>
    </row>
    <row r="105" spans="1:10" ht="16">
      <c r="A105" s="79" t="s">
        <v>1170</v>
      </c>
      <c r="B105" s="79" t="s">
        <v>1161</v>
      </c>
      <c r="C105" s="80" t="s">
        <v>126</v>
      </c>
      <c r="D105" s="81" t="s">
        <v>78</v>
      </c>
      <c r="E105" s="82">
        <v>9164</v>
      </c>
      <c r="F105" s="82">
        <v>323</v>
      </c>
      <c r="G105" s="82">
        <v>183</v>
      </c>
      <c r="H105" s="83">
        <v>12.261302009821097</v>
      </c>
      <c r="I105" s="83">
        <v>11423.370178809206</v>
      </c>
      <c r="J105" s="83">
        <v>15.424599688511696</v>
      </c>
    </row>
    <row r="106" spans="1:10" ht="16">
      <c r="A106" s="79" t="s">
        <v>1218</v>
      </c>
      <c r="B106" s="79" t="s">
        <v>1209</v>
      </c>
      <c r="C106" s="80" t="s">
        <v>95</v>
      </c>
      <c r="D106" s="81" t="s">
        <v>75</v>
      </c>
      <c r="E106" s="82">
        <v>11386</v>
      </c>
      <c r="F106" s="82">
        <v>674</v>
      </c>
      <c r="G106" s="82">
        <v>1366</v>
      </c>
      <c r="H106" s="83">
        <v>11.83796286614912</v>
      </c>
      <c r="I106" s="83">
        <v>2286.2060950878886</v>
      </c>
      <c r="J106" s="83">
        <v>16.626395259039032</v>
      </c>
    </row>
    <row r="107" spans="1:10" ht="16">
      <c r="A107" s="79" t="s">
        <v>246</v>
      </c>
      <c r="B107" s="79" t="s">
        <v>242</v>
      </c>
      <c r="C107" s="80" t="s">
        <v>95</v>
      </c>
      <c r="D107" s="81" t="s">
        <v>99</v>
      </c>
      <c r="E107" s="82">
        <v>13178</v>
      </c>
      <c r="F107" s="82">
        <v>1938</v>
      </c>
      <c r="G107" s="82">
        <v>659</v>
      </c>
      <c r="H107" s="83">
        <v>20.802171038373384</v>
      </c>
      <c r="I107" s="83">
        <v>4991.8666085944342</v>
      </c>
      <c r="J107" s="83">
        <v>30.685944680482873</v>
      </c>
    </row>
    <row r="108" spans="1:10" ht="16">
      <c r="A108" s="79" t="s">
        <v>1219</v>
      </c>
      <c r="B108" s="79" t="s">
        <v>1209</v>
      </c>
      <c r="C108" s="80" t="s">
        <v>95</v>
      </c>
      <c r="D108" s="81" t="s">
        <v>76</v>
      </c>
      <c r="E108" s="82">
        <v>8661</v>
      </c>
      <c r="F108" s="82">
        <v>525</v>
      </c>
      <c r="G108" s="82">
        <v>1472</v>
      </c>
      <c r="H108" s="83">
        <v>11.658784426525626</v>
      </c>
      <c r="I108" s="83">
        <v>4441.1829818854048</v>
      </c>
      <c r="J108" s="83">
        <v>17.479565049624583</v>
      </c>
    </row>
    <row r="109" spans="1:10" ht="16">
      <c r="A109" s="79" t="s">
        <v>1220</v>
      </c>
      <c r="B109" s="79" t="s">
        <v>1209</v>
      </c>
      <c r="C109" s="80" t="s">
        <v>95</v>
      </c>
      <c r="D109" s="81" t="s">
        <v>99</v>
      </c>
      <c r="E109" s="82">
        <v>25501</v>
      </c>
      <c r="F109" s="82">
        <v>1889</v>
      </c>
      <c r="G109" s="82">
        <v>6885</v>
      </c>
      <c r="H109" s="83">
        <v>36.265868755706407</v>
      </c>
      <c r="I109" s="83">
        <v>30992.614599798144</v>
      </c>
      <c r="J109" s="83">
        <v>33.443204402499894</v>
      </c>
    </row>
    <row r="110" spans="1:10" ht="16">
      <c r="A110" s="79" t="s">
        <v>202</v>
      </c>
      <c r="B110" s="79" t="s">
        <v>203</v>
      </c>
      <c r="C110" s="80" t="s">
        <v>126</v>
      </c>
      <c r="D110" s="81" t="s">
        <v>149</v>
      </c>
      <c r="E110" s="82">
        <v>27570</v>
      </c>
      <c r="F110" s="82">
        <v>928</v>
      </c>
      <c r="G110" s="82">
        <v>5790</v>
      </c>
      <c r="H110" s="83">
        <v>27.982008393100806</v>
      </c>
      <c r="I110" s="83">
        <v>15584.751792734478</v>
      </c>
      <c r="J110" s="83">
        <v>20.731854648840734</v>
      </c>
    </row>
    <row r="111" spans="1:10" ht="16">
      <c r="A111" s="79" t="s">
        <v>1041</v>
      </c>
      <c r="B111" s="79" t="s">
        <v>1039</v>
      </c>
      <c r="C111" s="80" t="s">
        <v>126</v>
      </c>
      <c r="D111" s="81" t="s">
        <v>75</v>
      </c>
      <c r="E111" s="82">
        <v>17265</v>
      </c>
      <c r="F111" s="82">
        <v>1570</v>
      </c>
      <c r="G111" s="82">
        <v>2590</v>
      </c>
      <c r="H111" s="83">
        <v>16.856100179502089</v>
      </c>
      <c r="I111" s="83">
        <v>5699.5467909180043</v>
      </c>
      <c r="J111" s="83">
        <v>24.812813289234981</v>
      </c>
    </row>
    <row r="112" spans="1:10" ht="16">
      <c r="A112" s="79" t="s">
        <v>1318</v>
      </c>
      <c r="B112" s="79" t="s">
        <v>1307</v>
      </c>
      <c r="C112" s="80" t="s">
        <v>126</v>
      </c>
      <c r="D112" s="81" t="s">
        <v>96</v>
      </c>
      <c r="E112" s="82">
        <v>13430</v>
      </c>
      <c r="F112" s="82">
        <v>988</v>
      </c>
      <c r="G112" s="82">
        <v>6446</v>
      </c>
      <c r="H112" s="83">
        <v>82.76588461573408</v>
      </c>
      <c r="I112" s="83">
        <v>81228.7995953301</v>
      </c>
      <c r="J112" s="83">
        <v>66.769626021377761</v>
      </c>
    </row>
    <row r="113" spans="1:10" ht="16">
      <c r="A113" s="79" t="s">
        <v>1319</v>
      </c>
      <c r="B113" s="79" t="s">
        <v>1307</v>
      </c>
      <c r="C113" s="80" t="s">
        <v>126</v>
      </c>
      <c r="D113" s="81" t="s">
        <v>77</v>
      </c>
      <c r="E113" s="82">
        <v>10654</v>
      </c>
      <c r="F113" s="82">
        <v>1211</v>
      </c>
      <c r="G113" s="82">
        <v>2450</v>
      </c>
      <c r="H113" s="83">
        <v>40.16125504219216</v>
      </c>
      <c r="I113" s="83">
        <v>38101.532020470651</v>
      </c>
      <c r="J113" s="83">
        <v>49.090040052941028</v>
      </c>
    </row>
    <row r="114" spans="1:10" ht="16">
      <c r="A114" s="79" t="s">
        <v>911</v>
      </c>
      <c r="B114" s="79" t="s">
        <v>912</v>
      </c>
      <c r="C114" s="80" t="s">
        <v>95</v>
      </c>
      <c r="D114" s="81" t="s">
        <v>79</v>
      </c>
      <c r="E114" s="82">
        <v>10998</v>
      </c>
      <c r="F114" s="82">
        <v>412</v>
      </c>
      <c r="G114" s="82">
        <v>1100</v>
      </c>
      <c r="H114" s="83">
        <v>15.422325327202353</v>
      </c>
      <c r="I114" s="83">
        <v>14234.74540033266</v>
      </c>
      <c r="J114" s="83">
        <v>18.594769201676748</v>
      </c>
    </row>
    <row r="115" spans="1:10" ht="16">
      <c r="A115" s="79" t="s">
        <v>232</v>
      </c>
      <c r="B115" s="79" t="s">
        <v>231</v>
      </c>
      <c r="C115" s="80" t="s">
        <v>126</v>
      </c>
      <c r="D115" s="81" t="s">
        <v>103</v>
      </c>
      <c r="E115" s="82">
        <v>11871</v>
      </c>
      <c r="F115" s="82">
        <v>606</v>
      </c>
      <c r="G115" s="82">
        <v>237</v>
      </c>
      <c r="H115" s="83">
        <v>15.031415422577652</v>
      </c>
      <c r="I115" s="83">
        <v>2689.9286283031247</v>
      </c>
      <c r="J115" s="83">
        <v>15.317416798363258</v>
      </c>
    </row>
    <row r="116" spans="1:10" ht="16">
      <c r="A116" s="79" t="s">
        <v>618</v>
      </c>
      <c r="B116" s="79" t="s">
        <v>617</v>
      </c>
      <c r="C116" s="80" t="s">
        <v>95</v>
      </c>
      <c r="D116" s="81" t="s">
        <v>101</v>
      </c>
      <c r="E116" s="82">
        <v>28725</v>
      </c>
      <c r="F116" s="82">
        <v>1330</v>
      </c>
      <c r="G116" s="82">
        <v>2011</v>
      </c>
      <c r="H116" s="83">
        <v>21.86254313149092</v>
      </c>
      <c r="I116" s="83">
        <v>15220.598432446641</v>
      </c>
      <c r="J116" s="83">
        <v>18.498650517415751</v>
      </c>
    </row>
    <row r="117" spans="1:10" ht="16">
      <c r="A117" s="79" t="s">
        <v>112</v>
      </c>
      <c r="B117" s="79" t="s">
        <v>108</v>
      </c>
      <c r="C117" s="80" t="s">
        <v>95</v>
      </c>
      <c r="D117" s="81" t="s">
        <v>101</v>
      </c>
      <c r="E117" s="82">
        <v>14701</v>
      </c>
      <c r="F117" s="82">
        <v>707</v>
      </c>
      <c r="G117" s="82">
        <v>4557</v>
      </c>
      <c r="H117" s="83">
        <v>13.089353596442141</v>
      </c>
      <c r="I117" s="83">
        <v>6477.0928473522054</v>
      </c>
      <c r="J117" s="83">
        <v>17.546044555211409</v>
      </c>
    </row>
    <row r="118" spans="1:10" ht="16">
      <c r="A118" s="79" t="s">
        <v>247</v>
      </c>
      <c r="B118" s="79" t="s">
        <v>242</v>
      </c>
      <c r="C118" s="80" t="s">
        <v>95</v>
      </c>
      <c r="D118" s="81" t="s">
        <v>149</v>
      </c>
      <c r="E118" s="82">
        <v>51546</v>
      </c>
      <c r="F118" s="82">
        <v>2801</v>
      </c>
      <c r="G118" s="82">
        <v>1031</v>
      </c>
      <c r="H118" s="83">
        <v>33.914998234256174</v>
      </c>
      <c r="I118" s="83">
        <v>19006.761178490968</v>
      </c>
      <c r="J118" s="83">
        <v>32.800214218841866</v>
      </c>
    </row>
    <row r="119" spans="1:10" ht="16">
      <c r="A119" s="79" t="s">
        <v>397</v>
      </c>
      <c r="B119" s="79" t="s">
        <v>396</v>
      </c>
      <c r="C119" s="80" t="s">
        <v>126</v>
      </c>
      <c r="D119" s="81" t="s">
        <v>79</v>
      </c>
      <c r="E119" s="82">
        <v>1706</v>
      </c>
      <c r="F119" s="82">
        <v>106</v>
      </c>
      <c r="G119" s="82">
        <v>768</v>
      </c>
      <c r="H119" s="83">
        <v>30.353463406595644</v>
      </c>
      <c r="I119" s="83">
        <v>14393.941870143495</v>
      </c>
      <c r="J119" s="83">
        <v>30.494822695528775</v>
      </c>
    </row>
    <row r="120" spans="1:10" ht="16">
      <c r="A120" s="79" t="s">
        <v>1080</v>
      </c>
      <c r="B120" s="79" t="s">
        <v>1081</v>
      </c>
      <c r="C120" s="80" t="s">
        <v>126</v>
      </c>
      <c r="D120" s="81" t="s">
        <v>78</v>
      </c>
      <c r="E120" s="82">
        <v>9209</v>
      </c>
      <c r="F120" s="82">
        <v>737</v>
      </c>
      <c r="G120" s="82">
        <v>1566</v>
      </c>
      <c r="H120" s="83">
        <v>42.779164173958982</v>
      </c>
      <c r="I120" s="83">
        <v>25304.1916056558</v>
      </c>
      <c r="J120" s="83">
        <v>36.256481874461784</v>
      </c>
    </row>
    <row r="121" spans="1:10" ht="16">
      <c r="A121" s="79" t="s">
        <v>1101</v>
      </c>
      <c r="B121" s="79" t="s">
        <v>1100</v>
      </c>
      <c r="C121" s="80" t="s">
        <v>126</v>
      </c>
      <c r="D121" s="81" t="s">
        <v>79</v>
      </c>
      <c r="E121" s="82">
        <v>7556</v>
      </c>
      <c r="F121" s="82">
        <v>614</v>
      </c>
      <c r="G121" s="82">
        <v>378</v>
      </c>
      <c r="H121" s="83">
        <v>26.95552274149987</v>
      </c>
      <c r="I121" s="83">
        <v>7852.055811651162</v>
      </c>
      <c r="J121" s="83">
        <v>23.375085974420763</v>
      </c>
    </row>
    <row r="122" spans="1:10" ht="16">
      <c r="A122" s="79" t="s">
        <v>1102</v>
      </c>
      <c r="B122" s="79" t="s">
        <v>1100</v>
      </c>
      <c r="C122" s="80" t="s">
        <v>95</v>
      </c>
      <c r="D122" s="81" t="s">
        <v>79</v>
      </c>
      <c r="E122" s="82">
        <v>16787</v>
      </c>
      <c r="F122" s="82">
        <v>401</v>
      </c>
      <c r="G122" s="82">
        <v>1343</v>
      </c>
      <c r="H122" s="83">
        <v>12.472474395196038</v>
      </c>
      <c r="I122" s="83">
        <v>867.14559206666627</v>
      </c>
      <c r="J122" s="83">
        <v>14.316672723788521</v>
      </c>
    </row>
    <row r="123" spans="1:10" ht="16">
      <c r="A123" s="79" t="s">
        <v>113</v>
      </c>
      <c r="B123" s="79" t="s">
        <v>108</v>
      </c>
      <c r="C123" s="80" t="s">
        <v>95</v>
      </c>
      <c r="D123" s="81" t="s">
        <v>103</v>
      </c>
      <c r="E123" s="82">
        <v>6314</v>
      </c>
      <c r="F123" s="82">
        <v>277</v>
      </c>
      <c r="G123" s="82">
        <v>2020</v>
      </c>
      <c r="H123" s="83">
        <v>24.42602911621109</v>
      </c>
      <c r="I123" s="83">
        <v>12541.422990002189</v>
      </c>
      <c r="J123" s="83">
        <v>20.346052392891121</v>
      </c>
    </row>
    <row r="124" spans="1:10" ht="16">
      <c r="A124" s="79" t="s">
        <v>342</v>
      </c>
      <c r="B124" s="79" t="s">
        <v>341</v>
      </c>
      <c r="C124" s="80" t="s">
        <v>95</v>
      </c>
      <c r="D124" s="81" t="s">
        <v>101</v>
      </c>
      <c r="E124" s="82">
        <v>48623</v>
      </c>
      <c r="F124" s="82">
        <v>3829</v>
      </c>
      <c r="G124" s="82">
        <v>8752</v>
      </c>
      <c r="H124" s="83">
        <v>26.272086194041272</v>
      </c>
      <c r="I124" s="83">
        <v>13748.173983875888</v>
      </c>
      <c r="J124" s="83">
        <v>33.09084919758196</v>
      </c>
    </row>
    <row r="125" spans="1:10" ht="16">
      <c r="A125" s="79" t="s">
        <v>422</v>
      </c>
      <c r="B125" s="79" t="s">
        <v>421</v>
      </c>
      <c r="C125" s="80" t="s">
        <v>126</v>
      </c>
      <c r="D125" s="81" t="s">
        <v>75</v>
      </c>
      <c r="E125" s="82">
        <v>10473</v>
      </c>
      <c r="F125" s="82">
        <v>229</v>
      </c>
      <c r="G125" s="82">
        <v>2514</v>
      </c>
      <c r="H125" s="83">
        <v>26.94465860953251</v>
      </c>
      <c r="I125" s="83">
        <v>7119.412395844477</v>
      </c>
      <c r="J125" s="83">
        <v>33.262512219302934</v>
      </c>
    </row>
    <row r="126" spans="1:10" ht="16">
      <c r="A126" s="79" t="s">
        <v>1138</v>
      </c>
      <c r="B126" s="79" t="s">
        <v>1139</v>
      </c>
      <c r="C126" s="80" t="s">
        <v>95</v>
      </c>
      <c r="D126" s="81" t="s">
        <v>101</v>
      </c>
      <c r="E126" s="82">
        <v>35013</v>
      </c>
      <c r="F126" s="82">
        <v>2259</v>
      </c>
      <c r="G126" s="82">
        <v>700</v>
      </c>
      <c r="H126" s="83">
        <v>14.497641690036891</v>
      </c>
      <c r="I126" s="83">
        <v>2563.751503502428</v>
      </c>
      <c r="J126" s="83">
        <v>21.54459845083716</v>
      </c>
    </row>
    <row r="127" spans="1:10" ht="16">
      <c r="A127" s="79" t="s">
        <v>664</v>
      </c>
      <c r="B127" s="79" t="s">
        <v>661</v>
      </c>
      <c r="C127" s="80" t="s">
        <v>126</v>
      </c>
      <c r="D127" s="81" t="s">
        <v>75</v>
      </c>
      <c r="E127" s="82">
        <v>9763</v>
      </c>
      <c r="F127" s="82">
        <v>321</v>
      </c>
      <c r="G127" s="82">
        <v>98</v>
      </c>
      <c r="H127" s="83">
        <v>9.8848268677560807</v>
      </c>
      <c r="I127" s="83">
        <v>625.96612454111994</v>
      </c>
      <c r="J127" s="83">
        <v>14.709686693370653</v>
      </c>
    </row>
    <row r="128" spans="1:10" ht="16">
      <c r="A128" s="79" t="s">
        <v>665</v>
      </c>
      <c r="B128" s="79" t="s">
        <v>661</v>
      </c>
      <c r="C128" s="80" t="s">
        <v>126</v>
      </c>
      <c r="D128" s="81" t="s">
        <v>111</v>
      </c>
      <c r="E128" s="82">
        <v>13764</v>
      </c>
      <c r="F128" s="82">
        <v>1404</v>
      </c>
      <c r="G128" s="82">
        <v>688</v>
      </c>
      <c r="H128" s="83">
        <v>19.959270121584463</v>
      </c>
      <c r="I128" s="83">
        <v>6266.5356079681424</v>
      </c>
      <c r="J128" s="83">
        <v>29.533312359140915</v>
      </c>
    </row>
    <row r="129" spans="1:10" ht="16">
      <c r="A129" s="79" t="s">
        <v>248</v>
      </c>
      <c r="B129" s="79" t="s">
        <v>242</v>
      </c>
      <c r="C129" s="80" t="s">
        <v>95</v>
      </c>
      <c r="D129" s="81" t="s">
        <v>79</v>
      </c>
      <c r="E129" s="82">
        <v>19586</v>
      </c>
      <c r="F129" s="82">
        <v>1688</v>
      </c>
      <c r="G129" s="82">
        <v>196</v>
      </c>
      <c r="H129" s="83">
        <v>27.015114979344169</v>
      </c>
      <c r="I129" s="83">
        <v>10672.443996495878</v>
      </c>
      <c r="J129" s="83">
        <v>35.100958357332743</v>
      </c>
    </row>
    <row r="130" spans="1:10" ht="16">
      <c r="A130" s="79" t="s">
        <v>1103</v>
      </c>
      <c r="B130" s="79" t="s">
        <v>1100</v>
      </c>
      <c r="C130" s="80" t="s">
        <v>95</v>
      </c>
      <c r="D130" s="81" t="s">
        <v>101</v>
      </c>
      <c r="E130" s="82">
        <v>7603</v>
      </c>
      <c r="F130" s="82">
        <v>461</v>
      </c>
      <c r="G130" s="82">
        <v>608</v>
      </c>
      <c r="H130" s="83">
        <v>32.826167915559054</v>
      </c>
      <c r="I130" s="83">
        <v>14907.600160423826</v>
      </c>
      <c r="J130" s="83">
        <v>26.729836735941017</v>
      </c>
    </row>
    <row r="131" spans="1:10" ht="16">
      <c r="A131" s="79" t="s">
        <v>249</v>
      </c>
      <c r="B131" s="79" t="s">
        <v>242</v>
      </c>
      <c r="C131" s="80" t="s">
        <v>95</v>
      </c>
      <c r="D131" s="81" t="s">
        <v>77</v>
      </c>
      <c r="E131" s="82">
        <v>16144</v>
      </c>
      <c r="F131" s="82">
        <v>897</v>
      </c>
      <c r="G131" s="82">
        <v>484</v>
      </c>
      <c r="H131" s="83">
        <v>13.940412730368863</v>
      </c>
      <c r="I131" s="83">
        <v>4661.0287279066752</v>
      </c>
      <c r="J131" s="83">
        <v>23.883029713337425</v>
      </c>
    </row>
    <row r="132" spans="1:10" ht="16">
      <c r="A132" s="79" t="s">
        <v>250</v>
      </c>
      <c r="B132" s="79" t="s">
        <v>242</v>
      </c>
      <c r="C132" s="80" t="s">
        <v>126</v>
      </c>
      <c r="D132" s="81" t="s">
        <v>79</v>
      </c>
      <c r="E132" s="82">
        <v>17752</v>
      </c>
      <c r="F132" s="82">
        <v>1168</v>
      </c>
      <c r="G132" s="82">
        <v>178</v>
      </c>
      <c r="H132" s="83">
        <v>14.763840183332405</v>
      </c>
      <c r="I132" s="83">
        <v>5639.4221997192644</v>
      </c>
      <c r="J132" s="83">
        <v>25.63528568956843</v>
      </c>
    </row>
    <row r="133" spans="1:10" ht="16">
      <c r="A133" s="79" t="s">
        <v>251</v>
      </c>
      <c r="B133" s="79" t="s">
        <v>242</v>
      </c>
      <c r="C133" s="80" t="s">
        <v>95</v>
      </c>
      <c r="D133" s="81" t="s">
        <v>79</v>
      </c>
      <c r="E133" s="82">
        <v>28934</v>
      </c>
      <c r="F133" s="82">
        <v>1733</v>
      </c>
      <c r="G133" s="82">
        <v>1157</v>
      </c>
      <c r="H133" s="83">
        <v>18.059865219183568</v>
      </c>
      <c r="I133" s="83">
        <v>7418.615808374404</v>
      </c>
      <c r="J133" s="83">
        <v>20.836067072686006</v>
      </c>
    </row>
    <row r="134" spans="1:10" ht="16">
      <c r="A134" s="79" t="s">
        <v>252</v>
      </c>
      <c r="B134" s="79" t="s">
        <v>242</v>
      </c>
      <c r="C134" s="80" t="s">
        <v>126</v>
      </c>
      <c r="D134" s="81" t="s">
        <v>99</v>
      </c>
      <c r="E134" s="82">
        <v>47225</v>
      </c>
      <c r="F134" s="82">
        <v>2539</v>
      </c>
      <c r="G134" s="82">
        <v>945</v>
      </c>
      <c r="H134" s="83">
        <v>13.785249886854928</v>
      </c>
      <c r="I134" s="83">
        <v>6472.5163861747124</v>
      </c>
      <c r="J134" s="83">
        <v>20.738366607791395</v>
      </c>
    </row>
    <row r="135" spans="1:10" ht="16">
      <c r="A135" s="79" t="s">
        <v>253</v>
      </c>
      <c r="B135" s="79" t="s">
        <v>242</v>
      </c>
      <c r="C135" s="80" t="s">
        <v>126</v>
      </c>
      <c r="D135" s="81" t="s">
        <v>103</v>
      </c>
      <c r="E135" s="82">
        <v>15150</v>
      </c>
      <c r="F135" s="82">
        <v>810</v>
      </c>
      <c r="G135" s="82">
        <v>606</v>
      </c>
      <c r="H135" s="83">
        <v>26.891577012657152</v>
      </c>
      <c r="I135" s="83">
        <v>10265.927131575623</v>
      </c>
      <c r="J135" s="83">
        <v>24.728522870440109</v>
      </c>
    </row>
    <row r="136" spans="1:10" ht="16">
      <c r="A136" s="79" t="s">
        <v>477</v>
      </c>
      <c r="B136" s="79" t="s">
        <v>478</v>
      </c>
      <c r="C136" s="80" t="s">
        <v>126</v>
      </c>
      <c r="D136" s="81" t="s">
        <v>149</v>
      </c>
      <c r="E136" s="82">
        <v>18340</v>
      </c>
      <c r="F136" s="82">
        <v>986</v>
      </c>
      <c r="G136" s="82">
        <v>5869</v>
      </c>
      <c r="H136" s="83">
        <v>63.42688299417128</v>
      </c>
      <c r="I136" s="83">
        <v>53115.134789234071</v>
      </c>
      <c r="J136" s="83">
        <v>56.183290261077786</v>
      </c>
    </row>
    <row r="137" spans="1:10" ht="16">
      <c r="A137" s="79" t="s">
        <v>1008</v>
      </c>
      <c r="B137" s="79" t="s">
        <v>1007</v>
      </c>
      <c r="C137" s="80" t="s">
        <v>126</v>
      </c>
      <c r="D137" s="81" t="s">
        <v>103</v>
      </c>
      <c r="E137" s="82">
        <v>20601</v>
      </c>
      <c r="F137" s="82">
        <v>995</v>
      </c>
      <c r="G137" s="82">
        <v>1030</v>
      </c>
      <c r="H137" s="83">
        <v>20.955055139253361</v>
      </c>
      <c r="I137" s="83">
        <v>4867.7730206844853</v>
      </c>
      <c r="J137" s="83">
        <v>23.857310640606624</v>
      </c>
    </row>
    <row r="138" spans="1:10" ht="16">
      <c r="A138" s="79" t="s">
        <v>254</v>
      </c>
      <c r="B138" s="79" t="s">
        <v>242</v>
      </c>
      <c r="C138" s="80" t="s">
        <v>95</v>
      </c>
      <c r="D138" s="81" t="s">
        <v>149</v>
      </c>
      <c r="E138" s="82">
        <v>44394</v>
      </c>
      <c r="F138" s="82">
        <v>2775</v>
      </c>
      <c r="G138" s="82">
        <v>1776</v>
      </c>
      <c r="H138" s="83">
        <v>21.601088702730124</v>
      </c>
      <c r="I138" s="83">
        <v>7529.5823411592191</v>
      </c>
      <c r="J138" s="83">
        <v>23.905887569785794</v>
      </c>
    </row>
    <row r="139" spans="1:10" ht="16">
      <c r="A139" s="79" t="s">
        <v>1009</v>
      </c>
      <c r="B139" s="79" t="s">
        <v>1007</v>
      </c>
      <c r="C139" s="80" t="s">
        <v>126</v>
      </c>
      <c r="D139" s="81" t="s">
        <v>78</v>
      </c>
      <c r="E139" s="82">
        <v>22469</v>
      </c>
      <c r="F139" s="82">
        <v>1330</v>
      </c>
      <c r="G139" s="82">
        <v>1348</v>
      </c>
      <c r="H139" s="83">
        <v>21.119211557983519</v>
      </c>
      <c r="I139" s="83">
        <v>5994.7171540771697</v>
      </c>
      <c r="J139" s="83">
        <v>21.879655718196567</v>
      </c>
    </row>
    <row r="140" spans="1:10" ht="16">
      <c r="A140" s="79" t="s">
        <v>666</v>
      </c>
      <c r="B140" s="79" t="s">
        <v>661</v>
      </c>
      <c r="C140" s="80" t="s">
        <v>126</v>
      </c>
      <c r="D140" s="81" t="s">
        <v>75</v>
      </c>
      <c r="E140" s="82">
        <v>12533</v>
      </c>
      <c r="F140" s="82">
        <v>520</v>
      </c>
      <c r="G140" s="82">
        <v>125</v>
      </c>
      <c r="H140" s="83">
        <v>10.365478853240392</v>
      </c>
      <c r="I140" s="83">
        <v>1713.0478397882396</v>
      </c>
      <c r="J140" s="83">
        <v>14.009009072795042</v>
      </c>
    </row>
    <row r="141" spans="1:10" ht="16">
      <c r="A141" s="79" t="s">
        <v>1140</v>
      </c>
      <c r="B141" s="79" t="s">
        <v>1139</v>
      </c>
      <c r="C141" s="80" t="s">
        <v>95</v>
      </c>
      <c r="D141" s="81" t="s">
        <v>75</v>
      </c>
      <c r="E141" s="82">
        <v>38531</v>
      </c>
      <c r="F141" s="82">
        <v>2752</v>
      </c>
      <c r="G141" s="82">
        <v>1541</v>
      </c>
      <c r="H141" s="83">
        <v>22.467515716117326</v>
      </c>
      <c r="I141" s="83">
        <v>4825.2747239425089</v>
      </c>
      <c r="J141" s="83">
        <v>32.233926275979911</v>
      </c>
    </row>
    <row r="142" spans="1:10" ht="16">
      <c r="A142" s="79" t="s">
        <v>1104</v>
      </c>
      <c r="B142" s="79" t="s">
        <v>1100</v>
      </c>
      <c r="C142" s="80" t="s">
        <v>126</v>
      </c>
      <c r="D142" s="81" t="s">
        <v>96</v>
      </c>
      <c r="E142" s="82">
        <v>15926</v>
      </c>
      <c r="F142" s="82">
        <v>484</v>
      </c>
      <c r="G142" s="82">
        <v>1752</v>
      </c>
      <c r="H142" s="83">
        <v>25.279879851245706</v>
      </c>
      <c r="I142" s="83">
        <v>3648.2191127430333</v>
      </c>
      <c r="J142" s="83">
        <v>16.887073308532702</v>
      </c>
    </row>
    <row r="143" spans="1:10" ht="16">
      <c r="A143" s="79" t="s">
        <v>1010</v>
      </c>
      <c r="B143" s="79" t="s">
        <v>1007</v>
      </c>
      <c r="C143" s="80" t="s">
        <v>126</v>
      </c>
      <c r="D143" s="81" t="s">
        <v>103</v>
      </c>
      <c r="E143" s="82">
        <v>16681</v>
      </c>
      <c r="F143" s="82">
        <v>755</v>
      </c>
      <c r="G143" s="82">
        <v>3003</v>
      </c>
      <c r="H143" s="83">
        <v>37.890053645456909</v>
      </c>
      <c r="I143" s="83">
        <v>9328.8477974545731</v>
      </c>
      <c r="J143" s="83">
        <v>38.568564259152147</v>
      </c>
    </row>
    <row r="144" spans="1:10" ht="16">
      <c r="A144" s="79" t="s">
        <v>1011</v>
      </c>
      <c r="B144" s="79" t="s">
        <v>1007</v>
      </c>
      <c r="C144" s="80" t="s">
        <v>126</v>
      </c>
      <c r="D144" s="81" t="s">
        <v>79</v>
      </c>
      <c r="E144" s="82">
        <v>21908</v>
      </c>
      <c r="F144" s="82">
        <v>1101</v>
      </c>
      <c r="G144" s="82">
        <v>876</v>
      </c>
      <c r="H144" s="83">
        <v>21.773051280332389</v>
      </c>
      <c r="I144" s="83">
        <v>2556.4476663457449</v>
      </c>
      <c r="J144" s="83">
        <v>23.345388566062997</v>
      </c>
    </row>
    <row r="145" spans="1:10" ht="16">
      <c r="A145" s="79" t="s">
        <v>667</v>
      </c>
      <c r="B145" s="79" t="s">
        <v>661</v>
      </c>
      <c r="C145" s="80" t="s">
        <v>126</v>
      </c>
      <c r="D145" s="81" t="s">
        <v>101</v>
      </c>
      <c r="E145" s="82">
        <v>26302</v>
      </c>
      <c r="F145" s="82">
        <v>707</v>
      </c>
      <c r="G145" s="82">
        <v>1052</v>
      </c>
      <c r="H145" s="83">
        <v>10.785733591693676</v>
      </c>
      <c r="I145" s="83">
        <v>2380.0707894523193</v>
      </c>
      <c r="J145" s="83">
        <v>27.462814286906355</v>
      </c>
    </row>
    <row r="146" spans="1:10" ht="16">
      <c r="A146" s="79" t="s">
        <v>479</v>
      </c>
      <c r="B146" s="79" t="s">
        <v>478</v>
      </c>
      <c r="C146" s="80" t="s">
        <v>95</v>
      </c>
      <c r="D146" s="81" t="s">
        <v>76</v>
      </c>
      <c r="E146" s="82">
        <v>9587</v>
      </c>
      <c r="F146" s="82">
        <v>872</v>
      </c>
      <c r="G146" s="82">
        <v>4314</v>
      </c>
      <c r="H146" s="83">
        <v>49.137437422454283</v>
      </c>
      <c r="I146" s="83">
        <v>38021.326275077088</v>
      </c>
      <c r="J146" s="83">
        <v>41.380077469222314</v>
      </c>
    </row>
    <row r="147" spans="1:10" ht="16">
      <c r="A147" s="79" t="s">
        <v>1221</v>
      </c>
      <c r="B147" s="79" t="s">
        <v>1209</v>
      </c>
      <c r="C147" s="80" t="s">
        <v>95</v>
      </c>
      <c r="D147" s="81" t="s">
        <v>103</v>
      </c>
      <c r="E147" s="82">
        <v>14362</v>
      </c>
      <c r="F147" s="82">
        <v>776</v>
      </c>
      <c r="G147" s="82">
        <v>7325</v>
      </c>
      <c r="H147" s="83">
        <v>28.398323653487044</v>
      </c>
      <c r="I147" s="83">
        <v>16091.614608226073</v>
      </c>
      <c r="J147" s="83">
        <v>26.318022669534951</v>
      </c>
    </row>
    <row r="148" spans="1:10" ht="16">
      <c r="A148" s="79" t="s">
        <v>1320</v>
      </c>
      <c r="B148" s="79" t="s">
        <v>1307</v>
      </c>
      <c r="C148" s="80" t="s">
        <v>95</v>
      </c>
      <c r="D148" s="81" t="s">
        <v>103</v>
      </c>
      <c r="E148" s="82">
        <v>3045</v>
      </c>
      <c r="F148" s="82">
        <v>265</v>
      </c>
      <c r="G148" s="82">
        <v>700</v>
      </c>
      <c r="H148" s="83">
        <v>22.791066098097499</v>
      </c>
      <c r="I148" s="83">
        <v>18039.257507077033</v>
      </c>
      <c r="J148" s="83">
        <v>24.824284928333661</v>
      </c>
    </row>
    <row r="149" spans="1:10" ht="16">
      <c r="A149" s="79" t="s">
        <v>398</v>
      </c>
      <c r="B149" s="79" t="s">
        <v>396</v>
      </c>
      <c r="C149" s="80" t="s">
        <v>95</v>
      </c>
      <c r="D149" s="81" t="s">
        <v>76</v>
      </c>
      <c r="E149" s="82">
        <v>26875</v>
      </c>
      <c r="F149" s="82">
        <v>2116</v>
      </c>
      <c r="G149" s="82">
        <v>3494</v>
      </c>
      <c r="H149" s="83">
        <v>24.773729776868695</v>
      </c>
      <c r="I149" s="83">
        <v>13971.239019271265</v>
      </c>
      <c r="J149" s="83">
        <v>26.205084123207509</v>
      </c>
    </row>
    <row r="150" spans="1:10" ht="16">
      <c r="A150" s="79" t="s">
        <v>1321</v>
      </c>
      <c r="B150" s="79" t="s">
        <v>1307</v>
      </c>
      <c r="C150" s="80" t="s">
        <v>126</v>
      </c>
      <c r="D150" s="81" t="s">
        <v>111</v>
      </c>
      <c r="E150" s="82">
        <v>21436</v>
      </c>
      <c r="F150" s="82">
        <v>1261</v>
      </c>
      <c r="G150" s="82">
        <v>1501</v>
      </c>
      <c r="H150" s="83">
        <v>22.140162700086574</v>
      </c>
      <c r="I150" s="83">
        <v>9156.2348673191773</v>
      </c>
      <c r="J150" s="83">
        <v>25.769079612226619</v>
      </c>
    </row>
    <row r="151" spans="1:10" ht="16">
      <c r="A151" s="79" t="s">
        <v>503</v>
      </c>
      <c r="B151" s="79" t="s">
        <v>493</v>
      </c>
      <c r="C151" s="80" t="s">
        <v>126</v>
      </c>
      <c r="D151" s="81" t="s">
        <v>103</v>
      </c>
      <c r="E151" s="82">
        <v>8271</v>
      </c>
      <c r="F151" s="82">
        <v>447</v>
      </c>
      <c r="G151" s="82">
        <v>185</v>
      </c>
      <c r="H151" s="83">
        <v>11.237708563087672</v>
      </c>
      <c r="I151" s="83">
        <v>830.93970391645928</v>
      </c>
      <c r="J151" s="83">
        <v>23.362526375560567</v>
      </c>
    </row>
    <row r="152" spans="1:10" ht="16">
      <c r="A152" s="79" t="s">
        <v>1322</v>
      </c>
      <c r="B152" s="79" t="s">
        <v>1307</v>
      </c>
      <c r="C152" s="80" t="s">
        <v>126</v>
      </c>
      <c r="D152" s="81" t="s">
        <v>78</v>
      </c>
      <c r="E152" s="82">
        <v>5768</v>
      </c>
      <c r="F152" s="82">
        <v>345</v>
      </c>
      <c r="G152" s="82">
        <v>634</v>
      </c>
      <c r="H152" s="83">
        <v>25.593926285635547</v>
      </c>
      <c r="I152" s="83">
        <v>20033.212019051258</v>
      </c>
      <c r="J152" s="83">
        <v>30.739805329629426</v>
      </c>
    </row>
    <row r="153" spans="1:10" ht="16">
      <c r="A153" s="79" t="s">
        <v>1323</v>
      </c>
      <c r="B153" s="79" t="s">
        <v>1307</v>
      </c>
      <c r="C153" s="80" t="s">
        <v>95</v>
      </c>
      <c r="D153" s="81" t="s">
        <v>149</v>
      </c>
      <c r="E153" s="82">
        <v>26014</v>
      </c>
      <c r="F153" s="82">
        <v>1596</v>
      </c>
      <c r="G153" s="82">
        <v>1561</v>
      </c>
      <c r="H153" s="83">
        <v>26.200040254951826</v>
      </c>
      <c r="I153" s="83">
        <v>16243.819339567559</v>
      </c>
      <c r="J153" s="83">
        <v>27.977659096446519</v>
      </c>
    </row>
    <row r="154" spans="1:10" ht="16">
      <c r="A154" s="79" t="s">
        <v>1324</v>
      </c>
      <c r="B154" s="79" t="s">
        <v>1307</v>
      </c>
      <c r="C154" s="80" t="s">
        <v>126</v>
      </c>
      <c r="D154" s="81" t="s">
        <v>149</v>
      </c>
      <c r="E154" s="82">
        <v>26586</v>
      </c>
      <c r="F154" s="82">
        <v>4584</v>
      </c>
      <c r="G154" s="82">
        <v>9837</v>
      </c>
      <c r="H154" s="83">
        <v>82.695894095588642</v>
      </c>
      <c r="I154" s="83">
        <v>81149.717155975362</v>
      </c>
      <c r="J154" s="83">
        <v>86.569023983002609</v>
      </c>
    </row>
    <row r="155" spans="1:10" ht="16">
      <c r="A155" s="79" t="s">
        <v>988</v>
      </c>
      <c r="B155" s="79" t="s">
        <v>989</v>
      </c>
      <c r="C155" s="80" t="s">
        <v>95</v>
      </c>
      <c r="D155" s="81" t="s">
        <v>96</v>
      </c>
      <c r="E155" s="82">
        <v>20056</v>
      </c>
      <c r="F155" s="82">
        <v>2047</v>
      </c>
      <c r="G155" s="82">
        <v>2808</v>
      </c>
      <c r="H155" s="83">
        <v>14.062496101301447</v>
      </c>
      <c r="I155" s="83">
        <v>2924.2002034556922</v>
      </c>
      <c r="J155" s="83">
        <v>22.644745698013601</v>
      </c>
    </row>
    <row r="156" spans="1:10" ht="16">
      <c r="A156" s="79" t="s">
        <v>1042</v>
      </c>
      <c r="B156" s="79" t="s">
        <v>1039</v>
      </c>
      <c r="C156" s="80" t="s">
        <v>95</v>
      </c>
      <c r="D156" s="81" t="s">
        <v>76</v>
      </c>
      <c r="E156" s="82">
        <v>62624</v>
      </c>
      <c r="F156" s="82">
        <v>3179</v>
      </c>
      <c r="G156" s="82">
        <v>8141</v>
      </c>
      <c r="H156" s="83">
        <v>29.79603871220603</v>
      </c>
      <c r="I156" s="83">
        <v>13688.886651250405</v>
      </c>
      <c r="J156" s="83">
        <v>35.486368756281841</v>
      </c>
    </row>
    <row r="157" spans="1:10" ht="16">
      <c r="A157" s="79" t="s">
        <v>878</v>
      </c>
      <c r="B157" s="79" t="s">
        <v>877</v>
      </c>
      <c r="C157" s="80" t="s">
        <v>126</v>
      </c>
      <c r="D157" s="81" t="s">
        <v>76</v>
      </c>
      <c r="E157" s="82">
        <v>33030</v>
      </c>
      <c r="F157" s="82">
        <v>2897</v>
      </c>
      <c r="G157" s="82">
        <v>330</v>
      </c>
      <c r="H157" s="83">
        <v>10.187361951721348</v>
      </c>
      <c r="I157" s="83">
        <v>6547.4295305434316</v>
      </c>
      <c r="J157" s="83">
        <v>17.076736234553433</v>
      </c>
    </row>
    <row r="158" spans="1:10" ht="16">
      <c r="A158" s="79" t="s">
        <v>204</v>
      </c>
      <c r="B158" s="79" t="s">
        <v>203</v>
      </c>
      <c r="C158" s="80" t="s">
        <v>126</v>
      </c>
      <c r="D158" s="81" t="s">
        <v>149</v>
      </c>
      <c r="E158" s="82">
        <v>33543</v>
      </c>
      <c r="F158" s="82">
        <v>1038</v>
      </c>
      <c r="G158" s="82">
        <v>9727</v>
      </c>
      <c r="H158" s="83">
        <v>26.650069173991998</v>
      </c>
      <c r="I158" s="83">
        <v>11948.524877392883</v>
      </c>
      <c r="J158" s="83">
        <v>21.392152396852353</v>
      </c>
    </row>
    <row r="159" spans="1:10" ht="16">
      <c r="A159" s="79" t="s">
        <v>357</v>
      </c>
      <c r="B159" s="79" t="s">
        <v>355</v>
      </c>
      <c r="C159" s="80" t="s">
        <v>126</v>
      </c>
      <c r="D159" s="81" t="s">
        <v>149</v>
      </c>
      <c r="E159" s="82">
        <v>16317</v>
      </c>
      <c r="F159" s="82">
        <v>528</v>
      </c>
      <c r="G159" s="82">
        <v>4079</v>
      </c>
      <c r="H159" s="83">
        <v>32.991893699000983</v>
      </c>
      <c r="I159" s="83">
        <v>27181.706904270024</v>
      </c>
      <c r="J159" s="83">
        <v>25.407808167509398</v>
      </c>
    </row>
    <row r="160" spans="1:10" ht="16">
      <c r="A160" s="79" t="s">
        <v>1325</v>
      </c>
      <c r="B160" s="79" t="s">
        <v>1307</v>
      </c>
      <c r="C160" s="80" t="s">
        <v>126</v>
      </c>
      <c r="D160" s="81" t="s">
        <v>103</v>
      </c>
      <c r="E160" s="82">
        <v>22319</v>
      </c>
      <c r="F160" s="82">
        <v>2277</v>
      </c>
      <c r="G160" s="82">
        <v>5580</v>
      </c>
      <c r="H160" s="83">
        <v>86.169807457814613</v>
      </c>
      <c r="I160" s="83">
        <v>83113.964063048887</v>
      </c>
      <c r="J160" s="83">
        <v>80.640919044050136</v>
      </c>
    </row>
    <row r="161" spans="1:10" ht="16">
      <c r="A161" s="79" t="s">
        <v>486</v>
      </c>
      <c r="B161" s="79" t="s">
        <v>485</v>
      </c>
      <c r="C161" s="80" t="s">
        <v>95</v>
      </c>
      <c r="D161" s="81" t="s">
        <v>78</v>
      </c>
      <c r="E161" s="82">
        <v>11023</v>
      </c>
      <c r="F161" s="82">
        <v>475</v>
      </c>
      <c r="G161" s="82">
        <v>1653</v>
      </c>
      <c r="H161" s="83">
        <v>14.450447178044998</v>
      </c>
      <c r="I161" s="83">
        <v>3255.7435666939082</v>
      </c>
      <c r="J161" s="83">
        <v>18.519882835631613</v>
      </c>
    </row>
    <row r="162" spans="1:10" ht="16">
      <c r="A162" s="79" t="s">
        <v>861</v>
      </c>
      <c r="B162" s="79" t="s">
        <v>862</v>
      </c>
      <c r="C162" s="80" t="s">
        <v>126</v>
      </c>
      <c r="D162" s="81" t="s">
        <v>111</v>
      </c>
      <c r="E162" s="82">
        <v>8768</v>
      </c>
      <c r="F162" s="82">
        <v>558</v>
      </c>
      <c r="G162" s="82">
        <v>610</v>
      </c>
      <c r="H162" s="83">
        <v>14.736056193207359</v>
      </c>
      <c r="I162" s="83">
        <v>11538.241691460826</v>
      </c>
      <c r="J162" s="83">
        <v>27.584746945954763</v>
      </c>
    </row>
    <row r="163" spans="1:10" ht="16">
      <c r="A163" s="79" t="s">
        <v>1222</v>
      </c>
      <c r="B163" s="79" t="s">
        <v>1209</v>
      </c>
      <c r="C163" s="80" t="s">
        <v>126</v>
      </c>
      <c r="D163" s="81" t="s">
        <v>99</v>
      </c>
      <c r="E163" s="82">
        <v>27531</v>
      </c>
      <c r="F163" s="82">
        <v>1679</v>
      </c>
      <c r="G163" s="82">
        <v>12664</v>
      </c>
      <c r="H163" s="83">
        <v>13.011647080584869</v>
      </c>
      <c r="I163" s="83">
        <v>5634.221742572191</v>
      </c>
      <c r="J163" s="83">
        <v>18.368701220323228</v>
      </c>
    </row>
    <row r="164" spans="1:10" ht="16">
      <c r="A164" s="79" t="s">
        <v>1326</v>
      </c>
      <c r="B164" s="79" t="s">
        <v>1307</v>
      </c>
      <c r="C164" s="80" t="s">
        <v>95</v>
      </c>
      <c r="D164" s="81" t="s">
        <v>78</v>
      </c>
      <c r="E164" s="82">
        <v>8228</v>
      </c>
      <c r="F164" s="82">
        <v>741</v>
      </c>
      <c r="G164" s="82">
        <v>658</v>
      </c>
      <c r="H164" s="83">
        <v>12.068471462162119</v>
      </c>
      <c r="I164" s="83">
        <v>4847.8728607896246</v>
      </c>
      <c r="J164" s="83">
        <v>42.873372097915535</v>
      </c>
    </row>
    <row r="165" spans="1:10" ht="16">
      <c r="A165" s="79" t="s">
        <v>1171</v>
      </c>
      <c r="B165" s="79" t="s">
        <v>1161</v>
      </c>
      <c r="C165" s="80" t="s">
        <v>126</v>
      </c>
      <c r="D165" s="81" t="s">
        <v>96</v>
      </c>
      <c r="E165" s="82">
        <v>42418</v>
      </c>
      <c r="F165" s="82">
        <v>2164</v>
      </c>
      <c r="G165" s="82">
        <v>1273</v>
      </c>
      <c r="H165" s="83">
        <v>13.068801933207416</v>
      </c>
      <c r="I165" s="83">
        <v>1956.943413553917</v>
      </c>
      <c r="J165" s="83">
        <v>15.285626944178627</v>
      </c>
    </row>
    <row r="166" spans="1:10" ht="16">
      <c r="A166" s="79" t="s">
        <v>114</v>
      </c>
      <c r="B166" s="79" t="s">
        <v>108</v>
      </c>
      <c r="C166" s="80" t="s">
        <v>95</v>
      </c>
      <c r="D166" s="81" t="s">
        <v>78</v>
      </c>
      <c r="E166" s="82">
        <v>29214</v>
      </c>
      <c r="F166" s="82">
        <v>1446</v>
      </c>
      <c r="G166" s="82">
        <v>9056</v>
      </c>
      <c r="H166" s="83">
        <v>31.192542901242245</v>
      </c>
      <c r="I166" s="83">
        <v>25325.949028029318</v>
      </c>
      <c r="J166" s="83">
        <v>24.108346715746297</v>
      </c>
    </row>
    <row r="167" spans="1:10" ht="16">
      <c r="A167" s="79" t="s">
        <v>337</v>
      </c>
      <c r="B167" s="79" t="s">
        <v>338</v>
      </c>
      <c r="C167" s="80" t="s">
        <v>95</v>
      </c>
      <c r="D167" s="81" t="s">
        <v>101</v>
      </c>
      <c r="E167" s="82">
        <v>3228</v>
      </c>
      <c r="F167" s="82">
        <v>186</v>
      </c>
      <c r="G167" s="82">
        <v>258</v>
      </c>
      <c r="H167" s="83">
        <v>17.272747087586971</v>
      </c>
      <c r="I167" s="83">
        <v>16071.358864172304</v>
      </c>
      <c r="J167" s="83">
        <v>17.656505755130134</v>
      </c>
    </row>
    <row r="168" spans="1:10" ht="16">
      <c r="A168" s="79" t="s">
        <v>343</v>
      </c>
      <c r="B168" s="79" t="s">
        <v>341</v>
      </c>
      <c r="C168" s="80" t="s">
        <v>126</v>
      </c>
      <c r="D168" s="81" t="s">
        <v>78</v>
      </c>
      <c r="E168" s="82">
        <v>19499</v>
      </c>
      <c r="F168" s="82">
        <v>1840</v>
      </c>
      <c r="G168" s="82">
        <v>3705</v>
      </c>
      <c r="H168" s="83">
        <v>17.658551573799269</v>
      </c>
      <c r="I168" s="83">
        <v>4093.4580753461382</v>
      </c>
      <c r="J168" s="83">
        <v>21.796064596850819</v>
      </c>
    </row>
    <row r="169" spans="1:10" ht="16">
      <c r="A169" s="79" t="s">
        <v>344</v>
      </c>
      <c r="B169" s="79" t="s">
        <v>341</v>
      </c>
      <c r="C169" s="80" t="s">
        <v>95</v>
      </c>
      <c r="D169" s="81" t="s">
        <v>103</v>
      </c>
      <c r="E169" s="82">
        <v>17065</v>
      </c>
      <c r="F169" s="82">
        <v>837</v>
      </c>
      <c r="G169" s="82">
        <v>3413</v>
      </c>
      <c r="H169" s="83">
        <v>13.678571527468778</v>
      </c>
      <c r="I169" s="83">
        <v>2451.7776461785484</v>
      </c>
      <c r="J169" s="83">
        <v>17.565278482457746</v>
      </c>
    </row>
    <row r="170" spans="1:10" ht="16">
      <c r="A170" s="79" t="s">
        <v>205</v>
      </c>
      <c r="B170" s="79" t="s">
        <v>203</v>
      </c>
      <c r="C170" s="80" t="s">
        <v>95</v>
      </c>
      <c r="D170" s="81" t="s">
        <v>101</v>
      </c>
      <c r="E170" s="82">
        <v>15196</v>
      </c>
      <c r="F170" s="82">
        <v>1034</v>
      </c>
      <c r="G170" s="82">
        <v>3495</v>
      </c>
      <c r="H170" s="83">
        <v>30.388828932381315</v>
      </c>
      <c r="I170" s="83">
        <v>23604.855104491307</v>
      </c>
      <c r="J170" s="83">
        <v>27.921415743414961</v>
      </c>
    </row>
    <row r="171" spans="1:10" ht="16">
      <c r="A171" s="79" t="s">
        <v>255</v>
      </c>
      <c r="B171" s="79" t="s">
        <v>242</v>
      </c>
      <c r="C171" s="80" t="s">
        <v>126</v>
      </c>
      <c r="D171" s="81" t="s">
        <v>101</v>
      </c>
      <c r="E171" s="82">
        <v>39665</v>
      </c>
      <c r="F171" s="82">
        <v>2526</v>
      </c>
      <c r="G171" s="82">
        <v>1190</v>
      </c>
      <c r="H171" s="83">
        <v>24.397808155650335</v>
      </c>
      <c r="I171" s="83">
        <v>9541.9034675095136</v>
      </c>
      <c r="J171" s="83">
        <v>24.868339162252472</v>
      </c>
    </row>
    <row r="172" spans="1:10" ht="16">
      <c r="A172" s="79" t="s">
        <v>1327</v>
      </c>
      <c r="B172" s="79" t="s">
        <v>1307</v>
      </c>
      <c r="C172" s="80" t="s">
        <v>126</v>
      </c>
      <c r="D172" s="81" t="s">
        <v>78</v>
      </c>
      <c r="E172" s="82">
        <v>6247</v>
      </c>
      <c r="F172" s="82">
        <v>811</v>
      </c>
      <c r="G172" s="82">
        <v>937</v>
      </c>
      <c r="H172" s="83">
        <v>40.704904219321655</v>
      </c>
      <c r="I172" s="83">
        <v>38557.763505700379</v>
      </c>
      <c r="J172" s="83">
        <v>58.837043344041689</v>
      </c>
    </row>
    <row r="173" spans="1:10" ht="16">
      <c r="A173" s="79" t="s">
        <v>894</v>
      </c>
      <c r="B173" s="79" t="s">
        <v>895</v>
      </c>
      <c r="C173" s="80" t="s">
        <v>126</v>
      </c>
      <c r="D173" s="81" t="s">
        <v>75</v>
      </c>
      <c r="E173" s="82">
        <v>15604</v>
      </c>
      <c r="F173" s="82">
        <v>877</v>
      </c>
      <c r="G173" s="82">
        <v>468</v>
      </c>
      <c r="H173" s="83">
        <v>13.848144887359037</v>
      </c>
      <c r="I173" s="83">
        <v>3417.4214432908898</v>
      </c>
      <c r="J173" s="83">
        <v>17.565366175467126</v>
      </c>
    </row>
    <row r="174" spans="1:10" ht="16">
      <c r="A174" s="79" t="s">
        <v>1223</v>
      </c>
      <c r="B174" s="79" t="s">
        <v>1209</v>
      </c>
      <c r="C174" s="80" t="s">
        <v>95</v>
      </c>
      <c r="D174" s="81" t="s">
        <v>77</v>
      </c>
      <c r="E174" s="82">
        <v>19093</v>
      </c>
      <c r="F174" s="82">
        <v>979</v>
      </c>
      <c r="G174" s="82">
        <v>5155</v>
      </c>
      <c r="H174" s="83">
        <v>14.133386994774698</v>
      </c>
      <c r="I174" s="83">
        <v>6974.3197070667111</v>
      </c>
      <c r="J174" s="83">
        <v>17.669017641447173</v>
      </c>
    </row>
    <row r="175" spans="1:10" ht="16">
      <c r="A175" s="79" t="s">
        <v>115</v>
      </c>
      <c r="B175" s="79" t="s">
        <v>108</v>
      </c>
      <c r="C175" s="80" t="s">
        <v>95</v>
      </c>
      <c r="D175" s="81" t="s">
        <v>96</v>
      </c>
      <c r="E175" s="82">
        <v>39305</v>
      </c>
      <c r="F175" s="82">
        <v>1374</v>
      </c>
      <c r="G175" s="82">
        <v>8647</v>
      </c>
      <c r="H175" s="83">
        <v>30.475917343148954</v>
      </c>
      <c r="I175" s="83">
        <v>21820.587749169837</v>
      </c>
      <c r="J175" s="83">
        <v>24.654082928616369</v>
      </c>
    </row>
    <row r="176" spans="1:10" ht="16">
      <c r="A176" s="79" t="s">
        <v>322</v>
      </c>
      <c r="B176" s="79" t="s">
        <v>323</v>
      </c>
      <c r="C176" s="80" t="s">
        <v>95</v>
      </c>
      <c r="D176" s="81" t="s">
        <v>79</v>
      </c>
      <c r="E176" s="82">
        <v>10339</v>
      </c>
      <c r="F176" s="82">
        <v>801</v>
      </c>
      <c r="G176" s="82">
        <v>103</v>
      </c>
      <c r="H176" s="83">
        <v>10.584688056692176</v>
      </c>
      <c r="I176" s="83">
        <v>1482.4828276110857</v>
      </c>
      <c r="J176" s="83">
        <v>17.343742959913399</v>
      </c>
    </row>
    <row r="177" spans="1:10" ht="16">
      <c r="A177" s="79" t="s">
        <v>838</v>
      </c>
      <c r="B177" s="79" t="s">
        <v>839</v>
      </c>
      <c r="C177" s="80" t="s">
        <v>126</v>
      </c>
      <c r="D177" s="81" t="s">
        <v>99</v>
      </c>
      <c r="E177" s="82">
        <v>18743</v>
      </c>
      <c r="F177" s="82">
        <v>928</v>
      </c>
      <c r="G177" s="82">
        <v>5623</v>
      </c>
      <c r="H177" s="83">
        <v>72.701987064467176</v>
      </c>
      <c r="I177" s="83">
        <v>45705.871245144837</v>
      </c>
      <c r="J177" s="83">
        <v>55.314109383079888</v>
      </c>
    </row>
    <row r="178" spans="1:10" ht="16">
      <c r="A178" s="79" t="s">
        <v>504</v>
      </c>
      <c r="B178" s="79" t="s">
        <v>493</v>
      </c>
      <c r="C178" s="80" t="s">
        <v>126</v>
      </c>
      <c r="D178" s="81" t="s">
        <v>75</v>
      </c>
      <c r="E178" s="82">
        <v>8242</v>
      </c>
      <c r="F178" s="82">
        <v>354</v>
      </c>
      <c r="G178" s="82">
        <v>379</v>
      </c>
      <c r="H178" s="83">
        <v>13.230473603316501</v>
      </c>
      <c r="I178" s="83">
        <v>4915.1710164324149</v>
      </c>
      <c r="J178" s="83">
        <v>16.348294088892125</v>
      </c>
    </row>
    <row r="179" spans="1:10" ht="16">
      <c r="A179" s="79" t="s">
        <v>469</v>
      </c>
      <c r="B179" s="79" t="s">
        <v>467</v>
      </c>
      <c r="C179" s="80" t="s">
        <v>95</v>
      </c>
      <c r="D179" s="81" t="s">
        <v>101</v>
      </c>
      <c r="E179" s="82">
        <v>30414</v>
      </c>
      <c r="F179" s="82">
        <v>611</v>
      </c>
      <c r="G179" s="82">
        <v>912</v>
      </c>
      <c r="H179" s="83">
        <v>11.953938710937136</v>
      </c>
      <c r="I179" s="83">
        <v>3737.2165146584161</v>
      </c>
      <c r="J179" s="83">
        <v>15.061528040642338</v>
      </c>
    </row>
    <row r="180" spans="1:10" ht="16">
      <c r="A180" s="79" t="s">
        <v>233</v>
      </c>
      <c r="B180" s="79" t="s">
        <v>231</v>
      </c>
      <c r="C180" s="80" t="s">
        <v>126</v>
      </c>
      <c r="D180" s="81" t="s">
        <v>111</v>
      </c>
      <c r="E180" s="82">
        <v>17287</v>
      </c>
      <c r="F180" s="82">
        <v>1160</v>
      </c>
      <c r="G180" s="82">
        <v>346</v>
      </c>
      <c r="H180" s="83">
        <v>10.585709242446788</v>
      </c>
      <c r="I180" s="83">
        <v>10089.086852941786</v>
      </c>
      <c r="J180" s="83">
        <v>15.10309465828465</v>
      </c>
    </row>
    <row r="181" spans="1:10" ht="16">
      <c r="A181" s="79" t="s">
        <v>1172</v>
      </c>
      <c r="B181" s="79" t="s">
        <v>1161</v>
      </c>
      <c r="C181" s="80" t="s">
        <v>126</v>
      </c>
      <c r="D181" s="81" t="s">
        <v>78</v>
      </c>
      <c r="E181" s="82">
        <v>62844</v>
      </c>
      <c r="F181" s="82">
        <v>3256</v>
      </c>
      <c r="G181" s="82">
        <v>1257</v>
      </c>
      <c r="H181" s="83">
        <v>10.178757690466606</v>
      </c>
      <c r="I181" s="83">
        <v>1883.3465410406088</v>
      </c>
      <c r="J181" s="83">
        <v>15.994263922959147</v>
      </c>
    </row>
    <row r="182" spans="1:10" ht="16">
      <c r="A182" s="79" t="s">
        <v>668</v>
      </c>
      <c r="B182" s="79" t="s">
        <v>661</v>
      </c>
      <c r="C182" s="80" t="s">
        <v>126</v>
      </c>
      <c r="D182" s="81" t="s">
        <v>103</v>
      </c>
      <c r="E182" s="82">
        <v>28309</v>
      </c>
      <c r="F182" s="82">
        <v>1506</v>
      </c>
      <c r="G182" s="82">
        <v>1132</v>
      </c>
      <c r="H182" s="83">
        <v>9.8984932564344472</v>
      </c>
      <c r="I182" s="83">
        <v>755.43472626857829</v>
      </c>
      <c r="J182" s="83">
        <v>16.286905185893332</v>
      </c>
    </row>
    <row r="183" spans="1:10" ht="16">
      <c r="A183" s="79" t="s">
        <v>1328</v>
      </c>
      <c r="B183" s="79" t="s">
        <v>1307</v>
      </c>
      <c r="C183" s="80" t="s">
        <v>126</v>
      </c>
      <c r="D183" s="81" t="s">
        <v>76</v>
      </c>
      <c r="E183" s="82">
        <v>19801</v>
      </c>
      <c r="F183" s="82">
        <v>1784</v>
      </c>
      <c r="G183" s="82">
        <v>3366</v>
      </c>
      <c r="H183" s="83">
        <v>20.548241771939999</v>
      </c>
      <c r="I183" s="83">
        <v>13205.968144102577</v>
      </c>
      <c r="J183" s="83">
        <v>36.642413157540958</v>
      </c>
    </row>
    <row r="184" spans="1:10" ht="16">
      <c r="A184" s="79" t="s">
        <v>599</v>
      </c>
      <c r="B184" s="79" t="s">
        <v>600</v>
      </c>
      <c r="C184" s="80" t="s">
        <v>95</v>
      </c>
      <c r="D184" s="81" t="s">
        <v>76</v>
      </c>
      <c r="E184" s="82">
        <v>12619</v>
      </c>
      <c r="F184" s="82">
        <v>526</v>
      </c>
      <c r="G184" s="82">
        <v>1262</v>
      </c>
      <c r="H184" s="83">
        <v>25.648720128360804</v>
      </c>
      <c r="I184" s="83">
        <v>12547.02184479459</v>
      </c>
      <c r="J184" s="83">
        <v>21.345469866171143</v>
      </c>
    </row>
    <row r="185" spans="1:10" ht="16">
      <c r="A185" s="79" t="s">
        <v>1329</v>
      </c>
      <c r="B185" s="79" t="s">
        <v>1307</v>
      </c>
      <c r="C185" s="80" t="s">
        <v>126</v>
      </c>
      <c r="D185" s="81" t="s">
        <v>78</v>
      </c>
      <c r="E185" s="82">
        <v>15309</v>
      </c>
      <c r="F185" s="82">
        <v>3560</v>
      </c>
      <c r="G185" s="82">
        <v>2909</v>
      </c>
      <c r="H185" s="83">
        <v>76.818112533598708</v>
      </c>
      <c r="I185" s="83">
        <v>74544.281370379016</v>
      </c>
      <c r="J185" s="83">
        <v>82.665281763753441</v>
      </c>
    </row>
    <row r="186" spans="1:10" ht="16">
      <c r="A186" s="79" t="s">
        <v>1224</v>
      </c>
      <c r="B186" s="79" t="s">
        <v>1209</v>
      </c>
      <c r="C186" s="80" t="s">
        <v>95</v>
      </c>
      <c r="D186" s="81" t="s">
        <v>77</v>
      </c>
      <c r="E186" s="82">
        <v>16963</v>
      </c>
      <c r="F186" s="82">
        <v>1146</v>
      </c>
      <c r="G186" s="82">
        <v>5089</v>
      </c>
      <c r="H186" s="83">
        <v>48.252445777962222</v>
      </c>
      <c r="I186" s="83">
        <v>36117.08156440327</v>
      </c>
      <c r="J186" s="83">
        <v>45.97078394107011</v>
      </c>
    </row>
    <row r="187" spans="1:10" ht="16">
      <c r="A187" s="79" t="s">
        <v>256</v>
      </c>
      <c r="B187" s="79" t="s">
        <v>242</v>
      </c>
      <c r="C187" s="80" t="s">
        <v>95</v>
      </c>
      <c r="D187" s="81" t="s">
        <v>79</v>
      </c>
      <c r="E187" s="82">
        <v>25747</v>
      </c>
      <c r="F187" s="82">
        <v>2239</v>
      </c>
      <c r="G187" s="82">
        <v>4377</v>
      </c>
      <c r="H187" s="83">
        <v>24.444875427064765</v>
      </c>
      <c r="I187" s="83">
        <v>11917.784446244046</v>
      </c>
      <c r="J187" s="83">
        <v>31.457694942301252</v>
      </c>
    </row>
    <row r="188" spans="1:10" ht="16">
      <c r="A188" s="79" t="s">
        <v>257</v>
      </c>
      <c r="B188" s="79" t="s">
        <v>242</v>
      </c>
      <c r="C188" s="80" t="s">
        <v>126</v>
      </c>
      <c r="D188" s="81" t="s">
        <v>77</v>
      </c>
      <c r="E188" s="82">
        <v>25519</v>
      </c>
      <c r="F188" s="82">
        <v>1636</v>
      </c>
      <c r="G188" s="82">
        <v>510</v>
      </c>
      <c r="H188" s="83">
        <v>19.491209066629384</v>
      </c>
      <c r="I188" s="83">
        <v>8430.0764018763984</v>
      </c>
      <c r="J188" s="83">
        <v>22.11941141088375</v>
      </c>
    </row>
    <row r="189" spans="1:10" ht="16">
      <c r="A189" s="79" t="s">
        <v>866</v>
      </c>
      <c r="B189" s="79" t="s">
        <v>867</v>
      </c>
      <c r="C189" s="80" t="s">
        <v>126</v>
      </c>
      <c r="D189" s="81" t="s">
        <v>78</v>
      </c>
      <c r="E189" s="82">
        <v>18865</v>
      </c>
      <c r="F189" s="82">
        <v>696</v>
      </c>
      <c r="G189" s="82">
        <v>15658</v>
      </c>
      <c r="H189" s="83">
        <v>12.659586751068218</v>
      </c>
      <c r="I189" s="83">
        <v>3592.1146276098789</v>
      </c>
      <c r="J189" s="83">
        <v>17.317402599633606</v>
      </c>
    </row>
    <row r="190" spans="1:10" ht="16">
      <c r="A190" s="79" t="s">
        <v>1225</v>
      </c>
      <c r="B190" s="79" t="s">
        <v>1209</v>
      </c>
      <c r="C190" s="80" t="s">
        <v>95</v>
      </c>
      <c r="D190" s="81" t="s">
        <v>103</v>
      </c>
      <c r="E190" s="82">
        <v>12185</v>
      </c>
      <c r="F190" s="82">
        <v>786</v>
      </c>
      <c r="G190" s="82">
        <v>609</v>
      </c>
      <c r="H190" s="83">
        <v>11.127126213154812</v>
      </c>
      <c r="I190" s="83">
        <v>3382.6866040044315</v>
      </c>
      <c r="J190" s="83">
        <v>15.303454800698217</v>
      </c>
    </row>
    <row r="191" spans="1:10" ht="16">
      <c r="A191" s="79" t="s">
        <v>1226</v>
      </c>
      <c r="B191" s="79" t="s">
        <v>1209</v>
      </c>
      <c r="C191" s="80" t="s">
        <v>95</v>
      </c>
      <c r="D191" s="81" t="s">
        <v>96</v>
      </c>
      <c r="E191" s="82">
        <v>10668</v>
      </c>
      <c r="F191" s="82">
        <v>567</v>
      </c>
      <c r="G191" s="82">
        <v>3520</v>
      </c>
      <c r="H191" s="83">
        <v>14.742755195425088</v>
      </c>
      <c r="I191" s="83">
        <v>5634.6607229866404</v>
      </c>
      <c r="J191" s="83">
        <v>17.599162760615535</v>
      </c>
    </row>
    <row r="192" spans="1:10" ht="16">
      <c r="A192" s="79" t="s">
        <v>116</v>
      </c>
      <c r="B192" s="79" t="s">
        <v>108</v>
      </c>
      <c r="C192" s="80" t="s">
        <v>95</v>
      </c>
      <c r="D192" s="81" t="s">
        <v>101</v>
      </c>
      <c r="E192" s="82">
        <v>17560</v>
      </c>
      <c r="F192" s="82">
        <v>561</v>
      </c>
      <c r="G192" s="82">
        <v>4566</v>
      </c>
      <c r="H192" s="83">
        <v>22.015371918784705</v>
      </c>
      <c r="I192" s="83">
        <v>14849.040245203518</v>
      </c>
      <c r="J192" s="83">
        <v>19.42268138246494</v>
      </c>
    </row>
    <row r="193" spans="1:10" ht="16">
      <c r="A193" s="79" t="s">
        <v>1173</v>
      </c>
      <c r="B193" s="79" t="s">
        <v>1161</v>
      </c>
      <c r="C193" s="80" t="s">
        <v>126</v>
      </c>
      <c r="D193" s="81" t="s">
        <v>103</v>
      </c>
      <c r="E193" s="82">
        <v>46056</v>
      </c>
      <c r="F193" s="82">
        <v>2193</v>
      </c>
      <c r="G193" s="82">
        <v>1382</v>
      </c>
      <c r="H193" s="83">
        <v>10.366917053454875</v>
      </c>
      <c r="I193" s="83">
        <v>1384.62863245517</v>
      </c>
      <c r="J193" s="83">
        <v>17.864124976851791</v>
      </c>
    </row>
    <row r="194" spans="1:10" ht="16">
      <c r="A194" s="79" t="s">
        <v>669</v>
      </c>
      <c r="B194" s="79" t="s">
        <v>661</v>
      </c>
      <c r="C194" s="80" t="s">
        <v>126</v>
      </c>
      <c r="D194" s="81" t="s">
        <v>103</v>
      </c>
      <c r="E194" s="82">
        <v>9333</v>
      </c>
      <c r="F194" s="82">
        <v>712</v>
      </c>
      <c r="G194" s="82">
        <v>187</v>
      </c>
      <c r="H194" s="83">
        <v>15.026467269186497</v>
      </c>
      <c r="I194" s="83">
        <v>3011.2032304365339</v>
      </c>
      <c r="J194" s="83">
        <v>21.836295376143124</v>
      </c>
    </row>
    <row r="195" spans="1:10" ht="16">
      <c r="A195" s="79" t="s">
        <v>840</v>
      </c>
      <c r="B195" s="79" t="s">
        <v>839</v>
      </c>
      <c r="C195" s="80" t="s">
        <v>126</v>
      </c>
      <c r="D195" s="81" t="s">
        <v>99</v>
      </c>
      <c r="E195" s="82">
        <v>8917</v>
      </c>
      <c r="F195" s="82">
        <v>431</v>
      </c>
      <c r="G195" s="82">
        <v>1694</v>
      </c>
      <c r="H195" s="83">
        <v>49.720990137236321</v>
      </c>
      <c r="I195" s="83">
        <v>29782.713478942165</v>
      </c>
      <c r="J195" s="83">
        <v>45.158540877677055</v>
      </c>
    </row>
    <row r="196" spans="1:10" ht="16">
      <c r="A196" s="79" t="s">
        <v>1330</v>
      </c>
      <c r="B196" s="79" t="s">
        <v>1307</v>
      </c>
      <c r="C196" s="80" t="s">
        <v>126</v>
      </c>
      <c r="D196" s="81" t="s">
        <v>96</v>
      </c>
      <c r="E196" s="82">
        <v>16340</v>
      </c>
      <c r="F196" s="82">
        <v>973</v>
      </c>
      <c r="G196" s="82">
        <v>1471</v>
      </c>
      <c r="H196" s="83">
        <v>9.430549244668148</v>
      </c>
      <c r="I196" s="83">
        <v>4112.7602077111278</v>
      </c>
      <c r="J196" s="83">
        <v>17.758510982585015</v>
      </c>
    </row>
    <row r="197" spans="1:10" ht="16">
      <c r="A197" s="79" t="s">
        <v>1331</v>
      </c>
      <c r="B197" s="79" t="s">
        <v>1307</v>
      </c>
      <c r="C197" s="80" t="s">
        <v>95</v>
      </c>
      <c r="D197" s="81" t="s">
        <v>76</v>
      </c>
      <c r="E197" s="82">
        <v>12735</v>
      </c>
      <c r="F197" s="82">
        <v>3184</v>
      </c>
      <c r="G197" s="82">
        <v>2547</v>
      </c>
      <c r="H197" s="83">
        <v>40.671667546664715</v>
      </c>
      <c r="I197" s="83">
        <v>40010.629090828981</v>
      </c>
      <c r="J197" s="83">
        <v>56.821648742443372</v>
      </c>
    </row>
    <row r="198" spans="1:10" ht="16">
      <c r="A198" s="79" t="s">
        <v>841</v>
      </c>
      <c r="B198" s="79" t="s">
        <v>839</v>
      </c>
      <c r="C198" s="80" t="s">
        <v>95</v>
      </c>
      <c r="D198" s="81" t="s">
        <v>79</v>
      </c>
      <c r="E198" s="82">
        <v>23167</v>
      </c>
      <c r="F198" s="82">
        <v>1136</v>
      </c>
      <c r="G198" s="82">
        <v>5328</v>
      </c>
      <c r="H198" s="83">
        <v>58.021305116635084</v>
      </c>
      <c r="I198" s="83">
        <v>55656.653883374398</v>
      </c>
      <c r="J198" s="83">
        <v>39.975102294961431</v>
      </c>
    </row>
    <row r="199" spans="1:10" ht="16">
      <c r="A199" s="79" t="s">
        <v>1174</v>
      </c>
      <c r="B199" s="79" t="s">
        <v>1161</v>
      </c>
      <c r="C199" s="80" t="s">
        <v>126</v>
      </c>
      <c r="D199" s="81" t="s">
        <v>103</v>
      </c>
      <c r="E199" s="82">
        <v>39178</v>
      </c>
      <c r="F199" s="82">
        <v>1346</v>
      </c>
      <c r="G199" s="82">
        <v>1175</v>
      </c>
      <c r="H199" s="83">
        <v>16.468244901487594</v>
      </c>
      <c r="I199" s="83">
        <v>3358.5022079842061</v>
      </c>
      <c r="J199" s="83">
        <v>19.834550024872986</v>
      </c>
    </row>
    <row r="200" spans="1:10" ht="16">
      <c r="A200" s="79" t="s">
        <v>1090</v>
      </c>
      <c r="B200" s="79" t="s">
        <v>1091</v>
      </c>
      <c r="C200" s="80" t="s">
        <v>126</v>
      </c>
      <c r="D200" s="81" t="s">
        <v>77</v>
      </c>
      <c r="E200" s="82">
        <v>18956</v>
      </c>
      <c r="F200" s="82">
        <v>1516</v>
      </c>
      <c r="G200" s="82">
        <v>7393</v>
      </c>
      <c r="H200" s="83">
        <v>93.351247680009322</v>
      </c>
      <c r="I200" s="83">
        <v>83855.251472959353</v>
      </c>
      <c r="J200" s="83">
        <v>82.167746237079072</v>
      </c>
    </row>
    <row r="201" spans="1:10" ht="16">
      <c r="A201" s="79" t="s">
        <v>1012</v>
      </c>
      <c r="B201" s="79" t="s">
        <v>1007</v>
      </c>
      <c r="C201" s="80" t="s">
        <v>126</v>
      </c>
      <c r="D201" s="81" t="s">
        <v>99</v>
      </c>
      <c r="E201" s="82">
        <v>14510</v>
      </c>
      <c r="F201" s="82">
        <v>859</v>
      </c>
      <c r="G201" s="82">
        <v>2177</v>
      </c>
      <c r="H201" s="83">
        <v>31.554006113376101</v>
      </c>
      <c r="I201" s="83">
        <v>9701.2934542901166</v>
      </c>
      <c r="J201" s="83">
        <v>30.256190587680095</v>
      </c>
    </row>
    <row r="202" spans="1:10" ht="16">
      <c r="A202" s="79" t="s">
        <v>941</v>
      </c>
      <c r="B202" s="79" t="s">
        <v>938</v>
      </c>
      <c r="C202" s="80" t="s">
        <v>126</v>
      </c>
      <c r="D202" s="81" t="s">
        <v>149</v>
      </c>
      <c r="E202" s="82">
        <v>15601</v>
      </c>
      <c r="F202" s="82">
        <v>1515</v>
      </c>
      <c r="G202" s="82">
        <v>2964</v>
      </c>
      <c r="H202" s="83">
        <v>11.405733643918573</v>
      </c>
      <c r="I202" s="83">
        <v>1329.1426300377354</v>
      </c>
      <c r="J202" s="83">
        <v>22.120695074225665</v>
      </c>
    </row>
    <row r="203" spans="1:10" ht="16">
      <c r="A203" s="79" t="s">
        <v>372</v>
      </c>
      <c r="B203" s="79" t="s">
        <v>363</v>
      </c>
      <c r="C203" s="80" t="s">
        <v>126</v>
      </c>
      <c r="D203" s="81" t="s">
        <v>96</v>
      </c>
      <c r="E203" s="82">
        <v>33084</v>
      </c>
      <c r="F203" s="82">
        <v>2346</v>
      </c>
      <c r="G203" s="82">
        <v>331</v>
      </c>
      <c r="H203" s="83">
        <v>10.432240576698346</v>
      </c>
      <c r="I203" s="83">
        <v>3205.2216221798885</v>
      </c>
      <c r="J203" s="83">
        <v>16.193748362092574</v>
      </c>
    </row>
    <row r="204" spans="1:10" ht="16">
      <c r="A204" s="79" t="s">
        <v>168</v>
      </c>
      <c r="B204" s="79" t="s">
        <v>169</v>
      </c>
      <c r="C204" s="80" t="s">
        <v>126</v>
      </c>
      <c r="D204" s="81" t="s">
        <v>77</v>
      </c>
      <c r="E204" s="82">
        <v>5872</v>
      </c>
      <c r="F204" s="82">
        <v>763</v>
      </c>
      <c r="G204" s="82">
        <v>404</v>
      </c>
      <c r="H204" s="83">
        <v>8.4208135568076568</v>
      </c>
      <c r="I204" s="83">
        <v>132.5970696049946</v>
      </c>
      <c r="J204" s="83">
        <v>27.961056623236296</v>
      </c>
    </row>
    <row r="205" spans="1:10" ht="16">
      <c r="A205" s="79" t="s">
        <v>170</v>
      </c>
      <c r="B205" s="79" t="s">
        <v>169</v>
      </c>
      <c r="C205" s="80" t="s">
        <v>126</v>
      </c>
      <c r="D205" s="81" t="s">
        <v>111</v>
      </c>
      <c r="E205" s="82">
        <v>14422</v>
      </c>
      <c r="F205" s="82">
        <v>690</v>
      </c>
      <c r="G205" s="82">
        <v>144</v>
      </c>
      <c r="H205" s="83">
        <v>12.522277291768289</v>
      </c>
      <c r="I205" s="83">
        <v>2862.0660951377363</v>
      </c>
      <c r="J205" s="83">
        <v>16.796855537252412</v>
      </c>
    </row>
    <row r="206" spans="1:10" ht="16">
      <c r="A206" s="79" t="s">
        <v>171</v>
      </c>
      <c r="B206" s="79" t="s">
        <v>169</v>
      </c>
      <c r="C206" s="80" t="s">
        <v>95</v>
      </c>
      <c r="D206" s="81" t="s">
        <v>101</v>
      </c>
      <c r="E206" s="82">
        <v>24077</v>
      </c>
      <c r="F206" s="82">
        <v>1824</v>
      </c>
      <c r="G206" s="82">
        <v>1204</v>
      </c>
      <c r="H206" s="83">
        <v>6.8544532111831087</v>
      </c>
      <c r="I206" s="83">
        <v>841.6399003976627</v>
      </c>
      <c r="J206" s="83">
        <v>16.75175703218488</v>
      </c>
    </row>
    <row r="207" spans="1:10" ht="16">
      <c r="A207" s="79" t="s">
        <v>172</v>
      </c>
      <c r="B207" s="79" t="s">
        <v>169</v>
      </c>
      <c r="C207" s="80" t="s">
        <v>95</v>
      </c>
      <c r="D207" s="81" t="s">
        <v>78</v>
      </c>
      <c r="E207" s="82">
        <v>40848</v>
      </c>
      <c r="F207" s="82">
        <v>2569</v>
      </c>
      <c r="G207" s="82">
        <v>2812</v>
      </c>
      <c r="H207" s="83">
        <v>14.442097566414397</v>
      </c>
      <c r="I207" s="83">
        <v>2580.5738938707404</v>
      </c>
      <c r="J207" s="83">
        <v>21.896982967924245</v>
      </c>
    </row>
    <row r="208" spans="1:10" ht="16">
      <c r="A208" s="79" t="s">
        <v>173</v>
      </c>
      <c r="B208" s="79" t="s">
        <v>169</v>
      </c>
      <c r="C208" s="80" t="s">
        <v>95</v>
      </c>
      <c r="D208" s="81" t="s">
        <v>77</v>
      </c>
      <c r="E208" s="82">
        <v>3621</v>
      </c>
      <c r="F208" s="82">
        <v>338</v>
      </c>
      <c r="G208" s="82">
        <v>72</v>
      </c>
      <c r="H208" s="83">
        <v>10.613351358742435</v>
      </c>
      <c r="I208" s="83">
        <v>1366.1389085479191</v>
      </c>
      <c r="J208" s="83">
        <v>20.48708272414353</v>
      </c>
    </row>
    <row r="209" spans="1:10" ht="16">
      <c r="A209" s="79" t="s">
        <v>174</v>
      </c>
      <c r="B209" s="79" t="s">
        <v>169</v>
      </c>
      <c r="C209" s="80" t="s">
        <v>126</v>
      </c>
      <c r="D209" s="81" t="s">
        <v>78</v>
      </c>
      <c r="E209" s="82">
        <v>14024</v>
      </c>
      <c r="F209" s="82">
        <v>723</v>
      </c>
      <c r="G209" s="82">
        <v>140</v>
      </c>
      <c r="H209" s="83">
        <v>17.077026418729822</v>
      </c>
      <c r="I209" s="83">
        <v>1885.4557443093775</v>
      </c>
      <c r="J209" s="83">
        <v>24.388785586793851</v>
      </c>
    </row>
    <row r="210" spans="1:10" ht="16">
      <c r="A210" s="79" t="s">
        <v>175</v>
      </c>
      <c r="B210" s="79" t="s">
        <v>169</v>
      </c>
      <c r="C210" s="80" t="s">
        <v>126</v>
      </c>
      <c r="D210" s="81" t="s">
        <v>101</v>
      </c>
      <c r="E210" s="82">
        <v>25018</v>
      </c>
      <c r="F210" s="82">
        <v>1390</v>
      </c>
      <c r="G210" s="82">
        <v>1722</v>
      </c>
      <c r="H210" s="83">
        <v>7.267873072411497</v>
      </c>
      <c r="I210" s="83">
        <v>515.75428552095752</v>
      </c>
      <c r="J210" s="83">
        <v>17.25034760619792</v>
      </c>
    </row>
    <row r="211" spans="1:10" ht="16">
      <c r="A211" s="79" t="s">
        <v>176</v>
      </c>
      <c r="B211" s="79" t="s">
        <v>169</v>
      </c>
      <c r="C211" s="80" t="s">
        <v>95</v>
      </c>
      <c r="D211" s="81" t="s">
        <v>149</v>
      </c>
      <c r="E211" s="82">
        <v>43899</v>
      </c>
      <c r="F211" s="82">
        <v>3484</v>
      </c>
      <c r="G211" s="82">
        <v>878</v>
      </c>
      <c r="H211" s="83">
        <v>18.599307256713146</v>
      </c>
      <c r="I211" s="83">
        <v>9338.7811726725013</v>
      </c>
      <c r="J211" s="83">
        <v>30.383840459905699</v>
      </c>
    </row>
    <row r="212" spans="1:10" ht="16">
      <c r="A212" s="79" t="s">
        <v>177</v>
      </c>
      <c r="B212" s="79" t="s">
        <v>169</v>
      </c>
      <c r="C212" s="80" t="s">
        <v>95</v>
      </c>
      <c r="D212" s="81" t="s">
        <v>99</v>
      </c>
      <c r="E212" s="82">
        <v>13823</v>
      </c>
      <c r="F212" s="82">
        <v>848</v>
      </c>
      <c r="G212" s="82">
        <v>138</v>
      </c>
      <c r="H212" s="83">
        <v>10.548773861133489</v>
      </c>
      <c r="I212" s="83">
        <v>1868.5879068629063</v>
      </c>
      <c r="J212" s="83">
        <v>16.995126610833079</v>
      </c>
    </row>
    <row r="213" spans="1:10" ht="16">
      <c r="A213" s="79" t="s">
        <v>178</v>
      </c>
      <c r="B213" s="79" t="s">
        <v>169</v>
      </c>
      <c r="C213" s="80" t="s">
        <v>95</v>
      </c>
      <c r="D213" s="81" t="s">
        <v>103</v>
      </c>
      <c r="E213" s="82">
        <v>23198</v>
      </c>
      <c r="F213" s="82">
        <v>1333</v>
      </c>
      <c r="G213" s="82">
        <v>1160</v>
      </c>
      <c r="H213" s="83">
        <v>11.727714821677534</v>
      </c>
      <c r="I213" s="83">
        <v>5368.8990501479802</v>
      </c>
      <c r="J213" s="83">
        <v>18.379081989606846</v>
      </c>
    </row>
    <row r="214" spans="1:10" ht="16">
      <c r="A214" s="79" t="s">
        <v>179</v>
      </c>
      <c r="B214" s="79" t="s">
        <v>169</v>
      </c>
      <c r="C214" s="80" t="s">
        <v>126</v>
      </c>
      <c r="D214" s="81" t="s">
        <v>103</v>
      </c>
      <c r="E214" s="82">
        <v>34072</v>
      </c>
      <c r="F214" s="82">
        <v>2662</v>
      </c>
      <c r="G214" s="82">
        <v>341</v>
      </c>
      <c r="H214" s="83">
        <v>10.157510614239213</v>
      </c>
      <c r="I214" s="83">
        <v>1328.5917082251685</v>
      </c>
      <c r="J214" s="83">
        <v>27.411526953545227</v>
      </c>
    </row>
    <row r="215" spans="1:10" ht="16">
      <c r="A215" s="79" t="s">
        <v>180</v>
      </c>
      <c r="B215" s="79" t="s">
        <v>169</v>
      </c>
      <c r="C215" s="80" t="s">
        <v>95</v>
      </c>
      <c r="D215" s="81" t="s">
        <v>101</v>
      </c>
      <c r="E215" s="82">
        <v>48675</v>
      </c>
      <c r="F215" s="82">
        <v>3957</v>
      </c>
      <c r="G215" s="82">
        <v>974</v>
      </c>
      <c r="H215" s="83">
        <v>22.20519378636568</v>
      </c>
      <c r="I215" s="83">
        <v>5765.5644896074691</v>
      </c>
      <c r="J215" s="83">
        <v>35.368152970718228</v>
      </c>
    </row>
    <row r="216" spans="1:10" ht="16">
      <c r="A216" s="79" t="s">
        <v>181</v>
      </c>
      <c r="B216" s="79" t="s">
        <v>169</v>
      </c>
      <c r="C216" s="80" t="s">
        <v>95</v>
      </c>
      <c r="D216" s="81" t="s">
        <v>79</v>
      </c>
      <c r="E216" s="82">
        <v>42573</v>
      </c>
      <c r="F216" s="82">
        <v>2490</v>
      </c>
      <c r="G216" s="82">
        <v>2931</v>
      </c>
      <c r="H216" s="83">
        <v>9.6984098443403255</v>
      </c>
      <c r="I216" s="83">
        <v>1669.1786645722193</v>
      </c>
      <c r="J216" s="83">
        <v>20.192385706621675</v>
      </c>
    </row>
    <row r="217" spans="1:10" ht="16">
      <c r="A217" s="79" t="s">
        <v>182</v>
      </c>
      <c r="B217" s="79" t="s">
        <v>169</v>
      </c>
      <c r="C217" s="80" t="s">
        <v>95</v>
      </c>
      <c r="D217" s="81" t="s">
        <v>149</v>
      </c>
      <c r="E217" s="82">
        <v>52579</v>
      </c>
      <c r="F217" s="82">
        <v>2710</v>
      </c>
      <c r="G217" s="82">
        <v>526</v>
      </c>
      <c r="H217" s="83">
        <v>18.719582088970228</v>
      </c>
      <c r="I217" s="83">
        <v>9024.0075118716832</v>
      </c>
      <c r="J217" s="83">
        <v>29.659250175000835</v>
      </c>
    </row>
    <row r="218" spans="1:10" ht="16">
      <c r="A218" s="79" t="s">
        <v>183</v>
      </c>
      <c r="B218" s="79" t="s">
        <v>169</v>
      </c>
      <c r="C218" s="80" t="s">
        <v>126</v>
      </c>
      <c r="D218" s="81" t="s">
        <v>101</v>
      </c>
      <c r="E218" s="82">
        <v>38719</v>
      </c>
      <c r="F218" s="82">
        <v>2332</v>
      </c>
      <c r="G218" s="82">
        <v>774</v>
      </c>
      <c r="H218" s="83">
        <v>13.456736605603862</v>
      </c>
      <c r="I218" s="83">
        <v>6898.3375039044531</v>
      </c>
      <c r="J218" s="83">
        <v>29.062410260505548</v>
      </c>
    </row>
    <row r="219" spans="1:10" ht="16">
      <c r="A219" s="79" t="s">
        <v>184</v>
      </c>
      <c r="B219" s="79" t="s">
        <v>169</v>
      </c>
      <c r="C219" s="80" t="s">
        <v>95</v>
      </c>
      <c r="D219" s="81" t="s">
        <v>77</v>
      </c>
      <c r="E219" s="82">
        <v>27285</v>
      </c>
      <c r="F219" s="82">
        <v>1935</v>
      </c>
      <c r="G219" s="82">
        <v>1879</v>
      </c>
      <c r="H219" s="83">
        <v>9.6705433483382546</v>
      </c>
      <c r="I219" s="83">
        <v>1191.9596847425769</v>
      </c>
      <c r="J219" s="83">
        <v>20.814969557733193</v>
      </c>
    </row>
    <row r="220" spans="1:10" ht="16">
      <c r="A220" s="79" t="s">
        <v>1105</v>
      </c>
      <c r="B220" s="79" t="s">
        <v>1100</v>
      </c>
      <c r="C220" s="80" t="s">
        <v>126</v>
      </c>
      <c r="D220" s="81" t="s">
        <v>99</v>
      </c>
      <c r="E220" s="82">
        <v>19840</v>
      </c>
      <c r="F220" s="82">
        <v>859</v>
      </c>
      <c r="G220" s="82">
        <v>3174</v>
      </c>
      <c r="H220" s="83">
        <v>17.722874942233084</v>
      </c>
      <c r="I220" s="83">
        <v>2984.0734422545997</v>
      </c>
      <c r="J220" s="83">
        <v>18.301966814934289</v>
      </c>
    </row>
    <row r="221" spans="1:10" ht="16">
      <c r="A221" s="79" t="s">
        <v>561</v>
      </c>
      <c r="B221" s="79" t="s">
        <v>556</v>
      </c>
      <c r="C221" s="80" t="s">
        <v>95</v>
      </c>
      <c r="D221" s="81" t="s">
        <v>79</v>
      </c>
      <c r="E221" s="82">
        <v>23992</v>
      </c>
      <c r="F221" s="82">
        <v>813</v>
      </c>
      <c r="G221" s="82">
        <v>1200</v>
      </c>
      <c r="H221" s="83">
        <v>19.168163790061946</v>
      </c>
      <c r="I221" s="83">
        <v>4285.5998735479834</v>
      </c>
      <c r="J221" s="83">
        <v>26.462789292958377</v>
      </c>
    </row>
    <row r="222" spans="1:10" ht="16">
      <c r="A222" s="79" t="s">
        <v>117</v>
      </c>
      <c r="B222" s="79" t="s">
        <v>108</v>
      </c>
      <c r="C222" s="80" t="s">
        <v>95</v>
      </c>
      <c r="D222" s="81" t="s">
        <v>78</v>
      </c>
      <c r="E222" s="82">
        <v>16844</v>
      </c>
      <c r="F222" s="82">
        <v>653</v>
      </c>
      <c r="G222" s="82">
        <v>5727</v>
      </c>
      <c r="H222" s="83">
        <v>30.132976374289829</v>
      </c>
      <c r="I222" s="83">
        <v>25246.568977744409</v>
      </c>
      <c r="J222" s="83">
        <v>22.884576305249478</v>
      </c>
    </row>
    <row r="223" spans="1:10" ht="16">
      <c r="A223" s="79" t="s">
        <v>1332</v>
      </c>
      <c r="B223" s="79" t="s">
        <v>1307</v>
      </c>
      <c r="C223" s="80" t="s">
        <v>95</v>
      </c>
      <c r="D223" s="81" t="s">
        <v>78</v>
      </c>
      <c r="E223" s="82">
        <v>23658</v>
      </c>
      <c r="F223" s="82">
        <v>1293</v>
      </c>
      <c r="G223" s="82">
        <v>2366</v>
      </c>
      <c r="H223" s="83">
        <v>19.504253533555747</v>
      </c>
      <c r="I223" s="83">
        <v>7190.0524499180028</v>
      </c>
      <c r="J223" s="83">
        <v>21.53245076742293</v>
      </c>
    </row>
    <row r="224" spans="1:10" ht="16">
      <c r="A224" s="79" t="s">
        <v>1333</v>
      </c>
      <c r="B224" s="79" t="s">
        <v>1307</v>
      </c>
      <c r="C224" s="80" t="s">
        <v>126</v>
      </c>
      <c r="D224" s="81" t="s">
        <v>76</v>
      </c>
      <c r="E224" s="82">
        <v>5344</v>
      </c>
      <c r="F224" s="82">
        <v>379</v>
      </c>
      <c r="G224" s="82">
        <v>1764</v>
      </c>
      <c r="H224" s="83">
        <v>14.723856084130073</v>
      </c>
      <c r="I224" s="83">
        <v>4601.2856263708854</v>
      </c>
      <c r="J224" s="83">
        <v>23.299355656648462</v>
      </c>
    </row>
    <row r="225" spans="1:10" ht="16">
      <c r="A225" s="79" t="s">
        <v>1334</v>
      </c>
      <c r="B225" s="79" t="s">
        <v>1307</v>
      </c>
      <c r="C225" s="80" t="s">
        <v>95</v>
      </c>
      <c r="D225" s="81" t="s">
        <v>79</v>
      </c>
      <c r="E225" s="82">
        <v>34203</v>
      </c>
      <c r="F225" s="82">
        <v>1437</v>
      </c>
      <c r="G225" s="82">
        <v>2736</v>
      </c>
      <c r="H225" s="83">
        <v>23.397623569081972</v>
      </c>
      <c r="I225" s="83">
        <v>14100.122622836469</v>
      </c>
      <c r="J225" s="83">
        <v>30.63359111106206</v>
      </c>
    </row>
    <row r="226" spans="1:10" ht="16">
      <c r="A226" s="79" t="s">
        <v>1335</v>
      </c>
      <c r="B226" s="79" t="s">
        <v>1307</v>
      </c>
      <c r="C226" s="80" t="s">
        <v>95</v>
      </c>
      <c r="D226" s="81" t="s">
        <v>103</v>
      </c>
      <c r="E226" s="82">
        <v>38520</v>
      </c>
      <c r="F226" s="82">
        <v>1598</v>
      </c>
      <c r="G226" s="82">
        <v>2696</v>
      </c>
      <c r="H226" s="83">
        <v>40.902055930478397</v>
      </c>
      <c r="I226" s="83">
        <v>27749.460351345799</v>
      </c>
      <c r="J226" s="83">
        <v>38.848620100795607</v>
      </c>
    </row>
    <row r="227" spans="1:10" ht="16">
      <c r="A227" s="79" t="s">
        <v>185</v>
      </c>
      <c r="B227" s="79" t="s">
        <v>169</v>
      </c>
      <c r="C227" s="80" t="s">
        <v>126</v>
      </c>
      <c r="D227" s="81" t="s">
        <v>99</v>
      </c>
      <c r="E227" s="82">
        <v>55502</v>
      </c>
      <c r="F227" s="82">
        <v>3604</v>
      </c>
      <c r="G227" s="82">
        <v>3821</v>
      </c>
      <c r="H227" s="83">
        <v>12.084019746798045</v>
      </c>
      <c r="I227" s="83">
        <v>1680.403498450205</v>
      </c>
      <c r="J227" s="83">
        <v>20.105506249109979</v>
      </c>
    </row>
    <row r="228" spans="1:10" ht="16">
      <c r="A228" s="79" t="s">
        <v>423</v>
      </c>
      <c r="B228" s="79" t="s">
        <v>421</v>
      </c>
      <c r="C228" s="80" t="s">
        <v>95</v>
      </c>
      <c r="D228" s="81" t="s">
        <v>76</v>
      </c>
      <c r="E228" s="82">
        <v>35894</v>
      </c>
      <c r="F228" s="82">
        <v>617</v>
      </c>
      <c r="G228" s="82">
        <v>7538</v>
      </c>
      <c r="H228" s="83">
        <v>63.759608002923223</v>
      </c>
      <c r="I228" s="83">
        <v>36991.503178097846</v>
      </c>
      <c r="J228" s="83">
        <v>57.475117893769685</v>
      </c>
    </row>
    <row r="229" spans="1:10" ht="16">
      <c r="A229" s="79" t="s">
        <v>619</v>
      </c>
      <c r="B229" s="79" t="s">
        <v>617</v>
      </c>
      <c r="C229" s="80" t="s">
        <v>95</v>
      </c>
      <c r="D229" s="81" t="s">
        <v>103</v>
      </c>
      <c r="E229" s="82">
        <v>3891</v>
      </c>
      <c r="F229" s="82">
        <v>324</v>
      </c>
      <c r="G229" s="82">
        <v>506</v>
      </c>
      <c r="H229" s="83">
        <v>13.715664146428754</v>
      </c>
      <c r="I229" s="83">
        <v>10265.732342003294</v>
      </c>
      <c r="J229" s="83">
        <v>20.982058744135927</v>
      </c>
    </row>
    <row r="230" spans="1:10" ht="16">
      <c r="A230" s="79" t="s">
        <v>1106</v>
      </c>
      <c r="B230" s="79" t="s">
        <v>1100</v>
      </c>
      <c r="C230" s="80" t="s">
        <v>95</v>
      </c>
      <c r="D230" s="81" t="s">
        <v>78</v>
      </c>
      <c r="E230" s="82">
        <v>20450</v>
      </c>
      <c r="F230" s="82">
        <v>988</v>
      </c>
      <c r="G230" s="82">
        <v>1841</v>
      </c>
      <c r="H230" s="83">
        <v>20.266489055862106</v>
      </c>
      <c r="I230" s="83">
        <v>6247.4153808952378</v>
      </c>
      <c r="J230" s="83">
        <v>18.839396613495165</v>
      </c>
    </row>
    <row r="231" spans="1:10" ht="16">
      <c r="A231" s="79" t="s">
        <v>258</v>
      </c>
      <c r="B231" s="79" t="s">
        <v>242</v>
      </c>
      <c r="C231" s="80" t="s">
        <v>95</v>
      </c>
      <c r="D231" s="81" t="s">
        <v>103</v>
      </c>
      <c r="E231" s="82">
        <v>32537</v>
      </c>
      <c r="F231" s="82">
        <v>2905</v>
      </c>
      <c r="G231" s="82">
        <v>3904</v>
      </c>
      <c r="H231" s="83">
        <v>59.422815448084222</v>
      </c>
      <c r="I231" s="83">
        <v>39951.2965175266</v>
      </c>
      <c r="J231" s="83">
        <v>62.261039037969866</v>
      </c>
    </row>
    <row r="232" spans="1:10" ht="16">
      <c r="A232" s="79" t="s">
        <v>670</v>
      </c>
      <c r="B232" s="79" t="s">
        <v>661</v>
      </c>
      <c r="C232" s="80" t="s">
        <v>95</v>
      </c>
      <c r="D232" s="81" t="s">
        <v>96</v>
      </c>
      <c r="E232" s="82">
        <v>2942</v>
      </c>
      <c r="F232" s="82">
        <v>919</v>
      </c>
      <c r="G232" s="82">
        <v>205</v>
      </c>
      <c r="H232" s="83">
        <v>10.405276931441554</v>
      </c>
      <c r="I232" s="83">
        <v>8904.3220374251105</v>
      </c>
      <c r="J232" s="83">
        <v>25.178216313482892</v>
      </c>
    </row>
    <row r="233" spans="1:10" ht="16">
      <c r="A233" s="79" t="s">
        <v>259</v>
      </c>
      <c r="B233" s="79" t="s">
        <v>242</v>
      </c>
      <c r="C233" s="80" t="s">
        <v>126</v>
      </c>
      <c r="D233" s="81" t="s">
        <v>78</v>
      </c>
      <c r="E233" s="82">
        <v>34979</v>
      </c>
      <c r="F233" s="82">
        <v>2200</v>
      </c>
      <c r="G233" s="82">
        <v>700</v>
      </c>
      <c r="H233" s="83">
        <v>12.558864732934623</v>
      </c>
      <c r="I233" s="83">
        <v>6642.9387573140339</v>
      </c>
      <c r="J233" s="83">
        <v>17.195674715913338</v>
      </c>
    </row>
    <row r="234" spans="1:10" ht="16">
      <c r="A234" s="79" t="s">
        <v>1175</v>
      </c>
      <c r="B234" s="79" t="s">
        <v>1161</v>
      </c>
      <c r="C234" s="80" t="s">
        <v>126</v>
      </c>
      <c r="D234" s="81" t="s">
        <v>78</v>
      </c>
      <c r="E234" s="82">
        <v>77346</v>
      </c>
      <c r="F234" s="82">
        <v>2553</v>
      </c>
      <c r="G234" s="82">
        <v>2320</v>
      </c>
      <c r="H234" s="83">
        <v>11.484222368647737</v>
      </c>
      <c r="I234" s="83">
        <v>1408.5409765343029</v>
      </c>
      <c r="J234" s="83">
        <v>19.524536139685672</v>
      </c>
    </row>
    <row r="235" spans="1:10" ht="16">
      <c r="A235" s="79" t="s">
        <v>1176</v>
      </c>
      <c r="B235" s="79" t="s">
        <v>1161</v>
      </c>
      <c r="C235" s="80" t="s">
        <v>126</v>
      </c>
      <c r="D235" s="81" t="s">
        <v>78</v>
      </c>
      <c r="E235" s="82">
        <v>37903</v>
      </c>
      <c r="F235" s="82">
        <v>995</v>
      </c>
      <c r="G235" s="82">
        <v>2274</v>
      </c>
      <c r="H235" s="83">
        <v>9.951509620460234</v>
      </c>
      <c r="I235" s="83">
        <v>1415.6885406672923</v>
      </c>
      <c r="J235" s="83">
        <v>17.770966403816551</v>
      </c>
    </row>
    <row r="236" spans="1:10" ht="16">
      <c r="A236" s="79" t="s">
        <v>900</v>
      </c>
      <c r="B236" s="79" t="s">
        <v>898</v>
      </c>
      <c r="C236" s="80" t="s">
        <v>126</v>
      </c>
      <c r="D236" s="81" t="s">
        <v>79</v>
      </c>
      <c r="E236" s="82">
        <v>16834</v>
      </c>
      <c r="F236" s="82">
        <v>1137</v>
      </c>
      <c r="G236" s="82">
        <v>673</v>
      </c>
      <c r="H236" s="83">
        <v>12.499696608855087</v>
      </c>
      <c r="I236" s="83">
        <v>4495.9766125916631</v>
      </c>
      <c r="J236" s="83">
        <v>18.063049438313399</v>
      </c>
    </row>
    <row r="237" spans="1:10" ht="16">
      <c r="A237" s="79" t="s">
        <v>1177</v>
      </c>
      <c r="B237" s="79" t="s">
        <v>1161</v>
      </c>
      <c r="C237" s="80" t="s">
        <v>126</v>
      </c>
      <c r="D237" s="81" t="s">
        <v>79</v>
      </c>
      <c r="E237" s="82">
        <v>7487</v>
      </c>
      <c r="F237" s="82">
        <v>273</v>
      </c>
      <c r="G237" s="82">
        <v>150</v>
      </c>
      <c r="H237" s="83">
        <v>14.842883117955344</v>
      </c>
      <c r="I237" s="83">
        <v>2745.9534556003664</v>
      </c>
      <c r="J237" s="83">
        <v>21.681269818865147</v>
      </c>
    </row>
    <row r="238" spans="1:10" ht="16">
      <c r="A238" s="79" t="s">
        <v>1336</v>
      </c>
      <c r="B238" s="79" t="s">
        <v>1307</v>
      </c>
      <c r="C238" s="80" t="s">
        <v>95</v>
      </c>
      <c r="D238" s="81" t="s">
        <v>99</v>
      </c>
      <c r="E238" s="82">
        <v>29377</v>
      </c>
      <c r="F238" s="82">
        <v>1632</v>
      </c>
      <c r="G238" s="82">
        <v>2938</v>
      </c>
      <c r="H238" s="83">
        <v>27.254130551240465</v>
      </c>
      <c r="I238" s="83">
        <v>23586.268474946941</v>
      </c>
      <c r="J238" s="83">
        <v>30.393457411565208</v>
      </c>
    </row>
    <row r="239" spans="1:10" ht="16">
      <c r="A239" s="79" t="s">
        <v>1337</v>
      </c>
      <c r="B239" s="79" t="s">
        <v>1307</v>
      </c>
      <c r="C239" s="80" t="s">
        <v>95</v>
      </c>
      <c r="D239" s="81" t="s">
        <v>103</v>
      </c>
      <c r="E239" s="82">
        <v>23488</v>
      </c>
      <c r="F239" s="82">
        <v>1793</v>
      </c>
      <c r="G239" s="82">
        <v>4228</v>
      </c>
      <c r="H239" s="83">
        <v>32.990477927426255</v>
      </c>
      <c r="I239" s="83">
        <v>26462.339751819178</v>
      </c>
      <c r="J239" s="83">
        <v>48.841917275257103</v>
      </c>
    </row>
    <row r="240" spans="1:10" ht="16">
      <c r="A240" s="79" t="s">
        <v>1338</v>
      </c>
      <c r="B240" s="79" t="s">
        <v>1307</v>
      </c>
      <c r="C240" s="80" t="s">
        <v>95</v>
      </c>
      <c r="D240" s="81" t="s">
        <v>77</v>
      </c>
      <c r="E240" s="82">
        <v>16279</v>
      </c>
      <c r="F240" s="82">
        <v>1915</v>
      </c>
      <c r="G240" s="82">
        <v>2930</v>
      </c>
      <c r="H240" s="83">
        <v>38.426546071320743</v>
      </c>
      <c r="I240" s="83">
        <v>35669.844695668966</v>
      </c>
      <c r="J240" s="83">
        <v>57.559063394992137</v>
      </c>
    </row>
    <row r="241" spans="1:10" ht="16">
      <c r="A241" s="79" t="s">
        <v>1339</v>
      </c>
      <c r="B241" s="79" t="s">
        <v>1307</v>
      </c>
      <c r="C241" s="80" t="s">
        <v>126</v>
      </c>
      <c r="D241" s="81" t="s">
        <v>103</v>
      </c>
      <c r="E241" s="82">
        <v>21372</v>
      </c>
      <c r="F241" s="82">
        <v>1168</v>
      </c>
      <c r="G241" s="82">
        <v>5770</v>
      </c>
      <c r="H241" s="83">
        <v>76.596693249168013</v>
      </c>
      <c r="I241" s="83">
        <v>69090.223683214586</v>
      </c>
      <c r="J241" s="83">
        <v>60.573444937717333</v>
      </c>
    </row>
    <row r="242" spans="1:10" ht="16">
      <c r="A242" s="79" t="s">
        <v>1340</v>
      </c>
      <c r="B242" s="79" t="s">
        <v>1307</v>
      </c>
      <c r="C242" s="80" t="s">
        <v>95</v>
      </c>
      <c r="D242" s="81" t="s">
        <v>101</v>
      </c>
      <c r="E242" s="82">
        <v>29290</v>
      </c>
      <c r="F242" s="82">
        <v>2034</v>
      </c>
      <c r="G242" s="82">
        <v>1757</v>
      </c>
      <c r="H242" s="83">
        <v>27.570072314878789</v>
      </c>
      <c r="I242" s="83">
        <v>17154.890970830504</v>
      </c>
      <c r="J242" s="83">
        <v>34.061825313351875</v>
      </c>
    </row>
    <row r="243" spans="1:10" ht="16">
      <c r="A243" s="79" t="s">
        <v>162</v>
      </c>
      <c r="B243" s="79" t="s">
        <v>163</v>
      </c>
      <c r="C243" s="80" t="s">
        <v>95</v>
      </c>
      <c r="D243" s="81" t="s">
        <v>75</v>
      </c>
      <c r="E243" s="82">
        <v>38080</v>
      </c>
      <c r="F243" s="82">
        <v>1029</v>
      </c>
      <c r="G243" s="82">
        <v>3808</v>
      </c>
      <c r="H243" s="83">
        <v>55.577868311468542</v>
      </c>
      <c r="I243" s="83">
        <v>43558.245267923921</v>
      </c>
      <c r="J243" s="83">
        <v>43.989917107558654</v>
      </c>
    </row>
    <row r="244" spans="1:10" ht="16">
      <c r="A244" s="79" t="s">
        <v>671</v>
      </c>
      <c r="B244" s="79" t="s">
        <v>661</v>
      </c>
      <c r="C244" s="80" t="s">
        <v>126</v>
      </c>
      <c r="D244" s="81" t="s">
        <v>78</v>
      </c>
      <c r="E244" s="82">
        <v>7194</v>
      </c>
      <c r="F244" s="82">
        <v>947</v>
      </c>
      <c r="G244" s="82">
        <v>288</v>
      </c>
      <c r="H244" s="83">
        <v>12.146686964755155</v>
      </c>
      <c r="I244" s="83">
        <v>2000.5083528163334</v>
      </c>
      <c r="J244" s="83">
        <v>23.984158119822602</v>
      </c>
    </row>
    <row r="245" spans="1:10" ht="16">
      <c r="A245" s="79" t="s">
        <v>505</v>
      </c>
      <c r="B245" s="79" t="s">
        <v>493</v>
      </c>
      <c r="C245" s="80" t="s">
        <v>126</v>
      </c>
      <c r="D245" s="81" t="s">
        <v>96</v>
      </c>
      <c r="E245" s="82">
        <v>17226</v>
      </c>
      <c r="F245" s="82">
        <v>1213</v>
      </c>
      <c r="G245" s="82">
        <v>345</v>
      </c>
      <c r="H245" s="83">
        <v>8.1019718499363798</v>
      </c>
      <c r="I245" s="83">
        <v>1160.4157496826724</v>
      </c>
      <c r="J245" s="83">
        <v>17.052399582924753</v>
      </c>
    </row>
    <row r="246" spans="1:10" ht="16">
      <c r="A246" s="79" t="s">
        <v>1227</v>
      </c>
      <c r="B246" s="79" t="s">
        <v>1209</v>
      </c>
      <c r="C246" s="80" t="s">
        <v>95</v>
      </c>
      <c r="D246" s="81" t="s">
        <v>111</v>
      </c>
      <c r="E246" s="82">
        <v>12637</v>
      </c>
      <c r="F246" s="82">
        <v>635</v>
      </c>
      <c r="G246" s="82">
        <v>2148</v>
      </c>
      <c r="H246" s="83">
        <v>12.254127173908154</v>
      </c>
      <c r="I246" s="83">
        <v>6865.3314216526251</v>
      </c>
      <c r="J246" s="83">
        <v>16.008796414079612</v>
      </c>
    </row>
    <row r="247" spans="1:10" ht="16">
      <c r="A247" s="79" t="s">
        <v>424</v>
      </c>
      <c r="B247" s="79" t="s">
        <v>421</v>
      </c>
      <c r="C247" s="80" t="s">
        <v>95</v>
      </c>
      <c r="D247" s="81" t="s">
        <v>96</v>
      </c>
      <c r="E247" s="82">
        <v>47141</v>
      </c>
      <c r="F247" s="82">
        <v>2405</v>
      </c>
      <c r="G247" s="82">
        <v>7071</v>
      </c>
      <c r="H247" s="83">
        <v>30.089747231812272</v>
      </c>
      <c r="I247" s="83">
        <v>22344.14127649679</v>
      </c>
      <c r="J247" s="83">
        <v>32.613062268225363</v>
      </c>
    </row>
    <row r="248" spans="1:10" ht="16">
      <c r="A248" s="79" t="s">
        <v>1228</v>
      </c>
      <c r="B248" s="79" t="s">
        <v>1209</v>
      </c>
      <c r="C248" s="80" t="s">
        <v>95</v>
      </c>
      <c r="D248" s="81" t="s">
        <v>149</v>
      </c>
      <c r="E248" s="82">
        <v>8486</v>
      </c>
      <c r="F248" s="82">
        <v>555</v>
      </c>
      <c r="G248" s="82">
        <v>2970</v>
      </c>
      <c r="H248" s="83">
        <v>28.619920883346673</v>
      </c>
      <c r="I248" s="83">
        <v>17330.574662198316</v>
      </c>
      <c r="J248" s="83">
        <v>34.113036471133164</v>
      </c>
    </row>
    <row r="249" spans="1:10" ht="16">
      <c r="A249" s="79" t="s">
        <v>879</v>
      </c>
      <c r="B249" s="79" t="s">
        <v>877</v>
      </c>
      <c r="C249" s="80" t="s">
        <v>126</v>
      </c>
      <c r="D249" s="81" t="s">
        <v>149</v>
      </c>
      <c r="E249" s="82">
        <v>9986</v>
      </c>
      <c r="F249" s="82">
        <v>414</v>
      </c>
      <c r="G249" s="82">
        <v>100</v>
      </c>
      <c r="H249" s="83">
        <v>9.1270375848262226</v>
      </c>
      <c r="I249" s="83">
        <v>519.99230451894789</v>
      </c>
      <c r="J249" s="83">
        <v>14.146889978358574</v>
      </c>
    </row>
    <row r="250" spans="1:10" ht="16">
      <c r="A250" s="79" t="s">
        <v>145</v>
      </c>
      <c r="B250" s="79" t="s">
        <v>146</v>
      </c>
      <c r="C250" s="80" t="s">
        <v>126</v>
      </c>
      <c r="D250" s="81" t="s">
        <v>76</v>
      </c>
      <c r="E250" s="82">
        <v>6370</v>
      </c>
      <c r="F250" s="82">
        <v>637</v>
      </c>
      <c r="G250" s="82">
        <v>1274</v>
      </c>
      <c r="H250" s="83">
        <v>17.816993549030407</v>
      </c>
      <c r="I250" s="83">
        <v>8800.4590536666292</v>
      </c>
      <c r="J250" s="83">
        <v>30.842238613423248</v>
      </c>
    </row>
    <row r="251" spans="1:10" ht="16">
      <c r="A251" s="79" t="s">
        <v>399</v>
      </c>
      <c r="B251" s="79" t="s">
        <v>396</v>
      </c>
      <c r="C251" s="80" t="s">
        <v>95</v>
      </c>
      <c r="D251" s="81" t="s">
        <v>77</v>
      </c>
      <c r="E251" s="82">
        <v>41411</v>
      </c>
      <c r="F251" s="82">
        <v>2353</v>
      </c>
      <c r="G251" s="82">
        <v>5383</v>
      </c>
      <c r="H251" s="83">
        <v>30.955612214451968</v>
      </c>
      <c r="I251" s="83">
        <v>21249.382477854426</v>
      </c>
      <c r="J251" s="83">
        <v>34.586455310616557</v>
      </c>
    </row>
    <row r="252" spans="1:10" ht="16">
      <c r="A252" s="79" t="s">
        <v>118</v>
      </c>
      <c r="B252" s="79" t="s">
        <v>108</v>
      </c>
      <c r="C252" s="80" t="s">
        <v>95</v>
      </c>
      <c r="D252" s="81" t="s">
        <v>111</v>
      </c>
      <c r="E252" s="82">
        <v>34120</v>
      </c>
      <c r="F252" s="82">
        <v>1446</v>
      </c>
      <c r="G252" s="82">
        <v>5800</v>
      </c>
      <c r="H252" s="83">
        <v>32.99416356923966</v>
      </c>
      <c r="I252" s="83">
        <v>28137.595953626744</v>
      </c>
      <c r="J252" s="83">
        <v>25.723391886322684</v>
      </c>
    </row>
    <row r="253" spans="1:10" ht="16">
      <c r="A253" s="79" t="s">
        <v>931</v>
      </c>
      <c r="B253" s="79" t="s">
        <v>928</v>
      </c>
      <c r="C253" s="80" t="s">
        <v>95</v>
      </c>
      <c r="D253" s="81" t="s">
        <v>76</v>
      </c>
      <c r="E253" s="82">
        <v>9375</v>
      </c>
      <c r="F253" s="82">
        <v>845</v>
      </c>
      <c r="G253" s="82">
        <v>2625</v>
      </c>
      <c r="H253" s="83">
        <v>8.2426799227878593</v>
      </c>
      <c r="I253" s="83">
        <v>1124.1184704282014</v>
      </c>
      <c r="J253" s="83">
        <v>18.509317697717762</v>
      </c>
    </row>
    <row r="254" spans="1:10" ht="16">
      <c r="A254" s="79" t="s">
        <v>260</v>
      </c>
      <c r="B254" s="79" t="s">
        <v>242</v>
      </c>
      <c r="C254" s="80" t="s">
        <v>126</v>
      </c>
      <c r="D254" s="81" t="s">
        <v>76</v>
      </c>
      <c r="E254" s="82">
        <v>43815</v>
      </c>
      <c r="F254" s="82">
        <v>2224</v>
      </c>
      <c r="G254" s="82">
        <v>3017</v>
      </c>
      <c r="H254" s="83">
        <v>13.639883667160804</v>
      </c>
      <c r="I254" s="83">
        <v>7207.0889313664475</v>
      </c>
      <c r="J254" s="83">
        <v>14.215782465927511</v>
      </c>
    </row>
    <row r="255" spans="1:10" ht="16">
      <c r="A255" s="79" t="s">
        <v>261</v>
      </c>
      <c r="B255" s="79" t="s">
        <v>242</v>
      </c>
      <c r="C255" s="80" t="s">
        <v>126</v>
      </c>
      <c r="D255" s="81" t="s">
        <v>77</v>
      </c>
      <c r="E255" s="82">
        <v>36083</v>
      </c>
      <c r="F255" s="82">
        <v>2135</v>
      </c>
      <c r="G255" s="82">
        <v>1443</v>
      </c>
      <c r="H255" s="83">
        <v>11.912190986461718</v>
      </c>
      <c r="I255" s="83">
        <v>2038.6554521851026</v>
      </c>
      <c r="J255" s="83">
        <v>17.099544915746243</v>
      </c>
    </row>
    <row r="256" spans="1:10" ht="16">
      <c r="A256" s="79" t="s">
        <v>942</v>
      </c>
      <c r="B256" s="79" t="s">
        <v>938</v>
      </c>
      <c r="C256" s="80" t="s">
        <v>126</v>
      </c>
      <c r="D256" s="81" t="s">
        <v>103</v>
      </c>
      <c r="E256" s="82">
        <v>8406</v>
      </c>
      <c r="F256" s="82">
        <v>712</v>
      </c>
      <c r="G256" s="82">
        <v>588</v>
      </c>
      <c r="H256" s="83">
        <v>12.02448091438694</v>
      </c>
      <c r="I256" s="83">
        <v>949.69084167327708</v>
      </c>
      <c r="J256" s="83">
        <v>17.82073523159071</v>
      </c>
    </row>
    <row r="257" spans="1:10" ht="16">
      <c r="A257" s="79" t="s">
        <v>672</v>
      </c>
      <c r="B257" s="79" t="s">
        <v>661</v>
      </c>
      <c r="C257" s="80" t="s">
        <v>126</v>
      </c>
      <c r="D257" s="81" t="s">
        <v>111</v>
      </c>
      <c r="E257" s="82">
        <v>6473</v>
      </c>
      <c r="F257" s="82">
        <v>841</v>
      </c>
      <c r="G257" s="82">
        <v>194</v>
      </c>
      <c r="H257" s="83">
        <v>13.846852240432927</v>
      </c>
      <c r="I257" s="83">
        <v>2312.8953326953856</v>
      </c>
      <c r="J257" s="83">
        <v>28.188248873179624</v>
      </c>
    </row>
    <row r="258" spans="1:10" ht="16">
      <c r="A258" s="79" t="s">
        <v>1013</v>
      </c>
      <c r="B258" s="79" t="s">
        <v>1007</v>
      </c>
      <c r="C258" s="80" t="s">
        <v>126</v>
      </c>
      <c r="D258" s="81" t="s">
        <v>111</v>
      </c>
      <c r="E258" s="82">
        <v>2098</v>
      </c>
      <c r="F258" s="82">
        <v>173</v>
      </c>
      <c r="G258" s="82">
        <v>126</v>
      </c>
      <c r="H258" s="83">
        <v>40.298190526163033</v>
      </c>
      <c r="I258" s="83">
        <v>15462.863578720868</v>
      </c>
      <c r="J258" s="83">
        <v>40.543925964494996</v>
      </c>
    </row>
    <row r="259" spans="1:10" ht="16">
      <c r="A259" s="79" t="s">
        <v>1178</v>
      </c>
      <c r="B259" s="79" t="s">
        <v>1161</v>
      </c>
      <c r="C259" s="80" t="s">
        <v>126</v>
      </c>
      <c r="D259" s="81" t="s">
        <v>76</v>
      </c>
      <c r="E259" s="82">
        <v>48591</v>
      </c>
      <c r="F259" s="82">
        <v>2505</v>
      </c>
      <c r="G259" s="82">
        <v>1944</v>
      </c>
      <c r="H259" s="83">
        <v>9.2888812886068788</v>
      </c>
      <c r="I259" s="83">
        <v>1518.2092898336464</v>
      </c>
      <c r="J259" s="83">
        <v>15.712052976171202</v>
      </c>
    </row>
    <row r="260" spans="1:10" ht="16">
      <c r="A260" s="79" t="s">
        <v>1014</v>
      </c>
      <c r="B260" s="79" t="s">
        <v>1007</v>
      </c>
      <c r="C260" s="80" t="s">
        <v>126</v>
      </c>
      <c r="D260" s="81" t="s">
        <v>103</v>
      </c>
      <c r="E260" s="82">
        <v>8108</v>
      </c>
      <c r="F260" s="82">
        <v>827</v>
      </c>
      <c r="G260" s="82">
        <v>405</v>
      </c>
      <c r="H260" s="83">
        <v>15.212503838319314</v>
      </c>
      <c r="I260" s="83">
        <v>2443.9986530322803</v>
      </c>
      <c r="J260" s="83">
        <v>19.803624526554923</v>
      </c>
    </row>
    <row r="261" spans="1:10" ht="16">
      <c r="A261" s="79" t="s">
        <v>673</v>
      </c>
      <c r="B261" s="79" t="s">
        <v>661</v>
      </c>
      <c r="C261" s="80" t="s">
        <v>126</v>
      </c>
      <c r="D261" s="81" t="s">
        <v>75</v>
      </c>
      <c r="E261" s="82">
        <v>1210</v>
      </c>
      <c r="F261" s="82">
        <v>318</v>
      </c>
      <c r="G261" s="82">
        <v>12</v>
      </c>
      <c r="H261" s="83">
        <v>14.341908052027916</v>
      </c>
      <c r="I261" s="83">
        <v>3332.3184045958137</v>
      </c>
      <c r="J261" s="83">
        <v>29.73550403985432</v>
      </c>
    </row>
    <row r="262" spans="1:10" ht="16">
      <c r="A262" s="79" t="s">
        <v>425</v>
      </c>
      <c r="B262" s="79" t="s">
        <v>421</v>
      </c>
      <c r="C262" s="80" t="s">
        <v>126</v>
      </c>
      <c r="D262" s="81" t="s">
        <v>75</v>
      </c>
      <c r="E262" s="82">
        <v>5216</v>
      </c>
      <c r="F262" s="82">
        <v>148</v>
      </c>
      <c r="G262" s="82">
        <v>991</v>
      </c>
      <c r="H262" s="83">
        <v>24.773677403075137</v>
      </c>
      <c r="I262" s="83">
        <v>10182.543128544805</v>
      </c>
      <c r="J262" s="83">
        <v>36.540501937772142</v>
      </c>
    </row>
    <row r="263" spans="1:10" ht="16">
      <c r="A263" s="79" t="s">
        <v>1479</v>
      </c>
      <c r="B263" s="79" t="s">
        <v>1480</v>
      </c>
      <c r="C263" s="80" t="s">
        <v>126</v>
      </c>
      <c r="D263" s="81" t="s">
        <v>149</v>
      </c>
      <c r="E263" s="82">
        <v>32161</v>
      </c>
      <c r="F263" s="82">
        <v>1503</v>
      </c>
      <c r="G263" s="82">
        <v>322</v>
      </c>
      <c r="H263" s="83">
        <v>8.4956408008502962</v>
      </c>
      <c r="I263" s="83">
        <v>3553.1160703491032</v>
      </c>
      <c r="J263" s="83">
        <v>14.732720433083943</v>
      </c>
    </row>
    <row r="264" spans="1:10" ht="16">
      <c r="A264" s="79" t="s">
        <v>1015</v>
      </c>
      <c r="B264" s="79" t="s">
        <v>1007</v>
      </c>
      <c r="C264" s="80" t="s">
        <v>95</v>
      </c>
      <c r="D264" s="81" t="s">
        <v>99</v>
      </c>
      <c r="E264" s="82">
        <v>20087</v>
      </c>
      <c r="F264" s="82">
        <v>1279</v>
      </c>
      <c r="G264" s="82">
        <v>4218</v>
      </c>
      <c r="H264" s="83">
        <v>40.718839643068605</v>
      </c>
      <c r="I264" s="83">
        <v>16059.155897314866</v>
      </c>
      <c r="J264" s="83">
        <v>39.428833207215263</v>
      </c>
    </row>
    <row r="265" spans="1:10" ht="16">
      <c r="A265" s="79" t="s">
        <v>262</v>
      </c>
      <c r="B265" s="79" t="s">
        <v>242</v>
      </c>
      <c r="C265" s="80" t="s">
        <v>126</v>
      </c>
      <c r="D265" s="81" t="s">
        <v>96</v>
      </c>
      <c r="E265" s="82">
        <v>29603</v>
      </c>
      <c r="F265" s="82">
        <v>2990</v>
      </c>
      <c r="G265" s="82">
        <v>3552</v>
      </c>
      <c r="H265" s="83">
        <v>37.703568127507033</v>
      </c>
      <c r="I265" s="83">
        <v>16232.284131101989</v>
      </c>
      <c r="J265" s="83">
        <v>39.702366542720689</v>
      </c>
    </row>
    <row r="266" spans="1:10" ht="16">
      <c r="A266" s="79" t="s">
        <v>1341</v>
      </c>
      <c r="B266" s="79" t="s">
        <v>1307</v>
      </c>
      <c r="C266" s="80" t="s">
        <v>126</v>
      </c>
      <c r="D266" s="81" t="s">
        <v>76</v>
      </c>
      <c r="E266" s="82">
        <v>20823</v>
      </c>
      <c r="F266" s="82">
        <v>2263</v>
      </c>
      <c r="G266" s="82">
        <v>4998</v>
      </c>
      <c r="H266" s="83">
        <v>99.065685138624957</v>
      </c>
      <c r="I266" s="83">
        <v>97781.011525117909</v>
      </c>
      <c r="J266" s="83">
        <v>89.671258714928896</v>
      </c>
    </row>
    <row r="267" spans="1:10" ht="16">
      <c r="A267" s="79" t="s">
        <v>773</v>
      </c>
      <c r="B267" s="79" t="s">
        <v>772</v>
      </c>
      <c r="C267" s="80" t="s">
        <v>95</v>
      </c>
      <c r="D267" s="81" t="s">
        <v>149</v>
      </c>
      <c r="E267" s="82">
        <v>15654</v>
      </c>
      <c r="F267" s="82">
        <v>879</v>
      </c>
      <c r="G267" s="82">
        <v>1096</v>
      </c>
      <c r="H267" s="83">
        <v>11.751850692062392</v>
      </c>
      <c r="I267" s="83">
        <v>944.4224226900817</v>
      </c>
      <c r="J267" s="83">
        <v>13.682946876456336</v>
      </c>
    </row>
    <row r="268" spans="1:10" ht="16">
      <c r="A268" s="79" t="s">
        <v>164</v>
      </c>
      <c r="B268" s="79" t="s">
        <v>163</v>
      </c>
      <c r="C268" s="80" t="s">
        <v>126</v>
      </c>
      <c r="D268" s="81" t="s">
        <v>99</v>
      </c>
      <c r="E268" s="82">
        <v>5189</v>
      </c>
      <c r="F268" s="82">
        <v>167</v>
      </c>
      <c r="G268" s="82">
        <v>675</v>
      </c>
      <c r="H268" s="83">
        <v>38.798441528004531</v>
      </c>
      <c r="I268" s="83">
        <v>21572.88509206846</v>
      </c>
      <c r="J268" s="83">
        <v>28.673207454647983</v>
      </c>
    </row>
    <row r="269" spans="1:10" ht="16">
      <c r="A269" s="79" t="s">
        <v>611</v>
      </c>
      <c r="B269" s="79" t="s">
        <v>610</v>
      </c>
      <c r="C269" s="80" t="s">
        <v>95</v>
      </c>
      <c r="D269" s="81" t="s">
        <v>101</v>
      </c>
      <c r="E269" s="82">
        <v>16137</v>
      </c>
      <c r="F269" s="82">
        <v>1345</v>
      </c>
      <c r="G269" s="82">
        <v>807</v>
      </c>
      <c r="H269" s="83">
        <v>45.24530509467391</v>
      </c>
      <c r="I269" s="83">
        <v>28117.297056956533</v>
      </c>
      <c r="J269" s="83">
        <v>48.607760101895543</v>
      </c>
    </row>
    <row r="270" spans="1:10" ht="16">
      <c r="A270" s="79" t="s">
        <v>426</v>
      </c>
      <c r="B270" s="79" t="s">
        <v>421</v>
      </c>
      <c r="C270" s="80" t="s">
        <v>95</v>
      </c>
      <c r="D270" s="81" t="s">
        <v>76</v>
      </c>
      <c r="E270" s="82">
        <v>20800</v>
      </c>
      <c r="F270" s="82">
        <v>1292</v>
      </c>
      <c r="G270" s="82">
        <v>3744</v>
      </c>
      <c r="H270" s="83">
        <v>60.300506902609463</v>
      </c>
      <c r="I270" s="83">
        <v>58011.428172031025</v>
      </c>
      <c r="J270" s="83">
        <v>67.979486820222661</v>
      </c>
    </row>
    <row r="271" spans="1:10" ht="16">
      <c r="A271" s="79" t="s">
        <v>373</v>
      </c>
      <c r="B271" s="79" t="s">
        <v>363</v>
      </c>
      <c r="C271" s="80" t="s">
        <v>95</v>
      </c>
      <c r="D271" s="81" t="s">
        <v>75</v>
      </c>
      <c r="E271" s="82">
        <v>113043</v>
      </c>
      <c r="F271" s="82">
        <v>5162</v>
      </c>
      <c r="G271" s="82">
        <v>1130</v>
      </c>
      <c r="H271" s="83">
        <v>8.9670071825478121</v>
      </c>
      <c r="I271" s="83">
        <v>1734.1524974937229</v>
      </c>
      <c r="J271" s="83">
        <v>15.003196576209378</v>
      </c>
    </row>
    <row r="272" spans="1:10" ht="16">
      <c r="A272" s="79" t="s">
        <v>1229</v>
      </c>
      <c r="B272" s="79" t="s">
        <v>1209</v>
      </c>
      <c r="C272" s="80" t="s">
        <v>126</v>
      </c>
      <c r="D272" s="81" t="s">
        <v>75</v>
      </c>
      <c r="E272" s="82">
        <v>9189</v>
      </c>
      <c r="F272" s="82">
        <v>534</v>
      </c>
      <c r="G272" s="82">
        <v>3216</v>
      </c>
      <c r="H272" s="83">
        <v>27.177031735672635</v>
      </c>
      <c r="I272" s="83">
        <v>20141.355884222365</v>
      </c>
      <c r="J272" s="83">
        <v>28.737408552950274</v>
      </c>
    </row>
    <row r="273" spans="1:10" ht="16">
      <c r="A273" s="79" t="s">
        <v>943</v>
      </c>
      <c r="B273" s="79" t="s">
        <v>938</v>
      </c>
      <c r="C273" s="80" t="s">
        <v>95</v>
      </c>
      <c r="D273" s="81" t="s">
        <v>101</v>
      </c>
      <c r="E273" s="82">
        <v>22111</v>
      </c>
      <c r="F273" s="82">
        <v>1688</v>
      </c>
      <c r="G273" s="82">
        <v>1990</v>
      </c>
      <c r="H273" s="83">
        <v>37.932499878220845</v>
      </c>
      <c r="I273" s="83">
        <v>29165.096282441162</v>
      </c>
      <c r="J273" s="83">
        <v>36.752717120086771</v>
      </c>
    </row>
    <row r="274" spans="1:10" ht="16">
      <c r="A274" s="79" t="s">
        <v>674</v>
      </c>
      <c r="B274" s="79" t="s">
        <v>661</v>
      </c>
      <c r="C274" s="80" t="s">
        <v>126</v>
      </c>
      <c r="D274" s="81" t="s">
        <v>75</v>
      </c>
      <c r="E274" s="82">
        <v>15077</v>
      </c>
      <c r="F274" s="82">
        <v>1675</v>
      </c>
      <c r="G274" s="82">
        <v>1508</v>
      </c>
      <c r="H274" s="83">
        <v>23.294528452074434</v>
      </c>
      <c r="I274" s="83">
        <v>7084.1665587992229</v>
      </c>
      <c r="J274" s="83">
        <v>29.022144316672986</v>
      </c>
    </row>
    <row r="275" spans="1:10" ht="16">
      <c r="A275" s="79" t="s">
        <v>1342</v>
      </c>
      <c r="B275" s="79" t="s">
        <v>1307</v>
      </c>
      <c r="C275" s="80" t="s">
        <v>95</v>
      </c>
      <c r="D275" s="81" t="s">
        <v>76</v>
      </c>
      <c r="E275" s="82">
        <v>10066</v>
      </c>
      <c r="F275" s="82">
        <v>724</v>
      </c>
      <c r="G275" s="82">
        <v>906</v>
      </c>
      <c r="H275" s="83">
        <v>13.924240990936347</v>
      </c>
      <c r="I275" s="83">
        <v>10535.555747646542</v>
      </c>
      <c r="J275" s="83">
        <v>38.723974145842355</v>
      </c>
    </row>
    <row r="276" spans="1:10" ht="16">
      <c r="A276" s="79" t="s">
        <v>675</v>
      </c>
      <c r="B276" s="79" t="s">
        <v>661</v>
      </c>
      <c r="C276" s="80" t="s">
        <v>126</v>
      </c>
      <c r="D276" s="81" t="s">
        <v>149</v>
      </c>
      <c r="E276" s="82">
        <v>18225</v>
      </c>
      <c r="F276" s="82">
        <v>2250</v>
      </c>
      <c r="G276" s="82">
        <v>2005</v>
      </c>
      <c r="H276" s="83">
        <v>40.125157993401601</v>
      </c>
      <c r="I276" s="83">
        <v>12038.583397351742</v>
      </c>
      <c r="J276" s="83">
        <v>45.967132932780757</v>
      </c>
    </row>
    <row r="277" spans="1:10" ht="16">
      <c r="A277" s="79" t="s">
        <v>480</v>
      </c>
      <c r="B277" s="79" t="s">
        <v>478</v>
      </c>
      <c r="C277" s="80" t="s">
        <v>95</v>
      </c>
      <c r="D277" s="81" t="s">
        <v>111</v>
      </c>
      <c r="E277" s="82">
        <v>8759</v>
      </c>
      <c r="F277" s="82">
        <v>755</v>
      </c>
      <c r="G277" s="82">
        <v>3942</v>
      </c>
      <c r="H277" s="83">
        <v>22.447572857177754</v>
      </c>
      <c r="I277" s="83">
        <v>12809.954427212242</v>
      </c>
      <c r="J277" s="83">
        <v>28.350118251987734</v>
      </c>
    </row>
    <row r="278" spans="1:10" ht="16">
      <c r="A278" s="79" t="s">
        <v>481</v>
      </c>
      <c r="B278" s="79" t="s">
        <v>478</v>
      </c>
      <c r="C278" s="80" t="s">
        <v>95</v>
      </c>
      <c r="D278" s="81" t="s">
        <v>77</v>
      </c>
      <c r="E278" s="82">
        <v>20388</v>
      </c>
      <c r="F278" s="82">
        <v>883</v>
      </c>
      <c r="G278" s="82">
        <v>5097</v>
      </c>
      <c r="H278" s="83">
        <v>46.919479997191686</v>
      </c>
      <c r="I278" s="83">
        <v>33485.218575234408</v>
      </c>
      <c r="J278" s="83">
        <v>41.651313181669273</v>
      </c>
    </row>
    <row r="279" spans="1:10" ht="16">
      <c r="A279" s="79" t="s">
        <v>676</v>
      </c>
      <c r="B279" s="79" t="s">
        <v>661</v>
      </c>
      <c r="C279" s="80" t="s">
        <v>126</v>
      </c>
      <c r="D279" s="81" t="s">
        <v>96</v>
      </c>
      <c r="E279" s="82">
        <v>30969</v>
      </c>
      <c r="F279" s="82">
        <v>761</v>
      </c>
      <c r="G279" s="82">
        <v>619</v>
      </c>
      <c r="H279" s="83">
        <v>9.8261629280571992</v>
      </c>
      <c r="I279" s="83">
        <v>2515.9703858746439</v>
      </c>
      <c r="J279" s="83">
        <v>16.919763548532995</v>
      </c>
    </row>
    <row r="280" spans="1:10" ht="16">
      <c r="A280" s="79" t="s">
        <v>1343</v>
      </c>
      <c r="B280" s="79" t="s">
        <v>1307</v>
      </c>
      <c r="C280" s="80" t="s">
        <v>95</v>
      </c>
      <c r="D280" s="81" t="s">
        <v>77</v>
      </c>
      <c r="E280" s="82">
        <v>8449</v>
      </c>
      <c r="F280" s="82">
        <v>1127</v>
      </c>
      <c r="G280" s="82">
        <v>676</v>
      </c>
      <c r="H280" s="83">
        <v>15.972413022478168</v>
      </c>
      <c r="I280" s="83">
        <v>15187.622584372064</v>
      </c>
      <c r="J280" s="83">
        <v>43.287800508846622</v>
      </c>
    </row>
    <row r="281" spans="1:10" ht="16">
      <c r="A281" s="79" t="s">
        <v>263</v>
      </c>
      <c r="B281" s="79" t="s">
        <v>242</v>
      </c>
      <c r="C281" s="80" t="s">
        <v>126</v>
      </c>
      <c r="D281" s="81" t="s">
        <v>101</v>
      </c>
      <c r="E281" s="82">
        <v>30491</v>
      </c>
      <c r="F281" s="82">
        <v>1723</v>
      </c>
      <c r="G281" s="82">
        <v>3354</v>
      </c>
      <c r="H281" s="83">
        <v>11.796530014922824</v>
      </c>
      <c r="I281" s="83">
        <v>3086.6331112698863</v>
      </c>
      <c r="J281" s="83">
        <v>15.161826174606995</v>
      </c>
    </row>
    <row r="282" spans="1:10" ht="16">
      <c r="A282" s="79" t="s">
        <v>264</v>
      </c>
      <c r="B282" s="79" t="s">
        <v>242</v>
      </c>
      <c r="C282" s="80" t="s">
        <v>95</v>
      </c>
      <c r="D282" s="81" t="s">
        <v>75</v>
      </c>
      <c r="E282" s="82">
        <v>25956</v>
      </c>
      <c r="F282" s="82">
        <v>1492</v>
      </c>
      <c r="G282" s="82">
        <v>519</v>
      </c>
      <c r="H282" s="83">
        <v>16.017395510382425</v>
      </c>
      <c r="I282" s="83">
        <v>7543.0527063062855</v>
      </c>
      <c r="J282" s="83">
        <v>22.216474932343612</v>
      </c>
    </row>
    <row r="283" spans="1:10" ht="16">
      <c r="A283" s="79" t="s">
        <v>265</v>
      </c>
      <c r="B283" s="79" t="s">
        <v>242</v>
      </c>
      <c r="C283" s="80" t="s">
        <v>126</v>
      </c>
      <c r="D283" s="81" t="s">
        <v>103</v>
      </c>
      <c r="E283" s="82">
        <v>56379</v>
      </c>
      <c r="F283" s="82">
        <v>3417</v>
      </c>
      <c r="G283" s="82">
        <v>2819</v>
      </c>
      <c r="H283" s="83">
        <v>40.018731569930829</v>
      </c>
      <c r="I283" s="83">
        <v>23438.605225449897</v>
      </c>
      <c r="J283" s="83">
        <v>41.209155579392039</v>
      </c>
    </row>
    <row r="284" spans="1:10" ht="16">
      <c r="A284" s="79" t="s">
        <v>427</v>
      </c>
      <c r="B284" s="79" t="s">
        <v>421</v>
      </c>
      <c r="C284" s="80" t="s">
        <v>126</v>
      </c>
      <c r="D284" s="81" t="s">
        <v>78</v>
      </c>
      <c r="E284" s="82">
        <v>33463</v>
      </c>
      <c r="F284" s="82">
        <v>596</v>
      </c>
      <c r="G284" s="82">
        <v>5689</v>
      </c>
      <c r="H284" s="83">
        <v>67.26496723110003</v>
      </c>
      <c r="I284" s="83">
        <v>45360.719546125561</v>
      </c>
      <c r="J284" s="83">
        <v>62.474979558920047</v>
      </c>
    </row>
    <row r="285" spans="1:10" ht="16">
      <c r="A285" s="79" t="s">
        <v>266</v>
      </c>
      <c r="B285" s="79" t="s">
        <v>242</v>
      </c>
      <c r="C285" s="80" t="s">
        <v>126</v>
      </c>
      <c r="D285" s="81" t="s">
        <v>76</v>
      </c>
      <c r="E285" s="82">
        <v>40715</v>
      </c>
      <c r="F285" s="82">
        <v>1996</v>
      </c>
      <c r="G285" s="82">
        <v>814</v>
      </c>
      <c r="H285" s="83">
        <v>24.145112072441826</v>
      </c>
      <c r="I285" s="83">
        <v>18124.26421956066</v>
      </c>
      <c r="J285" s="83">
        <v>23.676623297298306</v>
      </c>
    </row>
    <row r="286" spans="1:10" ht="16">
      <c r="A286" s="79" t="s">
        <v>677</v>
      </c>
      <c r="B286" s="79" t="s">
        <v>661</v>
      </c>
      <c r="C286" s="80" t="s">
        <v>126</v>
      </c>
      <c r="D286" s="81" t="s">
        <v>96</v>
      </c>
      <c r="E286" s="82">
        <v>888</v>
      </c>
      <c r="F286" s="82">
        <v>444</v>
      </c>
      <c r="G286" s="82">
        <v>9</v>
      </c>
      <c r="H286" s="83">
        <v>12.713816572611345</v>
      </c>
      <c r="I286" s="83">
        <v>5430.7122144679333</v>
      </c>
      <c r="J286" s="83">
        <v>30.583148139510865</v>
      </c>
    </row>
    <row r="287" spans="1:10" ht="16">
      <c r="A287" s="79" t="s">
        <v>1107</v>
      </c>
      <c r="B287" s="79" t="s">
        <v>1100</v>
      </c>
      <c r="C287" s="80" t="s">
        <v>126</v>
      </c>
      <c r="D287" s="81" t="s">
        <v>96</v>
      </c>
      <c r="E287" s="82">
        <v>13970</v>
      </c>
      <c r="F287" s="82">
        <v>490</v>
      </c>
      <c r="G287" s="82">
        <v>1956</v>
      </c>
      <c r="H287" s="83">
        <v>17.934588823210738</v>
      </c>
      <c r="I287" s="83">
        <v>2262.8648275543978</v>
      </c>
      <c r="J287" s="83">
        <v>15.329134049912531</v>
      </c>
    </row>
    <row r="288" spans="1:10" ht="16">
      <c r="A288" s="79" t="s">
        <v>678</v>
      </c>
      <c r="B288" s="79" t="s">
        <v>661</v>
      </c>
      <c r="C288" s="80" t="s">
        <v>126</v>
      </c>
      <c r="D288" s="81" t="s">
        <v>75</v>
      </c>
      <c r="E288" s="82">
        <v>8181</v>
      </c>
      <c r="F288" s="82">
        <v>538</v>
      </c>
      <c r="G288" s="82">
        <v>245</v>
      </c>
      <c r="H288" s="83">
        <v>10.271725288988065</v>
      </c>
      <c r="I288" s="83">
        <v>818.62940689788343</v>
      </c>
      <c r="J288" s="83">
        <v>17.009753999273819</v>
      </c>
    </row>
    <row r="289" spans="1:10" ht="16">
      <c r="A289" s="79" t="s">
        <v>612</v>
      </c>
      <c r="B289" s="79" t="s">
        <v>610</v>
      </c>
      <c r="C289" s="80" t="s">
        <v>95</v>
      </c>
      <c r="D289" s="81" t="s">
        <v>96</v>
      </c>
      <c r="E289" s="82">
        <v>6908</v>
      </c>
      <c r="F289" s="82">
        <v>147</v>
      </c>
      <c r="G289" s="82">
        <v>1658</v>
      </c>
      <c r="H289" s="83">
        <v>10.215946848578147</v>
      </c>
      <c r="I289" s="83">
        <v>6337.2558211569203</v>
      </c>
      <c r="J289" s="83">
        <v>14.901274003780559</v>
      </c>
    </row>
    <row r="290" spans="1:10" ht="16">
      <c r="A290" s="79" t="s">
        <v>428</v>
      </c>
      <c r="B290" s="79" t="s">
        <v>421</v>
      </c>
      <c r="C290" s="80" t="s">
        <v>126</v>
      </c>
      <c r="D290" s="81" t="s">
        <v>77</v>
      </c>
      <c r="E290" s="82">
        <v>5807</v>
      </c>
      <c r="F290" s="82">
        <v>328</v>
      </c>
      <c r="G290" s="82">
        <v>1278</v>
      </c>
      <c r="H290" s="83">
        <v>17.178206782800647</v>
      </c>
      <c r="I290" s="83">
        <v>5030.6878437705163</v>
      </c>
      <c r="J290" s="83">
        <v>25.553328624578434</v>
      </c>
    </row>
    <row r="291" spans="1:10" ht="16">
      <c r="A291" s="79" t="s">
        <v>979</v>
      </c>
      <c r="B291" s="79" t="s">
        <v>978</v>
      </c>
      <c r="C291" s="80" t="s">
        <v>95</v>
      </c>
      <c r="D291" s="81" t="s">
        <v>78</v>
      </c>
      <c r="E291" s="82">
        <v>24763</v>
      </c>
      <c r="F291" s="82">
        <v>2913</v>
      </c>
      <c r="G291" s="82">
        <v>991</v>
      </c>
      <c r="H291" s="83">
        <v>8.2881883448541878</v>
      </c>
      <c r="I291" s="83">
        <v>1235.058326661099</v>
      </c>
      <c r="J291" s="83">
        <v>21.98357255779861</v>
      </c>
    </row>
    <row r="292" spans="1:10" ht="16">
      <c r="A292" s="79" t="s">
        <v>562</v>
      </c>
      <c r="B292" s="79" t="s">
        <v>556</v>
      </c>
      <c r="C292" s="80" t="s">
        <v>95</v>
      </c>
      <c r="D292" s="81" t="s">
        <v>79</v>
      </c>
      <c r="E292" s="82">
        <v>8330</v>
      </c>
      <c r="F292" s="82">
        <v>291</v>
      </c>
      <c r="G292" s="82">
        <v>583</v>
      </c>
      <c r="H292" s="83">
        <v>8.5714083569815305</v>
      </c>
      <c r="I292" s="83">
        <v>6691.7915546175909</v>
      </c>
      <c r="J292" s="83">
        <v>12.488832795251145</v>
      </c>
    </row>
    <row r="293" spans="1:10" ht="16">
      <c r="A293" s="79" t="s">
        <v>1230</v>
      </c>
      <c r="B293" s="79" t="s">
        <v>1209</v>
      </c>
      <c r="C293" s="80" t="s">
        <v>126</v>
      </c>
      <c r="D293" s="81" t="s">
        <v>75</v>
      </c>
      <c r="E293" s="82">
        <v>16760</v>
      </c>
      <c r="F293" s="82">
        <v>1432</v>
      </c>
      <c r="G293" s="82">
        <v>9386</v>
      </c>
      <c r="H293" s="83">
        <v>88.433496909631316</v>
      </c>
      <c r="I293" s="83">
        <v>85011.81478874624</v>
      </c>
      <c r="J293" s="83">
        <v>85.152029320700748</v>
      </c>
    </row>
    <row r="294" spans="1:10" ht="16">
      <c r="A294" s="79" t="s">
        <v>400</v>
      </c>
      <c r="B294" s="79" t="s">
        <v>396</v>
      </c>
      <c r="C294" s="80" t="s">
        <v>126</v>
      </c>
      <c r="D294" s="81" t="s">
        <v>96</v>
      </c>
      <c r="E294" s="82">
        <v>1676</v>
      </c>
      <c r="F294" s="82">
        <v>204</v>
      </c>
      <c r="G294" s="82">
        <v>737</v>
      </c>
      <c r="H294" s="83">
        <v>28.62765493288013</v>
      </c>
      <c r="I294" s="83">
        <v>15157.666452521751</v>
      </c>
      <c r="J294" s="83">
        <v>34.488438720233816</v>
      </c>
    </row>
    <row r="295" spans="1:10" ht="16">
      <c r="A295" s="79" t="s">
        <v>1016</v>
      </c>
      <c r="B295" s="79" t="s">
        <v>1007</v>
      </c>
      <c r="C295" s="80" t="s">
        <v>126</v>
      </c>
      <c r="D295" s="81" t="s">
        <v>96</v>
      </c>
      <c r="E295" s="82">
        <v>13499</v>
      </c>
      <c r="F295" s="82">
        <v>605</v>
      </c>
      <c r="G295" s="82">
        <v>405</v>
      </c>
      <c r="H295" s="83">
        <v>17.316317971515073</v>
      </c>
      <c r="I295" s="83">
        <v>3725.3448255547601</v>
      </c>
      <c r="J295" s="83">
        <v>16.936082893823077</v>
      </c>
    </row>
    <row r="296" spans="1:10" ht="16">
      <c r="A296" s="79" t="s">
        <v>506</v>
      </c>
      <c r="B296" s="79" t="s">
        <v>493</v>
      </c>
      <c r="C296" s="80" t="s">
        <v>126</v>
      </c>
      <c r="D296" s="81" t="s">
        <v>76</v>
      </c>
      <c r="E296" s="82">
        <v>4128</v>
      </c>
      <c r="F296" s="82">
        <v>430</v>
      </c>
      <c r="G296" s="82">
        <v>41</v>
      </c>
      <c r="H296" s="83">
        <v>55.820623471019339</v>
      </c>
      <c r="I296" s="83">
        <v>17929.042843084535</v>
      </c>
      <c r="J296" s="83">
        <v>58.993505126425816</v>
      </c>
    </row>
    <row r="297" spans="1:10" ht="16">
      <c r="A297" s="79" t="s">
        <v>507</v>
      </c>
      <c r="B297" s="79" t="s">
        <v>493</v>
      </c>
      <c r="C297" s="80" t="s">
        <v>126</v>
      </c>
      <c r="D297" s="81" t="s">
        <v>149</v>
      </c>
      <c r="E297" s="82">
        <v>1335</v>
      </c>
      <c r="F297" s="82">
        <v>113</v>
      </c>
      <c r="G297" s="82">
        <v>30</v>
      </c>
      <c r="H297" s="83">
        <v>11.591387739122922</v>
      </c>
      <c r="I297" s="83">
        <v>3102.4434643700297</v>
      </c>
      <c r="J297" s="83">
        <v>28.741190283071493</v>
      </c>
    </row>
    <row r="298" spans="1:10" ht="16">
      <c r="A298" s="79" t="s">
        <v>508</v>
      </c>
      <c r="B298" s="79" t="s">
        <v>493</v>
      </c>
      <c r="C298" s="80" t="s">
        <v>126</v>
      </c>
      <c r="D298" s="81" t="s">
        <v>79</v>
      </c>
      <c r="E298" s="82">
        <v>1274</v>
      </c>
      <c r="F298" s="82">
        <v>134</v>
      </c>
      <c r="G298" s="82">
        <v>29</v>
      </c>
      <c r="H298" s="83">
        <v>19.797078241800001</v>
      </c>
      <c r="I298" s="83">
        <v>10575.089319001252</v>
      </c>
      <c r="J298" s="83">
        <v>32.025248661440308</v>
      </c>
    </row>
    <row r="299" spans="1:10" ht="16">
      <c r="A299" s="79" t="s">
        <v>509</v>
      </c>
      <c r="B299" s="79" t="s">
        <v>493</v>
      </c>
      <c r="C299" s="80" t="s">
        <v>126</v>
      </c>
      <c r="D299" s="81" t="s">
        <v>111</v>
      </c>
      <c r="E299" s="82">
        <v>7833</v>
      </c>
      <c r="F299" s="82">
        <v>312</v>
      </c>
      <c r="G299" s="82">
        <v>78</v>
      </c>
      <c r="H299" s="83">
        <v>14.004446709068564</v>
      </c>
      <c r="I299" s="83">
        <v>5057.1901922495535</v>
      </c>
      <c r="J299" s="83">
        <v>22.141694199025967</v>
      </c>
    </row>
    <row r="300" spans="1:10" ht="16">
      <c r="A300" s="79" t="s">
        <v>510</v>
      </c>
      <c r="B300" s="79" t="s">
        <v>493</v>
      </c>
      <c r="C300" s="80" t="s">
        <v>126</v>
      </c>
      <c r="D300" s="81" t="s">
        <v>111</v>
      </c>
      <c r="E300" s="82">
        <v>1237</v>
      </c>
      <c r="F300" s="82">
        <v>116</v>
      </c>
      <c r="G300" s="82">
        <v>57</v>
      </c>
      <c r="H300" s="83">
        <v>12.176128302727919</v>
      </c>
      <c r="I300" s="83">
        <v>6008.9314810747601</v>
      </c>
      <c r="J300" s="83">
        <v>27.629055659642262</v>
      </c>
    </row>
    <row r="301" spans="1:10" ht="16">
      <c r="A301" s="79" t="s">
        <v>511</v>
      </c>
      <c r="B301" s="79" t="s">
        <v>493</v>
      </c>
      <c r="C301" s="80" t="s">
        <v>126</v>
      </c>
      <c r="D301" s="81" t="s">
        <v>149</v>
      </c>
      <c r="E301" s="82">
        <v>10267</v>
      </c>
      <c r="F301" s="82">
        <v>638</v>
      </c>
      <c r="G301" s="82">
        <v>103</v>
      </c>
      <c r="H301" s="83">
        <v>39.997171788388208</v>
      </c>
      <c r="I301" s="83">
        <v>13843.99650275095</v>
      </c>
      <c r="J301" s="83">
        <v>44.859133958599799</v>
      </c>
    </row>
    <row r="302" spans="1:10" ht="16">
      <c r="A302" s="79" t="s">
        <v>512</v>
      </c>
      <c r="B302" s="79" t="s">
        <v>493</v>
      </c>
      <c r="C302" s="80" t="s">
        <v>126</v>
      </c>
      <c r="D302" s="81" t="s">
        <v>149</v>
      </c>
      <c r="E302" s="82">
        <v>7284</v>
      </c>
      <c r="F302" s="82">
        <v>492</v>
      </c>
      <c r="G302" s="82">
        <v>73</v>
      </c>
      <c r="H302" s="83">
        <v>28.473388585164827</v>
      </c>
      <c r="I302" s="83">
        <v>13710.910245953508</v>
      </c>
      <c r="J302" s="83">
        <v>49.169748001293911</v>
      </c>
    </row>
    <row r="303" spans="1:10" ht="16">
      <c r="A303" s="79" t="s">
        <v>513</v>
      </c>
      <c r="B303" s="79" t="s">
        <v>493</v>
      </c>
      <c r="C303" s="80" t="s">
        <v>126</v>
      </c>
      <c r="D303" s="81" t="s">
        <v>78</v>
      </c>
      <c r="E303" s="82">
        <v>1222</v>
      </c>
      <c r="F303" s="82">
        <v>109</v>
      </c>
      <c r="G303" s="82">
        <v>27</v>
      </c>
      <c r="H303" s="83">
        <v>11.810785593496634</v>
      </c>
      <c r="I303" s="83">
        <v>8796.6328542330029</v>
      </c>
      <c r="J303" s="83">
        <v>22.01416115505836</v>
      </c>
    </row>
    <row r="304" spans="1:10" ht="16">
      <c r="A304" s="79" t="s">
        <v>514</v>
      </c>
      <c r="B304" s="79" t="s">
        <v>493</v>
      </c>
      <c r="C304" s="80" t="s">
        <v>126</v>
      </c>
      <c r="D304" s="81" t="s">
        <v>149</v>
      </c>
      <c r="E304" s="82">
        <v>5699</v>
      </c>
      <c r="F304" s="82">
        <v>422</v>
      </c>
      <c r="G304" s="82">
        <v>57</v>
      </c>
      <c r="H304" s="83">
        <v>22.466116534458283</v>
      </c>
      <c r="I304" s="83">
        <v>8190.1236315394026</v>
      </c>
      <c r="J304" s="83">
        <v>34.263675148498322</v>
      </c>
    </row>
    <row r="305" spans="1:10" ht="16">
      <c r="A305" s="79" t="s">
        <v>515</v>
      </c>
      <c r="B305" s="79" t="s">
        <v>493</v>
      </c>
      <c r="C305" s="80" t="s">
        <v>126</v>
      </c>
      <c r="D305" s="81" t="s">
        <v>111</v>
      </c>
      <c r="E305" s="82">
        <v>2088</v>
      </c>
      <c r="F305" s="82">
        <v>175</v>
      </c>
      <c r="G305" s="82">
        <v>96</v>
      </c>
      <c r="H305" s="83">
        <v>18.909779485837117</v>
      </c>
      <c r="I305" s="83">
        <v>9478.6829660146868</v>
      </c>
      <c r="J305" s="83">
        <v>26.064569978232022</v>
      </c>
    </row>
    <row r="306" spans="1:10" ht="16">
      <c r="A306" s="79" t="s">
        <v>516</v>
      </c>
      <c r="B306" s="79" t="s">
        <v>493</v>
      </c>
      <c r="C306" s="80" t="s">
        <v>126</v>
      </c>
      <c r="D306" s="81" t="s">
        <v>103</v>
      </c>
      <c r="E306" s="82">
        <v>1128</v>
      </c>
      <c r="F306" s="82">
        <v>116</v>
      </c>
      <c r="G306" s="82">
        <v>52</v>
      </c>
      <c r="H306" s="83">
        <v>24.631153351624942</v>
      </c>
      <c r="I306" s="83">
        <v>18333.167092820877</v>
      </c>
      <c r="J306" s="83">
        <v>33.095234104260236</v>
      </c>
    </row>
    <row r="307" spans="1:10" ht="16">
      <c r="A307" s="79" t="s">
        <v>517</v>
      </c>
      <c r="B307" s="79" t="s">
        <v>493</v>
      </c>
      <c r="C307" s="80" t="s">
        <v>126</v>
      </c>
      <c r="D307" s="81" t="s">
        <v>103</v>
      </c>
      <c r="E307" s="82">
        <v>6860</v>
      </c>
      <c r="F307" s="82">
        <v>504</v>
      </c>
      <c r="G307" s="82">
        <v>315</v>
      </c>
      <c r="H307" s="83">
        <v>24.54797561822593</v>
      </c>
      <c r="I307" s="83">
        <v>8641.0582473499308</v>
      </c>
      <c r="J307" s="83">
        <v>37.824604114336339</v>
      </c>
    </row>
    <row r="308" spans="1:10" ht="16">
      <c r="A308" s="79" t="s">
        <v>518</v>
      </c>
      <c r="B308" s="79" t="s">
        <v>493</v>
      </c>
      <c r="C308" s="80" t="s">
        <v>126</v>
      </c>
      <c r="D308" s="81" t="s">
        <v>75</v>
      </c>
      <c r="E308" s="82">
        <v>9167</v>
      </c>
      <c r="F308" s="82">
        <v>745</v>
      </c>
      <c r="G308" s="82">
        <v>421</v>
      </c>
      <c r="H308" s="83">
        <v>39.200001577772731</v>
      </c>
      <c r="I308" s="83">
        <v>15208.535678756765</v>
      </c>
      <c r="J308" s="83">
        <v>42.279043620312642</v>
      </c>
    </row>
    <row r="309" spans="1:10" ht="16">
      <c r="A309" s="79" t="s">
        <v>519</v>
      </c>
      <c r="B309" s="79" t="s">
        <v>493</v>
      </c>
      <c r="C309" s="80" t="s">
        <v>126</v>
      </c>
      <c r="D309" s="81" t="s">
        <v>76</v>
      </c>
      <c r="E309" s="82">
        <v>9241</v>
      </c>
      <c r="F309" s="82">
        <v>592</v>
      </c>
      <c r="G309" s="82">
        <v>92</v>
      </c>
      <c r="H309" s="83">
        <v>30.958008510936679</v>
      </c>
      <c r="I309" s="83">
        <v>7774.6648278965349</v>
      </c>
      <c r="J309" s="83">
        <v>45.800746388311246</v>
      </c>
    </row>
    <row r="310" spans="1:10" ht="16">
      <c r="A310" s="79" t="s">
        <v>520</v>
      </c>
      <c r="B310" s="79" t="s">
        <v>493</v>
      </c>
      <c r="C310" s="80" t="s">
        <v>126</v>
      </c>
      <c r="D310" s="81" t="s">
        <v>111</v>
      </c>
      <c r="E310" s="82">
        <v>1387</v>
      </c>
      <c r="F310" s="82">
        <v>110</v>
      </c>
      <c r="G310" s="82">
        <v>64</v>
      </c>
      <c r="H310" s="83">
        <v>8.4703919963021672</v>
      </c>
      <c r="I310" s="83">
        <v>3500.6618743987701</v>
      </c>
      <c r="J310" s="83">
        <v>18.076937520889011</v>
      </c>
    </row>
    <row r="311" spans="1:10" ht="16">
      <c r="A311" s="79" t="s">
        <v>521</v>
      </c>
      <c r="B311" s="79" t="s">
        <v>493</v>
      </c>
      <c r="C311" s="80" t="s">
        <v>126</v>
      </c>
      <c r="D311" s="81" t="s">
        <v>77</v>
      </c>
      <c r="E311" s="82">
        <v>7561</v>
      </c>
      <c r="F311" s="82">
        <v>461</v>
      </c>
      <c r="G311" s="82">
        <v>151</v>
      </c>
      <c r="H311" s="83">
        <v>28.930867716027542</v>
      </c>
      <c r="I311" s="83">
        <v>13162.705898275875</v>
      </c>
      <c r="J311" s="83">
        <v>39.752598390275175</v>
      </c>
    </row>
    <row r="312" spans="1:10" ht="16">
      <c r="A312" s="79" t="s">
        <v>522</v>
      </c>
      <c r="B312" s="79" t="s">
        <v>493</v>
      </c>
      <c r="C312" s="80" t="s">
        <v>126</v>
      </c>
      <c r="D312" s="81" t="s">
        <v>79</v>
      </c>
      <c r="E312" s="82">
        <v>1119</v>
      </c>
      <c r="F312" s="82">
        <v>147</v>
      </c>
      <c r="G312" s="82">
        <v>51</v>
      </c>
      <c r="H312" s="83">
        <v>12.996875496373812</v>
      </c>
      <c r="I312" s="83">
        <v>12828.179505425329</v>
      </c>
      <c r="J312" s="83">
        <v>28.52385680490033</v>
      </c>
    </row>
    <row r="313" spans="1:10" ht="16">
      <c r="A313" s="79" t="s">
        <v>1344</v>
      </c>
      <c r="B313" s="79" t="s">
        <v>1307</v>
      </c>
      <c r="C313" s="80" t="s">
        <v>95</v>
      </c>
      <c r="D313" s="81" t="s">
        <v>75</v>
      </c>
      <c r="E313" s="82">
        <v>66872</v>
      </c>
      <c r="F313" s="82">
        <v>4917</v>
      </c>
      <c r="G313" s="82">
        <v>10031</v>
      </c>
      <c r="H313" s="83">
        <v>50.124999056820172</v>
      </c>
      <c r="I313" s="83">
        <v>38163.57348096311</v>
      </c>
      <c r="J313" s="83">
        <v>51.525123244190624</v>
      </c>
    </row>
    <row r="314" spans="1:10" ht="16">
      <c r="A314" s="79" t="s">
        <v>324</v>
      </c>
      <c r="B314" s="79" t="s">
        <v>323</v>
      </c>
      <c r="C314" s="80" t="s">
        <v>126</v>
      </c>
      <c r="D314" s="81" t="s">
        <v>149</v>
      </c>
      <c r="E314" s="82">
        <v>20851</v>
      </c>
      <c r="F314" s="82">
        <v>851</v>
      </c>
      <c r="G314" s="82">
        <v>1436</v>
      </c>
      <c r="H314" s="83">
        <v>10.420303077315921</v>
      </c>
      <c r="I314" s="83">
        <v>3494.1329696748503</v>
      </c>
      <c r="J314" s="83">
        <v>14.650318640433314</v>
      </c>
    </row>
    <row r="315" spans="1:10" ht="16">
      <c r="A315" s="79" t="s">
        <v>1017</v>
      </c>
      <c r="B315" s="79" t="s">
        <v>1007</v>
      </c>
      <c r="C315" s="80" t="s">
        <v>126</v>
      </c>
      <c r="D315" s="81" t="s">
        <v>99</v>
      </c>
      <c r="E315" s="82">
        <v>19196</v>
      </c>
      <c r="F315" s="82">
        <v>817</v>
      </c>
      <c r="G315" s="82">
        <v>1152</v>
      </c>
      <c r="H315" s="83">
        <v>21.659040278367836</v>
      </c>
      <c r="I315" s="83">
        <v>4931.9779777280428</v>
      </c>
      <c r="J315" s="83">
        <v>24.498288938677714</v>
      </c>
    </row>
    <row r="316" spans="1:10" ht="16">
      <c r="A316" s="79" t="s">
        <v>523</v>
      </c>
      <c r="B316" s="79" t="s">
        <v>493</v>
      </c>
      <c r="C316" s="80" t="s">
        <v>126</v>
      </c>
      <c r="D316" s="81" t="s">
        <v>96</v>
      </c>
      <c r="E316" s="82">
        <v>2146</v>
      </c>
      <c r="F316" s="82">
        <v>118</v>
      </c>
      <c r="G316" s="82">
        <v>48</v>
      </c>
      <c r="H316" s="83">
        <v>24.517922062522764</v>
      </c>
      <c r="I316" s="83">
        <v>11376.935445999459</v>
      </c>
      <c r="J316" s="83">
        <v>39.074991094281764</v>
      </c>
    </row>
    <row r="317" spans="1:10" ht="16">
      <c r="A317" s="79" t="s">
        <v>880</v>
      </c>
      <c r="B317" s="79" t="s">
        <v>877</v>
      </c>
      <c r="C317" s="80" t="s">
        <v>126</v>
      </c>
      <c r="D317" s="81" t="s">
        <v>78</v>
      </c>
      <c r="E317" s="82">
        <v>30614</v>
      </c>
      <c r="F317" s="82">
        <v>1554</v>
      </c>
      <c r="G317" s="82">
        <v>2449</v>
      </c>
      <c r="H317" s="83">
        <v>7.9181322605074502</v>
      </c>
      <c r="I317" s="83">
        <v>3999.2264827382783</v>
      </c>
      <c r="J317" s="83">
        <v>15.297872492815353</v>
      </c>
    </row>
    <row r="318" spans="1:10" ht="16">
      <c r="A318" s="79" t="s">
        <v>1345</v>
      </c>
      <c r="B318" s="79" t="s">
        <v>1307</v>
      </c>
      <c r="C318" s="80" t="s">
        <v>126</v>
      </c>
      <c r="D318" s="81" t="s">
        <v>75</v>
      </c>
      <c r="E318" s="82">
        <v>32469</v>
      </c>
      <c r="F318" s="82">
        <v>1727</v>
      </c>
      <c r="G318" s="82">
        <v>3896</v>
      </c>
      <c r="H318" s="83">
        <v>33.811776361884178</v>
      </c>
      <c r="I318" s="83">
        <v>19984.783462772844</v>
      </c>
      <c r="J318" s="83">
        <v>29.69138368215237</v>
      </c>
    </row>
    <row r="319" spans="1:10" ht="16">
      <c r="A319" s="79" t="s">
        <v>563</v>
      </c>
      <c r="B319" s="79" t="s">
        <v>556</v>
      </c>
      <c r="C319" s="80" t="s">
        <v>95</v>
      </c>
      <c r="D319" s="81" t="s">
        <v>75</v>
      </c>
      <c r="E319" s="82">
        <v>8673</v>
      </c>
      <c r="F319" s="82">
        <v>964</v>
      </c>
      <c r="G319" s="82">
        <v>260</v>
      </c>
      <c r="H319" s="83">
        <v>10.584193007171587</v>
      </c>
      <c r="I319" s="83">
        <v>5312.9188849458833</v>
      </c>
      <c r="J319" s="83">
        <v>38.426793174687624</v>
      </c>
    </row>
    <row r="320" spans="1:10" ht="16">
      <c r="A320" s="79" t="s">
        <v>564</v>
      </c>
      <c r="B320" s="79" t="s">
        <v>556</v>
      </c>
      <c r="C320" s="80" t="s">
        <v>126</v>
      </c>
      <c r="D320" s="81" t="s">
        <v>101</v>
      </c>
      <c r="E320" s="82">
        <v>13273</v>
      </c>
      <c r="F320" s="82">
        <v>419</v>
      </c>
      <c r="G320" s="82">
        <v>133</v>
      </c>
      <c r="H320" s="83">
        <v>33.46869860875173</v>
      </c>
      <c r="I320" s="83">
        <v>14100.037221266868</v>
      </c>
      <c r="J320" s="83">
        <v>28.251059167683081</v>
      </c>
    </row>
    <row r="321" spans="1:10" ht="16">
      <c r="A321" s="79" t="s">
        <v>913</v>
      </c>
      <c r="B321" s="79" t="s">
        <v>912</v>
      </c>
      <c r="C321" s="80" t="s">
        <v>126</v>
      </c>
      <c r="D321" s="81" t="s">
        <v>99</v>
      </c>
      <c r="E321" s="82">
        <v>8898</v>
      </c>
      <c r="F321" s="82">
        <v>368</v>
      </c>
      <c r="G321" s="82">
        <v>1068</v>
      </c>
      <c r="H321" s="83">
        <v>26.648489866045885</v>
      </c>
      <c r="I321" s="83">
        <v>7750.1130942575328</v>
      </c>
      <c r="J321" s="83">
        <v>23.525537304956185</v>
      </c>
    </row>
    <row r="322" spans="1:10" ht="16">
      <c r="A322" s="79" t="s">
        <v>565</v>
      </c>
      <c r="B322" s="79" t="s">
        <v>556</v>
      </c>
      <c r="C322" s="80" t="s">
        <v>95</v>
      </c>
      <c r="D322" s="81" t="s">
        <v>149</v>
      </c>
      <c r="E322" s="82">
        <v>11340</v>
      </c>
      <c r="F322" s="82">
        <v>922</v>
      </c>
      <c r="G322" s="82">
        <v>113</v>
      </c>
      <c r="H322" s="83">
        <v>12.366593219890074</v>
      </c>
      <c r="I322" s="83">
        <v>2680.2457588075104</v>
      </c>
      <c r="J322" s="83">
        <v>41.131355271702169</v>
      </c>
    </row>
    <row r="323" spans="1:10" ht="16">
      <c r="A323" s="79" t="s">
        <v>566</v>
      </c>
      <c r="B323" s="79" t="s">
        <v>556</v>
      </c>
      <c r="C323" s="80" t="s">
        <v>126</v>
      </c>
      <c r="D323" s="81" t="s">
        <v>79</v>
      </c>
      <c r="E323" s="82">
        <v>10064</v>
      </c>
      <c r="F323" s="82">
        <v>486</v>
      </c>
      <c r="G323" s="82">
        <v>101</v>
      </c>
      <c r="H323" s="83">
        <v>23.778183673751553</v>
      </c>
      <c r="I323" s="83">
        <v>9766.9373062803897</v>
      </c>
      <c r="J323" s="83">
        <v>26.394018551370003</v>
      </c>
    </row>
    <row r="324" spans="1:10" ht="16">
      <c r="A324" s="79" t="s">
        <v>1179</v>
      </c>
      <c r="B324" s="79" t="s">
        <v>1161</v>
      </c>
      <c r="C324" s="80" t="s">
        <v>95</v>
      </c>
      <c r="D324" s="81" t="s">
        <v>149</v>
      </c>
      <c r="E324" s="82">
        <v>26215</v>
      </c>
      <c r="F324" s="82">
        <v>892</v>
      </c>
      <c r="G324" s="82">
        <v>524</v>
      </c>
      <c r="H324" s="83">
        <v>9.7147310645771459</v>
      </c>
      <c r="I324" s="83">
        <v>1011.1435913566768</v>
      </c>
      <c r="J324" s="83">
        <v>13.045503220659265</v>
      </c>
    </row>
    <row r="325" spans="1:10" ht="16">
      <c r="A325" s="79" t="s">
        <v>1180</v>
      </c>
      <c r="B325" s="79" t="s">
        <v>1161</v>
      </c>
      <c r="C325" s="80" t="s">
        <v>126</v>
      </c>
      <c r="D325" s="81" t="s">
        <v>149</v>
      </c>
      <c r="E325" s="82">
        <v>34825</v>
      </c>
      <c r="F325" s="82">
        <v>1514</v>
      </c>
      <c r="G325" s="82">
        <v>1393</v>
      </c>
      <c r="H325" s="83">
        <v>28.978075084116028</v>
      </c>
      <c r="I325" s="83">
        <v>8461.7970930747433</v>
      </c>
      <c r="J325" s="83">
        <v>25.964287211897513</v>
      </c>
    </row>
    <row r="326" spans="1:10" ht="16">
      <c r="A326" s="79" t="s">
        <v>1181</v>
      </c>
      <c r="B326" s="79" t="s">
        <v>1161</v>
      </c>
      <c r="C326" s="80" t="s">
        <v>95</v>
      </c>
      <c r="D326" s="81" t="s">
        <v>79</v>
      </c>
      <c r="E326" s="82">
        <v>122002</v>
      </c>
      <c r="F326" s="82">
        <v>2044</v>
      </c>
      <c r="G326" s="82">
        <v>7320</v>
      </c>
      <c r="H326" s="83">
        <v>24.870725052675613</v>
      </c>
      <c r="I326" s="83">
        <v>5772.5676100548571</v>
      </c>
      <c r="J326" s="83">
        <v>25.899527754668046</v>
      </c>
    </row>
    <row r="327" spans="1:10" ht="16">
      <c r="A327" s="79" t="s">
        <v>944</v>
      </c>
      <c r="B327" s="79" t="s">
        <v>938</v>
      </c>
      <c r="C327" s="80" t="s">
        <v>126</v>
      </c>
      <c r="D327" s="81" t="s">
        <v>101</v>
      </c>
      <c r="E327" s="82">
        <v>10206</v>
      </c>
      <c r="F327" s="82">
        <v>779</v>
      </c>
      <c r="G327" s="82">
        <v>1633</v>
      </c>
      <c r="H327" s="83">
        <v>28.528693218878193</v>
      </c>
      <c r="I327" s="83">
        <v>13974.720973337353</v>
      </c>
      <c r="J327" s="83">
        <v>30.737905514902682</v>
      </c>
    </row>
    <row r="328" spans="1:10" ht="16">
      <c r="A328" s="79" t="s">
        <v>1196</v>
      </c>
      <c r="B328" s="79" t="s">
        <v>1197</v>
      </c>
      <c r="C328" s="80" t="s">
        <v>95</v>
      </c>
      <c r="D328" s="81" t="s">
        <v>101</v>
      </c>
      <c r="E328" s="82">
        <v>16220</v>
      </c>
      <c r="F328" s="82">
        <v>1886</v>
      </c>
      <c r="G328" s="82">
        <v>162</v>
      </c>
      <c r="H328" s="83">
        <v>8.3426145995533112</v>
      </c>
      <c r="I328" s="83">
        <v>341.64413605341122</v>
      </c>
      <c r="J328" s="83">
        <v>22.449172243432159</v>
      </c>
    </row>
    <row r="329" spans="1:10" ht="16">
      <c r="A329" s="79" t="s">
        <v>418</v>
      </c>
      <c r="B329" s="79" t="s">
        <v>419</v>
      </c>
      <c r="C329" s="80" t="s">
        <v>95</v>
      </c>
      <c r="D329" s="81" t="s">
        <v>76</v>
      </c>
      <c r="E329" s="82">
        <v>19670</v>
      </c>
      <c r="F329" s="82">
        <v>823</v>
      </c>
      <c r="G329" s="82">
        <v>393</v>
      </c>
      <c r="H329" s="83">
        <v>10.234979500378325</v>
      </c>
      <c r="I329" s="83">
        <v>436.17780970710879</v>
      </c>
      <c r="J329" s="83">
        <v>15.493548598157131</v>
      </c>
    </row>
    <row r="330" spans="1:10" ht="16">
      <c r="A330" s="79" t="s">
        <v>679</v>
      </c>
      <c r="B330" s="79" t="s">
        <v>661</v>
      </c>
      <c r="C330" s="80" t="s">
        <v>126</v>
      </c>
      <c r="D330" s="81" t="s">
        <v>101</v>
      </c>
      <c r="E330" s="82">
        <v>5516</v>
      </c>
      <c r="F330" s="82">
        <v>400</v>
      </c>
      <c r="G330" s="82">
        <v>165</v>
      </c>
      <c r="H330" s="83">
        <v>10.278178138998031</v>
      </c>
      <c r="I330" s="83">
        <v>1185.5020099216836</v>
      </c>
      <c r="J330" s="83">
        <v>19.715209610346712</v>
      </c>
    </row>
    <row r="331" spans="1:10" ht="16">
      <c r="A331" s="79" t="s">
        <v>1182</v>
      </c>
      <c r="B331" s="79" t="s">
        <v>1161</v>
      </c>
      <c r="C331" s="80" t="s">
        <v>126</v>
      </c>
      <c r="D331" s="81" t="s">
        <v>99</v>
      </c>
      <c r="E331" s="82">
        <v>5090</v>
      </c>
      <c r="F331" s="82">
        <v>260</v>
      </c>
      <c r="G331" s="82">
        <v>204</v>
      </c>
      <c r="H331" s="83">
        <v>11.138991638203098</v>
      </c>
      <c r="I331" s="83">
        <v>3258.0346954247666</v>
      </c>
      <c r="J331" s="83">
        <v>20.111671928986585</v>
      </c>
    </row>
    <row r="332" spans="1:10" ht="16">
      <c r="A332" s="79" t="s">
        <v>429</v>
      </c>
      <c r="B332" s="79" t="s">
        <v>421</v>
      </c>
      <c r="C332" s="80" t="s">
        <v>126</v>
      </c>
      <c r="D332" s="81" t="s">
        <v>101</v>
      </c>
      <c r="E332" s="82">
        <v>1142</v>
      </c>
      <c r="F332" s="82">
        <v>70</v>
      </c>
      <c r="G332" s="82">
        <v>868</v>
      </c>
      <c r="H332" s="83">
        <v>33.892327166629805</v>
      </c>
      <c r="I332" s="83">
        <v>16838.460522359786</v>
      </c>
      <c r="J332" s="83">
        <v>41.205167560300488</v>
      </c>
    </row>
    <row r="333" spans="1:10" ht="16">
      <c r="A333" s="79" t="s">
        <v>524</v>
      </c>
      <c r="B333" s="79" t="s">
        <v>493</v>
      </c>
      <c r="C333" s="80" t="s">
        <v>126</v>
      </c>
      <c r="D333" s="81" t="s">
        <v>111</v>
      </c>
      <c r="E333" s="82">
        <v>11528</v>
      </c>
      <c r="F333" s="82">
        <v>627</v>
      </c>
      <c r="G333" s="82">
        <v>115</v>
      </c>
      <c r="H333" s="83">
        <v>22.729925095834279</v>
      </c>
      <c r="I333" s="83">
        <v>6357.8387345141136</v>
      </c>
      <c r="J333" s="83">
        <v>34.704143377675365</v>
      </c>
    </row>
    <row r="334" spans="1:10" ht="16">
      <c r="A334" s="79" t="s">
        <v>901</v>
      </c>
      <c r="B334" s="79" t="s">
        <v>898</v>
      </c>
      <c r="C334" s="80" t="s">
        <v>95</v>
      </c>
      <c r="D334" s="81" t="s">
        <v>101</v>
      </c>
      <c r="E334" s="82">
        <v>40608</v>
      </c>
      <c r="F334" s="82">
        <v>3726</v>
      </c>
      <c r="G334" s="82">
        <v>3655</v>
      </c>
      <c r="H334" s="83">
        <v>17.401816708575172</v>
      </c>
      <c r="I334" s="83">
        <v>10444.486638695531</v>
      </c>
      <c r="J334" s="83">
        <v>25.826920862984025</v>
      </c>
    </row>
    <row r="335" spans="1:10" ht="16">
      <c r="A335" s="79" t="s">
        <v>119</v>
      </c>
      <c r="B335" s="79" t="s">
        <v>108</v>
      </c>
      <c r="C335" s="80" t="s">
        <v>95</v>
      </c>
      <c r="D335" s="81" t="s">
        <v>76</v>
      </c>
      <c r="E335" s="82">
        <v>11491</v>
      </c>
      <c r="F335" s="82">
        <v>542</v>
      </c>
      <c r="G335" s="82">
        <v>1264</v>
      </c>
      <c r="H335" s="83">
        <v>28.864710799155915</v>
      </c>
      <c r="I335" s="83">
        <v>26522.899329949909</v>
      </c>
      <c r="J335" s="83">
        <v>23.717189456241535</v>
      </c>
    </row>
    <row r="336" spans="1:10" ht="16">
      <c r="A336" s="79" t="s">
        <v>525</v>
      </c>
      <c r="B336" s="79" t="s">
        <v>493</v>
      </c>
      <c r="C336" s="80" t="s">
        <v>126</v>
      </c>
      <c r="D336" s="81" t="s">
        <v>78</v>
      </c>
      <c r="E336" s="82">
        <v>10653</v>
      </c>
      <c r="F336" s="82">
        <v>1098</v>
      </c>
      <c r="G336" s="82">
        <v>320</v>
      </c>
      <c r="H336" s="83">
        <v>9.6675664250098041</v>
      </c>
      <c r="I336" s="83">
        <v>4156.8223978362366</v>
      </c>
      <c r="J336" s="83">
        <v>29.478645785090947</v>
      </c>
    </row>
    <row r="337" spans="1:10" ht="16">
      <c r="A337" s="79" t="s">
        <v>1043</v>
      </c>
      <c r="B337" s="79" t="s">
        <v>1039</v>
      </c>
      <c r="C337" s="80" t="s">
        <v>95</v>
      </c>
      <c r="D337" s="81" t="s">
        <v>78</v>
      </c>
      <c r="E337" s="82">
        <v>12182</v>
      </c>
      <c r="F337" s="82">
        <v>781</v>
      </c>
      <c r="G337" s="82">
        <v>1096</v>
      </c>
      <c r="H337" s="83">
        <v>16.793505021323515</v>
      </c>
      <c r="I337" s="83">
        <v>8128.8503921104866</v>
      </c>
      <c r="J337" s="83">
        <v>22.549609032824051</v>
      </c>
    </row>
    <row r="338" spans="1:10" ht="16">
      <c r="A338" s="79" t="s">
        <v>526</v>
      </c>
      <c r="B338" s="79" t="s">
        <v>493</v>
      </c>
      <c r="C338" s="80" t="s">
        <v>95</v>
      </c>
      <c r="D338" s="81" t="s">
        <v>76</v>
      </c>
      <c r="E338" s="82">
        <v>7938</v>
      </c>
      <c r="F338" s="82">
        <v>571</v>
      </c>
      <c r="G338" s="82">
        <v>318</v>
      </c>
      <c r="H338" s="83">
        <v>17.704127572897836</v>
      </c>
      <c r="I338" s="83">
        <v>4617.0817867374581</v>
      </c>
      <c r="J338" s="83">
        <v>44.689830719020051</v>
      </c>
    </row>
    <row r="339" spans="1:10" ht="16">
      <c r="A339" s="79" t="s">
        <v>267</v>
      </c>
      <c r="B339" s="79" t="s">
        <v>242</v>
      </c>
      <c r="C339" s="80" t="s">
        <v>126</v>
      </c>
      <c r="D339" s="81" t="s">
        <v>101</v>
      </c>
      <c r="E339" s="82">
        <v>21455</v>
      </c>
      <c r="F339" s="82">
        <v>1500</v>
      </c>
      <c r="G339" s="82">
        <v>429</v>
      </c>
      <c r="H339" s="83">
        <v>11.076226986854053</v>
      </c>
      <c r="I339" s="83">
        <v>6705.4171788708882</v>
      </c>
      <c r="J339" s="83">
        <v>15.847138021312508</v>
      </c>
    </row>
    <row r="340" spans="1:10" ht="16">
      <c r="A340" s="79" t="s">
        <v>268</v>
      </c>
      <c r="B340" s="79" t="s">
        <v>242</v>
      </c>
      <c r="C340" s="80" t="s">
        <v>126</v>
      </c>
      <c r="D340" s="81" t="s">
        <v>101</v>
      </c>
      <c r="E340" s="82">
        <v>35335</v>
      </c>
      <c r="F340" s="82">
        <v>3719</v>
      </c>
      <c r="G340" s="82">
        <v>1767</v>
      </c>
      <c r="H340" s="83">
        <v>11.009085007414404</v>
      </c>
      <c r="I340" s="83">
        <v>3469.8433545578464</v>
      </c>
      <c r="J340" s="83">
        <v>19.269176588579533</v>
      </c>
    </row>
    <row r="341" spans="1:10" ht="16">
      <c r="A341" s="79" t="s">
        <v>680</v>
      </c>
      <c r="B341" s="79" t="s">
        <v>661</v>
      </c>
      <c r="C341" s="80" t="s">
        <v>126</v>
      </c>
      <c r="D341" s="81" t="s">
        <v>99</v>
      </c>
      <c r="E341" s="82">
        <v>1078</v>
      </c>
      <c r="F341" s="82">
        <v>1198</v>
      </c>
      <c r="G341" s="82">
        <v>11</v>
      </c>
      <c r="H341" s="83">
        <v>9.5920881746728845</v>
      </c>
      <c r="I341" s="83">
        <v>4459.7591961491607</v>
      </c>
      <c r="J341" s="83">
        <v>29.149684018153874</v>
      </c>
    </row>
    <row r="342" spans="1:10" ht="16">
      <c r="A342" s="79" t="s">
        <v>269</v>
      </c>
      <c r="B342" s="79" t="s">
        <v>242</v>
      </c>
      <c r="C342" s="80" t="s">
        <v>126</v>
      </c>
      <c r="D342" s="81" t="s">
        <v>103</v>
      </c>
      <c r="E342" s="82">
        <v>70450</v>
      </c>
      <c r="F342" s="82">
        <v>6523</v>
      </c>
      <c r="G342" s="82">
        <v>2114</v>
      </c>
      <c r="H342" s="83">
        <v>16.754540362905683</v>
      </c>
      <c r="I342" s="83">
        <v>4441.350345661117</v>
      </c>
      <c r="J342" s="83">
        <v>27.561312085524218</v>
      </c>
    </row>
    <row r="343" spans="1:10" ht="16">
      <c r="A343" s="79" t="s">
        <v>270</v>
      </c>
      <c r="B343" s="79" t="s">
        <v>242</v>
      </c>
      <c r="C343" s="80" t="s">
        <v>95</v>
      </c>
      <c r="D343" s="81" t="s">
        <v>76</v>
      </c>
      <c r="E343" s="82">
        <v>34904</v>
      </c>
      <c r="F343" s="82">
        <v>2493</v>
      </c>
      <c r="G343" s="82">
        <v>11867</v>
      </c>
      <c r="H343" s="83">
        <v>15.869297996029639</v>
      </c>
      <c r="I343" s="83">
        <v>5741.9311525272933</v>
      </c>
      <c r="J343" s="83">
        <v>21.744286261069007</v>
      </c>
    </row>
    <row r="344" spans="1:10" ht="16">
      <c r="A344" s="79" t="s">
        <v>430</v>
      </c>
      <c r="B344" s="79" t="s">
        <v>421</v>
      </c>
      <c r="C344" s="80" t="s">
        <v>95</v>
      </c>
      <c r="D344" s="81" t="s">
        <v>103</v>
      </c>
      <c r="E344" s="82">
        <v>31919</v>
      </c>
      <c r="F344" s="82">
        <v>1187</v>
      </c>
      <c r="G344" s="82">
        <v>3511</v>
      </c>
      <c r="H344" s="83">
        <v>23.156943887796146</v>
      </c>
      <c r="I344" s="83">
        <v>17543.844813941017</v>
      </c>
      <c r="J344" s="83">
        <v>35.585408481241274</v>
      </c>
    </row>
    <row r="345" spans="1:10" ht="16">
      <c r="A345" s="79" t="s">
        <v>147</v>
      </c>
      <c r="B345" s="79" t="s">
        <v>146</v>
      </c>
      <c r="C345" s="80" t="s">
        <v>95</v>
      </c>
      <c r="D345" s="81" t="s">
        <v>75</v>
      </c>
      <c r="E345" s="82">
        <v>6122</v>
      </c>
      <c r="F345" s="82">
        <v>583</v>
      </c>
      <c r="G345" s="82">
        <v>673</v>
      </c>
      <c r="H345" s="83">
        <v>20.31688137646308</v>
      </c>
      <c r="I345" s="83">
        <v>9265.2695098709228</v>
      </c>
      <c r="J345" s="83">
        <v>28.617944423341978</v>
      </c>
    </row>
    <row r="346" spans="1:10" ht="16">
      <c r="A346" s="79" t="s">
        <v>1346</v>
      </c>
      <c r="B346" s="79" t="s">
        <v>1307</v>
      </c>
      <c r="C346" s="80" t="s">
        <v>95</v>
      </c>
      <c r="D346" s="81" t="s">
        <v>99</v>
      </c>
      <c r="E346" s="82">
        <v>16171</v>
      </c>
      <c r="F346" s="82">
        <v>3594</v>
      </c>
      <c r="G346" s="82">
        <v>4204</v>
      </c>
      <c r="H346" s="83">
        <v>92.354205098167611</v>
      </c>
      <c r="I346" s="83">
        <v>89899.442242667574</v>
      </c>
      <c r="J346" s="83">
        <v>82.491959568349145</v>
      </c>
    </row>
    <row r="347" spans="1:10" ht="16">
      <c r="A347" s="79" t="s">
        <v>774</v>
      </c>
      <c r="B347" s="79" t="s">
        <v>772</v>
      </c>
      <c r="C347" s="80" t="s">
        <v>95</v>
      </c>
      <c r="D347" s="81" t="s">
        <v>79</v>
      </c>
      <c r="E347" s="82">
        <v>21512</v>
      </c>
      <c r="F347" s="82">
        <v>1605</v>
      </c>
      <c r="G347" s="82">
        <v>3657</v>
      </c>
      <c r="H347" s="83">
        <v>9.7301686277084833</v>
      </c>
      <c r="I347" s="83">
        <v>9092.2392327155776</v>
      </c>
      <c r="J347" s="83">
        <v>16.024790893286198</v>
      </c>
    </row>
    <row r="348" spans="1:10" ht="16">
      <c r="A348" s="79" t="s">
        <v>681</v>
      </c>
      <c r="B348" s="79" t="s">
        <v>661</v>
      </c>
      <c r="C348" s="80" t="s">
        <v>95</v>
      </c>
      <c r="D348" s="81" t="s">
        <v>76</v>
      </c>
      <c r="E348" s="82">
        <v>4653</v>
      </c>
      <c r="F348" s="82">
        <v>1224</v>
      </c>
      <c r="G348" s="82">
        <v>93</v>
      </c>
      <c r="H348" s="83">
        <v>13.574191224887398</v>
      </c>
      <c r="I348" s="83">
        <v>3769.7632616037663</v>
      </c>
      <c r="J348" s="83">
        <v>34.794809012807562</v>
      </c>
    </row>
    <row r="349" spans="1:10" ht="16">
      <c r="A349" s="79" t="s">
        <v>431</v>
      </c>
      <c r="B349" s="79" t="s">
        <v>421</v>
      </c>
      <c r="C349" s="80" t="s">
        <v>95</v>
      </c>
      <c r="D349" s="81" t="s">
        <v>96</v>
      </c>
      <c r="E349" s="82">
        <v>28575</v>
      </c>
      <c r="F349" s="82">
        <v>611</v>
      </c>
      <c r="G349" s="82">
        <v>2572</v>
      </c>
      <c r="H349" s="83">
        <v>34.475657057737521</v>
      </c>
      <c r="I349" s="83">
        <v>18350.90375947865</v>
      </c>
      <c r="J349" s="83">
        <v>38.284226233107738</v>
      </c>
    </row>
    <row r="350" spans="1:10" ht="16">
      <c r="A350" s="79" t="s">
        <v>567</v>
      </c>
      <c r="B350" s="79" t="s">
        <v>556</v>
      </c>
      <c r="C350" s="80" t="s">
        <v>126</v>
      </c>
      <c r="D350" s="81" t="s">
        <v>75</v>
      </c>
      <c r="E350" s="82">
        <v>6582</v>
      </c>
      <c r="F350" s="82">
        <v>295</v>
      </c>
      <c r="G350" s="82">
        <v>66</v>
      </c>
      <c r="H350" s="83">
        <v>24.369675251596391</v>
      </c>
      <c r="I350" s="83">
        <v>5958.5464500345697</v>
      </c>
      <c r="J350" s="83">
        <v>24.784448444287168</v>
      </c>
    </row>
    <row r="351" spans="1:10" ht="16">
      <c r="A351" s="79" t="s">
        <v>374</v>
      </c>
      <c r="B351" s="79" t="s">
        <v>363</v>
      </c>
      <c r="C351" s="80" t="s">
        <v>95</v>
      </c>
      <c r="D351" s="81" t="s">
        <v>75</v>
      </c>
      <c r="E351" s="82">
        <v>74546</v>
      </c>
      <c r="F351" s="82">
        <v>1878</v>
      </c>
      <c r="G351" s="82">
        <v>745</v>
      </c>
      <c r="H351" s="83">
        <v>8.856105246429971</v>
      </c>
      <c r="I351" s="83">
        <v>5354.0340368954521</v>
      </c>
      <c r="J351" s="83">
        <v>13.580214894092501</v>
      </c>
    </row>
    <row r="352" spans="1:10" ht="16">
      <c r="A352" s="79" t="s">
        <v>682</v>
      </c>
      <c r="B352" s="79" t="s">
        <v>661</v>
      </c>
      <c r="C352" s="80" t="s">
        <v>126</v>
      </c>
      <c r="D352" s="81" t="s">
        <v>99</v>
      </c>
      <c r="E352" s="82">
        <v>6392</v>
      </c>
      <c r="F352" s="82">
        <v>659</v>
      </c>
      <c r="G352" s="82">
        <v>128</v>
      </c>
      <c r="H352" s="83">
        <v>12.585058611424959</v>
      </c>
      <c r="I352" s="83">
        <v>3357.344752325906</v>
      </c>
      <c r="J352" s="83">
        <v>21.203719240882023</v>
      </c>
    </row>
    <row r="353" spans="1:10" ht="16">
      <c r="A353" s="79" t="s">
        <v>683</v>
      </c>
      <c r="B353" s="79" t="s">
        <v>661</v>
      </c>
      <c r="C353" s="80" t="s">
        <v>126</v>
      </c>
      <c r="D353" s="81" t="s">
        <v>149</v>
      </c>
      <c r="E353" s="82">
        <v>10541</v>
      </c>
      <c r="F353" s="82">
        <v>1044</v>
      </c>
      <c r="G353" s="82">
        <v>316</v>
      </c>
      <c r="H353" s="83">
        <v>11.668064250036512</v>
      </c>
      <c r="I353" s="83">
        <v>2053.2747182688586</v>
      </c>
      <c r="J353" s="83">
        <v>21.689632535972081</v>
      </c>
    </row>
    <row r="354" spans="1:10" ht="16">
      <c r="A354" s="79" t="s">
        <v>684</v>
      </c>
      <c r="B354" s="79" t="s">
        <v>661</v>
      </c>
      <c r="C354" s="80" t="s">
        <v>126</v>
      </c>
      <c r="D354" s="81" t="s">
        <v>99</v>
      </c>
      <c r="E354" s="82">
        <v>18104</v>
      </c>
      <c r="F354" s="82">
        <v>1240</v>
      </c>
      <c r="G354" s="82">
        <v>543</v>
      </c>
      <c r="H354" s="83">
        <v>8.3632080113698049</v>
      </c>
      <c r="I354" s="83">
        <v>932.525066554349</v>
      </c>
      <c r="J354" s="83">
        <v>14.909886696099544</v>
      </c>
    </row>
    <row r="355" spans="1:10" ht="16">
      <c r="A355" s="79" t="s">
        <v>685</v>
      </c>
      <c r="B355" s="79" t="s">
        <v>661</v>
      </c>
      <c r="C355" s="80" t="s">
        <v>126</v>
      </c>
      <c r="D355" s="81" t="s">
        <v>103</v>
      </c>
      <c r="E355" s="82">
        <v>10420</v>
      </c>
      <c r="F355" s="82">
        <v>1063</v>
      </c>
      <c r="G355" s="82">
        <v>521</v>
      </c>
      <c r="H355" s="83">
        <v>18.448259794499123</v>
      </c>
      <c r="I355" s="83">
        <v>5043.018079109479</v>
      </c>
      <c r="J355" s="83">
        <v>27.790489349255637</v>
      </c>
    </row>
    <row r="356" spans="1:10" ht="16">
      <c r="A356" s="79" t="s">
        <v>1018</v>
      </c>
      <c r="B356" s="79" t="s">
        <v>1007</v>
      </c>
      <c r="C356" s="80" t="s">
        <v>126</v>
      </c>
      <c r="D356" s="81" t="s">
        <v>99</v>
      </c>
      <c r="E356" s="82">
        <v>23127</v>
      </c>
      <c r="F356" s="82">
        <v>1001</v>
      </c>
      <c r="G356" s="82">
        <v>694</v>
      </c>
      <c r="H356" s="83">
        <v>15.279857623671292</v>
      </c>
      <c r="I356" s="83">
        <v>2683.7807807906484</v>
      </c>
      <c r="J356" s="83">
        <v>18.147173423694269</v>
      </c>
    </row>
    <row r="357" spans="1:10" ht="16">
      <c r="A357" s="79" t="s">
        <v>686</v>
      </c>
      <c r="B357" s="79" t="s">
        <v>661</v>
      </c>
      <c r="C357" s="80" t="s">
        <v>126</v>
      </c>
      <c r="D357" s="81" t="s">
        <v>76</v>
      </c>
      <c r="E357" s="82">
        <v>841</v>
      </c>
      <c r="F357" s="82">
        <v>765</v>
      </c>
      <c r="G357" s="82">
        <v>25</v>
      </c>
      <c r="H357" s="83">
        <v>8.8911154427109924</v>
      </c>
      <c r="I357" s="83">
        <v>6117.4521011234974</v>
      </c>
      <c r="J357" s="83">
        <v>33.059816672719208</v>
      </c>
    </row>
    <row r="358" spans="1:10" ht="16">
      <c r="A358" s="79" t="s">
        <v>687</v>
      </c>
      <c r="B358" s="79" t="s">
        <v>661</v>
      </c>
      <c r="C358" s="80" t="s">
        <v>126</v>
      </c>
      <c r="D358" s="81" t="s">
        <v>101</v>
      </c>
      <c r="E358" s="82">
        <v>30346</v>
      </c>
      <c r="F358" s="82">
        <v>2709</v>
      </c>
      <c r="G358" s="82">
        <v>910</v>
      </c>
      <c r="H358" s="83">
        <v>8.5192837118104556</v>
      </c>
      <c r="I358" s="83">
        <v>556.49963741956185</v>
      </c>
      <c r="J358" s="83">
        <v>24.731534706905389</v>
      </c>
    </row>
    <row r="359" spans="1:10" ht="16">
      <c r="A359" s="79" t="s">
        <v>1347</v>
      </c>
      <c r="B359" s="79" t="s">
        <v>1307</v>
      </c>
      <c r="C359" s="80" t="s">
        <v>126</v>
      </c>
      <c r="D359" s="81" t="s">
        <v>111</v>
      </c>
      <c r="E359" s="82">
        <v>21536</v>
      </c>
      <c r="F359" s="82">
        <v>1506</v>
      </c>
      <c r="G359" s="82">
        <v>1938</v>
      </c>
      <c r="H359" s="83">
        <v>21.202134098612447</v>
      </c>
      <c r="I359" s="83">
        <v>9375.5388673949474</v>
      </c>
      <c r="J359" s="83">
        <v>25.965873027599233</v>
      </c>
    </row>
    <row r="360" spans="1:10" ht="16">
      <c r="A360" s="79" t="s">
        <v>1108</v>
      </c>
      <c r="B360" s="79" t="s">
        <v>1100</v>
      </c>
      <c r="C360" s="80" t="s">
        <v>95</v>
      </c>
      <c r="D360" s="81" t="s">
        <v>77</v>
      </c>
      <c r="E360" s="82">
        <v>6881</v>
      </c>
      <c r="F360" s="82">
        <v>564</v>
      </c>
      <c r="G360" s="82">
        <v>482</v>
      </c>
      <c r="H360" s="83">
        <v>23.441389137645153</v>
      </c>
      <c r="I360" s="83">
        <v>6045.1144274684002</v>
      </c>
      <c r="J360" s="83">
        <v>23.19872656065014</v>
      </c>
    </row>
    <row r="361" spans="1:10" ht="16">
      <c r="A361" s="79" t="s">
        <v>432</v>
      </c>
      <c r="B361" s="79" t="s">
        <v>421</v>
      </c>
      <c r="C361" s="80" t="s">
        <v>126</v>
      </c>
      <c r="D361" s="81" t="s">
        <v>79</v>
      </c>
      <c r="E361" s="82">
        <v>27255</v>
      </c>
      <c r="F361" s="82">
        <v>1065</v>
      </c>
      <c r="G361" s="82">
        <v>5996</v>
      </c>
      <c r="H361" s="83">
        <v>48.541645305366465</v>
      </c>
      <c r="I361" s="83">
        <v>31826.958412788172</v>
      </c>
      <c r="J361" s="83">
        <v>46.027788754896171</v>
      </c>
    </row>
    <row r="362" spans="1:10" ht="16">
      <c r="A362" s="79" t="s">
        <v>1082</v>
      </c>
      <c r="B362" s="79" t="s">
        <v>1081</v>
      </c>
      <c r="C362" s="80" t="s">
        <v>95</v>
      </c>
      <c r="D362" s="81" t="s">
        <v>77</v>
      </c>
      <c r="E362" s="82">
        <v>8552</v>
      </c>
      <c r="F362" s="82">
        <v>668</v>
      </c>
      <c r="G362" s="82">
        <v>7184</v>
      </c>
      <c r="H362" s="83">
        <v>13.369241579987253</v>
      </c>
      <c r="I362" s="83">
        <v>6308.1002752343529</v>
      </c>
      <c r="J362" s="83">
        <v>16.843661284135766</v>
      </c>
    </row>
    <row r="363" spans="1:10" ht="16">
      <c r="A363" s="79" t="s">
        <v>1083</v>
      </c>
      <c r="B363" s="79" t="s">
        <v>1081</v>
      </c>
      <c r="C363" s="80" t="s">
        <v>95</v>
      </c>
      <c r="D363" s="81" t="s">
        <v>149</v>
      </c>
      <c r="E363" s="82">
        <v>7777</v>
      </c>
      <c r="F363" s="82">
        <v>864</v>
      </c>
      <c r="G363" s="82">
        <v>1555</v>
      </c>
      <c r="H363" s="83">
        <v>71.809758992988023</v>
      </c>
      <c r="I363" s="83">
        <v>68703.28139596495</v>
      </c>
      <c r="J363" s="83">
        <v>56.314810103060147</v>
      </c>
    </row>
    <row r="364" spans="1:10" ht="16">
      <c r="A364" s="79" t="s">
        <v>1141</v>
      </c>
      <c r="B364" s="79" t="s">
        <v>1139</v>
      </c>
      <c r="C364" s="80" t="s">
        <v>95</v>
      </c>
      <c r="D364" s="81" t="s">
        <v>75</v>
      </c>
      <c r="E364" s="82">
        <v>68067</v>
      </c>
      <c r="F364" s="82">
        <v>3066</v>
      </c>
      <c r="G364" s="82">
        <v>681</v>
      </c>
      <c r="H364" s="83">
        <v>13.483382008272502</v>
      </c>
      <c r="I364" s="83">
        <v>1320.8784642984228</v>
      </c>
      <c r="J364" s="83">
        <v>18.7267178813659</v>
      </c>
    </row>
    <row r="365" spans="1:10" ht="16">
      <c r="A365" s="79" t="s">
        <v>791</v>
      </c>
      <c r="B365" s="79" t="s">
        <v>792</v>
      </c>
      <c r="C365" s="80" t="s">
        <v>126</v>
      </c>
      <c r="D365" s="81" t="s">
        <v>79</v>
      </c>
      <c r="E365" s="82">
        <v>9956</v>
      </c>
      <c r="F365" s="82">
        <v>677</v>
      </c>
      <c r="G365" s="82">
        <v>597</v>
      </c>
      <c r="H365" s="83">
        <v>12.142662928386425</v>
      </c>
      <c r="I365" s="83">
        <v>640.70831099511031</v>
      </c>
      <c r="J365" s="83">
        <v>16.999801691880656</v>
      </c>
    </row>
    <row r="366" spans="1:10" ht="16">
      <c r="A366" s="79" t="s">
        <v>945</v>
      </c>
      <c r="B366" s="79" t="s">
        <v>938</v>
      </c>
      <c r="C366" s="80" t="s">
        <v>95</v>
      </c>
      <c r="D366" s="81" t="s">
        <v>103</v>
      </c>
      <c r="E366" s="82">
        <v>26670</v>
      </c>
      <c r="F366" s="82">
        <v>2469</v>
      </c>
      <c r="G366" s="82">
        <v>3467</v>
      </c>
      <c r="H366" s="83">
        <v>17.80370117709916</v>
      </c>
      <c r="I366" s="83">
        <v>8096.7005917632805</v>
      </c>
      <c r="J366" s="83">
        <v>29.500387741221832</v>
      </c>
    </row>
    <row r="367" spans="1:10" ht="16">
      <c r="A367" s="79" t="s">
        <v>946</v>
      </c>
      <c r="B367" s="79" t="s">
        <v>938</v>
      </c>
      <c r="C367" s="80" t="s">
        <v>126</v>
      </c>
      <c r="D367" s="81" t="s">
        <v>111</v>
      </c>
      <c r="E367" s="82">
        <v>15260</v>
      </c>
      <c r="F367" s="82">
        <v>1426</v>
      </c>
      <c r="G367" s="82">
        <v>1679</v>
      </c>
      <c r="H367" s="83">
        <v>9.225847769733079</v>
      </c>
      <c r="I367" s="83">
        <v>886.88151153072033</v>
      </c>
      <c r="J367" s="83">
        <v>18.14356963392402</v>
      </c>
    </row>
    <row r="368" spans="1:10" ht="16">
      <c r="A368" s="79" t="s">
        <v>1231</v>
      </c>
      <c r="B368" s="79" t="s">
        <v>1209</v>
      </c>
      <c r="C368" s="80" t="s">
        <v>95</v>
      </c>
      <c r="D368" s="81" t="s">
        <v>78</v>
      </c>
      <c r="E368" s="82">
        <v>9004</v>
      </c>
      <c r="F368" s="82">
        <v>600</v>
      </c>
      <c r="G368" s="82">
        <v>1711</v>
      </c>
      <c r="H368" s="83">
        <v>22.931514215518561</v>
      </c>
      <c r="I368" s="83">
        <v>14399.375601723741</v>
      </c>
      <c r="J368" s="83">
        <v>20.364082219648985</v>
      </c>
    </row>
    <row r="369" spans="1:10" ht="16">
      <c r="A369" s="79" t="s">
        <v>688</v>
      </c>
      <c r="B369" s="79" t="s">
        <v>661</v>
      </c>
      <c r="C369" s="80" t="s">
        <v>126</v>
      </c>
      <c r="D369" s="81" t="s">
        <v>96</v>
      </c>
      <c r="E369" s="82">
        <v>34916</v>
      </c>
      <c r="F369" s="82">
        <v>3357</v>
      </c>
      <c r="G369" s="82">
        <v>2793</v>
      </c>
      <c r="H369" s="83">
        <v>25.877201998421647</v>
      </c>
      <c r="I369" s="83">
        <v>9492.4613464869726</v>
      </c>
      <c r="J369" s="83">
        <v>32.272699985605925</v>
      </c>
    </row>
    <row r="370" spans="1:10" ht="16">
      <c r="A370" s="79" t="s">
        <v>1348</v>
      </c>
      <c r="B370" s="79" t="s">
        <v>1307</v>
      </c>
      <c r="C370" s="80" t="s">
        <v>95</v>
      </c>
      <c r="D370" s="81" t="s">
        <v>103</v>
      </c>
      <c r="E370" s="82">
        <v>24559</v>
      </c>
      <c r="F370" s="82">
        <v>1204</v>
      </c>
      <c r="G370" s="82">
        <v>2210</v>
      </c>
      <c r="H370" s="83">
        <v>19.312791005523518</v>
      </c>
      <c r="I370" s="83">
        <v>10610.21959185959</v>
      </c>
      <c r="J370" s="83">
        <v>23.875235935291439</v>
      </c>
    </row>
    <row r="371" spans="1:10" ht="16">
      <c r="A371" s="79" t="s">
        <v>1205</v>
      </c>
      <c r="B371" s="79" t="s">
        <v>1204</v>
      </c>
      <c r="C371" s="80" t="s">
        <v>95</v>
      </c>
      <c r="D371" s="81" t="s">
        <v>103</v>
      </c>
      <c r="E371" s="82">
        <v>3651</v>
      </c>
      <c r="F371" s="82">
        <v>384</v>
      </c>
      <c r="G371" s="82">
        <v>949</v>
      </c>
      <c r="H371" s="83">
        <v>33.870244202437547</v>
      </c>
      <c r="I371" s="83">
        <v>17780.392395670096</v>
      </c>
      <c r="J371" s="83">
        <v>27.858130669801536</v>
      </c>
    </row>
    <row r="372" spans="1:10" ht="16">
      <c r="A372" s="79" t="s">
        <v>568</v>
      </c>
      <c r="B372" s="79" t="s">
        <v>556</v>
      </c>
      <c r="C372" s="80" t="s">
        <v>95</v>
      </c>
      <c r="D372" s="81" t="s">
        <v>99</v>
      </c>
      <c r="E372" s="82">
        <v>12656</v>
      </c>
      <c r="F372" s="82">
        <v>606</v>
      </c>
      <c r="G372" s="82">
        <v>127</v>
      </c>
      <c r="H372" s="83">
        <v>13.375468812805705</v>
      </c>
      <c r="I372" s="83">
        <v>2696.5971221148548</v>
      </c>
      <c r="J372" s="83">
        <v>28.802970412215682</v>
      </c>
    </row>
    <row r="373" spans="1:10" ht="16">
      <c r="A373" s="79" t="s">
        <v>1142</v>
      </c>
      <c r="B373" s="79" t="s">
        <v>1139</v>
      </c>
      <c r="C373" s="80" t="s">
        <v>95</v>
      </c>
      <c r="D373" s="81" t="s">
        <v>103</v>
      </c>
      <c r="E373" s="82">
        <v>38655</v>
      </c>
      <c r="F373" s="82">
        <v>1962</v>
      </c>
      <c r="G373" s="82">
        <v>773</v>
      </c>
      <c r="H373" s="83">
        <v>12.392824404783193</v>
      </c>
      <c r="I373" s="83">
        <v>2173.6550280477886</v>
      </c>
      <c r="J373" s="83">
        <v>21.64578677952472</v>
      </c>
    </row>
    <row r="374" spans="1:10" ht="16">
      <c r="A374" s="79" t="s">
        <v>527</v>
      </c>
      <c r="B374" s="79" t="s">
        <v>493</v>
      </c>
      <c r="C374" s="80" t="s">
        <v>126</v>
      </c>
      <c r="D374" s="81" t="s">
        <v>103</v>
      </c>
      <c r="E374" s="82">
        <v>21390</v>
      </c>
      <c r="F374" s="82">
        <v>1633</v>
      </c>
      <c r="G374" s="82">
        <v>428</v>
      </c>
      <c r="H374" s="83">
        <v>12.348066188901827</v>
      </c>
      <c r="I374" s="83">
        <v>2982.4999837656287</v>
      </c>
      <c r="J374" s="83">
        <v>17.341037060658525</v>
      </c>
    </row>
    <row r="375" spans="1:10" ht="16">
      <c r="A375" s="79" t="s">
        <v>689</v>
      </c>
      <c r="B375" s="79" t="s">
        <v>661</v>
      </c>
      <c r="C375" s="80" t="s">
        <v>126</v>
      </c>
      <c r="D375" s="81" t="s">
        <v>79</v>
      </c>
      <c r="E375" s="82">
        <v>33125</v>
      </c>
      <c r="F375" s="82">
        <v>2436</v>
      </c>
      <c r="G375" s="82">
        <v>663</v>
      </c>
      <c r="H375" s="83">
        <v>12.323294305698223</v>
      </c>
      <c r="I375" s="83">
        <v>6681.3580429308277</v>
      </c>
      <c r="J375" s="83">
        <v>20.833087082464687</v>
      </c>
    </row>
    <row r="376" spans="1:10" ht="16">
      <c r="A376" s="79" t="s">
        <v>980</v>
      </c>
      <c r="B376" s="79" t="s">
        <v>978</v>
      </c>
      <c r="C376" s="80" t="s">
        <v>95</v>
      </c>
      <c r="D376" s="81" t="s">
        <v>79</v>
      </c>
      <c r="E376" s="82">
        <v>32853</v>
      </c>
      <c r="F376" s="82">
        <v>4159</v>
      </c>
      <c r="G376" s="82">
        <v>6899</v>
      </c>
      <c r="H376" s="83">
        <v>17.467914200565488</v>
      </c>
      <c r="I376" s="83">
        <v>15961.181120129624</v>
      </c>
      <c r="J376" s="83">
        <v>29.99224266214204</v>
      </c>
    </row>
    <row r="377" spans="1:10" ht="16">
      <c r="A377" s="79" t="s">
        <v>981</v>
      </c>
      <c r="B377" s="79" t="s">
        <v>978</v>
      </c>
      <c r="C377" s="80" t="s">
        <v>126</v>
      </c>
      <c r="D377" s="81" t="s">
        <v>149</v>
      </c>
      <c r="E377" s="82">
        <v>6882</v>
      </c>
      <c r="F377" s="82">
        <v>1012</v>
      </c>
      <c r="G377" s="82">
        <v>895</v>
      </c>
      <c r="H377" s="83">
        <v>16.86673338511201</v>
      </c>
      <c r="I377" s="83">
        <v>8226.3373245553466</v>
      </c>
      <c r="J377" s="83">
        <v>28.184107485970735</v>
      </c>
    </row>
    <row r="378" spans="1:10" ht="16">
      <c r="A378" s="79" t="s">
        <v>982</v>
      </c>
      <c r="B378" s="79" t="s">
        <v>978</v>
      </c>
      <c r="C378" s="80" t="s">
        <v>95</v>
      </c>
      <c r="D378" s="81" t="s">
        <v>111</v>
      </c>
      <c r="E378" s="82">
        <v>38865</v>
      </c>
      <c r="F378" s="82">
        <v>4798</v>
      </c>
      <c r="G378" s="82">
        <v>4275</v>
      </c>
      <c r="H378" s="83">
        <v>7.6888905035360686</v>
      </c>
      <c r="I378" s="83">
        <v>3825.2905193198176</v>
      </c>
      <c r="J378" s="83">
        <v>21.738503006248482</v>
      </c>
    </row>
    <row r="379" spans="1:10" ht="16">
      <c r="A379" s="79" t="s">
        <v>1143</v>
      </c>
      <c r="B379" s="79" t="s">
        <v>1139</v>
      </c>
      <c r="C379" s="80" t="s">
        <v>126</v>
      </c>
      <c r="D379" s="81" t="s">
        <v>103</v>
      </c>
      <c r="E379" s="82">
        <v>26846</v>
      </c>
      <c r="F379" s="82">
        <v>1078</v>
      </c>
      <c r="G379" s="82">
        <v>2549</v>
      </c>
      <c r="H379" s="83">
        <v>10.747017159965459</v>
      </c>
      <c r="I379" s="83">
        <v>1004.3627327040555</v>
      </c>
      <c r="J379" s="83">
        <v>15.57950193968863</v>
      </c>
    </row>
    <row r="380" spans="1:10" ht="16">
      <c r="A380" s="79" t="s">
        <v>983</v>
      </c>
      <c r="B380" s="79" t="s">
        <v>978</v>
      </c>
      <c r="C380" s="80" t="s">
        <v>95</v>
      </c>
      <c r="D380" s="81" t="s">
        <v>78</v>
      </c>
      <c r="E380" s="82">
        <v>11708</v>
      </c>
      <c r="F380" s="82">
        <v>1697</v>
      </c>
      <c r="G380" s="82">
        <v>117</v>
      </c>
      <c r="H380" s="83">
        <v>8.3679704505010886</v>
      </c>
      <c r="I380" s="83">
        <v>5221.5584298543172</v>
      </c>
      <c r="J380" s="83">
        <v>30.534102770083383</v>
      </c>
    </row>
    <row r="381" spans="1:10" ht="16">
      <c r="A381" s="79" t="s">
        <v>984</v>
      </c>
      <c r="B381" s="79" t="s">
        <v>978</v>
      </c>
      <c r="C381" s="80" t="s">
        <v>95</v>
      </c>
      <c r="D381" s="81" t="s">
        <v>78</v>
      </c>
      <c r="E381" s="82">
        <v>38971</v>
      </c>
      <c r="F381" s="82">
        <v>3747</v>
      </c>
      <c r="G381" s="82">
        <v>3897</v>
      </c>
      <c r="H381" s="83">
        <v>26.409700347941712</v>
      </c>
      <c r="I381" s="83">
        <v>12833.512301961489</v>
      </c>
      <c r="J381" s="83">
        <v>25.386340819986231</v>
      </c>
    </row>
    <row r="382" spans="1:10" ht="16">
      <c r="A382" s="79" t="s">
        <v>1232</v>
      </c>
      <c r="B382" s="79" t="s">
        <v>1209</v>
      </c>
      <c r="C382" s="80" t="s">
        <v>95</v>
      </c>
      <c r="D382" s="81" t="s">
        <v>103</v>
      </c>
      <c r="E382" s="82">
        <v>15700</v>
      </c>
      <c r="F382" s="82">
        <v>892</v>
      </c>
      <c r="G382" s="82">
        <v>5652</v>
      </c>
      <c r="H382" s="83">
        <v>16.395216197330431</v>
      </c>
      <c r="I382" s="83">
        <v>5200.1549154303721</v>
      </c>
      <c r="J382" s="83">
        <v>17.741720851496314</v>
      </c>
    </row>
    <row r="383" spans="1:10" ht="16">
      <c r="A383" s="79" t="s">
        <v>690</v>
      </c>
      <c r="B383" s="79" t="s">
        <v>661</v>
      </c>
      <c r="C383" s="80" t="s">
        <v>95</v>
      </c>
      <c r="D383" s="81" t="s">
        <v>149</v>
      </c>
      <c r="E383" s="82">
        <v>8503</v>
      </c>
      <c r="F383" s="82">
        <v>1575</v>
      </c>
      <c r="G383" s="82">
        <v>592</v>
      </c>
      <c r="H383" s="83">
        <v>10.320557966330982</v>
      </c>
      <c r="I383" s="83">
        <v>1819.0289540568153</v>
      </c>
      <c r="J383" s="83">
        <v>24.533687244404163</v>
      </c>
    </row>
    <row r="384" spans="1:10" ht="16">
      <c r="A384" s="79" t="s">
        <v>691</v>
      </c>
      <c r="B384" s="79" t="s">
        <v>661</v>
      </c>
      <c r="C384" s="80" t="s">
        <v>126</v>
      </c>
      <c r="D384" s="81" t="s">
        <v>99</v>
      </c>
      <c r="E384" s="82">
        <v>15593</v>
      </c>
      <c r="F384" s="82">
        <v>1641</v>
      </c>
      <c r="G384" s="82">
        <v>1092</v>
      </c>
      <c r="H384" s="83">
        <v>23.048871689400396</v>
      </c>
      <c r="I384" s="83">
        <v>7117.3704276005865</v>
      </c>
      <c r="J384" s="83">
        <v>32.683394551637129</v>
      </c>
    </row>
    <row r="385" spans="1:10" ht="16">
      <c r="A385" s="79" t="s">
        <v>1183</v>
      </c>
      <c r="B385" s="79" t="s">
        <v>1161</v>
      </c>
      <c r="C385" s="80" t="s">
        <v>95</v>
      </c>
      <c r="D385" s="81" t="s">
        <v>103</v>
      </c>
      <c r="E385" s="82">
        <v>5381</v>
      </c>
      <c r="F385" s="82">
        <v>345</v>
      </c>
      <c r="G385" s="82">
        <v>323</v>
      </c>
      <c r="H385" s="83">
        <v>35.147597248511865</v>
      </c>
      <c r="I385" s="83">
        <v>16937.222210626296</v>
      </c>
      <c r="J385" s="83">
        <v>27.744789943513144</v>
      </c>
    </row>
    <row r="386" spans="1:10" ht="16">
      <c r="A386" s="79" t="s">
        <v>692</v>
      </c>
      <c r="B386" s="79" t="s">
        <v>661</v>
      </c>
      <c r="C386" s="80" t="s">
        <v>126</v>
      </c>
      <c r="D386" s="81" t="s">
        <v>99</v>
      </c>
      <c r="E386" s="82">
        <v>5469</v>
      </c>
      <c r="F386" s="82">
        <v>675</v>
      </c>
      <c r="G386" s="82">
        <v>55</v>
      </c>
      <c r="H386" s="83">
        <v>10.76670047975071</v>
      </c>
      <c r="I386" s="83">
        <v>2225.6337192712417</v>
      </c>
      <c r="J386" s="83">
        <v>20.232658645968684</v>
      </c>
    </row>
    <row r="387" spans="1:10" ht="16">
      <c r="A387" s="79" t="s">
        <v>693</v>
      </c>
      <c r="B387" s="79" t="s">
        <v>661</v>
      </c>
      <c r="C387" s="80" t="s">
        <v>126</v>
      </c>
      <c r="D387" s="81" t="s">
        <v>79</v>
      </c>
      <c r="E387" s="82">
        <v>6505</v>
      </c>
      <c r="F387" s="82">
        <v>374</v>
      </c>
      <c r="G387" s="82">
        <v>65</v>
      </c>
      <c r="H387" s="83">
        <v>10.042354905485913</v>
      </c>
      <c r="I387" s="83">
        <v>869.29679114433645</v>
      </c>
      <c r="J387" s="83">
        <v>17.594879205178319</v>
      </c>
    </row>
    <row r="388" spans="1:10" ht="16">
      <c r="A388" s="79" t="s">
        <v>1019</v>
      </c>
      <c r="B388" s="79" t="s">
        <v>1007</v>
      </c>
      <c r="C388" s="80" t="s">
        <v>95</v>
      </c>
      <c r="D388" s="81" t="s">
        <v>111</v>
      </c>
      <c r="E388" s="82">
        <v>12225</v>
      </c>
      <c r="F388" s="82">
        <v>527</v>
      </c>
      <c r="G388" s="82">
        <v>1956</v>
      </c>
      <c r="H388" s="83">
        <v>38.172788317659638</v>
      </c>
      <c r="I388" s="83">
        <v>10440.941097376537</v>
      </c>
      <c r="J388" s="83">
        <v>33.677155824626226</v>
      </c>
    </row>
    <row r="389" spans="1:10" ht="16">
      <c r="A389" s="79" t="s">
        <v>1020</v>
      </c>
      <c r="B389" s="79" t="s">
        <v>1007</v>
      </c>
      <c r="C389" s="80" t="s">
        <v>126</v>
      </c>
      <c r="D389" s="81" t="s">
        <v>101</v>
      </c>
      <c r="E389" s="82">
        <v>17081</v>
      </c>
      <c r="F389" s="82">
        <v>1512</v>
      </c>
      <c r="G389" s="82">
        <v>1708</v>
      </c>
      <c r="H389" s="83">
        <v>10.946913398126487</v>
      </c>
      <c r="I389" s="83">
        <v>1707.0568502286842</v>
      </c>
      <c r="J389" s="83">
        <v>18.982649148826614</v>
      </c>
    </row>
    <row r="390" spans="1:10" ht="16">
      <c r="A390" s="79" t="s">
        <v>1021</v>
      </c>
      <c r="B390" s="79" t="s">
        <v>1007</v>
      </c>
      <c r="C390" s="80" t="s">
        <v>126</v>
      </c>
      <c r="D390" s="81" t="s">
        <v>76</v>
      </c>
      <c r="E390" s="82">
        <v>9481</v>
      </c>
      <c r="F390" s="82">
        <v>930</v>
      </c>
      <c r="G390" s="82">
        <v>758</v>
      </c>
      <c r="H390" s="83">
        <v>66.81781505732846</v>
      </c>
      <c r="I390" s="83">
        <v>38617.071397234104</v>
      </c>
      <c r="J390" s="83">
        <v>63.032677630020238</v>
      </c>
    </row>
    <row r="391" spans="1:10" ht="16">
      <c r="A391" s="79" t="s">
        <v>1022</v>
      </c>
      <c r="B391" s="79" t="s">
        <v>1007</v>
      </c>
      <c r="C391" s="80" t="s">
        <v>126</v>
      </c>
      <c r="D391" s="81" t="s">
        <v>101</v>
      </c>
      <c r="E391" s="82">
        <v>22965</v>
      </c>
      <c r="F391" s="82">
        <v>1435</v>
      </c>
      <c r="G391" s="82">
        <v>5052</v>
      </c>
      <c r="H391" s="83">
        <v>50.988612454625105</v>
      </c>
      <c r="I391" s="83">
        <v>32385.66342342208</v>
      </c>
      <c r="J391" s="83">
        <v>48.548591926192962</v>
      </c>
    </row>
    <row r="392" spans="1:10" ht="16">
      <c r="A392" s="79" t="s">
        <v>1084</v>
      </c>
      <c r="B392" s="79" t="s">
        <v>1081</v>
      </c>
      <c r="C392" s="80" t="s">
        <v>126</v>
      </c>
      <c r="D392" s="81" t="s">
        <v>78</v>
      </c>
      <c r="E392" s="82">
        <v>12659</v>
      </c>
      <c r="F392" s="82">
        <v>806</v>
      </c>
      <c r="G392" s="82">
        <v>2532</v>
      </c>
      <c r="H392" s="83">
        <v>42.892013849350732</v>
      </c>
      <c r="I392" s="83">
        <v>26647.067318388046</v>
      </c>
      <c r="J392" s="83">
        <v>41.40404119655917</v>
      </c>
    </row>
    <row r="393" spans="1:10" ht="16">
      <c r="A393" s="79" t="s">
        <v>165</v>
      </c>
      <c r="B393" s="79" t="s">
        <v>163</v>
      </c>
      <c r="C393" s="80" t="s">
        <v>126</v>
      </c>
      <c r="D393" s="81" t="s">
        <v>99</v>
      </c>
      <c r="E393" s="82">
        <v>45049</v>
      </c>
      <c r="F393" s="82">
        <v>1241</v>
      </c>
      <c r="G393" s="82">
        <v>6757</v>
      </c>
      <c r="H393" s="83">
        <v>73.9757484132614</v>
      </c>
      <c r="I393" s="83">
        <v>63102.095091033159</v>
      </c>
      <c r="J393" s="83">
        <v>59.566844752083355</v>
      </c>
    </row>
    <row r="394" spans="1:10" ht="16">
      <c r="A394" s="79" t="s">
        <v>694</v>
      </c>
      <c r="B394" s="79" t="s">
        <v>661</v>
      </c>
      <c r="C394" s="80" t="s">
        <v>126</v>
      </c>
      <c r="D394" s="81" t="s">
        <v>76</v>
      </c>
      <c r="E394" s="82">
        <v>10032</v>
      </c>
      <c r="F394" s="82">
        <v>1320</v>
      </c>
      <c r="G394" s="82">
        <v>702</v>
      </c>
      <c r="H394" s="83">
        <v>14.778015197180972</v>
      </c>
      <c r="I394" s="83">
        <v>3291.7940898867932</v>
      </c>
      <c r="J394" s="83">
        <v>26.579878155701742</v>
      </c>
    </row>
    <row r="395" spans="1:10" ht="16">
      <c r="A395" s="79" t="s">
        <v>695</v>
      </c>
      <c r="B395" s="79" t="s">
        <v>661</v>
      </c>
      <c r="C395" s="80" t="s">
        <v>126</v>
      </c>
      <c r="D395" s="81" t="s">
        <v>149</v>
      </c>
      <c r="E395" s="82">
        <v>4850</v>
      </c>
      <c r="F395" s="82">
        <v>664</v>
      </c>
      <c r="G395" s="82">
        <v>97</v>
      </c>
      <c r="H395" s="83">
        <v>10.368852694515798</v>
      </c>
      <c r="I395" s="83">
        <v>5550.9983124663731</v>
      </c>
      <c r="J395" s="83">
        <v>21.684901255636472</v>
      </c>
    </row>
    <row r="396" spans="1:10" ht="16">
      <c r="A396" s="79" t="s">
        <v>782</v>
      </c>
      <c r="B396" s="79" t="s">
        <v>783</v>
      </c>
      <c r="C396" s="80" t="s">
        <v>95</v>
      </c>
      <c r="D396" s="81" t="s">
        <v>79</v>
      </c>
      <c r="E396" s="82">
        <v>36551</v>
      </c>
      <c r="F396" s="82">
        <v>1549</v>
      </c>
      <c r="G396" s="82">
        <v>5483</v>
      </c>
      <c r="H396" s="83">
        <v>9.9499001687498758</v>
      </c>
      <c r="I396" s="83">
        <v>3151.5662361941818</v>
      </c>
      <c r="J396" s="83">
        <v>19.189966284286427</v>
      </c>
    </row>
    <row r="397" spans="1:10" ht="16">
      <c r="A397" s="79" t="s">
        <v>696</v>
      </c>
      <c r="B397" s="79" t="s">
        <v>661</v>
      </c>
      <c r="C397" s="80" t="s">
        <v>126</v>
      </c>
      <c r="D397" s="81" t="s">
        <v>103</v>
      </c>
      <c r="E397" s="82">
        <v>24766</v>
      </c>
      <c r="F397" s="82">
        <v>1041</v>
      </c>
      <c r="G397" s="82">
        <v>743</v>
      </c>
      <c r="H397" s="83">
        <v>9.0912391079958486</v>
      </c>
      <c r="I397" s="83">
        <v>1210.1555273710987</v>
      </c>
      <c r="J397" s="83">
        <v>16.29721820386435</v>
      </c>
    </row>
    <row r="398" spans="1:10" ht="16">
      <c r="A398" s="79" t="s">
        <v>697</v>
      </c>
      <c r="B398" s="79" t="s">
        <v>661</v>
      </c>
      <c r="C398" s="80" t="s">
        <v>126</v>
      </c>
      <c r="D398" s="81" t="s">
        <v>75</v>
      </c>
      <c r="E398" s="82">
        <v>3989</v>
      </c>
      <c r="F398" s="82">
        <v>307</v>
      </c>
      <c r="G398" s="82">
        <v>199</v>
      </c>
      <c r="H398" s="83">
        <v>16.311109965267704</v>
      </c>
      <c r="I398" s="83">
        <v>1644.9267819008633</v>
      </c>
      <c r="J398" s="83">
        <v>21.902881638367599</v>
      </c>
    </row>
    <row r="399" spans="1:10" ht="16">
      <c r="A399" s="79" t="s">
        <v>698</v>
      </c>
      <c r="B399" s="79" t="s">
        <v>661</v>
      </c>
      <c r="C399" s="80" t="s">
        <v>126</v>
      </c>
      <c r="D399" s="81" t="s">
        <v>96</v>
      </c>
      <c r="E399" s="82">
        <v>1330</v>
      </c>
      <c r="F399" s="82">
        <v>391</v>
      </c>
      <c r="G399" s="82">
        <v>13</v>
      </c>
      <c r="H399" s="83">
        <v>14.01937846567956</v>
      </c>
      <c r="I399" s="83">
        <v>4515.4525653968558</v>
      </c>
      <c r="J399" s="83">
        <v>32.658925664153699</v>
      </c>
    </row>
    <row r="400" spans="1:10" ht="16">
      <c r="A400" s="79" t="s">
        <v>699</v>
      </c>
      <c r="B400" s="79" t="s">
        <v>661</v>
      </c>
      <c r="C400" s="80" t="s">
        <v>126</v>
      </c>
      <c r="D400" s="81" t="s">
        <v>78</v>
      </c>
      <c r="E400" s="82">
        <v>22566</v>
      </c>
      <c r="F400" s="82">
        <v>2507</v>
      </c>
      <c r="G400" s="82">
        <v>2031</v>
      </c>
      <c r="H400" s="83">
        <v>78.397356946709863</v>
      </c>
      <c r="I400" s="83">
        <v>46829.274973378924</v>
      </c>
      <c r="J400" s="83">
        <v>74.373151556090519</v>
      </c>
    </row>
    <row r="401" spans="1:10" ht="16">
      <c r="A401" s="79" t="s">
        <v>1023</v>
      </c>
      <c r="B401" s="79" t="s">
        <v>1007</v>
      </c>
      <c r="C401" s="80" t="s">
        <v>95</v>
      </c>
      <c r="D401" s="81" t="s">
        <v>103</v>
      </c>
      <c r="E401" s="82">
        <v>22102</v>
      </c>
      <c r="F401" s="82">
        <v>1278</v>
      </c>
      <c r="G401" s="82">
        <v>4862</v>
      </c>
      <c r="H401" s="83">
        <v>41.092099209495352</v>
      </c>
      <c r="I401" s="83">
        <v>22885.656884126875</v>
      </c>
      <c r="J401" s="83">
        <v>34.610215111435359</v>
      </c>
    </row>
    <row r="402" spans="1:10" ht="16">
      <c r="A402" s="79" t="s">
        <v>1024</v>
      </c>
      <c r="B402" s="79" t="s">
        <v>1007</v>
      </c>
      <c r="C402" s="80" t="s">
        <v>126</v>
      </c>
      <c r="D402" s="81" t="s">
        <v>99</v>
      </c>
      <c r="E402" s="82">
        <v>24155</v>
      </c>
      <c r="F402" s="82">
        <v>1028</v>
      </c>
      <c r="G402" s="82">
        <v>1449</v>
      </c>
      <c r="H402" s="83">
        <v>28.173189739999419</v>
      </c>
      <c r="I402" s="83">
        <v>7019.5882509233443</v>
      </c>
      <c r="J402" s="83">
        <v>25.080152612304502</v>
      </c>
    </row>
    <row r="403" spans="1:10" ht="16">
      <c r="A403" s="79" t="s">
        <v>700</v>
      </c>
      <c r="B403" s="79" t="s">
        <v>661</v>
      </c>
      <c r="C403" s="80" t="s">
        <v>126</v>
      </c>
      <c r="D403" s="81" t="s">
        <v>76</v>
      </c>
      <c r="E403" s="82">
        <v>5653</v>
      </c>
      <c r="F403" s="82">
        <v>349</v>
      </c>
      <c r="G403" s="82">
        <v>226</v>
      </c>
      <c r="H403" s="83">
        <v>12.89795631118929</v>
      </c>
      <c r="I403" s="83">
        <v>3853.484008497931</v>
      </c>
      <c r="J403" s="83">
        <v>19.241138365006453</v>
      </c>
    </row>
    <row r="404" spans="1:10" ht="16">
      <c r="A404" s="79" t="s">
        <v>701</v>
      </c>
      <c r="B404" s="79" t="s">
        <v>661</v>
      </c>
      <c r="C404" s="80" t="s">
        <v>126</v>
      </c>
      <c r="D404" s="81" t="s">
        <v>101</v>
      </c>
      <c r="E404" s="82">
        <v>18643</v>
      </c>
      <c r="F404" s="82">
        <v>2119</v>
      </c>
      <c r="G404" s="82">
        <v>2424</v>
      </c>
      <c r="H404" s="83">
        <v>39.635311693865653</v>
      </c>
      <c r="I404" s="83">
        <v>13448.817219216638</v>
      </c>
      <c r="J404" s="83">
        <v>44.939704245983705</v>
      </c>
    </row>
    <row r="405" spans="1:10" ht="16">
      <c r="A405" s="79" t="s">
        <v>779</v>
      </c>
      <c r="B405" s="79" t="s">
        <v>778</v>
      </c>
      <c r="C405" s="80" t="s">
        <v>126</v>
      </c>
      <c r="D405" s="81" t="s">
        <v>96</v>
      </c>
      <c r="E405" s="82">
        <v>17205</v>
      </c>
      <c r="F405" s="82">
        <v>3246</v>
      </c>
      <c r="G405" s="82">
        <v>688</v>
      </c>
      <c r="H405" s="83">
        <v>7.8108015221674432</v>
      </c>
      <c r="I405" s="83">
        <v>1257.9666956368076</v>
      </c>
      <c r="J405" s="83">
        <v>22.173191225156796</v>
      </c>
    </row>
    <row r="406" spans="1:10" ht="16">
      <c r="A406" s="79" t="s">
        <v>120</v>
      </c>
      <c r="B406" s="79" t="s">
        <v>108</v>
      </c>
      <c r="C406" s="80" t="s">
        <v>95</v>
      </c>
      <c r="D406" s="81" t="s">
        <v>103</v>
      </c>
      <c r="E406" s="82">
        <v>22292</v>
      </c>
      <c r="F406" s="82">
        <v>658</v>
      </c>
      <c r="G406" s="82">
        <v>6465</v>
      </c>
      <c r="H406" s="83">
        <v>33.937277964027501</v>
      </c>
      <c r="I406" s="83">
        <v>24272.140651567031</v>
      </c>
      <c r="J406" s="83">
        <v>27.622948985273645</v>
      </c>
    </row>
    <row r="407" spans="1:10" ht="16">
      <c r="A407" s="79" t="s">
        <v>881</v>
      </c>
      <c r="B407" s="79" t="s">
        <v>877</v>
      </c>
      <c r="C407" s="80" t="s">
        <v>126</v>
      </c>
      <c r="D407" s="81" t="s">
        <v>111</v>
      </c>
      <c r="E407" s="82">
        <v>3859</v>
      </c>
      <c r="F407" s="82">
        <v>264</v>
      </c>
      <c r="G407" s="82">
        <v>39</v>
      </c>
      <c r="H407" s="83">
        <v>12.775898528176887</v>
      </c>
      <c r="I407" s="83">
        <v>4332.9703909656255</v>
      </c>
      <c r="J407" s="83">
        <v>20.38788522315528</v>
      </c>
    </row>
    <row r="408" spans="1:10" ht="16">
      <c r="A408" s="79" t="s">
        <v>206</v>
      </c>
      <c r="B408" s="79" t="s">
        <v>203</v>
      </c>
      <c r="C408" s="80" t="s">
        <v>95</v>
      </c>
      <c r="D408" s="81" t="s">
        <v>76</v>
      </c>
      <c r="E408" s="82">
        <v>8050</v>
      </c>
      <c r="F408" s="82">
        <v>329</v>
      </c>
      <c r="G408" s="82">
        <v>1047</v>
      </c>
      <c r="H408" s="83">
        <v>20.259100720824467</v>
      </c>
      <c r="I408" s="83">
        <v>9167.2985168024807</v>
      </c>
      <c r="J408" s="83">
        <v>17.90924514765484</v>
      </c>
    </row>
    <row r="409" spans="1:10" ht="16">
      <c r="A409" s="79" t="s">
        <v>1233</v>
      </c>
      <c r="B409" s="79" t="s">
        <v>1209</v>
      </c>
      <c r="C409" s="80" t="s">
        <v>95</v>
      </c>
      <c r="D409" s="81" t="s">
        <v>76</v>
      </c>
      <c r="E409" s="82">
        <v>12657</v>
      </c>
      <c r="F409" s="82">
        <v>1013</v>
      </c>
      <c r="G409" s="82">
        <v>4810</v>
      </c>
      <c r="H409" s="83">
        <v>39.911886463252685</v>
      </c>
      <c r="I409" s="83">
        <v>36457.537316674199</v>
      </c>
      <c r="J409" s="83">
        <v>34.897060893866538</v>
      </c>
    </row>
    <row r="410" spans="1:10" ht="16">
      <c r="A410" s="79" t="s">
        <v>389</v>
      </c>
      <c r="B410" s="79" t="s">
        <v>388</v>
      </c>
      <c r="C410" s="80" t="s">
        <v>126</v>
      </c>
      <c r="D410" s="81" t="s">
        <v>78</v>
      </c>
      <c r="E410" s="82">
        <v>3851</v>
      </c>
      <c r="F410" s="82">
        <v>137</v>
      </c>
      <c r="G410" s="82">
        <v>732</v>
      </c>
      <c r="H410" s="83">
        <v>31.074796121046848</v>
      </c>
      <c r="I410" s="83">
        <v>13001.614453604327</v>
      </c>
      <c r="J410" s="83">
        <v>28.994584654453103</v>
      </c>
    </row>
    <row r="411" spans="1:10" ht="16">
      <c r="A411" s="79" t="s">
        <v>784</v>
      </c>
      <c r="B411" s="79" t="s">
        <v>785</v>
      </c>
      <c r="C411" s="80" t="s">
        <v>126</v>
      </c>
      <c r="D411" s="81" t="s">
        <v>149</v>
      </c>
      <c r="E411" s="82">
        <v>4216</v>
      </c>
      <c r="F411" s="82">
        <v>114</v>
      </c>
      <c r="G411" s="82">
        <v>42</v>
      </c>
      <c r="H411" s="83">
        <v>18.116691425049268</v>
      </c>
      <c r="I411" s="83">
        <v>919.96866212066539</v>
      </c>
      <c r="J411" s="83">
        <v>17.564519267967448</v>
      </c>
    </row>
    <row r="412" spans="1:10" ht="16">
      <c r="A412" s="79" t="s">
        <v>207</v>
      </c>
      <c r="B412" s="79" t="s">
        <v>203</v>
      </c>
      <c r="C412" s="80" t="s">
        <v>95</v>
      </c>
      <c r="D412" s="81" t="s">
        <v>76</v>
      </c>
      <c r="E412" s="82">
        <v>29250</v>
      </c>
      <c r="F412" s="82">
        <v>1691</v>
      </c>
      <c r="G412" s="82">
        <v>3803</v>
      </c>
      <c r="H412" s="83">
        <v>32.275485945731795</v>
      </c>
      <c r="I412" s="83">
        <v>21508.015922820006</v>
      </c>
      <c r="J412" s="83">
        <v>40.545805939378269</v>
      </c>
    </row>
    <row r="413" spans="1:10" ht="16">
      <c r="A413" s="79" t="s">
        <v>790</v>
      </c>
      <c r="B413" s="79" t="s">
        <v>789</v>
      </c>
      <c r="C413" s="80" t="s">
        <v>126</v>
      </c>
      <c r="D413" s="81" t="s">
        <v>79</v>
      </c>
      <c r="E413" s="82">
        <v>7866</v>
      </c>
      <c r="F413" s="82">
        <v>587</v>
      </c>
      <c r="G413" s="82">
        <v>1416</v>
      </c>
      <c r="H413" s="83">
        <v>10.98381537221927</v>
      </c>
      <c r="I413" s="83">
        <v>2542.3894764039378</v>
      </c>
      <c r="J413" s="83">
        <v>30.810428663016722</v>
      </c>
    </row>
    <row r="414" spans="1:10" ht="16">
      <c r="A414" s="79" t="s">
        <v>1234</v>
      </c>
      <c r="B414" s="79" t="s">
        <v>1209</v>
      </c>
      <c r="C414" s="80" t="s">
        <v>95</v>
      </c>
      <c r="D414" s="81" t="s">
        <v>103</v>
      </c>
      <c r="E414" s="82">
        <v>19726</v>
      </c>
      <c r="F414" s="82">
        <v>1012</v>
      </c>
      <c r="G414" s="82">
        <v>2367</v>
      </c>
      <c r="H414" s="83">
        <v>14.71488665673969</v>
      </c>
      <c r="I414" s="83">
        <v>5512.3130345432892</v>
      </c>
      <c r="J414" s="83">
        <v>16.677864064789713</v>
      </c>
    </row>
    <row r="415" spans="1:10" ht="16">
      <c r="A415" s="79" t="s">
        <v>1349</v>
      </c>
      <c r="B415" s="79" t="s">
        <v>1307</v>
      </c>
      <c r="C415" s="80" t="s">
        <v>126</v>
      </c>
      <c r="D415" s="81" t="s">
        <v>101</v>
      </c>
      <c r="E415" s="82">
        <v>6462</v>
      </c>
      <c r="F415" s="82">
        <v>598</v>
      </c>
      <c r="G415" s="82">
        <v>1099</v>
      </c>
      <c r="H415" s="83">
        <v>21.335844082857125</v>
      </c>
      <c r="I415" s="83">
        <v>10611.073348131482</v>
      </c>
      <c r="J415" s="83">
        <v>27.535044859827813</v>
      </c>
    </row>
    <row r="416" spans="1:10" ht="16">
      <c r="A416" s="79" t="s">
        <v>433</v>
      </c>
      <c r="B416" s="79" t="s">
        <v>421</v>
      </c>
      <c r="C416" s="80" t="s">
        <v>126</v>
      </c>
      <c r="D416" s="81" t="s">
        <v>77</v>
      </c>
      <c r="E416" s="82">
        <v>27625</v>
      </c>
      <c r="F416" s="82">
        <v>512</v>
      </c>
      <c r="G416" s="82">
        <v>3868</v>
      </c>
      <c r="H416" s="83">
        <v>30.868286966351302</v>
      </c>
      <c r="I416" s="83">
        <v>13814.39495341476</v>
      </c>
      <c r="J416" s="83">
        <v>37.550387126927262</v>
      </c>
    </row>
    <row r="417" spans="1:10" ht="16">
      <c r="A417" s="79" t="s">
        <v>842</v>
      </c>
      <c r="B417" s="79" t="s">
        <v>839</v>
      </c>
      <c r="C417" s="80" t="s">
        <v>95</v>
      </c>
      <c r="D417" s="81" t="s">
        <v>96</v>
      </c>
      <c r="E417" s="82">
        <v>28741</v>
      </c>
      <c r="F417" s="82">
        <v>1537</v>
      </c>
      <c r="G417" s="82">
        <v>4599</v>
      </c>
      <c r="H417" s="83">
        <v>65.796765054182956</v>
      </c>
      <c r="I417" s="83">
        <v>54077.993494432354</v>
      </c>
      <c r="J417" s="83">
        <v>48.339717224763703</v>
      </c>
    </row>
    <row r="418" spans="1:10" ht="16">
      <c r="A418" s="79" t="s">
        <v>854</v>
      </c>
      <c r="B418" s="79" t="s">
        <v>853</v>
      </c>
      <c r="C418" s="80" t="s">
        <v>126</v>
      </c>
      <c r="D418" s="81" t="s">
        <v>99</v>
      </c>
      <c r="E418" s="82">
        <v>2476</v>
      </c>
      <c r="F418" s="82">
        <v>183</v>
      </c>
      <c r="G418" s="82">
        <v>966</v>
      </c>
      <c r="H418" s="83">
        <v>20.229209660516752</v>
      </c>
      <c r="I418" s="83">
        <v>9562.8122945597643</v>
      </c>
      <c r="J418" s="83">
        <v>24.569108231059946</v>
      </c>
    </row>
    <row r="419" spans="1:10" ht="16">
      <c r="A419" s="79" t="s">
        <v>1235</v>
      </c>
      <c r="B419" s="79" t="s">
        <v>1209</v>
      </c>
      <c r="C419" s="80" t="s">
        <v>95</v>
      </c>
      <c r="D419" s="81" t="s">
        <v>101</v>
      </c>
      <c r="E419" s="82">
        <v>19461</v>
      </c>
      <c r="F419" s="82">
        <v>1118</v>
      </c>
      <c r="G419" s="82">
        <v>2725</v>
      </c>
      <c r="H419" s="83">
        <v>18.181386971835398</v>
      </c>
      <c r="I419" s="83">
        <v>13688.306270727</v>
      </c>
      <c r="J419" s="83">
        <v>17.984490638539143</v>
      </c>
    </row>
    <row r="420" spans="1:10" ht="16">
      <c r="A420" s="79" t="s">
        <v>434</v>
      </c>
      <c r="B420" s="79" t="s">
        <v>421</v>
      </c>
      <c r="C420" s="80" t="s">
        <v>95</v>
      </c>
      <c r="D420" s="81" t="s">
        <v>103</v>
      </c>
      <c r="E420" s="82">
        <v>34519</v>
      </c>
      <c r="F420" s="82">
        <v>995</v>
      </c>
      <c r="G420" s="82">
        <v>5868</v>
      </c>
      <c r="H420" s="83">
        <v>77.050895092625936</v>
      </c>
      <c r="I420" s="83">
        <v>68455.63686896248</v>
      </c>
      <c r="J420" s="83">
        <v>68.441189425677862</v>
      </c>
    </row>
    <row r="421" spans="1:10" ht="16">
      <c r="A421" s="79" t="s">
        <v>947</v>
      </c>
      <c r="B421" s="79" t="s">
        <v>938</v>
      </c>
      <c r="C421" s="80" t="s">
        <v>95</v>
      </c>
      <c r="D421" s="81" t="s">
        <v>77</v>
      </c>
      <c r="E421" s="82">
        <v>18077</v>
      </c>
      <c r="F421" s="82">
        <v>2288</v>
      </c>
      <c r="G421" s="82">
        <v>1265</v>
      </c>
      <c r="H421" s="83">
        <v>12.437615578824675</v>
      </c>
      <c r="I421" s="83">
        <v>1446.9274868940395</v>
      </c>
      <c r="J421" s="83">
        <v>26.429961414829961</v>
      </c>
    </row>
    <row r="422" spans="1:10" ht="16">
      <c r="A422" s="79" t="s">
        <v>902</v>
      </c>
      <c r="B422" s="79" t="s">
        <v>898</v>
      </c>
      <c r="C422" s="80" t="s">
        <v>126</v>
      </c>
      <c r="D422" s="81" t="s">
        <v>101</v>
      </c>
      <c r="E422" s="82">
        <v>16372</v>
      </c>
      <c r="F422" s="82">
        <v>1259</v>
      </c>
      <c r="G422" s="82">
        <v>655</v>
      </c>
      <c r="H422" s="83">
        <v>11.320885088260198</v>
      </c>
      <c r="I422" s="83">
        <v>2003.8294068096693</v>
      </c>
      <c r="J422" s="83">
        <v>17.067744516584565</v>
      </c>
    </row>
    <row r="423" spans="1:10" ht="16">
      <c r="A423" s="79" t="s">
        <v>948</v>
      </c>
      <c r="B423" s="79" t="s">
        <v>938</v>
      </c>
      <c r="C423" s="80" t="s">
        <v>126</v>
      </c>
      <c r="D423" s="81" t="s">
        <v>76</v>
      </c>
      <c r="E423" s="82">
        <v>29235</v>
      </c>
      <c r="F423" s="82">
        <v>4005</v>
      </c>
      <c r="G423" s="82">
        <v>8478</v>
      </c>
      <c r="H423" s="83">
        <v>63.502079544984078</v>
      </c>
      <c r="I423" s="83">
        <v>9840.1105647369732</v>
      </c>
      <c r="J423" s="83">
        <v>78.570822558962604</v>
      </c>
    </row>
    <row r="424" spans="1:10" ht="16">
      <c r="A424" s="79" t="s">
        <v>1236</v>
      </c>
      <c r="B424" s="79" t="s">
        <v>1209</v>
      </c>
      <c r="C424" s="80" t="s">
        <v>95</v>
      </c>
      <c r="D424" s="81" t="s">
        <v>103</v>
      </c>
      <c r="E424" s="82">
        <v>10570</v>
      </c>
      <c r="F424" s="82">
        <v>874</v>
      </c>
      <c r="G424" s="82">
        <v>7505</v>
      </c>
      <c r="H424" s="83">
        <v>83.88198562152887</v>
      </c>
      <c r="I424" s="83">
        <v>77081.367972921027</v>
      </c>
      <c r="J424" s="83">
        <v>69.883562742700008</v>
      </c>
    </row>
    <row r="425" spans="1:10" ht="16">
      <c r="A425" s="79" t="s">
        <v>1237</v>
      </c>
      <c r="B425" s="79" t="s">
        <v>1209</v>
      </c>
      <c r="C425" s="80" t="s">
        <v>95</v>
      </c>
      <c r="D425" s="81" t="s">
        <v>79</v>
      </c>
      <c r="E425" s="82">
        <v>12168</v>
      </c>
      <c r="F425" s="82">
        <v>737</v>
      </c>
      <c r="G425" s="82">
        <v>4015</v>
      </c>
      <c r="H425" s="83">
        <v>10.445794605916474</v>
      </c>
      <c r="I425" s="83">
        <v>1887.6343978638804</v>
      </c>
      <c r="J425" s="83">
        <v>16.36421809120608</v>
      </c>
    </row>
    <row r="426" spans="1:10" ht="16">
      <c r="A426" s="79" t="s">
        <v>186</v>
      </c>
      <c r="B426" s="79" t="s">
        <v>169</v>
      </c>
      <c r="C426" s="80" t="s">
        <v>95</v>
      </c>
      <c r="D426" s="81" t="s">
        <v>78</v>
      </c>
      <c r="E426" s="82">
        <v>26685</v>
      </c>
      <c r="F426" s="82">
        <v>1744</v>
      </c>
      <c r="G426" s="82">
        <v>267</v>
      </c>
      <c r="H426" s="83">
        <v>13.658210697246309</v>
      </c>
      <c r="I426" s="83">
        <v>2172.046161996524</v>
      </c>
      <c r="J426" s="83">
        <v>21.866761959251367</v>
      </c>
    </row>
    <row r="427" spans="1:10" ht="16">
      <c r="A427" s="79" t="s">
        <v>1238</v>
      </c>
      <c r="B427" s="79" t="s">
        <v>1209</v>
      </c>
      <c r="C427" s="80" t="s">
        <v>126</v>
      </c>
      <c r="D427" s="81" t="s">
        <v>76</v>
      </c>
      <c r="E427" s="82">
        <v>14749</v>
      </c>
      <c r="F427" s="82">
        <v>1031</v>
      </c>
      <c r="G427" s="82">
        <v>3687</v>
      </c>
      <c r="H427" s="83">
        <v>34.795332082161309</v>
      </c>
      <c r="I427" s="83">
        <v>18194.354883891843</v>
      </c>
      <c r="J427" s="83">
        <v>34.609787520178372</v>
      </c>
    </row>
    <row r="428" spans="1:10" ht="16">
      <c r="A428" s="79" t="s">
        <v>1350</v>
      </c>
      <c r="B428" s="79" t="s">
        <v>1307</v>
      </c>
      <c r="C428" s="80" t="s">
        <v>95</v>
      </c>
      <c r="D428" s="81" t="s">
        <v>103</v>
      </c>
      <c r="E428" s="82">
        <v>29169</v>
      </c>
      <c r="F428" s="82">
        <v>1409</v>
      </c>
      <c r="G428" s="82">
        <v>1750</v>
      </c>
      <c r="H428" s="83">
        <v>26.737152983301272</v>
      </c>
      <c r="I428" s="83">
        <v>14569.240032239844</v>
      </c>
      <c r="J428" s="83">
        <v>34.584883458613376</v>
      </c>
    </row>
    <row r="429" spans="1:10" ht="16">
      <c r="A429" s="79" t="s">
        <v>1351</v>
      </c>
      <c r="B429" s="79" t="s">
        <v>1307</v>
      </c>
      <c r="C429" s="80" t="s">
        <v>126</v>
      </c>
      <c r="D429" s="81" t="s">
        <v>103</v>
      </c>
      <c r="E429" s="82">
        <v>11210</v>
      </c>
      <c r="F429" s="82">
        <v>496</v>
      </c>
      <c r="G429" s="82">
        <v>448</v>
      </c>
      <c r="H429" s="83">
        <v>10.685672268069785</v>
      </c>
      <c r="I429" s="83">
        <v>4279.9258405338696</v>
      </c>
      <c r="J429" s="83">
        <v>17.405924630128474</v>
      </c>
    </row>
    <row r="430" spans="1:10" ht="16">
      <c r="A430" s="79" t="s">
        <v>1085</v>
      </c>
      <c r="B430" s="79" t="s">
        <v>1081</v>
      </c>
      <c r="C430" s="80" t="s">
        <v>95</v>
      </c>
      <c r="D430" s="81" t="s">
        <v>77</v>
      </c>
      <c r="E430" s="82">
        <v>27266</v>
      </c>
      <c r="F430" s="82">
        <v>2253</v>
      </c>
      <c r="G430" s="82">
        <v>5181</v>
      </c>
      <c r="H430" s="83">
        <v>55.290760820736516</v>
      </c>
      <c r="I430" s="83">
        <v>46868.936869643483</v>
      </c>
      <c r="J430" s="83">
        <v>41.0226639075333</v>
      </c>
    </row>
    <row r="431" spans="1:10" ht="16">
      <c r="A431" s="79" t="s">
        <v>1198</v>
      </c>
      <c r="B431" s="79" t="s">
        <v>1197</v>
      </c>
      <c r="C431" s="80" t="s">
        <v>126</v>
      </c>
      <c r="D431" s="81" t="s">
        <v>79</v>
      </c>
      <c r="E431" s="82">
        <v>21560</v>
      </c>
      <c r="F431" s="82">
        <v>2053</v>
      </c>
      <c r="G431" s="82">
        <v>216</v>
      </c>
      <c r="H431" s="83">
        <v>8.7408501426187488</v>
      </c>
      <c r="I431" s="83">
        <v>4346.7314077477704</v>
      </c>
      <c r="J431" s="83">
        <v>17.919628836144575</v>
      </c>
    </row>
    <row r="432" spans="1:10" ht="16">
      <c r="A432" s="79" t="s">
        <v>843</v>
      </c>
      <c r="B432" s="79" t="s">
        <v>839</v>
      </c>
      <c r="C432" s="80" t="s">
        <v>95</v>
      </c>
      <c r="D432" s="81" t="s">
        <v>103</v>
      </c>
      <c r="E432" s="82">
        <v>16857</v>
      </c>
      <c r="F432" s="82">
        <v>906</v>
      </c>
      <c r="G432" s="82">
        <v>9103</v>
      </c>
      <c r="H432" s="83">
        <v>49.232728914280138</v>
      </c>
      <c r="I432" s="83">
        <v>37247.798922483176</v>
      </c>
      <c r="J432" s="83">
        <v>40.362026917410283</v>
      </c>
    </row>
    <row r="433" spans="1:10" ht="16">
      <c r="A433" s="79" t="s">
        <v>797</v>
      </c>
      <c r="B433" s="79" t="s">
        <v>798</v>
      </c>
      <c r="C433" s="80" t="s">
        <v>95</v>
      </c>
      <c r="D433" s="81" t="s">
        <v>96</v>
      </c>
      <c r="E433" s="82">
        <v>9924</v>
      </c>
      <c r="F433" s="82">
        <v>407</v>
      </c>
      <c r="G433" s="82">
        <v>7840</v>
      </c>
      <c r="H433" s="83">
        <v>22.855263242779227</v>
      </c>
      <c r="I433" s="83">
        <v>18636.207575414195</v>
      </c>
      <c r="J433" s="83">
        <v>27.844698175116502</v>
      </c>
    </row>
    <row r="434" spans="1:10" ht="16">
      <c r="A434" s="79" t="s">
        <v>121</v>
      </c>
      <c r="B434" s="79" t="s">
        <v>108</v>
      </c>
      <c r="C434" s="80" t="s">
        <v>95</v>
      </c>
      <c r="D434" s="81" t="s">
        <v>79</v>
      </c>
      <c r="E434" s="82">
        <v>30234</v>
      </c>
      <c r="F434" s="82">
        <v>441</v>
      </c>
      <c r="G434" s="82">
        <v>8768</v>
      </c>
      <c r="H434" s="83">
        <v>43.057145087752659</v>
      </c>
      <c r="I434" s="83">
        <v>30616.601379343854</v>
      </c>
      <c r="J434" s="83">
        <v>38.546207967631524</v>
      </c>
    </row>
    <row r="435" spans="1:10" ht="16">
      <c r="A435" s="79" t="s">
        <v>1144</v>
      </c>
      <c r="B435" s="79" t="s">
        <v>1139</v>
      </c>
      <c r="C435" s="80" t="s">
        <v>95</v>
      </c>
      <c r="D435" s="81" t="s">
        <v>103</v>
      </c>
      <c r="E435" s="82">
        <v>13534</v>
      </c>
      <c r="F435" s="82">
        <v>607</v>
      </c>
      <c r="G435" s="82">
        <v>541</v>
      </c>
      <c r="H435" s="83">
        <v>9.9065466928665327</v>
      </c>
      <c r="I435" s="83">
        <v>6720.3149368067661</v>
      </c>
      <c r="J435" s="83">
        <v>14.79212498135694</v>
      </c>
    </row>
    <row r="436" spans="1:10" ht="16">
      <c r="A436" s="79" t="s">
        <v>528</v>
      </c>
      <c r="B436" s="79" t="s">
        <v>493</v>
      </c>
      <c r="C436" s="80" t="s">
        <v>95</v>
      </c>
      <c r="D436" s="81" t="s">
        <v>103</v>
      </c>
      <c r="E436" s="82">
        <v>39252</v>
      </c>
      <c r="F436" s="82">
        <v>1443</v>
      </c>
      <c r="G436" s="82">
        <v>879</v>
      </c>
      <c r="H436" s="83">
        <v>10.243398079318393</v>
      </c>
      <c r="I436" s="83">
        <v>1607.6385207742192</v>
      </c>
      <c r="J436" s="83">
        <v>14.397897360342411</v>
      </c>
    </row>
    <row r="437" spans="1:10" ht="16">
      <c r="A437" s="79" t="s">
        <v>1145</v>
      </c>
      <c r="B437" s="79" t="s">
        <v>1139</v>
      </c>
      <c r="C437" s="80" t="s">
        <v>95</v>
      </c>
      <c r="D437" s="81" t="s">
        <v>101</v>
      </c>
      <c r="E437" s="82">
        <v>38192</v>
      </c>
      <c r="F437" s="82">
        <v>1303</v>
      </c>
      <c r="G437" s="82">
        <v>3626</v>
      </c>
      <c r="H437" s="83">
        <v>8.7439847344721642</v>
      </c>
      <c r="I437" s="83">
        <v>883.88584056531568</v>
      </c>
      <c r="J437" s="83">
        <v>19.413602108705938</v>
      </c>
    </row>
    <row r="438" spans="1:10" ht="16">
      <c r="A438" s="79" t="s">
        <v>1146</v>
      </c>
      <c r="B438" s="79" t="s">
        <v>1139</v>
      </c>
      <c r="C438" s="80" t="s">
        <v>126</v>
      </c>
      <c r="D438" s="81" t="s">
        <v>79</v>
      </c>
      <c r="E438" s="82">
        <v>28476</v>
      </c>
      <c r="F438" s="82">
        <v>2792</v>
      </c>
      <c r="G438" s="82">
        <v>1139</v>
      </c>
      <c r="H438" s="83">
        <v>21.055943683196968</v>
      </c>
      <c r="I438" s="83">
        <v>9510.7588389768462</v>
      </c>
      <c r="J438" s="83">
        <v>31.853660221881871</v>
      </c>
    </row>
    <row r="439" spans="1:10" ht="16">
      <c r="A439" s="79" t="s">
        <v>1194</v>
      </c>
      <c r="B439" s="79" t="s">
        <v>1195</v>
      </c>
      <c r="C439" s="80" t="s">
        <v>126</v>
      </c>
      <c r="D439" s="81" t="s">
        <v>99</v>
      </c>
      <c r="E439" s="82">
        <v>34651</v>
      </c>
      <c r="F439" s="82">
        <v>1468</v>
      </c>
      <c r="G439" s="82">
        <v>2772</v>
      </c>
      <c r="H439" s="83">
        <v>13.321456064100529</v>
      </c>
      <c r="I439" s="83">
        <v>8869.342354659686</v>
      </c>
      <c r="J439" s="83">
        <v>17.260451343638877</v>
      </c>
    </row>
    <row r="440" spans="1:10" ht="16">
      <c r="A440" s="79" t="s">
        <v>1239</v>
      </c>
      <c r="B440" s="79" t="s">
        <v>1209</v>
      </c>
      <c r="C440" s="80" t="s">
        <v>95</v>
      </c>
      <c r="D440" s="81" t="s">
        <v>77</v>
      </c>
      <c r="E440" s="82">
        <v>28146</v>
      </c>
      <c r="F440" s="82">
        <v>1864</v>
      </c>
      <c r="G440" s="82">
        <v>4503</v>
      </c>
      <c r="H440" s="83">
        <v>14.338331767266805</v>
      </c>
      <c r="I440" s="83">
        <v>7902.779376327172</v>
      </c>
      <c r="J440" s="83">
        <v>20.90699501145615</v>
      </c>
    </row>
    <row r="441" spans="1:10" ht="16">
      <c r="A441" s="79" t="s">
        <v>529</v>
      </c>
      <c r="B441" s="79" t="s">
        <v>493</v>
      </c>
      <c r="C441" s="80" t="s">
        <v>126</v>
      </c>
      <c r="D441" s="81" t="s">
        <v>76</v>
      </c>
      <c r="E441" s="82">
        <v>23082</v>
      </c>
      <c r="F441" s="82">
        <v>2684</v>
      </c>
      <c r="G441" s="82">
        <v>2539</v>
      </c>
      <c r="H441" s="83">
        <v>12.346663108915413</v>
      </c>
      <c r="I441" s="83">
        <v>1081.517301941712</v>
      </c>
      <c r="J441" s="83">
        <v>24.940227736209437</v>
      </c>
    </row>
    <row r="442" spans="1:10" ht="16">
      <c r="A442" s="79" t="s">
        <v>375</v>
      </c>
      <c r="B442" s="79" t="s">
        <v>363</v>
      </c>
      <c r="C442" s="80" t="s">
        <v>95</v>
      </c>
      <c r="D442" s="81" t="s">
        <v>99</v>
      </c>
      <c r="E442" s="82">
        <v>140126</v>
      </c>
      <c r="F442" s="82">
        <v>5628</v>
      </c>
      <c r="G442" s="82">
        <v>4204</v>
      </c>
      <c r="H442" s="83">
        <v>9.239458829581789</v>
      </c>
      <c r="I442" s="83">
        <v>8153.2070647873898</v>
      </c>
      <c r="J442" s="83">
        <v>19.393548988017329</v>
      </c>
    </row>
    <row r="443" spans="1:10" ht="16">
      <c r="A443" s="79" t="s">
        <v>620</v>
      </c>
      <c r="B443" s="79" t="s">
        <v>617</v>
      </c>
      <c r="C443" s="80" t="s">
        <v>126</v>
      </c>
      <c r="D443" s="81" t="s">
        <v>101</v>
      </c>
      <c r="E443" s="82">
        <v>10603</v>
      </c>
      <c r="F443" s="82">
        <v>512</v>
      </c>
      <c r="G443" s="82">
        <v>424</v>
      </c>
      <c r="H443" s="83">
        <v>18.909455592986433</v>
      </c>
      <c r="I443" s="83">
        <v>12453.099124060407</v>
      </c>
      <c r="J443" s="83">
        <v>22.659629760507304</v>
      </c>
    </row>
    <row r="444" spans="1:10" ht="16">
      <c r="A444" s="79" t="s">
        <v>1184</v>
      </c>
      <c r="B444" s="79" t="s">
        <v>1161</v>
      </c>
      <c r="C444" s="80" t="s">
        <v>126</v>
      </c>
      <c r="D444" s="81" t="s">
        <v>101</v>
      </c>
      <c r="E444" s="82">
        <v>59480</v>
      </c>
      <c r="F444" s="82">
        <v>2044</v>
      </c>
      <c r="G444" s="82">
        <v>2379</v>
      </c>
      <c r="H444" s="83">
        <v>9.3926178275904917</v>
      </c>
      <c r="I444" s="83">
        <v>1736.9326330046204</v>
      </c>
      <c r="J444" s="83">
        <v>21.437864206160825</v>
      </c>
    </row>
    <row r="445" spans="1:10" ht="16">
      <c r="A445" s="79" t="s">
        <v>1352</v>
      </c>
      <c r="B445" s="79" t="s">
        <v>1307</v>
      </c>
      <c r="C445" s="80" t="s">
        <v>95</v>
      </c>
      <c r="D445" s="81" t="s">
        <v>79</v>
      </c>
      <c r="E445" s="82">
        <v>10472</v>
      </c>
      <c r="F445" s="82">
        <v>873</v>
      </c>
      <c r="G445" s="82">
        <v>419</v>
      </c>
      <c r="H445" s="83">
        <v>14.596954970041013</v>
      </c>
      <c r="I445" s="83">
        <v>4953.0874648485669</v>
      </c>
      <c r="J445" s="83">
        <v>36.752262381350725</v>
      </c>
    </row>
    <row r="446" spans="1:10" ht="16">
      <c r="A446" s="79" t="s">
        <v>345</v>
      </c>
      <c r="B446" s="79" t="s">
        <v>341</v>
      </c>
      <c r="C446" s="80" t="s">
        <v>95</v>
      </c>
      <c r="D446" s="81" t="s">
        <v>76</v>
      </c>
      <c r="E446" s="82">
        <v>31611</v>
      </c>
      <c r="F446" s="82">
        <v>1565</v>
      </c>
      <c r="G446" s="82">
        <v>6638</v>
      </c>
      <c r="H446" s="83">
        <v>25.506219814536319</v>
      </c>
      <c r="I446" s="83">
        <v>9244.4587543898233</v>
      </c>
      <c r="J446" s="83">
        <v>23.19351544890111</v>
      </c>
    </row>
    <row r="447" spans="1:10" ht="16">
      <c r="A447" s="79" t="s">
        <v>569</v>
      </c>
      <c r="B447" s="79" t="s">
        <v>556</v>
      </c>
      <c r="C447" s="80" t="s">
        <v>95</v>
      </c>
      <c r="D447" s="81" t="s">
        <v>77</v>
      </c>
      <c r="E447" s="82">
        <v>9134</v>
      </c>
      <c r="F447" s="82">
        <v>862</v>
      </c>
      <c r="G447" s="82">
        <v>274</v>
      </c>
      <c r="H447" s="83">
        <v>13.041335474872984</v>
      </c>
      <c r="I447" s="83">
        <v>8995.4592855650535</v>
      </c>
      <c r="J447" s="83">
        <v>28.479638779647043</v>
      </c>
    </row>
    <row r="448" spans="1:10" ht="16">
      <c r="A448" s="79" t="s">
        <v>1353</v>
      </c>
      <c r="B448" s="79" t="s">
        <v>1307</v>
      </c>
      <c r="C448" s="80" t="s">
        <v>126</v>
      </c>
      <c r="D448" s="81" t="s">
        <v>103</v>
      </c>
      <c r="E448" s="82">
        <v>11247</v>
      </c>
      <c r="F448" s="82">
        <v>1308</v>
      </c>
      <c r="G448" s="82">
        <v>3824</v>
      </c>
      <c r="H448" s="83">
        <v>93.058128221163912</v>
      </c>
      <c r="I448" s="83">
        <v>91974.547727686673</v>
      </c>
      <c r="J448" s="83">
        <v>90.649124683751509</v>
      </c>
    </row>
    <row r="449" spans="1:10" ht="16">
      <c r="A449" s="79" t="s">
        <v>855</v>
      </c>
      <c r="B449" s="79" t="s">
        <v>853</v>
      </c>
      <c r="C449" s="80" t="s">
        <v>95</v>
      </c>
      <c r="D449" s="81" t="s">
        <v>77</v>
      </c>
      <c r="E449" s="82">
        <v>18653</v>
      </c>
      <c r="F449" s="82">
        <v>1151</v>
      </c>
      <c r="G449" s="82">
        <v>5782</v>
      </c>
      <c r="H449" s="83">
        <v>19.090283712560659</v>
      </c>
      <c r="I449" s="83">
        <v>9291.6315561821939</v>
      </c>
      <c r="J449" s="83">
        <v>23.090724029630334</v>
      </c>
    </row>
    <row r="450" spans="1:10" ht="16">
      <c r="A450" s="79" t="s">
        <v>601</v>
      </c>
      <c r="B450" s="79" t="s">
        <v>600</v>
      </c>
      <c r="C450" s="80" t="s">
        <v>95</v>
      </c>
      <c r="D450" s="81" t="s">
        <v>76</v>
      </c>
      <c r="E450" s="82">
        <v>9291</v>
      </c>
      <c r="F450" s="82">
        <v>328</v>
      </c>
      <c r="G450" s="82">
        <v>1115</v>
      </c>
      <c r="H450" s="83">
        <v>30.099350085107925</v>
      </c>
      <c r="I450" s="83">
        <v>24010.5602300643</v>
      </c>
      <c r="J450" s="83">
        <v>21.008240758237243</v>
      </c>
    </row>
    <row r="451" spans="1:10" ht="16">
      <c r="A451" s="79" t="s">
        <v>208</v>
      </c>
      <c r="B451" s="79" t="s">
        <v>203</v>
      </c>
      <c r="C451" s="80" t="s">
        <v>95</v>
      </c>
      <c r="D451" s="81" t="s">
        <v>101</v>
      </c>
      <c r="E451" s="82">
        <v>31294</v>
      </c>
      <c r="F451" s="82">
        <v>2407</v>
      </c>
      <c r="G451" s="82">
        <v>9075</v>
      </c>
      <c r="H451" s="83">
        <v>72.283006455134057</v>
      </c>
      <c r="I451" s="83">
        <v>60974.482741299413</v>
      </c>
      <c r="J451" s="83">
        <v>65.441662396956204</v>
      </c>
    </row>
    <row r="452" spans="1:10" ht="16">
      <c r="A452" s="79" t="s">
        <v>209</v>
      </c>
      <c r="B452" s="79" t="s">
        <v>203</v>
      </c>
      <c r="C452" s="80" t="s">
        <v>95</v>
      </c>
      <c r="D452" s="81" t="s">
        <v>99</v>
      </c>
      <c r="E452" s="82">
        <v>24412</v>
      </c>
      <c r="F452" s="82">
        <v>869</v>
      </c>
      <c r="G452" s="82">
        <v>4150</v>
      </c>
      <c r="H452" s="83">
        <v>50.50442971462622</v>
      </c>
      <c r="I452" s="83">
        <v>47566.839744223864</v>
      </c>
      <c r="J452" s="83">
        <v>44.779956853011292</v>
      </c>
    </row>
    <row r="453" spans="1:10" ht="16">
      <c r="A453" s="79" t="s">
        <v>148</v>
      </c>
      <c r="B453" s="79" t="s">
        <v>146</v>
      </c>
      <c r="C453" s="80" t="s">
        <v>95</v>
      </c>
      <c r="D453" s="81" t="s">
        <v>149</v>
      </c>
      <c r="E453" s="82">
        <v>3352</v>
      </c>
      <c r="F453" s="82">
        <v>308</v>
      </c>
      <c r="G453" s="82">
        <v>804</v>
      </c>
      <c r="H453" s="83">
        <v>26.028454754060729</v>
      </c>
      <c r="I453" s="83">
        <v>23081.047254266978</v>
      </c>
      <c r="J453" s="83">
        <v>31.273557228156275</v>
      </c>
    </row>
    <row r="454" spans="1:10" ht="16">
      <c r="A454" s="79" t="s">
        <v>150</v>
      </c>
      <c r="B454" s="79" t="s">
        <v>146</v>
      </c>
      <c r="C454" s="80" t="s">
        <v>95</v>
      </c>
      <c r="D454" s="81" t="s">
        <v>79</v>
      </c>
      <c r="E454" s="82">
        <v>2966</v>
      </c>
      <c r="F454" s="82">
        <v>690</v>
      </c>
      <c r="G454" s="82">
        <v>1305</v>
      </c>
      <c r="H454" s="83">
        <v>14.276442149973656</v>
      </c>
      <c r="I454" s="83">
        <v>12725.755634372177</v>
      </c>
      <c r="J454" s="83">
        <v>31.196891918330177</v>
      </c>
    </row>
    <row r="455" spans="1:10" ht="16">
      <c r="A455" s="79" t="s">
        <v>151</v>
      </c>
      <c r="B455" s="79" t="s">
        <v>146</v>
      </c>
      <c r="C455" s="80" t="s">
        <v>95</v>
      </c>
      <c r="D455" s="81" t="s">
        <v>149</v>
      </c>
      <c r="E455" s="82">
        <v>7142</v>
      </c>
      <c r="F455" s="82">
        <v>882</v>
      </c>
      <c r="G455" s="82">
        <v>2143</v>
      </c>
      <c r="H455" s="83">
        <v>24.25919089447703</v>
      </c>
      <c r="I455" s="83">
        <v>21264.817922123348</v>
      </c>
      <c r="J455" s="83">
        <v>33.906478144434395</v>
      </c>
    </row>
    <row r="456" spans="1:10" ht="16">
      <c r="A456" s="79" t="s">
        <v>702</v>
      </c>
      <c r="B456" s="79" t="s">
        <v>661</v>
      </c>
      <c r="C456" s="80" t="s">
        <v>126</v>
      </c>
      <c r="D456" s="81" t="s">
        <v>111</v>
      </c>
      <c r="E456" s="82">
        <v>33309</v>
      </c>
      <c r="F456" s="82">
        <v>2847</v>
      </c>
      <c r="G456" s="82">
        <v>1332</v>
      </c>
      <c r="H456" s="83">
        <v>9.3605775189732832</v>
      </c>
      <c r="I456" s="83">
        <v>982.2376933689452</v>
      </c>
      <c r="J456" s="83">
        <v>17.934462848064772</v>
      </c>
    </row>
    <row r="457" spans="1:10" ht="16">
      <c r="A457" s="79" t="s">
        <v>703</v>
      </c>
      <c r="B457" s="79" t="s">
        <v>661</v>
      </c>
      <c r="C457" s="80" t="s">
        <v>126</v>
      </c>
      <c r="D457" s="81" t="s">
        <v>111</v>
      </c>
      <c r="E457" s="82">
        <v>15412</v>
      </c>
      <c r="F457" s="82">
        <v>491</v>
      </c>
      <c r="G457" s="82">
        <v>154</v>
      </c>
      <c r="H457" s="83">
        <v>10.035945109556682</v>
      </c>
      <c r="I457" s="83">
        <v>1165.2232793812934</v>
      </c>
      <c r="J457" s="83">
        <v>15.989503942706861</v>
      </c>
    </row>
    <row r="458" spans="1:10" ht="16">
      <c r="A458" s="79" t="s">
        <v>210</v>
      </c>
      <c r="B458" s="79" t="s">
        <v>203</v>
      </c>
      <c r="C458" s="80" t="s">
        <v>95</v>
      </c>
      <c r="D458" s="81" t="s">
        <v>99</v>
      </c>
      <c r="E458" s="82">
        <v>15127</v>
      </c>
      <c r="F458" s="82">
        <v>1104</v>
      </c>
      <c r="G458" s="82">
        <v>2723</v>
      </c>
      <c r="H458" s="83">
        <v>20.323638403908941</v>
      </c>
      <c r="I458" s="83">
        <v>11514.874493216828</v>
      </c>
      <c r="J458" s="83">
        <v>20.802502772775217</v>
      </c>
    </row>
    <row r="459" spans="1:10" ht="16">
      <c r="A459" s="79" t="s">
        <v>346</v>
      </c>
      <c r="B459" s="79" t="s">
        <v>341</v>
      </c>
      <c r="C459" s="80" t="s">
        <v>95</v>
      </c>
      <c r="D459" s="81" t="s">
        <v>79</v>
      </c>
      <c r="E459" s="82">
        <v>7215</v>
      </c>
      <c r="F459" s="82">
        <v>501</v>
      </c>
      <c r="G459" s="82">
        <v>1154</v>
      </c>
      <c r="H459" s="83">
        <v>15.359936343419859</v>
      </c>
      <c r="I459" s="83">
        <v>1079.5158094554924</v>
      </c>
      <c r="J459" s="83">
        <v>18.840862294365571</v>
      </c>
    </row>
    <row r="460" spans="1:10" ht="16">
      <c r="A460" s="79" t="s">
        <v>376</v>
      </c>
      <c r="B460" s="79" t="s">
        <v>363</v>
      </c>
      <c r="C460" s="80" t="s">
        <v>126</v>
      </c>
      <c r="D460" s="81" t="s">
        <v>76</v>
      </c>
      <c r="E460" s="82">
        <v>84587</v>
      </c>
      <c r="F460" s="82">
        <v>2324</v>
      </c>
      <c r="G460" s="82">
        <v>846</v>
      </c>
      <c r="H460" s="83">
        <v>8.5206965292721453</v>
      </c>
      <c r="I460" s="83">
        <v>1989.7936149505765</v>
      </c>
      <c r="J460" s="83">
        <v>15.072095723357934</v>
      </c>
    </row>
    <row r="461" spans="1:10" ht="16">
      <c r="A461" s="79" t="s">
        <v>823</v>
      </c>
      <c r="B461" s="79" t="s">
        <v>817</v>
      </c>
      <c r="C461" s="80" t="s">
        <v>126</v>
      </c>
      <c r="D461" s="81" t="s">
        <v>79</v>
      </c>
      <c r="E461" s="82">
        <v>57827</v>
      </c>
      <c r="F461" s="82">
        <v>2891</v>
      </c>
      <c r="G461" s="82">
        <v>4024</v>
      </c>
      <c r="H461" s="83">
        <v>16.978281101318306</v>
      </c>
      <c r="I461" s="83">
        <v>11249.528612371541</v>
      </c>
      <c r="J461" s="83">
        <v>17.534093387640521</v>
      </c>
    </row>
    <row r="462" spans="1:10" ht="16">
      <c r="A462" s="79" t="s">
        <v>1354</v>
      </c>
      <c r="B462" s="79" t="s">
        <v>1307</v>
      </c>
      <c r="C462" s="80" t="s">
        <v>95</v>
      </c>
      <c r="D462" s="81" t="s">
        <v>96</v>
      </c>
      <c r="E462" s="82">
        <v>44789</v>
      </c>
      <c r="F462" s="82">
        <v>2714</v>
      </c>
      <c r="G462" s="82">
        <v>7166</v>
      </c>
      <c r="H462" s="83">
        <v>58.217652995936561</v>
      </c>
      <c r="I462" s="83">
        <v>45990.229800229659</v>
      </c>
      <c r="J462" s="83">
        <v>57.583583215296422</v>
      </c>
    </row>
    <row r="463" spans="1:10" ht="16">
      <c r="A463" s="79" t="s">
        <v>1185</v>
      </c>
      <c r="B463" s="79" t="s">
        <v>1161</v>
      </c>
      <c r="C463" s="80" t="s">
        <v>126</v>
      </c>
      <c r="D463" s="81" t="s">
        <v>99</v>
      </c>
      <c r="E463" s="82">
        <v>27455</v>
      </c>
      <c r="F463" s="82">
        <v>869</v>
      </c>
      <c r="G463" s="82">
        <v>1647</v>
      </c>
      <c r="H463" s="83">
        <v>23.703262611272578</v>
      </c>
      <c r="I463" s="83">
        <v>7148.2768715353313</v>
      </c>
      <c r="J463" s="83">
        <v>29.101419634954208</v>
      </c>
    </row>
    <row r="464" spans="1:10" ht="16">
      <c r="A464" s="79" t="s">
        <v>1240</v>
      </c>
      <c r="B464" s="79" t="s">
        <v>1209</v>
      </c>
      <c r="C464" s="80" t="s">
        <v>95</v>
      </c>
      <c r="D464" s="81" t="s">
        <v>111</v>
      </c>
      <c r="E464" s="82">
        <v>15649</v>
      </c>
      <c r="F464" s="82">
        <v>869</v>
      </c>
      <c r="G464" s="82">
        <v>7042</v>
      </c>
      <c r="H464" s="83">
        <v>17.684744594368752</v>
      </c>
      <c r="I464" s="83">
        <v>12864.381182052966</v>
      </c>
      <c r="J464" s="83">
        <v>20.127460221149022</v>
      </c>
    </row>
    <row r="465" spans="1:10" ht="16">
      <c r="A465" s="79" t="s">
        <v>704</v>
      </c>
      <c r="B465" s="79" t="s">
        <v>661</v>
      </c>
      <c r="C465" s="80" t="s">
        <v>126</v>
      </c>
      <c r="D465" s="81" t="s">
        <v>79</v>
      </c>
      <c r="E465" s="82">
        <v>7118</v>
      </c>
      <c r="F465" s="82">
        <v>749</v>
      </c>
      <c r="G465" s="82">
        <v>214</v>
      </c>
      <c r="H465" s="83">
        <v>11.964864682693625</v>
      </c>
      <c r="I465" s="83">
        <v>2444.3628743179956</v>
      </c>
      <c r="J465" s="83">
        <v>21.257230129633861</v>
      </c>
    </row>
    <row r="466" spans="1:10" ht="16">
      <c r="A466" s="79" t="s">
        <v>1109</v>
      </c>
      <c r="B466" s="79" t="s">
        <v>1100</v>
      </c>
      <c r="C466" s="80" t="s">
        <v>95</v>
      </c>
      <c r="D466" s="81" t="s">
        <v>79</v>
      </c>
      <c r="E466" s="82">
        <v>18590</v>
      </c>
      <c r="F466" s="82">
        <v>819</v>
      </c>
      <c r="G466" s="82">
        <v>2231</v>
      </c>
      <c r="H466" s="83">
        <v>11.294677705630212</v>
      </c>
      <c r="I466" s="83">
        <v>1146.2407562202036</v>
      </c>
      <c r="J466" s="83">
        <v>13.921864529821555</v>
      </c>
    </row>
    <row r="467" spans="1:10" ht="16">
      <c r="A467" s="79" t="s">
        <v>377</v>
      </c>
      <c r="B467" s="79" t="s">
        <v>363</v>
      </c>
      <c r="C467" s="80" t="s">
        <v>95</v>
      </c>
      <c r="D467" s="81" t="s">
        <v>75</v>
      </c>
      <c r="E467" s="82">
        <v>59181</v>
      </c>
      <c r="F467" s="82">
        <v>3794</v>
      </c>
      <c r="G467" s="82">
        <v>592</v>
      </c>
      <c r="H467" s="83">
        <v>7.2557159299968008</v>
      </c>
      <c r="I467" s="83">
        <v>1714.029784790072</v>
      </c>
      <c r="J467" s="83">
        <v>16.428966436006085</v>
      </c>
    </row>
    <row r="468" spans="1:10" ht="16">
      <c r="A468" s="79" t="s">
        <v>949</v>
      </c>
      <c r="B468" s="79" t="s">
        <v>938</v>
      </c>
      <c r="C468" s="80" t="s">
        <v>126</v>
      </c>
      <c r="D468" s="81" t="s">
        <v>111</v>
      </c>
      <c r="E468" s="82">
        <v>19965</v>
      </c>
      <c r="F468" s="82">
        <v>1174</v>
      </c>
      <c r="G468" s="82">
        <v>599</v>
      </c>
      <c r="H468" s="83">
        <v>9.8001373767196522</v>
      </c>
      <c r="I468" s="83">
        <v>413.18632364450002</v>
      </c>
      <c r="J468" s="83">
        <v>16.081834195421397</v>
      </c>
    </row>
    <row r="469" spans="1:10" ht="16">
      <c r="A469" s="79" t="s">
        <v>1355</v>
      </c>
      <c r="B469" s="79" t="s">
        <v>1307</v>
      </c>
      <c r="C469" s="80" t="s">
        <v>95</v>
      </c>
      <c r="D469" s="81" t="s">
        <v>75</v>
      </c>
      <c r="E469" s="82">
        <v>26121</v>
      </c>
      <c r="F469" s="82">
        <v>1375</v>
      </c>
      <c r="G469" s="82">
        <v>784</v>
      </c>
      <c r="H469" s="83">
        <v>16.22405480801411</v>
      </c>
      <c r="I469" s="83">
        <v>6911.9985821372866</v>
      </c>
      <c r="J469" s="83">
        <v>22.683077855503452</v>
      </c>
    </row>
    <row r="470" spans="1:10" ht="16">
      <c r="A470" s="79" t="s">
        <v>1356</v>
      </c>
      <c r="B470" s="79" t="s">
        <v>1307</v>
      </c>
      <c r="C470" s="80" t="s">
        <v>126</v>
      </c>
      <c r="D470" s="81" t="s">
        <v>75</v>
      </c>
      <c r="E470" s="82">
        <v>8084</v>
      </c>
      <c r="F470" s="82">
        <v>364</v>
      </c>
      <c r="G470" s="82">
        <v>1132</v>
      </c>
      <c r="H470" s="83">
        <v>24.919391368544389</v>
      </c>
      <c r="I470" s="83">
        <v>14584.703384935476</v>
      </c>
      <c r="J470" s="83">
        <v>24.900998709207371</v>
      </c>
    </row>
    <row r="471" spans="1:10" ht="16">
      <c r="A471" s="79" t="s">
        <v>832</v>
      </c>
      <c r="B471" s="79" t="s">
        <v>833</v>
      </c>
      <c r="C471" s="80" t="s">
        <v>95</v>
      </c>
      <c r="D471" s="81" t="s">
        <v>77</v>
      </c>
      <c r="E471" s="82">
        <v>81914</v>
      </c>
      <c r="F471" s="82">
        <v>2453</v>
      </c>
      <c r="G471" s="82">
        <v>4096</v>
      </c>
      <c r="H471" s="83">
        <v>10.489935983709065</v>
      </c>
      <c r="I471" s="83">
        <v>1665.8772892037941</v>
      </c>
      <c r="J471" s="83">
        <v>28.570900024752905</v>
      </c>
    </row>
    <row r="472" spans="1:10" ht="16">
      <c r="A472" s="79" t="s">
        <v>122</v>
      </c>
      <c r="B472" s="79" t="s">
        <v>108</v>
      </c>
      <c r="C472" s="80" t="s">
        <v>95</v>
      </c>
      <c r="D472" s="81" t="s">
        <v>99</v>
      </c>
      <c r="E472" s="82">
        <v>52989</v>
      </c>
      <c r="F472" s="82">
        <v>1563</v>
      </c>
      <c r="G472" s="82">
        <v>20666</v>
      </c>
      <c r="H472" s="83">
        <v>57.55917705672335</v>
      </c>
      <c r="I472" s="83">
        <v>47439.3162072829</v>
      </c>
      <c r="J472" s="83">
        <v>47.347568804625993</v>
      </c>
    </row>
    <row r="473" spans="1:10" ht="16">
      <c r="A473" s="79" t="s">
        <v>1357</v>
      </c>
      <c r="B473" s="79" t="s">
        <v>1307</v>
      </c>
      <c r="C473" s="80" t="s">
        <v>126</v>
      </c>
      <c r="D473" s="81" t="s">
        <v>77</v>
      </c>
      <c r="E473" s="82">
        <v>14357</v>
      </c>
      <c r="F473" s="82">
        <v>740</v>
      </c>
      <c r="G473" s="82">
        <v>431</v>
      </c>
      <c r="H473" s="83">
        <v>19.977585846068276</v>
      </c>
      <c r="I473" s="83">
        <v>13063.566078408936</v>
      </c>
      <c r="J473" s="83">
        <v>19.509950214538776</v>
      </c>
    </row>
    <row r="474" spans="1:10" ht="16">
      <c r="A474" s="79" t="s">
        <v>824</v>
      </c>
      <c r="B474" s="79" t="s">
        <v>817</v>
      </c>
      <c r="C474" s="80" t="s">
        <v>126</v>
      </c>
      <c r="D474" s="81" t="s">
        <v>149</v>
      </c>
      <c r="E474" s="82">
        <v>14343</v>
      </c>
      <c r="F474" s="82">
        <v>885</v>
      </c>
      <c r="G474" s="82">
        <v>1578</v>
      </c>
      <c r="H474" s="83">
        <v>18.706997290411117</v>
      </c>
      <c r="I474" s="83">
        <v>7623.2545337299807</v>
      </c>
      <c r="J474" s="83">
        <v>20.688615351903223</v>
      </c>
    </row>
    <row r="475" spans="1:10" ht="16">
      <c r="A475" s="79" t="s">
        <v>401</v>
      </c>
      <c r="B475" s="79" t="s">
        <v>396</v>
      </c>
      <c r="C475" s="80" t="s">
        <v>95</v>
      </c>
      <c r="D475" s="81" t="s">
        <v>76</v>
      </c>
      <c r="E475" s="82">
        <v>39405</v>
      </c>
      <c r="F475" s="82">
        <v>2021</v>
      </c>
      <c r="G475" s="82">
        <v>5911</v>
      </c>
      <c r="H475" s="83">
        <v>27.307330073900321</v>
      </c>
      <c r="I475" s="83">
        <v>18224.009850356859</v>
      </c>
      <c r="J475" s="83">
        <v>36.969724078427895</v>
      </c>
    </row>
    <row r="476" spans="1:10" ht="16">
      <c r="A476" s="79" t="s">
        <v>950</v>
      </c>
      <c r="B476" s="79" t="s">
        <v>938</v>
      </c>
      <c r="C476" s="80" t="s">
        <v>126</v>
      </c>
      <c r="D476" s="81" t="s">
        <v>79</v>
      </c>
      <c r="E476" s="82">
        <v>15248</v>
      </c>
      <c r="F476" s="82">
        <v>1303</v>
      </c>
      <c r="G476" s="82">
        <v>1372</v>
      </c>
      <c r="H476" s="83">
        <v>11.724517837684116</v>
      </c>
      <c r="I476" s="83">
        <v>353.86575701454291</v>
      </c>
      <c r="J476" s="83">
        <v>24.508952323744069</v>
      </c>
    </row>
    <row r="477" spans="1:10" ht="16">
      <c r="A477" s="79" t="s">
        <v>951</v>
      </c>
      <c r="B477" s="79" t="s">
        <v>938</v>
      </c>
      <c r="C477" s="80" t="s">
        <v>126</v>
      </c>
      <c r="D477" s="81" t="s">
        <v>77</v>
      </c>
      <c r="E477" s="82">
        <v>5716</v>
      </c>
      <c r="F477" s="82">
        <v>510</v>
      </c>
      <c r="G477" s="82">
        <v>857</v>
      </c>
      <c r="H477" s="83">
        <v>46.135788628258446</v>
      </c>
      <c r="I477" s="83">
        <v>21558.77167469724</v>
      </c>
      <c r="J477" s="83">
        <v>54.003410762960243</v>
      </c>
    </row>
    <row r="478" spans="1:10" ht="16">
      <c r="A478" s="79" t="s">
        <v>952</v>
      </c>
      <c r="B478" s="79" t="s">
        <v>938</v>
      </c>
      <c r="C478" s="80" t="s">
        <v>126</v>
      </c>
      <c r="D478" s="81" t="s">
        <v>79</v>
      </c>
      <c r="E478" s="82">
        <v>11422</v>
      </c>
      <c r="F478" s="82">
        <v>777</v>
      </c>
      <c r="G478" s="82">
        <v>1142</v>
      </c>
      <c r="H478" s="83">
        <v>11.238626887507454</v>
      </c>
      <c r="I478" s="83">
        <v>623.55498304510729</v>
      </c>
      <c r="J478" s="83">
        <v>19.26321815996079</v>
      </c>
    </row>
    <row r="479" spans="1:10" ht="16">
      <c r="A479" s="79" t="s">
        <v>800</v>
      </c>
      <c r="B479" s="79" t="s">
        <v>801</v>
      </c>
      <c r="C479" s="80" t="s">
        <v>126</v>
      </c>
      <c r="D479" s="81" t="s">
        <v>77</v>
      </c>
      <c r="E479" s="82">
        <v>11080</v>
      </c>
      <c r="F479" s="82">
        <v>833</v>
      </c>
      <c r="G479" s="82">
        <v>997</v>
      </c>
      <c r="H479" s="83">
        <v>9.943637143632774</v>
      </c>
      <c r="I479" s="83">
        <v>1095.9434037354381</v>
      </c>
      <c r="J479" s="83">
        <v>17.291730428351954</v>
      </c>
    </row>
    <row r="480" spans="1:10" ht="16">
      <c r="A480" s="79" t="s">
        <v>123</v>
      </c>
      <c r="B480" s="79" t="s">
        <v>108</v>
      </c>
      <c r="C480" s="80" t="s">
        <v>95</v>
      </c>
      <c r="D480" s="81" t="s">
        <v>101</v>
      </c>
      <c r="E480" s="82">
        <v>14905</v>
      </c>
      <c r="F480" s="82">
        <v>538</v>
      </c>
      <c r="G480" s="82">
        <v>5515</v>
      </c>
      <c r="H480" s="83">
        <v>25.028540416769829</v>
      </c>
      <c r="I480" s="83">
        <v>15430.915000140745</v>
      </c>
      <c r="J480" s="83">
        <v>19.069088451640589</v>
      </c>
    </row>
    <row r="481" spans="1:10" ht="16">
      <c r="A481" s="79" t="s">
        <v>705</v>
      </c>
      <c r="B481" s="79" t="s">
        <v>661</v>
      </c>
      <c r="C481" s="80" t="s">
        <v>126</v>
      </c>
      <c r="D481" s="81" t="s">
        <v>149</v>
      </c>
      <c r="E481" s="82">
        <v>3365</v>
      </c>
      <c r="F481" s="82">
        <v>192</v>
      </c>
      <c r="G481" s="82">
        <v>135</v>
      </c>
      <c r="H481" s="83">
        <v>9.6357879860337405</v>
      </c>
      <c r="I481" s="83">
        <v>4019.4303274592389</v>
      </c>
      <c r="J481" s="83">
        <v>16.095489446126891</v>
      </c>
    </row>
    <row r="482" spans="1:10" ht="16">
      <c r="A482" s="79" t="s">
        <v>706</v>
      </c>
      <c r="B482" s="79" t="s">
        <v>661</v>
      </c>
      <c r="C482" s="80" t="s">
        <v>126</v>
      </c>
      <c r="D482" s="81" t="s">
        <v>77</v>
      </c>
      <c r="E482" s="82">
        <v>2300</v>
      </c>
      <c r="F482" s="82">
        <v>215</v>
      </c>
      <c r="G482" s="82">
        <v>276</v>
      </c>
      <c r="H482" s="83">
        <v>15.165747997400684</v>
      </c>
      <c r="I482" s="83">
        <v>1720.9317395769529</v>
      </c>
      <c r="J482" s="83">
        <v>24.966151808708808</v>
      </c>
    </row>
    <row r="483" spans="1:10" ht="16">
      <c r="A483" s="79" t="s">
        <v>707</v>
      </c>
      <c r="B483" s="79" t="s">
        <v>661</v>
      </c>
      <c r="C483" s="80" t="s">
        <v>126</v>
      </c>
      <c r="D483" s="81" t="s">
        <v>103</v>
      </c>
      <c r="E483" s="82">
        <v>9163</v>
      </c>
      <c r="F483" s="82">
        <v>1309</v>
      </c>
      <c r="G483" s="82">
        <v>367</v>
      </c>
      <c r="H483" s="83">
        <v>14.646551126822501</v>
      </c>
      <c r="I483" s="83">
        <v>3366.204352312322</v>
      </c>
      <c r="J483" s="83">
        <v>26.440434536211033</v>
      </c>
    </row>
    <row r="484" spans="1:10" ht="16">
      <c r="A484" s="79" t="s">
        <v>708</v>
      </c>
      <c r="B484" s="79" t="s">
        <v>661</v>
      </c>
      <c r="C484" s="80" t="s">
        <v>95</v>
      </c>
      <c r="D484" s="81" t="s">
        <v>78</v>
      </c>
      <c r="E484" s="82">
        <v>4444</v>
      </c>
      <c r="F484" s="82">
        <v>585</v>
      </c>
      <c r="G484" s="82">
        <v>89</v>
      </c>
      <c r="H484" s="83">
        <v>14.408989436846962</v>
      </c>
      <c r="I484" s="83">
        <v>3883.5495923870958</v>
      </c>
      <c r="J484" s="83">
        <v>23.774740412956042</v>
      </c>
    </row>
    <row r="485" spans="1:10" ht="16">
      <c r="A485" s="79" t="s">
        <v>709</v>
      </c>
      <c r="B485" s="79" t="s">
        <v>661</v>
      </c>
      <c r="C485" s="80" t="s">
        <v>126</v>
      </c>
      <c r="D485" s="81" t="s">
        <v>149</v>
      </c>
      <c r="E485" s="82">
        <v>5661</v>
      </c>
      <c r="F485" s="82">
        <v>349</v>
      </c>
      <c r="G485" s="82">
        <v>226</v>
      </c>
      <c r="H485" s="83">
        <v>20.261983915066097</v>
      </c>
      <c r="I485" s="83">
        <v>2490.0490907147614</v>
      </c>
      <c r="J485" s="83">
        <v>18.921907555469542</v>
      </c>
    </row>
    <row r="486" spans="1:10" ht="16">
      <c r="A486" s="79" t="s">
        <v>710</v>
      </c>
      <c r="B486" s="79" t="s">
        <v>661</v>
      </c>
      <c r="C486" s="80" t="s">
        <v>126</v>
      </c>
      <c r="D486" s="81" t="s">
        <v>75</v>
      </c>
      <c r="E486" s="82">
        <v>15676</v>
      </c>
      <c r="F486" s="82">
        <v>1704</v>
      </c>
      <c r="G486" s="82">
        <v>1724</v>
      </c>
      <c r="H486" s="83">
        <v>48.505807283850807</v>
      </c>
      <c r="I486" s="83">
        <v>20768.706346141105</v>
      </c>
      <c r="J486" s="83">
        <v>48.608343576903941</v>
      </c>
    </row>
    <row r="487" spans="1:10" ht="16">
      <c r="A487" s="79" t="s">
        <v>271</v>
      </c>
      <c r="B487" s="79" t="s">
        <v>242</v>
      </c>
      <c r="C487" s="80" t="s">
        <v>95</v>
      </c>
      <c r="D487" s="81" t="s">
        <v>111</v>
      </c>
      <c r="E487" s="82">
        <v>25963</v>
      </c>
      <c r="F487" s="82">
        <v>1633</v>
      </c>
      <c r="G487" s="82">
        <v>779</v>
      </c>
      <c r="H487" s="83">
        <v>17.515199915012907</v>
      </c>
      <c r="I487" s="83">
        <v>7439.2849075620134</v>
      </c>
      <c r="J487" s="83">
        <v>23.720295008867279</v>
      </c>
    </row>
    <row r="488" spans="1:10" ht="16">
      <c r="A488" s="79" t="s">
        <v>272</v>
      </c>
      <c r="B488" s="79" t="s">
        <v>242</v>
      </c>
      <c r="C488" s="80" t="s">
        <v>126</v>
      </c>
      <c r="D488" s="81" t="s">
        <v>78</v>
      </c>
      <c r="E488" s="82">
        <v>15420</v>
      </c>
      <c r="F488" s="82">
        <v>1713</v>
      </c>
      <c r="G488" s="82">
        <v>771</v>
      </c>
      <c r="H488" s="83">
        <v>25.924205183439138</v>
      </c>
      <c r="I488" s="83">
        <v>9348.5404827915008</v>
      </c>
      <c r="J488" s="83">
        <v>38.406347894934491</v>
      </c>
    </row>
    <row r="489" spans="1:10" ht="16">
      <c r="A489" s="79" t="s">
        <v>273</v>
      </c>
      <c r="B489" s="79" t="s">
        <v>242</v>
      </c>
      <c r="C489" s="80" t="s">
        <v>95</v>
      </c>
      <c r="D489" s="81" t="s">
        <v>149</v>
      </c>
      <c r="E489" s="82">
        <v>27490</v>
      </c>
      <c r="F489" s="82">
        <v>2083</v>
      </c>
      <c r="G489" s="82">
        <v>825</v>
      </c>
      <c r="H489" s="83">
        <v>12.106900164029645</v>
      </c>
      <c r="I489" s="83">
        <v>6610.2385131714091</v>
      </c>
      <c r="J489" s="83">
        <v>20.905218926910511</v>
      </c>
    </row>
    <row r="490" spans="1:10" ht="16">
      <c r="A490" s="79" t="s">
        <v>274</v>
      </c>
      <c r="B490" s="79" t="s">
        <v>242</v>
      </c>
      <c r="C490" s="80" t="s">
        <v>95</v>
      </c>
      <c r="D490" s="81" t="s">
        <v>77</v>
      </c>
      <c r="E490" s="82">
        <v>33175</v>
      </c>
      <c r="F490" s="82">
        <v>2387</v>
      </c>
      <c r="G490" s="82">
        <v>664</v>
      </c>
      <c r="H490" s="83">
        <v>12.61518698496344</v>
      </c>
      <c r="I490" s="83">
        <v>6454.5696919035108</v>
      </c>
      <c r="J490" s="83">
        <v>18.656328370868732</v>
      </c>
    </row>
    <row r="491" spans="1:10" ht="16">
      <c r="A491" s="79" t="s">
        <v>275</v>
      </c>
      <c r="B491" s="79" t="s">
        <v>242</v>
      </c>
      <c r="C491" s="80" t="s">
        <v>126</v>
      </c>
      <c r="D491" s="81" t="s">
        <v>96</v>
      </c>
      <c r="E491" s="82">
        <v>34569</v>
      </c>
      <c r="F491" s="82">
        <v>2230</v>
      </c>
      <c r="G491" s="82">
        <v>3457</v>
      </c>
      <c r="H491" s="83">
        <v>48.430124806522613</v>
      </c>
      <c r="I491" s="83">
        <v>34482.648239874929</v>
      </c>
      <c r="J491" s="83">
        <v>50.765293357899331</v>
      </c>
    </row>
    <row r="492" spans="1:10" ht="16">
      <c r="A492" s="79" t="s">
        <v>276</v>
      </c>
      <c r="B492" s="79" t="s">
        <v>242</v>
      </c>
      <c r="C492" s="80" t="s">
        <v>126</v>
      </c>
      <c r="D492" s="81" t="s">
        <v>96</v>
      </c>
      <c r="E492" s="82">
        <v>29542</v>
      </c>
      <c r="F492" s="82">
        <v>1780</v>
      </c>
      <c r="G492" s="82">
        <v>886</v>
      </c>
      <c r="H492" s="83">
        <v>21.381111287759019</v>
      </c>
      <c r="I492" s="83">
        <v>4195.0655775249588</v>
      </c>
      <c r="J492" s="83">
        <v>21.489183346147367</v>
      </c>
    </row>
    <row r="493" spans="1:10" ht="16">
      <c r="A493" s="79" t="s">
        <v>277</v>
      </c>
      <c r="B493" s="79" t="s">
        <v>242</v>
      </c>
      <c r="C493" s="80" t="s">
        <v>126</v>
      </c>
      <c r="D493" s="81" t="s">
        <v>99</v>
      </c>
      <c r="E493" s="82">
        <v>21857</v>
      </c>
      <c r="F493" s="82">
        <v>1410</v>
      </c>
      <c r="G493" s="82">
        <v>656</v>
      </c>
      <c r="H493" s="83">
        <v>15.855042455509228</v>
      </c>
      <c r="I493" s="83">
        <v>10478.091796772151</v>
      </c>
      <c r="J493" s="83">
        <v>16.774510729086501</v>
      </c>
    </row>
    <row r="494" spans="1:10" ht="16">
      <c r="A494" s="79" t="s">
        <v>278</v>
      </c>
      <c r="B494" s="79" t="s">
        <v>242</v>
      </c>
      <c r="C494" s="80" t="s">
        <v>95</v>
      </c>
      <c r="D494" s="81" t="s">
        <v>111</v>
      </c>
      <c r="E494" s="82">
        <v>28061</v>
      </c>
      <c r="F494" s="82">
        <v>2110</v>
      </c>
      <c r="G494" s="82">
        <v>1964</v>
      </c>
      <c r="H494" s="83">
        <v>22.065674934761926</v>
      </c>
      <c r="I494" s="83">
        <v>16526.363008524484</v>
      </c>
      <c r="J494" s="83">
        <v>36.49257401455047</v>
      </c>
    </row>
    <row r="495" spans="1:10" ht="16">
      <c r="A495" s="79" t="s">
        <v>985</v>
      </c>
      <c r="B495" s="79" t="s">
        <v>986</v>
      </c>
      <c r="C495" s="80" t="s">
        <v>126</v>
      </c>
      <c r="D495" s="81" t="s">
        <v>79</v>
      </c>
      <c r="E495" s="82">
        <v>25088</v>
      </c>
      <c r="F495" s="82">
        <v>1578</v>
      </c>
      <c r="G495" s="82">
        <v>6774</v>
      </c>
      <c r="H495" s="83">
        <v>70.774967408527658</v>
      </c>
      <c r="I495" s="83">
        <v>59780.357248907188</v>
      </c>
      <c r="J495" s="83">
        <v>57.860534297704248</v>
      </c>
    </row>
    <row r="496" spans="1:10" ht="16">
      <c r="A496" s="79" t="s">
        <v>711</v>
      </c>
      <c r="B496" s="79" t="s">
        <v>661</v>
      </c>
      <c r="C496" s="80" t="s">
        <v>126</v>
      </c>
      <c r="D496" s="81" t="s">
        <v>111</v>
      </c>
      <c r="E496" s="82">
        <v>1240</v>
      </c>
      <c r="F496" s="82">
        <v>376</v>
      </c>
      <c r="G496" s="82">
        <v>12</v>
      </c>
      <c r="H496" s="83">
        <v>11.987988357629927</v>
      </c>
      <c r="I496" s="83">
        <v>2348.7911983352647</v>
      </c>
      <c r="J496" s="83">
        <v>24.959220513707358</v>
      </c>
    </row>
    <row r="497" spans="1:10" ht="16">
      <c r="A497" s="79" t="s">
        <v>1147</v>
      </c>
      <c r="B497" s="79" t="s">
        <v>1139</v>
      </c>
      <c r="C497" s="80" t="s">
        <v>95</v>
      </c>
      <c r="D497" s="81" t="s">
        <v>79</v>
      </c>
      <c r="E497" s="82">
        <v>22863</v>
      </c>
      <c r="F497" s="82">
        <v>1466</v>
      </c>
      <c r="G497" s="82">
        <v>229</v>
      </c>
      <c r="H497" s="83">
        <v>7.9536804538408354</v>
      </c>
      <c r="I497" s="83">
        <v>987.33019598816986</v>
      </c>
      <c r="J497" s="83">
        <v>17.037897828938622</v>
      </c>
    </row>
    <row r="498" spans="1:10" ht="16">
      <c r="A498" s="79" t="s">
        <v>470</v>
      </c>
      <c r="B498" s="79" t="s">
        <v>467</v>
      </c>
      <c r="C498" s="80" t="s">
        <v>95</v>
      </c>
      <c r="D498" s="81" t="s">
        <v>149</v>
      </c>
      <c r="E498" s="82">
        <v>57697</v>
      </c>
      <c r="F498" s="82">
        <v>2032</v>
      </c>
      <c r="G498" s="82">
        <v>5770</v>
      </c>
      <c r="H498" s="83">
        <v>15.404497291940961</v>
      </c>
      <c r="I498" s="83">
        <v>10958.152556135168</v>
      </c>
      <c r="J498" s="83">
        <v>22.442064084963967</v>
      </c>
    </row>
    <row r="499" spans="1:10" ht="16">
      <c r="A499" s="79" t="s">
        <v>825</v>
      </c>
      <c r="B499" s="79" t="s">
        <v>817</v>
      </c>
      <c r="C499" s="80" t="s">
        <v>95</v>
      </c>
      <c r="D499" s="81" t="s">
        <v>103</v>
      </c>
      <c r="E499" s="82">
        <v>161718</v>
      </c>
      <c r="F499" s="82">
        <v>9457</v>
      </c>
      <c r="G499" s="82">
        <v>12937</v>
      </c>
      <c r="H499" s="83">
        <v>30.749859325422335</v>
      </c>
      <c r="I499" s="83">
        <v>5753.5697454815045</v>
      </c>
      <c r="J499" s="83">
        <v>32.350756212152397</v>
      </c>
    </row>
    <row r="500" spans="1:10" ht="16">
      <c r="A500" s="79" t="s">
        <v>1110</v>
      </c>
      <c r="B500" s="79" t="s">
        <v>1100</v>
      </c>
      <c r="C500" s="80" t="s">
        <v>126</v>
      </c>
      <c r="D500" s="81" t="s">
        <v>79</v>
      </c>
      <c r="E500" s="82">
        <v>10838</v>
      </c>
      <c r="F500" s="82">
        <v>1153</v>
      </c>
      <c r="G500" s="82">
        <v>1084</v>
      </c>
      <c r="H500" s="83">
        <v>22.860270715709508</v>
      </c>
      <c r="I500" s="83">
        <v>5014.2995394656855</v>
      </c>
      <c r="J500" s="83">
        <v>25.700344139962468</v>
      </c>
    </row>
    <row r="501" spans="1:10" ht="16">
      <c r="A501" s="79" t="s">
        <v>1111</v>
      </c>
      <c r="B501" s="79" t="s">
        <v>1100</v>
      </c>
      <c r="C501" s="80" t="s">
        <v>95</v>
      </c>
      <c r="D501" s="81" t="s">
        <v>75</v>
      </c>
      <c r="E501" s="82">
        <v>8180</v>
      </c>
      <c r="F501" s="82">
        <v>375</v>
      </c>
      <c r="G501" s="82">
        <v>654</v>
      </c>
      <c r="H501" s="83">
        <v>19.413738086264004</v>
      </c>
      <c r="I501" s="83">
        <v>2253.6301372962621</v>
      </c>
      <c r="J501" s="83">
        <v>21.035223568788112</v>
      </c>
    </row>
    <row r="502" spans="1:10" ht="16">
      <c r="A502" s="79" t="s">
        <v>1112</v>
      </c>
      <c r="B502" s="79" t="s">
        <v>1100</v>
      </c>
      <c r="C502" s="80" t="s">
        <v>126</v>
      </c>
      <c r="D502" s="81" t="s">
        <v>103</v>
      </c>
      <c r="E502" s="82">
        <v>20663</v>
      </c>
      <c r="F502" s="82">
        <v>1508</v>
      </c>
      <c r="G502" s="82">
        <v>2686</v>
      </c>
      <c r="H502" s="83">
        <v>41.958251174759177</v>
      </c>
      <c r="I502" s="83">
        <v>9423.4710237541203</v>
      </c>
      <c r="J502" s="83">
        <v>33.32948147222757</v>
      </c>
    </row>
    <row r="503" spans="1:10" ht="16">
      <c r="A503" s="79" t="s">
        <v>1113</v>
      </c>
      <c r="B503" s="79" t="s">
        <v>1100</v>
      </c>
      <c r="C503" s="80" t="s">
        <v>95</v>
      </c>
      <c r="D503" s="81" t="s">
        <v>111</v>
      </c>
      <c r="E503" s="82">
        <v>13558</v>
      </c>
      <c r="F503" s="82">
        <v>869</v>
      </c>
      <c r="G503" s="82">
        <v>2169</v>
      </c>
      <c r="H503" s="83">
        <v>29.300298300893132</v>
      </c>
      <c r="I503" s="83">
        <v>3877.0293007974665</v>
      </c>
      <c r="J503" s="83">
        <v>23.676991007891662</v>
      </c>
    </row>
    <row r="504" spans="1:10" ht="16">
      <c r="A504" s="79" t="s">
        <v>1114</v>
      </c>
      <c r="B504" s="79" t="s">
        <v>1100</v>
      </c>
      <c r="C504" s="80" t="s">
        <v>126</v>
      </c>
      <c r="D504" s="81" t="s">
        <v>79</v>
      </c>
      <c r="E504" s="82">
        <v>12017</v>
      </c>
      <c r="F504" s="82">
        <v>720</v>
      </c>
      <c r="G504" s="82">
        <v>1442</v>
      </c>
      <c r="H504" s="83">
        <v>43.845519990262567</v>
      </c>
      <c r="I504" s="83">
        <v>11107.239692528401</v>
      </c>
      <c r="J504" s="83">
        <v>36.272837096089482</v>
      </c>
    </row>
    <row r="505" spans="1:10" ht="16">
      <c r="A505" s="79" t="s">
        <v>1115</v>
      </c>
      <c r="B505" s="79" t="s">
        <v>1100</v>
      </c>
      <c r="C505" s="80" t="s">
        <v>126</v>
      </c>
      <c r="D505" s="81" t="s">
        <v>101</v>
      </c>
      <c r="E505" s="82">
        <v>12219</v>
      </c>
      <c r="F505" s="82">
        <v>465</v>
      </c>
      <c r="G505" s="82">
        <v>367</v>
      </c>
      <c r="H505" s="83">
        <v>12.937589986456937</v>
      </c>
      <c r="I505" s="83">
        <v>994.12726462435012</v>
      </c>
      <c r="J505" s="83">
        <v>15.022056116710603</v>
      </c>
    </row>
    <row r="506" spans="1:10" ht="16">
      <c r="A506" s="79" t="s">
        <v>1116</v>
      </c>
      <c r="B506" s="79" t="s">
        <v>1100</v>
      </c>
      <c r="C506" s="80" t="s">
        <v>126</v>
      </c>
      <c r="D506" s="81" t="s">
        <v>99</v>
      </c>
      <c r="E506" s="82">
        <v>7158</v>
      </c>
      <c r="F506" s="82">
        <v>287</v>
      </c>
      <c r="G506" s="82">
        <v>286</v>
      </c>
      <c r="H506" s="83">
        <v>20.039439441146104</v>
      </c>
      <c r="I506" s="83">
        <v>857.41090759499059</v>
      </c>
      <c r="J506" s="83">
        <v>14.328333448687506</v>
      </c>
    </row>
    <row r="507" spans="1:10" ht="16">
      <c r="A507" s="79" t="s">
        <v>1117</v>
      </c>
      <c r="B507" s="79" t="s">
        <v>1100</v>
      </c>
      <c r="C507" s="80" t="s">
        <v>126</v>
      </c>
      <c r="D507" s="81" t="s">
        <v>111</v>
      </c>
      <c r="E507" s="82">
        <v>10161</v>
      </c>
      <c r="F507" s="82">
        <v>682</v>
      </c>
      <c r="G507" s="82">
        <v>508</v>
      </c>
      <c r="H507" s="83">
        <v>19.154445756578134</v>
      </c>
      <c r="I507" s="83">
        <v>2508.3715756723454</v>
      </c>
      <c r="J507" s="83">
        <v>19.562255785392551</v>
      </c>
    </row>
    <row r="508" spans="1:10" ht="16">
      <c r="A508" s="79" t="s">
        <v>1118</v>
      </c>
      <c r="B508" s="79" t="s">
        <v>1100</v>
      </c>
      <c r="C508" s="80" t="s">
        <v>126</v>
      </c>
      <c r="D508" s="81" t="s">
        <v>78</v>
      </c>
      <c r="E508" s="82">
        <v>15077</v>
      </c>
      <c r="F508" s="82">
        <v>1012</v>
      </c>
      <c r="G508" s="82">
        <v>754</v>
      </c>
      <c r="H508" s="83">
        <v>17.345488098592927</v>
      </c>
      <c r="I508" s="83">
        <v>3143.4258549365622</v>
      </c>
      <c r="J508" s="83">
        <v>21.032310349325702</v>
      </c>
    </row>
    <row r="509" spans="1:10" ht="16">
      <c r="A509" s="79" t="s">
        <v>1119</v>
      </c>
      <c r="B509" s="79" t="s">
        <v>1100</v>
      </c>
      <c r="C509" s="80" t="s">
        <v>95</v>
      </c>
      <c r="D509" s="81" t="s">
        <v>99</v>
      </c>
      <c r="E509" s="82">
        <v>10269</v>
      </c>
      <c r="F509" s="82">
        <v>567</v>
      </c>
      <c r="G509" s="82">
        <v>924</v>
      </c>
      <c r="H509" s="83">
        <v>24.814272859353885</v>
      </c>
      <c r="I509" s="83">
        <v>7126.9369373369118</v>
      </c>
      <c r="J509" s="83">
        <v>16.688525044109284</v>
      </c>
    </row>
    <row r="510" spans="1:10" ht="16">
      <c r="A510" s="79" t="s">
        <v>402</v>
      </c>
      <c r="B510" s="79" t="s">
        <v>396</v>
      </c>
      <c r="C510" s="80" t="s">
        <v>126</v>
      </c>
      <c r="D510" s="81" t="s">
        <v>103</v>
      </c>
      <c r="E510" s="82">
        <v>6173</v>
      </c>
      <c r="F510" s="82">
        <v>315</v>
      </c>
      <c r="G510" s="82">
        <v>1728</v>
      </c>
      <c r="H510" s="83">
        <v>26.283663795895865</v>
      </c>
      <c r="I510" s="83">
        <v>8626.6473643970712</v>
      </c>
      <c r="J510" s="83">
        <v>30.720703871217843</v>
      </c>
    </row>
    <row r="511" spans="1:10" ht="16">
      <c r="A511" s="79" t="s">
        <v>530</v>
      </c>
      <c r="B511" s="79" t="s">
        <v>493</v>
      </c>
      <c r="C511" s="80" t="s">
        <v>126</v>
      </c>
      <c r="D511" s="81" t="s">
        <v>79</v>
      </c>
      <c r="E511" s="82">
        <v>5851</v>
      </c>
      <c r="F511" s="82">
        <v>311</v>
      </c>
      <c r="G511" s="82">
        <v>234</v>
      </c>
      <c r="H511" s="83">
        <v>15.785972798599662</v>
      </c>
      <c r="I511" s="83">
        <v>6785.3607689488481</v>
      </c>
      <c r="J511" s="83">
        <v>26.866391096513055</v>
      </c>
    </row>
    <row r="512" spans="1:10" ht="16">
      <c r="A512" s="79" t="s">
        <v>531</v>
      </c>
      <c r="B512" s="79" t="s">
        <v>493</v>
      </c>
      <c r="C512" s="80" t="s">
        <v>126</v>
      </c>
      <c r="D512" s="81" t="s">
        <v>99</v>
      </c>
      <c r="E512" s="82">
        <v>6081</v>
      </c>
      <c r="F512" s="82">
        <v>318</v>
      </c>
      <c r="G512" s="82">
        <v>486</v>
      </c>
      <c r="H512" s="83">
        <v>17.96089427622092</v>
      </c>
      <c r="I512" s="83">
        <v>5735.7478494084553</v>
      </c>
      <c r="J512" s="83">
        <v>25.37707650289315</v>
      </c>
    </row>
    <row r="513" spans="1:10" ht="16">
      <c r="A513" s="79" t="s">
        <v>826</v>
      </c>
      <c r="B513" s="79" t="s">
        <v>817</v>
      </c>
      <c r="C513" s="80" t="s">
        <v>126</v>
      </c>
      <c r="D513" s="81" t="s">
        <v>79</v>
      </c>
      <c r="E513" s="82">
        <v>177983</v>
      </c>
      <c r="F513" s="82">
        <v>16480</v>
      </c>
      <c r="G513" s="82">
        <v>12385</v>
      </c>
      <c r="H513" s="83">
        <v>9.8625929847217684</v>
      </c>
      <c r="I513" s="83">
        <v>971.7490880557126</v>
      </c>
      <c r="J513" s="83">
        <v>18.408247781345011</v>
      </c>
    </row>
    <row r="514" spans="1:10" ht="16">
      <c r="A514" s="79" t="s">
        <v>953</v>
      </c>
      <c r="B514" s="79" t="s">
        <v>938</v>
      </c>
      <c r="C514" s="80" t="s">
        <v>126</v>
      </c>
      <c r="D514" s="81" t="s">
        <v>111</v>
      </c>
      <c r="E514" s="82">
        <v>6489</v>
      </c>
      <c r="F514" s="82">
        <v>601</v>
      </c>
      <c r="G514" s="82">
        <v>1557</v>
      </c>
      <c r="H514" s="83">
        <v>36.480081630252073</v>
      </c>
      <c r="I514" s="83">
        <v>12155.532700731619</v>
      </c>
      <c r="J514" s="83">
        <v>38.252551301199652</v>
      </c>
    </row>
    <row r="515" spans="1:10" ht="16">
      <c r="A515" s="79" t="s">
        <v>954</v>
      </c>
      <c r="B515" s="79" t="s">
        <v>938</v>
      </c>
      <c r="C515" s="80" t="s">
        <v>95</v>
      </c>
      <c r="D515" s="81" t="s">
        <v>96</v>
      </c>
      <c r="E515" s="82">
        <v>9847</v>
      </c>
      <c r="F515" s="82">
        <v>1015</v>
      </c>
      <c r="G515" s="82">
        <v>689</v>
      </c>
      <c r="H515" s="83">
        <v>12.504757100359408</v>
      </c>
      <c r="I515" s="83">
        <v>3011.8209964218745</v>
      </c>
      <c r="J515" s="83">
        <v>21.438230775521973</v>
      </c>
    </row>
    <row r="516" spans="1:10" ht="16">
      <c r="A516" s="79" t="s">
        <v>1120</v>
      </c>
      <c r="B516" s="79" t="s">
        <v>1100</v>
      </c>
      <c r="C516" s="80" t="s">
        <v>126</v>
      </c>
      <c r="D516" s="81" t="s">
        <v>77</v>
      </c>
      <c r="E516" s="82">
        <v>9190</v>
      </c>
      <c r="F516" s="82">
        <v>696</v>
      </c>
      <c r="G516" s="82">
        <v>551</v>
      </c>
      <c r="H516" s="83">
        <v>28.219896162994775</v>
      </c>
      <c r="I516" s="83">
        <v>6139.9728254513175</v>
      </c>
      <c r="J516" s="83">
        <v>24.951791765074734</v>
      </c>
    </row>
    <row r="517" spans="1:10" ht="16">
      <c r="A517" s="79" t="s">
        <v>1121</v>
      </c>
      <c r="B517" s="79" t="s">
        <v>1100</v>
      </c>
      <c r="C517" s="80" t="s">
        <v>95</v>
      </c>
      <c r="D517" s="81" t="s">
        <v>103</v>
      </c>
      <c r="E517" s="82">
        <v>8645</v>
      </c>
      <c r="F517" s="82">
        <v>509</v>
      </c>
      <c r="G517" s="82">
        <v>346</v>
      </c>
      <c r="H517" s="83">
        <v>15.550856420084004</v>
      </c>
      <c r="I517" s="83">
        <v>3770.5668959193622</v>
      </c>
      <c r="J517" s="83">
        <v>20.20662728625949</v>
      </c>
    </row>
    <row r="518" spans="1:10" ht="16">
      <c r="A518" s="79" t="s">
        <v>1122</v>
      </c>
      <c r="B518" s="79" t="s">
        <v>1100</v>
      </c>
      <c r="C518" s="80" t="s">
        <v>126</v>
      </c>
      <c r="D518" s="81" t="s">
        <v>101</v>
      </c>
      <c r="E518" s="82">
        <v>9994</v>
      </c>
      <c r="F518" s="82">
        <v>629</v>
      </c>
      <c r="G518" s="82">
        <v>800</v>
      </c>
      <c r="H518" s="83">
        <v>20.788374773222383</v>
      </c>
      <c r="I518" s="83">
        <v>4545.3188844247506</v>
      </c>
      <c r="J518" s="83">
        <v>22.691899489827495</v>
      </c>
    </row>
    <row r="519" spans="1:10" ht="16">
      <c r="A519" s="79" t="s">
        <v>1123</v>
      </c>
      <c r="B519" s="79" t="s">
        <v>1100</v>
      </c>
      <c r="C519" s="80" t="s">
        <v>126</v>
      </c>
      <c r="D519" s="81" t="s">
        <v>149</v>
      </c>
      <c r="E519" s="82">
        <v>10789</v>
      </c>
      <c r="F519" s="82">
        <v>892</v>
      </c>
      <c r="G519" s="82">
        <v>2589</v>
      </c>
      <c r="H519" s="83">
        <v>38.010305129403008</v>
      </c>
      <c r="I519" s="83">
        <v>8513.2314778183736</v>
      </c>
      <c r="J519" s="83">
        <v>32.033022341878073</v>
      </c>
    </row>
    <row r="520" spans="1:10" ht="16">
      <c r="A520" s="79" t="s">
        <v>1124</v>
      </c>
      <c r="B520" s="79" t="s">
        <v>1100</v>
      </c>
      <c r="C520" s="80" t="s">
        <v>126</v>
      </c>
      <c r="D520" s="81" t="s">
        <v>103</v>
      </c>
      <c r="E520" s="82">
        <v>8652</v>
      </c>
      <c r="F520" s="82">
        <v>401</v>
      </c>
      <c r="G520" s="82">
        <v>779</v>
      </c>
      <c r="H520" s="83">
        <v>21.949194648247833</v>
      </c>
      <c r="I520" s="83">
        <v>3684.771612164725</v>
      </c>
      <c r="J520" s="83">
        <v>18.860097789370766</v>
      </c>
    </row>
    <row r="521" spans="1:10" ht="16">
      <c r="A521" s="79" t="s">
        <v>1125</v>
      </c>
      <c r="B521" s="79" t="s">
        <v>1100</v>
      </c>
      <c r="C521" s="80" t="s">
        <v>126</v>
      </c>
      <c r="D521" s="81" t="s">
        <v>77</v>
      </c>
      <c r="E521" s="82">
        <v>27254</v>
      </c>
      <c r="F521" s="82">
        <v>2455</v>
      </c>
      <c r="G521" s="82">
        <v>2998</v>
      </c>
      <c r="H521" s="83">
        <v>62.886797463914405</v>
      </c>
      <c r="I521" s="83">
        <v>40179.101411240503</v>
      </c>
      <c r="J521" s="83">
        <v>57.048675695457561</v>
      </c>
    </row>
    <row r="522" spans="1:10" ht="16">
      <c r="A522" s="79" t="s">
        <v>1126</v>
      </c>
      <c r="B522" s="79" t="s">
        <v>1100</v>
      </c>
      <c r="C522" s="80" t="s">
        <v>126</v>
      </c>
      <c r="D522" s="81" t="s">
        <v>76</v>
      </c>
      <c r="E522" s="82">
        <v>8340</v>
      </c>
      <c r="F522" s="82">
        <v>428</v>
      </c>
      <c r="G522" s="82">
        <v>1251</v>
      </c>
      <c r="H522" s="83">
        <v>42.162435688116922</v>
      </c>
      <c r="I522" s="83">
        <v>16516.754636883685</v>
      </c>
      <c r="J522" s="83">
        <v>30.172777833599284</v>
      </c>
    </row>
    <row r="523" spans="1:10" ht="16">
      <c r="A523" s="79" t="s">
        <v>1199</v>
      </c>
      <c r="B523" s="79" t="s">
        <v>1197</v>
      </c>
      <c r="C523" s="80" t="s">
        <v>126</v>
      </c>
      <c r="D523" s="81" t="s">
        <v>75</v>
      </c>
      <c r="E523" s="82">
        <v>13411</v>
      </c>
      <c r="F523" s="82">
        <v>1597</v>
      </c>
      <c r="G523" s="82">
        <v>1207</v>
      </c>
      <c r="H523" s="83">
        <v>8.2794426962421568</v>
      </c>
      <c r="I523" s="83">
        <v>422.78149417174654</v>
      </c>
      <c r="J523" s="83">
        <v>20.519278439448552</v>
      </c>
    </row>
    <row r="524" spans="1:10" ht="16">
      <c r="A524" s="79" t="s">
        <v>471</v>
      </c>
      <c r="B524" s="79" t="s">
        <v>467</v>
      </c>
      <c r="C524" s="80" t="s">
        <v>126</v>
      </c>
      <c r="D524" s="81" t="s">
        <v>96</v>
      </c>
      <c r="E524" s="82">
        <v>14133</v>
      </c>
      <c r="F524" s="82">
        <v>686</v>
      </c>
      <c r="G524" s="82">
        <v>1131</v>
      </c>
      <c r="H524" s="83">
        <v>12.877888631818767</v>
      </c>
      <c r="I524" s="83">
        <v>5783.5261916738418</v>
      </c>
      <c r="J524" s="83">
        <v>23.369194816585072</v>
      </c>
    </row>
    <row r="525" spans="1:10" ht="16">
      <c r="A525" s="79" t="s">
        <v>1127</v>
      </c>
      <c r="B525" s="79" t="s">
        <v>1100</v>
      </c>
      <c r="C525" s="80" t="s">
        <v>126</v>
      </c>
      <c r="D525" s="81" t="s">
        <v>103</v>
      </c>
      <c r="E525" s="82">
        <v>14853</v>
      </c>
      <c r="F525" s="82">
        <v>825</v>
      </c>
      <c r="G525" s="82">
        <v>1485</v>
      </c>
      <c r="H525" s="83">
        <v>46.519904720073797</v>
      </c>
      <c r="I525" s="83">
        <v>23184.15899247066</v>
      </c>
      <c r="J525" s="83">
        <v>35.733916942694982</v>
      </c>
    </row>
    <row r="526" spans="1:10" ht="16">
      <c r="A526" s="79" t="s">
        <v>325</v>
      </c>
      <c r="B526" s="79" t="s">
        <v>323</v>
      </c>
      <c r="C526" s="80" t="s">
        <v>126</v>
      </c>
      <c r="D526" s="81" t="s">
        <v>75</v>
      </c>
      <c r="E526" s="82">
        <v>52085</v>
      </c>
      <c r="F526" s="82">
        <v>2325</v>
      </c>
      <c r="G526" s="82">
        <v>521</v>
      </c>
      <c r="H526" s="83">
        <v>14.51176288884812</v>
      </c>
      <c r="I526" s="83">
        <v>3788.3557175726901</v>
      </c>
      <c r="J526" s="83">
        <v>19.596213323520153</v>
      </c>
    </row>
    <row r="527" spans="1:10" ht="16">
      <c r="A527" s="79" t="s">
        <v>104</v>
      </c>
      <c r="B527" s="79" t="s">
        <v>105</v>
      </c>
      <c r="C527" s="80" t="s">
        <v>95</v>
      </c>
      <c r="D527" s="81" t="s">
        <v>96</v>
      </c>
      <c r="E527" s="82">
        <v>46096</v>
      </c>
      <c r="F527" s="82">
        <v>4802</v>
      </c>
      <c r="G527" s="82">
        <v>922</v>
      </c>
      <c r="H527" s="83">
        <v>7.398212308653024</v>
      </c>
      <c r="I527" s="83">
        <v>1830.3927360935193</v>
      </c>
      <c r="J527" s="83">
        <v>18.77633838715181</v>
      </c>
    </row>
    <row r="528" spans="1:10" ht="16">
      <c r="A528" s="79" t="s">
        <v>602</v>
      </c>
      <c r="B528" s="79" t="s">
        <v>600</v>
      </c>
      <c r="C528" s="80" t="s">
        <v>95</v>
      </c>
      <c r="D528" s="81" t="s">
        <v>149</v>
      </c>
      <c r="E528" s="82">
        <v>13911</v>
      </c>
      <c r="F528" s="82">
        <v>523</v>
      </c>
      <c r="G528" s="82">
        <v>2365</v>
      </c>
      <c r="H528" s="83">
        <v>30.104236632966991</v>
      </c>
      <c r="I528" s="83">
        <v>22878.77948953506</v>
      </c>
      <c r="J528" s="83">
        <v>28.061362368115102</v>
      </c>
    </row>
    <row r="529" spans="1:10" ht="16">
      <c r="A529" s="79" t="s">
        <v>1128</v>
      </c>
      <c r="B529" s="79" t="s">
        <v>1100</v>
      </c>
      <c r="C529" s="80" t="s">
        <v>126</v>
      </c>
      <c r="D529" s="81" t="s">
        <v>75</v>
      </c>
      <c r="E529" s="82">
        <v>5550</v>
      </c>
      <c r="F529" s="82">
        <v>238</v>
      </c>
      <c r="G529" s="82">
        <v>222</v>
      </c>
      <c r="H529" s="83">
        <v>16.237626080230257</v>
      </c>
      <c r="I529" s="83">
        <v>985.36621215599621</v>
      </c>
      <c r="J529" s="83">
        <v>14.397555691497233</v>
      </c>
    </row>
    <row r="530" spans="1:10" ht="16">
      <c r="A530" s="79" t="s">
        <v>955</v>
      </c>
      <c r="B530" s="79" t="s">
        <v>938</v>
      </c>
      <c r="C530" s="80" t="s">
        <v>126</v>
      </c>
      <c r="D530" s="81" t="s">
        <v>77</v>
      </c>
      <c r="E530" s="82">
        <v>7090</v>
      </c>
      <c r="F530" s="82">
        <v>627</v>
      </c>
      <c r="G530" s="82">
        <v>1843</v>
      </c>
      <c r="H530" s="83">
        <v>23.862133297319346</v>
      </c>
      <c r="I530" s="83">
        <v>6899.2297430362105</v>
      </c>
      <c r="J530" s="83">
        <v>24.88103503028989</v>
      </c>
    </row>
    <row r="531" spans="1:10" ht="16">
      <c r="A531" s="79" t="s">
        <v>882</v>
      </c>
      <c r="B531" s="79" t="s">
        <v>877</v>
      </c>
      <c r="C531" s="80" t="s">
        <v>126</v>
      </c>
      <c r="D531" s="81" t="s">
        <v>77</v>
      </c>
      <c r="E531" s="82">
        <v>10645</v>
      </c>
      <c r="F531" s="82">
        <v>1314</v>
      </c>
      <c r="G531" s="82">
        <v>319</v>
      </c>
      <c r="H531" s="83">
        <v>12.384254184269002</v>
      </c>
      <c r="I531" s="83">
        <v>4120.6467726890351</v>
      </c>
      <c r="J531" s="83">
        <v>22.031035428261649</v>
      </c>
    </row>
    <row r="532" spans="1:10" ht="16">
      <c r="A532" s="79" t="s">
        <v>987</v>
      </c>
      <c r="B532" s="79" t="s">
        <v>986</v>
      </c>
      <c r="C532" s="80" t="s">
        <v>95</v>
      </c>
      <c r="D532" s="81" t="s">
        <v>96</v>
      </c>
      <c r="E532" s="82">
        <v>30869</v>
      </c>
      <c r="F532" s="82">
        <v>1725</v>
      </c>
      <c r="G532" s="82">
        <v>8643</v>
      </c>
      <c r="H532" s="83">
        <v>90.78012304270716</v>
      </c>
      <c r="I532" s="83">
        <v>69580.896601329456</v>
      </c>
      <c r="J532" s="83">
        <v>76.975945327107112</v>
      </c>
    </row>
    <row r="533" spans="1:10" ht="16">
      <c r="A533" s="79" t="s">
        <v>106</v>
      </c>
      <c r="B533" s="79" t="s">
        <v>105</v>
      </c>
      <c r="C533" s="80" t="s">
        <v>95</v>
      </c>
      <c r="D533" s="81" t="s">
        <v>75</v>
      </c>
      <c r="E533" s="82">
        <v>20987</v>
      </c>
      <c r="F533" s="82">
        <v>1312</v>
      </c>
      <c r="G533" s="82">
        <v>2099</v>
      </c>
      <c r="H533" s="83">
        <v>8.2073547955386843</v>
      </c>
      <c r="I533" s="83">
        <v>574.4077967294262</v>
      </c>
      <c r="J533" s="83">
        <v>17.230577371082934</v>
      </c>
    </row>
    <row r="534" spans="1:10" ht="16">
      <c r="A534" s="79" t="s">
        <v>1129</v>
      </c>
      <c r="B534" s="79" t="s">
        <v>1100</v>
      </c>
      <c r="C534" s="80" t="s">
        <v>126</v>
      </c>
      <c r="D534" s="81" t="s">
        <v>96</v>
      </c>
      <c r="E534" s="82">
        <v>4258</v>
      </c>
      <c r="F534" s="82">
        <v>835</v>
      </c>
      <c r="G534" s="82">
        <v>85</v>
      </c>
      <c r="H534" s="83">
        <v>19.105360730152373</v>
      </c>
      <c r="I534" s="83">
        <v>11328.114762753807</v>
      </c>
      <c r="J534" s="83">
        <v>39.668354967032244</v>
      </c>
    </row>
    <row r="535" spans="1:10" ht="16">
      <c r="A535" s="79" t="s">
        <v>1130</v>
      </c>
      <c r="B535" s="79" t="s">
        <v>1100</v>
      </c>
      <c r="C535" s="80" t="s">
        <v>126</v>
      </c>
      <c r="D535" s="81" t="s">
        <v>149</v>
      </c>
      <c r="E535" s="82">
        <v>9215</v>
      </c>
      <c r="F535" s="82">
        <v>370</v>
      </c>
      <c r="G535" s="82">
        <v>369</v>
      </c>
      <c r="H535" s="83">
        <v>26.474343828630179</v>
      </c>
      <c r="I535" s="83">
        <v>1928.3610365906461</v>
      </c>
      <c r="J535" s="83">
        <v>17.756803491507618</v>
      </c>
    </row>
    <row r="536" spans="1:10" ht="16">
      <c r="A536" s="79" t="s">
        <v>1358</v>
      </c>
      <c r="B536" s="79" t="s">
        <v>1307</v>
      </c>
      <c r="C536" s="80" t="s">
        <v>126</v>
      </c>
      <c r="D536" s="81" t="s">
        <v>111</v>
      </c>
      <c r="E536" s="82">
        <v>9279</v>
      </c>
      <c r="F536" s="82">
        <v>615</v>
      </c>
      <c r="G536" s="82">
        <v>1577</v>
      </c>
      <c r="H536" s="83">
        <v>19.768812936921172</v>
      </c>
      <c r="I536" s="83">
        <v>11190.662396668708</v>
      </c>
      <c r="J536" s="83">
        <v>21.354805711010965</v>
      </c>
    </row>
    <row r="537" spans="1:10" ht="16">
      <c r="A537" s="79" t="s">
        <v>1359</v>
      </c>
      <c r="B537" s="79" t="s">
        <v>1307</v>
      </c>
      <c r="C537" s="80" t="s">
        <v>126</v>
      </c>
      <c r="D537" s="81" t="s">
        <v>78</v>
      </c>
      <c r="E537" s="82">
        <v>1809</v>
      </c>
      <c r="F537" s="82">
        <v>160</v>
      </c>
      <c r="G537" s="82">
        <v>145</v>
      </c>
      <c r="H537" s="83">
        <v>14.701228522175899</v>
      </c>
      <c r="I537" s="83">
        <v>10371.775548790922</v>
      </c>
      <c r="J537" s="83">
        <v>22.514645183251975</v>
      </c>
    </row>
    <row r="538" spans="1:10" ht="16">
      <c r="A538" s="79" t="s">
        <v>1360</v>
      </c>
      <c r="B538" s="79" t="s">
        <v>1307</v>
      </c>
      <c r="C538" s="80" t="s">
        <v>95</v>
      </c>
      <c r="D538" s="81" t="s">
        <v>96</v>
      </c>
      <c r="E538" s="82">
        <v>12753</v>
      </c>
      <c r="F538" s="82">
        <v>773</v>
      </c>
      <c r="G538" s="82">
        <v>1020</v>
      </c>
      <c r="H538" s="83">
        <v>14.884171649266849</v>
      </c>
      <c r="I538" s="83">
        <v>7967.2904077541007</v>
      </c>
      <c r="J538" s="83">
        <v>21.575091554958551</v>
      </c>
    </row>
    <row r="539" spans="1:10" ht="16">
      <c r="A539" s="79" t="s">
        <v>1361</v>
      </c>
      <c r="B539" s="79" t="s">
        <v>1307</v>
      </c>
      <c r="C539" s="80" t="s">
        <v>95</v>
      </c>
      <c r="D539" s="81" t="s">
        <v>149</v>
      </c>
      <c r="E539" s="82">
        <v>44466</v>
      </c>
      <c r="F539" s="82">
        <v>4996</v>
      </c>
      <c r="G539" s="82">
        <v>14674</v>
      </c>
      <c r="H539" s="83">
        <v>77.684343074665236</v>
      </c>
      <c r="I539" s="83">
        <v>74848.081539537612</v>
      </c>
      <c r="J539" s="83">
        <v>76.876698263654831</v>
      </c>
    </row>
    <row r="540" spans="1:10" ht="16">
      <c r="A540" s="79" t="s">
        <v>1241</v>
      </c>
      <c r="B540" s="79" t="s">
        <v>1209</v>
      </c>
      <c r="C540" s="80" t="s">
        <v>95</v>
      </c>
      <c r="D540" s="81" t="s">
        <v>111</v>
      </c>
      <c r="E540" s="82">
        <v>22691</v>
      </c>
      <c r="F540" s="82">
        <v>1609</v>
      </c>
      <c r="G540" s="82">
        <v>6127</v>
      </c>
      <c r="H540" s="83">
        <v>36.826230114092155</v>
      </c>
      <c r="I540" s="83">
        <v>31016.616106987643</v>
      </c>
      <c r="J540" s="83">
        <v>31.667957397761409</v>
      </c>
    </row>
    <row r="541" spans="1:10" ht="16">
      <c r="A541" s="79" t="s">
        <v>903</v>
      </c>
      <c r="B541" s="79" t="s">
        <v>898</v>
      </c>
      <c r="C541" s="80" t="s">
        <v>95</v>
      </c>
      <c r="D541" s="81" t="s">
        <v>149</v>
      </c>
      <c r="E541" s="82">
        <v>22438</v>
      </c>
      <c r="F541" s="82">
        <v>2021</v>
      </c>
      <c r="G541" s="82">
        <v>449</v>
      </c>
      <c r="H541" s="83">
        <v>10.789477228073661</v>
      </c>
      <c r="I541" s="83">
        <v>2354.5325890452091</v>
      </c>
      <c r="J541" s="83">
        <v>19.681747191430134</v>
      </c>
    </row>
    <row r="542" spans="1:10" ht="16">
      <c r="A542" s="79" t="s">
        <v>712</v>
      </c>
      <c r="B542" s="79" t="s">
        <v>661</v>
      </c>
      <c r="C542" s="80" t="s">
        <v>126</v>
      </c>
      <c r="D542" s="81" t="s">
        <v>75</v>
      </c>
      <c r="E542" s="82">
        <v>12158</v>
      </c>
      <c r="F542" s="82">
        <v>1539</v>
      </c>
      <c r="G542" s="82">
        <v>243</v>
      </c>
      <c r="H542" s="83">
        <v>13.611409372870279</v>
      </c>
      <c r="I542" s="83">
        <v>5392.3867128117699</v>
      </c>
      <c r="J542" s="83">
        <v>24.511118670817652</v>
      </c>
    </row>
    <row r="543" spans="1:10" ht="16">
      <c r="A543" s="79" t="s">
        <v>713</v>
      </c>
      <c r="B543" s="79" t="s">
        <v>661</v>
      </c>
      <c r="C543" s="80" t="s">
        <v>126</v>
      </c>
      <c r="D543" s="81" t="s">
        <v>149</v>
      </c>
      <c r="E543" s="82">
        <v>850</v>
      </c>
      <c r="F543" s="82">
        <v>944</v>
      </c>
      <c r="G543" s="82">
        <v>59</v>
      </c>
      <c r="H543" s="83">
        <v>9.3306725705497673</v>
      </c>
      <c r="I543" s="83">
        <v>4877.9750163677527</v>
      </c>
      <c r="J543" s="83">
        <v>25.707553621532181</v>
      </c>
    </row>
    <row r="544" spans="1:10" ht="16">
      <c r="A544" s="79" t="s">
        <v>403</v>
      </c>
      <c r="B544" s="79" t="s">
        <v>396</v>
      </c>
      <c r="C544" s="80" t="s">
        <v>95</v>
      </c>
      <c r="D544" s="81" t="s">
        <v>111</v>
      </c>
      <c r="E544" s="82">
        <v>68013</v>
      </c>
      <c r="F544" s="82">
        <v>3350</v>
      </c>
      <c r="G544" s="82">
        <v>7481</v>
      </c>
      <c r="H544" s="83">
        <v>13.443236002624634</v>
      </c>
      <c r="I544" s="83">
        <v>5012.0588380019772</v>
      </c>
      <c r="J544" s="83">
        <v>17.458314864993358</v>
      </c>
    </row>
    <row r="545" spans="1:10" ht="16">
      <c r="A545" s="79" t="s">
        <v>1362</v>
      </c>
      <c r="B545" s="79" t="s">
        <v>1307</v>
      </c>
      <c r="C545" s="80" t="s">
        <v>126</v>
      </c>
      <c r="D545" s="81" t="s">
        <v>149</v>
      </c>
      <c r="E545" s="82">
        <v>30231</v>
      </c>
      <c r="F545" s="82">
        <v>2418</v>
      </c>
      <c r="G545" s="82">
        <v>4535</v>
      </c>
      <c r="H545" s="83">
        <v>35.655809960719068</v>
      </c>
      <c r="I545" s="83">
        <v>22886.7109236666</v>
      </c>
      <c r="J545" s="83">
        <v>36.726943953148634</v>
      </c>
    </row>
    <row r="546" spans="1:10" ht="16">
      <c r="A546" s="79" t="s">
        <v>279</v>
      </c>
      <c r="B546" s="79" t="s">
        <v>242</v>
      </c>
      <c r="C546" s="80" t="s">
        <v>126</v>
      </c>
      <c r="D546" s="81" t="s">
        <v>103</v>
      </c>
      <c r="E546" s="82">
        <v>30733</v>
      </c>
      <c r="F546" s="82">
        <v>1851</v>
      </c>
      <c r="G546" s="82">
        <v>615</v>
      </c>
      <c r="H546" s="83">
        <v>12.144288853393089</v>
      </c>
      <c r="I546" s="83">
        <v>3406.4552233951031</v>
      </c>
      <c r="J546" s="83">
        <v>18.229546879999234</v>
      </c>
    </row>
    <row r="547" spans="1:10" ht="16">
      <c r="A547" s="79" t="s">
        <v>995</v>
      </c>
      <c r="B547" s="79" t="s">
        <v>996</v>
      </c>
      <c r="C547" s="80" t="s">
        <v>95</v>
      </c>
      <c r="D547" s="81" t="s">
        <v>75</v>
      </c>
      <c r="E547" s="82">
        <v>36749</v>
      </c>
      <c r="F547" s="82">
        <v>1229</v>
      </c>
      <c r="G547" s="82">
        <v>1470</v>
      </c>
      <c r="H547" s="83">
        <v>17.940295428015464</v>
      </c>
      <c r="I547" s="83">
        <v>12019.807790383693</v>
      </c>
      <c r="J547" s="83">
        <v>20.116081905619428</v>
      </c>
    </row>
    <row r="548" spans="1:10" ht="16">
      <c r="A548" s="79" t="s">
        <v>280</v>
      </c>
      <c r="B548" s="79" t="s">
        <v>242</v>
      </c>
      <c r="C548" s="80" t="s">
        <v>95</v>
      </c>
      <c r="D548" s="81" t="s">
        <v>99</v>
      </c>
      <c r="E548" s="82">
        <v>25425</v>
      </c>
      <c r="F548" s="82">
        <v>1730</v>
      </c>
      <c r="G548" s="82">
        <v>509</v>
      </c>
      <c r="H548" s="83">
        <v>10.437682241763365</v>
      </c>
      <c r="I548" s="83">
        <v>5018.6915388041862</v>
      </c>
      <c r="J548" s="83">
        <v>24.482380797585016</v>
      </c>
    </row>
    <row r="549" spans="1:10" ht="16">
      <c r="A549" s="79" t="s">
        <v>281</v>
      </c>
      <c r="B549" s="79" t="s">
        <v>242</v>
      </c>
      <c r="C549" s="80" t="s">
        <v>95</v>
      </c>
      <c r="D549" s="81" t="s">
        <v>101</v>
      </c>
      <c r="E549" s="82">
        <v>36015</v>
      </c>
      <c r="F549" s="82">
        <v>2484</v>
      </c>
      <c r="G549" s="82">
        <v>1441</v>
      </c>
      <c r="H549" s="83">
        <v>22.98003498859606</v>
      </c>
      <c r="I549" s="83">
        <v>4275.4264615847496</v>
      </c>
      <c r="J549" s="83">
        <v>25.30021783365336</v>
      </c>
    </row>
    <row r="550" spans="1:10" ht="16">
      <c r="A550" s="79" t="s">
        <v>281</v>
      </c>
      <c r="B550" s="79" t="s">
        <v>1307</v>
      </c>
      <c r="C550" s="80" t="s">
        <v>126</v>
      </c>
      <c r="D550" s="81" t="s">
        <v>99</v>
      </c>
      <c r="E550" s="82">
        <v>19575</v>
      </c>
      <c r="F550" s="82">
        <v>1408</v>
      </c>
      <c r="G550" s="82">
        <v>6851</v>
      </c>
      <c r="H550" s="83">
        <v>28.034664041803186</v>
      </c>
      <c r="I550" s="83">
        <v>27246.556740340518</v>
      </c>
      <c r="J550" s="83">
        <v>38.792400319819905</v>
      </c>
    </row>
    <row r="551" spans="1:10" ht="16">
      <c r="A551" s="79" t="s">
        <v>1363</v>
      </c>
      <c r="B551" s="79" t="s">
        <v>1307</v>
      </c>
      <c r="C551" s="80" t="s">
        <v>95</v>
      </c>
      <c r="D551" s="81" t="s">
        <v>99</v>
      </c>
      <c r="E551" s="82">
        <v>29684</v>
      </c>
      <c r="F551" s="82">
        <v>1056</v>
      </c>
      <c r="G551" s="82">
        <v>1484</v>
      </c>
      <c r="H551" s="83">
        <v>15.212759953873308</v>
      </c>
      <c r="I551" s="83">
        <v>12118.944383361155</v>
      </c>
      <c r="J551" s="83">
        <v>21.182522645351821</v>
      </c>
    </row>
    <row r="552" spans="1:10" ht="16">
      <c r="A552" s="79" t="s">
        <v>1242</v>
      </c>
      <c r="B552" s="79" t="s">
        <v>1209</v>
      </c>
      <c r="C552" s="80" t="s">
        <v>95</v>
      </c>
      <c r="D552" s="81" t="s">
        <v>96</v>
      </c>
      <c r="E552" s="82">
        <v>21811</v>
      </c>
      <c r="F552" s="82">
        <v>1246</v>
      </c>
      <c r="G552" s="82">
        <v>3708</v>
      </c>
      <c r="H552" s="83">
        <v>18.916982430186394</v>
      </c>
      <c r="I552" s="83">
        <v>15508.343695397754</v>
      </c>
      <c r="J552" s="83">
        <v>19.52420717920457</v>
      </c>
    </row>
    <row r="553" spans="1:10" ht="16">
      <c r="A553" s="79" t="s">
        <v>282</v>
      </c>
      <c r="B553" s="79" t="s">
        <v>242</v>
      </c>
      <c r="C553" s="80" t="s">
        <v>95</v>
      </c>
      <c r="D553" s="81" t="s">
        <v>77</v>
      </c>
      <c r="E553" s="82">
        <v>29327</v>
      </c>
      <c r="F553" s="82">
        <v>1917</v>
      </c>
      <c r="G553" s="82">
        <v>293</v>
      </c>
      <c r="H553" s="83">
        <v>13.10936158833341</v>
      </c>
      <c r="I553" s="83">
        <v>4959.3975663226138</v>
      </c>
      <c r="J553" s="83">
        <v>20.856909718788707</v>
      </c>
    </row>
    <row r="554" spans="1:10" ht="16">
      <c r="A554" s="79" t="s">
        <v>283</v>
      </c>
      <c r="B554" s="79" t="s">
        <v>242</v>
      </c>
      <c r="C554" s="80" t="s">
        <v>95</v>
      </c>
      <c r="D554" s="81" t="s">
        <v>96</v>
      </c>
      <c r="E554" s="82">
        <v>24237</v>
      </c>
      <c r="F554" s="82">
        <v>1638</v>
      </c>
      <c r="G554" s="82">
        <v>969</v>
      </c>
      <c r="H554" s="83">
        <v>13.102440270326873</v>
      </c>
      <c r="I554" s="83">
        <v>4788.0726227685882</v>
      </c>
      <c r="J554" s="83">
        <v>19.849459117890756</v>
      </c>
    </row>
    <row r="555" spans="1:10" ht="16">
      <c r="A555" s="79" t="s">
        <v>284</v>
      </c>
      <c r="B555" s="79" t="s">
        <v>242</v>
      </c>
      <c r="C555" s="80" t="s">
        <v>126</v>
      </c>
      <c r="D555" s="81" t="s">
        <v>149</v>
      </c>
      <c r="E555" s="82">
        <v>28432</v>
      </c>
      <c r="F555" s="82">
        <v>2045</v>
      </c>
      <c r="G555" s="82">
        <v>1137</v>
      </c>
      <c r="H555" s="83">
        <v>33.944834708664743</v>
      </c>
      <c r="I555" s="83">
        <v>13521.798287880969</v>
      </c>
      <c r="J555" s="83">
        <v>26.264097630743727</v>
      </c>
    </row>
    <row r="556" spans="1:10" ht="16">
      <c r="A556" s="79" t="s">
        <v>1364</v>
      </c>
      <c r="B556" s="79" t="s">
        <v>1307</v>
      </c>
      <c r="C556" s="80" t="s">
        <v>126</v>
      </c>
      <c r="D556" s="81" t="s">
        <v>103</v>
      </c>
      <c r="E556" s="82">
        <v>17951</v>
      </c>
      <c r="F556" s="82">
        <v>1402</v>
      </c>
      <c r="G556" s="82">
        <v>3590</v>
      </c>
      <c r="H556" s="83">
        <v>83.943646983504919</v>
      </c>
      <c r="I556" s="83">
        <v>82042.598743600698</v>
      </c>
      <c r="J556" s="83">
        <v>75.060657379109301</v>
      </c>
    </row>
    <row r="557" spans="1:10" ht="16">
      <c r="A557" s="79" t="s">
        <v>868</v>
      </c>
      <c r="B557" s="79" t="s">
        <v>869</v>
      </c>
      <c r="C557" s="80" t="s">
        <v>95</v>
      </c>
      <c r="D557" s="81" t="s">
        <v>75</v>
      </c>
      <c r="E557" s="82">
        <v>5790</v>
      </c>
      <c r="F557" s="82">
        <v>839</v>
      </c>
      <c r="G557" s="82">
        <v>1216</v>
      </c>
      <c r="H557" s="83">
        <v>11.359437019597131</v>
      </c>
      <c r="I557" s="83">
        <v>6992.1100145510391</v>
      </c>
      <c r="J557" s="83">
        <v>26.815269547667341</v>
      </c>
    </row>
    <row r="558" spans="1:10" ht="16">
      <c r="A558" s="79" t="s">
        <v>870</v>
      </c>
      <c r="B558" s="79" t="s">
        <v>869</v>
      </c>
      <c r="C558" s="80" t="s">
        <v>126</v>
      </c>
      <c r="D558" s="81" t="s">
        <v>103</v>
      </c>
      <c r="E558" s="82">
        <v>35181</v>
      </c>
      <c r="F558" s="82">
        <v>2227</v>
      </c>
      <c r="G558" s="82">
        <v>2814</v>
      </c>
      <c r="H558" s="83">
        <v>28.315040748252553</v>
      </c>
      <c r="I558" s="83">
        <v>18236.038120693396</v>
      </c>
      <c r="J558" s="83">
        <v>26.672628179746741</v>
      </c>
    </row>
    <row r="559" spans="1:10" ht="16">
      <c r="A559" s="79" t="s">
        <v>1243</v>
      </c>
      <c r="B559" s="79" t="s">
        <v>1209</v>
      </c>
      <c r="C559" s="80" t="s">
        <v>95</v>
      </c>
      <c r="D559" s="81" t="s">
        <v>78</v>
      </c>
      <c r="E559" s="82">
        <v>24140</v>
      </c>
      <c r="F559" s="82">
        <v>1609</v>
      </c>
      <c r="G559" s="82">
        <v>4587</v>
      </c>
      <c r="H559" s="83">
        <v>13.027492379878995</v>
      </c>
      <c r="I559" s="83">
        <v>7684.5119341452773</v>
      </c>
      <c r="J559" s="83">
        <v>17.757082198579386</v>
      </c>
    </row>
    <row r="560" spans="1:10" ht="16">
      <c r="A560" s="79" t="s">
        <v>1365</v>
      </c>
      <c r="B560" s="79" t="s">
        <v>1307</v>
      </c>
      <c r="C560" s="80" t="s">
        <v>95</v>
      </c>
      <c r="D560" s="81" t="s">
        <v>79</v>
      </c>
      <c r="E560" s="82">
        <v>17785</v>
      </c>
      <c r="F560" s="82">
        <v>760</v>
      </c>
      <c r="G560" s="82">
        <v>1067</v>
      </c>
      <c r="H560" s="83">
        <v>11.03205425757033</v>
      </c>
      <c r="I560" s="83">
        <v>10275.803335516028</v>
      </c>
      <c r="J560" s="83">
        <v>34.466394388153432</v>
      </c>
    </row>
    <row r="561" spans="1:10" ht="16">
      <c r="A561" s="79" t="s">
        <v>914</v>
      </c>
      <c r="B561" s="79" t="s">
        <v>912</v>
      </c>
      <c r="C561" s="80" t="s">
        <v>126</v>
      </c>
      <c r="D561" s="81" t="s">
        <v>101</v>
      </c>
      <c r="E561" s="82">
        <v>19694</v>
      </c>
      <c r="F561" s="82">
        <v>1088</v>
      </c>
      <c r="G561" s="82">
        <v>3348</v>
      </c>
      <c r="H561" s="83">
        <v>26.423261794473397</v>
      </c>
      <c r="I561" s="83">
        <v>12003.681647705533</v>
      </c>
      <c r="J561" s="83">
        <v>25.188595031978476</v>
      </c>
    </row>
    <row r="562" spans="1:10" ht="16">
      <c r="A562" s="79" t="s">
        <v>956</v>
      </c>
      <c r="B562" s="79" t="s">
        <v>938</v>
      </c>
      <c r="C562" s="80" t="s">
        <v>126</v>
      </c>
      <c r="D562" s="81" t="s">
        <v>79</v>
      </c>
      <c r="E562" s="82">
        <v>11640</v>
      </c>
      <c r="F562" s="82">
        <v>1021</v>
      </c>
      <c r="G562" s="82">
        <v>2328</v>
      </c>
      <c r="H562" s="83">
        <v>12.985724709511775</v>
      </c>
      <c r="I562" s="83">
        <v>1886.5126923251157</v>
      </c>
      <c r="J562" s="83">
        <v>21.304878941188559</v>
      </c>
    </row>
    <row r="563" spans="1:10" ht="16">
      <c r="A563" s="79" t="s">
        <v>957</v>
      </c>
      <c r="B563" s="79" t="s">
        <v>938</v>
      </c>
      <c r="C563" s="80" t="s">
        <v>126</v>
      </c>
      <c r="D563" s="81" t="s">
        <v>99</v>
      </c>
      <c r="E563" s="82">
        <v>7123</v>
      </c>
      <c r="F563" s="82">
        <v>1149</v>
      </c>
      <c r="G563" s="82">
        <v>1425</v>
      </c>
      <c r="H563" s="83">
        <v>32.303983815389856</v>
      </c>
      <c r="I563" s="83">
        <v>9674.417894692795</v>
      </c>
      <c r="J563" s="83">
        <v>43.180218933806152</v>
      </c>
    </row>
    <row r="564" spans="1:10" ht="16">
      <c r="A564" s="79" t="s">
        <v>1366</v>
      </c>
      <c r="B564" s="79" t="s">
        <v>1307</v>
      </c>
      <c r="C564" s="80" t="s">
        <v>95</v>
      </c>
      <c r="D564" s="81" t="s">
        <v>111</v>
      </c>
      <c r="E564" s="82">
        <v>15887</v>
      </c>
      <c r="F564" s="82">
        <v>841</v>
      </c>
      <c r="G564" s="82">
        <v>635</v>
      </c>
      <c r="H564" s="83">
        <v>13.114690475762968</v>
      </c>
      <c r="I564" s="83">
        <v>3114.0779536813934</v>
      </c>
      <c r="J564" s="83">
        <v>25.954435906373885</v>
      </c>
    </row>
    <row r="565" spans="1:10" ht="16">
      <c r="A565" s="79" t="s">
        <v>285</v>
      </c>
      <c r="B565" s="79" t="s">
        <v>242</v>
      </c>
      <c r="C565" s="80" t="s">
        <v>95</v>
      </c>
      <c r="D565" s="81" t="s">
        <v>149</v>
      </c>
      <c r="E565" s="82">
        <v>32059</v>
      </c>
      <c r="F565" s="82">
        <v>1832</v>
      </c>
      <c r="G565" s="82">
        <v>1282</v>
      </c>
      <c r="H565" s="83">
        <v>16.097051052406375</v>
      </c>
      <c r="I565" s="83">
        <v>4088.2544160739822</v>
      </c>
      <c r="J565" s="83">
        <v>20.78253323206842</v>
      </c>
    </row>
    <row r="566" spans="1:10" ht="16">
      <c r="A566" s="79" t="s">
        <v>714</v>
      </c>
      <c r="B566" s="79" t="s">
        <v>661</v>
      </c>
      <c r="C566" s="80" t="s">
        <v>126</v>
      </c>
      <c r="D566" s="81" t="s">
        <v>103</v>
      </c>
      <c r="E566" s="82">
        <v>2775</v>
      </c>
      <c r="F566" s="82">
        <v>188</v>
      </c>
      <c r="G566" s="82">
        <v>111</v>
      </c>
      <c r="H566" s="83">
        <v>12.833650494534991</v>
      </c>
      <c r="I566" s="83">
        <v>1658.6088434308967</v>
      </c>
      <c r="J566" s="83">
        <v>24.176859487735413</v>
      </c>
    </row>
    <row r="567" spans="1:10" ht="16">
      <c r="A567" s="79" t="s">
        <v>1367</v>
      </c>
      <c r="B567" s="79" t="s">
        <v>1307</v>
      </c>
      <c r="C567" s="80" t="s">
        <v>126</v>
      </c>
      <c r="D567" s="81" t="s">
        <v>78</v>
      </c>
      <c r="E567" s="82">
        <v>54372</v>
      </c>
      <c r="F567" s="82">
        <v>4350</v>
      </c>
      <c r="G567" s="82">
        <v>7068</v>
      </c>
      <c r="H567" s="83">
        <v>57.027781809470149</v>
      </c>
      <c r="I567" s="83">
        <v>48999.496015912002</v>
      </c>
      <c r="J567" s="83">
        <v>58.433290855159797</v>
      </c>
    </row>
    <row r="568" spans="1:10" ht="16">
      <c r="A568" s="79" t="s">
        <v>1368</v>
      </c>
      <c r="B568" s="79" t="s">
        <v>1307</v>
      </c>
      <c r="C568" s="80" t="s">
        <v>95</v>
      </c>
      <c r="D568" s="81" t="s">
        <v>79</v>
      </c>
      <c r="E568" s="82">
        <v>25013</v>
      </c>
      <c r="F568" s="82">
        <v>1122</v>
      </c>
      <c r="G568" s="82">
        <v>1251</v>
      </c>
      <c r="H568" s="83">
        <v>17.464828057825404</v>
      </c>
      <c r="I568" s="83">
        <v>7585.3073010222333</v>
      </c>
      <c r="J568" s="83">
        <v>28.64366718497395</v>
      </c>
    </row>
    <row r="569" spans="1:10" ht="16">
      <c r="A569" s="79" t="s">
        <v>715</v>
      </c>
      <c r="B569" s="79" t="s">
        <v>661</v>
      </c>
      <c r="C569" s="80" t="s">
        <v>126</v>
      </c>
      <c r="D569" s="81" t="s">
        <v>103</v>
      </c>
      <c r="E569" s="82">
        <v>5693</v>
      </c>
      <c r="F569" s="82">
        <v>619</v>
      </c>
      <c r="G569" s="82">
        <v>57</v>
      </c>
      <c r="H569" s="83">
        <v>9.6204476096243088</v>
      </c>
      <c r="I569" s="83">
        <v>1895.5097399234739</v>
      </c>
      <c r="J569" s="83">
        <v>19.904495935305615</v>
      </c>
    </row>
    <row r="570" spans="1:10" ht="16">
      <c r="A570" s="79" t="s">
        <v>716</v>
      </c>
      <c r="B570" s="79" t="s">
        <v>661</v>
      </c>
      <c r="C570" s="80" t="s">
        <v>126</v>
      </c>
      <c r="D570" s="81" t="s">
        <v>101</v>
      </c>
      <c r="E570" s="82">
        <v>13099</v>
      </c>
      <c r="F570" s="82">
        <v>1637</v>
      </c>
      <c r="G570" s="82">
        <v>1048</v>
      </c>
      <c r="H570" s="83">
        <v>16.859823503437912</v>
      </c>
      <c r="I570" s="83">
        <v>4505.8168108407444</v>
      </c>
      <c r="J570" s="83">
        <v>25.825141423790782</v>
      </c>
    </row>
    <row r="571" spans="1:10" ht="16">
      <c r="A571" s="79" t="s">
        <v>1369</v>
      </c>
      <c r="B571" s="79" t="s">
        <v>1307</v>
      </c>
      <c r="C571" s="80" t="s">
        <v>126</v>
      </c>
      <c r="D571" s="81" t="s">
        <v>101</v>
      </c>
      <c r="E571" s="82">
        <v>21494</v>
      </c>
      <c r="F571" s="82">
        <v>1360</v>
      </c>
      <c r="G571" s="82">
        <v>1505</v>
      </c>
      <c r="H571" s="83">
        <v>22.466420635454853</v>
      </c>
      <c r="I571" s="83">
        <v>15322.806581610192</v>
      </c>
      <c r="J571" s="83">
        <v>25.065435024817766</v>
      </c>
    </row>
    <row r="572" spans="1:10" ht="16">
      <c r="A572" s="79" t="s">
        <v>1370</v>
      </c>
      <c r="B572" s="79" t="s">
        <v>1307</v>
      </c>
      <c r="C572" s="80" t="s">
        <v>95</v>
      </c>
      <c r="D572" s="81" t="s">
        <v>111</v>
      </c>
      <c r="E572" s="82">
        <v>18878</v>
      </c>
      <c r="F572" s="82">
        <v>1037</v>
      </c>
      <c r="G572" s="82">
        <v>566</v>
      </c>
      <c r="H572" s="83">
        <v>19.27961980014895</v>
      </c>
      <c r="I572" s="83">
        <v>9982.4820323506829</v>
      </c>
      <c r="J572" s="83">
        <v>22.888913378611708</v>
      </c>
    </row>
    <row r="573" spans="1:10" ht="16">
      <c r="A573" s="79" t="s">
        <v>1186</v>
      </c>
      <c r="B573" s="79" t="s">
        <v>1161</v>
      </c>
      <c r="C573" s="80" t="s">
        <v>95</v>
      </c>
      <c r="D573" s="81" t="s">
        <v>101</v>
      </c>
      <c r="E573" s="82">
        <v>36179</v>
      </c>
      <c r="F573" s="82">
        <v>1096</v>
      </c>
      <c r="G573" s="82">
        <v>2171</v>
      </c>
      <c r="H573" s="83">
        <v>9.0232307883769369</v>
      </c>
      <c r="I573" s="83">
        <v>601.67549887627274</v>
      </c>
      <c r="J573" s="83">
        <v>16.094264809241526</v>
      </c>
    </row>
    <row r="574" spans="1:10" ht="16">
      <c r="A574" s="79" t="s">
        <v>1044</v>
      </c>
      <c r="B574" s="79" t="s">
        <v>1039</v>
      </c>
      <c r="C574" s="80" t="s">
        <v>95</v>
      </c>
      <c r="D574" s="81" t="s">
        <v>99</v>
      </c>
      <c r="E574" s="82">
        <v>22962</v>
      </c>
      <c r="F574" s="82">
        <v>272</v>
      </c>
      <c r="G574" s="82">
        <v>459</v>
      </c>
      <c r="H574" s="83">
        <v>14.345359354045891</v>
      </c>
      <c r="I574" s="83">
        <v>10566.616057517891</v>
      </c>
      <c r="J574" s="83">
        <v>17.429311913481275</v>
      </c>
    </row>
    <row r="575" spans="1:10" ht="16">
      <c r="A575" s="79" t="s">
        <v>1371</v>
      </c>
      <c r="B575" s="79" t="s">
        <v>1307</v>
      </c>
      <c r="C575" s="80" t="s">
        <v>95</v>
      </c>
      <c r="D575" s="81" t="s">
        <v>75</v>
      </c>
      <c r="E575" s="82">
        <v>2895</v>
      </c>
      <c r="F575" s="82">
        <v>2895</v>
      </c>
      <c r="G575" s="82">
        <v>87</v>
      </c>
      <c r="H575" s="83">
        <v>17.059802206858286</v>
      </c>
      <c r="I575" s="83">
        <v>16730.61384528421</v>
      </c>
      <c r="J575" s="83">
        <v>35.820859303442987</v>
      </c>
    </row>
    <row r="576" spans="1:10" ht="16">
      <c r="A576" s="79" t="s">
        <v>1372</v>
      </c>
      <c r="B576" s="79" t="s">
        <v>1307</v>
      </c>
      <c r="C576" s="80" t="s">
        <v>126</v>
      </c>
      <c r="D576" s="81" t="s">
        <v>111</v>
      </c>
      <c r="E576" s="82">
        <v>24798</v>
      </c>
      <c r="F576" s="82">
        <v>1550</v>
      </c>
      <c r="G576" s="82">
        <v>2728</v>
      </c>
      <c r="H576" s="83">
        <v>30.428315719347854</v>
      </c>
      <c r="I576" s="83">
        <v>20274.702706506538</v>
      </c>
      <c r="J576" s="83">
        <v>31.374247258105878</v>
      </c>
    </row>
    <row r="577" spans="1:10" ht="16">
      <c r="A577" s="79" t="s">
        <v>717</v>
      </c>
      <c r="B577" s="79" t="s">
        <v>661</v>
      </c>
      <c r="C577" s="80" t="s">
        <v>126</v>
      </c>
      <c r="D577" s="81" t="s">
        <v>78</v>
      </c>
      <c r="E577" s="82">
        <v>8279</v>
      </c>
      <c r="F577" s="82">
        <v>930</v>
      </c>
      <c r="G577" s="82">
        <v>331</v>
      </c>
      <c r="H577" s="83">
        <v>14.47451469865066</v>
      </c>
      <c r="I577" s="83">
        <v>3836.9742888265455</v>
      </c>
      <c r="J577" s="83">
        <v>25.378586353956607</v>
      </c>
    </row>
    <row r="578" spans="1:10" ht="16">
      <c r="A578" s="79" t="s">
        <v>718</v>
      </c>
      <c r="B578" s="79" t="s">
        <v>661</v>
      </c>
      <c r="C578" s="80" t="s">
        <v>126</v>
      </c>
      <c r="D578" s="81" t="s">
        <v>79</v>
      </c>
      <c r="E578" s="82">
        <v>1248</v>
      </c>
      <c r="F578" s="82">
        <v>462</v>
      </c>
      <c r="G578" s="82">
        <v>12</v>
      </c>
      <c r="H578" s="83">
        <v>10.476941230536385</v>
      </c>
      <c r="I578" s="83">
        <v>1284.4973343770673</v>
      </c>
      <c r="J578" s="83">
        <v>27.461442060963986</v>
      </c>
    </row>
    <row r="579" spans="1:10" ht="16">
      <c r="A579" s="79" t="s">
        <v>719</v>
      </c>
      <c r="B579" s="79" t="s">
        <v>661</v>
      </c>
      <c r="C579" s="80" t="s">
        <v>126</v>
      </c>
      <c r="D579" s="81" t="s">
        <v>79</v>
      </c>
      <c r="E579" s="82">
        <v>7746</v>
      </c>
      <c r="F579" s="82">
        <v>767</v>
      </c>
      <c r="G579" s="82">
        <v>310</v>
      </c>
      <c r="H579" s="83">
        <v>13.686534641853033</v>
      </c>
      <c r="I579" s="83">
        <v>2743.8916952761615</v>
      </c>
      <c r="J579" s="83">
        <v>22.560298775365084</v>
      </c>
    </row>
    <row r="580" spans="1:10" ht="16">
      <c r="A580" s="79" t="s">
        <v>720</v>
      </c>
      <c r="B580" s="79" t="s">
        <v>661</v>
      </c>
      <c r="C580" s="80" t="s">
        <v>126</v>
      </c>
      <c r="D580" s="81" t="s">
        <v>101</v>
      </c>
      <c r="E580" s="82">
        <v>22892</v>
      </c>
      <c r="F580" s="82">
        <v>3094</v>
      </c>
      <c r="G580" s="82">
        <v>2518</v>
      </c>
      <c r="H580" s="83">
        <v>49.803957614799614</v>
      </c>
      <c r="I580" s="83">
        <v>16958.125204122283</v>
      </c>
      <c r="J580" s="83">
        <v>52.042018170423972</v>
      </c>
    </row>
    <row r="581" spans="1:10" ht="16">
      <c r="A581" s="79" t="s">
        <v>532</v>
      </c>
      <c r="B581" s="79" t="s">
        <v>493</v>
      </c>
      <c r="C581" s="80" t="s">
        <v>126</v>
      </c>
      <c r="D581" s="81" t="s">
        <v>96</v>
      </c>
      <c r="E581" s="82">
        <v>12454</v>
      </c>
      <c r="F581" s="82">
        <v>700</v>
      </c>
      <c r="G581" s="82">
        <v>249</v>
      </c>
      <c r="H581" s="83">
        <v>10.834883241054145</v>
      </c>
      <c r="I581" s="83">
        <v>3238.3797379096873</v>
      </c>
      <c r="J581" s="83">
        <v>36.373187558119099</v>
      </c>
    </row>
    <row r="582" spans="1:10" ht="16">
      <c r="A582" s="79" t="s">
        <v>1244</v>
      </c>
      <c r="B582" s="79" t="s">
        <v>1209</v>
      </c>
      <c r="C582" s="80" t="s">
        <v>95</v>
      </c>
      <c r="D582" s="81" t="s">
        <v>96</v>
      </c>
      <c r="E582" s="82">
        <v>13915</v>
      </c>
      <c r="F582" s="82">
        <v>859</v>
      </c>
      <c r="G582" s="82">
        <v>3896</v>
      </c>
      <c r="H582" s="83">
        <v>24.272497161285209</v>
      </c>
      <c r="I582" s="83">
        <v>9008.180170895952</v>
      </c>
      <c r="J582" s="83">
        <v>29.4103714062907</v>
      </c>
    </row>
    <row r="583" spans="1:10" ht="16">
      <c r="A583" s="79" t="s">
        <v>1187</v>
      </c>
      <c r="B583" s="79" t="s">
        <v>1161</v>
      </c>
      <c r="C583" s="80" t="s">
        <v>95</v>
      </c>
      <c r="D583" s="81" t="s">
        <v>99</v>
      </c>
      <c r="E583" s="82">
        <v>47035</v>
      </c>
      <c r="F583" s="82">
        <v>2138</v>
      </c>
      <c r="G583" s="82">
        <v>1881</v>
      </c>
      <c r="H583" s="83">
        <v>13.610994493836575</v>
      </c>
      <c r="I583" s="83">
        <v>9298.608337109843</v>
      </c>
      <c r="J583" s="83">
        <v>29.319228045966387</v>
      </c>
    </row>
    <row r="584" spans="1:10" ht="16">
      <c r="A584" s="79" t="s">
        <v>1188</v>
      </c>
      <c r="B584" s="79" t="s">
        <v>1161</v>
      </c>
      <c r="C584" s="80" t="s">
        <v>126</v>
      </c>
      <c r="D584" s="81" t="s">
        <v>78</v>
      </c>
      <c r="E584" s="82">
        <v>46705</v>
      </c>
      <c r="F584" s="82">
        <v>1698</v>
      </c>
      <c r="G584" s="82">
        <v>1401</v>
      </c>
      <c r="H584" s="83">
        <v>9.2969195197491103</v>
      </c>
      <c r="I584" s="83">
        <v>975.3126052391699</v>
      </c>
      <c r="J584" s="83">
        <v>11.436483183933561</v>
      </c>
    </row>
    <row r="585" spans="1:10" ht="16">
      <c r="A585" s="79" t="s">
        <v>1045</v>
      </c>
      <c r="B585" s="79" t="s">
        <v>1039</v>
      </c>
      <c r="C585" s="80" t="s">
        <v>95</v>
      </c>
      <c r="D585" s="81" t="s">
        <v>111</v>
      </c>
      <c r="E585" s="82">
        <v>12113</v>
      </c>
      <c r="F585" s="82">
        <v>841</v>
      </c>
      <c r="G585" s="82">
        <v>2180</v>
      </c>
      <c r="H585" s="83">
        <v>14.653269977924788</v>
      </c>
      <c r="I585" s="83">
        <v>5976.9804948760957</v>
      </c>
      <c r="J585" s="83">
        <v>21.681083338126214</v>
      </c>
    </row>
    <row r="586" spans="1:10" ht="16">
      <c r="A586" s="79" t="s">
        <v>533</v>
      </c>
      <c r="B586" s="79" t="s">
        <v>493</v>
      </c>
      <c r="C586" s="80" t="s">
        <v>126</v>
      </c>
      <c r="D586" s="81" t="s">
        <v>79</v>
      </c>
      <c r="E586" s="82">
        <v>19912</v>
      </c>
      <c r="F586" s="82">
        <v>851</v>
      </c>
      <c r="G586" s="82">
        <v>199</v>
      </c>
      <c r="H586" s="83">
        <v>15.288841174801592</v>
      </c>
      <c r="I586" s="83">
        <v>8175.6823169883874</v>
      </c>
      <c r="J586" s="83">
        <v>27.727630311163431</v>
      </c>
    </row>
    <row r="587" spans="1:10" ht="16">
      <c r="A587" s="79" t="s">
        <v>404</v>
      </c>
      <c r="B587" s="79" t="s">
        <v>396</v>
      </c>
      <c r="C587" s="80" t="s">
        <v>95</v>
      </c>
      <c r="D587" s="81" t="s">
        <v>79</v>
      </c>
      <c r="E587" s="82">
        <v>33434</v>
      </c>
      <c r="F587" s="82">
        <v>921</v>
      </c>
      <c r="G587" s="82">
        <v>5684</v>
      </c>
      <c r="H587" s="83">
        <v>17.02792342719361</v>
      </c>
      <c r="I587" s="83">
        <v>2340.1741046304683</v>
      </c>
      <c r="J587" s="83">
        <v>24.530259213761497</v>
      </c>
    </row>
    <row r="588" spans="1:10" ht="16">
      <c r="A588" s="79" t="s">
        <v>405</v>
      </c>
      <c r="B588" s="79" t="s">
        <v>396</v>
      </c>
      <c r="C588" s="80" t="s">
        <v>95</v>
      </c>
      <c r="D588" s="81" t="s">
        <v>99</v>
      </c>
      <c r="E588" s="82">
        <v>28726</v>
      </c>
      <c r="F588" s="82">
        <v>1981</v>
      </c>
      <c r="G588" s="82">
        <v>4883</v>
      </c>
      <c r="H588" s="83">
        <v>32.37749624898958</v>
      </c>
      <c r="I588" s="83">
        <v>27819.513341653164</v>
      </c>
      <c r="J588" s="83">
        <v>34.646207004624493</v>
      </c>
    </row>
    <row r="589" spans="1:10" ht="16">
      <c r="A589" s="79" t="s">
        <v>286</v>
      </c>
      <c r="B589" s="79" t="s">
        <v>242</v>
      </c>
      <c r="C589" s="80" t="s">
        <v>126</v>
      </c>
      <c r="D589" s="81" t="s">
        <v>103</v>
      </c>
      <c r="E589" s="82">
        <v>39575</v>
      </c>
      <c r="F589" s="82">
        <v>3441</v>
      </c>
      <c r="G589" s="82">
        <v>5936</v>
      </c>
      <c r="H589" s="83">
        <v>90.773531499173856</v>
      </c>
      <c r="I589" s="83">
        <v>65926.080748842985</v>
      </c>
      <c r="J589" s="83">
        <v>89.962031401596022</v>
      </c>
    </row>
    <row r="590" spans="1:10" ht="16">
      <c r="A590" s="79" t="s">
        <v>1373</v>
      </c>
      <c r="B590" s="79" t="s">
        <v>1307</v>
      </c>
      <c r="C590" s="80" t="s">
        <v>126</v>
      </c>
      <c r="D590" s="81" t="s">
        <v>96</v>
      </c>
      <c r="E590" s="82">
        <v>46204</v>
      </c>
      <c r="F590" s="82">
        <v>3020</v>
      </c>
      <c r="G590" s="82">
        <v>7393</v>
      </c>
      <c r="H590" s="83">
        <v>67.386634772374038</v>
      </c>
      <c r="I590" s="83">
        <v>50862.859336410824</v>
      </c>
      <c r="J590" s="83">
        <v>55.725246015496019</v>
      </c>
    </row>
    <row r="591" spans="1:10" ht="16">
      <c r="A591" s="79" t="s">
        <v>958</v>
      </c>
      <c r="B591" s="79" t="s">
        <v>938</v>
      </c>
      <c r="C591" s="80" t="s">
        <v>126</v>
      </c>
      <c r="D591" s="81" t="s">
        <v>79</v>
      </c>
      <c r="E591" s="82">
        <v>8922</v>
      </c>
      <c r="F591" s="82">
        <v>991</v>
      </c>
      <c r="G591" s="82">
        <v>625</v>
      </c>
      <c r="H591" s="83">
        <v>11.482754106864839</v>
      </c>
      <c r="I591" s="83">
        <v>221.76028286094814</v>
      </c>
      <c r="J591" s="83">
        <v>19.429000327642616</v>
      </c>
    </row>
    <row r="592" spans="1:10" ht="16">
      <c r="A592" s="79" t="s">
        <v>959</v>
      </c>
      <c r="B592" s="79" t="s">
        <v>938</v>
      </c>
      <c r="C592" s="80" t="s">
        <v>95</v>
      </c>
      <c r="D592" s="81" t="s">
        <v>96</v>
      </c>
      <c r="E592" s="82">
        <v>9252</v>
      </c>
      <c r="F592" s="82">
        <v>881</v>
      </c>
      <c r="G592" s="82">
        <v>93</v>
      </c>
      <c r="H592" s="83">
        <v>9.8429339098701885</v>
      </c>
      <c r="I592" s="83">
        <v>321.32545106926341</v>
      </c>
      <c r="J592" s="83">
        <v>18.526966242214083</v>
      </c>
    </row>
    <row r="593" spans="1:10" ht="16">
      <c r="A593" s="79" t="s">
        <v>960</v>
      </c>
      <c r="B593" s="79" t="s">
        <v>938</v>
      </c>
      <c r="C593" s="80" t="s">
        <v>126</v>
      </c>
      <c r="D593" s="81" t="s">
        <v>77</v>
      </c>
      <c r="E593" s="82">
        <v>18251</v>
      </c>
      <c r="F593" s="82">
        <v>2028</v>
      </c>
      <c r="G593" s="82">
        <v>5110</v>
      </c>
      <c r="H593" s="83">
        <v>16.628697267636287</v>
      </c>
      <c r="I593" s="83">
        <v>9832.3683457834777</v>
      </c>
      <c r="J593" s="83">
        <v>26.906565202538967</v>
      </c>
    </row>
    <row r="594" spans="1:10" ht="16">
      <c r="A594" s="79" t="s">
        <v>961</v>
      </c>
      <c r="B594" s="79" t="s">
        <v>938</v>
      </c>
      <c r="C594" s="80" t="s">
        <v>95</v>
      </c>
      <c r="D594" s="81" t="s">
        <v>103</v>
      </c>
      <c r="E594" s="82">
        <v>8078</v>
      </c>
      <c r="F594" s="82">
        <v>1282</v>
      </c>
      <c r="G594" s="82">
        <v>485</v>
      </c>
      <c r="H594" s="83">
        <v>10.376274249629418</v>
      </c>
      <c r="I594" s="83">
        <v>333.11734040262121</v>
      </c>
      <c r="J594" s="83">
        <v>23.413917856980628</v>
      </c>
    </row>
    <row r="595" spans="1:10" ht="16">
      <c r="A595" s="79" t="s">
        <v>883</v>
      </c>
      <c r="B595" s="79" t="s">
        <v>877</v>
      </c>
      <c r="C595" s="80" t="s">
        <v>126</v>
      </c>
      <c r="D595" s="81" t="s">
        <v>101</v>
      </c>
      <c r="E595" s="82">
        <v>12452</v>
      </c>
      <c r="F595" s="82">
        <v>239</v>
      </c>
      <c r="G595" s="82">
        <v>197</v>
      </c>
      <c r="H595" s="83">
        <v>8.8226737438897782</v>
      </c>
      <c r="I595" s="83">
        <v>1686.501507473331</v>
      </c>
      <c r="J595" s="83">
        <v>14.228462728446001</v>
      </c>
    </row>
    <row r="596" spans="1:10" ht="16">
      <c r="A596" s="79" t="s">
        <v>1025</v>
      </c>
      <c r="B596" s="79" t="s">
        <v>1007</v>
      </c>
      <c r="C596" s="80" t="s">
        <v>126</v>
      </c>
      <c r="D596" s="81" t="s">
        <v>103</v>
      </c>
      <c r="E596" s="82">
        <v>3215</v>
      </c>
      <c r="F596" s="82">
        <v>312</v>
      </c>
      <c r="G596" s="82">
        <v>96</v>
      </c>
      <c r="H596" s="83">
        <v>51.778312879317468</v>
      </c>
      <c r="I596" s="83">
        <v>36800.974338803368</v>
      </c>
      <c r="J596" s="83">
        <v>52.039292325642563</v>
      </c>
    </row>
    <row r="597" spans="1:10" ht="16">
      <c r="A597" s="79" t="s">
        <v>915</v>
      </c>
      <c r="B597" s="79" t="s">
        <v>912</v>
      </c>
      <c r="C597" s="80" t="s">
        <v>126</v>
      </c>
      <c r="D597" s="81" t="s">
        <v>76</v>
      </c>
      <c r="E597" s="82">
        <v>18511</v>
      </c>
      <c r="F597" s="82">
        <v>1083</v>
      </c>
      <c r="G597" s="82">
        <v>1111</v>
      </c>
      <c r="H597" s="83">
        <v>8.9902289301819636</v>
      </c>
      <c r="I597" s="83">
        <v>4250.1717557478278</v>
      </c>
      <c r="J597" s="83">
        <v>13.795615495046514</v>
      </c>
    </row>
    <row r="598" spans="1:10" ht="16">
      <c r="A598" s="79" t="s">
        <v>621</v>
      </c>
      <c r="B598" s="79" t="s">
        <v>617</v>
      </c>
      <c r="C598" s="80" t="s">
        <v>126</v>
      </c>
      <c r="D598" s="81" t="s">
        <v>75</v>
      </c>
      <c r="E598" s="82">
        <v>6122</v>
      </c>
      <c r="F598" s="82">
        <v>251</v>
      </c>
      <c r="G598" s="82">
        <v>61</v>
      </c>
      <c r="H598" s="83">
        <v>22.227840358051406</v>
      </c>
      <c r="I598" s="83">
        <v>18624.918799383744</v>
      </c>
      <c r="J598" s="83">
        <v>18.126145619280571</v>
      </c>
    </row>
    <row r="599" spans="1:10" ht="16">
      <c r="A599" s="79" t="s">
        <v>932</v>
      </c>
      <c r="B599" s="79" t="s">
        <v>928</v>
      </c>
      <c r="C599" s="80" t="s">
        <v>126</v>
      </c>
      <c r="D599" s="81" t="s">
        <v>101</v>
      </c>
      <c r="E599" s="82">
        <v>29437</v>
      </c>
      <c r="F599" s="82">
        <v>2181</v>
      </c>
      <c r="G599" s="82">
        <v>883</v>
      </c>
      <c r="H599" s="83">
        <v>10.272648464526045</v>
      </c>
      <c r="I599" s="83">
        <v>1301.5339050910907</v>
      </c>
      <c r="J599" s="83">
        <v>16.856821693795546</v>
      </c>
    </row>
    <row r="600" spans="1:10" ht="16">
      <c r="A600" s="79" t="s">
        <v>1046</v>
      </c>
      <c r="B600" s="79" t="s">
        <v>1039</v>
      </c>
      <c r="C600" s="80" t="s">
        <v>126</v>
      </c>
      <c r="D600" s="81" t="s">
        <v>149</v>
      </c>
      <c r="E600" s="82">
        <v>4749</v>
      </c>
      <c r="F600" s="82">
        <v>448</v>
      </c>
      <c r="G600" s="82">
        <v>285</v>
      </c>
      <c r="H600" s="83">
        <v>11.766549368662158</v>
      </c>
      <c r="I600" s="83">
        <v>2587.0789915041905</v>
      </c>
      <c r="J600" s="83">
        <v>23.461580093454479</v>
      </c>
    </row>
    <row r="601" spans="1:10" ht="16">
      <c r="A601" s="79" t="s">
        <v>1047</v>
      </c>
      <c r="B601" s="79" t="s">
        <v>1039</v>
      </c>
      <c r="C601" s="80" t="s">
        <v>126</v>
      </c>
      <c r="D601" s="81" t="s">
        <v>76</v>
      </c>
      <c r="E601" s="82">
        <v>25484</v>
      </c>
      <c r="F601" s="82">
        <v>2404</v>
      </c>
      <c r="G601" s="82">
        <v>4077</v>
      </c>
      <c r="H601" s="83">
        <v>18.106834670209942</v>
      </c>
      <c r="I601" s="83">
        <v>9787.9059298776592</v>
      </c>
      <c r="J601" s="83">
        <v>24.415254681349282</v>
      </c>
    </row>
    <row r="602" spans="1:10" ht="16">
      <c r="A602" s="79" t="s">
        <v>622</v>
      </c>
      <c r="B602" s="79" t="s">
        <v>617</v>
      </c>
      <c r="C602" s="80" t="s">
        <v>126</v>
      </c>
      <c r="D602" s="81" t="s">
        <v>78</v>
      </c>
      <c r="E602" s="82">
        <v>35184</v>
      </c>
      <c r="F602" s="82">
        <v>1407</v>
      </c>
      <c r="G602" s="82">
        <v>5981</v>
      </c>
      <c r="H602" s="83">
        <v>35.794358163298909</v>
      </c>
      <c r="I602" s="83">
        <v>21018.808820402188</v>
      </c>
      <c r="J602" s="83">
        <v>33.932285731101452</v>
      </c>
    </row>
    <row r="603" spans="1:10" ht="16">
      <c r="A603" s="79" t="s">
        <v>933</v>
      </c>
      <c r="B603" s="79" t="s">
        <v>928</v>
      </c>
      <c r="C603" s="80" t="s">
        <v>126</v>
      </c>
      <c r="D603" s="81" t="s">
        <v>75</v>
      </c>
      <c r="E603" s="82">
        <v>12646</v>
      </c>
      <c r="F603" s="82">
        <v>620</v>
      </c>
      <c r="G603" s="82">
        <v>379</v>
      </c>
      <c r="H603" s="83">
        <v>8.5916760690174954</v>
      </c>
      <c r="I603" s="83">
        <v>1415.3759225231506</v>
      </c>
      <c r="J603" s="83">
        <v>14.904246149472678</v>
      </c>
    </row>
    <row r="604" spans="1:10" ht="16">
      <c r="A604" s="79" t="s">
        <v>623</v>
      </c>
      <c r="B604" s="79" t="s">
        <v>617</v>
      </c>
      <c r="C604" s="80" t="s">
        <v>126</v>
      </c>
      <c r="D604" s="81" t="s">
        <v>76</v>
      </c>
      <c r="E604" s="82">
        <v>31425</v>
      </c>
      <c r="F604" s="82">
        <v>878</v>
      </c>
      <c r="G604" s="82">
        <v>4085</v>
      </c>
      <c r="H604" s="83">
        <v>26.133961629524876</v>
      </c>
      <c r="I604" s="83">
        <v>14056.709925138537</v>
      </c>
      <c r="J604" s="83">
        <v>26.214168624392414</v>
      </c>
    </row>
    <row r="605" spans="1:10" ht="16">
      <c r="A605" s="79" t="s">
        <v>1048</v>
      </c>
      <c r="B605" s="79" t="s">
        <v>1039</v>
      </c>
      <c r="C605" s="80" t="s">
        <v>126</v>
      </c>
      <c r="D605" s="81" t="s">
        <v>99</v>
      </c>
      <c r="E605" s="82">
        <v>21119</v>
      </c>
      <c r="F605" s="82">
        <v>2112</v>
      </c>
      <c r="G605" s="82">
        <v>2957</v>
      </c>
      <c r="H605" s="83">
        <v>12.313735253731085</v>
      </c>
      <c r="I605" s="83">
        <v>4915.9676681974788</v>
      </c>
      <c r="J605" s="83">
        <v>22.304874572038365</v>
      </c>
    </row>
    <row r="606" spans="1:10" ht="16">
      <c r="A606" s="79" t="s">
        <v>1049</v>
      </c>
      <c r="B606" s="79" t="s">
        <v>1039</v>
      </c>
      <c r="C606" s="80" t="s">
        <v>95</v>
      </c>
      <c r="D606" s="81" t="s">
        <v>77</v>
      </c>
      <c r="E606" s="82">
        <v>11636</v>
      </c>
      <c r="F606" s="82">
        <v>539</v>
      </c>
      <c r="G606" s="82">
        <v>1513</v>
      </c>
      <c r="H606" s="83">
        <v>40.138524772691468</v>
      </c>
      <c r="I606" s="83">
        <v>37917.836027514524</v>
      </c>
      <c r="J606" s="83">
        <v>38.485917682414474</v>
      </c>
    </row>
    <row r="607" spans="1:10" ht="16">
      <c r="A607" s="79" t="s">
        <v>534</v>
      </c>
      <c r="B607" s="79" t="s">
        <v>493</v>
      </c>
      <c r="C607" s="80" t="s">
        <v>126</v>
      </c>
      <c r="D607" s="81" t="s">
        <v>101</v>
      </c>
      <c r="E607" s="82">
        <v>6107</v>
      </c>
      <c r="F607" s="82">
        <v>355</v>
      </c>
      <c r="G607" s="82">
        <v>61</v>
      </c>
      <c r="H607" s="83">
        <v>19.83418682747601</v>
      </c>
      <c r="I607" s="83">
        <v>3532.1488739493007</v>
      </c>
      <c r="J607" s="83">
        <v>37.476322795424814</v>
      </c>
    </row>
    <row r="608" spans="1:10" ht="16">
      <c r="A608" s="79" t="s">
        <v>234</v>
      </c>
      <c r="B608" s="79" t="s">
        <v>231</v>
      </c>
      <c r="C608" s="80" t="s">
        <v>95</v>
      </c>
      <c r="D608" s="81" t="s">
        <v>77</v>
      </c>
      <c r="E608" s="82">
        <v>28541</v>
      </c>
      <c r="F608" s="82">
        <v>1903</v>
      </c>
      <c r="G608" s="82">
        <v>1998</v>
      </c>
      <c r="H608" s="83">
        <v>28.805688759565204</v>
      </c>
      <c r="I608" s="83">
        <v>13790.713300099587</v>
      </c>
      <c r="J608" s="83">
        <v>24.216639529464768</v>
      </c>
    </row>
    <row r="609" spans="1:10" ht="16">
      <c r="A609" s="79" t="s">
        <v>187</v>
      </c>
      <c r="B609" s="79" t="s">
        <v>169</v>
      </c>
      <c r="C609" s="80" t="s">
        <v>95</v>
      </c>
      <c r="D609" s="81" t="s">
        <v>78</v>
      </c>
      <c r="E609" s="82">
        <v>34101</v>
      </c>
      <c r="F609" s="82">
        <v>1601</v>
      </c>
      <c r="G609" s="82">
        <v>1705</v>
      </c>
      <c r="H609" s="83">
        <v>8.0819077104201664</v>
      </c>
      <c r="I609" s="83">
        <v>521.05621275268072</v>
      </c>
      <c r="J609" s="83">
        <v>15.89067181208441</v>
      </c>
    </row>
    <row r="610" spans="1:10" ht="16">
      <c r="A610" s="79" t="s">
        <v>891</v>
      </c>
      <c r="B610" s="79" t="s">
        <v>892</v>
      </c>
      <c r="C610" s="80" t="s">
        <v>126</v>
      </c>
      <c r="D610" s="81" t="s">
        <v>78</v>
      </c>
      <c r="E610" s="82">
        <v>24984</v>
      </c>
      <c r="F610" s="82">
        <v>3331</v>
      </c>
      <c r="G610" s="82">
        <v>750</v>
      </c>
      <c r="H610" s="83">
        <v>9.4616248819625284</v>
      </c>
      <c r="I610" s="83">
        <v>2916.4126481977214</v>
      </c>
      <c r="J610" s="83">
        <v>20.777993782059749</v>
      </c>
    </row>
    <row r="611" spans="1:10" ht="16">
      <c r="A611" s="79" t="s">
        <v>188</v>
      </c>
      <c r="B611" s="79" t="s">
        <v>169</v>
      </c>
      <c r="C611" s="80" t="s">
        <v>95</v>
      </c>
      <c r="D611" s="81" t="s">
        <v>76</v>
      </c>
      <c r="E611" s="82">
        <v>15581</v>
      </c>
      <c r="F611" s="82">
        <v>711</v>
      </c>
      <c r="G611" s="82">
        <v>779</v>
      </c>
      <c r="H611" s="83">
        <v>26.116129774234583</v>
      </c>
      <c r="I611" s="83">
        <v>7160.6933108716757</v>
      </c>
      <c r="J611" s="83">
        <v>28.093391827917021</v>
      </c>
    </row>
    <row r="612" spans="1:10" ht="16">
      <c r="A612" s="79" t="s">
        <v>189</v>
      </c>
      <c r="B612" s="79" t="s">
        <v>169</v>
      </c>
      <c r="C612" s="80" t="s">
        <v>126</v>
      </c>
      <c r="D612" s="81" t="s">
        <v>76</v>
      </c>
      <c r="E612" s="82">
        <v>16750</v>
      </c>
      <c r="F612" s="82">
        <v>735</v>
      </c>
      <c r="G612" s="82">
        <v>1153</v>
      </c>
      <c r="H612" s="83">
        <v>13.50219094819432</v>
      </c>
      <c r="I612" s="83">
        <v>5556.6451913028041</v>
      </c>
      <c r="J612" s="83">
        <v>19.219174757267229</v>
      </c>
    </row>
    <row r="613" spans="1:10" ht="16">
      <c r="A613" s="79" t="s">
        <v>326</v>
      </c>
      <c r="B613" s="79" t="s">
        <v>323</v>
      </c>
      <c r="C613" s="80" t="s">
        <v>95</v>
      </c>
      <c r="D613" s="81" t="s">
        <v>103</v>
      </c>
      <c r="E613" s="82">
        <v>30048</v>
      </c>
      <c r="F613" s="82">
        <v>1951</v>
      </c>
      <c r="G613" s="82">
        <v>300</v>
      </c>
      <c r="H613" s="83">
        <v>9.8411811214929479</v>
      </c>
      <c r="I613" s="83">
        <v>8867.7477857489921</v>
      </c>
      <c r="J613" s="83">
        <v>16.172768742053051</v>
      </c>
    </row>
    <row r="614" spans="1:10" ht="16">
      <c r="A614" s="79" t="s">
        <v>1374</v>
      </c>
      <c r="B614" s="79" t="s">
        <v>1307</v>
      </c>
      <c r="C614" s="80" t="s">
        <v>95</v>
      </c>
      <c r="D614" s="81" t="s">
        <v>99</v>
      </c>
      <c r="E614" s="82">
        <v>20219</v>
      </c>
      <c r="F614" s="82">
        <v>1099</v>
      </c>
      <c r="G614" s="82">
        <v>1820</v>
      </c>
      <c r="H614" s="83">
        <v>19.382352465335391</v>
      </c>
      <c r="I614" s="83">
        <v>8219.4284346021977</v>
      </c>
      <c r="J614" s="83">
        <v>21.608467269509628</v>
      </c>
    </row>
    <row r="615" spans="1:10" ht="16">
      <c r="A615" s="79" t="s">
        <v>1148</v>
      </c>
      <c r="B615" s="79" t="s">
        <v>1139</v>
      </c>
      <c r="C615" s="80" t="s">
        <v>95</v>
      </c>
      <c r="D615" s="81" t="s">
        <v>99</v>
      </c>
      <c r="E615" s="82">
        <v>39257</v>
      </c>
      <c r="F615" s="82">
        <v>2485</v>
      </c>
      <c r="G615" s="82">
        <v>785</v>
      </c>
      <c r="H615" s="83">
        <v>10.458462375675873</v>
      </c>
      <c r="I615" s="83">
        <v>1786.3591286589574</v>
      </c>
      <c r="J615" s="83">
        <v>18.794531790559855</v>
      </c>
    </row>
    <row r="616" spans="1:10" ht="16">
      <c r="A616" s="79" t="s">
        <v>1375</v>
      </c>
      <c r="B616" s="79" t="s">
        <v>1307</v>
      </c>
      <c r="C616" s="80" t="s">
        <v>126</v>
      </c>
      <c r="D616" s="81" t="s">
        <v>99</v>
      </c>
      <c r="E616" s="82">
        <v>7983</v>
      </c>
      <c r="F616" s="82">
        <v>986</v>
      </c>
      <c r="G616" s="82">
        <v>1996</v>
      </c>
      <c r="H616" s="83">
        <v>96.605856275146749</v>
      </c>
      <c r="I616" s="83">
        <v>95232.49486868555</v>
      </c>
      <c r="J616" s="83">
        <v>90.752979832687032</v>
      </c>
    </row>
    <row r="617" spans="1:10" ht="16">
      <c r="A617" s="79" t="s">
        <v>535</v>
      </c>
      <c r="B617" s="79" t="s">
        <v>493</v>
      </c>
      <c r="C617" s="80" t="s">
        <v>126</v>
      </c>
      <c r="D617" s="81" t="s">
        <v>75</v>
      </c>
      <c r="E617" s="82">
        <v>8325</v>
      </c>
      <c r="F617" s="82">
        <v>570</v>
      </c>
      <c r="G617" s="82">
        <v>186</v>
      </c>
      <c r="H617" s="83">
        <v>9.6848116849062951</v>
      </c>
      <c r="I617" s="83">
        <v>1226.9367792115045</v>
      </c>
      <c r="J617" s="83">
        <v>20.680405821430135</v>
      </c>
    </row>
    <row r="618" spans="1:10" ht="16">
      <c r="A618" s="79" t="s">
        <v>1376</v>
      </c>
      <c r="B618" s="79" t="s">
        <v>1307</v>
      </c>
      <c r="C618" s="80" t="s">
        <v>126</v>
      </c>
      <c r="D618" s="81" t="s">
        <v>103</v>
      </c>
      <c r="E618" s="82">
        <v>40451</v>
      </c>
      <c r="F618" s="82">
        <v>2576</v>
      </c>
      <c r="G618" s="82">
        <v>9304</v>
      </c>
      <c r="H618" s="83">
        <v>66.881994062832007</v>
      </c>
      <c r="I618" s="83">
        <v>41874.831273475196</v>
      </c>
      <c r="J618" s="83">
        <v>58.384121428104777</v>
      </c>
    </row>
    <row r="619" spans="1:10" ht="16">
      <c r="A619" s="79" t="s">
        <v>1026</v>
      </c>
      <c r="B619" s="79" t="s">
        <v>1007</v>
      </c>
      <c r="C619" s="80" t="s">
        <v>126</v>
      </c>
      <c r="D619" s="81" t="s">
        <v>78</v>
      </c>
      <c r="E619" s="82">
        <v>24331</v>
      </c>
      <c r="F619" s="82">
        <v>1330</v>
      </c>
      <c r="G619" s="82">
        <v>2676</v>
      </c>
      <c r="H619" s="83">
        <v>30.83570115227106</v>
      </c>
      <c r="I619" s="83">
        <v>7492.8280987971484</v>
      </c>
      <c r="J619" s="83">
        <v>27.709116186955857</v>
      </c>
    </row>
    <row r="620" spans="1:10" ht="16">
      <c r="A620" s="79" t="s">
        <v>925</v>
      </c>
      <c r="B620" s="79" t="s">
        <v>926</v>
      </c>
      <c r="C620" s="80" t="s">
        <v>95</v>
      </c>
      <c r="D620" s="81" t="s">
        <v>101</v>
      </c>
      <c r="E620" s="82">
        <v>15585</v>
      </c>
      <c r="F620" s="82">
        <v>901</v>
      </c>
      <c r="G620" s="82">
        <v>5922</v>
      </c>
      <c r="H620" s="83">
        <v>27.430423545479567</v>
      </c>
      <c r="I620" s="83">
        <v>17641.856808441829</v>
      </c>
      <c r="J620" s="83">
        <v>20.066583559115443</v>
      </c>
    </row>
    <row r="621" spans="1:10" ht="16">
      <c r="A621" s="79" t="s">
        <v>884</v>
      </c>
      <c r="B621" s="79" t="s">
        <v>877</v>
      </c>
      <c r="C621" s="80" t="s">
        <v>95</v>
      </c>
      <c r="D621" s="81" t="s">
        <v>101</v>
      </c>
      <c r="E621" s="82">
        <v>14694</v>
      </c>
      <c r="F621" s="82">
        <v>593</v>
      </c>
      <c r="G621" s="82">
        <v>147</v>
      </c>
      <c r="H621" s="83">
        <v>19.016880862811362</v>
      </c>
      <c r="I621" s="83">
        <v>15239.841824018213</v>
      </c>
      <c r="J621" s="83">
        <v>20.572866322395203</v>
      </c>
    </row>
    <row r="622" spans="1:10" ht="16">
      <c r="A622" s="79" t="s">
        <v>1245</v>
      </c>
      <c r="B622" s="79" t="s">
        <v>1209</v>
      </c>
      <c r="C622" s="80" t="s">
        <v>95</v>
      </c>
      <c r="D622" s="81" t="s">
        <v>78</v>
      </c>
      <c r="E622" s="82">
        <v>17799</v>
      </c>
      <c r="F622" s="82">
        <v>1262</v>
      </c>
      <c r="G622" s="82">
        <v>7654</v>
      </c>
      <c r="H622" s="83">
        <v>43.113477969148128</v>
      </c>
      <c r="I622" s="83">
        <v>42256.040160282806</v>
      </c>
      <c r="J622" s="83">
        <v>35.721573624975079</v>
      </c>
    </row>
    <row r="623" spans="1:10" ht="16">
      <c r="A623" s="79" t="s">
        <v>124</v>
      </c>
      <c r="B623" s="79" t="s">
        <v>108</v>
      </c>
      <c r="C623" s="80" t="s">
        <v>95</v>
      </c>
      <c r="D623" s="81" t="s">
        <v>111</v>
      </c>
      <c r="E623" s="82">
        <v>34871</v>
      </c>
      <c r="F623" s="82">
        <v>913</v>
      </c>
      <c r="G623" s="82">
        <v>5579</v>
      </c>
      <c r="H623" s="83">
        <v>40.755268078668585</v>
      </c>
      <c r="I623" s="83">
        <v>34884.943441664342</v>
      </c>
      <c r="J623" s="83">
        <v>32.108534616786038</v>
      </c>
    </row>
    <row r="624" spans="1:10" ht="16">
      <c r="A624" s="79" t="s">
        <v>844</v>
      </c>
      <c r="B624" s="79" t="s">
        <v>839</v>
      </c>
      <c r="C624" s="80" t="s">
        <v>95</v>
      </c>
      <c r="D624" s="81" t="s">
        <v>149</v>
      </c>
      <c r="E624" s="82">
        <v>20024</v>
      </c>
      <c r="F624" s="82">
        <v>1144</v>
      </c>
      <c r="G624" s="82">
        <v>2803</v>
      </c>
      <c r="H624" s="83">
        <v>50.078611291116403</v>
      </c>
      <c r="I624" s="83">
        <v>44044.224342813417</v>
      </c>
      <c r="J624" s="83">
        <v>36.640850066536423</v>
      </c>
    </row>
    <row r="625" spans="1:10" ht="16">
      <c r="A625" s="79" t="s">
        <v>287</v>
      </c>
      <c r="B625" s="79" t="s">
        <v>242</v>
      </c>
      <c r="C625" s="80" t="s">
        <v>95</v>
      </c>
      <c r="D625" s="81" t="s">
        <v>79</v>
      </c>
      <c r="E625" s="82">
        <v>25590</v>
      </c>
      <c r="F625" s="82">
        <v>2047</v>
      </c>
      <c r="G625" s="82">
        <v>1535</v>
      </c>
      <c r="H625" s="83">
        <v>21.516183081240261</v>
      </c>
      <c r="I625" s="83">
        <v>10050.710547427716</v>
      </c>
      <c r="J625" s="83">
        <v>42.528624688257679</v>
      </c>
    </row>
    <row r="626" spans="1:10" ht="16">
      <c r="A626" s="79" t="s">
        <v>1377</v>
      </c>
      <c r="B626" s="79" t="s">
        <v>1307</v>
      </c>
      <c r="C626" s="80" t="s">
        <v>126</v>
      </c>
      <c r="D626" s="81" t="s">
        <v>149</v>
      </c>
      <c r="E626" s="82">
        <v>7798</v>
      </c>
      <c r="F626" s="82">
        <v>500</v>
      </c>
      <c r="G626" s="82">
        <v>1560</v>
      </c>
      <c r="H626" s="83">
        <v>29.277260188501668</v>
      </c>
      <c r="I626" s="83">
        <v>16942.40232886513</v>
      </c>
      <c r="J626" s="83">
        <v>30.703956226206127</v>
      </c>
    </row>
    <row r="627" spans="1:10" ht="16">
      <c r="A627" s="79" t="s">
        <v>1378</v>
      </c>
      <c r="B627" s="79" t="s">
        <v>1307</v>
      </c>
      <c r="C627" s="80" t="s">
        <v>126</v>
      </c>
      <c r="D627" s="81" t="s">
        <v>101</v>
      </c>
      <c r="E627" s="82">
        <v>6667</v>
      </c>
      <c r="F627" s="82">
        <v>749</v>
      </c>
      <c r="G627" s="82">
        <v>1867</v>
      </c>
      <c r="H627" s="83">
        <v>40.254798221869734</v>
      </c>
      <c r="I627" s="83">
        <v>37224.568444295968</v>
      </c>
      <c r="J627" s="83">
        <v>49.300290228266626</v>
      </c>
    </row>
    <row r="628" spans="1:10" ht="16">
      <c r="A628" s="79" t="s">
        <v>786</v>
      </c>
      <c r="B628" s="79" t="s">
        <v>785</v>
      </c>
      <c r="C628" s="80" t="s">
        <v>126</v>
      </c>
      <c r="D628" s="81" t="s">
        <v>96</v>
      </c>
      <c r="E628" s="82">
        <v>10805</v>
      </c>
      <c r="F628" s="82">
        <v>363</v>
      </c>
      <c r="G628" s="82">
        <v>1189</v>
      </c>
      <c r="H628" s="83">
        <v>18.485553575190519</v>
      </c>
      <c r="I628" s="83">
        <v>3525.2288422383831</v>
      </c>
      <c r="J628" s="83">
        <v>20.330497998722617</v>
      </c>
    </row>
    <row r="629" spans="1:10" ht="16">
      <c r="A629" s="79" t="s">
        <v>721</v>
      </c>
      <c r="B629" s="79" t="s">
        <v>661</v>
      </c>
      <c r="C629" s="80" t="s">
        <v>95</v>
      </c>
      <c r="D629" s="81" t="s">
        <v>76</v>
      </c>
      <c r="E629" s="82">
        <v>20183</v>
      </c>
      <c r="F629" s="82">
        <v>1431</v>
      </c>
      <c r="G629" s="82">
        <v>807</v>
      </c>
      <c r="H629" s="83">
        <v>9.1577576732158139</v>
      </c>
      <c r="I629" s="83">
        <v>4251.8655893410387</v>
      </c>
      <c r="J629" s="83">
        <v>16.799890892330364</v>
      </c>
    </row>
    <row r="630" spans="1:10" ht="16">
      <c r="A630" s="79" t="s">
        <v>190</v>
      </c>
      <c r="B630" s="79" t="s">
        <v>169</v>
      </c>
      <c r="C630" s="80" t="s">
        <v>95</v>
      </c>
      <c r="D630" s="81" t="s">
        <v>99</v>
      </c>
      <c r="E630" s="82">
        <v>22879</v>
      </c>
      <c r="F630" s="82">
        <v>2571</v>
      </c>
      <c r="G630" s="82">
        <v>1144</v>
      </c>
      <c r="H630" s="83">
        <v>11.85269015977763</v>
      </c>
      <c r="I630" s="83">
        <v>1669.7221014890176</v>
      </c>
      <c r="J630" s="83">
        <v>24.8531419056429</v>
      </c>
    </row>
    <row r="631" spans="1:10" ht="16">
      <c r="A631" s="79" t="s">
        <v>722</v>
      </c>
      <c r="B631" s="79" t="s">
        <v>661</v>
      </c>
      <c r="C631" s="80" t="s">
        <v>126</v>
      </c>
      <c r="D631" s="81" t="s">
        <v>75</v>
      </c>
      <c r="E631" s="82">
        <v>34413</v>
      </c>
      <c r="F631" s="82">
        <v>1880</v>
      </c>
      <c r="G631" s="82">
        <v>2065</v>
      </c>
      <c r="H631" s="83">
        <v>13.493232950276235</v>
      </c>
      <c r="I631" s="83">
        <v>2203.755710453308</v>
      </c>
      <c r="J631" s="83">
        <v>19.697596849000401</v>
      </c>
    </row>
    <row r="632" spans="1:10" ht="16">
      <c r="A632" s="79" t="s">
        <v>125</v>
      </c>
      <c r="B632" s="79" t="s">
        <v>108</v>
      </c>
      <c r="C632" s="80" t="s">
        <v>126</v>
      </c>
      <c r="D632" s="81" t="s">
        <v>77</v>
      </c>
      <c r="E632" s="82">
        <v>33848</v>
      </c>
      <c r="F632" s="82">
        <v>1511</v>
      </c>
      <c r="G632" s="82">
        <v>10154</v>
      </c>
      <c r="H632" s="83">
        <v>26.456709052241354</v>
      </c>
      <c r="I632" s="83">
        <v>16867.24359212281</v>
      </c>
      <c r="J632" s="83">
        <v>26.400073074644194</v>
      </c>
    </row>
    <row r="633" spans="1:10" ht="16">
      <c r="A633" s="79" t="s">
        <v>1246</v>
      </c>
      <c r="B633" s="79" t="s">
        <v>1209</v>
      </c>
      <c r="C633" s="80" t="s">
        <v>95</v>
      </c>
      <c r="D633" s="81" t="s">
        <v>149</v>
      </c>
      <c r="E633" s="82">
        <v>9489</v>
      </c>
      <c r="F633" s="82">
        <v>465</v>
      </c>
      <c r="G633" s="82">
        <v>2088</v>
      </c>
      <c r="H633" s="83">
        <v>11.935484950205662</v>
      </c>
      <c r="I633" s="83">
        <v>2641.8777603130466</v>
      </c>
      <c r="J633" s="83">
        <v>17.230528556488839</v>
      </c>
    </row>
    <row r="634" spans="1:10" ht="16">
      <c r="A634" s="79" t="s">
        <v>1379</v>
      </c>
      <c r="B634" s="79" t="s">
        <v>1307</v>
      </c>
      <c r="C634" s="80" t="s">
        <v>126</v>
      </c>
      <c r="D634" s="81" t="s">
        <v>101</v>
      </c>
      <c r="E634" s="82">
        <v>13996</v>
      </c>
      <c r="F634" s="82">
        <v>891</v>
      </c>
      <c r="G634" s="82">
        <v>2519</v>
      </c>
      <c r="H634" s="83">
        <v>18.453094179875389</v>
      </c>
      <c r="I634" s="83">
        <v>7074.2743689404197</v>
      </c>
      <c r="J634" s="83">
        <v>20.544509165322577</v>
      </c>
    </row>
    <row r="635" spans="1:10" ht="16">
      <c r="A635" s="79" t="s">
        <v>358</v>
      </c>
      <c r="B635" s="79" t="s">
        <v>355</v>
      </c>
      <c r="C635" s="80" t="s">
        <v>95</v>
      </c>
      <c r="D635" s="81" t="s">
        <v>78</v>
      </c>
      <c r="E635" s="82">
        <v>6382</v>
      </c>
      <c r="F635" s="82">
        <v>355</v>
      </c>
      <c r="G635" s="82">
        <v>766</v>
      </c>
      <c r="H635" s="83">
        <v>33.698497314631943</v>
      </c>
      <c r="I635" s="83">
        <v>12385.093384524978</v>
      </c>
      <c r="J635" s="83">
        <v>21.524281158231059</v>
      </c>
    </row>
    <row r="636" spans="1:10" ht="16">
      <c r="A636" s="79" t="s">
        <v>603</v>
      </c>
      <c r="B636" s="79" t="s">
        <v>600</v>
      </c>
      <c r="C636" s="80" t="s">
        <v>95</v>
      </c>
      <c r="D636" s="81" t="s">
        <v>78</v>
      </c>
      <c r="E636" s="82">
        <v>2265</v>
      </c>
      <c r="F636" s="82">
        <v>107</v>
      </c>
      <c r="G636" s="82">
        <v>1472</v>
      </c>
      <c r="H636" s="83">
        <v>27.07993104118626</v>
      </c>
      <c r="I636" s="83">
        <v>24251.283479645543</v>
      </c>
      <c r="J636" s="83">
        <v>30.920274524188642</v>
      </c>
    </row>
    <row r="637" spans="1:10" ht="16">
      <c r="A637" s="79" t="s">
        <v>1247</v>
      </c>
      <c r="B637" s="79" t="s">
        <v>1209</v>
      </c>
      <c r="C637" s="80" t="s">
        <v>95</v>
      </c>
      <c r="D637" s="81" t="s">
        <v>77</v>
      </c>
      <c r="E637" s="82">
        <v>9503</v>
      </c>
      <c r="F637" s="82">
        <v>625</v>
      </c>
      <c r="G637" s="82">
        <v>3421</v>
      </c>
      <c r="H637" s="83">
        <v>30.234407372580897</v>
      </c>
      <c r="I637" s="83">
        <v>22220.969443794977</v>
      </c>
      <c r="J637" s="83">
        <v>31.53490682459001</v>
      </c>
    </row>
    <row r="638" spans="1:10" ht="16">
      <c r="A638" s="79" t="s">
        <v>1248</v>
      </c>
      <c r="B638" s="79" t="s">
        <v>1209</v>
      </c>
      <c r="C638" s="80" t="s">
        <v>95</v>
      </c>
      <c r="D638" s="81" t="s">
        <v>99</v>
      </c>
      <c r="E638" s="82">
        <v>2067</v>
      </c>
      <c r="F638" s="82">
        <v>190</v>
      </c>
      <c r="G638" s="82">
        <v>393</v>
      </c>
      <c r="H638" s="83">
        <v>18.779416838472223</v>
      </c>
      <c r="I638" s="83">
        <v>12672.467334703284</v>
      </c>
      <c r="J638" s="83">
        <v>27.369713891184567</v>
      </c>
    </row>
    <row r="639" spans="1:10" ht="16">
      <c r="A639" s="79" t="s">
        <v>962</v>
      </c>
      <c r="B639" s="79" t="s">
        <v>938</v>
      </c>
      <c r="C639" s="80" t="s">
        <v>95</v>
      </c>
      <c r="D639" s="81" t="s">
        <v>103</v>
      </c>
      <c r="E639" s="82">
        <v>19803</v>
      </c>
      <c r="F639" s="82">
        <v>1707</v>
      </c>
      <c r="G639" s="82">
        <v>5743</v>
      </c>
      <c r="H639" s="83">
        <v>12.100484803784354</v>
      </c>
      <c r="I639" s="83">
        <v>2850.1453447549366</v>
      </c>
      <c r="J639" s="83">
        <v>36.75526468524172</v>
      </c>
    </row>
    <row r="640" spans="1:10" ht="16">
      <c r="A640" s="79" t="s">
        <v>435</v>
      </c>
      <c r="B640" s="79" t="s">
        <v>421</v>
      </c>
      <c r="C640" s="80" t="s">
        <v>126</v>
      </c>
      <c r="D640" s="81" t="s">
        <v>75</v>
      </c>
      <c r="E640" s="82">
        <v>43015</v>
      </c>
      <c r="F640" s="82">
        <v>711</v>
      </c>
      <c r="G640" s="82">
        <v>6022</v>
      </c>
      <c r="H640" s="83">
        <v>45.525974168356178</v>
      </c>
      <c r="I640" s="83">
        <v>26107.037887466446</v>
      </c>
      <c r="J640" s="83">
        <v>40.554411849378937</v>
      </c>
    </row>
    <row r="641" spans="1:10" ht="16">
      <c r="A641" s="79" t="s">
        <v>1380</v>
      </c>
      <c r="B641" s="79" t="s">
        <v>1307</v>
      </c>
      <c r="C641" s="80" t="s">
        <v>95</v>
      </c>
      <c r="D641" s="81" t="s">
        <v>79</v>
      </c>
      <c r="E641" s="82">
        <v>2425</v>
      </c>
      <c r="F641" s="82">
        <v>1213</v>
      </c>
      <c r="G641" s="82">
        <v>24</v>
      </c>
      <c r="H641" s="83">
        <v>13.819259507830679</v>
      </c>
      <c r="I641" s="83">
        <v>11894.067217410769</v>
      </c>
      <c r="J641" s="83">
        <v>37.207640774486556</v>
      </c>
    </row>
    <row r="642" spans="1:10" ht="16">
      <c r="A642" s="79" t="s">
        <v>1381</v>
      </c>
      <c r="B642" s="79" t="s">
        <v>1307</v>
      </c>
      <c r="C642" s="80" t="s">
        <v>95</v>
      </c>
      <c r="D642" s="81" t="s">
        <v>79</v>
      </c>
      <c r="E642" s="82">
        <v>44801</v>
      </c>
      <c r="F642" s="82">
        <v>4000</v>
      </c>
      <c r="G642" s="82">
        <v>7616</v>
      </c>
      <c r="H642" s="83">
        <v>48.711866005902642</v>
      </c>
      <c r="I642" s="83">
        <v>35863.361060394949</v>
      </c>
      <c r="J642" s="83">
        <v>48.439920605089519</v>
      </c>
    </row>
    <row r="643" spans="1:10" ht="16">
      <c r="A643" s="79" t="s">
        <v>436</v>
      </c>
      <c r="B643" s="79" t="s">
        <v>421</v>
      </c>
      <c r="C643" s="80" t="s">
        <v>126</v>
      </c>
      <c r="D643" s="81" t="s">
        <v>77</v>
      </c>
      <c r="E643" s="82">
        <v>45377</v>
      </c>
      <c r="F643" s="82">
        <v>743</v>
      </c>
      <c r="G643" s="82">
        <v>9529</v>
      </c>
      <c r="H643" s="83">
        <v>61.79122273692483</v>
      </c>
      <c r="I643" s="83">
        <v>41407.979225725467</v>
      </c>
      <c r="J643" s="83">
        <v>55.801232668853729</v>
      </c>
    </row>
    <row r="644" spans="1:10" ht="16">
      <c r="A644" s="79" t="s">
        <v>211</v>
      </c>
      <c r="B644" s="79" t="s">
        <v>203</v>
      </c>
      <c r="C644" s="80" t="s">
        <v>95</v>
      </c>
      <c r="D644" s="81" t="s">
        <v>103</v>
      </c>
      <c r="E644" s="82">
        <v>33694</v>
      </c>
      <c r="F644" s="82">
        <v>782</v>
      </c>
      <c r="G644" s="82">
        <v>1348</v>
      </c>
      <c r="H644" s="83">
        <v>26.206073845267326</v>
      </c>
      <c r="I644" s="83">
        <v>10058.133830499539</v>
      </c>
      <c r="J644" s="83">
        <v>19.703483281882455</v>
      </c>
    </row>
    <row r="645" spans="1:10" ht="16">
      <c r="A645" s="79" t="s">
        <v>1189</v>
      </c>
      <c r="B645" s="79" t="s">
        <v>1161</v>
      </c>
      <c r="C645" s="80" t="s">
        <v>126</v>
      </c>
      <c r="D645" s="81" t="s">
        <v>75</v>
      </c>
      <c r="E645" s="82">
        <v>3605</v>
      </c>
      <c r="F645" s="82">
        <v>168</v>
      </c>
      <c r="G645" s="82">
        <v>324</v>
      </c>
      <c r="H645" s="83">
        <v>35.841927946284699</v>
      </c>
      <c r="I645" s="83">
        <v>19747.647501355692</v>
      </c>
      <c r="J645" s="83">
        <v>28.430172823987245</v>
      </c>
    </row>
    <row r="646" spans="1:10" ht="16">
      <c r="A646" s="79" t="s">
        <v>723</v>
      </c>
      <c r="B646" s="79" t="s">
        <v>661</v>
      </c>
      <c r="C646" s="80" t="s">
        <v>126</v>
      </c>
      <c r="D646" s="81" t="s">
        <v>79</v>
      </c>
      <c r="E646" s="82">
        <v>6799</v>
      </c>
      <c r="F646" s="82">
        <v>708</v>
      </c>
      <c r="G646" s="82">
        <v>136</v>
      </c>
      <c r="H646" s="83">
        <v>13.222889806095628</v>
      </c>
      <c r="I646" s="83">
        <v>2335.689050002306</v>
      </c>
      <c r="J646" s="83">
        <v>21.607640430395112</v>
      </c>
    </row>
    <row r="647" spans="1:10" ht="16">
      <c r="A647" s="79" t="s">
        <v>963</v>
      </c>
      <c r="B647" s="79" t="s">
        <v>938</v>
      </c>
      <c r="C647" s="80" t="s">
        <v>95</v>
      </c>
      <c r="D647" s="81" t="s">
        <v>78</v>
      </c>
      <c r="E647" s="82">
        <v>21489</v>
      </c>
      <c r="F647" s="82">
        <v>2904</v>
      </c>
      <c r="G647" s="82">
        <v>2579</v>
      </c>
      <c r="H647" s="83">
        <v>31.716136562565946</v>
      </c>
      <c r="I647" s="83">
        <v>6115.2475196393616</v>
      </c>
      <c r="J647" s="83">
        <v>46.472107531764991</v>
      </c>
    </row>
    <row r="648" spans="1:10" ht="16">
      <c r="A648" s="79" t="s">
        <v>964</v>
      </c>
      <c r="B648" s="79" t="s">
        <v>938</v>
      </c>
      <c r="C648" s="80" t="s">
        <v>126</v>
      </c>
      <c r="D648" s="81" t="s">
        <v>111</v>
      </c>
      <c r="E648" s="82">
        <v>7298</v>
      </c>
      <c r="F648" s="82">
        <v>657</v>
      </c>
      <c r="G648" s="82">
        <v>803</v>
      </c>
      <c r="H648" s="83">
        <v>10.525968074597403</v>
      </c>
      <c r="I648" s="83">
        <v>5085.3252020226091</v>
      </c>
      <c r="J648" s="83">
        <v>20.901529018523359</v>
      </c>
    </row>
    <row r="649" spans="1:10" ht="16">
      <c r="A649" s="79" t="s">
        <v>724</v>
      </c>
      <c r="B649" s="79" t="s">
        <v>661</v>
      </c>
      <c r="C649" s="80" t="s">
        <v>126</v>
      </c>
      <c r="D649" s="81" t="s">
        <v>111</v>
      </c>
      <c r="E649" s="82">
        <v>1909</v>
      </c>
      <c r="F649" s="82">
        <v>1273</v>
      </c>
      <c r="G649" s="82">
        <v>133</v>
      </c>
      <c r="H649" s="83">
        <v>10.034723703428929</v>
      </c>
      <c r="I649" s="83">
        <v>2713.6841809956959</v>
      </c>
      <c r="J649" s="83">
        <v>23.8781088223861</v>
      </c>
    </row>
    <row r="650" spans="1:10" ht="16">
      <c r="A650" s="79" t="s">
        <v>725</v>
      </c>
      <c r="B650" s="79" t="s">
        <v>661</v>
      </c>
      <c r="C650" s="80" t="s">
        <v>126</v>
      </c>
      <c r="D650" s="81" t="s">
        <v>101</v>
      </c>
      <c r="E650" s="82">
        <v>8579</v>
      </c>
      <c r="F650" s="82">
        <v>600</v>
      </c>
      <c r="G650" s="82">
        <v>429</v>
      </c>
      <c r="H650" s="83">
        <v>13.206859803353712</v>
      </c>
      <c r="I650" s="83">
        <v>2967.9799700767767</v>
      </c>
      <c r="J650" s="83">
        <v>19.987564353190521</v>
      </c>
    </row>
    <row r="651" spans="1:10" ht="16">
      <c r="A651" s="79" t="s">
        <v>965</v>
      </c>
      <c r="B651" s="79" t="s">
        <v>938</v>
      </c>
      <c r="C651" s="80" t="s">
        <v>95</v>
      </c>
      <c r="D651" s="81" t="s">
        <v>101</v>
      </c>
      <c r="E651" s="82">
        <v>9660</v>
      </c>
      <c r="F651" s="82">
        <v>911</v>
      </c>
      <c r="G651" s="82">
        <v>1063</v>
      </c>
      <c r="H651" s="83">
        <v>12.47418818400352</v>
      </c>
      <c r="I651" s="83">
        <v>3868.3908761842272</v>
      </c>
      <c r="J651" s="83">
        <v>18.961360247484677</v>
      </c>
    </row>
    <row r="652" spans="1:10" ht="16">
      <c r="A652" s="79" t="s">
        <v>1382</v>
      </c>
      <c r="B652" s="79" t="s">
        <v>1307</v>
      </c>
      <c r="C652" s="80" t="s">
        <v>95</v>
      </c>
      <c r="D652" s="81" t="s">
        <v>77</v>
      </c>
      <c r="E652" s="82">
        <v>30799</v>
      </c>
      <c r="F652" s="82">
        <v>1010</v>
      </c>
      <c r="G652" s="82">
        <v>2464</v>
      </c>
      <c r="H652" s="83">
        <v>24.975688445548148</v>
      </c>
      <c r="I652" s="83">
        <v>15177.399798053551</v>
      </c>
      <c r="J652" s="83">
        <v>24.293734968092021</v>
      </c>
    </row>
    <row r="653" spans="1:10" ht="16">
      <c r="A653" s="79" t="s">
        <v>191</v>
      </c>
      <c r="B653" s="79" t="s">
        <v>169</v>
      </c>
      <c r="C653" s="80" t="s">
        <v>95</v>
      </c>
      <c r="D653" s="81" t="s">
        <v>78</v>
      </c>
      <c r="E653" s="82">
        <v>12922</v>
      </c>
      <c r="F653" s="82">
        <v>1086</v>
      </c>
      <c r="G653" s="82">
        <v>129</v>
      </c>
      <c r="H653" s="83">
        <v>10.08456760904185</v>
      </c>
      <c r="I653" s="83">
        <v>1825.0370867840761</v>
      </c>
      <c r="J653" s="83">
        <v>18.650247910342287</v>
      </c>
    </row>
    <row r="654" spans="1:10" ht="16">
      <c r="A654" s="79" t="s">
        <v>624</v>
      </c>
      <c r="B654" s="79" t="s">
        <v>617</v>
      </c>
      <c r="C654" s="80" t="s">
        <v>95</v>
      </c>
      <c r="D654" s="81" t="s">
        <v>111</v>
      </c>
      <c r="E654" s="82">
        <v>71318</v>
      </c>
      <c r="F654" s="82">
        <v>3348</v>
      </c>
      <c r="G654" s="82">
        <v>4279</v>
      </c>
      <c r="H654" s="83">
        <v>40.67398002203403</v>
      </c>
      <c r="I654" s="83">
        <v>27943.216274567349</v>
      </c>
      <c r="J654" s="83">
        <v>40.560643135721229</v>
      </c>
    </row>
    <row r="655" spans="1:10" ht="16">
      <c r="A655" s="79" t="s">
        <v>726</v>
      </c>
      <c r="B655" s="79" t="s">
        <v>661</v>
      </c>
      <c r="C655" s="80" t="s">
        <v>126</v>
      </c>
      <c r="D655" s="81" t="s">
        <v>76</v>
      </c>
      <c r="E655" s="82">
        <v>1336</v>
      </c>
      <c r="F655" s="82">
        <v>382</v>
      </c>
      <c r="G655" s="82">
        <v>93</v>
      </c>
      <c r="H655" s="83">
        <v>12.482232229557853</v>
      </c>
      <c r="I655" s="83">
        <v>3808.2198295122248</v>
      </c>
      <c r="J655" s="83">
        <v>29.680544964798649</v>
      </c>
    </row>
    <row r="656" spans="1:10" ht="16">
      <c r="A656" s="79" t="s">
        <v>536</v>
      </c>
      <c r="B656" s="79" t="s">
        <v>493</v>
      </c>
      <c r="C656" s="80" t="s">
        <v>95</v>
      </c>
      <c r="D656" s="81" t="s">
        <v>101</v>
      </c>
      <c r="E656" s="82">
        <v>12234</v>
      </c>
      <c r="F656" s="82">
        <v>844</v>
      </c>
      <c r="G656" s="82">
        <v>274</v>
      </c>
      <c r="H656" s="83">
        <v>12.631872393798798</v>
      </c>
      <c r="I656" s="83">
        <v>3801.0748611714121</v>
      </c>
      <c r="J656" s="83">
        <v>17.193466978263896</v>
      </c>
    </row>
    <row r="657" spans="1:10" ht="16">
      <c r="A657" s="79" t="s">
        <v>537</v>
      </c>
      <c r="B657" s="79" t="s">
        <v>493</v>
      </c>
      <c r="C657" s="80" t="s">
        <v>126</v>
      </c>
      <c r="D657" s="81" t="s">
        <v>111</v>
      </c>
      <c r="E657" s="82">
        <v>14381</v>
      </c>
      <c r="F657" s="82">
        <v>851</v>
      </c>
      <c r="G657" s="82">
        <v>144</v>
      </c>
      <c r="H657" s="83">
        <v>9.9593361017561115</v>
      </c>
      <c r="I657" s="83">
        <v>920.20690168165004</v>
      </c>
      <c r="J657" s="83">
        <v>18.932637984105142</v>
      </c>
    </row>
    <row r="658" spans="1:10" ht="16">
      <c r="A658" s="79" t="s">
        <v>538</v>
      </c>
      <c r="B658" s="79" t="s">
        <v>493</v>
      </c>
      <c r="C658" s="80" t="s">
        <v>95</v>
      </c>
      <c r="D658" s="81" t="s">
        <v>77</v>
      </c>
      <c r="E658" s="82">
        <v>6056</v>
      </c>
      <c r="F658" s="82">
        <v>477</v>
      </c>
      <c r="G658" s="82">
        <v>121</v>
      </c>
      <c r="H658" s="83">
        <v>19.391003970600664</v>
      </c>
      <c r="I658" s="83">
        <v>8653.1680177226663</v>
      </c>
      <c r="J658" s="83">
        <v>39.016695171117455</v>
      </c>
    </row>
    <row r="659" spans="1:10" ht="16">
      <c r="A659" s="79" t="s">
        <v>406</v>
      </c>
      <c r="B659" s="79" t="s">
        <v>396</v>
      </c>
      <c r="C659" s="80" t="s">
        <v>95</v>
      </c>
      <c r="D659" s="81" t="s">
        <v>149</v>
      </c>
      <c r="E659" s="82">
        <v>11915</v>
      </c>
      <c r="F659" s="82">
        <v>264</v>
      </c>
      <c r="G659" s="82">
        <v>4051</v>
      </c>
      <c r="H659" s="83">
        <v>27.900758944988144</v>
      </c>
      <c r="I659" s="83">
        <v>15345.66351844836</v>
      </c>
      <c r="J659" s="83">
        <v>30.374441308593248</v>
      </c>
    </row>
    <row r="660" spans="1:10" ht="16">
      <c r="A660" s="79" t="s">
        <v>625</v>
      </c>
      <c r="B660" s="79" t="s">
        <v>617</v>
      </c>
      <c r="C660" s="80" t="s">
        <v>126</v>
      </c>
      <c r="D660" s="81" t="s">
        <v>149</v>
      </c>
      <c r="E660" s="82">
        <v>558</v>
      </c>
      <c r="F660" s="82">
        <v>82</v>
      </c>
      <c r="G660" s="82">
        <v>61</v>
      </c>
      <c r="H660" s="83">
        <v>38.530030793077181</v>
      </c>
      <c r="I660" s="83">
        <v>30229.683796337406</v>
      </c>
      <c r="J660" s="83">
        <v>57.218600369536468</v>
      </c>
    </row>
    <row r="661" spans="1:10" ht="16">
      <c r="A661" s="79" t="s">
        <v>966</v>
      </c>
      <c r="B661" s="79" t="s">
        <v>938</v>
      </c>
      <c r="C661" s="80" t="s">
        <v>95</v>
      </c>
      <c r="D661" s="81" t="s">
        <v>96</v>
      </c>
      <c r="E661" s="82">
        <v>15354</v>
      </c>
      <c r="F661" s="82">
        <v>1872</v>
      </c>
      <c r="G661" s="82">
        <v>2457</v>
      </c>
      <c r="H661" s="83">
        <v>10.245443329355059</v>
      </c>
      <c r="I661" s="83">
        <v>261.6447038062135</v>
      </c>
      <c r="J661" s="83">
        <v>25.229565559608972</v>
      </c>
    </row>
    <row r="662" spans="1:10" ht="16">
      <c r="A662" s="79" t="s">
        <v>1027</v>
      </c>
      <c r="B662" s="79" t="s">
        <v>1007</v>
      </c>
      <c r="C662" s="80" t="s">
        <v>126</v>
      </c>
      <c r="D662" s="81" t="s">
        <v>77</v>
      </c>
      <c r="E662" s="82">
        <v>12119</v>
      </c>
      <c r="F662" s="82">
        <v>713</v>
      </c>
      <c r="G662" s="82">
        <v>1212</v>
      </c>
      <c r="H662" s="83">
        <v>21.092041613326685</v>
      </c>
      <c r="I662" s="83">
        <v>15710.881033017369</v>
      </c>
      <c r="J662" s="83">
        <v>23.688850777035839</v>
      </c>
    </row>
    <row r="663" spans="1:10" ht="16">
      <c r="A663" s="79" t="s">
        <v>487</v>
      </c>
      <c r="B663" s="79" t="s">
        <v>485</v>
      </c>
      <c r="C663" s="80" t="s">
        <v>95</v>
      </c>
      <c r="D663" s="81" t="s">
        <v>101</v>
      </c>
      <c r="E663" s="82">
        <v>10996</v>
      </c>
      <c r="F663" s="82">
        <v>1122</v>
      </c>
      <c r="G663" s="82">
        <v>3409</v>
      </c>
      <c r="H663" s="83">
        <v>13.296109784266829</v>
      </c>
      <c r="I663" s="83">
        <v>9126.2816461712791</v>
      </c>
      <c r="J663" s="83">
        <v>26.340705433222144</v>
      </c>
    </row>
    <row r="664" spans="1:10" ht="16">
      <c r="A664" s="79" t="s">
        <v>570</v>
      </c>
      <c r="B664" s="79" t="s">
        <v>556</v>
      </c>
      <c r="C664" s="80" t="s">
        <v>126</v>
      </c>
      <c r="D664" s="81" t="s">
        <v>103</v>
      </c>
      <c r="E664" s="82">
        <v>12496</v>
      </c>
      <c r="F664" s="82">
        <v>811</v>
      </c>
      <c r="G664" s="82">
        <v>125</v>
      </c>
      <c r="H664" s="83">
        <v>10.810825828497217</v>
      </c>
      <c r="I664" s="83">
        <v>3925.8607221509014</v>
      </c>
      <c r="J664" s="83">
        <v>17.217020611947007</v>
      </c>
    </row>
    <row r="665" spans="1:10" ht="16">
      <c r="A665" s="79" t="s">
        <v>1028</v>
      </c>
      <c r="B665" s="79" t="s">
        <v>1007</v>
      </c>
      <c r="C665" s="80" t="s">
        <v>126</v>
      </c>
      <c r="D665" s="81" t="s">
        <v>96</v>
      </c>
      <c r="E665" s="82">
        <v>26182</v>
      </c>
      <c r="F665" s="82">
        <v>2111</v>
      </c>
      <c r="G665" s="82">
        <v>3142</v>
      </c>
      <c r="H665" s="83">
        <v>72.569511073218266</v>
      </c>
      <c r="I665" s="83">
        <v>47658.410528164794</v>
      </c>
      <c r="J665" s="83">
        <v>73.27860107226816</v>
      </c>
    </row>
    <row r="666" spans="1:10" ht="16">
      <c r="A666" s="79" t="s">
        <v>1029</v>
      </c>
      <c r="B666" s="79" t="s">
        <v>1007</v>
      </c>
      <c r="C666" s="80" t="s">
        <v>126</v>
      </c>
      <c r="D666" s="81" t="s">
        <v>75</v>
      </c>
      <c r="E666" s="82">
        <v>11912</v>
      </c>
      <c r="F666" s="82">
        <v>693</v>
      </c>
      <c r="G666" s="82">
        <v>476</v>
      </c>
      <c r="H666" s="83">
        <v>14.153479611845274</v>
      </c>
      <c r="I666" s="83">
        <v>2120.7277841241053</v>
      </c>
      <c r="J666" s="83">
        <v>17.973321067189378</v>
      </c>
    </row>
    <row r="667" spans="1:10" ht="16">
      <c r="A667" s="79" t="s">
        <v>551</v>
      </c>
      <c r="B667" s="79" t="s">
        <v>549</v>
      </c>
      <c r="C667" s="80" t="s">
        <v>126</v>
      </c>
      <c r="D667" s="81" t="s">
        <v>76</v>
      </c>
      <c r="E667" s="82">
        <v>14624</v>
      </c>
      <c r="F667" s="82">
        <v>1380</v>
      </c>
      <c r="G667" s="82">
        <v>585</v>
      </c>
      <c r="H667" s="83">
        <v>11.768416394266735</v>
      </c>
      <c r="I667" s="83">
        <v>2607.6052265810808</v>
      </c>
      <c r="J667" s="83">
        <v>19.869065557488369</v>
      </c>
    </row>
    <row r="668" spans="1:10" ht="16">
      <c r="A668" s="79" t="s">
        <v>571</v>
      </c>
      <c r="B668" s="79" t="s">
        <v>556</v>
      </c>
      <c r="C668" s="80" t="s">
        <v>95</v>
      </c>
      <c r="D668" s="81" t="s">
        <v>149</v>
      </c>
      <c r="E668" s="82">
        <v>6350</v>
      </c>
      <c r="F668" s="82">
        <v>327</v>
      </c>
      <c r="G668" s="82">
        <v>292</v>
      </c>
      <c r="H668" s="83">
        <v>12.021428842016798</v>
      </c>
      <c r="I668" s="83">
        <v>1231.6812263331472</v>
      </c>
      <c r="J668" s="83">
        <v>20.109137188666697</v>
      </c>
    </row>
    <row r="669" spans="1:10" ht="16">
      <c r="A669" s="79" t="s">
        <v>572</v>
      </c>
      <c r="B669" s="79" t="s">
        <v>556</v>
      </c>
      <c r="C669" s="80" t="s">
        <v>95</v>
      </c>
      <c r="D669" s="81" t="s">
        <v>103</v>
      </c>
      <c r="E669" s="82">
        <v>14998</v>
      </c>
      <c r="F669" s="82">
        <v>638</v>
      </c>
      <c r="G669" s="82">
        <v>689</v>
      </c>
      <c r="H669" s="83">
        <v>14.348212230307574</v>
      </c>
      <c r="I669" s="83">
        <v>2069.0526262505628</v>
      </c>
      <c r="J669" s="83">
        <v>18.429454395803713</v>
      </c>
    </row>
    <row r="670" spans="1:10" ht="16">
      <c r="A670" s="79" t="s">
        <v>573</v>
      </c>
      <c r="B670" s="79" t="s">
        <v>556</v>
      </c>
      <c r="C670" s="80" t="s">
        <v>95</v>
      </c>
      <c r="D670" s="81" t="s">
        <v>75</v>
      </c>
      <c r="E670" s="82">
        <v>18403</v>
      </c>
      <c r="F670" s="82">
        <v>860</v>
      </c>
      <c r="G670" s="82">
        <v>368</v>
      </c>
      <c r="H670" s="83">
        <v>19.584413194469175</v>
      </c>
      <c r="I670" s="83">
        <v>7251.2005421575013</v>
      </c>
      <c r="J670" s="83">
        <v>22.149332272090422</v>
      </c>
    </row>
    <row r="671" spans="1:10" ht="16">
      <c r="A671" s="79" t="s">
        <v>574</v>
      </c>
      <c r="B671" s="79" t="s">
        <v>556</v>
      </c>
      <c r="C671" s="80" t="s">
        <v>95</v>
      </c>
      <c r="D671" s="81" t="s">
        <v>96</v>
      </c>
      <c r="E671" s="82">
        <v>12713</v>
      </c>
      <c r="F671" s="82">
        <v>1397</v>
      </c>
      <c r="G671" s="82">
        <v>254</v>
      </c>
      <c r="H671" s="83">
        <v>15.287607231457285</v>
      </c>
      <c r="I671" s="83">
        <v>5451.3729883839278</v>
      </c>
      <c r="J671" s="83">
        <v>43.281208065645004</v>
      </c>
    </row>
    <row r="672" spans="1:10" ht="16">
      <c r="A672" s="79" t="s">
        <v>575</v>
      </c>
      <c r="B672" s="79" t="s">
        <v>556</v>
      </c>
      <c r="C672" s="80" t="s">
        <v>95</v>
      </c>
      <c r="D672" s="81" t="s">
        <v>75</v>
      </c>
      <c r="E672" s="82">
        <v>12309</v>
      </c>
      <c r="F672" s="82">
        <v>583</v>
      </c>
      <c r="G672" s="82">
        <v>246</v>
      </c>
      <c r="H672" s="83">
        <v>18.401613996631575</v>
      </c>
      <c r="I672" s="83">
        <v>2995.4585424556299</v>
      </c>
      <c r="J672" s="83">
        <v>27.306472819955058</v>
      </c>
    </row>
    <row r="673" spans="1:10" ht="16">
      <c r="A673" s="79" t="s">
        <v>576</v>
      </c>
      <c r="B673" s="79" t="s">
        <v>556</v>
      </c>
      <c r="C673" s="80" t="s">
        <v>95</v>
      </c>
      <c r="D673" s="81" t="s">
        <v>78</v>
      </c>
      <c r="E673" s="82">
        <v>7378</v>
      </c>
      <c r="F673" s="82">
        <v>324</v>
      </c>
      <c r="G673" s="82">
        <v>339</v>
      </c>
      <c r="H673" s="83">
        <v>11.242624618859342</v>
      </c>
      <c r="I673" s="83">
        <v>3960.3725488379664</v>
      </c>
      <c r="J673" s="83">
        <v>16.521738114731242</v>
      </c>
    </row>
    <row r="674" spans="1:10" ht="16">
      <c r="A674" s="79" t="s">
        <v>577</v>
      </c>
      <c r="B674" s="79" t="s">
        <v>556</v>
      </c>
      <c r="C674" s="80" t="s">
        <v>126</v>
      </c>
      <c r="D674" s="81" t="s">
        <v>111</v>
      </c>
      <c r="E674" s="82">
        <v>8448</v>
      </c>
      <c r="F674" s="82">
        <v>343</v>
      </c>
      <c r="G674" s="82">
        <v>588</v>
      </c>
      <c r="H674" s="83">
        <v>14.187993152443489</v>
      </c>
      <c r="I674" s="83">
        <v>3859.6850994562533</v>
      </c>
      <c r="J674" s="83">
        <v>18.215834522413292</v>
      </c>
    </row>
    <row r="675" spans="1:10" ht="16">
      <c r="A675" s="79" t="s">
        <v>288</v>
      </c>
      <c r="B675" s="79" t="s">
        <v>242</v>
      </c>
      <c r="C675" s="80" t="s">
        <v>126</v>
      </c>
      <c r="D675" s="81" t="s">
        <v>103</v>
      </c>
      <c r="E675" s="82">
        <v>45767</v>
      </c>
      <c r="F675" s="82">
        <v>3135</v>
      </c>
      <c r="G675" s="82">
        <v>3204</v>
      </c>
      <c r="H675" s="83">
        <v>29.684730598955621</v>
      </c>
      <c r="I675" s="83">
        <v>10322.2514332337</v>
      </c>
      <c r="J675" s="83">
        <v>32.870766304171731</v>
      </c>
    </row>
    <row r="676" spans="1:10" ht="16">
      <c r="A676" s="79" t="s">
        <v>289</v>
      </c>
      <c r="B676" s="79" t="s">
        <v>242</v>
      </c>
      <c r="C676" s="80" t="s">
        <v>126</v>
      </c>
      <c r="D676" s="81" t="s">
        <v>101</v>
      </c>
      <c r="E676" s="82">
        <v>38853</v>
      </c>
      <c r="F676" s="82">
        <v>3500</v>
      </c>
      <c r="G676" s="82">
        <v>5051</v>
      </c>
      <c r="H676" s="83">
        <v>63.835625619247736</v>
      </c>
      <c r="I676" s="83">
        <v>30223.333692684831</v>
      </c>
      <c r="J676" s="83">
        <v>58.698739772426315</v>
      </c>
    </row>
    <row r="677" spans="1:10" ht="16">
      <c r="A677" s="79" t="s">
        <v>290</v>
      </c>
      <c r="B677" s="79" t="s">
        <v>242</v>
      </c>
      <c r="C677" s="80" t="s">
        <v>126</v>
      </c>
      <c r="D677" s="81" t="s">
        <v>111</v>
      </c>
      <c r="E677" s="82">
        <v>23789</v>
      </c>
      <c r="F677" s="82">
        <v>1329</v>
      </c>
      <c r="G677" s="82">
        <v>714</v>
      </c>
      <c r="H677" s="83">
        <v>10.50523414272085</v>
      </c>
      <c r="I677" s="83">
        <v>3982.767380439775</v>
      </c>
      <c r="J677" s="83">
        <v>15.336832863750107</v>
      </c>
    </row>
    <row r="678" spans="1:10" ht="16">
      <c r="A678" s="79" t="s">
        <v>291</v>
      </c>
      <c r="B678" s="79" t="s">
        <v>242</v>
      </c>
      <c r="C678" s="80" t="s">
        <v>126</v>
      </c>
      <c r="D678" s="81" t="s">
        <v>96</v>
      </c>
      <c r="E678" s="82">
        <v>36637</v>
      </c>
      <c r="F678" s="82">
        <v>3242</v>
      </c>
      <c r="G678" s="82">
        <v>2198</v>
      </c>
      <c r="H678" s="83">
        <v>25.019250578009903</v>
      </c>
      <c r="I678" s="83">
        <v>7346.8469017775442</v>
      </c>
      <c r="J678" s="83">
        <v>21.802025588696267</v>
      </c>
    </row>
    <row r="679" spans="1:10" ht="16">
      <c r="A679" s="79" t="s">
        <v>292</v>
      </c>
      <c r="B679" s="79" t="s">
        <v>242</v>
      </c>
      <c r="C679" s="80" t="s">
        <v>95</v>
      </c>
      <c r="D679" s="81" t="s">
        <v>149</v>
      </c>
      <c r="E679" s="82">
        <v>15130</v>
      </c>
      <c r="F679" s="82">
        <v>1043</v>
      </c>
      <c r="G679" s="82">
        <v>757</v>
      </c>
      <c r="H679" s="83">
        <v>14.596503839197153</v>
      </c>
      <c r="I679" s="83">
        <v>4637.2808832133824</v>
      </c>
      <c r="J679" s="83">
        <v>27.918987467875994</v>
      </c>
    </row>
    <row r="680" spans="1:10" ht="16">
      <c r="A680" s="79" t="s">
        <v>293</v>
      </c>
      <c r="B680" s="79" t="s">
        <v>242</v>
      </c>
      <c r="C680" s="80" t="s">
        <v>126</v>
      </c>
      <c r="D680" s="81" t="s">
        <v>76</v>
      </c>
      <c r="E680" s="82">
        <v>10305</v>
      </c>
      <c r="F680" s="82">
        <v>881</v>
      </c>
      <c r="G680" s="82">
        <v>103</v>
      </c>
      <c r="H680" s="83">
        <v>15.14620117728114</v>
      </c>
      <c r="I680" s="83">
        <v>5646.3476156986717</v>
      </c>
      <c r="J680" s="83">
        <v>22.323010703050407</v>
      </c>
    </row>
    <row r="681" spans="1:10" ht="16">
      <c r="A681" s="79" t="s">
        <v>578</v>
      </c>
      <c r="B681" s="79" t="s">
        <v>556</v>
      </c>
      <c r="C681" s="80" t="s">
        <v>126</v>
      </c>
      <c r="D681" s="81" t="s">
        <v>77</v>
      </c>
      <c r="E681" s="82">
        <v>9260</v>
      </c>
      <c r="F681" s="82">
        <v>468</v>
      </c>
      <c r="G681" s="82">
        <v>185</v>
      </c>
      <c r="H681" s="83">
        <v>37.384700414196558</v>
      </c>
      <c r="I681" s="83">
        <v>15070.059313929531</v>
      </c>
      <c r="J681" s="83">
        <v>29.19775451336217</v>
      </c>
    </row>
    <row r="682" spans="1:10" ht="16">
      <c r="A682" s="79" t="s">
        <v>1249</v>
      </c>
      <c r="B682" s="79" t="s">
        <v>1209</v>
      </c>
      <c r="C682" s="80" t="s">
        <v>95</v>
      </c>
      <c r="D682" s="81" t="s">
        <v>96</v>
      </c>
      <c r="E682" s="82">
        <v>25119</v>
      </c>
      <c r="F682" s="82">
        <v>1478</v>
      </c>
      <c r="G682" s="82">
        <v>3265</v>
      </c>
      <c r="H682" s="83">
        <v>14.186279427411316</v>
      </c>
      <c r="I682" s="83">
        <v>5491.6714873025885</v>
      </c>
      <c r="J682" s="83">
        <v>18.436222005391436</v>
      </c>
    </row>
    <row r="683" spans="1:10" ht="16">
      <c r="A683" s="79" t="s">
        <v>294</v>
      </c>
      <c r="B683" s="79" t="s">
        <v>242</v>
      </c>
      <c r="C683" s="80" t="s">
        <v>126</v>
      </c>
      <c r="D683" s="81" t="s">
        <v>76</v>
      </c>
      <c r="E683" s="82">
        <v>35171</v>
      </c>
      <c r="F683" s="82">
        <v>2269</v>
      </c>
      <c r="G683" s="82">
        <v>352</v>
      </c>
      <c r="H683" s="83">
        <v>23.570895682077619</v>
      </c>
      <c r="I683" s="83">
        <v>16085.740839843169</v>
      </c>
      <c r="J683" s="83">
        <v>22.405840233313857</v>
      </c>
    </row>
    <row r="684" spans="1:10" ht="16">
      <c r="A684" s="79" t="s">
        <v>727</v>
      </c>
      <c r="B684" s="79" t="s">
        <v>661</v>
      </c>
      <c r="C684" s="80" t="s">
        <v>126</v>
      </c>
      <c r="D684" s="81" t="s">
        <v>75</v>
      </c>
      <c r="E684" s="82">
        <v>7886</v>
      </c>
      <c r="F684" s="82">
        <v>329</v>
      </c>
      <c r="G684" s="82">
        <v>1262</v>
      </c>
      <c r="H684" s="83">
        <v>12.586878664688312</v>
      </c>
      <c r="I684" s="83">
        <v>1258.9367160326494</v>
      </c>
      <c r="J684" s="83">
        <v>16.621370503542458</v>
      </c>
    </row>
    <row r="685" spans="1:10" ht="16">
      <c r="A685" s="79" t="s">
        <v>728</v>
      </c>
      <c r="B685" s="79" t="s">
        <v>661</v>
      </c>
      <c r="C685" s="80" t="s">
        <v>126</v>
      </c>
      <c r="D685" s="81" t="s">
        <v>75</v>
      </c>
      <c r="E685" s="82">
        <v>1164</v>
      </c>
      <c r="F685" s="82">
        <v>375</v>
      </c>
      <c r="G685" s="82">
        <v>23</v>
      </c>
      <c r="H685" s="83">
        <v>11.042516264610695</v>
      </c>
      <c r="I685" s="83">
        <v>2796.0379589140184</v>
      </c>
      <c r="J685" s="83">
        <v>26.371811235060619</v>
      </c>
    </row>
    <row r="686" spans="1:10" ht="16">
      <c r="A686" s="79" t="s">
        <v>729</v>
      </c>
      <c r="B686" s="79" t="s">
        <v>661</v>
      </c>
      <c r="C686" s="80" t="s">
        <v>126</v>
      </c>
      <c r="D686" s="81" t="s">
        <v>77</v>
      </c>
      <c r="E686" s="82">
        <v>6086</v>
      </c>
      <c r="F686" s="82">
        <v>801</v>
      </c>
      <c r="G686" s="82">
        <v>122</v>
      </c>
      <c r="H686" s="83">
        <v>11.228432474806556</v>
      </c>
      <c r="I686" s="83">
        <v>1664.1948764835556</v>
      </c>
      <c r="J686" s="83">
        <v>21.893828712395507</v>
      </c>
    </row>
    <row r="687" spans="1:10" ht="16">
      <c r="A687" s="79" t="s">
        <v>730</v>
      </c>
      <c r="B687" s="79" t="s">
        <v>661</v>
      </c>
      <c r="C687" s="80" t="s">
        <v>126</v>
      </c>
      <c r="D687" s="81" t="s">
        <v>103</v>
      </c>
      <c r="E687" s="82">
        <v>10812</v>
      </c>
      <c r="F687" s="82">
        <v>1050</v>
      </c>
      <c r="G687" s="82">
        <v>324</v>
      </c>
      <c r="H687" s="83">
        <v>14.981920890916179</v>
      </c>
      <c r="I687" s="83">
        <v>4037.0054896354491</v>
      </c>
      <c r="J687" s="83">
        <v>22.383607567251879</v>
      </c>
    </row>
    <row r="688" spans="1:10" ht="16">
      <c r="A688" s="79" t="s">
        <v>579</v>
      </c>
      <c r="B688" s="79" t="s">
        <v>556</v>
      </c>
      <c r="C688" s="80" t="s">
        <v>126</v>
      </c>
      <c r="D688" s="81" t="s">
        <v>149</v>
      </c>
      <c r="E688" s="82">
        <v>14286</v>
      </c>
      <c r="F688" s="82">
        <v>693</v>
      </c>
      <c r="G688" s="82">
        <v>657</v>
      </c>
      <c r="H688" s="83">
        <v>25.232330053914239</v>
      </c>
      <c r="I688" s="83">
        <v>6811.7888970179756</v>
      </c>
      <c r="J688" s="83">
        <v>25.458256326968556</v>
      </c>
    </row>
    <row r="689" spans="1:10" ht="16">
      <c r="A689" s="79" t="s">
        <v>580</v>
      </c>
      <c r="B689" s="79" t="s">
        <v>556</v>
      </c>
      <c r="C689" s="80" t="s">
        <v>95</v>
      </c>
      <c r="D689" s="81" t="s">
        <v>149</v>
      </c>
      <c r="E689" s="82">
        <v>10465</v>
      </c>
      <c r="F689" s="82">
        <v>960</v>
      </c>
      <c r="G689" s="82">
        <v>209</v>
      </c>
      <c r="H689" s="83">
        <v>11.45563613083557</v>
      </c>
      <c r="I689" s="83">
        <v>2215.8333899511772</v>
      </c>
      <c r="J689" s="83">
        <v>16.695494721810938</v>
      </c>
    </row>
    <row r="690" spans="1:10" ht="16">
      <c r="A690" s="79" t="s">
        <v>581</v>
      </c>
      <c r="B690" s="79" t="s">
        <v>556</v>
      </c>
      <c r="C690" s="80" t="s">
        <v>126</v>
      </c>
      <c r="D690" s="81" t="s">
        <v>149</v>
      </c>
      <c r="E690" s="82">
        <v>1602</v>
      </c>
      <c r="F690" s="82">
        <v>101</v>
      </c>
      <c r="G690" s="82">
        <v>111</v>
      </c>
      <c r="H690" s="83">
        <v>21.135534946946599</v>
      </c>
      <c r="I690" s="83">
        <v>9478.3089848035288</v>
      </c>
      <c r="J690" s="83">
        <v>24.352261035063201</v>
      </c>
    </row>
    <row r="691" spans="1:10" ht="16">
      <c r="A691" s="79" t="s">
        <v>731</v>
      </c>
      <c r="B691" s="79" t="s">
        <v>661</v>
      </c>
      <c r="C691" s="80" t="s">
        <v>126</v>
      </c>
      <c r="D691" s="81" t="s">
        <v>103</v>
      </c>
      <c r="E691" s="82">
        <v>9956</v>
      </c>
      <c r="F691" s="82">
        <v>732</v>
      </c>
      <c r="G691" s="82">
        <v>299</v>
      </c>
      <c r="H691" s="83">
        <v>13.49486420653842</v>
      </c>
      <c r="I691" s="83">
        <v>1983.5584774358895</v>
      </c>
      <c r="J691" s="83">
        <v>18.426304027065537</v>
      </c>
    </row>
    <row r="692" spans="1:10" ht="16">
      <c r="A692" s="79" t="s">
        <v>732</v>
      </c>
      <c r="B692" s="79" t="s">
        <v>661</v>
      </c>
      <c r="C692" s="80" t="s">
        <v>95</v>
      </c>
      <c r="D692" s="81" t="s">
        <v>101</v>
      </c>
      <c r="E692" s="82">
        <v>3659</v>
      </c>
      <c r="F692" s="82">
        <v>1742</v>
      </c>
      <c r="G692" s="82">
        <v>37</v>
      </c>
      <c r="H692" s="83">
        <v>8.9489450735910712</v>
      </c>
      <c r="I692" s="83">
        <v>1757.4609090175775</v>
      </c>
      <c r="J692" s="83">
        <v>30.336507404391323</v>
      </c>
    </row>
    <row r="693" spans="1:10" ht="16">
      <c r="A693" s="79" t="s">
        <v>967</v>
      </c>
      <c r="B693" s="79" t="s">
        <v>938</v>
      </c>
      <c r="C693" s="80" t="s">
        <v>126</v>
      </c>
      <c r="D693" s="81" t="s">
        <v>111</v>
      </c>
      <c r="E693" s="82">
        <v>23800</v>
      </c>
      <c r="F693" s="82">
        <v>1425</v>
      </c>
      <c r="G693" s="82">
        <v>952</v>
      </c>
      <c r="H693" s="83">
        <v>13.604369112178762</v>
      </c>
      <c r="I693" s="83">
        <v>877.92488361444975</v>
      </c>
      <c r="J693" s="83">
        <v>18.222308245932869</v>
      </c>
    </row>
    <row r="694" spans="1:10" ht="16">
      <c r="A694" s="79" t="s">
        <v>295</v>
      </c>
      <c r="B694" s="79" t="s">
        <v>242</v>
      </c>
      <c r="C694" s="80" t="s">
        <v>126</v>
      </c>
      <c r="D694" s="81" t="s">
        <v>77</v>
      </c>
      <c r="E694" s="82">
        <v>64648</v>
      </c>
      <c r="F694" s="82">
        <v>4685</v>
      </c>
      <c r="G694" s="82">
        <v>2586</v>
      </c>
      <c r="H694" s="83">
        <v>24.900660857613516</v>
      </c>
      <c r="I694" s="83">
        <v>9499.2351736074106</v>
      </c>
      <c r="J694" s="83">
        <v>31.492722845333159</v>
      </c>
    </row>
    <row r="695" spans="1:10" ht="16">
      <c r="A695" s="79" t="s">
        <v>834</v>
      </c>
      <c r="B695" s="79" t="s">
        <v>833</v>
      </c>
      <c r="C695" s="80" t="s">
        <v>126</v>
      </c>
      <c r="D695" s="81" t="s">
        <v>99</v>
      </c>
      <c r="E695" s="82">
        <v>90736</v>
      </c>
      <c r="F695" s="82">
        <v>1589</v>
      </c>
      <c r="G695" s="82">
        <v>1815</v>
      </c>
      <c r="H695" s="83">
        <v>8.547002117224503</v>
      </c>
      <c r="I695" s="83">
        <v>4065.1015027154053</v>
      </c>
      <c r="J695" s="83">
        <v>25.629491880178819</v>
      </c>
    </row>
    <row r="696" spans="1:10" ht="16">
      <c r="A696" s="79" t="s">
        <v>904</v>
      </c>
      <c r="B696" s="79" t="s">
        <v>898</v>
      </c>
      <c r="C696" s="80" t="s">
        <v>126</v>
      </c>
      <c r="D696" s="81" t="s">
        <v>75</v>
      </c>
      <c r="E696" s="82">
        <v>20646</v>
      </c>
      <c r="F696" s="82">
        <v>1639</v>
      </c>
      <c r="G696" s="82">
        <v>206</v>
      </c>
      <c r="H696" s="83">
        <v>10.163262839146572</v>
      </c>
      <c r="I696" s="83">
        <v>2969.0193008689853</v>
      </c>
      <c r="J696" s="83">
        <v>17.051980403667304</v>
      </c>
    </row>
    <row r="697" spans="1:10" ht="16">
      <c r="A697" s="79" t="s">
        <v>1149</v>
      </c>
      <c r="B697" s="79" t="s">
        <v>1139</v>
      </c>
      <c r="C697" s="80" t="s">
        <v>95</v>
      </c>
      <c r="D697" s="81" t="s">
        <v>75</v>
      </c>
      <c r="E697" s="82">
        <v>24542</v>
      </c>
      <c r="F697" s="82">
        <v>1239</v>
      </c>
      <c r="G697" s="82">
        <v>736</v>
      </c>
      <c r="H697" s="83">
        <v>9.0544291413164757</v>
      </c>
      <c r="I697" s="83">
        <v>1131.3068018900385</v>
      </c>
      <c r="J697" s="83">
        <v>16.487192165536726</v>
      </c>
    </row>
    <row r="698" spans="1:10" ht="16">
      <c r="A698" s="79" t="s">
        <v>212</v>
      </c>
      <c r="B698" s="79" t="s">
        <v>203</v>
      </c>
      <c r="C698" s="80" t="s">
        <v>95</v>
      </c>
      <c r="D698" s="81" t="s">
        <v>78</v>
      </c>
      <c r="E698" s="82">
        <v>26521</v>
      </c>
      <c r="F698" s="82">
        <v>971</v>
      </c>
      <c r="G698" s="82">
        <v>7956</v>
      </c>
      <c r="H698" s="83">
        <v>36.056215168147666</v>
      </c>
      <c r="I698" s="83">
        <v>26747.172439319456</v>
      </c>
      <c r="J698" s="83">
        <v>24.211357066140465</v>
      </c>
    </row>
    <row r="699" spans="1:10" ht="16">
      <c r="A699" s="79" t="s">
        <v>990</v>
      </c>
      <c r="B699" s="79" t="s">
        <v>989</v>
      </c>
      <c r="C699" s="80" t="s">
        <v>95</v>
      </c>
      <c r="D699" s="81" t="s">
        <v>78</v>
      </c>
      <c r="E699" s="82">
        <v>6570</v>
      </c>
      <c r="F699" s="82">
        <v>466</v>
      </c>
      <c r="G699" s="82">
        <v>131</v>
      </c>
      <c r="H699" s="83">
        <v>9.3974101202501235</v>
      </c>
      <c r="I699" s="83">
        <v>817.21438117542073</v>
      </c>
      <c r="J699" s="83">
        <v>18.28332946217726</v>
      </c>
    </row>
    <row r="700" spans="1:10" ht="16">
      <c r="A700" s="79" t="s">
        <v>991</v>
      </c>
      <c r="B700" s="79" t="s">
        <v>989</v>
      </c>
      <c r="C700" s="80" t="s">
        <v>126</v>
      </c>
      <c r="D700" s="81" t="s">
        <v>101</v>
      </c>
      <c r="E700" s="82">
        <v>13108</v>
      </c>
      <c r="F700" s="82">
        <v>986</v>
      </c>
      <c r="G700" s="82">
        <v>393</v>
      </c>
      <c r="H700" s="83">
        <v>12.935504580411134</v>
      </c>
      <c r="I700" s="83">
        <v>1217.1310937435212</v>
      </c>
      <c r="J700" s="83">
        <v>22.718075083829603</v>
      </c>
    </row>
    <row r="701" spans="1:10" ht="16">
      <c r="A701" s="79" t="s">
        <v>1250</v>
      </c>
      <c r="B701" s="79" t="s">
        <v>1209</v>
      </c>
      <c r="C701" s="80" t="s">
        <v>95</v>
      </c>
      <c r="D701" s="81" t="s">
        <v>111</v>
      </c>
      <c r="E701" s="82">
        <v>5194</v>
      </c>
      <c r="F701" s="82">
        <v>429</v>
      </c>
      <c r="G701" s="82">
        <v>2753</v>
      </c>
      <c r="H701" s="83">
        <v>37.98272512919052</v>
      </c>
      <c r="I701" s="83">
        <v>11768.469078451995</v>
      </c>
      <c r="J701" s="83">
        <v>42.562127049570002</v>
      </c>
    </row>
    <row r="702" spans="1:10" ht="16">
      <c r="A702" s="79" t="s">
        <v>200</v>
      </c>
      <c r="B702" s="79" t="s">
        <v>201</v>
      </c>
      <c r="C702" s="80" t="s">
        <v>95</v>
      </c>
      <c r="D702" s="81" t="s">
        <v>78</v>
      </c>
      <c r="E702" s="82">
        <v>21988</v>
      </c>
      <c r="F702" s="82">
        <v>2364</v>
      </c>
      <c r="G702" s="82">
        <v>1319</v>
      </c>
      <c r="H702" s="83">
        <v>9.988760520868972</v>
      </c>
      <c r="I702" s="83">
        <v>1373.0599665579255</v>
      </c>
      <c r="J702" s="83">
        <v>20.886800461442228</v>
      </c>
    </row>
    <row r="703" spans="1:10" ht="16">
      <c r="A703" s="79" t="s">
        <v>1030</v>
      </c>
      <c r="B703" s="79" t="s">
        <v>1007</v>
      </c>
      <c r="C703" s="80" t="s">
        <v>126</v>
      </c>
      <c r="D703" s="81" t="s">
        <v>79</v>
      </c>
      <c r="E703" s="82">
        <v>9559</v>
      </c>
      <c r="F703" s="82">
        <v>417</v>
      </c>
      <c r="G703" s="82">
        <v>1051</v>
      </c>
      <c r="H703" s="83">
        <v>28.951191948372884</v>
      </c>
      <c r="I703" s="83">
        <v>6660.4320472418285</v>
      </c>
      <c r="J703" s="83">
        <v>25.383741781451491</v>
      </c>
    </row>
    <row r="704" spans="1:10" ht="16">
      <c r="A704" s="79" t="s">
        <v>378</v>
      </c>
      <c r="B704" s="79" t="s">
        <v>363</v>
      </c>
      <c r="C704" s="80" t="s">
        <v>95</v>
      </c>
      <c r="D704" s="81" t="s">
        <v>96</v>
      </c>
      <c r="E704" s="82">
        <v>52056</v>
      </c>
      <c r="F704" s="82">
        <v>1808</v>
      </c>
      <c r="G704" s="82">
        <v>1165</v>
      </c>
      <c r="H704" s="83">
        <v>7.6061536351026939</v>
      </c>
      <c r="I704" s="83">
        <v>2638.117252382413</v>
      </c>
      <c r="J704" s="83">
        <v>14.658840885080176</v>
      </c>
    </row>
    <row r="705" spans="1:10" ht="16">
      <c r="A705" s="79" t="s">
        <v>296</v>
      </c>
      <c r="B705" s="79" t="s">
        <v>242</v>
      </c>
      <c r="C705" s="80" t="s">
        <v>95</v>
      </c>
      <c r="D705" s="81" t="s">
        <v>76</v>
      </c>
      <c r="E705" s="82">
        <v>44835</v>
      </c>
      <c r="F705" s="82">
        <v>2734</v>
      </c>
      <c r="G705" s="82">
        <v>3138</v>
      </c>
      <c r="H705" s="83">
        <v>21.51416080180751</v>
      </c>
      <c r="I705" s="83">
        <v>14190.934694608173</v>
      </c>
      <c r="J705" s="83">
        <v>23.424336224092421</v>
      </c>
    </row>
    <row r="706" spans="1:10" ht="16">
      <c r="A706" s="79" t="s">
        <v>1031</v>
      </c>
      <c r="B706" s="79" t="s">
        <v>1007</v>
      </c>
      <c r="C706" s="80" t="s">
        <v>126</v>
      </c>
      <c r="D706" s="81" t="s">
        <v>75</v>
      </c>
      <c r="E706" s="82">
        <v>15516</v>
      </c>
      <c r="F706" s="82">
        <v>848</v>
      </c>
      <c r="G706" s="82">
        <v>931</v>
      </c>
      <c r="H706" s="83">
        <v>11.151985904169006</v>
      </c>
      <c r="I706" s="83">
        <v>1629.0187979922734</v>
      </c>
      <c r="J706" s="83">
        <v>21.48552785675836</v>
      </c>
    </row>
    <row r="707" spans="1:10" ht="16">
      <c r="A707" s="79" t="s">
        <v>733</v>
      </c>
      <c r="B707" s="79" t="s">
        <v>661</v>
      </c>
      <c r="C707" s="80" t="s">
        <v>95</v>
      </c>
      <c r="D707" s="81" t="s">
        <v>96</v>
      </c>
      <c r="E707" s="82">
        <v>13369</v>
      </c>
      <c r="F707" s="82">
        <v>552</v>
      </c>
      <c r="G707" s="82">
        <v>1203</v>
      </c>
      <c r="H707" s="83">
        <v>11.999238865172552</v>
      </c>
      <c r="I707" s="83">
        <v>1664.7385229469687</v>
      </c>
      <c r="J707" s="83">
        <v>22.181288816682908</v>
      </c>
    </row>
    <row r="708" spans="1:10" ht="16">
      <c r="A708" s="79" t="s">
        <v>407</v>
      </c>
      <c r="B708" s="79" t="s">
        <v>396</v>
      </c>
      <c r="C708" s="80" t="s">
        <v>95</v>
      </c>
      <c r="D708" s="81" t="s">
        <v>75</v>
      </c>
      <c r="E708" s="82">
        <v>43076</v>
      </c>
      <c r="F708" s="82">
        <v>3191</v>
      </c>
      <c r="G708" s="82">
        <v>8184</v>
      </c>
      <c r="H708" s="83">
        <v>50.614405489591185</v>
      </c>
      <c r="I708" s="83">
        <v>40505.286037236925</v>
      </c>
      <c r="J708" s="83">
        <v>62.815388471017663</v>
      </c>
    </row>
    <row r="709" spans="1:10" ht="16">
      <c r="A709" s="79" t="s">
        <v>297</v>
      </c>
      <c r="B709" s="79" t="s">
        <v>242</v>
      </c>
      <c r="C709" s="80" t="s">
        <v>126</v>
      </c>
      <c r="D709" s="81" t="s">
        <v>78</v>
      </c>
      <c r="E709" s="82">
        <v>41139</v>
      </c>
      <c r="F709" s="82">
        <v>2960</v>
      </c>
      <c r="G709" s="82">
        <v>2057</v>
      </c>
      <c r="H709" s="83">
        <v>29.293935121180105</v>
      </c>
      <c r="I709" s="83">
        <v>17847.67725804359</v>
      </c>
      <c r="J709" s="83">
        <v>24.711454139034963</v>
      </c>
    </row>
    <row r="710" spans="1:10" ht="16">
      <c r="A710" s="79" t="s">
        <v>968</v>
      </c>
      <c r="B710" s="79" t="s">
        <v>938</v>
      </c>
      <c r="C710" s="80" t="s">
        <v>126</v>
      </c>
      <c r="D710" s="81" t="s">
        <v>79</v>
      </c>
      <c r="E710" s="82">
        <v>28840</v>
      </c>
      <c r="F710" s="82">
        <v>1687</v>
      </c>
      <c r="G710" s="82">
        <v>1442</v>
      </c>
      <c r="H710" s="83">
        <v>11.149735547719683</v>
      </c>
      <c r="I710" s="83">
        <v>2194.8718392638184</v>
      </c>
      <c r="J710" s="83">
        <v>16.369429478302262</v>
      </c>
    </row>
    <row r="711" spans="1:10" ht="16">
      <c r="A711" s="79" t="s">
        <v>379</v>
      </c>
      <c r="B711" s="79" t="s">
        <v>363</v>
      </c>
      <c r="C711" s="80" t="s">
        <v>95</v>
      </c>
      <c r="D711" s="81" t="s">
        <v>78</v>
      </c>
      <c r="E711" s="82">
        <v>47488</v>
      </c>
      <c r="F711" s="82">
        <v>991</v>
      </c>
      <c r="G711" s="82">
        <v>950</v>
      </c>
      <c r="H711" s="83">
        <v>8.8254873150583464</v>
      </c>
      <c r="I711" s="83">
        <v>3023.9525897460489</v>
      </c>
      <c r="J711" s="83">
        <v>12.996523640683163</v>
      </c>
    </row>
    <row r="712" spans="1:10" ht="16">
      <c r="A712" s="79" t="s">
        <v>298</v>
      </c>
      <c r="B712" s="79" t="s">
        <v>242</v>
      </c>
      <c r="C712" s="80" t="s">
        <v>126</v>
      </c>
      <c r="D712" s="81" t="s">
        <v>99</v>
      </c>
      <c r="E712" s="82">
        <v>32951</v>
      </c>
      <c r="F712" s="82">
        <v>2841</v>
      </c>
      <c r="G712" s="82">
        <v>1648</v>
      </c>
      <c r="H712" s="83">
        <v>34.121359987280798</v>
      </c>
      <c r="I712" s="83">
        <v>14296.526218056706</v>
      </c>
      <c r="J712" s="83">
        <v>29.872805727701905</v>
      </c>
    </row>
    <row r="713" spans="1:10" ht="16">
      <c r="A713" s="79" t="s">
        <v>127</v>
      </c>
      <c r="B713" s="79" t="s">
        <v>108</v>
      </c>
      <c r="C713" s="80" t="s">
        <v>95</v>
      </c>
      <c r="D713" s="81" t="s">
        <v>96</v>
      </c>
      <c r="E713" s="82">
        <v>9064</v>
      </c>
      <c r="F713" s="82">
        <v>363</v>
      </c>
      <c r="G713" s="82">
        <v>2266</v>
      </c>
      <c r="H713" s="83">
        <v>22.196524225565319</v>
      </c>
      <c r="I713" s="83">
        <v>10699.000819212777</v>
      </c>
      <c r="J713" s="83">
        <v>18.627933510858185</v>
      </c>
    </row>
    <row r="714" spans="1:10" ht="16">
      <c r="A714" s="79" t="s">
        <v>969</v>
      </c>
      <c r="B714" s="79" t="s">
        <v>938</v>
      </c>
      <c r="C714" s="80" t="s">
        <v>95</v>
      </c>
      <c r="D714" s="81" t="s">
        <v>75</v>
      </c>
      <c r="E714" s="82">
        <v>19038</v>
      </c>
      <c r="F714" s="82">
        <v>2092</v>
      </c>
      <c r="G714" s="82">
        <v>1713</v>
      </c>
      <c r="H714" s="83">
        <v>10.579910156876887</v>
      </c>
      <c r="I714" s="83">
        <v>2060.8577065089871</v>
      </c>
      <c r="J714" s="83">
        <v>21.293373328814482</v>
      </c>
    </row>
    <row r="715" spans="1:10" ht="16">
      <c r="A715" s="79" t="s">
        <v>299</v>
      </c>
      <c r="B715" s="79" t="s">
        <v>242</v>
      </c>
      <c r="C715" s="80" t="s">
        <v>95</v>
      </c>
      <c r="D715" s="81" t="s">
        <v>78</v>
      </c>
      <c r="E715" s="82">
        <v>19306</v>
      </c>
      <c r="F715" s="82">
        <v>2925</v>
      </c>
      <c r="G715" s="82">
        <v>1351</v>
      </c>
      <c r="H715" s="83">
        <v>12.259867487326298</v>
      </c>
      <c r="I715" s="83">
        <v>3060.6355866858926</v>
      </c>
      <c r="J715" s="83">
        <v>27.343156984533842</v>
      </c>
    </row>
    <row r="716" spans="1:10" ht="16">
      <c r="A716" s="79" t="s">
        <v>300</v>
      </c>
      <c r="B716" s="79" t="s">
        <v>242</v>
      </c>
      <c r="C716" s="80" t="s">
        <v>126</v>
      </c>
      <c r="D716" s="81" t="s">
        <v>96</v>
      </c>
      <c r="E716" s="82">
        <v>3198</v>
      </c>
      <c r="F716" s="82">
        <v>337</v>
      </c>
      <c r="G716" s="82">
        <v>220</v>
      </c>
      <c r="H716" s="83">
        <v>23.596314493553812</v>
      </c>
      <c r="I716" s="83">
        <v>20118.528984024826</v>
      </c>
      <c r="J716" s="83">
        <v>24.706742440960355</v>
      </c>
    </row>
    <row r="717" spans="1:10" ht="16">
      <c r="A717" s="79" t="s">
        <v>301</v>
      </c>
      <c r="B717" s="79" t="s">
        <v>242</v>
      </c>
      <c r="C717" s="80" t="s">
        <v>126</v>
      </c>
      <c r="D717" s="81" t="s">
        <v>75</v>
      </c>
      <c r="E717" s="82">
        <v>38059</v>
      </c>
      <c r="F717" s="82">
        <v>2394</v>
      </c>
      <c r="G717" s="82">
        <v>761</v>
      </c>
      <c r="H717" s="83">
        <v>17.575483170059268</v>
      </c>
      <c r="I717" s="83">
        <v>3459.325415151849</v>
      </c>
      <c r="J717" s="83">
        <v>18.190477163798498</v>
      </c>
    </row>
    <row r="718" spans="1:10" ht="16">
      <c r="A718" s="79" t="s">
        <v>302</v>
      </c>
      <c r="B718" s="79" t="s">
        <v>242</v>
      </c>
      <c r="C718" s="80" t="s">
        <v>95</v>
      </c>
      <c r="D718" s="81" t="s">
        <v>96</v>
      </c>
      <c r="E718" s="82">
        <v>22283</v>
      </c>
      <c r="F718" s="82">
        <v>1401</v>
      </c>
      <c r="G718" s="82">
        <v>446</v>
      </c>
      <c r="H718" s="83">
        <v>11.729492021174631</v>
      </c>
      <c r="I718" s="83">
        <v>5613.6082377295897</v>
      </c>
      <c r="J718" s="83">
        <v>18.784161961008522</v>
      </c>
    </row>
    <row r="719" spans="1:10" ht="16">
      <c r="A719" s="79" t="s">
        <v>539</v>
      </c>
      <c r="B719" s="79" t="s">
        <v>493</v>
      </c>
      <c r="C719" s="80" t="s">
        <v>126</v>
      </c>
      <c r="D719" s="81" t="s">
        <v>75</v>
      </c>
      <c r="E719" s="82">
        <v>7832</v>
      </c>
      <c r="F719" s="82">
        <v>505</v>
      </c>
      <c r="G719" s="82">
        <v>175</v>
      </c>
      <c r="H719" s="83">
        <v>10.847871917271833</v>
      </c>
      <c r="I719" s="83">
        <v>3287.2900713602812</v>
      </c>
      <c r="J719" s="83">
        <v>37.967575483465886</v>
      </c>
    </row>
    <row r="720" spans="1:10" ht="16">
      <c r="A720" s="79" t="s">
        <v>1150</v>
      </c>
      <c r="B720" s="79" t="s">
        <v>1139</v>
      </c>
      <c r="C720" s="80" t="s">
        <v>95</v>
      </c>
      <c r="D720" s="81" t="s">
        <v>101</v>
      </c>
      <c r="E720" s="82">
        <v>22247</v>
      </c>
      <c r="F720" s="82">
        <v>1279</v>
      </c>
      <c r="G720" s="82">
        <v>2112</v>
      </c>
      <c r="H720" s="83">
        <v>8.8719063389816313</v>
      </c>
      <c r="I720" s="83">
        <v>1068.4961226685527</v>
      </c>
      <c r="J720" s="83">
        <v>20.802251126031994</v>
      </c>
    </row>
    <row r="721" spans="1:10" ht="16">
      <c r="A721" s="79" t="s">
        <v>540</v>
      </c>
      <c r="B721" s="79" t="s">
        <v>493</v>
      </c>
      <c r="C721" s="80" t="s">
        <v>126</v>
      </c>
      <c r="D721" s="81" t="s">
        <v>149</v>
      </c>
      <c r="E721" s="82">
        <v>51031</v>
      </c>
      <c r="F721" s="82">
        <v>3271</v>
      </c>
      <c r="G721" s="82">
        <v>1021</v>
      </c>
      <c r="H721" s="83">
        <v>8.4966959997115179</v>
      </c>
      <c r="I721" s="83">
        <v>1501.8156334555258</v>
      </c>
      <c r="J721" s="83">
        <v>17.222561342986996</v>
      </c>
    </row>
    <row r="722" spans="1:10" ht="16">
      <c r="A722" s="79" t="s">
        <v>734</v>
      </c>
      <c r="B722" s="79" t="s">
        <v>661</v>
      </c>
      <c r="C722" s="80" t="s">
        <v>126</v>
      </c>
      <c r="D722" s="81" t="s">
        <v>77</v>
      </c>
      <c r="E722" s="82">
        <v>846</v>
      </c>
      <c r="F722" s="82">
        <v>846</v>
      </c>
      <c r="G722" s="82">
        <v>8</v>
      </c>
      <c r="H722" s="83">
        <v>8.572437772795702</v>
      </c>
      <c r="I722" s="83">
        <v>2933.3871423882065</v>
      </c>
      <c r="J722" s="83">
        <v>27.390605635821725</v>
      </c>
    </row>
    <row r="723" spans="1:10" ht="16">
      <c r="A723" s="79" t="s">
        <v>970</v>
      </c>
      <c r="B723" s="79" t="s">
        <v>938</v>
      </c>
      <c r="C723" s="80" t="s">
        <v>126</v>
      </c>
      <c r="D723" s="81" t="s">
        <v>149</v>
      </c>
      <c r="E723" s="82">
        <v>8021</v>
      </c>
      <c r="F723" s="82">
        <v>642</v>
      </c>
      <c r="G723" s="82">
        <v>1444</v>
      </c>
      <c r="H723" s="83">
        <v>13.628670361075008</v>
      </c>
      <c r="I723" s="83">
        <v>2679.7599489469994</v>
      </c>
      <c r="J723" s="83">
        <v>19.893845053981568</v>
      </c>
    </row>
    <row r="724" spans="1:10" ht="16">
      <c r="A724" s="79" t="s">
        <v>1251</v>
      </c>
      <c r="B724" s="79" t="s">
        <v>1209</v>
      </c>
      <c r="C724" s="80" t="s">
        <v>126</v>
      </c>
      <c r="D724" s="81" t="s">
        <v>78</v>
      </c>
      <c r="E724" s="82">
        <v>8558</v>
      </c>
      <c r="F724" s="82">
        <v>578</v>
      </c>
      <c r="G724" s="82">
        <v>1027</v>
      </c>
      <c r="H724" s="83">
        <v>10.1928540455507</v>
      </c>
      <c r="I724" s="83">
        <v>4227.0094652856915</v>
      </c>
      <c r="J724" s="83">
        <v>17.470196643963607</v>
      </c>
    </row>
    <row r="725" spans="1:10" ht="16">
      <c r="A725" s="79" t="s">
        <v>1383</v>
      </c>
      <c r="B725" s="79" t="s">
        <v>1307</v>
      </c>
      <c r="C725" s="80" t="s">
        <v>126</v>
      </c>
      <c r="D725" s="81" t="s">
        <v>101</v>
      </c>
      <c r="E725" s="82">
        <v>16135</v>
      </c>
      <c r="F725" s="82">
        <v>2210</v>
      </c>
      <c r="G725" s="82">
        <v>3711</v>
      </c>
      <c r="H725" s="83">
        <v>97.077890787185908</v>
      </c>
      <c r="I725" s="83">
        <v>96370.706382135992</v>
      </c>
      <c r="J725" s="83">
        <v>93.138621770481237</v>
      </c>
    </row>
    <row r="726" spans="1:10" ht="16">
      <c r="A726" s="79" t="s">
        <v>1384</v>
      </c>
      <c r="B726" s="79" t="s">
        <v>1307</v>
      </c>
      <c r="C726" s="80" t="s">
        <v>95</v>
      </c>
      <c r="D726" s="81" t="s">
        <v>101</v>
      </c>
      <c r="E726" s="82">
        <v>15947</v>
      </c>
      <c r="F726" s="82">
        <v>961</v>
      </c>
      <c r="G726" s="82">
        <v>1595</v>
      </c>
      <c r="H726" s="83">
        <v>35.8036244110857</v>
      </c>
      <c r="I726" s="83">
        <v>25818.957330198966</v>
      </c>
      <c r="J726" s="83">
        <v>24.542390063428332</v>
      </c>
    </row>
    <row r="727" spans="1:10" ht="16">
      <c r="A727" s="79" t="s">
        <v>192</v>
      </c>
      <c r="B727" s="79" t="s">
        <v>169</v>
      </c>
      <c r="C727" s="80" t="s">
        <v>95</v>
      </c>
      <c r="D727" s="81" t="s">
        <v>77</v>
      </c>
      <c r="E727" s="82">
        <v>11911</v>
      </c>
      <c r="F727" s="82">
        <v>953</v>
      </c>
      <c r="G727" s="82">
        <v>820</v>
      </c>
      <c r="H727" s="83">
        <v>8.7042653552139875</v>
      </c>
      <c r="I727" s="83">
        <v>2262.7885540384054</v>
      </c>
      <c r="J727" s="83">
        <v>17.74096916776324</v>
      </c>
    </row>
    <row r="728" spans="1:10" ht="16">
      <c r="A728" s="79" t="s">
        <v>193</v>
      </c>
      <c r="B728" s="79" t="s">
        <v>169</v>
      </c>
      <c r="C728" s="80" t="s">
        <v>95</v>
      </c>
      <c r="D728" s="81" t="s">
        <v>111</v>
      </c>
      <c r="E728" s="82">
        <v>3954</v>
      </c>
      <c r="F728" s="82">
        <v>841</v>
      </c>
      <c r="G728" s="82">
        <v>272</v>
      </c>
      <c r="H728" s="83">
        <v>8.1482526721802415</v>
      </c>
      <c r="I728" s="83">
        <v>648.69564717492494</v>
      </c>
      <c r="J728" s="83">
        <v>28.293506817106032</v>
      </c>
    </row>
    <row r="729" spans="1:10" ht="16">
      <c r="A729" s="79" t="s">
        <v>997</v>
      </c>
      <c r="B729" s="79" t="s">
        <v>996</v>
      </c>
      <c r="C729" s="80" t="s">
        <v>95</v>
      </c>
      <c r="D729" s="81" t="s">
        <v>99</v>
      </c>
      <c r="E729" s="82">
        <v>24308</v>
      </c>
      <c r="F729" s="82">
        <v>931</v>
      </c>
      <c r="G729" s="82">
        <v>1945</v>
      </c>
      <c r="H729" s="83">
        <v>34.975042740794919</v>
      </c>
      <c r="I729" s="83">
        <v>25813.72176731774</v>
      </c>
      <c r="J729" s="83">
        <v>29.988082274355321</v>
      </c>
    </row>
    <row r="730" spans="1:10" ht="16">
      <c r="A730" s="79" t="s">
        <v>1385</v>
      </c>
      <c r="B730" s="79" t="s">
        <v>1307</v>
      </c>
      <c r="C730" s="80" t="s">
        <v>126</v>
      </c>
      <c r="D730" s="81" t="s">
        <v>75</v>
      </c>
      <c r="E730" s="82">
        <v>5943</v>
      </c>
      <c r="F730" s="82">
        <v>356</v>
      </c>
      <c r="G730" s="82">
        <v>2258</v>
      </c>
      <c r="H730" s="83">
        <v>16.312861237209653</v>
      </c>
      <c r="I730" s="83">
        <v>9253.5691785276376</v>
      </c>
      <c r="J730" s="83">
        <v>22.825361011362325</v>
      </c>
    </row>
    <row r="731" spans="1:10" ht="16">
      <c r="A731" s="79" t="s">
        <v>1086</v>
      </c>
      <c r="B731" s="79" t="s">
        <v>1081</v>
      </c>
      <c r="C731" s="80" t="s">
        <v>126</v>
      </c>
      <c r="D731" s="81" t="s">
        <v>75</v>
      </c>
      <c r="E731" s="82">
        <v>27185</v>
      </c>
      <c r="F731" s="82">
        <v>1394</v>
      </c>
      <c r="G731" s="82">
        <v>3806</v>
      </c>
      <c r="H731" s="83">
        <v>47.372698108372163</v>
      </c>
      <c r="I731" s="83">
        <v>39462.964370633767</v>
      </c>
      <c r="J731" s="83">
        <v>30.014515539086421</v>
      </c>
    </row>
    <row r="732" spans="1:10" ht="16">
      <c r="A732" s="79" t="s">
        <v>1386</v>
      </c>
      <c r="B732" s="79" t="s">
        <v>1307</v>
      </c>
      <c r="C732" s="80" t="s">
        <v>126</v>
      </c>
      <c r="D732" s="81" t="s">
        <v>111</v>
      </c>
      <c r="E732" s="82">
        <v>24201</v>
      </c>
      <c r="F732" s="82">
        <v>2305</v>
      </c>
      <c r="G732" s="82">
        <v>5566</v>
      </c>
      <c r="H732" s="83">
        <v>24.286039057283567</v>
      </c>
      <c r="I732" s="83">
        <v>18125.160787340297</v>
      </c>
      <c r="J732" s="83">
        <v>35.161672375811406</v>
      </c>
    </row>
    <row r="733" spans="1:10" ht="16">
      <c r="A733" s="79" t="s">
        <v>380</v>
      </c>
      <c r="B733" s="79" t="s">
        <v>363</v>
      </c>
      <c r="C733" s="80" t="s">
        <v>95</v>
      </c>
      <c r="D733" s="81" t="s">
        <v>77</v>
      </c>
      <c r="E733" s="82">
        <v>35363</v>
      </c>
      <c r="F733" s="82">
        <v>3274</v>
      </c>
      <c r="G733" s="82">
        <v>354</v>
      </c>
      <c r="H733" s="83">
        <v>8.8912560749457583</v>
      </c>
      <c r="I733" s="83">
        <v>7222.248387163042</v>
      </c>
      <c r="J733" s="83">
        <v>20.075503486551565</v>
      </c>
    </row>
    <row r="734" spans="1:10" ht="16">
      <c r="A734" s="79" t="s">
        <v>874</v>
      </c>
      <c r="B734" s="79" t="s">
        <v>875</v>
      </c>
      <c r="C734" s="80" t="s">
        <v>126</v>
      </c>
      <c r="D734" s="81" t="s">
        <v>103</v>
      </c>
      <c r="E734" s="82">
        <v>6823</v>
      </c>
      <c r="F734" s="82">
        <v>922</v>
      </c>
      <c r="G734" s="82">
        <v>273</v>
      </c>
      <c r="H734" s="83">
        <v>10.934541570744537</v>
      </c>
      <c r="I734" s="83">
        <v>2025.5035451448625</v>
      </c>
      <c r="J734" s="83">
        <v>24.053688831918215</v>
      </c>
    </row>
    <row r="735" spans="1:10" ht="16">
      <c r="A735" s="79" t="s">
        <v>1200</v>
      </c>
      <c r="B735" s="79" t="s">
        <v>1197</v>
      </c>
      <c r="C735" s="80" t="s">
        <v>126</v>
      </c>
      <c r="D735" s="81" t="s">
        <v>75</v>
      </c>
      <c r="E735" s="82">
        <v>9293</v>
      </c>
      <c r="F735" s="82">
        <v>894</v>
      </c>
      <c r="G735" s="82">
        <v>1208</v>
      </c>
      <c r="H735" s="83">
        <v>10.687147816494175</v>
      </c>
      <c r="I735" s="83">
        <v>1337.1829654118194</v>
      </c>
      <c r="J735" s="83">
        <v>20.158415143153182</v>
      </c>
    </row>
    <row r="736" spans="1:10" ht="16">
      <c r="A736" s="79" t="s">
        <v>303</v>
      </c>
      <c r="B736" s="79" t="s">
        <v>242</v>
      </c>
      <c r="C736" s="80" t="s">
        <v>95</v>
      </c>
      <c r="D736" s="81" t="s">
        <v>101</v>
      </c>
      <c r="E736" s="82">
        <v>53603</v>
      </c>
      <c r="F736" s="82">
        <v>3229</v>
      </c>
      <c r="G736" s="82">
        <v>4824</v>
      </c>
      <c r="H736" s="83">
        <v>36.528691040719124</v>
      </c>
      <c r="I736" s="83">
        <v>22780.889571013802</v>
      </c>
      <c r="J736" s="83">
        <v>44.173501861441835</v>
      </c>
    </row>
    <row r="737" spans="1:10" ht="16">
      <c r="A737" s="79" t="s">
        <v>1032</v>
      </c>
      <c r="B737" s="79" t="s">
        <v>1007</v>
      </c>
      <c r="C737" s="80" t="s">
        <v>126</v>
      </c>
      <c r="D737" s="81" t="s">
        <v>101</v>
      </c>
      <c r="E737" s="82">
        <v>23342</v>
      </c>
      <c r="F737" s="82">
        <v>1197</v>
      </c>
      <c r="G737" s="82">
        <v>3501</v>
      </c>
      <c r="H737" s="83">
        <v>62.16808837475957</v>
      </c>
      <c r="I737" s="83">
        <v>43054.798301190436</v>
      </c>
      <c r="J737" s="83">
        <v>58.172511080862733</v>
      </c>
    </row>
    <row r="738" spans="1:10" ht="16">
      <c r="A738" s="79" t="s">
        <v>1151</v>
      </c>
      <c r="B738" s="79" t="s">
        <v>1139</v>
      </c>
      <c r="C738" s="80" t="s">
        <v>95</v>
      </c>
      <c r="D738" s="81" t="s">
        <v>101</v>
      </c>
      <c r="E738" s="82">
        <v>15901</v>
      </c>
      <c r="F738" s="82">
        <v>466</v>
      </c>
      <c r="G738" s="82">
        <v>159</v>
      </c>
      <c r="H738" s="83">
        <v>12.993516269634073</v>
      </c>
      <c r="I738" s="83">
        <v>3336.2067346272624</v>
      </c>
      <c r="J738" s="83">
        <v>20.418703706285495</v>
      </c>
    </row>
    <row r="739" spans="1:10" ht="16">
      <c r="A739" s="79" t="s">
        <v>1252</v>
      </c>
      <c r="B739" s="79" t="s">
        <v>1209</v>
      </c>
      <c r="C739" s="80" t="s">
        <v>126</v>
      </c>
      <c r="D739" s="81" t="s">
        <v>103</v>
      </c>
      <c r="E739" s="82">
        <v>16445</v>
      </c>
      <c r="F739" s="82">
        <v>985</v>
      </c>
      <c r="G739" s="82">
        <v>3782</v>
      </c>
      <c r="H739" s="83">
        <v>24.79854261764665</v>
      </c>
      <c r="I739" s="83">
        <v>22520.037290252782</v>
      </c>
      <c r="J739" s="83">
        <v>22.199428347746313</v>
      </c>
    </row>
    <row r="740" spans="1:10" ht="16">
      <c r="A740" s="79" t="s">
        <v>1087</v>
      </c>
      <c r="B740" s="79" t="s">
        <v>1081</v>
      </c>
      <c r="C740" s="80" t="s">
        <v>95</v>
      </c>
      <c r="D740" s="81" t="s">
        <v>79</v>
      </c>
      <c r="E740" s="82">
        <v>3737</v>
      </c>
      <c r="F740" s="82">
        <v>830</v>
      </c>
      <c r="G740" s="82">
        <v>149</v>
      </c>
      <c r="H740" s="83">
        <v>30.244199659414747</v>
      </c>
      <c r="I740" s="83">
        <v>21713.019748682433</v>
      </c>
      <c r="J740" s="83">
        <v>31.863185595451714</v>
      </c>
    </row>
    <row r="741" spans="1:10" ht="16">
      <c r="A741" s="79" t="s">
        <v>128</v>
      </c>
      <c r="B741" s="79" t="s">
        <v>108</v>
      </c>
      <c r="C741" s="80" t="s">
        <v>126</v>
      </c>
      <c r="D741" s="81" t="s">
        <v>103</v>
      </c>
      <c r="E741" s="82">
        <v>14379</v>
      </c>
      <c r="F741" s="82">
        <v>515</v>
      </c>
      <c r="G741" s="82">
        <v>3882</v>
      </c>
      <c r="H741" s="83">
        <v>29.448767766754255</v>
      </c>
      <c r="I741" s="83">
        <v>19245.272021880945</v>
      </c>
      <c r="J741" s="83">
        <v>24.746421837411113</v>
      </c>
    </row>
    <row r="742" spans="1:10" ht="16">
      <c r="A742" s="79" t="s">
        <v>905</v>
      </c>
      <c r="B742" s="79" t="s">
        <v>898</v>
      </c>
      <c r="C742" s="80" t="s">
        <v>95</v>
      </c>
      <c r="D742" s="81" t="s">
        <v>101</v>
      </c>
      <c r="E742" s="82">
        <v>13561</v>
      </c>
      <c r="F742" s="82">
        <v>384</v>
      </c>
      <c r="G742" s="82">
        <v>1220</v>
      </c>
      <c r="H742" s="83">
        <v>13.04768588025517</v>
      </c>
      <c r="I742" s="83">
        <v>2599.8338061608442</v>
      </c>
      <c r="J742" s="83">
        <v>15.179156072290123</v>
      </c>
    </row>
    <row r="743" spans="1:10" ht="16">
      <c r="A743" s="79" t="s">
        <v>1387</v>
      </c>
      <c r="B743" s="79" t="s">
        <v>1307</v>
      </c>
      <c r="C743" s="80" t="s">
        <v>95</v>
      </c>
      <c r="D743" s="81" t="s">
        <v>101</v>
      </c>
      <c r="E743" s="82">
        <v>20236</v>
      </c>
      <c r="F743" s="82">
        <v>1289</v>
      </c>
      <c r="G743" s="82">
        <v>4047</v>
      </c>
      <c r="H743" s="83">
        <v>30.538226887927507</v>
      </c>
      <c r="I743" s="83">
        <v>23167.358340014718</v>
      </c>
      <c r="J743" s="83">
        <v>35.736093739587275</v>
      </c>
    </row>
    <row r="744" spans="1:10" ht="16">
      <c r="A744" s="79" t="s">
        <v>582</v>
      </c>
      <c r="B744" s="79" t="s">
        <v>556</v>
      </c>
      <c r="C744" s="80" t="s">
        <v>126</v>
      </c>
      <c r="D744" s="81" t="s">
        <v>78</v>
      </c>
      <c r="E744" s="82">
        <v>8047</v>
      </c>
      <c r="F744" s="82">
        <v>847</v>
      </c>
      <c r="G744" s="82">
        <v>370</v>
      </c>
      <c r="H744" s="83">
        <v>12.914510836042057</v>
      </c>
      <c r="I744" s="83">
        <v>4426.7107806987788</v>
      </c>
      <c r="J744" s="83">
        <v>45.100315214267575</v>
      </c>
    </row>
    <row r="745" spans="1:10" ht="16">
      <c r="A745" s="79" t="s">
        <v>1131</v>
      </c>
      <c r="B745" s="79" t="s">
        <v>1100</v>
      </c>
      <c r="C745" s="80" t="s">
        <v>95</v>
      </c>
      <c r="D745" s="81" t="s">
        <v>96</v>
      </c>
      <c r="E745" s="82">
        <v>5973</v>
      </c>
      <c r="F745" s="82">
        <v>586</v>
      </c>
      <c r="G745" s="82">
        <v>597</v>
      </c>
      <c r="H745" s="83">
        <v>32.57636451734038</v>
      </c>
      <c r="I745" s="83">
        <v>21602.990135409407</v>
      </c>
      <c r="J745" s="83">
        <v>28.906221391075821</v>
      </c>
    </row>
    <row r="746" spans="1:10" ht="16">
      <c r="A746" s="79" t="s">
        <v>383</v>
      </c>
      <c r="B746" s="79" t="s">
        <v>384</v>
      </c>
      <c r="C746" s="80" t="s">
        <v>95</v>
      </c>
      <c r="D746" s="81" t="s">
        <v>76</v>
      </c>
      <c r="E746" s="82">
        <v>7681</v>
      </c>
      <c r="F746" s="82">
        <v>282</v>
      </c>
      <c r="G746" s="82">
        <v>922</v>
      </c>
      <c r="H746" s="83">
        <v>21.001837197716913</v>
      </c>
      <c r="I746" s="83">
        <v>5936.7368791381305</v>
      </c>
      <c r="J746" s="83">
        <v>17.610874517128362</v>
      </c>
    </row>
    <row r="747" spans="1:10" ht="16">
      <c r="A747" s="79" t="s">
        <v>385</v>
      </c>
      <c r="B747" s="79" t="s">
        <v>384</v>
      </c>
      <c r="C747" s="80" t="s">
        <v>126</v>
      </c>
      <c r="D747" s="81" t="s">
        <v>101</v>
      </c>
      <c r="E747" s="82">
        <v>9895</v>
      </c>
      <c r="F747" s="82">
        <v>454</v>
      </c>
      <c r="G747" s="82">
        <v>1385</v>
      </c>
      <c r="H747" s="83">
        <v>14.032780696770335</v>
      </c>
      <c r="I747" s="83">
        <v>3674.825601634343</v>
      </c>
      <c r="J747" s="83">
        <v>18.092214846944987</v>
      </c>
    </row>
    <row r="748" spans="1:10" ht="16">
      <c r="A748" s="79" t="s">
        <v>541</v>
      </c>
      <c r="B748" s="79" t="s">
        <v>493</v>
      </c>
      <c r="C748" s="80" t="s">
        <v>95</v>
      </c>
      <c r="D748" s="81" t="s">
        <v>79</v>
      </c>
      <c r="E748" s="82">
        <v>6279</v>
      </c>
      <c r="F748" s="82">
        <v>826</v>
      </c>
      <c r="G748" s="82">
        <v>141</v>
      </c>
      <c r="H748" s="83">
        <v>9.4272622125891097</v>
      </c>
      <c r="I748" s="83">
        <v>243.40075813809011</v>
      </c>
      <c r="J748" s="83">
        <v>23.800401348723032</v>
      </c>
    </row>
    <row r="749" spans="1:10" ht="16">
      <c r="A749" s="79" t="s">
        <v>1132</v>
      </c>
      <c r="B749" s="79" t="s">
        <v>1100</v>
      </c>
      <c r="C749" s="80" t="s">
        <v>126</v>
      </c>
      <c r="D749" s="81" t="s">
        <v>101</v>
      </c>
      <c r="E749" s="82">
        <v>26032</v>
      </c>
      <c r="F749" s="82">
        <v>1054</v>
      </c>
      <c r="G749" s="82">
        <v>2083</v>
      </c>
      <c r="H749" s="83">
        <v>13.673615379571817</v>
      </c>
      <c r="I749" s="83">
        <v>1666.3353857479055</v>
      </c>
      <c r="J749" s="83">
        <v>16.819677433176366</v>
      </c>
    </row>
    <row r="750" spans="1:10" ht="16">
      <c r="A750" s="79" t="s">
        <v>390</v>
      </c>
      <c r="B750" s="79" t="s">
        <v>388</v>
      </c>
      <c r="C750" s="80" t="s">
        <v>95</v>
      </c>
      <c r="D750" s="81" t="s">
        <v>79</v>
      </c>
      <c r="E750" s="82">
        <v>15149</v>
      </c>
      <c r="F750" s="82">
        <v>695</v>
      </c>
      <c r="G750" s="82">
        <v>909</v>
      </c>
      <c r="H750" s="83">
        <v>34.725838196059833</v>
      </c>
      <c r="I750" s="83">
        <v>28458.166025976418</v>
      </c>
      <c r="J750" s="83">
        <v>26.965349714088234</v>
      </c>
    </row>
    <row r="751" spans="1:10" ht="16">
      <c r="A751" s="79" t="s">
        <v>381</v>
      </c>
      <c r="B751" s="79" t="s">
        <v>363</v>
      </c>
      <c r="C751" s="80" t="s">
        <v>95</v>
      </c>
      <c r="D751" s="81" t="s">
        <v>101</v>
      </c>
      <c r="E751" s="82">
        <v>128995</v>
      </c>
      <c r="F751" s="82">
        <v>5466</v>
      </c>
      <c r="G751" s="82">
        <v>1290</v>
      </c>
      <c r="H751" s="83">
        <v>7.4052041111330125</v>
      </c>
      <c r="I751" s="83">
        <v>2567.9228080078919</v>
      </c>
      <c r="J751" s="83">
        <v>20.897120093833301</v>
      </c>
    </row>
    <row r="752" spans="1:10" ht="16">
      <c r="A752" s="79" t="s">
        <v>1201</v>
      </c>
      <c r="B752" s="79" t="s">
        <v>1197</v>
      </c>
      <c r="C752" s="80" t="s">
        <v>95</v>
      </c>
      <c r="D752" s="81" t="s">
        <v>76</v>
      </c>
      <c r="E752" s="82">
        <v>23229</v>
      </c>
      <c r="F752" s="82">
        <v>2640</v>
      </c>
      <c r="G752" s="82">
        <v>697</v>
      </c>
      <c r="H752" s="83">
        <v>10.580867679041175</v>
      </c>
      <c r="I752" s="83">
        <v>821.21587808758886</v>
      </c>
      <c r="J752" s="83">
        <v>23.676152699320749</v>
      </c>
    </row>
    <row r="753" spans="1:10" ht="16">
      <c r="A753" s="79" t="s">
        <v>437</v>
      </c>
      <c r="B753" s="79" t="s">
        <v>421</v>
      </c>
      <c r="C753" s="80" t="s">
        <v>126</v>
      </c>
      <c r="D753" s="81" t="s">
        <v>101</v>
      </c>
      <c r="E753" s="82">
        <v>22622</v>
      </c>
      <c r="F753" s="82">
        <v>373</v>
      </c>
      <c r="G753" s="82">
        <v>5429</v>
      </c>
      <c r="H753" s="83">
        <v>54.076313354839648</v>
      </c>
      <c r="I753" s="83">
        <v>33640.212767164761</v>
      </c>
      <c r="J753" s="83">
        <v>50.416814127316542</v>
      </c>
    </row>
    <row r="754" spans="1:10" ht="16">
      <c r="A754" s="79" t="s">
        <v>934</v>
      </c>
      <c r="B754" s="79" t="s">
        <v>928</v>
      </c>
      <c r="C754" s="80" t="s">
        <v>126</v>
      </c>
      <c r="D754" s="81" t="s">
        <v>75</v>
      </c>
      <c r="E754" s="82">
        <v>19745</v>
      </c>
      <c r="F754" s="82">
        <v>1103</v>
      </c>
      <c r="G754" s="82">
        <v>197</v>
      </c>
      <c r="H754" s="83">
        <v>9.9806951678455391</v>
      </c>
      <c r="I754" s="83">
        <v>1680.7727327464656</v>
      </c>
      <c r="J754" s="83">
        <v>15.36550795259314</v>
      </c>
    </row>
    <row r="755" spans="1:10" ht="16">
      <c r="A755" s="79" t="s">
        <v>438</v>
      </c>
      <c r="B755" s="79" t="s">
        <v>421</v>
      </c>
      <c r="C755" s="80" t="s">
        <v>126</v>
      </c>
      <c r="D755" s="81" t="s">
        <v>77</v>
      </c>
      <c r="E755" s="82">
        <v>18166</v>
      </c>
      <c r="F755" s="82">
        <v>445</v>
      </c>
      <c r="G755" s="82">
        <v>3088</v>
      </c>
      <c r="H755" s="83">
        <v>44.295487845869182</v>
      </c>
      <c r="I755" s="83">
        <v>22294.543523528289</v>
      </c>
      <c r="J755" s="83">
        <v>43.046600305562464</v>
      </c>
    </row>
    <row r="756" spans="1:10" ht="16">
      <c r="A756" s="79" t="s">
        <v>359</v>
      </c>
      <c r="B756" s="79" t="s">
        <v>355</v>
      </c>
      <c r="C756" s="80" t="s">
        <v>126</v>
      </c>
      <c r="D756" s="81" t="s">
        <v>101</v>
      </c>
      <c r="E756" s="82">
        <v>9265</v>
      </c>
      <c r="F756" s="82">
        <v>1404</v>
      </c>
      <c r="G756" s="82">
        <v>2316</v>
      </c>
      <c r="H756" s="83">
        <v>41.003846915198935</v>
      </c>
      <c r="I756" s="83">
        <v>29720.358486989266</v>
      </c>
      <c r="J756" s="83">
        <v>39.538997249468942</v>
      </c>
    </row>
    <row r="757" spans="1:10" ht="16">
      <c r="A757" s="79" t="s">
        <v>347</v>
      </c>
      <c r="B757" s="79" t="s">
        <v>341</v>
      </c>
      <c r="C757" s="80" t="s">
        <v>95</v>
      </c>
      <c r="D757" s="81" t="s">
        <v>103</v>
      </c>
      <c r="E757" s="82">
        <v>5321</v>
      </c>
      <c r="F757" s="82">
        <v>560</v>
      </c>
      <c r="G757" s="82">
        <v>639</v>
      </c>
      <c r="H757" s="83">
        <v>12.408388613441723</v>
      </c>
      <c r="I757" s="83">
        <v>702.7770770899233</v>
      </c>
      <c r="J757" s="83">
        <v>20.330985936895342</v>
      </c>
    </row>
    <row r="758" spans="1:10" ht="16">
      <c r="A758" s="79" t="s">
        <v>1050</v>
      </c>
      <c r="B758" s="79" t="s">
        <v>1039</v>
      </c>
      <c r="C758" s="80" t="s">
        <v>126</v>
      </c>
      <c r="D758" s="81" t="s">
        <v>103</v>
      </c>
      <c r="E758" s="82">
        <v>40592</v>
      </c>
      <c r="F758" s="82">
        <v>2899</v>
      </c>
      <c r="G758" s="82">
        <v>5277</v>
      </c>
      <c r="H758" s="83">
        <v>15.096912260398142</v>
      </c>
      <c r="I758" s="83">
        <v>5641.2938945670148</v>
      </c>
      <c r="J758" s="83">
        <v>22.974105203594362</v>
      </c>
    </row>
    <row r="759" spans="1:10" ht="16">
      <c r="A759" s="79" t="s">
        <v>439</v>
      </c>
      <c r="B759" s="79" t="s">
        <v>421</v>
      </c>
      <c r="C759" s="80" t="s">
        <v>126</v>
      </c>
      <c r="D759" s="81" t="s">
        <v>101</v>
      </c>
      <c r="E759" s="82">
        <v>40472</v>
      </c>
      <c r="F759" s="82">
        <v>847</v>
      </c>
      <c r="G759" s="82">
        <v>10927</v>
      </c>
      <c r="H759" s="83">
        <v>71.154806671527297</v>
      </c>
      <c r="I759" s="83">
        <v>60212.268838714641</v>
      </c>
      <c r="J759" s="83">
        <v>65.116671552662879</v>
      </c>
    </row>
    <row r="760" spans="1:10" ht="16">
      <c r="A760" s="79" t="s">
        <v>613</v>
      </c>
      <c r="B760" s="79" t="s">
        <v>610</v>
      </c>
      <c r="C760" s="80" t="s">
        <v>126</v>
      </c>
      <c r="D760" s="81" t="s">
        <v>103</v>
      </c>
      <c r="E760" s="82">
        <v>14703</v>
      </c>
      <c r="F760" s="82">
        <v>674</v>
      </c>
      <c r="G760" s="82">
        <v>735</v>
      </c>
      <c r="H760" s="83">
        <v>31.684661228942442</v>
      </c>
      <c r="I760" s="83">
        <v>17930.185860622179</v>
      </c>
      <c r="J760" s="83">
        <v>33.231984473239187</v>
      </c>
    </row>
    <row r="761" spans="1:10" ht="16">
      <c r="A761" s="79" t="s">
        <v>604</v>
      </c>
      <c r="B761" s="79" t="s">
        <v>600</v>
      </c>
      <c r="C761" s="80" t="s">
        <v>126</v>
      </c>
      <c r="D761" s="81" t="s">
        <v>149</v>
      </c>
      <c r="E761" s="82">
        <v>14904</v>
      </c>
      <c r="F761" s="82">
        <v>745</v>
      </c>
      <c r="G761" s="82">
        <v>2981</v>
      </c>
      <c r="H761" s="83">
        <v>13.513135438953785</v>
      </c>
      <c r="I761" s="83">
        <v>4389.7849073827474</v>
      </c>
      <c r="J761" s="83">
        <v>16.311262084873555</v>
      </c>
    </row>
    <row r="762" spans="1:10" ht="16">
      <c r="A762" s="79" t="s">
        <v>1253</v>
      </c>
      <c r="B762" s="79" t="s">
        <v>1209</v>
      </c>
      <c r="C762" s="80" t="s">
        <v>95</v>
      </c>
      <c r="D762" s="81" t="s">
        <v>77</v>
      </c>
      <c r="E762" s="82">
        <v>11919</v>
      </c>
      <c r="F762" s="82">
        <v>651</v>
      </c>
      <c r="G762" s="82">
        <v>1311</v>
      </c>
      <c r="H762" s="83">
        <v>11.338807244603908</v>
      </c>
      <c r="I762" s="83">
        <v>4655.4147508858823</v>
      </c>
      <c r="J762" s="83">
        <v>15.597478876971703</v>
      </c>
    </row>
    <row r="763" spans="1:10" ht="16">
      <c r="A763" s="79" t="s">
        <v>583</v>
      </c>
      <c r="B763" s="79" t="s">
        <v>556</v>
      </c>
      <c r="C763" s="80" t="s">
        <v>95</v>
      </c>
      <c r="D763" s="81" t="s">
        <v>101</v>
      </c>
      <c r="E763" s="82">
        <v>12511</v>
      </c>
      <c r="F763" s="82">
        <v>1813</v>
      </c>
      <c r="G763" s="82">
        <v>876</v>
      </c>
      <c r="H763" s="83">
        <v>16.638735674453251</v>
      </c>
      <c r="I763" s="83">
        <v>7725.8435270077671</v>
      </c>
      <c r="J763" s="83">
        <v>45.001465603673488</v>
      </c>
    </row>
    <row r="764" spans="1:10" ht="16">
      <c r="A764" s="79" t="s">
        <v>735</v>
      </c>
      <c r="B764" s="79" t="s">
        <v>661</v>
      </c>
      <c r="C764" s="80" t="s">
        <v>126</v>
      </c>
      <c r="D764" s="81" t="s">
        <v>101</v>
      </c>
      <c r="E764" s="82">
        <v>22873</v>
      </c>
      <c r="F764" s="82">
        <v>1370</v>
      </c>
      <c r="G764" s="82">
        <v>457</v>
      </c>
      <c r="H764" s="83">
        <v>11.582959013183665</v>
      </c>
      <c r="I764" s="83">
        <v>10411.804358982181</v>
      </c>
      <c r="J764" s="83">
        <v>15.26462563545646</v>
      </c>
    </row>
    <row r="765" spans="1:10" ht="16">
      <c r="A765" s="79" t="s">
        <v>614</v>
      </c>
      <c r="B765" s="79" t="s">
        <v>610</v>
      </c>
      <c r="C765" s="80" t="s">
        <v>95</v>
      </c>
      <c r="D765" s="81" t="s">
        <v>79</v>
      </c>
      <c r="E765" s="82">
        <v>22414</v>
      </c>
      <c r="F765" s="82">
        <v>1005</v>
      </c>
      <c r="G765" s="82">
        <v>1569</v>
      </c>
      <c r="H765" s="83">
        <v>51.632338991554136</v>
      </c>
      <c r="I765" s="83">
        <v>36578.91290371419</v>
      </c>
      <c r="J765" s="83">
        <v>41.880612012520892</v>
      </c>
    </row>
    <row r="766" spans="1:10" ht="16">
      <c r="A766" s="79" t="s">
        <v>1388</v>
      </c>
      <c r="B766" s="79" t="s">
        <v>1307</v>
      </c>
      <c r="C766" s="80" t="s">
        <v>95</v>
      </c>
      <c r="D766" s="81" t="s">
        <v>101</v>
      </c>
      <c r="E766" s="82">
        <v>35814</v>
      </c>
      <c r="F766" s="82">
        <v>2755</v>
      </c>
      <c r="G766" s="82">
        <v>3223</v>
      </c>
      <c r="H766" s="83">
        <v>23.533268469145526</v>
      </c>
      <c r="I766" s="83">
        <v>18684.439785825969</v>
      </c>
      <c r="J766" s="83">
        <v>40.1752649843501</v>
      </c>
    </row>
    <row r="767" spans="1:10" ht="16">
      <c r="A767" s="79" t="s">
        <v>1389</v>
      </c>
      <c r="B767" s="79" t="s">
        <v>1307</v>
      </c>
      <c r="C767" s="80" t="s">
        <v>126</v>
      </c>
      <c r="D767" s="81" t="s">
        <v>103</v>
      </c>
      <c r="E767" s="82">
        <v>60818</v>
      </c>
      <c r="F767" s="82">
        <v>2452</v>
      </c>
      <c r="G767" s="82">
        <v>4865</v>
      </c>
      <c r="H767" s="83">
        <v>55.249119320078627</v>
      </c>
      <c r="I767" s="83">
        <v>34462.512553009044</v>
      </c>
      <c r="J767" s="83">
        <v>49.883791821835068</v>
      </c>
    </row>
    <row r="768" spans="1:10" ht="16">
      <c r="A768" s="79" t="s">
        <v>1390</v>
      </c>
      <c r="B768" s="79" t="s">
        <v>1307</v>
      </c>
      <c r="C768" s="80" t="s">
        <v>95</v>
      </c>
      <c r="D768" s="81" t="s">
        <v>101</v>
      </c>
      <c r="E768" s="82">
        <v>31893</v>
      </c>
      <c r="F768" s="82">
        <v>1670</v>
      </c>
      <c r="G768" s="82">
        <v>319</v>
      </c>
      <c r="H768" s="83">
        <v>14.397026346796762</v>
      </c>
      <c r="I768" s="83">
        <v>3904.136420835865</v>
      </c>
      <c r="J768" s="83">
        <v>18.222084154862525</v>
      </c>
    </row>
    <row r="769" spans="1:10" ht="16">
      <c r="A769" s="79" t="s">
        <v>1391</v>
      </c>
      <c r="B769" s="79" t="s">
        <v>1307</v>
      </c>
      <c r="C769" s="80" t="s">
        <v>126</v>
      </c>
      <c r="D769" s="81" t="s">
        <v>75</v>
      </c>
      <c r="E769" s="82">
        <v>33015</v>
      </c>
      <c r="F769" s="82">
        <v>1603</v>
      </c>
      <c r="G769" s="82">
        <v>2971</v>
      </c>
      <c r="H769" s="83">
        <v>20.991552062014321</v>
      </c>
      <c r="I769" s="83">
        <v>9729.4059731069992</v>
      </c>
      <c r="J769" s="83">
        <v>31.502036082537984</v>
      </c>
    </row>
    <row r="770" spans="1:10" ht="16">
      <c r="A770" s="79" t="s">
        <v>542</v>
      </c>
      <c r="B770" s="79" t="s">
        <v>493</v>
      </c>
      <c r="C770" s="80" t="s">
        <v>126</v>
      </c>
      <c r="D770" s="81" t="s">
        <v>77</v>
      </c>
      <c r="E770" s="82">
        <v>3904</v>
      </c>
      <c r="F770" s="82">
        <v>279</v>
      </c>
      <c r="G770" s="82">
        <v>39</v>
      </c>
      <c r="H770" s="83">
        <v>13.379952365174397</v>
      </c>
      <c r="I770" s="83">
        <v>3624.4305247090706</v>
      </c>
      <c r="J770" s="83">
        <v>27.135956361286933</v>
      </c>
    </row>
    <row r="771" spans="1:10" ht="16">
      <c r="A771" s="79" t="s">
        <v>1152</v>
      </c>
      <c r="B771" s="79" t="s">
        <v>1139</v>
      </c>
      <c r="C771" s="80" t="s">
        <v>95</v>
      </c>
      <c r="D771" s="81" t="s">
        <v>76</v>
      </c>
      <c r="E771" s="82">
        <v>33506</v>
      </c>
      <c r="F771" s="82">
        <v>2769</v>
      </c>
      <c r="G771" s="82">
        <v>335</v>
      </c>
      <c r="H771" s="83">
        <v>12.022036568797775</v>
      </c>
      <c r="I771" s="83">
        <v>1371.2091054061345</v>
      </c>
      <c r="J771" s="83">
        <v>18.95586765708892</v>
      </c>
    </row>
    <row r="772" spans="1:10" ht="16">
      <c r="A772" s="79" t="s">
        <v>543</v>
      </c>
      <c r="B772" s="79" t="s">
        <v>493</v>
      </c>
      <c r="C772" s="80" t="s">
        <v>126</v>
      </c>
      <c r="D772" s="81" t="s">
        <v>99</v>
      </c>
      <c r="E772" s="82">
        <v>7752</v>
      </c>
      <c r="F772" s="82">
        <v>524</v>
      </c>
      <c r="G772" s="82">
        <v>78</v>
      </c>
      <c r="H772" s="83">
        <v>10.301866105421039</v>
      </c>
      <c r="I772" s="83">
        <v>6488.4925342912711</v>
      </c>
      <c r="J772" s="83">
        <v>19.64642811068644</v>
      </c>
    </row>
    <row r="773" spans="1:10" ht="16">
      <c r="A773" s="79" t="s">
        <v>482</v>
      </c>
      <c r="B773" s="79" t="s">
        <v>478</v>
      </c>
      <c r="C773" s="80" t="s">
        <v>126</v>
      </c>
      <c r="D773" s="81" t="s">
        <v>101</v>
      </c>
      <c r="E773" s="82">
        <v>10125</v>
      </c>
      <c r="F773" s="82">
        <v>454</v>
      </c>
      <c r="G773" s="82">
        <v>3139</v>
      </c>
      <c r="H773" s="83">
        <v>66.276463071309465</v>
      </c>
      <c r="I773" s="83">
        <v>59418.29014489094</v>
      </c>
      <c r="J773" s="83">
        <v>57.754633244936983</v>
      </c>
    </row>
    <row r="774" spans="1:10" ht="16">
      <c r="A774" s="79" t="s">
        <v>1392</v>
      </c>
      <c r="B774" s="79" t="s">
        <v>1307</v>
      </c>
      <c r="C774" s="80" t="s">
        <v>95</v>
      </c>
      <c r="D774" s="81" t="s">
        <v>76</v>
      </c>
      <c r="E774" s="82">
        <v>10434</v>
      </c>
      <c r="F774" s="82">
        <v>1110</v>
      </c>
      <c r="G774" s="82">
        <v>3652</v>
      </c>
      <c r="H774" s="83">
        <v>16.130328739505053</v>
      </c>
      <c r="I774" s="83">
        <v>4604.3783755453096</v>
      </c>
      <c r="J774" s="83">
        <v>24.739262954406843</v>
      </c>
    </row>
    <row r="775" spans="1:10" ht="16">
      <c r="A775" s="79" t="s">
        <v>1254</v>
      </c>
      <c r="B775" s="79" t="s">
        <v>1209</v>
      </c>
      <c r="C775" s="80" t="s">
        <v>95</v>
      </c>
      <c r="D775" s="81" t="s">
        <v>101</v>
      </c>
      <c r="E775" s="82">
        <v>61915</v>
      </c>
      <c r="F775" s="82">
        <v>1917</v>
      </c>
      <c r="G775" s="82">
        <v>4953</v>
      </c>
      <c r="H775" s="83">
        <v>16.283210305016976</v>
      </c>
      <c r="I775" s="83">
        <v>10727.71307232845</v>
      </c>
      <c r="J775" s="83">
        <v>18.917481196923141</v>
      </c>
    </row>
    <row r="776" spans="1:10" ht="16">
      <c r="A776" s="79" t="s">
        <v>736</v>
      </c>
      <c r="B776" s="79" t="s">
        <v>661</v>
      </c>
      <c r="C776" s="80" t="s">
        <v>126</v>
      </c>
      <c r="D776" s="81" t="s">
        <v>149</v>
      </c>
      <c r="E776" s="82">
        <v>1165</v>
      </c>
      <c r="F776" s="82">
        <v>108</v>
      </c>
      <c r="G776" s="82">
        <v>58</v>
      </c>
      <c r="H776" s="83">
        <v>12.605609692065885</v>
      </c>
      <c r="I776" s="83">
        <v>5234.1161063454174</v>
      </c>
      <c r="J776" s="83">
        <v>21.150677728171452</v>
      </c>
    </row>
    <row r="777" spans="1:10" ht="16">
      <c r="A777" s="79" t="s">
        <v>737</v>
      </c>
      <c r="B777" s="79" t="s">
        <v>661</v>
      </c>
      <c r="C777" s="80" t="s">
        <v>126</v>
      </c>
      <c r="D777" s="81" t="s">
        <v>111</v>
      </c>
      <c r="E777" s="82">
        <v>4813</v>
      </c>
      <c r="F777" s="82">
        <v>319</v>
      </c>
      <c r="G777" s="82">
        <v>241</v>
      </c>
      <c r="H777" s="83">
        <v>19.350518104222985</v>
      </c>
      <c r="I777" s="83">
        <v>2630.5265604942265</v>
      </c>
      <c r="J777" s="83">
        <v>19.965926167221987</v>
      </c>
    </row>
    <row r="778" spans="1:10" ht="16">
      <c r="A778" s="79" t="s">
        <v>1393</v>
      </c>
      <c r="B778" s="79" t="s">
        <v>1307</v>
      </c>
      <c r="C778" s="80" t="s">
        <v>95</v>
      </c>
      <c r="D778" s="81" t="s">
        <v>79</v>
      </c>
      <c r="E778" s="82">
        <v>25907</v>
      </c>
      <c r="F778" s="82">
        <v>1542</v>
      </c>
      <c r="G778" s="82">
        <v>1295</v>
      </c>
      <c r="H778" s="83">
        <v>23.566611805708945</v>
      </c>
      <c r="I778" s="83">
        <v>18846.778976135716</v>
      </c>
      <c r="J778" s="83">
        <v>33.108148675976324</v>
      </c>
    </row>
    <row r="779" spans="1:10" ht="16">
      <c r="A779" s="79" t="s">
        <v>658</v>
      </c>
      <c r="B779" s="79" t="s">
        <v>659</v>
      </c>
      <c r="C779" s="80" t="s">
        <v>95</v>
      </c>
      <c r="D779" s="81" t="s">
        <v>111</v>
      </c>
      <c r="E779" s="82">
        <v>23305</v>
      </c>
      <c r="F779" s="82">
        <v>1050</v>
      </c>
      <c r="G779" s="82">
        <v>233</v>
      </c>
      <c r="H779" s="83">
        <v>11.202116701479218</v>
      </c>
      <c r="I779" s="83">
        <v>8167.7233316487409</v>
      </c>
      <c r="J779" s="83">
        <v>17.881157521241146</v>
      </c>
    </row>
    <row r="780" spans="1:10" ht="16">
      <c r="A780" s="79" t="s">
        <v>738</v>
      </c>
      <c r="B780" s="79" t="s">
        <v>661</v>
      </c>
      <c r="C780" s="80" t="s">
        <v>126</v>
      </c>
      <c r="D780" s="81" t="s">
        <v>79</v>
      </c>
      <c r="E780" s="82">
        <v>25913</v>
      </c>
      <c r="F780" s="82">
        <v>2445</v>
      </c>
      <c r="G780" s="82">
        <v>3110</v>
      </c>
      <c r="H780" s="83">
        <v>89.801479933659635</v>
      </c>
      <c r="I780" s="83">
        <v>54430.320937242366</v>
      </c>
      <c r="J780" s="83">
        <v>86.514644929081754</v>
      </c>
    </row>
    <row r="781" spans="1:10" ht="16">
      <c r="A781" s="79" t="s">
        <v>304</v>
      </c>
      <c r="B781" s="79" t="s">
        <v>242</v>
      </c>
      <c r="C781" s="80" t="s">
        <v>95</v>
      </c>
      <c r="D781" s="81" t="s">
        <v>101</v>
      </c>
      <c r="E781" s="82">
        <v>34780</v>
      </c>
      <c r="F781" s="82">
        <v>2484</v>
      </c>
      <c r="G781" s="82">
        <v>2087</v>
      </c>
      <c r="H781" s="83">
        <v>36.657488461598568</v>
      </c>
      <c r="I781" s="83">
        <v>13889.676103464319</v>
      </c>
      <c r="J781" s="83">
        <v>33.283654126254149</v>
      </c>
    </row>
    <row r="782" spans="1:10" ht="16">
      <c r="A782" s="79" t="s">
        <v>845</v>
      </c>
      <c r="B782" s="79" t="s">
        <v>839</v>
      </c>
      <c r="C782" s="80" t="s">
        <v>126</v>
      </c>
      <c r="D782" s="81" t="s">
        <v>76</v>
      </c>
      <c r="E782" s="82">
        <v>8033</v>
      </c>
      <c r="F782" s="82">
        <v>375</v>
      </c>
      <c r="G782" s="82">
        <v>1205</v>
      </c>
      <c r="H782" s="83">
        <v>49.015912635156312</v>
      </c>
      <c r="I782" s="83">
        <v>30305.61899377939</v>
      </c>
      <c r="J782" s="83">
        <v>37.283662273958562</v>
      </c>
    </row>
    <row r="783" spans="1:10" ht="16">
      <c r="A783" s="79" t="s">
        <v>1190</v>
      </c>
      <c r="B783" s="79" t="s">
        <v>1161</v>
      </c>
      <c r="C783" s="80" t="s">
        <v>126</v>
      </c>
      <c r="D783" s="81" t="s">
        <v>76</v>
      </c>
      <c r="E783" s="82">
        <v>5836</v>
      </c>
      <c r="F783" s="82">
        <v>347</v>
      </c>
      <c r="G783" s="82">
        <v>58</v>
      </c>
      <c r="H783" s="83">
        <v>11.873662962990672</v>
      </c>
      <c r="I783" s="83">
        <v>2599.8775712240617</v>
      </c>
      <c r="J783" s="83">
        <v>15.903891670020242</v>
      </c>
    </row>
    <row r="784" spans="1:10" ht="16">
      <c r="A784" s="79" t="s">
        <v>739</v>
      </c>
      <c r="B784" s="79" t="s">
        <v>661</v>
      </c>
      <c r="C784" s="80" t="s">
        <v>126</v>
      </c>
      <c r="D784" s="81" t="s">
        <v>111</v>
      </c>
      <c r="E784" s="82">
        <v>5204</v>
      </c>
      <c r="F784" s="82">
        <v>394</v>
      </c>
      <c r="G784" s="82">
        <v>52</v>
      </c>
      <c r="H784" s="83">
        <v>14.474278937658752</v>
      </c>
      <c r="I784" s="83">
        <v>3501.2685333844515</v>
      </c>
      <c r="J784" s="83">
        <v>22.342800365883281</v>
      </c>
    </row>
    <row r="785" spans="1:10" ht="16">
      <c r="A785" s="79" t="s">
        <v>740</v>
      </c>
      <c r="B785" s="79" t="s">
        <v>661</v>
      </c>
      <c r="C785" s="80" t="s">
        <v>126</v>
      </c>
      <c r="D785" s="81" t="s">
        <v>149</v>
      </c>
      <c r="E785" s="82">
        <v>17735</v>
      </c>
      <c r="F785" s="82">
        <v>2163</v>
      </c>
      <c r="G785" s="82">
        <v>2128</v>
      </c>
      <c r="H785" s="83">
        <v>54.996125082483992</v>
      </c>
      <c r="I785" s="83">
        <v>21678.329325740982</v>
      </c>
      <c r="J785" s="83">
        <v>53.027445661635184</v>
      </c>
    </row>
    <row r="786" spans="1:10" ht="16">
      <c r="A786" s="79" t="s">
        <v>741</v>
      </c>
      <c r="B786" s="79" t="s">
        <v>661</v>
      </c>
      <c r="C786" s="80" t="s">
        <v>126</v>
      </c>
      <c r="D786" s="81" t="s">
        <v>103</v>
      </c>
      <c r="E786" s="82">
        <v>29848</v>
      </c>
      <c r="F786" s="82">
        <v>2296</v>
      </c>
      <c r="G786" s="82">
        <v>597</v>
      </c>
      <c r="H786" s="83">
        <v>10.1246340743369</v>
      </c>
      <c r="I786" s="83">
        <v>2024.9154937904996</v>
      </c>
      <c r="J786" s="83">
        <v>19.834746908998081</v>
      </c>
    </row>
    <row r="787" spans="1:10" ht="16">
      <c r="A787" s="79" t="s">
        <v>1191</v>
      </c>
      <c r="B787" s="79" t="s">
        <v>1161</v>
      </c>
      <c r="C787" s="80" t="s">
        <v>126</v>
      </c>
      <c r="D787" s="81" t="s">
        <v>75</v>
      </c>
      <c r="E787" s="82">
        <v>23679</v>
      </c>
      <c r="F787" s="82">
        <v>1133</v>
      </c>
      <c r="G787" s="82">
        <v>474</v>
      </c>
      <c r="H787" s="83">
        <v>8.5187537851608166</v>
      </c>
      <c r="I787" s="83">
        <v>1385.0402714178997</v>
      </c>
      <c r="J787" s="83">
        <v>14.082613875992974</v>
      </c>
    </row>
    <row r="788" spans="1:10" ht="16">
      <c r="A788" s="79" t="s">
        <v>742</v>
      </c>
      <c r="B788" s="79" t="s">
        <v>661</v>
      </c>
      <c r="C788" s="80" t="s">
        <v>126</v>
      </c>
      <c r="D788" s="81" t="s">
        <v>78</v>
      </c>
      <c r="E788" s="82">
        <v>7553</v>
      </c>
      <c r="F788" s="82">
        <v>868</v>
      </c>
      <c r="G788" s="82">
        <v>227</v>
      </c>
      <c r="H788" s="83">
        <v>19.688082604690969</v>
      </c>
      <c r="I788" s="83">
        <v>2866.1574423597795</v>
      </c>
      <c r="J788" s="83">
        <v>26.595863062263447</v>
      </c>
    </row>
    <row r="789" spans="1:10" ht="16">
      <c r="A789" s="79" t="s">
        <v>743</v>
      </c>
      <c r="B789" s="79" t="s">
        <v>661</v>
      </c>
      <c r="C789" s="80" t="s">
        <v>126</v>
      </c>
      <c r="D789" s="81" t="s">
        <v>79</v>
      </c>
      <c r="E789" s="82">
        <v>7481</v>
      </c>
      <c r="F789" s="82">
        <v>502</v>
      </c>
      <c r="G789" s="82">
        <v>75</v>
      </c>
      <c r="H789" s="83">
        <v>11.158711250931095</v>
      </c>
      <c r="I789" s="83">
        <v>702.60368557159654</v>
      </c>
      <c r="J789" s="83">
        <v>17.347385598789927</v>
      </c>
    </row>
    <row r="790" spans="1:10" ht="16">
      <c r="A790" s="79" t="s">
        <v>744</v>
      </c>
      <c r="B790" s="79" t="s">
        <v>661</v>
      </c>
      <c r="C790" s="80" t="s">
        <v>126</v>
      </c>
      <c r="D790" s="81" t="s">
        <v>76</v>
      </c>
      <c r="E790" s="82">
        <v>9285</v>
      </c>
      <c r="F790" s="82">
        <v>363</v>
      </c>
      <c r="G790" s="82">
        <v>186</v>
      </c>
      <c r="H790" s="83">
        <v>10.233041166787203</v>
      </c>
      <c r="I790" s="83">
        <v>317.17077004452022</v>
      </c>
      <c r="J790" s="83">
        <v>15.258233703045908</v>
      </c>
    </row>
    <row r="791" spans="1:10" ht="16">
      <c r="A791" s="79" t="s">
        <v>745</v>
      </c>
      <c r="B791" s="79" t="s">
        <v>661</v>
      </c>
      <c r="C791" s="80" t="s">
        <v>126</v>
      </c>
      <c r="D791" s="81" t="s">
        <v>96</v>
      </c>
      <c r="E791" s="82">
        <v>9752</v>
      </c>
      <c r="F791" s="82">
        <v>1266</v>
      </c>
      <c r="G791" s="82">
        <v>1268</v>
      </c>
      <c r="H791" s="83">
        <v>51.899462435920569</v>
      </c>
      <c r="I791" s="83">
        <v>19407.527225194863</v>
      </c>
      <c r="J791" s="83">
        <v>52.157492911838098</v>
      </c>
    </row>
    <row r="792" spans="1:10" ht="16">
      <c r="A792" s="79" t="s">
        <v>746</v>
      </c>
      <c r="B792" s="79" t="s">
        <v>661</v>
      </c>
      <c r="C792" s="80" t="s">
        <v>126</v>
      </c>
      <c r="D792" s="81" t="s">
        <v>103</v>
      </c>
      <c r="E792" s="82">
        <v>2999</v>
      </c>
      <c r="F792" s="82">
        <v>909</v>
      </c>
      <c r="G792" s="82">
        <v>270</v>
      </c>
      <c r="H792" s="83">
        <v>24.622707537313378</v>
      </c>
      <c r="I792" s="83">
        <v>14071.028252350032</v>
      </c>
      <c r="J792" s="83">
        <v>46.117415853153815</v>
      </c>
    </row>
    <row r="793" spans="1:10" ht="16">
      <c r="A793" s="79" t="s">
        <v>747</v>
      </c>
      <c r="B793" s="79" t="s">
        <v>661</v>
      </c>
      <c r="C793" s="80" t="s">
        <v>95</v>
      </c>
      <c r="D793" s="81" t="s">
        <v>77</v>
      </c>
      <c r="E793" s="82">
        <v>1350</v>
      </c>
      <c r="F793" s="82">
        <v>844</v>
      </c>
      <c r="G793" s="82">
        <v>14</v>
      </c>
      <c r="H793" s="83">
        <v>11.302566063426307</v>
      </c>
      <c r="I793" s="83">
        <v>3762.0881835630262</v>
      </c>
      <c r="J793" s="83">
        <v>29.644058459903661</v>
      </c>
    </row>
    <row r="794" spans="1:10" ht="16">
      <c r="A794" s="79" t="s">
        <v>748</v>
      </c>
      <c r="B794" s="79" t="s">
        <v>661</v>
      </c>
      <c r="C794" s="80" t="s">
        <v>126</v>
      </c>
      <c r="D794" s="81" t="s">
        <v>99</v>
      </c>
      <c r="E794" s="82">
        <v>9160</v>
      </c>
      <c r="F794" s="82">
        <v>674</v>
      </c>
      <c r="G794" s="82">
        <v>458</v>
      </c>
      <c r="H794" s="83">
        <v>17.344383659420146</v>
      </c>
      <c r="I794" s="83">
        <v>9424.9840186272177</v>
      </c>
      <c r="J794" s="83">
        <v>25.56123524981286</v>
      </c>
    </row>
    <row r="795" spans="1:10" ht="16">
      <c r="A795" s="79" t="s">
        <v>749</v>
      </c>
      <c r="B795" s="79" t="s">
        <v>661</v>
      </c>
      <c r="C795" s="80" t="s">
        <v>126</v>
      </c>
      <c r="D795" s="81" t="s">
        <v>78</v>
      </c>
      <c r="E795" s="82">
        <v>12221</v>
      </c>
      <c r="F795" s="82">
        <v>361</v>
      </c>
      <c r="G795" s="82">
        <v>244</v>
      </c>
      <c r="H795" s="83">
        <v>9.803790929046782</v>
      </c>
      <c r="I795" s="83">
        <v>1034.1625760250915</v>
      </c>
      <c r="J795" s="83">
        <v>16.841428493089467</v>
      </c>
    </row>
    <row r="796" spans="1:10" ht="16">
      <c r="A796" s="79" t="s">
        <v>750</v>
      </c>
      <c r="B796" s="79" t="s">
        <v>661</v>
      </c>
      <c r="C796" s="80" t="s">
        <v>126</v>
      </c>
      <c r="D796" s="81" t="s">
        <v>76</v>
      </c>
      <c r="E796" s="82">
        <v>5766</v>
      </c>
      <c r="F796" s="82">
        <v>390</v>
      </c>
      <c r="G796" s="82">
        <v>346</v>
      </c>
      <c r="H796" s="83">
        <v>23.801982646353075</v>
      </c>
      <c r="I796" s="83">
        <v>4190.9003883362766</v>
      </c>
      <c r="J796" s="83">
        <v>24.808840442296031</v>
      </c>
    </row>
    <row r="797" spans="1:10" ht="16">
      <c r="A797" s="79" t="s">
        <v>751</v>
      </c>
      <c r="B797" s="79" t="s">
        <v>661</v>
      </c>
      <c r="C797" s="80" t="s">
        <v>126</v>
      </c>
      <c r="D797" s="81" t="s">
        <v>103</v>
      </c>
      <c r="E797" s="82">
        <v>2654</v>
      </c>
      <c r="F797" s="82">
        <v>248</v>
      </c>
      <c r="G797" s="82">
        <v>186</v>
      </c>
      <c r="H797" s="83">
        <v>14.864252951151533</v>
      </c>
      <c r="I797" s="83">
        <v>1448.5152326520686</v>
      </c>
      <c r="J797" s="83">
        <v>24.50205877544478</v>
      </c>
    </row>
    <row r="798" spans="1:10" ht="16">
      <c r="A798" s="79" t="s">
        <v>752</v>
      </c>
      <c r="B798" s="79" t="s">
        <v>661</v>
      </c>
      <c r="C798" s="80" t="s">
        <v>126</v>
      </c>
      <c r="D798" s="81" t="s">
        <v>99</v>
      </c>
      <c r="E798" s="82">
        <v>18490</v>
      </c>
      <c r="F798" s="82">
        <v>758</v>
      </c>
      <c r="G798" s="82">
        <v>370</v>
      </c>
      <c r="H798" s="83">
        <v>25.260053112199781</v>
      </c>
      <c r="I798" s="83">
        <v>4652.6401387767064</v>
      </c>
      <c r="J798" s="83">
        <v>21.958227293120657</v>
      </c>
    </row>
    <row r="799" spans="1:10" ht="16">
      <c r="A799" s="79" t="s">
        <v>971</v>
      </c>
      <c r="B799" s="79" t="s">
        <v>938</v>
      </c>
      <c r="C799" s="80" t="s">
        <v>126</v>
      </c>
      <c r="D799" s="81" t="s">
        <v>75</v>
      </c>
      <c r="E799" s="82">
        <v>9121</v>
      </c>
      <c r="F799" s="82">
        <v>1048</v>
      </c>
      <c r="G799" s="82">
        <v>2554</v>
      </c>
      <c r="H799" s="83">
        <v>20.642536914677027</v>
      </c>
      <c r="I799" s="83">
        <v>7368.8560723907303</v>
      </c>
      <c r="J799" s="83">
        <v>27.134774637407904</v>
      </c>
    </row>
    <row r="800" spans="1:10" ht="16">
      <c r="A800" s="79" t="s">
        <v>972</v>
      </c>
      <c r="B800" s="79" t="s">
        <v>938</v>
      </c>
      <c r="C800" s="80" t="s">
        <v>126</v>
      </c>
      <c r="D800" s="81" t="s">
        <v>77</v>
      </c>
      <c r="E800" s="82">
        <v>7655</v>
      </c>
      <c r="F800" s="82">
        <v>643</v>
      </c>
      <c r="G800" s="82">
        <v>2220</v>
      </c>
      <c r="H800" s="83">
        <v>33.909677972854922</v>
      </c>
      <c r="I800" s="83">
        <v>7896.7480917236999</v>
      </c>
      <c r="J800" s="83">
        <v>41.433601867776112</v>
      </c>
    </row>
    <row r="801" spans="1:10" ht="16">
      <c r="A801" s="79" t="s">
        <v>305</v>
      </c>
      <c r="B801" s="79" t="s">
        <v>242</v>
      </c>
      <c r="C801" s="80" t="s">
        <v>126</v>
      </c>
      <c r="D801" s="81" t="s">
        <v>76</v>
      </c>
      <c r="E801" s="82">
        <v>35690</v>
      </c>
      <c r="F801" s="82">
        <v>2724</v>
      </c>
      <c r="G801" s="82">
        <v>4640</v>
      </c>
      <c r="H801" s="83">
        <v>44.160311586260164</v>
      </c>
      <c r="I801" s="83">
        <v>15092.835167762834</v>
      </c>
      <c r="J801" s="83">
        <v>36.400809410417423</v>
      </c>
    </row>
    <row r="802" spans="1:10" ht="16">
      <c r="A802" s="79" t="s">
        <v>753</v>
      </c>
      <c r="B802" s="79" t="s">
        <v>661</v>
      </c>
      <c r="C802" s="80" t="s">
        <v>126</v>
      </c>
      <c r="D802" s="81" t="s">
        <v>111</v>
      </c>
      <c r="E802" s="82">
        <v>6096</v>
      </c>
      <c r="F802" s="82">
        <v>813</v>
      </c>
      <c r="G802" s="82">
        <v>122</v>
      </c>
      <c r="H802" s="83">
        <v>11.041981487878168</v>
      </c>
      <c r="I802" s="83">
        <v>1345.5439808284848</v>
      </c>
      <c r="J802" s="83">
        <v>21.962887476008117</v>
      </c>
    </row>
    <row r="803" spans="1:10" ht="16">
      <c r="A803" s="79" t="s">
        <v>754</v>
      </c>
      <c r="B803" s="79" t="s">
        <v>661</v>
      </c>
      <c r="C803" s="80" t="s">
        <v>126</v>
      </c>
      <c r="D803" s="81" t="s">
        <v>101</v>
      </c>
      <c r="E803" s="82">
        <v>32404</v>
      </c>
      <c r="F803" s="82">
        <v>1062</v>
      </c>
      <c r="G803" s="82">
        <v>1620</v>
      </c>
      <c r="H803" s="83">
        <v>9.0270083032215496</v>
      </c>
      <c r="I803" s="83">
        <v>577.28273857601255</v>
      </c>
      <c r="J803" s="83">
        <v>15.739950501647682</v>
      </c>
    </row>
    <row r="804" spans="1:10" ht="16">
      <c r="A804" s="79" t="s">
        <v>755</v>
      </c>
      <c r="B804" s="79" t="s">
        <v>661</v>
      </c>
      <c r="C804" s="80" t="s">
        <v>126</v>
      </c>
      <c r="D804" s="81" t="s">
        <v>96</v>
      </c>
      <c r="E804" s="82">
        <v>2135</v>
      </c>
      <c r="F804" s="82">
        <v>243</v>
      </c>
      <c r="G804" s="82">
        <v>149</v>
      </c>
      <c r="H804" s="83">
        <v>16.807689386841016</v>
      </c>
      <c r="I804" s="83">
        <v>2722.3900943054596</v>
      </c>
      <c r="J804" s="83">
        <v>22.33793374107649</v>
      </c>
    </row>
    <row r="805" spans="1:10" ht="16">
      <c r="A805" s="79" t="s">
        <v>836</v>
      </c>
      <c r="B805" s="79" t="s">
        <v>837</v>
      </c>
      <c r="C805" s="80" t="s">
        <v>126</v>
      </c>
      <c r="D805" s="81" t="s">
        <v>101</v>
      </c>
      <c r="E805" s="82">
        <v>418053</v>
      </c>
      <c r="F805" s="82">
        <v>11613</v>
      </c>
      <c r="G805" s="82">
        <v>29090</v>
      </c>
      <c r="H805" s="83">
        <v>7.5868253387432789</v>
      </c>
      <c r="I805" s="83">
        <v>2126.2424314187033</v>
      </c>
      <c r="J805" s="83">
        <v>11.928931983557776</v>
      </c>
    </row>
    <row r="806" spans="1:10" ht="16">
      <c r="A806" s="79" t="s">
        <v>605</v>
      </c>
      <c r="B806" s="79" t="s">
        <v>600</v>
      </c>
      <c r="C806" s="80" t="s">
        <v>95</v>
      </c>
      <c r="D806" s="81" t="s">
        <v>101</v>
      </c>
      <c r="E806" s="82">
        <v>16853</v>
      </c>
      <c r="F806" s="82">
        <v>770</v>
      </c>
      <c r="G806" s="82">
        <v>5056</v>
      </c>
      <c r="H806" s="83">
        <v>44.146736338490562</v>
      </c>
      <c r="I806" s="83">
        <v>33114.64878861278</v>
      </c>
      <c r="J806" s="83">
        <v>42.611880269154234</v>
      </c>
    </row>
    <row r="807" spans="1:10" ht="16">
      <c r="A807" s="79" t="s">
        <v>998</v>
      </c>
      <c r="B807" s="79" t="s">
        <v>996</v>
      </c>
      <c r="C807" s="80" t="s">
        <v>95</v>
      </c>
      <c r="D807" s="81" t="s">
        <v>99</v>
      </c>
      <c r="E807" s="82">
        <v>45992</v>
      </c>
      <c r="F807" s="82">
        <v>1167</v>
      </c>
      <c r="G807" s="82">
        <v>920</v>
      </c>
      <c r="H807" s="83">
        <v>7.3099858819411869</v>
      </c>
      <c r="I807" s="83">
        <v>3014.5762519873369</v>
      </c>
      <c r="J807" s="83">
        <v>15.18786278279187</v>
      </c>
    </row>
    <row r="808" spans="1:10" ht="16">
      <c r="A808" s="79" t="s">
        <v>306</v>
      </c>
      <c r="B808" s="79" t="s">
        <v>242</v>
      </c>
      <c r="C808" s="80" t="s">
        <v>126</v>
      </c>
      <c r="D808" s="81" t="s">
        <v>111</v>
      </c>
      <c r="E808" s="82">
        <v>38783</v>
      </c>
      <c r="F808" s="82">
        <v>3232</v>
      </c>
      <c r="G808" s="82">
        <v>4266</v>
      </c>
      <c r="H808" s="83">
        <v>94.144496709755046</v>
      </c>
      <c r="I808" s="83">
        <v>70131.554212628835</v>
      </c>
      <c r="J808" s="83">
        <v>87.399451679287239</v>
      </c>
    </row>
    <row r="809" spans="1:10" ht="16">
      <c r="A809" s="79" t="s">
        <v>440</v>
      </c>
      <c r="B809" s="79" t="s">
        <v>421</v>
      </c>
      <c r="C809" s="80" t="s">
        <v>126</v>
      </c>
      <c r="D809" s="81" t="s">
        <v>101</v>
      </c>
      <c r="E809" s="82">
        <v>20020</v>
      </c>
      <c r="F809" s="82">
        <v>1925</v>
      </c>
      <c r="G809" s="82">
        <v>2803</v>
      </c>
      <c r="H809" s="83">
        <v>16.200573049624815</v>
      </c>
      <c r="I809" s="83">
        <v>7851.003091912401</v>
      </c>
      <c r="J809" s="83">
        <v>25.859692411848787</v>
      </c>
    </row>
    <row r="810" spans="1:10" ht="16">
      <c r="A810" s="79" t="s">
        <v>441</v>
      </c>
      <c r="B810" s="79" t="s">
        <v>421</v>
      </c>
      <c r="C810" s="80" t="s">
        <v>126</v>
      </c>
      <c r="D810" s="81" t="s">
        <v>78</v>
      </c>
      <c r="E810" s="82">
        <v>34267</v>
      </c>
      <c r="F810" s="82">
        <v>315</v>
      </c>
      <c r="G810" s="82">
        <v>3427</v>
      </c>
      <c r="H810" s="83">
        <v>41.525592627924937</v>
      </c>
      <c r="I810" s="83">
        <v>22439.233079068868</v>
      </c>
      <c r="J810" s="83">
        <v>37.737246375168851</v>
      </c>
    </row>
    <row r="811" spans="1:10" ht="16">
      <c r="A811" s="79" t="s">
        <v>442</v>
      </c>
      <c r="B811" s="79" t="s">
        <v>421</v>
      </c>
      <c r="C811" s="80" t="s">
        <v>126</v>
      </c>
      <c r="D811" s="81" t="s">
        <v>75</v>
      </c>
      <c r="E811" s="82">
        <v>32309</v>
      </c>
      <c r="F811" s="82">
        <v>945</v>
      </c>
      <c r="G811" s="82">
        <v>4523</v>
      </c>
      <c r="H811" s="83">
        <v>48.749997765115822</v>
      </c>
      <c r="I811" s="83">
        <v>35434.473602050013</v>
      </c>
      <c r="J811" s="83">
        <v>46.997589820537669</v>
      </c>
    </row>
    <row r="812" spans="1:10" ht="16">
      <c r="A812" s="79" t="s">
        <v>1394</v>
      </c>
      <c r="B812" s="79" t="s">
        <v>1307</v>
      </c>
      <c r="C812" s="80" t="s">
        <v>95</v>
      </c>
      <c r="D812" s="81" t="s">
        <v>111</v>
      </c>
      <c r="E812" s="82">
        <v>11017</v>
      </c>
      <c r="F812" s="82">
        <v>1124</v>
      </c>
      <c r="G812" s="82">
        <v>1763</v>
      </c>
      <c r="H812" s="83">
        <v>34.901915087738701</v>
      </c>
      <c r="I812" s="83">
        <v>32297.620702767967</v>
      </c>
      <c r="J812" s="83">
        <v>49.491029627826038</v>
      </c>
    </row>
    <row r="813" spans="1:10" ht="16">
      <c r="A813" s="79" t="s">
        <v>1395</v>
      </c>
      <c r="B813" s="79" t="s">
        <v>1307</v>
      </c>
      <c r="C813" s="80" t="s">
        <v>95</v>
      </c>
      <c r="D813" s="81" t="s">
        <v>77</v>
      </c>
      <c r="E813" s="82">
        <v>11185</v>
      </c>
      <c r="F813" s="82">
        <v>1141</v>
      </c>
      <c r="G813" s="82">
        <v>1230</v>
      </c>
      <c r="H813" s="83">
        <v>24.302346624978401</v>
      </c>
      <c r="I813" s="83">
        <v>17528.990889582401</v>
      </c>
      <c r="J813" s="83">
        <v>43.181559445305105</v>
      </c>
    </row>
    <row r="814" spans="1:10" ht="16">
      <c r="A814" s="79" t="s">
        <v>1133</v>
      </c>
      <c r="B814" s="79" t="s">
        <v>1100</v>
      </c>
      <c r="C814" s="80" t="s">
        <v>95</v>
      </c>
      <c r="D814" s="81" t="s">
        <v>76</v>
      </c>
      <c r="E814" s="82">
        <v>15704</v>
      </c>
      <c r="F814" s="82">
        <v>586</v>
      </c>
      <c r="G814" s="82">
        <v>1570</v>
      </c>
      <c r="H814" s="83">
        <v>13.283031387720564</v>
      </c>
      <c r="I814" s="83">
        <v>1345.6752331839937</v>
      </c>
      <c r="J814" s="83">
        <v>15.457351585896914</v>
      </c>
    </row>
    <row r="815" spans="1:10" ht="16">
      <c r="A815" s="79" t="s">
        <v>1134</v>
      </c>
      <c r="B815" s="79" t="s">
        <v>1100</v>
      </c>
      <c r="C815" s="80" t="s">
        <v>95</v>
      </c>
      <c r="D815" s="81" t="s">
        <v>101</v>
      </c>
      <c r="E815" s="82">
        <v>3492</v>
      </c>
      <c r="F815" s="82">
        <v>346</v>
      </c>
      <c r="G815" s="82">
        <v>175</v>
      </c>
      <c r="H815" s="83">
        <v>14.884356883301116</v>
      </c>
      <c r="I815" s="83">
        <v>2135.6729640467111</v>
      </c>
      <c r="J815" s="83">
        <v>20.080313447193014</v>
      </c>
    </row>
    <row r="816" spans="1:10" ht="16">
      <c r="A816" s="79" t="s">
        <v>1255</v>
      </c>
      <c r="B816" s="79" t="s">
        <v>1209</v>
      </c>
      <c r="C816" s="80" t="s">
        <v>95</v>
      </c>
      <c r="D816" s="81" t="s">
        <v>96</v>
      </c>
      <c r="E816" s="82">
        <v>32665</v>
      </c>
      <c r="F816" s="82">
        <v>3082</v>
      </c>
      <c r="G816" s="82">
        <v>16986</v>
      </c>
      <c r="H816" s="83">
        <v>89.141934857126074</v>
      </c>
      <c r="I816" s="83">
        <v>85285.349202328303</v>
      </c>
      <c r="J816" s="83">
        <v>78.768002976647921</v>
      </c>
    </row>
    <row r="817" spans="1:10" ht="16">
      <c r="A817" s="79" t="s">
        <v>973</v>
      </c>
      <c r="B817" s="79" t="s">
        <v>938</v>
      </c>
      <c r="C817" s="80" t="s">
        <v>126</v>
      </c>
      <c r="D817" s="81" t="s">
        <v>101</v>
      </c>
      <c r="E817" s="82">
        <v>14111</v>
      </c>
      <c r="F817" s="82">
        <v>2520</v>
      </c>
      <c r="G817" s="82">
        <v>141</v>
      </c>
      <c r="H817" s="83">
        <v>8.4468229960734433</v>
      </c>
      <c r="I817" s="83">
        <v>803.18170340545419</v>
      </c>
      <c r="J817" s="83">
        <v>20.976734231274875</v>
      </c>
    </row>
    <row r="818" spans="1:10" ht="16">
      <c r="A818" s="79" t="s">
        <v>871</v>
      </c>
      <c r="B818" s="79" t="s">
        <v>869</v>
      </c>
      <c r="C818" s="80" t="s">
        <v>95</v>
      </c>
      <c r="D818" s="81" t="s">
        <v>103</v>
      </c>
      <c r="E818" s="82">
        <v>16475</v>
      </c>
      <c r="F818" s="82">
        <v>1267</v>
      </c>
      <c r="G818" s="82">
        <v>1648</v>
      </c>
      <c r="H818" s="83">
        <v>18.598524560915259</v>
      </c>
      <c r="I818" s="83">
        <v>14423.761859236154</v>
      </c>
      <c r="J818" s="83">
        <v>22.418660982170188</v>
      </c>
    </row>
    <row r="819" spans="1:10" ht="16">
      <c r="A819" s="79" t="s">
        <v>443</v>
      </c>
      <c r="B819" s="79" t="s">
        <v>421</v>
      </c>
      <c r="C819" s="80" t="s">
        <v>126</v>
      </c>
      <c r="D819" s="81" t="s">
        <v>111</v>
      </c>
      <c r="E819" s="82">
        <v>10629</v>
      </c>
      <c r="F819" s="82">
        <v>384</v>
      </c>
      <c r="G819" s="82">
        <v>1382</v>
      </c>
      <c r="H819" s="83">
        <v>36.680281717192564</v>
      </c>
      <c r="I819" s="83">
        <v>34769.226003335607</v>
      </c>
      <c r="J819" s="83">
        <v>40.629564000803107</v>
      </c>
    </row>
    <row r="820" spans="1:10" ht="16">
      <c r="A820" s="79" t="s">
        <v>1033</v>
      </c>
      <c r="B820" s="79" t="s">
        <v>1007</v>
      </c>
      <c r="C820" s="80" t="s">
        <v>126</v>
      </c>
      <c r="D820" s="81" t="s">
        <v>101</v>
      </c>
      <c r="E820" s="82">
        <v>4127</v>
      </c>
      <c r="F820" s="82">
        <v>297</v>
      </c>
      <c r="G820" s="82">
        <v>330</v>
      </c>
      <c r="H820" s="83">
        <v>38.884720111059117</v>
      </c>
      <c r="I820" s="83">
        <v>35254.491056120809</v>
      </c>
      <c r="J820" s="83">
        <v>28.097200378115815</v>
      </c>
    </row>
    <row r="821" spans="1:10" ht="16">
      <c r="A821" s="79" t="s">
        <v>1256</v>
      </c>
      <c r="B821" s="79" t="s">
        <v>1209</v>
      </c>
      <c r="C821" s="80" t="s">
        <v>95</v>
      </c>
      <c r="D821" s="81" t="s">
        <v>103</v>
      </c>
      <c r="E821" s="82">
        <v>17817</v>
      </c>
      <c r="F821" s="82">
        <v>1042</v>
      </c>
      <c r="G821" s="82">
        <v>1425</v>
      </c>
      <c r="H821" s="83">
        <v>18.835156422814261</v>
      </c>
      <c r="I821" s="83">
        <v>7402.8576627419034</v>
      </c>
      <c r="J821" s="83">
        <v>21.601683947286944</v>
      </c>
    </row>
    <row r="822" spans="1:10" ht="16">
      <c r="A822" s="79" t="s">
        <v>1206</v>
      </c>
      <c r="B822" s="79" t="s">
        <v>1204</v>
      </c>
      <c r="C822" s="80" t="s">
        <v>95</v>
      </c>
      <c r="D822" s="81" t="s">
        <v>149</v>
      </c>
      <c r="E822" s="82">
        <v>7523</v>
      </c>
      <c r="F822" s="82">
        <v>818</v>
      </c>
      <c r="G822" s="82">
        <v>1580</v>
      </c>
      <c r="H822" s="83">
        <v>19.849728420779854</v>
      </c>
      <c r="I822" s="83">
        <v>16246.415040460413</v>
      </c>
      <c r="J822" s="83">
        <v>24.048788344207541</v>
      </c>
    </row>
    <row r="823" spans="1:10" ht="16">
      <c r="A823" s="79" t="s">
        <v>893</v>
      </c>
      <c r="B823" s="79" t="s">
        <v>892</v>
      </c>
      <c r="C823" s="80" t="s">
        <v>95</v>
      </c>
      <c r="D823" s="81" t="s">
        <v>111</v>
      </c>
      <c r="E823" s="82">
        <v>6236</v>
      </c>
      <c r="F823" s="82">
        <v>588</v>
      </c>
      <c r="G823" s="82">
        <v>99</v>
      </c>
      <c r="H823" s="83">
        <v>11.978721969850806</v>
      </c>
      <c r="I823" s="83">
        <v>9428.3924789474113</v>
      </c>
      <c r="J823" s="83">
        <v>17.272405402701182</v>
      </c>
    </row>
    <row r="824" spans="1:10" ht="16">
      <c r="A824" s="79" t="s">
        <v>552</v>
      </c>
      <c r="B824" s="79" t="s">
        <v>549</v>
      </c>
      <c r="C824" s="80" t="s">
        <v>95</v>
      </c>
      <c r="D824" s="81" t="s">
        <v>111</v>
      </c>
      <c r="E824" s="82">
        <v>38310</v>
      </c>
      <c r="F824" s="82">
        <v>4455</v>
      </c>
      <c r="G824" s="82">
        <v>766</v>
      </c>
      <c r="H824" s="83">
        <v>11.627901505710838</v>
      </c>
      <c r="I824" s="83">
        <v>1733.2466348472265</v>
      </c>
      <c r="J824" s="83">
        <v>23.84299142464991</v>
      </c>
    </row>
    <row r="825" spans="1:10" ht="16">
      <c r="A825" s="79" t="s">
        <v>198</v>
      </c>
      <c r="B825" s="79" t="s">
        <v>199</v>
      </c>
      <c r="C825" s="80" t="s">
        <v>95</v>
      </c>
      <c r="D825" s="81" t="s">
        <v>149</v>
      </c>
      <c r="E825" s="82">
        <v>3830</v>
      </c>
      <c r="F825" s="82">
        <v>351</v>
      </c>
      <c r="G825" s="82">
        <v>575</v>
      </c>
      <c r="H825" s="83">
        <v>19.777349370841488</v>
      </c>
      <c r="I825" s="83">
        <v>14385.018360464834</v>
      </c>
      <c r="J825" s="83">
        <v>23.196785577460144</v>
      </c>
    </row>
    <row r="826" spans="1:10" ht="16">
      <c r="A826" s="79" t="s">
        <v>802</v>
      </c>
      <c r="B826" s="79" t="s">
        <v>801</v>
      </c>
      <c r="C826" s="80" t="s">
        <v>95</v>
      </c>
      <c r="D826" s="81" t="s">
        <v>79</v>
      </c>
      <c r="E826" s="82">
        <v>17180</v>
      </c>
      <c r="F826" s="82">
        <v>1701</v>
      </c>
      <c r="G826" s="82">
        <v>2577</v>
      </c>
      <c r="H826" s="83">
        <v>20.393112497724424</v>
      </c>
      <c r="I826" s="83">
        <v>6360.7845593171833</v>
      </c>
      <c r="J826" s="83">
        <v>34.700939755704994</v>
      </c>
    </row>
    <row r="827" spans="1:10" ht="16">
      <c r="A827" s="79" t="s">
        <v>803</v>
      </c>
      <c r="B827" s="79" t="s">
        <v>801</v>
      </c>
      <c r="C827" s="80" t="s">
        <v>126</v>
      </c>
      <c r="D827" s="81" t="s">
        <v>111</v>
      </c>
      <c r="E827" s="82">
        <v>12154</v>
      </c>
      <c r="F827" s="82">
        <v>711</v>
      </c>
      <c r="G827" s="82">
        <v>608</v>
      </c>
      <c r="H827" s="83">
        <v>12.550435005307634</v>
      </c>
      <c r="I827" s="83">
        <v>7550.7921321636722</v>
      </c>
      <c r="J827" s="83">
        <v>16.845673510716757</v>
      </c>
    </row>
    <row r="828" spans="1:10" ht="16">
      <c r="A828" s="79" t="s">
        <v>804</v>
      </c>
      <c r="B828" s="79" t="s">
        <v>801</v>
      </c>
      <c r="C828" s="80" t="s">
        <v>95</v>
      </c>
      <c r="D828" s="81" t="s">
        <v>103</v>
      </c>
      <c r="E828" s="82">
        <v>15973</v>
      </c>
      <c r="F828" s="82">
        <v>850</v>
      </c>
      <c r="G828" s="82">
        <v>958</v>
      </c>
      <c r="H828" s="83">
        <v>9.2301409223840842</v>
      </c>
      <c r="I828" s="83">
        <v>871.49979347628505</v>
      </c>
      <c r="J828" s="83">
        <v>18.255333201737063</v>
      </c>
    </row>
    <row r="829" spans="1:10" ht="16">
      <c r="A829" s="79" t="s">
        <v>805</v>
      </c>
      <c r="B829" s="79" t="s">
        <v>801</v>
      </c>
      <c r="C829" s="80" t="s">
        <v>95</v>
      </c>
      <c r="D829" s="81" t="s">
        <v>99</v>
      </c>
      <c r="E829" s="82">
        <v>20018</v>
      </c>
      <c r="F829" s="82">
        <v>1654</v>
      </c>
      <c r="G829" s="82">
        <v>4604</v>
      </c>
      <c r="H829" s="83">
        <v>31.476807011985329</v>
      </c>
      <c r="I829" s="83">
        <v>6006.9558164632708</v>
      </c>
      <c r="J829" s="83">
        <v>32.475302129842632</v>
      </c>
    </row>
    <row r="830" spans="1:10" ht="16">
      <c r="A830" s="79" t="s">
        <v>806</v>
      </c>
      <c r="B830" s="79" t="s">
        <v>801</v>
      </c>
      <c r="C830" s="80" t="s">
        <v>95</v>
      </c>
      <c r="D830" s="81" t="s">
        <v>101</v>
      </c>
      <c r="E830" s="82">
        <v>20908</v>
      </c>
      <c r="F830" s="82">
        <v>1954</v>
      </c>
      <c r="G830" s="82">
        <v>3136</v>
      </c>
      <c r="H830" s="83">
        <v>23.151332238891236</v>
      </c>
      <c r="I830" s="83">
        <v>6063.2042215919291</v>
      </c>
      <c r="J830" s="83">
        <v>35.860322241757366</v>
      </c>
    </row>
    <row r="831" spans="1:10" ht="16">
      <c r="A831" s="79" t="s">
        <v>807</v>
      </c>
      <c r="B831" s="79" t="s">
        <v>801</v>
      </c>
      <c r="C831" s="80" t="s">
        <v>95</v>
      </c>
      <c r="D831" s="81" t="s">
        <v>78</v>
      </c>
      <c r="E831" s="82">
        <v>19087</v>
      </c>
      <c r="F831" s="82">
        <v>1704</v>
      </c>
      <c r="G831" s="82">
        <v>2672</v>
      </c>
      <c r="H831" s="83">
        <v>25.707493852646554</v>
      </c>
      <c r="I831" s="83">
        <v>7382.4202341234031</v>
      </c>
      <c r="J831" s="83">
        <v>36.631902233714264</v>
      </c>
    </row>
    <row r="832" spans="1:10" ht="16">
      <c r="A832" s="79" t="s">
        <v>808</v>
      </c>
      <c r="B832" s="79" t="s">
        <v>801</v>
      </c>
      <c r="C832" s="80" t="s">
        <v>95</v>
      </c>
      <c r="D832" s="81" t="s">
        <v>77</v>
      </c>
      <c r="E832" s="82">
        <v>54483</v>
      </c>
      <c r="F832" s="82">
        <v>3186</v>
      </c>
      <c r="G832" s="82">
        <v>3791</v>
      </c>
      <c r="H832" s="83">
        <v>12.889028865528502</v>
      </c>
      <c r="I832" s="83">
        <v>1398.6199750278195</v>
      </c>
      <c r="J832" s="83">
        <v>18.154444868470488</v>
      </c>
    </row>
    <row r="833" spans="1:10" ht="16">
      <c r="A833" s="79" t="s">
        <v>809</v>
      </c>
      <c r="B833" s="79" t="s">
        <v>801</v>
      </c>
      <c r="C833" s="80" t="s">
        <v>126</v>
      </c>
      <c r="D833" s="81" t="s">
        <v>149</v>
      </c>
      <c r="E833" s="82">
        <v>6212</v>
      </c>
      <c r="F833" s="82">
        <v>391</v>
      </c>
      <c r="G833" s="82">
        <v>1056</v>
      </c>
      <c r="H833" s="83">
        <v>30.394189621448163</v>
      </c>
      <c r="I833" s="83">
        <v>8089.6705760788473</v>
      </c>
      <c r="J833" s="83">
        <v>27.359668504175684</v>
      </c>
    </row>
    <row r="834" spans="1:10" ht="16">
      <c r="A834" s="79" t="s">
        <v>810</v>
      </c>
      <c r="B834" s="79" t="s">
        <v>801</v>
      </c>
      <c r="C834" s="80" t="s">
        <v>126</v>
      </c>
      <c r="D834" s="81" t="s">
        <v>79</v>
      </c>
      <c r="E834" s="82">
        <v>6780</v>
      </c>
      <c r="F834" s="82">
        <v>421</v>
      </c>
      <c r="G834" s="82">
        <v>407</v>
      </c>
      <c r="H834" s="83">
        <v>13.852028718108233</v>
      </c>
      <c r="I834" s="83">
        <v>4686.2567192858996</v>
      </c>
      <c r="J834" s="83">
        <v>18.67280594398575</v>
      </c>
    </row>
    <row r="835" spans="1:10" ht="16">
      <c r="A835" s="79" t="s">
        <v>811</v>
      </c>
      <c r="B835" s="79" t="s">
        <v>801</v>
      </c>
      <c r="C835" s="80" t="s">
        <v>95</v>
      </c>
      <c r="D835" s="81" t="s">
        <v>99</v>
      </c>
      <c r="E835" s="82">
        <v>18763</v>
      </c>
      <c r="F835" s="82">
        <v>1165</v>
      </c>
      <c r="G835" s="82">
        <v>375</v>
      </c>
      <c r="H835" s="83">
        <v>12.90809276756953</v>
      </c>
      <c r="I835" s="83">
        <v>9987.2183418414188</v>
      </c>
      <c r="J835" s="83">
        <v>15.558346649441978</v>
      </c>
    </row>
    <row r="836" spans="1:10" ht="16">
      <c r="A836" s="79" t="s">
        <v>812</v>
      </c>
      <c r="B836" s="79" t="s">
        <v>801</v>
      </c>
      <c r="C836" s="80" t="s">
        <v>95</v>
      </c>
      <c r="D836" s="81" t="s">
        <v>75</v>
      </c>
      <c r="E836" s="82">
        <v>12871</v>
      </c>
      <c r="F836" s="82">
        <v>1100</v>
      </c>
      <c r="G836" s="82">
        <v>3218</v>
      </c>
      <c r="H836" s="83">
        <v>21.796312315925796</v>
      </c>
      <c r="I836" s="83">
        <v>1940.9331277118938</v>
      </c>
      <c r="J836" s="83">
        <v>31.034374694886896</v>
      </c>
    </row>
    <row r="837" spans="1:10" ht="16">
      <c r="A837" s="79" t="s">
        <v>1396</v>
      </c>
      <c r="B837" s="79" t="s">
        <v>1307</v>
      </c>
      <c r="C837" s="80" t="s">
        <v>126</v>
      </c>
      <c r="D837" s="81" t="s">
        <v>103</v>
      </c>
      <c r="E837" s="82">
        <v>25849</v>
      </c>
      <c r="F837" s="82">
        <v>1486</v>
      </c>
      <c r="G837" s="82">
        <v>4394</v>
      </c>
      <c r="H837" s="83">
        <v>33.003212271269966</v>
      </c>
      <c r="I837" s="83">
        <v>24149.129623040782</v>
      </c>
      <c r="J837" s="83">
        <v>37.519453304335002</v>
      </c>
    </row>
    <row r="838" spans="1:10" ht="16">
      <c r="A838" s="79" t="s">
        <v>606</v>
      </c>
      <c r="B838" s="79" t="s">
        <v>600</v>
      </c>
      <c r="C838" s="80" t="s">
        <v>95</v>
      </c>
      <c r="D838" s="81" t="s">
        <v>76</v>
      </c>
      <c r="E838" s="82">
        <v>16861</v>
      </c>
      <c r="F838" s="82">
        <v>937</v>
      </c>
      <c r="G838" s="82">
        <v>3035</v>
      </c>
      <c r="H838" s="83">
        <v>24.066018978655208</v>
      </c>
      <c r="I838" s="83">
        <v>17913.874725502577</v>
      </c>
      <c r="J838" s="83">
        <v>25.339719458321703</v>
      </c>
    </row>
    <row r="839" spans="1:10" ht="16">
      <c r="A839" s="79" t="s">
        <v>607</v>
      </c>
      <c r="B839" s="79" t="s">
        <v>600</v>
      </c>
      <c r="C839" s="80" t="s">
        <v>95</v>
      </c>
      <c r="D839" s="81" t="s">
        <v>79</v>
      </c>
      <c r="E839" s="82">
        <v>22541</v>
      </c>
      <c r="F839" s="82">
        <v>976</v>
      </c>
      <c r="G839" s="82">
        <v>6537</v>
      </c>
      <c r="H839" s="83">
        <v>37.40776462405546</v>
      </c>
      <c r="I839" s="83">
        <v>26912.459515213061</v>
      </c>
      <c r="J839" s="83">
        <v>30.852033045862683</v>
      </c>
    </row>
    <row r="840" spans="1:10" ht="16">
      <c r="A840" s="79" t="s">
        <v>1257</v>
      </c>
      <c r="B840" s="79" t="s">
        <v>1209</v>
      </c>
      <c r="C840" s="80" t="s">
        <v>95</v>
      </c>
      <c r="D840" s="81" t="s">
        <v>103</v>
      </c>
      <c r="E840" s="82">
        <v>12399</v>
      </c>
      <c r="F840" s="82">
        <v>790</v>
      </c>
      <c r="G840" s="82">
        <v>4836</v>
      </c>
      <c r="H840" s="83">
        <v>33.938443744485149</v>
      </c>
      <c r="I840" s="83">
        <v>31767.934705386237</v>
      </c>
      <c r="J840" s="83">
        <v>31.322381852181572</v>
      </c>
    </row>
    <row r="841" spans="1:10" ht="16">
      <c r="A841" s="79" t="s">
        <v>129</v>
      </c>
      <c r="B841" s="79" t="s">
        <v>108</v>
      </c>
      <c r="C841" s="80" t="s">
        <v>126</v>
      </c>
      <c r="D841" s="81" t="s">
        <v>79</v>
      </c>
      <c r="E841" s="82">
        <v>21093</v>
      </c>
      <c r="F841" s="82">
        <v>705</v>
      </c>
      <c r="G841" s="82">
        <v>6117</v>
      </c>
      <c r="H841" s="83">
        <v>41.687981204544982</v>
      </c>
      <c r="I841" s="83">
        <v>39730.815076222629</v>
      </c>
      <c r="J841" s="83">
        <v>34.373149126882119</v>
      </c>
    </row>
    <row r="842" spans="1:10" ht="16">
      <c r="A842" s="79" t="s">
        <v>885</v>
      </c>
      <c r="B842" s="79" t="s">
        <v>877</v>
      </c>
      <c r="C842" s="80" t="s">
        <v>126</v>
      </c>
      <c r="D842" s="81" t="s">
        <v>76</v>
      </c>
      <c r="E842" s="82">
        <v>24440</v>
      </c>
      <c r="F842" s="82">
        <v>690</v>
      </c>
      <c r="G842" s="82">
        <v>1701</v>
      </c>
      <c r="H842" s="83">
        <v>16.853732204092651</v>
      </c>
      <c r="I842" s="83">
        <v>4724.8601633359158</v>
      </c>
      <c r="J842" s="83">
        <v>17.542052357898225</v>
      </c>
    </row>
    <row r="843" spans="1:10" ht="16">
      <c r="A843" s="79" t="s">
        <v>1397</v>
      </c>
      <c r="B843" s="79" t="s">
        <v>1307</v>
      </c>
      <c r="C843" s="80" t="s">
        <v>95</v>
      </c>
      <c r="D843" s="81" t="s">
        <v>79</v>
      </c>
      <c r="E843" s="82">
        <v>35120</v>
      </c>
      <c r="F843" s="82">
        <v>1561</v>
      </c>
      <c r="G843" s="82">
        <v>1405</v>
      </c>
      <c r="H843" s="83">
        <v>22.942941848043443</v>
      </c>
      <c r="I843" s="83">
        <v>17388.77176354867</v>
      </c>
      <c r="J843" s="83">
        <v>27.635894043013828</v>
      </c>
    </row>
    <row r="844" spans="1:10" ht="16">
      <c r="A844" s="79" t="s">
        <v>1398</v>
      </c>
      <c r="B844" s="79" t="s">
        <v>1307</v>
      </c>
      <c r="C844" s="80" t="s">
        <v>95</v>
      </c>
      <c r="D844" s="81" t="s">
        <v>79</v>
      </c>
      <c r="E844" s="82">
        <v>16927</v>
      </c>
      <c r="F844" s="82">
        <v>1014</v>
      </c>
      <c r="G844" s="82">
        <v>1016</v>
      </c>
      <c r="H844" s="83">
        <v>34.468418999051252</v>
      </c>
      <c r="I844" s="83">
        <v>32783.82871075462</v>
      </c>
      <c r="J844" s="83">
        <v>39.205477835470205</v>
      </c>
    </row>
    <row r="845" spans="1:10" ht="16">
      <c r="A845" s="79" t="s">
        <v>1399</v>
      </c>
      <c r="B845" s="79" t="s">
        <v>1307</v>
      </c>
      <c r="C845" s="80" t="s">
        <v>126</v>
      </c>
      <c r="D845" s="81" t="s">
        <v>101</v>
      </c>
      <c r="E845" s="82">
        <v>6729</v>
      </c>
      <c r="F845" s="82">
        <v>413</v>
      </c>
      <c r="G845" s="82">
        <v>538</v>
      </c>
      <c r="H845" s="83">
        <v>22.785200873708717</v>
      </c>
      <c r="I845" s="83">
        <v>13043.62461167601</v>
      </c>
      <c r="J845" s="83">
        <v>22.486765190777092</v>
      </c>
    </row>
    <row r="846" spans="1:10" ht="16">
      <c r="A846" s="79" t="s">
        <v>1400</v>
      </c>
      <c r="B846" s="79" t="s">
        <v>1307</v>
      </c>
      <c r="C846" s="80" t="s">
        <v>95</v>
      </c>
      <c r="D846" s="81" t="s">
        <v>149</v>
      </c>
      <c r="E846" s="82">
        <v>3593</v>
      </c>
      <c r="F846" s="82">
        <v>413</v>
      </c>
      <c r="G846" s="82">
        <v>180</v>
      </c>
      <c r="H846" s="83">
        <v>25.181096785318573</v>
      </c>
      <c r="I846" s="83">
        <v>18189.29522065954</v>
      </c>
      <c r="J846" s="83">
        <v>27.601999983418601</v>
      </c>
    </row>
    <row r="847" spans="1:10" ht="16">
      <c r="A847" s="79" t="s">
        <v>213</v>
      </c>
      <c r="B847" s="79" t="s">
        <v>203</v>
      </c>
      <c r="C847" s="80" t="s">
        <v>95</v>
      </c>
      <c r="D847" s="81" t="s">
        <v>77</v>
      </c>
      <c r="E847" s="82">
        <v>31919</v>
      </c>
      <c r="F847" s="82">
        <v>1520</v>
      </c>
      <c r="G847" s="82">
        <v>8299</v>
      </c>
      <c r="H847" s="83">
        <v>49.644957828306424</v>
      </c>
      <c r="I847" s="83">
        <v>34311.830740916295</v>
      </c>
      <c r="J847" s="83">
        <v>48.125900715216019</v>
      </c>
    </row>
    <row r="848" spans="1:10" ht="16">
      <c r="A848" s="79" t="s">
        <v>916</v>
      </c>
      <c r="B848" s="79" t="s">
        <v>912</v>
      </c>
      <c r="C848" s="80" t="s">
        <v>95</v>
      </c>
      <c r="D848" s="81" t="s">
        <v>75</v>
      </c>
      <c r="E848" s="82">
        <v>7780</v>
      </c>
      <c r="F848" s="82">
        <v>603</v>
      </c>
      <c r="G848" s="82">
        <v>1245</v>
      </c>
      <c r="H848" s="83">
        <v>13.750647711381012</v>
      </c>
      <c r="I848" s="83">
        <v>5456.759932691868</v>
      </c>
      <c r="J848" s="83">
        <v>18.055122625155409</v>
      </c>
    </row>
    <row r="849" spans="1:10" ht="16">
      <c r="A849" s="79" t="s">
        <v>1051</v>
      </c>
      <c r="B849" s="79" t="s">
        <v>1039</v>
      </c>
      <c r="C849" s="80" t="s">
        <v>95</v>
      </c>
      <c r="D849" s="81" t="s">
        <v>149</v>
      </c>
      <c r="E849" s="82">
        <v>27207</v>
      </c>
      <c r="F849" s="82">
        <v>1479</v>
      </c>
      <c r="G849" s="82">
        <v>2449</v>
      </c>
      <c r="H849" s="83">
        <v>15.356910057660354</v>
      </c>
      <c r="I849" s="83">
        <v>4267.9962886078683</v>
      </c>
      <c r="J849" s="83">
        <v>20.06809737196561</v>
      </c>
    </row>
    <row r="850" spans="1:10" ht="16">
      <c r="A850" s="79" t="s">
        <v>846</v>
      </c>
      <c r="B850" s="79" t="s">
        <v>839</v>
      </c>
      <c r="C850" s="80" t="s">
        <v>95</v>
      </c>
      <c r="D850" s="81" t="s">
        <v>77</v>
      </c>
      <c r="E850" s="82">
        <v>26723</v>
      </c>
      <c r="F850" s="82">
        <v>1979</v>
      </c>
      <c r="G850" s="82">
        <v>4810</v>
      </c>
      <c r="H850" s="83">
        <v>63.904745126827066</v>
      </c>
      <c r="I850" s="83">
        <v>57876.710136171903</v>
      </c>
      <c r="J850" s="83">
        <v>48.901761339982038</v>
      </c>
    </row>
    <row r="851" spans="1:10" ht="16">
      <c r="A851" s="79" t="s">
        <v>327</v>
      </c>
      <c r="B851" s="79" t="s">
        <v>323</v>
      </c>
      <c r="C851" s="80" t="s">
        <v>95</v>
      </c>
      <c r="D851" s="81" t="s">
        <v>79</v>
      </c>
      <c r="E851" s="82">
        <v>41389</v>
      </c>
      <c r="F851" s="82">
        <v>1725</v>
      </c>
      <c r="G851" s="82">
        <v>2850</v>
      </c>
      <c r="H851" s="83">
        <v>17.94398881576581</v>
      </c>
      <c r="I851" s="83">
        <v>2932.1064421521687</v>
      </c>
      <c r="J851" s="83">
        <v>16.792678129969502</v>
      </c>
    </row>
    <row r="852" spans="1:10" ht="16">
      <c r="A852" s="79" t="s">
        <v>166</v>
      </c>
      <c r="B852" s="79" t="s">
        <v>163</v>
      </c>
      <c r="C852" s="80" t="s">
        <v>95</v>
      </c>
      <c r="D852" s="81" t="s">
        <v>149</v>
      </c>
      <c r="E852" s="82">
        <v>15166</v>
      </c>
      <c r="F852" s="82">
        <v>518</v>
      </c>
      <c r="G852" s="82">
        <v>2578</v>
      </c>
      <c r="H852" s="83">
        <v>44.667460690546143</v>
      </c>
      <c r="I852" s="83">
        <v>33787.884374934045</v>
      </c>
      <c r="J852" s="83">
        <v>36.05348133599793</v>
      </c>
    </row>
    <row r="853" spans="1:10" ht="16">
      <c r="A853" s="79" t="s">
        <v>1401</v>
      </c>
      <c r="B853" s="79" t="s">
        <v>1307</v>
      </c>
      <c r="C853" s="80" t="s">
        <v>95</v>
      </c>
      <c r="D853" s="81" t="s">
        <v>101</v>
      </c>
      <c r="E853" s="82">
        <v>39124</v>
      </c>
      <c r="F853" s="82">
        <v>2126</v>
      </c>
      <c r="G853" s="82">
        <v>3912</v>
      </c>
      <c r="H853" s="83">
        <v>53.791055751607246</v>
      </c>
      <c r="I853" s="83">
        <v>45862.671302885537</v>
      </c>
      <c r="J853" s="83">
        <v>52.623418546816474</v>
      </c>
    </row>
    <row r="854" spans="1:10" ht="16">
      <c r="A854" s="79" t="s">
        <v>1402</v>
      </c>
      <c r="B854" s="79" t="s">
        <v>1307</v>
      </c>
      <c r="C854" s="80" t="s">
        <v>95</v>
      </c>
      <c r="D854" s="81" t="s">
        <v>111</v>
      </c>
      <c r="E854" s="82">
        <v>24754</v>
      </c>
      <c r="F854" s="82">
        <v>1250</v>
      </c>
      <c r="G854" s="82">
        <v>1238</v>
      </c>
      <c r="H854" s="83">
        <v>23.102534361688523</v>
      </c>
      <c r="I854" s="83">
        <v>8534.4039650776394</v>
      </c>
      <c r="J854" s="83">
        <v>27.748249809535178</v>
      </c>
    </row>
    <row r="855" spans="1:10" ht="16">
      <c r="A855" s="79" t="s">
        <v>856</v>
      </c>
      <c r="B855" s="79" t="s">
        <v>853</v>
      </c>
      <c r="C855" s="80" t="s">
        <v>95</v>
      </c>
      <c r="D855" s="81" t="s">
        <v>149</v>
      </c>
      <c r="E855" s="82">
        <v>32821</v>
      </c>
      <c r="F855" s="82">
        <v>1485</v>
      </c>
      <c r="G855" s="82">
        <v>10503</v>
      </c>
      <c r="H855" s="83">
        <v>44.769030829967072</v>
      </c>
      <c r="I855" s="83">
        <v>35216.026786917289</v>
      </c>
      <c r="J855" s="83">
        <v>32.069873062493777</v>
      </c>
    </row>
    <row r="856" spans="1:10" ht="16">
      <c r="A856" s="79" t="s">
        <v>917</v>
      </c>
      <c r="B856" s="79" t="s">
        <v>912</v>
      </c>
      <c r="C856" s="80" t="s">
        <v>95</v>
      </c>
      <c r="D856" s="81" t="s">
        <v>78</v>
      </c>
      <c r="E856" s="82">
        <v>9774</v>
      </c>
      <c r="F856" s="82">
        <v>592</v>
      </c>
      <c r="G856" s="82">
        <v>1173</v>
      </c>
      <c r="H856" s="83">
        <v>26.282820379599972</v>
      </c>
      <c r="I856" s="83">
        <v>10389.239910168026</v>
      </c>
      <c r="J856" s="83">
        <v>25.275188135015046</v>
      </c>
    </row>
    <row r="857" spans="1:10" ht="16">
      <c r="A857" s="79" t="s">
        <v>596</v>
      </c>
      <c r="B857" s="79" t="s">
        <v>597</v>
      </c>
      <c r="C857" s="80" t="s">
        <v>95</v>
      </c>
      <c r="D857" s="81" t="s">
        <v>79</v>
      </c>
      <c r="E857" s="82">
        <v>66399</v>
      </c>
      <c r="F857" s="82">
        <v>6385</v>
      </c>
      <c r="G857" s="82">
        <v>4620</v>
      </c>
      <c r="H857" s="83">
        <v>8.0359612058835079</v>
      </c>
      <c r="I857" s="83">
        <v>3446.5308392671577</v>
      </c>
      <c r="J857" s="83">
        <v>20.092716773922827</v>
      </c>
    </row>
    <row r="858" spans="1:10" ht="16">
      <c r="A858" s="79" t="s">
        <v>1052</v>
      </c>
      <c r="B858" s="79" t="s">
        <v>1039</v>
      </c>
      <c r="C858" s="80" t="s">
        <v>95</v>
      </c>
      <c r="D858" s="81" t="s">
        <v>99</v>
      </c>
      <c r="E858" s="82">
        <v>46214</v>
      </c>
      <c r="F858" s="82">
        <v>3916</v>
      </c>
      <c r="G858" s="82">
        <v>4621</v>
      </c>
      <c r="H858" s="83">
        <v>33.471643127053007</v>
      </c>
      <c r="I858" s="83">
        <v>28518.661305996051</v>
      </c>
      <c r="J858" s="83">
        <v>37.45743894995028</v>
      </c>
    </row>
    <row r="859" spans="1:10" ht="16">
      <c r="A859" s="79" t="s">
        <v>626</v>
      </c>
      <c r="B859" s="79" t="s">
        <v>617</v>
      </c>
      <c r="C859" s="80" t="s">
        <v>95</v>
      </c>
      <c r="D859" s="81" t="s">
        <v>76</v>
      </c>
      <c r="E859" s="82">
        <v>29564</v>
      </c>
      <c r="F859" s="82">
        <v>1442</v>
      </c>
      <c r="G859" s="82">
        <v>296</v>
      </c>
      <c r="H859" s="83">
        <v>17.627542156820837</v>
      </c>
      <c r="I859" s="83">
        <v>14947.544307828262</v>
      </c>
      <c r="J859" s="83">
        <v>17.071163302995981</v>
      </c>
    </row>
    <row r="860" spans="1:10" ht="16">
      <c r="A860" s="79" t="s">
        <v>1092</v>
      </c>
      <c r="B860" s="79" t="s">
        <v>1091</v>
      </c>
      <c r="C860" s="80" t="s">
        <v>95</v>
      </c>
      <c r="D860" s="81" t="s">
        <v>76</v>
      </c>
      <c r="E860" s="82">
        <v>11518</v>
      </c>
      <c r="F860" s="82">
        <v>729</v>
      </c>
      <c r="G860" s="82">
        <v>3110</v>
      </c>
      <c r="H860" s="83">
        <v>41.942562085186324</v>
      </c>
      <c r="I860" s="83">
        <v>37664.531329657773</v>
      </c>
      <c r="J860" s="83">
        <v>43.260028771399753</v>
      </c>
    </row>
    <row r="861" spans="1:10" ht="16">
      <c r="A861" s="79" t="s">
        <v>1258</v>
      </c>
      <c r="B861" s="79" t="s">
        <v>1209</v>
      </c>
      <c r="C861" s="80" t="s">
        <v>126</v>
      </c>
      <c r="D861" s="81" t="s">
        <v>79</v>
      </c>
      <c r="E861" s="82">
        <v>13825</v>
      </c>
      <c r="F861" s="82">
        <v>843</v>
      </c>
      <c r="G861" s="82">
        <v>4424</v>
      </c>
      <c r="H861" s="83">
        <v>31.796101565878118</v>
      </c>
      <c r="I861" s="83">
        <v>23616.925890438819</v>
      </c>
      <c r="J861" s="83">
        <v>28.756409329706951</v>
      </c>
    </row>
    <row r="862" spans="1:10" ht="16">
      <c r="A862" s="79" t="s">
        <v>444</v>
      </c>
      <c r="B862" s="79" t="s">
        <v>421</v>
      </c>
      <c r="C862" s="80" t="s">
        <v>126</v>
      </c>
      <c r="D862" s="81" t="s">
        <v>79</v>
      </c>
      <c r="E862" s="82">
        <v>9255</v>
      </c>
      <c r="F862" s="82">
        <v>312</v>
      </c>
      <c r="G862" s="82">
        <v>926</v>
      </c>
      <c r="H862" s="83">
        <v>34.528816332779186</v>
      </c>
      <c r="I862" s="83">
        <v>19253.577172298668</v>
      </c>
      <c r="J862" s="83">
        <v>35.428158125808281</v>
      </c>
    </row>
    <row r="863" spans="1:10" ht="16">
      <c r="A863" s="79" t="s">
        <v>1259</v>
      </c>
      <c r="B863" s="79" t="s">
        <v>1209</v>
      </c>
      <c r="C863" s="80" t="s">
        <v>95</v>
      </c>
      <c r="D863" s="81" t="s">
        <v>79</v>
      </c>
      <c r="E863" s="82">
        <v>10808</v>
      </c>
      <c r="F863" s="82">
        <v>540</v>
      </c>
      <c r="G863" s="82">
        <v>3675</v>
      </c>
      <c r="H863" s="83">
        <v>13.674997197899248</v>
      </c>
      <c r="I863" s="83">
        <v>3996.52849874905</v>
      </c>
      <c r="J863" s="83">
        <v>17.700067145935559</v>
      </c>
    </row>
    <row r="864" spans="1:10" ht="16">
      <c r="A864" s="79" t="s">
        <v>918</v>
      </c>
      <c r="B864" s="79" t="s">
        <v>912</v>
      </c>
      <c r="C864" s="80" t="s">
        <v>95</v>
      </c>
      <c r="D864" s="81" t="s">
        <v>76</v>
      </c>
      <c r="E864" s="82">
        <v>7022</v>
      </c>
      <c r="F864" s="82">
        <v>447</v>
      </c>
      <c r="G864" s="82">
        <v>983</v>
      </c>
      <c r="H864" s="83">
        <v>17.170321294277475</v>
      </c>
      <c r="I864" s="83">
        <v>8064.1002940214521</v>
      </c>
      <c r="J864" s="83">
        <v>18.68690264652902</v>
      </c>
    </row>
    <row r="865" spans="1:10" ht="16">
      <c r="A865" s="79" t="s">
        <v>627</v>
      </c>
      <c r="B865" s="79" t="s">
        <v>617</v>
      </c>
      <c r="C865" s="80" t="s">
        <v>95</v>
      </c>
      <c r="D865" s="81" t="s">
        <v>79</v>
      </c>
      <c r="E865" s="82">
        <v>19022</v>
      </c>
      <c r="F865" s="82">
        <v>334</v>
      </c>
      <c r="G865" s="82">
        <v>1332</v>
      </c>
      <c r="H865" s="83">
        <v>21.642935364681605</v>
      </c>
      <c r="I865" s="83">
        <v>12483.910306085485</v>
      </c>
      <c r="J865" s="83">
        <v>20.045762159842834</v>
      </c>
    </row>
    <row r="866" spans="1:10" ht="16">
      <c r="A866" s="79" t="s">
        <v>872</v>
      </c>
      <c r="B866" s="79" t="s">
        <v>869</v>
      </c>
      <c r="C866" s="80" t="s">
        <v>95</v>
      </c>
      <c r="D866" s="81" t="s">
        <v>101</v>
      </c>
      <c r="E866" s="82">
        <v>14007</v>
      </c>
      <c r="F866" s="82">
        <v>1121</v>
      </c>
      <c r="G866" s="82">
        <v>1961</v>
      </c>
      <c r="H866" s="83">
        <v>29.51476400265382</v>
      </c>
      <c r="I866" s="83">
        <v>27696.804944326923</v>
      </c>
      <c r="J866" s="83">
        <v>30.099203784394575</v>
      </c>
    </row>
    <row r="867" spans="1:10" ht="16">
      <c r="A867" s="79" t="s">
        <v>1093</v>
      </c>
      <c r="B867" s="79" t="s">
        <v>1091</v>
      </c>
      <c r="C867" s="80" t="s">
        <v>95</v>
      </c>
      <c r="D867" s="81" t="s">
        <v>96</v>
      </c>
      <c r="E867" s="82">
        <v>11090</v>
      </c>
      <c r="F867" s="82">
        <v>672</v>
      </c>
      <c r="G867" s="82">
        <v>1774</v>
      </c>
      <c r="H867" s="83">
        <v>41.869922317440952</v>
      </c>
      <c r="I867" s="83">
        <v>35740.147278160344</v>
      </c>
      <c r="J867" s="83">
        <v>44.557425786835957</v>
      </c>
    </row>
    <row r="868" spans="1:10" ht="16">
      <c r="A868" s="79" t="s">
        <v>584</v>
      </c>
      <c r="B868" s="79" t="s">
        <v>556</v>
      </c>
      <c r="C868" s="80" t="s">
        <v>95</v>
      </c>
      <c r="D868" s="81" t="s">
        <v>75</v>
      </c>
      <c r="E868" s="82">
        <v>11000</v>
      </c>
      <c r="F868" s="82">
        <v>451</v>
      </c>
      <c r="G868" s="82">
        <v>110</v>
      </c>
      <c r="H868" s="83">
        <v>8.6763187620254545</v>
      </c>
      <c r="I868" s="83">
        <v>694.82550754838621</v>
      </c>
      <c r="J868" s="83">
        <v>17.334285018751146</v>
      </c>
    </row>
    <row r="869" spans="1:10" ht="16">
      <c r="A869" s="79" t="s">
        <v>1260</v>
      </c>
      <c r="B869" s="79" t="s">
        <v>1209</v>
      </c>
      <c r="C869" s="80" t="s">
        <v>95</v>
      </c>
      <c r="D869" s="81" t="s">
        <v>75</v>
      </c>
      <c r="E869" s="82">
        <v>29542</v>
      </c>
      <c r="F869" s="82">
        <v>1906</v>
      </c>
      <c r="G869" s="82">
        <v>8567</v>
      </c>
      <c r="H869" s="83">
        <v>46.223635136613197</v>
      </c>
      <c r="I869" s="83">
        <v>42081.425644975192</v>
      </c>
      <c r="J869" s="83">
        <v>40.079695444068975</v>
      </c>
    </row>
    <row r="870" spans="1:10" ht="16">
      <c r="A870" s="79" t="s">
        <v>93</v>
      </c>
      <c r="B870" s="79" t="s">
        <v>94</v>
      </c>
      <c r="C870" s="80" t="s">
        <v>95</v>
      </c>
      <c r="D870" s="81" t="s">
        <v>96</v>
      </c>
      <c r="E870" s="82">
        <v>34037</v>
      </c>
      <c r="F870" s="82">
        <v>1389</v>
      </c>
      <c r="G870" s="82">
        <v>340</v>
      </c>
      <c r="H870" s="83">
        <v>8.208140330159571</v>
      </c>
      <c r="I870" s="83">
        <v>1033.9511720003675</v>
      </c>
      <c r="J870" s="83">
        <v>16.432070144451572</v>
      </c>
    </row>
    <row r="871" spans="1:10" ht="16">
      <c r="A871" s="79" t="s">
        <v>628</v>
      </c>
      <c r="B871" s="79" t="s">
        <v>617</v>
      </c>
      <c r="C871" s="80" t="s">
        <v>95</v>
      </c>
      <c r="D871" s="81" t="s">
        <v>101</v>
      </c>
      <c r="E871" s="82">
        <v>65819</v>
      </c>
      <c r="F871" s="82">
        <v>2742</v>
      </c>
      <c r="G871" s="82">
        <v>7898</v>
      </c>
      <c r="H871" s="83">
        <v>35.173299290335642</v>
      </c>
      <c r="I871" s="83">
        <v>29183.51591822668</v>
      </c>
      <c r="J871" s="83">
        <v>52.103041506358309</v>
      </c>
    </row>
    <row r="872" spans="1:10" ht="16">
      <c r="A872" s="79" t="s">
        <v>445</v>
      </c>
      <c r="B872" s="79" t="s">
        <v>421</v>
      </c>
      <c r="C872" s="80" t="s">
        <v>95</v>
      </c>
      <c r="D872" s="81" t="s">
        <v>101</v>
      </c>
      <c r="E872" s="82">
        <v>36352</v>
      </c>
      <c r="F872" s="82">
        <v>537</v>
      </c>
      <c r="G872" s="82">
        <v>4726</v>
      </c>
      <c r="H872" s="83">
        <v>47.256162528571451</v>
      </c>
      <c r="I872" s="83">
        <v>41403.494237364437</v>
      </c>
      <c r="J872" s="83">
        <v>47.716569066206972</v>
      </c>
    </row>
    <row r="873" spans="1:10" ht="16">
      <c r="A873" s="79" t="s">
        <v>408</v>
      </c>
      <c r="B873" s="79" t="s">
        <v>396</v>
      </c>
      <c r="C873" s="80" t="s">
        <v>95</v>
      </c>
      <c r="D873" s="81" t="s">
        <v>103</v>
      </c>
      <c r="E873" s="82">
        <v>54965</v>
      </c>
      <c r="F873" s="82">
        <v>2545</v>
      </c>
      <c r="G873" s="82">
        <v>7145</v>
      </c>
      <c r="H873" s="83">
        <v>23.01969189132587</v>
      </c>
      <c r="I873" s="83">
        <v>15226.384630902399</v>
      </c>
      <c r="J873" s="83">
        <v>30.846128096426817</v>
      </c>
    </row>
    <row r="874" spans="1:10" ht="16">
      <c r="A874" s="79" t="s">
        <v>1261</v>
      </c>
      <c r="B874" s="79" t="s">
        <v>1209</v>
      </c>
      <c r="C874" s="80" t="s">
        <v>95</v>
      </c>
      <c r="D874" s="81" t="s">
        <v>99</v>
      </c>
      <c r="E874" s="82">
        <v>8917</v>
      </c>
      <c r="F874" s="82">
        <v>504</v>
      </c>
      <c r="G874" s="82">
        <v>2497</v>
      </c>
      <c r="H874" s="83">
        <v>17.193907302980435</v>
      </c>
      <c r="I874" s="83">
        <v>5443.1654125182295</v>
      </c>
      <c r="J874" s="83">
        <v>20.011525153270131</v>
      </c>
    </row>
    <row r="875" spans="1:10" ht="16">
      <c r="A875" s="79" t="s">
        <v>553</v>
      </c>
      <c r="B875" s="79" t="s">
        <v>549</v>
      </c>
      <c r="C875" s="80" t="s">
        <v>95</v>
      </c>
      <c r="D875" s="81" t="s">
        <v>77</v>
      </c>
      <c r="E875" s="82">
        <v>52975</v>
      </c>
      <c r="F875" s="82">
        <v>2803</v>
      </c>
      <c r="G875" s="82">
        <v>530</v>
      </c>
      <c r="H875" s="83">
        <v>9.0615760551950277</v>
      </c>
      <c r="I875" s="83">
        <v>707.27554633684917</v>
      </c>
      <c r="J875" s="83">
        <v>16.779583492971732</v>
      </c>
    </row>
    <row r="876" spans="1:10" ht="16">
      <c r="A876" s="79" t="s">
        <v>446</v>
      </c>
      <c r="B876" s="79" t="s">
        <v>421</v>
      </c>
      <c r="C876" s="80" t="s">
        <v>95</v>
      </c>
      <c r="D876" s="81" t="s">
        <v>149</v>
      </c>
      <c r="E876" s="82">
        <v>18915</v>
      </c>
      <c r="F876" s="82">
        <v>593</v>
      </c>
      <c r="G876" s="82">
        <v>2270</v>
      </c>
      <c r="H876" s="83">
        <v>36.682637210500616</v>
      </c>
      <c r="I876" s="83">
        <v>20248.528206291085</v>
      </c>
      <c r="J876" s="83">
        <v>37.327428597546792</v>
      </c>
    </row>
    <row r="877" spans="1:10" ht="16">
      <c r="A877" s="79" t="s">
        <v>629</v>
      </c>
      <c r="B877" s="79" t="s">
        <v>617</v>
      </c>
      <c r="C877" s="80" t="s">
        <v>126</v>
      </c>
      <c r="D877" s="81" t="s">
        <v>101</v>
      </c>
      <c r="E877" s="82">
        <v>14206</v>
      </c>
      <c r="F877" s="82">
        <v>522</v>
      </c>
      <c r="G877" s="82">
        <v>994</v>
      </c>
      <c r="H877" s="83">
        <v>17.097852215679971</v>
      </c>
      <c r="I877" s="83">
        <v>12149.441460078182</v>
      </c>
      <c r="J877" s="83">
        <v>16.250095137419997</v>
      </c>
    </row>
    <row r="878" spans="1:10" ht="16">
      <c r="A878" s="79" t="s">
        <v>1262</v>
      </c>
      <c r="B878" s="79" t="s">
        <v>1209</v>
      </c>
      <c r="C878" s="80" t="s">
        <v>95</v>
      </c>
      <c r="D878" s="81" t="s">
        <v>103</v>
      </c>
      <c r="E878" s="82">
        <v>17155</v>
      </c>
      <c r="F878" s="82">
        <v>953</v>
      </c>
      <c r="G878" s="82">
        <v>3603</v>
      </c>
      <c r="H878" s="83">
        <v>14.235431051225504</v>
      </c>
      <c r="I878" s="83">
        <v>6200.1818993236984</v>
      </c>
      <c r="J878" s="83">
        <v>17.391662556516341</v>
      </c>
    </row>
    <row r="879" spans="1:10" ht="16">
      <c r="A879" s="79" t="s">
        <v>1263</v>
      </c>
      <c r="B879" s="79" t="s">
        <v>1209</v>
      </c>
      <c r="C879" s="80" t="s">
        <v>95</v>
      </c>
      <c r="D879" s="81" t="s">
        <v>76</v>
      </c>
      <c r="E879" s="82">
        <v>21783</v>
      </c>
      <c r="F879" s="82">
        <v>1602</v>
      </c>
      <c r="G879" s="82">
        <v>5881</v>
      </c>
      <c r="H879" s="83">
        <v>48.595238147710432</v>
      </c>
      <c r="I879" s="83">
        <v>46304.407443117962</v>
      </c>
      <c r="J879" s="83">
        <v>42.007999389853815</v>
      </c>
    </row>
    <row r="880" spans="1:10" ht="16">
      <c r="A880" s="79" t="s">
        <v>214</v>
      </c>
      <c r="B880" s="79" t="s">
        <v>203</v>
      </c>
      <c r="C880" s="80" t="s">
        <v>95</v>
      </c>
      <c r="D880" s="81" t="s">
        <v>103</v>
      </c>
      <c r="E880" s="82">
        <v>52108</v>
      </c>
      <c r="F880" s="82">
        <v>2879</v>
      </c>
      <c r="G880" s="82">
        <v>16675</v>
      </c>
      <c r="H880" s="83">
        <v>73.371266578155883</v>
      </c>
      <c r="I880" s="83">
        <v>67761.267301035638</v>
      </c>
      <c r="J880" s="83">
        <v>62.267509300956007</v>
      </c>
    </row>
    <row r="881" spans="1:10" ht="16">
      <c r="A881" s="79" t="s">
        <v>935</v>
      </c>
      <c r="B881" s="79" t="s">
        <v>928</v>
      </c>
      <c r="C881" s="80" t="s">
        <v>95</v>
      </c>
      <c r="D881" s="81" t="s">
        <v>76</v>
      </c>
      <c r="E881" s="82">
        <v>30192</v>
      </c>
      <c r="F881" s="82">
        <v>1725</v>
      </c>
      <c r="G881" s="82">
        <v>604</v>
      </c>
      <c r="H881" s="83">
        <v>11.469264325431578</v>
      </c>
      <c r="I881" s="83">
        <v>1615.2094850513042</v>
      </c>
      <c r="J881" s="83">
        <v>18.229391710667599</v>
      </c>
    </row>
    <row r="882" spans="1:10" ht="16">
      <c r="A882" s="79" t="s">
        <v>1053</v>
      </c>
      <c r="B882" s="79" t="s">
        <v>1039</v>
      </c>
      <c r="C882" s="80" t="s">
        <v>95</v>
      </c>
      <c r="D882" s="81" t="s">
        <v>78</v>
      </c>
      <c r="E882" s="82">
        <v>7369</v>
      </c>
      <c r="F882" s="82">
        <v>550</v>
      </c>
      <c r="G882" s="82">
        <v>221</v>
      </c>
      <c r="H882" s="83">
        <v>12.927456040103927</v>
      </c>
      <c r="I882" s="83">
        <v>3105.9453876669281</v>
      </c>
      <c r="J882" s="83">
        <v>21.350803198323661</v>
      </c>
    </row>
    <row r="883" spans="1:10" ht="16">
      <c r="A883" s="79" t="s">
        <v>1054</v>
      </c>
      <c r="B883" s="79" t="s">
        <v>1039</v>
      </c>
      <c r="C883" s="80" t="s">
        <v>95</v>
      </c>
      <c r="D883" s="81" t="s">
        <v>149</v>
      </c>
      <c r="E883" s="82">
        <v>19288</v>
      </c>
      <c r="F883" s="82">
        <v>1010</v>
      </c>
      <c r="G883" s="82">
        <v>1543</v>
      </c>
      <c r="H883" s="83">
        <v>15.641565697894679</v>
      </c>
      <c r="I883" s="83">
        <v>4261.0920367918643</v>
      </c>
      <c r="J883" s="83">
        <v>27.306437072901062</v>
      </c>
    </row>
    <row r="884" spans="1:10" ht="16">
      <c r="A884" s="79" t="s">
        <v>630</v>
      </c>
      <c r="B884" s="79" t="s">
        <v>617</v>
      </c>
      <c r="C884" s="80" t="s">
        <v>95</v>
      </c>
      <c r="D884" s="81" t="s">
        <v>149</v>
      </c>
      <c r="E884" s="82">
        <v>27403</v>
      </c>
      <c r="F884" s="82">
        <v>830</v>
      </c>
      <c r="G884" s="82">
        <v>548</v>
      </c>
      <c r="H884" s="83">
        <v>18.448489522811606</v>
      </c>
      <c r="I884" s="83">
        <v>10467.422227235262</v>
      </c>
      <c r="J884" s="83">
        <v>18.023245096499458</v>
      </c>
    </row>
    <row r="885" spans="1:10" ht="16">
      <c r="A885" s="79" t="s">
        <v>215</v>
      </c>
      <c r="B885" s="79" t="s">
        <v>203</v>
      </c>
      <c r="C885" s="80" t="s">
        <v>95</v>
      </c>
      <c r="D885" s="81" t="s">
        <v>75</v>
      </c>
      <c r="E885" s="82">
        <v>28560</v>
      </c>
      <c r="F885" s="82">
        <v>1785</v>
      </c>
      <c r="G885" s="82">
        <v>5426</v>
      </c>
      <c r="H885" s="83">
        <v>34.646166613949056</v>
      </c>
      <c r="I885" s="83">
        <v>29006.201527602818</v>
      </c>
      <c r="J885" s="83">
        <v>34.136149457294813</v>
      </c>
    </row>
    <row r="886" spans="1:10" ht="16">
      <c r="A886" s="79" t="s">
        <v>1403</v>
      </c>
      <c r="B886" s="79" t="s">
        <v>1307</v>
      </c>
      <c r="C886" s="80" t="s">
        <v>126</v>
      </c>
      <c r="D886" s="81" t="s">
        <v>79</v>
      </c>
      <c r="E886" s="82">
        <v>41081</v>
      </c>
      <c r="F886" s="82">
        <v>2999</v>
      </c>
      <c r="G886" s="82">
        <v>6984</v>
      </c>
      <c r="H886" s="83">
        <v>90.676924119530753</v>
      </c>
      <c r="I886" s="83">
        <v>89952.191605602275</v>
      </c>
      <c r="J886" s="83">
        <v>83.268490902771532</v>
      </c>
    </row>
    <row r="887" spans="1:10" ht="16">
      <c r="A887" s="79" t="s">
        <v>1404</v>
      </c>
      <c r="B887" s="79" t="s">
        <v>1307</v>
      </c>
      <c r="C887" s="80" t="s">
        <v>95</v>
      </c>
      <c r="D887" s="81" t="s">
        <v>78</v>
      </c>
      <c r="E887" s="82">
        <v>39164</v>
      </c>
      <c r="F887" s="82">
        <v>3264</v>
      </c>
      <c r="G887" s="82">
        <v>5483</v>
      </c>
      <c r="H887" s="83">
        <v>66.91479743412394</v>
      </c>
      <c r="I887" s="83">
        <v>55690.916375936176</v>
      </c>
      <c r="J887" s="83">
        <v>62.665235253943585</v>
      </c>
    </row>
    <row r="888" spans="1:10" ht="16">
      <c r="A888" s="79" t="s">
        <v>1405</v>
      </c>
      <c r="B888" s="79" t="s">
        <v>1307</v>
      </c>
      <c r="C888" s="80" t="s">
        <v>95</v>
      </c>
      <c r="D888" s="81" t="s">
        <v>99</v>
      </c>
      <c r="E888" s="82">
        <v>32706</v>
      </c>
      <c r="F888" s="82">
        <v>1982</v>
      </c>
      <c r="G888" s="82">
        <v>8504</v>
      </c>
      <c r="H888" s="83">
        <v>46.996053237200329</v>
      </c>
      <c r="I888" s="83">
        <v>44164.892546046161</v>
      </c>
      <c r="J888" s="83">
        <v>44.10355454400699</v>
      </c>
    </row>
    <row r="889" spans="1:10" ht="16">
      <c r="A889" s="79" t="s">
        <v>1406</v>
      </c>
      <c r="B889" s="79" t="s">
        <v>1307</v>
      </c>
      <c r="C889" s="80" t="s">
        <v>95</v>
      </c>
      <c r="D889" s="81" t="s">
        <v>101</v>
      </c>
      <c r="E889" s="82">
        <v>41066</v>
      </c>
      <c r="F889" s="82">
        <v>4369</v>
      </c>
      <c r="G889" s="82">
        <v>6981</v>
      </c>
      <c r="H889" s="83">
        <v>89.119703721570133</v>
      </c>
      <c r="I889" s="83">
        <v>86286.155548472554</v>
      </c>
      <c r="J889" s="83">
        <v>83.571941290947137</v>
      </c>
    </row>
    <row r="890" spans="1:10" ht="16">
      <c r="A890" s="79" t="s">
        <v>1407</v>
      </c>
      <c r="B890" s="79" t="s">
        <v>1307</v>
      </c>
      <c r="C890" s="80" t="s">
        <v>95</v>
      </c>
      <c r="D890" s="81" t="s">
        <v>75</v>
      </c>
      <c r="E890" s="82">
        <v>7324</v>
      </c>
      <c r="F890" s="82">
        <v>350</v>
      </c>
      <c r="G890" s="82">
        <v>586</v>
      </c>
      <c r="H890" s="83">
        <v>21.683032236357494</v>
      </c>
      <c r="I890" s="83">
        <v>20678.315785647723</v>
      </c>
      <c r="J890" s="83">
        <v>17.340440601148998</v>
      </c>
    </row>
    <row r="891" spans="1:10" ht="16">
      <c r="A891" s="79" t="s">
        <v>1408</v>
      </c>
      <c r="B891" s="79" t="s">
        <v>1307</v>
      </c>
      <c r="C891" s="80" t="s">
        <v>95</v>
      </c>
      <c r="D891" s="81" t="s">
        <v>76</v>
      </c>
      <c r="E891" s="82">
        <v>22272</v>
      </c>
      <c r="F891" s="82">
        <v>1237</v>
      </c>
      <c r="G891" s="82">
        <v>3118</v>
      </c>
      <c r="H891" s="83">
        <v>30.723506295292793</v>
      </c>
      <c r="I891" s="83">
        <v>26110.438984567016</v>
      </c>
      <c r="J891" s="83">
        <v>31.218098131706004</v>
      </c>
    </row>
    <row r="892" spans="1:10" ht="16">
      <c r="A892" s="79" t="s">
        <v>1409</v>
      </c>
      <c r="B892" s="79" t="s">
        <v>1307</v>
      </c>
      <c r="C892" s="80" t="s">
        <v>126</v>
      </c>
      <c r="D892" s="81" t="s">
        <v>76</v>
      </c>
      <c r="E892" s="82">
        <v>33579</v>
      </c>
      <c r="F892" s="82">
        <v>2583</v>
      </c>
      <c r="G892" s="82">
        <v>7723</v>
      </c>
      <c r="H892" s="83">
        <v>79.404521579768755</v>
      </c>
      <c r="I892" s="83">
        <v>77175.732738420353</v>
      </c>
      <c r="J892" s="83">
        <v>62.991345323021655</v>
      </c>
    </row>
    <row r="893" spans="1:10" ht="16">
      <c r="A893" s="79" t="s">
        <v>1410</v>
      </c>
      <c r="B893" s="79" t="s">
        <v>1307</v>
      </c>
      <c r="C893" s="80" t="s">
        <v>95</v>
      </c>
      <c r="D893" s="81" t="s">
        <v>101</v>
      </c>
      <c r="E893" s="82">
        <v>24089</v>
      </c>
      <c r="F893" s="82">
        <v>873</v>
      </c>
      <c r="G893" s="82">
        <v>3854</v>
      </c>
      <c r="H893" s="83">
        <v>63.807058085083021</v>
      </c>
      <c r="I893" s="83">
        <v>61342.023036569903</v>
      </c>
      <c r="J893" s="83">
        <v>48.146095377129235</v>
      </c>
    </row>
    <row r="894" spans="1:10" ht="16">
      <c r="A894" s="79" t="s">
        <v>1411</v>
      </c>
      <c r="B894" s="79" t="s">
        <v>1307</v>
      </c>
      <c r="C894" s="80" t="s">
        <v>126</v>
      </c>
      <c r="D894" s="81" t="s">
        <v>78</v>
      </c>
      <c r="E894" s="82">
        <v>18783</v>
      </c>
      <c r="F894" s="82">
        <v>817</v>
      </c>
      <c r="G894" s="82">
        <v>1878</v>
      </c>
      <c r="H894" s="83">
        <v>35.581645654178203</v>
      </c>
      <c r="I894" s="83">
        <v>34102.930896325059</v>
      </c>
      <c r="J894" s="83">
        <v>33.149994101656233</v>
      </c>
    </row>
    <row r="895" spans="1:10" ht="16">
      <c r="A895" s="79" t="s">
        <v>1264</v>
      </c>
      <c r="B895" s="79" t="s">
        <v>1209</v>
      </c>
      <c r="C895" s="80" t="s">
        <v>126</v>
      </c>
      <c r="D895" s="81" t="s">
        <v>149</v>
      </c>
      <c r="E895" s="82">
        <v>18978</v>
      </c>
      <c r="F895" s="82">
        <v>1741</v>
      </c>
      <c r="G895" s="82">
        <v>7022</v>
      </c>
      <c r="H895" s="83">
        <v>99.623052843154738</v>
      </c>
      <c r="I895" s="83">
        <v>94640.69470771811</v>
      </c>
      <c r="J895" s="83">
        <v>91.502970201363752</v>
      </c>
    </row>
    <row r="896" spans="1:10" ht="16">
      <c r="A896" s="79" t="s">
        <v>194</v>
      </c>
      <c r="B896" s="79" t="s">
        <v>169</v>
      </c>
      <c r="C896" s="80" t="s">
        <v>126</v>
      </c>
      <c r="D896" s="81" t="s">
        <v>101</v>
      </c>
      <c r="E896" s="82">
        <v>28795</v>
      </c>
      <c r="F896" s="82">
        <v>1907</v>
      </c>
      <c r="G896" s="82">
        <v>864</v>
      </c>
      <c r="H896" s="83">
        <v>38.494045712720478</v>
      </c>
      <c r="I896" s="83">
        <v>13233.624128892761</v>
      </c>
      <c r="J896" s="83">
        <v>44.723393627781903</v>
      </c>
    </row>
    <row r="897" spans="1:10" ht="16">
      <c r="A897" s="79" t="s">
        <v>130</v>
      </c>
      <c r="B897" s="79" t="s">
        <v>108</v>
      </c>
      <c r="C897" s="80" t="s">
        <v>95</v>
      </c>
      <c r="D897" s="81" t="s">
        <v>78</v>
      </c>
      <c r="E897" s="82">
        <v>10823</v>
      </c>
      <c r="F897" s="82">
        <v>299</v>
      </c>
      <c r="G897" s="82">
        <v>3463</v>
      </c>
      <c r="H897" s="83">
        <v>31.486388876389412</v>
      </c>
      <c r="I897" s="83">
        <v>30932.274006364656</v>
      </c>
      <c r="J897" s="83">
        <v>26.178326467263911</v>
      </c>
    </row>
    <row r="898" spans="1:10" ht="16">
      <c r="A898" s="79" t="s">
        <v>857</v>
      </c>
      <c r="B898" s="79" t="s">
        <v>853</v>
      </c>
      <c r="C898" s="80" t="s">
        <v>126</v>
      </c>
      <c r="D898" s="81" t="s">
        <v>103</v>
      </c>
      <c r="E898" s="82">
        <v>13089</v>
      </c>
      <c r="F898" s="82">
        <v>727</v>
      </c>
      <c r="G898" s="82">
        <v>3141</v>
      </c>
      <c r="H898" s="83">
        <v>28.197970766947638</v>
      </c>
      <c r="I898" s="83">
        <v>19792.419128852442</v>
      </c>
      <c r="J898" s="83">
        <v>24.901717158897561</v>
      </c>
    </row>
    <row r="899" spans="1:10" ht="16">
      <c r="A899" s="79" t="s">
        <v>999</v>
      </c>
      <c r="B899" s="79" t="s">
        <v>996</v>
      </c>
      <c r="C899" s="80" t="s">
        <v>95</v>
      </c>
      <c r="D899" s="81" t="s">
        <v>79</v>
      </c>
      <c r="E899" s="82">
        <v>21812</v>
      </c>
      <c r="F899" s="82">
        <v>1833</v>
      </c>
      <c r="G899" s="82">
        <v>3708</v>
      </c>
      <c r="H899" s="83">
        <v>43.758787532085087</v>
      </c>
      <c r="I899" s="83">
        <v>38668.078880844172</v>
      </c>
      <c r="J899" s="83">
        <v>33.288868619975268</v>
      </c>
    </row>
    <row r="900" spans="1:10" ht="16">
      <c r="A900" s="79" t="s">
        <v>1153</v>
      </c>
      <c r="B900" s="79" t="s">
        <v>1154</v>
      </c>
      <c r="C900" s="80" t="s">
        <v>95</v>
      </c>
      <c r="D900" s="81" t="s">
        <v>149</v>
      </c>
      <c r="E900" s="82">
        <v>32088</v>
      </c>
      <c r="F900" s="82">
        <v>3177</v>
      </c>
      <c r="G900" s="82">
        <v>321</v>
      </c>
      <c r="H900" s="83">
        <v>8.9093202985753983</v>
      </c>
      <c r="I900" s="83">
        <v>1628.4778567241483</v>
      </c>
      <c r="J900" s="83">
        <v>19.888759637067427</v>
      </c>
    </row>
    <row r="901" spans="1:10" ht="16">
      <c r="A901" s="79" t="s">
        <v>1055</v>
      </c>
      <c r="B901" s="79" t="s">
        <v>1039</v>
      </c>
      <c r="C901" s="80" t="s">
        <v>95</v>
      </c>
      <c r="D901" s="81" t="s">
        <v>149</v>
      </c>
      <c r="E901" s="82">
        <v>23530</v>
      </c>
      <c r="F901" s="82">
        <v>1705</v>
      </c>
      <c r="G901" s="82">
        <v>1412</v>
      </c>
      <c r="H901" s="83">
        <v>13.33184686376816</v>
      </c>
      <c r="I901" s="83">
        <v>4106.9824453681877</v>
      </c>
      <c r="J901" s="83">
        <v>16.867803979612429</v>
      </c>
    </row>
    <row r="902" spans="1:10" ht="16">
      <c r="A902" s="79" t="s">
        <v>631</v>
      </c>
      <c r="B902" s="79" t="s">
        <v>617</v>
      </c>
      <c r="C902" s="80" t="s">
        <v>95</v>
      </c>
      <c r="D902" s="81" t="s">
        <v>149</v>
      </c>
      <c r="E902" s="82">
        <v>25392</v>
      </c>
      <c r="F902" s="82">
        <v>1245</v>
      </c>
      <c r="G902" s="82">
        <v>508</v>
      </c>
      <c r="H902" s="83">
        <v>18.180141158444822</v>
      </c>
      <c r="I902" s="83">
        <v>12001.545031400126</v>
      </c>
      <c r="J902" s="83">
        <v>34.087943738150635</v>
      </c>
    </row>
    <row r="903" spans="1:10" ht="16">
      <c r="A903" s="79" t="s">
        <v>195</v>
      </c>
      <c r="B903" s="79" t="s">
        <v>169</v>
      </c>
      <c r="C903" s="80" t="s">
        <v>95</v>
      </c>
      <c r="D903" s="81" t="s">
        <v>75</v>
      </c>
      <c r="E903" s="82">
        <v>17101</v>
      </c>
      <c r="F903" s="82">
        <v>687</v>
      </c>
      <c r="G903" s="82">
        <v>855</v>
      </c>
      <c r="H903" s="83">
        <v>7.8326495687526201</v>
      </c>
      <c r="I903" s="83">
        <v>599.0210880481103</v>
      </c>
      <c r="J903" s="83">
        <v>14.77256547926204</v>
      </c>
    </row>
    <row r="904" spans="1:10" ht="16">
      <c r="A904" s="79" t="s">
        <v>1412</v>
      </c>
      <c r="B904" s="79" t="s">
        <v>1307</v>
      </c>
      <c r="C904" s="80" t="s">
        <v>95</v>
      </c>
      <c r="D904" s="81" t="s">
        <v>99</v>
      </c>
      <c r="E904" s="82">
        <v>56228</v>
      </c>
      <c r="F904" s="82">
        <v>1593</v>
      </c>
      <c r="G904" s="82">
        <v>2249</v>
      </c>
      <c r="H904" s="83">
        <v>28.911078500485903</v>
      </c>
      <c r="I904" s="83">
        <v>14308.648281215999</v>
      </c>
      <c r="J904" s="83">
        <v>27.401990427528013</v>
      </c>
    </row>
    <row r="905" spans="1:10" ht="16">
      <c r="A905" s="79" t="s">
        <v>1265</v>
      </c>
      <c r="B905" s="79" t="s">
        <v>1209</v>
      </c>
      <c r="C905" s="80" t="s">
        <v>95</v>
      </c>
      <c r="D905" s="81" t="s">
        <v>96</v>
      </c>
      <c r="E905" s="82">
        <v>18824</v>
      </c>
      <c r="F905" s="82">
        <v>1141</v>
      </c>
      <c r="G905" s="82">
        <v>3388</v>
      </c>
      <c r="H905" s="83">
        <v>13.263031796773598</v>
      </c>
      <c r="I905" s="83">
        <v>5065.0877956361483</v>
      </c>
      <c r="J905" s="83">
        <v>15.876719314070746</v>
      </c>
    </row>
    <row r="906" spans="1:10" ht="16">
      <c r="A906" s="79" t="s">
        <v>409</v>
      </c>
      <c r="B906" s="79" t="s">
        <v>396</v>
      </c>
      <c r="C906" s="80" t="s">
        <v>95</v>
      </c>
      <c r="D906" s="81" t="s">
        <v>111</v>
      </c>
      <c r="E906" s="82">
        <v>14867</v>
      </c>
      <c r="F906" s="82">
        <v>912</v>
      </c>
      <c r="G906" s="82">
        <v>2379</v>
      </c>
      <c r="H906" s="83">
        <v>14.531034815725205</v>
      </c>
      <c r="I906" s="83">
        <v>3224.2964243574797</v>
      </c>
      <c r="J906" s="83">
        <v>16.552096196983904</v>
      </c>
    </row>
    <row r="907" spans="1:10" ht="16">
      <c r="A907" s="79" t="s">
        <v>348</v>
      </c>
      <c r="B907" s="79" t="s">
        <v>341</v>
      </c>
      <c r="C907" s="80" t="s">
        <v>95</v>
      </c>
      <c r="D907" s="81" t="s">
        <v>75</v>
      </c>
      <c r="E907" s="82">
        <v>4285</v>
      </c>
      <c r="F907" s="82">
        <v>437</v>
      </c>
      <c r="G907" s="82">
        <v>857</v>
      </c>
      <c r="H907" s="83">
        <v>15.220290088113659</v>
      </c>
      <c r="I907" s="83">
        <v>2600.1399453907898</v>
      </c>
      <c r="J907" s="83">
        <v>24.795014455552934</v>
      </c>
    </row>
    <row r="908" spans="1:10" ht="16">
      <c r="A908" s="79" t="s">
        <v>1266</v>
      </c>
      <c r="B908" s="79" t="s">
        <v>1209</v>
      </c>
      <c r="C908" s="80" t="s">
        <v>95</v>
      </c>
      <c r="D908" s="81" t="s">
        <v>76</v>
      </c>
      <c r="E908" s="82">
        <v>10915</v>
      </c>
      <c r="F908" s="82">
        <v>560</v>
      </c>
      <c r="G908" s="82">
        <v>1201</v>
      </c>
      <c r="H908" s="83">
        <v>13.557387438019621</v>
      </c>
      <c r="I908" s="83">
        <v>3162.9531734728389</v>
      </c>
      <c r="J908" s="83">
        <v>16.762485283069207</v>
      </c>
    </row>
    <row r="909" spans="1:10" ht="16">
      <c r="A909" s="79" t="s">
        <v>1413</v>
      </c>
      <c r="B909" s="79" t="s">
        <v>1307</v>
      </c>
      <c r="C909" s="80" t="s">
        <v>126</v>
      </c>
      <c r="D909" s="81" t="s">
        <v>76</v>
      </c>
      <c r="E909" s="82">
        <v>13833</v>
      </c>
      <c r="F909" s="82">
        <v>2427</v>
      </c>
      <c r="G909" s="82">
        <v>3873</v>
      </c>
      <c r="H909" s="83">
        <v>91.718594693345807</v>
      </c>
      <c r="I909" s="83">
        <v>88412.421871479644</v>
      </c>
      <c r="J909" s="83">
        <v>89.566579186763207</v>
      </c>
    </row>
    <row r="910" spans="1:10" ht="16">
      <c r="A910" s="79" t="s">
        <v>235</v>
      </c>
      <c r="B910" s="79" t="s">
        <v>231</v>
      </c>
      <c r="C910" s="80" t="s">
        <v>126</v>
      </c>
      <c r="D910" s="81" t="s">
        <v>76</v>
      </c>
      <c r="E910" s="82">
        <v>35447</v>
      </c>
      <c r="F910" s="82">
        <v>2363</v>
      </c>
      <c r="G910" s="82">
        <v>2127</v>
      </c>
      <c r="H910" s="83">
        <v>17.887959388596492</v>
      </c>
      <c r="I910" s="83">
        <v>5829.8019275886354</v>
      </c>
      <c r="J910" s="83">
        <v>23.64322784370324</v>
      </c>
    </row>
    <row r="911" spans="1:10" ht="16">
      <c r="A911" s="79" t="s">
        <v>1414</v>
      </c>
      <c r="B911" s="79" t="s">
        <v>1307</v>
      </c>
      <c r="C911" s="80" t="s">
        <v>95</v>
      </c>
      <c r="D911" s="81" t="s">
        <v>77</v>
      </c>
      <c r="E911" s="82">
        <v>28434</v>
      </c>
      <c r="F911" s="82">
        <v>1394</v>
      </c>
      <c r="G911" s="82">
        <v>2559</v>
      </c>
      <c r="H911" s="83">
        <v>31.333600058541229</v>
      </c>
      <c r="I911" s="83">
        <v>25923.786809530047</v>
      </c>
      <c r="J911" s="83">
        <v>36.08991058450632</v>
      </c>
    </row>
    <row r="912" spans="1:10" ht="16">
      <c r="A912" s="79" t="s">
        <v>410</v>
      </c>
      <c r="B912" s="79" t="s">
        <v>396</v>
      </c>
      <c r="C912" s="80" t="s">
        <v>95</v>
      </c>
      <c r="D912" s="81" t="s">
        <v>103</v>
      </c>
      <c r="E912" s="82">
        <v>34644</v>
      </c>
      <c r="F912" s="82">
        <v>1843</v>
      </c>
      <c r="G912" s="82">
        <v>4504</v>
      </c>
      <c r="H912" s="83">
        <v>10.357240032556772</v>
      </c>
      <c r="I912" s="83">
        <v>5714.8063920155337</v>
      </c>
      <c r="J912" s="83">
        <v>19.296550514414367</v>
      </c>
    </row>
    <row r="913" spans="1:10" ht="16">
      <c r="A913" s="79" t="s">
        <v>919</v>
      </c>
      <c r="B913" s="79" t="s">
        <v>912</v>
      </c>
      <c r="C913" s="80" t="s">
        <v>95</v>
      </c>
      <c r="D913" s="81" t="s">
        <v>99</v>
      </c>
      <c r="E913" s="82">
        <v>21404</v>
      </c>
      <c r="F913" s="82">
        <v>1216</v>
      </c>
      <c r="G913" s="82">
        <v>4067</v>
      </c>
      <c r="H913" s="83">
        <v>28.207101451436579</v>
      </c>
      <c r="I913" s="83">
        <v>13340.336874628114</v>
      </c>
      <c r="J913" s="83">
        <v>24.506927039601553</v>
      </c>
    </row>
    <row r="914" spans="1:10" ht="16">
      <c r="A914" s="79" t="s">
        <v>447</v>
      </c>
      <c r="B914" s="79" t="s">
        <v>421</v>
      </c>
      <c r="C914" s="80" t="s">
        <v>95</v>
      </c>
      <c r="D914" s="81" t="s">
        <v>96</v>
      </c>
      <c r="E914" s="82">
        <v>36965</v>
      </c>
      <c r="F914" s="82">
        <v>1013</v>
      </c>
      <c r="G914" s="82">
        <v>5914</v>
      </c>
      <c r="H914" s="83">
        <v>43.450436724884192</v>
      </c>
      <c r="I914" s="83">
        <v>35005.341582693422</v>
      </c>
      <c r="J914" s="83">
        <v>44.097134568032104</v>
      </c>
    </row>
    <row r="915" spans="1:10" ht="16">
      <c r="A915" s="79" t="s">
        <v>1077</v>
      </c>
      <c r="B915" s="79" t="s">
        <v>1078</v>
      </c>
      <c r="C915" s="80" t="s">
        <v>95</v>
      </c>
      <c r="D915" s="81" t="s">
        <v>76</v>
      </c>
      <c r="E915" s="82">
        <v>22322</v>
      </c>
      <c r="F915" s="82">
        <v>754</v>
      </c>
      <c r="G915" s="82">
        <v>223</v>
      </c>
      <c r="H915" s="83">
        <v>8.1038642002516017</v>
      </c>
      <c r="I915" s="83">
        <v>1112.2349066642591</v>
      </c>
      <c r="J915" s="83">
        <v>13.958916886533034</v>
      </c>
    </row>
    <row r="916" spans="1:10" ht="16">
      <c r="A916" s="79" t="s">
        <v>1415</v>
      </c>
      <c r="B916" s="79" t="s">
        <v>1307</v>
      </c>
      <c r="C916" s="80" t="s">
        <v>126</v>
      </c>
      <c r="D916" s="81" t="s">
        <v>77</v>
      </c>
      <c r="E916" s="82">
        <v>33186</v>
      </c>
      <c r="F916" s="82">
        <v>2036</v>
      </c>
      <c r="G916" s="82">
        <v>3650</v>
      </c>
      <c r="H916" s="83">
        <v>46.572262568390478</v>
      </c>
      <c r="I916" s="83">
        <v>42456.884886566491</v>
      </c>
      <c r="J916" s="83">
        <v>45.730518681295308</v>
      </c>
    </row>
    <row r="917" spans="1:10" ht="16">
      <c r="A917" s="79" t="s">
        <v>1416</v>
      </c>
      <c r="B917" s="79" t="s">
        <v>1307</v>
      </c>
      <c r="C917" s="80" t="s">
        <v>95</v>
      </c>
      <c r="D917" s="81" t="s">
        <v>111</v>
      </c>
      <c r="E917" s="82">
        <v>32446</v>
      </c>
      <c r="F917" s="82">
        <v>2135</v>
      </c>
      <c r="G917" s="82">
        <v>2920</v>
      </c>
      <c r="H917" s="83">
        <v>30.496451904076309</v>
      </c>
      <c r="I917" s="83">
        <v>18017.254833880783</v>
      </c>
      <c r="J917" s="83">
        <v>37.426529853205494</v>
      </c>
    </row>
    <row r="918" spans="1:10" ht="16">
      <c r="A918" s="79" t="s">
        <v>97</v>
      </c>
      <c r="B918" s="79" t="s">
        <v>94</v>
      </c>
      <c r="C918" s="80" t="s">
        <v>95</v>
      </c>
      <c r="D918" s="81" t="s">
        <v>78</v>
      </c>
      <c r="E918" s="82">
        <v>35382</v>
      </c>
      <c r="F918" s="82">
        <v>1726</v>
      </c>
      <c r="G918" s="82">
        <v>1769</v>
      </c>
      <c r="H918" s="83">
        <v>7.8815706207785485</v>
      </c>
      <c r="I918" s="83">
        <v>598.48011436595891</v>
      </c>
      <c r="J918" s="83">
        <v>19.469593264726225</v>
      </c>
    </row>
    <row r="919" spans="1:10" ht="16">
      <c r="A919" s="79" t="s">
        <v>360</v>
      </c>
      <c r="B919" s="79" t="s">
        <v>355</v>
      </c>
      <c r="C919" s="80" t="s">
        <v>95</v>
      </c>
      <c r="D919" s="81" t="s">
        <v>79</v>
      </c>
      <c r="E919" s="82">
        <v>31219</v>
      </c>
      <c r="F919" s="82">
        <v>7260</v>
      </c>
      <c r="G919" s="82">
        <v>5307</v>
      </c>
      <c r="H919" s="83">
        <v>44.29296671094562</v>
      </c>
      <c r="I919" s="83">
        <v>39552.556031342843</v>
      </c>
      <c r="J919" s="83">
        <v>48.80361637984641</v>
      </c>
    </row>
    <row r="920" spans="1:10" ht="16">
      <c r="A920" s="79" t="s">
        <v>330</v>
      </c>
      <c r="B920" s="79" t="s">
        <v>331</v>
      </c>
      <c r="C920" s="80" t="s">
        <v>95</v>
      </c>
      <c r="D920" s="81" t="s">
        <v>96</v>
      </c>
      <c r="E920" s="82">
        <v>33900</v>
      </c>
      <c r="F920" s="82">
        <v>2245</v>
      </c>
      <c r="G920" s="82">
        <v>678</v>
      </c>
      <c r="H920" s="83">
        <v>8.7329027488610613</v>
      </c>
      <c r="I920" s="83">
        <v>6128.7594611905306</v>
      </c>
      <c r="J920" s="83">
        <v>16.855474586392109</v>
      </c>
    </row>
    <row r="921" spans="1:10" ht="16">
      <c r="A921" s="79" t="s">
        <v>472</v>
      </c>
      <c r="B921" s="79" t="s">
        <v>467</v>
      </c>
      <c r="C921" s="80" t="s">
        <v>95</v>
      </c>
      <c r="D921" s="81" t="s">
        <v>111</v>
      </c>
      <c r="E921" s="82">
        <v>13321</v>
      </c>
      <c r="F921" s="82">
        <v>569</v>
      </c>
      <c r="G921" s="82">
        <v>533</v>
      </c>
      <c r="H921" s="83">
        <v>20.911016533491118</v>
      </c>
      <c r="I921" s="83">
        <v>18376.688329812674</v>
      </c>
      <c r="J921" s="83">
        <v>17.85791451688802</v>
      </c>
    </row>
    <row r="922" spans="1:10" ht="16">
      <c r="A922" s="79" t="s">
        <v>339</v>
      </c>
      <c r="B922" s="79" t="s">
        <v>338</v>
      </c>
      <c r="C922" s="80" t="s">
        <v>95</v>
      </c>
      <c r="D922" s="81" t="s">
        <v>111</v>
      </c>
      <c r="E922" s="82">
        <v>6635</v>
      </c>
      <c r="F922" s="82">
        <v>302</v>
      </c>
      <c r="G922" s="82">
        <v>730</v>
      </c>
      <c r="H922" s="83">
        <v>25.148840415780882</v>
      </c>
      <c r="I922" s="83">
        <v>15331.998266022121</v>
      </c>
      <c r="J922" s="83">
        <v>24.165069910831669</v>
      </c>
    </row>
    <row r="923" spans="1:10" ht="16">
      <c r="A923" s="79" t="s">
        <v>1136</v>
      </c>
      <c r="B923" s="79" t="s">
        <v>1137</v>
      </c>
      <c r="C923" s="80" t="s">
        <v>126</v>
      </c>
      <c r="D923" s="81" t="s">
        <v>79</v>
      </c>
      <c r="E923" s="82">
        <v>30139</v>
      </c>
      <c r="F923" s="82">
        <v>1578</v>
      </c>
      <c r="G923" s="82">
        <v>478</v>
      </c>
      <c r="H923" s="83">
        <v>8.0661602507206336</v>
      </c>
      <c r="I923" s="83">
        <v>1495.3825087798834</v>
      </c>
      <c r="J923" s="83">
        <v>14.361634708537744</v>
      </c>
    </row>
    <row r="924" spans="1:10" ht="16">
      <c r="A924" s="79" t="s">
        <v>488</v>
      </c>
      <c r="B924" s="79" t="s">
        <v>485</v>
      </c>
      <c r="C924" s="80" t="s">
        <v>95</v>
      </c>
      <c r="D924" s="81" t="s">
        <v>149</v>
      </c>
      <c r="E924" s="82">
        <v>26771</v>
      </c>
      <c r="F924" s="82">
        <v>2250</v>
      </c>
      <c r="G924" s="82">
        <v>4819</v>
      </c>
      <c r="H924" s="83">
        <v>11.145498303888324</v>
      </c>
      <c r="I924" s="83">
        <v>2992.9541322471746</v>
      </c>
      <c r="J924" s="83">
        <v>20.361447282711492</v>
      </c>
    </row>
    <row r="925" spans="1:10" ht="16">
      <c r="A925" s="79" t="s">
        <v>1417</v>
      </c>
      <c r="B925" s="79" t="s">
        <v>1307</v>
      </c>
      <c r="C925" s="80" t="s">
        <v>95</v>
      </c>
      <c r="D925" s="81" t="s">
        <v>76</v>
      </c>
      <c r="E925" s="82">
        <v>20566</v>
      </c>
      <c r="F925" s="82">
        <v>1210</v>
      </c>
      <c r="G925" s="82">
        <v>2057</v>
      </c>
      <c r="H925" s="83">
        <v>38.661925017892884</v>
      </c>
      <c r="I925" s="83">
        <v>27374.796960283704</v>
      </c>
      <c r="J925" s="83">
        <v>28.92432568617874</v>
      </c>
    </row>
    <row r="926" spans="1:10" ht="16">
      <c r="A926" s="79" t="s">
        <v>544</v>
      </c>
      <c r="B926" s="79" t="s">
        <v>493</v>
      </c>
      <c r="C926" s="80" t="s">
        <v>126</v>
      </c>
      <c r="D926" s="81" t="s">
        <v>101</v>
      </c>
      <c r="E926" s="82">
        <v>24547</v>
      </c>
      <c r="F926" s="82">
        <v>1067</v>
      </c>
      <c r="G926" s="82">
        <v>245</v>
      </c>
      <c r="H926" s="83">
        <v>18.72228300278568</v>
      </c>
      <c r="I926" s="83">
        <v>7620.7083054312698</v>
      </c>
      <c r="J926" s="83">
        <v>37.814312296776599</v>
      </c>
    </row>
    <row r="927" spans="1:10" ht="16">
      <c r="A927" s="79" t="s">
        <v>1418</v>
      </c>
      <c r="B927" s="79" t="s">
        <v>1307</v>
      </c>
      <c r="C927" s="80" t="s">
        <v>95</v>
      </c>
      <c r="D927" s="81" t="s">
        <v>76</v>
      </c>
      <c r="E927" s="82">
        <v>9535</v>
      </c>
      <c r="F927" s="82">
        <v>733</v>
      </c>
      <c r="G927" s="82">
        <v>858</v>
      </c>
      <c r="H927" s="83">
        <v>22.340559905397917</v>
      </c>
      <c r="I927" s="83">
        <v>16875.104849440973</v>
      </c>
      <c r="J927" s="83">
        <v>40.677393318040423</v>
      </c>
    </row>
    <row r="928" spans="1:10" ht="16">
      <c r="A928" s="79" t="s">
        <v>1267</v>
      </c>
      <c r="B928" s="79" t="s">
        <v>1209</v>
      </c>
      <c r="C928" s="80" t="s">
        <v>95</v>
      </c>
      <c r="D928" s="81" t="s">
        <v>101</v>
      </c>
      <c r="E928" s="82">
        <v>13502</v>
      </c>
      <c r="F928" s="82">
        <v>888</v>
      </c>
      <c r="G928" s="82">
        <v>1755</v>
      </c>
      <c r="H928" s="83">
        <v>10.626181133225009</v>
      </c>
      <c r="I928" s="83">
        <v>3304.1394886977996</v>
      </c>
      <c r="J928" s="83">
        <v>17.039290306504007</v>
      </c>
    </row>
    <row r="929" spans="1:10" ht="16">
      <c r="A929" s="79" t="s">
        <v>236</v>
      </c>
      <c r="B929" s="79" t="s">
        <v>231</v>
      </c>
      <c r="C929" s="80" t="s">
        <v>95</v>
      </c>
      <c r="D929" s="81" t="s">
        <v>79</v>
      </c>
      <c r="E929" s="82">
        <v>15384</v>
      </c>
      <c r="F929" s="82">
        <v>810</v>
      </c>
      <c r="G929" s="82">
        <v>615</v>
      </c>
      <c r="H929" s="83">
        <v>9.1767270246496384</v>
      </c>
      <c r="I929" s="83">
        <v>8778.4969544788437</v>
      </c>
      <c r="J929" s="83">
        <v>14.494007235464087</v>
      </c>
    </row>
    <row r="930" spans="1:10" ht="16">
      <c r="A930" s="79" t="s">
        <v>1056</v>
      </c>
      <c r="B930" s="79" t="s">
        <v>1039</v>
      </c>
      <c r="C930" s="80" t="s">
        <v>95</v>
      </c>
      <c r="D930" s="81" t="s">
        <v>75</v>
      </c>
      <c r="E930" s="82">
        <v>9209</v>
      </c>
      <c r="F930" s="82">
        <v>422</v>
      </c>
      <c r="G930" s="82">
        <v>1013</v>
      </c>
      <c r="H930" s="83">
        <v>18.066120492860762</v>
      </c>
      <c r="I930" s="83">
        <v>6984.5914069491082</v>
      </c>
      <c r="J930" s="83">
        <v>22.277514955971281</v>
      </c>
    </row>
    <row r="931" spans="1:10" ht="16">
      <c r="A931" s="79" t="s">
        <v>158</v>
      </c>
      <c r="B931" s="79" t="s">
        <v>159</v>
      </c>
      <c r="C931" s="80" t="s">
        <v>126</v>
      </c>
      <c r="D931" s="81" t="s">
        <v>99</v>
      </c>
      <c r="E931" s="82">
        <v>34108</v>
      </c>
      <c r="F931" s="82">
        <v>2186</v>
      </c>
      <c r="G931" s="82">
        <v>1705</v>
      </c>
      <c r="H931" s="83">
        <v>9.3045988181025816</v>
      </c>
      <c r="I931" s="83">
        <v>1453.7752520066847</v>
      </c>
      <c r="J931" s="83">
        <v>16.649012394898723</v>
      </c>
    </row>
    <row r="932" spans="1:10" ht="16">
      <c r="A932" s="79" t="s">
        <v>448</v>
      </c>
      <c r="B932" s="79" t="s">
        <v>421</v>
      </c>
      <c r="C932" s="80" t="s">
        <v>126</v>
      </c>
      <c r="D932" s="81" t="s">
        <v>96</v>
      </c>
      <c r="E932" s="82">
        <v>42698</v>
      </c>
      <c r="F932" s="82">
        <v>806</v>
      </c>
      <c r="G932" s="82">
        <v>8113</v>
      </c>
      <c r="H932" s="83">
        <v>33.059474680249714</v>
      </c>
      <c r="I932" s="83">
        <v>30150.28939987018</v>
      </c>
      <c r="J932" s="83">
        <v>35.35440254992897</v>
      </c>
    </row>
    <row r="933" spans="1:10" ht="16">
      <c r="A933" s="79" t="s">
        <v>1268</v>
      </c>
      <c r="B933" s="79" t="s">
        <v>1209</v>
      </c>
      <c r="C933" s="80" t="s">
        <v>95</v>
      </c>
      <c r="D933" s="81" t="s">
        <v>111</v>
      </c>
      <c r="E933" s="82">
        <v>12122</v>
      </c>
      <c r="F933" s="82">
        <v>689</v>
      </c>
      <c r="G933" s="82">
        <v>2667</v>
      </c>
      <c r="H933" s="83">
        <v>32.193479911800061</v>
      </c>
      <c r="I933" s="83">
        <v>28326.60664093374</v>
      </c>
      <c r="J933" s="83">
        <v>25.045948897004688</v>
      </c>
    </row>
    <row r="934" spans="1:10" ht="16">
      <c r="A934" s="79" t="s">
        <v>1269</v>
      </c>
      <c r="B934" s="79" t="s">
        <v>1209</v>
      </c>
      <c r="C934" s="80" t="s">
        <v>95</v>
      </c>
      <c r="D934" s="81" t="s">
        <v>78</v>
      </c>
      <c r="E934" s="82">
        <v>15195</v>
      </c>
      <c r="F934" s="82">
        <v>1093</v>
      </c>
      <c r="G934" s="82">
        <v>4255</v>
      </c>
      <c r="H934" s="83">
        <v>30.573750222317233</v>
      </c>
      <c r="I934" s="83">
        <v>29327.703838233294</v>
      </c>
      <c r="J934" s="83">
        <v>28.47146391483086</v>
      </c>
    </row>
    <row r="935" spans="1:10" ht="16">
      <c r="A935" s="79" t="s">
        <v>1270</v>
      </c>
      <c r="B935" s="79" t="s">
        <v>1209</v>
      </c>
      <c r="C935" s="80" t="s">
        <v>95</v>
      </c>
      <c r="D935" s="81" t="s">
        <v>78</v>
      </c>
      <c r="E935" s="82">
        <v>10302</v>
      </c>
      <c r="F935" s="82">
        <v>599</v>
      </c>
      <c r="G935" s="82">
        <v>3091</v>
      </c>
      <c r="H935" s="83">
        <v>15.443575144490939</v>
      </c>
      <c r="I935" s="83">
        <v>4787.6573885295547</v>
      </c>
      <c r="J935" s="83">
        <v>20.919578840304872</v>
      </c>
    </row>
    <row r="936" spans="1:10" ht="16">
      <c r="A936" s="79" t="s">
        <v>391</v>
      </c>
      <c r="B936" s="79" t="s">
        <v>388</v>
      </c>
      <c r="C936" s="80" t="s">
        <v>95</v>
      </c>
      <c r="D936" s="81" t="s">
        <v>149</v>
      </c>
      <c r="E936" s="82">
        <v>11630</v>
      </c>
      <c r="F936" s="82">
        <v>629</v>
      </c>
      <c r="G936" s="82">
        <v>698</v>
      </c>
      <c r="H936" s="83">
        <v>27.900232438122742</v>
      </c>
      <c r="I936" s="83">
        <v>19736.144069368955</v>
      </c>
      <c r="J936" s="83">
        <v>24.773857056938645</v>
      </c>
    </row>
    <row r="937" spans="1:10" ht="16">
      <c r="A937" s="79" t="s">
        <v>349</v>
      </c>
      <c r="B937" s="79" t="s">
        <v>341</v>
      </c>
      <c r="C937" s="80" t="s">
        <v>95</v>
      </c>
      <c r="D937" s="81" t="s">
        <v>149</v>
      </c>
      <c r="E937" s="82">
        <v>14011</v>
      </c>
      <c r="F937" s="82">
        <v>499</v>
      </c>
      <c r="G937" s="82">
        <v>3223</v>
      </c>
      <c r="H937" s="83">
        <v>13.471023278460182</v>
      </c>
      <c r="I937" s="83">
        <v>734.82399852345679</v>
      </c>
      <c r="J937" s="83">
        <v>19.593275705189932</v>
      </c>
    </row>
    <row r="938" spans="1:10" ht="16">
      <c r="A938" s="79" t="s">
        <v>1271</v>
      </c>
      <c r="B938" s="79" t="s">
        <v>1209</v>
      </c>
      <c r="C938" s="80" t="s">
        <v>95</v>
      </c>
      <c r="D938" s="81" t="s">
        <v>76</v>
      </c>
      <c r="E938" s="82">
        <v>29433</v>
      </c>
      <c r="F938" s="82">
        <v>2299</v>
      </c>
      <c r="G938" s="82">
        <v>12068</v>
      </c>
      <c r="H938" s="83">
        <v>74.78629898378685</v>
      </c>
      <c r="I938" s="83">
        <v>71453.017561701563</v>
      </c>
      <c r="J938" s="83">
        <v>67.601554114079548</v>
      </c>
    </row>
    <row r="939" spans="1:10" ht="16">
      <c r="A939" s="79" t="s">
        <v>307</v>
      </c>
      <c r="B939" s="79" t="s">
        <v>242</v>
      </c>
      <c r="C939" s="80" t="s">
        <v>126</v>
      </c>
      <c r="D939" s="81" t="s">
        <v>103</v>
      </c>
      <c r="E939" s="82">
        <v>33242</v>
      </c>
      <c r="F939" s="82">
        <v>2027</v>
      </c>
      <c r="G939" s="82">
        <v>1330</v>
      </c>
      <c r="H939" s="83">
        <v>22.948966401326523</v>
      </c>
      <c r="I939" s="83">
        <v>12238.660298991128</v>
      </c>
      <c r="J939" s="83">
        <v>24.099691332209531</v>
      </c>
    </row>
    <row r="940" spans="1:10" ht="16">
      <c r="A940" s="79" t="s">
        <v>886</v>
      </c>
      <c r="B940" s="79" t="s">
        <v>877</v>
      </c>
      <c r="C940" s="80" t="s">
        <v>126</v>
      </c>
      <c r="D940" s="81" t="s">
        <v>103</v>
      </c>
      <c r="E940" s="82">
        <v>14654</v>
      </c>
      <c r="F940" s="82">
        <v>1011</v>
      </c>
      <c r="G940" s="82">
        <v>293</v>
      </c>
      <c r="H940" s="83">
        <v>9.8787596639667026</v>
      </c>
      <c r="I940" s="83">
        <v>1791.7359656109277</v>
      </c>
      <c r="J940" s="83">
        <v>15.369729364988464</v>
      </c>
    </row>
    <row r="941" spans="1:10" ht="16">
      <c r="A941" s="79" t="s">
        <v>449</v>
      </c>
      <c r="B941" s="79" t="s">
        <v>421</v>
      </c>
      <c r="C941" s="80" t="s">
        <v>126</v>
      </c>
      <c r="D941" s="81" t="s">
        <v>78</v>
      </c>
      <c r="E941" s="82">
        <v>38111</v>
      </c>
      <c r="F941" s="82">
        <v>669</v>
      </c>
      <c r="G941" s="82">
        <v>4573</v>
      </c>
      <c r="H941" s="83">
        <v>46.693573178675848</v>
      </c>
      <c r="I941" s="83">
        <v>34447.857910581552</v>
      </c>
      <c r="J941" s="83">
        <v>42.013379505880543</v>
      </c>
    </row>
    <row r="942" spans="1:10" ht="16">
      <c r="A942" s="79" t="s">
        <v>1272</v>
      </c>
      <c r="B942" s="79" t="s">
        <v>1209</v>
      </c>
      <c r="C942" s="80" t="s">
        <v>95</v>
      </c>
      <c r="D942" s="81" t="s">
        <v>77</v>
      </c>
      <c r="E942" s="82">
        <v>11923</v>
      </c>
      <c r="F942" s="82">
        <v>741</v>
      </c>
      <c r="G942" s="82">
        <v>4650</v>
      </c>
      <c r="H942" s="83">
        <v>34.691364657285348</v>
      </c>
      <c r="I942" s="83">
        <v>23546.25727250773</v>
      </c>
      <c r="J942" s="83">
        <v>32.278130487404752</v>
      </c>
    </row>
    <row r="943" spans="1:10" ht="16">
      <c r="A943" s="79" t="s">
        <v>1273</v>
      </c>
      <c r="B943" s="79" t="s">
        <v>1209</v>
      </c>
      <c r="C943" s="80" t="s">
        <v>95</v>
      </c>
      <c r="D943" s="81" t="s">
        <v>149</v>
      </c>
      <c r="E943" s="82">
        <v>21451</v>
      </c>
      <c r="F943" s="82">
        <v>1219</v>
      </c>
      <c r="G943" s="82">
        <v>6006</v>
      </c>
      <c r="H943" s="83">
        <v>39.281507997644127</v>
      </c>
      <c r="I943" s="83">
        <v>35949.807098319128</v>
      </c>
      <c r="J943" s="83">
        <v>34.407901704439972</v>
      </c>
    </row>
    <row r="944" spans="1:10" ht="16">
      <c r="A944" s="79" t="s">
        <v>632</v>
      </c>
      <c r="B944" s="79" t="s">
        <v>617</v>
      </c>
      <c r="C944" s="80" t="s">
        <v>95</v>
      </c>
      <c r="D944" s="81" t="s">
        <v>149</v>
      </c>
      <c r="E944" s="82">
        <v>14644</v>
      </c>
      <c r="F944" s="82">
        <v>581</v>
      </c>
      <c r="G944" s="82">
        <v>1025</v>
      </c>
      <c r="H944" s="83">
        <v>20.75566057487308</v>
      </c>
      <c r="I944" s="83">
        <v>15171.551175037404</v>
      </c>
      <c r="J944" s="83">
        <v>21.894787119294698</v>
      </c>
    </row>
    <row r="945" spans="1:10" ht="16">
      <c r="A945" s="79" t="s">
        <v>633</v>
      </c>
      <c r="B945" s="79" t="s">
        <v>617</v>
      </c>
      <c r="C945" s="80" t="s">
        <v>95</v>
      </c>
      <c r="D945" s="81" t="s">
        <v>99</v>
      </c>
      <c r="E945" s="82">
        <v>34686</v>
      </c>
      <c r="F945" s="82">
        <v>1700</v>
      </c>
      <c r="G945" s="82">
        <v>3815</v>
      </c>
      <c r="H945" s="83">
        <v>25.589941957486108</v>
      </c>
      <c r="I945" s="83">
        <v>16546.113104809378</v>
      </c>
      <c r="J945" s="83">
        <v>38.406076633052244</v>
      </c>
    </row>
    <row r="946" spans="1:10" ht="16">
      <c r="A946" s="79" t="s">
        <v>1419</v>
      </c>
      <c r="B946" s="79" t="s">
        <v>1307</v>
      </c>
      <c r="C946" s="80" t="s">
        <v>95</v>
      </c>
      <c r="D946" s="81" t="s">
        <v>75</v>
      </c>
      <c r="E946" s="82">
        <v>46642</v>
      </c>
      <c r="F946" s="82">
        <v>2776</v>
      </c>
      <c r="G946" s="82">
        <v>4664</v>
      </c>
      <c r="H946" s="83">
        <v>54.117366402214465</v>
      </c>
      <c r="I946" s="83">
        <v>33307.111995637591</v>
      </c>
      <c r="J946" s="83">
        <v>54.318479491146597</v>
      </c>
    </row>
    <row r="947" spans="1:10" ht="16">
      <c r="A947" s="79" t="s">
        <v>196</v>
      </c>
      <c r="B947" s="79" t="s">
        <v>169</v>
      </c>
      <c r="C947" s="80" t="s">
        <v>126</v>
      </c>
      <c r="D947" s="81" t="s">
        <v>78</v>
      </c>
      <c r="E947" s="82">
        <v>23923</v>
      </c>
      <c r="F947" s="82">
        <v>1574</v>
      </c>
      <c r="G947" s="82">
        <v>1647</v>
      </c>
      <c r="H947" s="83">
        <v>7.7196796292130276</v>
      </c>
      <c r="I947" s="83">
        <v>3033.8345184810555</v>
      </c>
      <c r="J947" s="83">
        <v>15.591512080350979</v>
      </c>
    </row>
    <row r="948" spans="1:10" ht="16">
      <c r="A948" s="79" t="s">
        <v>450</v>
      </c>
      <c r="B948" s="79" t="s">
        <v>421</v>
      </c>
      <c r="C948" s="80" t="s">
        <v>95</v>
      </c>
      <c r="D948" s="81" t="s">
        <v>79</v>
      </c>
      <c r="E948" s="82">
        <v>21475</v>
      </c>
      <c r="F948" s="82">
        <v>502</v>
      </c>
      <c r="G948" s="82">
        <v>4939</v>
      </c>
      <c r="H948" s="83">
        <v>52.381887036600951</v>
      </c>
      <c r="I948" s="83">
        <v>42948.384345526138</v>
      </c>
      <c r="J948" s="83">
        <v>49.483100730903864</v>
      </c>
    </row>
    <row r="949" spans="1:10" ht="16">
      <c r="A949" s="79" t="s">
        <v>1094</v>
      </c>
      <c r="B949" s="79" t="s">
        <v>1091</v>
      </c>
      <c r="C949" s="80" t="s">
        <v>95</v>
      </c>
      <c r="D949" s="81" t="s">
        <v>111</v>
      </c>
      <c r="E949" s="82">
        <v>10887</v>
      </c>
      <c r="F949" s="82">
        <v>337</v>
      </c>
      <c r="G949" s="82">
        <v>1960</v>
      </c>
      <c r="H949" s="83">
        <v>33.38283590342715</v>
      </c>
      <c r="I949" s="83">
        <v>20967.349718672416</v>
      </c>
      <c r="J949" s="83">
        <v>32.723749167737786</v>
      </c>
    </row>
    <row r="950" spans="1:10" ht="16">
      <c r="A950" s="79" t="s">
        <v>756</v>
      </c>
      <c r="B950" s="79" t="s">
        <v>661</v>
      </c>
      <c r="C950" s="80" t="s">
        <v>126</v>
      </c>
      <c r="D950" s="81" t="s">
        <v>101</v>
      </c>
      <c r="E950" s="82">
        <v>5020</v>
      </c>
      <c r="F950" s="82">
        <v>540</v>
      </c>
      <c r="G950" s="82">
        <v>201</v>
      </c>
      <c r="H950" s="83">
        <v>10.776601978152218</v>
      </c>
      <c r="I950" s="83">
        <v>1046.0071986517237</v>
      </c>
      <c r="J950" s="83">
        <v>19.793562698784175</v>
      </c>
    </row>
    <row r="951" spans="1:10" ht="16">
      <c r="A951" s="79" t="s">
        <v>906</v>
      </c>
      <c r="B951" s="79" t="s">
        <v>898</v>
      </c>
      <c r="C951" s="80" t="s">
        <v>95</v>
      </c>
      <c r="D951" s="81" t="s">
        <v>149</v>
      </c>
      <c r="E951" s="82">
        <v>27859</v>
      </c>
      <c r="F951" s="82">
        <v>1629</v>
      </c>
      <c r="G951" s="82">
        <v>557</v>
      </c>
      <c r="H951" s="83">
        <v>10.975003088032082</v>
      </c>
      <c r="I951" s="83">
        <v>2105.7056990432807</v>
      </c>
      <c r="J951" s="83">
        <v>16.374314073596167</v>
      </c>
    </row>
    <row r="952" spans="1:10" ht="16">
      <c r="A952" s="79" t="s">
        <v>1095</v>
      </c>
      <c r="B952" s="79" t="s">
        <v>1091</v>
      </c>
      <c r="C952" s="80" t="s">
        <v>95</v>
      </c>
      <c r="D952" s="81" t="s">
        <v>79</v>
      </c>
      <c r="E952" s="82">
        <v>16935</v>
      </c>
      <c r="F952" s="82">
        <v>1086</v>
      </c>
      <c r="G952" s="82">
        <v>6605</v>
      </c>
      <c r="H952" s="83">
        <v>44.087021886757469</v>
      </c>
      <c r="I952" s="83">
        <v>35198.568279720021</v>
      </c>
      <c r="J952" s="83">
        <v>38.660057345838823</v>
      </c>
    </row>
    <row r="953" spans="1:10" ht="16">
      <c r="A953" s="79" t="s">
        <v>634</v>
      </c>
      <c r="B953" s="79" t="s">
        <v>617</v>
      </c>
      <c r="C953" s="80" t="s">
        <v>95</v>
      </c>
      <c r="D953" s="81" t="s">
        <v>99</v>
      </c>
      <c r="E953" s="82">
        <v>23977</v>
      </c>
      <c r="F953" s="82">
        <v>1230</v>
      </c>
      <c r="G953" s="82">
        <v>2158</v>
      </c>
      <c r="H953" s="83">
        <v>23.647062319306198</v>
      </c>
      <c r="I953" s="83">
        <v>14775.634861586112</v>
      </c>
      <c r="J953" s="83">
        <v>32.345935634542229</v>
      </c>
    </row>
    <row r="954" spans="1:10" ht="16">
      <c r="A954" s="79" t="s">
        <v>1420</v>
      </c>
      <c r="B954" s="79" t="s">
        <v>1307</v>
      </c>
      <c r="C954" s="80" t="s">
        <v>95</v>
      </c>
      <c r="D954" s="81" t="s">
        <v>78</v>
      </c>
      <c r="E954" s="82">
        <v>35164</v>
      </c>
      <c r="F954" s="82">
        <v>2157</v>
      </c>
      <c r="G954" s="82">
        <v>2461</v>
      </c>
      <c r="H954" s="83">
        <v>36.106253056979561</v>
      </c>
      <c r="I954" s="83">
        <v>19979.607302676955</v>
      </c>
      <c r="J954" s="83">
        <v>35.034198369737631</v>
      </c>
    </row>
    <row r="955" spans="1:10" ht="16">
      <c r="A955" s="79" t="s">
        <v>464</v>
      </c>
      <c r="B955" s="79" t="s">
        <v>465</v>
      </c>
      <c r="C955" s="80" t="s">
        <v>126</v>
      </c>
      <c r="D955" s="81" t="s">
        <v>96</v>
      </c>
      <c r="E955" s="82">
        <v>36819</v>
      </c>
      <c r="F955" s="82">
        <v>1283</v>
      </c>
      <c r="G955" s="82">
        <v>368</v>
      </c>
      <c r="H955" s="83">
        <v>16.049561733863655</v>
      </c>
      <c r="I955" s="83">
        <v>4362.8552920159882</v>
      </c>
      <c r="J955" s="83">
        <v>16.407347374715535</v>
      </c>
    </row>
    <row r="956" spans="1:10" ht="16">
      <c r="A956" s="79" t="s">
        <v>1057</v>
      </c>
      <c r="B956" s="79" t="s">
        <v>1039</v>
      </c>
      <c r="C956" s="80" t="s">
        <v>95</v>
      </c>
      <c r="D956" s="81" t="s">
        <v>149</v>
      </c>
      <c r="E956" s="82">
        <v>13906</v>
      </c>
      <c r="F956" s="82">
        <v>732</v>
      </c>
      <c r="G956" s="82">
        <v>1947</v>
      </c>
      <c r="H956" s="83">
        <v>18.383613377462602</v>
      </c>
      <c r="I956" s="83">
        <v>10526.363622502775</v>
      </c>
      <c r="J956" s="83">
        <v>18.958308762282925</v>
      </c>
    </row>
    <row r="957" spans="1:10" ht="16">
      <c r="A957" s="79" t="s">
        <v>1274</v>
      </c>
      <c r="B957" s="79" t="s">
        <v>1209</v>
      </c>
      <c r="C957" s="80" t="s">
        <v>95</v>
      </c>
      <c r="D957" s="81" t="s">
        <v>111</v>
      </c>
      <c r="E957" s="82">
        <v>25357</v>
      </c>
      <c r="F957" s="82">
        <v>1647</v>
      </c>
      <c r="G957" s="82">
        <v>9382</v>
      </c>
      <c r="H957" s="83">
        <v>47.978680769327724</v>
      </c>
      <c r="I957" s="83">
        <v>44025.064787019568</v>
      </c>
      <c r="J957" s="83">
        <v>41.261558089818806</v>
      </c>
    </row>
    <row r="958" spans="1:10" ht="16">
      <c r="A958" s="79" t="s">
        <v>1088</v>
      </c>
      <c r="B958" s="79" t="s">
        <v>1081</v>
      </c>
      <c r="C958" s="80" t="s">
        <v>126</v>
      </c>
      <c r="D958" s="81" t="s">
        <v>79</v>
      </c>
      <c r="E958" s="82">
        <v>19677</v>
      </c>
      <c r="F958" s="82">
        <v>1929</v>
      </c>
      <c r="G958" s="82">
        <v>2558</v>
      </c>
      <c r="H958" s="83">
        <v>41.606369139511855</v>
      </c>
      <c r="I958" s="83">
        <v>38824.559570683166</v>
      </c>
      <c r="J958" s="83">
        <v>27.519199873337048</v>
      </c>
    </row>
    <row r="959" spans="1:10" ht="16">
      <c r="A959" s="79" t="s">
        <v>1058</v>
      </c>
      <c r="B959" s="79" t="s">
        <v>1039</v>
      </c>
      <c r="C959" s="80" t="s">
        <v>95</v>
      </c>
      <c r="D959" s="81" t="s">
        <v>79</v>
      </c>
      <c r="E959" s="82">
        <v>56044</v>
      </c>
      <c r="F959" s="82">
        <v>3639</v>
      </c>
      <c r="G959" s="82">
        <v>5604</v>
      </c>
      <c r="H959" s="83">
        <v>20.910031325453808</v>
      </c>
      <c r="I959" s="83">
        <v>10879.558535758966</v>
      </c>
      <c r="J959" s="83">
        <v>19.681546862608204</v>
      </c>
    </row>
    <row r="960" spans="1:10" ht="16">
      <c r="A960" s="79" t="s">
        <v>152</v>
      </c>
      <c r="B960" s="79" t="s">
        <v>146</v>
      </c>
      <c r="C960" s="80" t="s">
        <v>95</v>
      </c>
      <c r="D960" s="81" t="s">
        <v>78</v>
      </c>
      <c r="E960" s="82">
        <v>20312</v>
      </c>
      <c r="F960" s="82">
        <v>927</v>
      </c>
      <c r="G960" s="82">
        <v>2641</v>
      </c>
      <c r="H960" s="83">
        <v>18.559956556723282</v>
      </c>
      <c r="I960" s="83">
        <v>10271.821432064111</v>
      </c>
      <c r="J960" s="83">
        <v>23.605287361903184</v>
      </c>
    </row>
    <row r="961" spans="1:10" ht="16">
      <c r="A961" s="79" t="s">
        <v>1275</v>
      </c>
      <c r="B961" s="79" t="s">
        <v>1209</v>
      </c>
      <c r="C961" s="80" t="s">
        <v>95</v>
      </c>
      <c r="D961" s="81" t="s">
        <v>79</v>
      </c>
      <c r="E961" s="82">
        <v>14477</v>
      </c>
      <c r="F961" s="82">
        <v>804</v>
      </c>
      <c r="G961" s="82">
        <v>5212</v>
      </c>
      <c r="H961" s="83">
        <v>16.144938640010228</v>
      </c>
      <c r="I961" s="83">
        <v>6013.3342256175692</v>
      </c>
      <c r="J961" s="83">
        <v>17.61296969965095</v>
      </c>
    </row>
    <row r="962" spans="1:10" ht="16">
      <c r="A962" s="79" t="s">
        <v>451</v>
      </c>
      <c r="B962" s="79" t="s">
        <v>421</v>
      </c>
      <c r="C962" s="80" t="s">
        <v>95</v>
      </c>
      <c r="D962" s="81" t="s">
        <v>101</v>
      </c>
      <c r="E962" s="82">
        <v>10247</v>
      </c>
      <c r="F962" s="82">
        <v>486</v>
      </c>
      <c r="G962" s="82">
        <v>717</v>
      </c>
      <c r="H962" s="83">
        <v>22.813847770948172</v>
      </c>
      <c r="I962" s="83">
        <v>13538.094480998767</v>
      </c>
      <c r="J962" s="83">
        <v>30.81917396039211</v>
      </c>
    </row>
    <row r="963" spans="1:10" ht="16">
      <c r="A963" s="79" t="s">
        <v>847</v>
      </c>
      <c r="B963" s="79" t="s">
        <v>839</v>
      </c>
      <c r="C963" s="80" t="s">
        <v>95</v>
      </c>
      <c r="D963" s="81" t="s">
        <v>76</v>
      </c>
      <c r="E963" s="82">
        <v>27228</v>
      </c>
      <c r="F963" s="82">
        <v>1144</v>
      </c>
      <c r="G963" s="82">
        <v>5718</v>
      </c>
      <c r="H963" s="83">
        <v>55.680704923165933</v>
      </c>
      <c r="I963" s="83">
        <v>50932.325159502281</v>
      </c>
      <c r="J963" s="83">
        <v>42.378756734668663</v>
      </c>
    </row>
    <row r="964" spans="1:10" ht="16">
      <c r="A964" s="79" t="s">
        <v>827</v>
      </c>
      <c r="B964" s="79" t="s">
        <v>817</v>
      </c>
      <c r="C964" s="80" t="s">
        <v>95</v>
      </c>
      <c r="D964" s="81" t="s">
        <v>101</v>
      </c>
      <c r="E964" s="82">
        <v>123932</v>
      </c>
      <c r="F964" s="82">
        <v>2229</v>
      </c>
      <c r="G964" s="82">
        <v>8624</v>
      </c>
      <c r="H964" s="83">
        <v>8.5649564886795524</v>
      </c>
      <c r="I964" s="83">
        <v>787.26218215238896</v>
      </c>
      <c r="J964" s="83">
        <v>16.3394725416562</v>
      </c>
    </row>
    <row r="965" spans="1:10" ht="16">
      <c r="A965" s="79" t="s">
        <v>828</v>
      </c>
      <c r="B965" s="79" t="s">
        <v>817</v>
      </c>
      <c r="C965" s="80" t="s">
        <v>95</v>
      </c>
      <c r="D965" s="81" t="s">
        <v>76</v>
      </c>
      <c r="E965" s="82">
        <v>26034</v>
      </c>
      <c r="F965" s="82">
        <v>1315</v>
      </c>
      <c r="G965" s="82">
        <v>781</v>
      </c>
      <c r="H965" s="83">
        <v>8.8063698652241378</v>
      </c>
      <c r="I965" s="83">
        <v>1185.0527746908706</v>
      </c>
      <c r="J965" s="83">
        <v>17.127103982807931</v>
      </c>
    </row>
    <row r="966" spans="1:10" ht="16">
      <c r="A966" s="79" t="s">
        <v>216</v>
      </c>
      <c r="B966" s="79" t="s">
        <v>203</v>
      </c>
      <c r="C966" s="80" t="s">
        <v>95</v>
      </c>
      <c r="D966" s="81" t="s">
        <v>79</v>
      </c>
      <c r="E966" s="82">
        <v>22165</v>
      </c>
      <c r="F966" s="82">
        <v>762</v>
      </c>
      <c r="G966" s="82">
        <v>1995</v>
      </c>
      <c r="H966" s="83">
        <v>29.782215386066017</v>
      </c>
      <c r="I966" s="83">
        <v>13964.915318983212</v>
      </c>
      <c r="J966" s="83">
        <v>27.155507109162471</v>
      </c>
    </row>
    <row r="967" spans="1:10" ht="16">
      <c r="A967" s="79" t="s">
        <v>585</v>
      </c>
      <c r="B967" s="79" t="s">
        <v>556</v>
      </c>
      <c r="C967" s="80" t="s">
        <v>95</v>
      </c>
      <c r="D967" s="81" t="s">
        <v>77</v>
      </c>
      <c r="E967" s="82">
        <v>16240</v>
      </c>
      <c r="F967" s="82">
        <v>576</v>
      </c>
      <c r="G967" s="82">
        <v>746</v>
      </c>
      <c r="H967" s="83">
        <v>13.772822807404642</v>
      </c>
      <c r="I967" s="83">
        <v>4026.0177771388576</v>
      </c>
      <c r="J967" s="83">
        <v>20.769037646847664</v>
      </c>
    </row>
    <row r="968" spans="1:10" ht="16">
      <c r="A968" s="79" t="s">
        <v>615</v>
      </c>
      <c r="B968" s="79" t="s">
        <v>610</v>
      </c>
      <c r="C968" s="80" t="s">
        <v>95</v>
      </c>
      <c r="D968" s="81" t="s">
        <v>77</v>
      </c>
      <c r="E968" s="82">
        <v>16164</v>
      </c>
      <c r="F968" s="82">
        <v>770</v>
      </c>
      <c r="G968" s="82">
        <v>323</v>
      </c>
      <c r="H968" s="83">
        <v>32.750461069788088</v>
      </c>
      <c r="I968" s="83">
        <v>16875.039466043258</v>
      </c>
      <c r="J968" s="83">
        <v>26.949761424965033</v>
      </c>
    </row>
    <row r="969" spans="1:10" ht="16">
      <c r="A969" s="79" t="s">
        <v>452</v>
      </c>
      <c r="B969" s="79" t="s">
        <v>421</v>
      </c>
      <c r="C969" s="80" t="s">
        <v>95</v>
      </c>
      <c r="D969" s="81" t="s">
        <v>99</v>
      </c>
      <c r="E969" s="82">
        <v>30375</v>
      </c>
      <c r="F969" s="82">
        <v>512</v>
      </c>
      <c r="G969" s="82">
        <v>3645</v>
      </c>
      <c r="H969" s="83">
        <v>49.846857269102607</v>
      </c>
      <c r="I969" s="83">
        <v>36881.061819233764</v>
      </c>
      <c r="J969" s="83">
        <v>45.203071794988411</v>
      </c>
    </row>
    <row r="970" spans="1:10" ht="16">
      <c r="A970" s="79" t="s">
        <v>335</v>
      </c>
      <c r="B970" s="79" t="s">
        <v>336</v>
      </c>
      <c r="C970" s="80" t="s">
        <v>95</v>
      </c>
      <c r="D970" s="81" t="s">
        <v>78</v>
      </c>
      <c r="E970" s="82">
        <v>14856</v>
      </c>
      <c r="F970" s="82">
        <v>1516</v>
      </c>
      <c r="G970" s="82">
        <v>1040</v>
      </c>
      <c r="H970" s="83">
        <v>9.3576615082063501</v>
      </c>
      <c r="I970" s="83">
        <v>860.59719354391825</v>
      </c>
      <c r="J970" s="83">
        <v>22.525790243582897</v>
      </c>
    </row>
    <row r="971" spans="1:10" ht="16">
      <c r="A971" s="79" t="s">
        <v>392</v>
      </c>
      <c r="B971" s="79" t="s">
        <v>388</v>
      </c>
      <c r="C971" s="80" t="s">
        <v>95</v>
      </c>
      <c r="D971" s="81" t="s">
        <v>77</v>
      </c>
      <c r="E971" s="82">
        <v>22072</v>
      </c>
      <c r="F971" s="82">
        <v>1330</v>
      </c>
      <c r="G971" s="82">
        <v>1104</v>
      </c>
      <c r="H971" s="83">
        <v>59.320746000429907</v>
      </c>
      <c r="I971" s="83">
        <v>52290.22784410444</v>
      </c>
      <c r="J971" s="83">
        <v>43.652402286706049</v>
      </c>
    </row>
    <row r="972" spans="1:10" ht="16">
      <c r="A972" s="79" t="s">
        <v>1276</v>
      </c>
      <c r="B972" s="79" t="s">
        <v>1209</v>
      </c>
      <c r="C972" s="80" t="s">
        <v>95</v>
      </c>
      <c r="D972" s="81" t="s">
        <v>76</v>
      </c>
      <c r="E972" s="82">
        <v>17584</v>
      </c>
      <c r="F972" s="82">
        <v>1005</v>
      </c>
      <c r="G972" s="82">
        <v>4924</v>
      </c>
      <c r="H972" s="83">
        <v>13.250035868513692</v>
      </c>
      <c r="I972" s="83">
        <v>5557.5113221287938</v>
      </c>
      <c r="J972" s="83">
        <v>18.260286029838952</v>
      </c>
    </row>
    <row r="973" spans="1:10" ht="16">
      <c r="A973" s="79" t="s">
        <v>453</v>
      </c>
      <c r="B973" s="79" t="s">
        <v>421</v>
      </c>
      <c r="C973" s="80" t="s">
        <v>95</v>
      </c>
      <c r="D973" s="81" t="s">
        <v>77</v>
      </c>
      <c r="E973" s="82">
        <v>9234</v>
      </c>
      <c r="F973" s="82">
        <v>244</v>
      </c>
      <c r="G973" s="82">
        <v>1385</v>
      </c>
      <c r="H973" s="83">
        <v>31.416372245798797</v>
      </c>
      <c r="I973" s="83">
        <v>28607.472163450784</v>
      </c>
      <c r="J973" s="83">
        <v>34.526646386031103</v>
      </c>
    </row>
    <row r="974" spans="1:10" ht="16">
      <c r="A974" s="79" t="s">
        <v>483</v>
      </c>
      <c r="B974" s="79" t="s">
        <v>478</v>
      </c>
      <c r="C974" s="80" t="s">
        <v>95</v>
      </c>
      <c r="D974" s="81" t="s">
        <v>76</v>
      </c>
      <c r="E974" s="82">
        <v>18260</v>
      </c>
      <c r="F974" s="82">
        <v>1003</v>
      </c>
      <c r="G974" s="82">
        <v>8034</v>
      </c>
      <c r="H974" s="83">
        <v>77.593878812230457</v>
      </c>
      <c r="I974" s="83">
        <v>59186.737752934168</v>
      </c>
      <c r="J974" s="83">
        <v>70.243560732685424</v>
      </c>
    </row>
    <row r="975" spans="1:10" ht="16">
      <c r="A975" s="79" t="s">
        <v>1421</v>
      </c>
      <c r="B975" s="79" t="s">
        <v>1307</v>
      </c>
      <c r="C975" s="80" t="s">
        <v>126</v>
      </c>
      <c r="D975" s="81" t="s">
        <v>77</v>
      </c>
      <c r="E975" s="82">
        <v>44128</v>
      </c>
      <c r="F975" s="82">
        <v>1717</v>
      </c>
      <c r="G975" s="82">
        <v>3972</v>
      </c>
      <c r="H975" s="83">
        <v>26.054354565976144</v>
      </c>
      <c r="I975" s="83">
        <v>15050.025286916263</v>
      </c>
      <c r="J975" s="83">
        <v>34.079371435489435</v>
      </c>
    </row>
    <row r="976" spans="1:10" ht="16">
      <c r="A976" s="79" t="s">
        <v>1277</v>
      </c>
      <c r="B976" s="79" t="s">
        <v>1209</v>
      </c>
      <c r="C976" s="80" t="s">
        <v>95</v>
      </c>
      <c r="D976" s="81" t="s">
        <v>79</v>
      </c>
      <c r="E976" s="82">
        <v>14483</v>
      </c>
      <c r="F976" s="82">
        <v>700</v>
      </c>
      <c r="G976" s="82">
        <v>3476</v>
      </c>
      <c r="H976" s="83">
        <v>20.817928782372665</v>
      </c>
      <c r="I976" s="83">
        <v>8990.4270700589241</v>
      </c>
      <c r="J976" s="83">
        <v>22.885326723022438</v>
      </c>
    </row>
    <row r="977" spans="1:10" ht="16">
      <c r="A977" s="79" t="s">
        <v>1278</v>
      </c>
      <c r="B977" s="79" t="s">
        <v>1209</v>
      </c>
      <c r="C977" s="80" t="s">
        <v>95</v>
      </c>
      <c r="D977" s="81" t="s">
        <v>79</v>
      </c>
      <c r="E977" s="82">
        <v>14047</v>
      </c>
      <c r="F977" s="82">
        <v>772</v>
      </c>
      <c r="G977" s="82">
        <v>2669</v>
      </c>
      <c r="H977" s="83">
        <v>23.453513914380629</v>
      </c>
      <c r="I977" s="83">
        <v>12917.656944386537</v>
      </c>
      <c r="J977" s="83">
        <v>22.818644440805798</v>
      </c>
    </row>
    <row r="978" spans="1:10" ht="16">
      <c r="A978" s="79" t="s">
        <v>757</v>
      </c>
      <c r="B978" s="79" t="s">
        <v>661</v>
      </c>
      <c r="C978" s="80" t="s">
        <v>126</v>
      </c>
      <c r="D978" s="81" t="s">
        <v>77</v>
      </c>
      <c r="E978" s="82">
        <v>6566</v>
      </c>
      <c r="F978" s="82">
        <v>513</v>
      </c>
      <c r="G978" s="82">
        <v>197</v>
      </c>
      <c r="H978" s="83">
        <v>12.698721149896203</v>
      </c>
      <c r="I978" s="83">
        <v>1262.1051207260487</v>
      </c>
      <c r="J978" s="83">
        <v>17.172901643977841</v>
      </c>
    </row>
    <row r="979" spans="1:10" ht="16">
      <c r="A979" s="79" t="s">
        <v>863</v>
      </c>
      <c r="B979" s="79" t="s">
        <v>862</v>
      </c>
      <c r="C979" s="80" t="s">
        <v>126</v>
      </c>
      <c r="D979" s="81" t="s">
        <v>99</v>
      </c>
      <c r="E979" s="82">
        <v>26648</v>
      </c>
      <c r="F979" s="82">
        <v>1625</v>
      </c>
      <c r="G979" s="82">
        <v>266</v>
      </c>
      <c r="H979" s="83">
        <v>12.642430329488592</v>
      </c>
      <c r="I979" s="83">
        <v>9417.0977749439662</v>
      </c>
      <c r="J979" s="83">
        <v>23.719681948780526</v>
      </c>
    </row>
    <row r="980" spans="1:10" ht="16">
      <c r="A980" s="79" t="s">
        <v>490</v>
      </c>
      <c r="B980" s="79" t="s">
        <v>491</v>
      </c>
      <c r="C980" s="80" t="s">
        <v>95</v>
      </c>
      <c r="D980" s="81" t="s">
        <v>76</v>
      </c>
      <c r="E980" s="82">
        <v>8135</v>
      </c>
      <c r="F980" s="82">
        <v>585</v>
      </c>
      <c r="G980" s="82">
        <v>976</v>
      </c>
      <c r="H980" s="83">
        <v>30.241182317926839</v>
      </c>
      <c r="I980" s="83">
        <v>22537.081128109854</v>
      </c>
      <c r="J980" s="83">
        <v>20.294415275044251</v>
      </c>
    </row>
    <row r="981" spans="1:10" ht="16">
      <c r="A981" s="79" t="s">
        <v>1422</v>
      </c>
      <c r="B981" s="79" t="s">
        <v>1307</v>
      </c>
      <c r="C981" s="80" t="s">
        <v>126</v>
      </c>
      <c r="D981" s="81" t="s">
        <v>79</v>
      </c>
      <c r="E981" s="82">
        <v>9694</v>
      </c>
      <c r="F981" s="82">
        <v>570</v>
      </c>
      <c r="G981" s="82">
        <v>776</v>
      </c>
      <c r="H981" s="83">
        <v>22.039469881202528</v>
      </c>
      <c r="I981" s="83">
        <v>11270.700039475329</v>
      </c>
      <c r="J981" s="83">
        <v>33.607715106396874</v>
      </c>
    </row>
    <row r="982" spans="1:10" ht="16">
      <c r="A982" s="79" t="s">
        <v>1423</v>
      </c>
      <c r="B982" s="79" t="s">
        <v>1307</v>
      </c>
      <c r="C982" s="80" t="s">
        <v>95</v>
      </c>
      <c r="D982" s="81" t="s">
        <v>111</v>
      </c>
      <c r="E982" s="82">
        <v>27031</v>
      </c>
      <c r="F982" s="82">
        <v>2351</v>
      </c>
      <c r="G982" s="82">
        <v>5406</v>
      </c>
      <c r="H982" s="83">
        <v>33.442966796275954</v>
      </c>
      <c r="I982" s="83">
        <v>23321.171505776209</v>
      </c>
      <c r="J982" s="83">
        <v>45.405848393721776</v>
      </c>
    </row>
    <row r="983" spans="1:10" ht="16">
      <c r="A983" s="79" t="s">
        <v>1424</v>
      </c>
      <c r="B983" s="79" t="s">
        <v>1307</v>
      </c>
      <c r="C983" s="80" t="s">
        <v>126</v>
      </c>
      <c r="D983" s="81" t="s">
        <v>75</v>
      </c>
      <c r="E983" s="82">
        <v>44916</v>
      </c>
      <c r="F983" s="82">
        <v>2509</v>
      </c>
      <c r="G983" s="82">
        <v>10780</v>
      </c>
      <c r="H983" s="83">
        <v>78.67983774056971</v>
      </c>
      <c r="I983" s="83">
        <v>65895.366520088472</v>
      </c>
      <c r="J983" s="83">
        <v>63.245121564253843</v>
      </c>
    </row>
    <row r="984" spans="1:10" ht="16">
      <c r="A984" s="79" t="s">
        <v>554</v>
      </c>
      <c r="B984" s="79" t="s">
        <v>549</v>
      </c>
      <c r="C984" s="80" t="s">
        <v>95</v>
      </c>
      <c r="D984" s="81" t="s">
        <v>111</v>
      </c>
      <c r="E984" s="82">
        <v>41170</v>
      </c>
      <c r="F984" s="82">
        <v>4159</v>
      </c>
      <c r="G984" s="82">
        <v>4529</v>
      </c>
      <c r="H984" s="83">
        <v>19.261487382624612</v>
      </c>
      <c r="I984" s="83">
        <v>3211.9026054659348</v>
      </c>
      <c r="J984" s="83">
        <v>39.593976024488413</v>
      </c>
    </row>
    <row r="985" spans="1:10" ht="16">
      <c r="A985" s="79" t="s">
        <v>153</v>
      </c>
      <c r="B985" s="79" t="s">
        <v>146</v>
      </c>
      <c r="C985" s="80" t="s">
        <v>95</v>
      </c>
      <c r="D985" s="81" t="s">
        <v>76</v>
      </c>
      <c r="E985" s="82">
        <v>14128</v>
      </c>
      <c r="F985" s="82">
        <v>1121</v>
      </c>
      <c r="G985" s="82">
        <v>5651</v>
      </c>
      <c r="H985" s="83">
        <v>22.681403545146409</v>
      </c>
      <c r="I985" s="83">
        <v>13561.824763605142</v>
      </c>
      <c r="J985" s="83">
        <v>28.536469029327019</v>
      </c>
    </row>
    <row r="986" spans="1:10" ht="16">
      <c r="A986" s="79" t="s">
        <v>635</v>
      </c>
      <c r="B986" s="79" t="s">
        <v>617</v>
      </c>
      <c r="C986" s="80" t="s">
        <v>95</v>
      </c>
      <c r="D986" s="81" t="s">
        <v>149</v>
      </c>
      <c r="E986" s="82">
        <v>7646</v>
      </c>
      <c r="F986" s="82">
        <v>346</v>
      </c>
      <c r="G986" s="82">
        <v>459</v>
      </c>
      <c r="H986" s="83">
        <v>19.760770436070842</v>
      </c>
      <c r="I986" s="83">
        <v>14106.194912291083</v>
      </c>
      <c r="J986" s="83">
        <v>19.3568222349144</v>
      </c>
    </row>
    <row r="987" spans="1:10" ht="16">
      <c r="A987" s="79" t="s">
        <v>308</v>
      </c>
      <c r="B987" s="79" t="s">
        <v>242</v>
      </c>
      <c r="C987" s="80" t="s">
        <v>95</v>
      </c>
      <c r="D987" s="81" t="s">
        <v>75</v>
      </c>
      <c r="E987" s="82">
        <v>15775</v>
      </c>
      <c r="F987" s="82">
        <v>907</v>
      </c>
      <c r="G987" s="82">
        <v>2840</v>
      </c>
      <c r="H987" s="83">
        <v>16.57778573736627</v>
      </c>
      <c r="I987" s="83">
        <v>5686.0403883362724</v>
      </c>
      <c r="J987" s="83">
        <v>26.153627808200568</v>
      </c>
    </row>
    <row r="988" spans="1:10" ht="16">
      <c r="A988" s="79" t="s">
        <v>473</v>
      </c>
      <c r="B988" s="79" t="s">
        <v>467</v>
      </c>
      <c r="C988" s="80" t="s">
        <v>126</v>
      </c>
      <c r="D988" s="81" t="s">
        <v>111</v>
      </c>
      <c r="E988" s="82">
        <v>21902</v>
      </c>
      <c r="F988" s="82">
        <v>494</v>
      </c>
      <c r="G988" s="82">
        <v>657</v>
      </c>
      <c r="H988" s="83">
        <v>15.019891179094204</v>
      </c>
      <c r="I988" s="83">
        <v>8884.6699227124464</v>
      </c>
      <c r="J988" s="83">
        <v>17.436981737041332</v>
      </c>
    </row>
    <row r="989" spans="1:10" ht="16">
      <c r="A989" s="79" t="s">
        <v>1425</v>
      </c>
      <c r="B989" s="79" t="s">
        <v>1307</v>
      </c>
      <c r="C989" s="80" t="s">
        <v>95</v>
      </c>
      <c r="D989" s="81" t="s">
        <v>78</v>
      </c>
      <c r="E989" s="82">
        <v>28945</v>
      </c>
      <c r="F989" s="82">
        <v>2495</v>
      </c>
      <c r="G989" s="82">
        <v>3473</v>
      </c>
      <c r="H989" s="83">
        <v>30.288209505968322</v>
      </c>
      <c r="I989" s="83">
        <v>24347.071302644657</v>
      </c>
      <c r="J989" s="83">
        <v>44.071194131993941</v>
      </c>
    </row>
    <row r="990" spans="1:10" ht="16">
      <c r="A990" s="79" t="s">
        <v>586</v>
      </c>
      <c r="B990" s="79" t="s">
        <v>556</v>
      </c>
      <c r="C990" s="80" t="s">
        <v>95</v>
      </c>
      <c r="D990" s="81" t="s">
        <v>111</v>
      </c>
      <c r="E990" s="82">
        <v>13782</v>
      </c>
      <c r="F990" s="82">
        <v>659</v>
      </c>
      <c r="G990" s="82">
        <v>138</v>
      </c>
      <c r="H990" s="83">
        <v>23.465169824381661</v>
      </c>
      <c r="I990" s="83">
        <v>3035.9618830182649</v>
      </c>
      <c r="J990" s="83">
        <v>31.561233013577876</v>
      </c>
    </row>
    <row r="991" spans="1:10" ht="16">
      <c r="A991" s="79" t="s">
        <v>1000</v>
      </c>
      <c r="B991" s="79" t="s">
        <v>996</v>
      </c>
      <c r="C991" s="80" t="s">
        <v>95</v>
      </c>
      <c r="D991" s="81" t="s">
        <v>79</v>
      </c>
      <c r="E991" s="82">
        <v>26445</v>
      </c>
      <c r="F991" s="82">
        <v>1106</v>
      </c>
      <c r="G991" s="82">
        <v>3967</v>
      </c>
      <c r="H991" s="83">
        <v>26.013900525688602</v>
      </c>
      <c r="I991" s="83">
        <v>10971.698025876027</v>
      </c>
      <c r="J991" s="83">
        <v>19.99205749190752</v>
      </c>
    </row>
    <row r="992" spans="1:10" ht="16">
      <c r="A992" s="79" t="s">
        <v>775</v>
      </c>
      <c r="B992" s="79" t="s">
        <v>772</v>
      </c>
      <c r="C992" s="80" t="s">
        <v>95</v>
      </c>
      <c r="D992" s="81" t="s">
        <v>76</v>
      </c>
      <c r="E992" s="82">
        <v>30495</v>
      </c>
      <c r="F992" s="82">
        <v>1804</v>
      </c>
      <c r="G992" s="82">
        <v>4879</v>
      </c>
      <c r="H992" s="83">
        <v>10.785152830633319</v>
      </c>
      <c r="I992" s="83">
        <v>2984.9993552037454</v>
      </c>
      <c r="J992" s="83">
        <v>25.912023636284555</v>
      </c>
    </row>
    <row r="993" spans="1:10" ht="16">
      <c r="A993" s="79" t="s">
        <v>454</v>
      </c>
      <c r="B993" s="79" t="s">
        <v>421</v>
      </c>
      <c r="C993" s="80" t="s">
        <v>126</v>
      </c>
      <c r="D993" s="81" t="s">
        <v>96</v>
      </c>
      <c r="E993" s="82">
        <v>14869</v>
      </c>
      <c r="F993" s="82">
        <v>288</v>
      </c>
      <c r="G993" s="82">
        <v>2676</v>
      </c>
      <c r="H993" s="83">
        <v>24.207679624795681</v>
      </c>
      <c r="I993" s="83">
        <v>9961.7255006143259</v>
      </c>
      <c r="J993" s="83">
        <v>34.365359173594477</v>
      </c>
    </row>
    <row r="994" spans="1:10" ht="16">
      <c r="A994" s="79" t="s">
        <v>1426</v>
      </c>
      <c r="B994" s="79" t="s">
        <v>1307</v>
      </c>
      <c r="C994" s="80" t="s">
        <v>95</v>
      </c>
      <c r="D994" s="81" t="s">
        <v>99</v>
      </c>
      <c r="E994" s="82">
        <v>24526</v>
      </c>
      <c r="F994" s="82">
        <v>2477</v>
      </c>
      <c r="G994" s="82">
        <v>2207</v>
      </c>
      <c r="H994" s="83">
        <v>23.129571815138217</v>
      </c>
      <c r="I994" s="83">
        <v>15473.718929245879</v>
      </c>
      <c r="J994" s="83">
        <v>37.393082377474826</v>
      </c>
    </row>
    <row r="995" spans="1:10" ht="16">
      <c r="A995" s="79" t="s">
        <v>587</v>
      </c>
      <c r="B995" s="79" t="s">
        <v>556</v>
      </c>
      <c r="C995" s="80" t="s">
        <v>95</v>
      </c>
      <c r="D995" s="81" t="s">
        <v>78</v>
      </c>
      <c r="E995" s="82">
        <v>8438</v>
      </c>
      <c r="F995" s="82">
        <v>308</v>
      </c>
      <c r="G995" s="82">
        <v>253</v>
      </c>
      <c r="H995" s="83">
        <v>19.047720687338089</v>
      </c>
      <c r="I995" s="83">
        <v>13755.045542793836</v>
      </c>
      <c r="J995" s="83">
        <v>20.405458493705286</v>
      </c>
    </row>
    <row r="996" spans="1:10" ht="16">
      <c r="A996" s="79" t="s">
        <v>1279</v>
      </c>
      <c r="B996" s="79" t="s">
        <v>1209</v>
      </c>
      <c r="C996" s="80" t="s">
        <v>95</v>
      </c>
      <c r="D996" s="81" t="s">
        <v>103</v>
      </c>
      <c r="E996" s="82">
        <v>17754</v>
      </c>
      <c r="F996" s="82">
        <v>888</v>
      </c>
      <c r="G996" s="82">
        <v>5504</v>
      </c>
      <c r="H996" s="83">
        <v>28.704162033712599</v>
      </c>
      <c r="I996" s="83">
        <v>19291.762037380191</v>
      </c>
      <c r="J996" s="83">
        <v>24.518985094035887</v>
      </c>
    </row>
    <row r="997" spans="1:10" ht="16">
      <c r="A997" s="79" t="s">
        <v>1427</v>
      </c>
      <c r="B997" s="79" t="s">
        <v>1307</v>
      </c>
      <c r="C997" s="80" t="s">
        <v>95</v>
      </c>
      <c r="D997" s="81" t="s">
        <v>149</v>
      </c>
      <c r="E997" s="82">
        <v>27078</v>
      </c>
      <c r="F997" s="82">
        <v>2184</v>
      </c>
      <c r="G997" s="82">
        <v>1083</v>
      </c>
      <c r="H997" s="83">
        <v>24.946042370629328</v>
      </c>
      <c r="I997" s="83">
        <v>13839.03512100992</v>
      </c>
      <c r="J997" s="83">
        <v>37.285826617099396</v>
      </c>
    </row>
    <row r="998" spans="1:10" ht="16">
      <c r="A998" s="79" t="s">
        <v>455</v>
      </c>
      <c r="B998" s="79" t="s">
        <v>421</v>
      </c>
      <c r="C998" s="80" t="s">
        <v>95</v>
      </c>
      <c r="D998" s="81" t="s">
        <v>149</v>
      </c>
      <c r="E998" s="82">
        <v>26412</v>
      </c>
      <c r="F998" s="82">
        <v>1190</v>
      </c>
      <c r="G998" s="82">
        <v>2113</v>
      </c>
      <c r="H998" s="83">
        <v>28.089202440556988</v>
      </c>
      <c r="I998" s="83">
        <v>23946.326260597591</v>
      </c>
      <c r="J998" s="83">
        <v>30.726760111001777</v>
      </c>
    </row>
    <row r="999" spans="1:10" ht="16">
      <c r="A999" s="79" t="s">
        <v>154</v>
      </c>
      <c r="B999" s="79" t="s">
        <v>146</v>
      </c>
      <c r="C999" s="80" t="s">
        <v>95</v>
      </c>
      <c r="D999" s="81" t="s">
        <v>99</v>
      </c>
      <c r="E999" s="82">
        <v>3639</v>
      </c>
      <c r="F999" s="82">
        <v>337</v>
      </c>
      <c r="G999" s="82">
        <v>801</v>
      </c>
      <c r="H999" s="83">
        <v>16.605879440076208</v>
      </c>
      <c r="I999" s="83">
        <v>14327.612808192429</v>
      </c>
      <c r="J999" s="83">
        <v>25.499685769772505</v>
      </c>
    </row>
    <row r="1000" spans="1:10" ht="16">
      <c r="A1000" s="79" t="s">
        <v>456</v>
      </c>
      <c r="B1000" s="79" t="s">
        <v>421</v>
      </c>
      <c r="C1000" s="80" t="s">
        <v>95</v>
      </c>
      <c r="D1000" s="81" t="s">
        <v>103</v>
      </c>
      <c r="E1000" s="82">
        <v>11387</v>
      </c>
      <c r="F1000" s="82">
        <v>203</v>
      </c>
      <c r="G1000" s="82">
        <v>1480</v>
      </c>
      <c r="H1000" s="83">
        <v>44.230099181250011</v>
      </c>
      <c r="I1000" s="83">
        <v>29396.790435162999</v>
      </c>
      <c r="J1000" s="83">
        <v>39.746489042525575</v>
      </c>
    </row>
    <row r="1001" spans="1:10" ht="16">
      <c r="A1001" s="79" t="s">
        <v>588</v>
      </c>
      <c r="B1001" s="79" t="s">
        <v>556</v>
      </c>
      <c r="C1001" s="80" t="s">
        <v>95</v>
      </c>
      <c r="D1001" s="81" t="s">
        <v>101</v>
      </c>
      <c r="E1001" s="82">
        <v>9441</v>
      </c>
      <c r="F1001" s="82">
        <v>327</v>
      </c>
      <c r="G1001" s="82">
        <v>94</v>
      </c>
      <c r="H1001" s="83">
        <v>13.985838679543406</v>
      </c>
      <c r="I1001" s="83">
        <v>6127.9564565699566</v>
      </c>
      <c r="J1001" s="83">
        <v>14.626772657528228</v>
      </c>
    </row>
    <row r="1002" spans="1:10" ht="16">
      <c r="A1002" s="79" t="s">
        <v>1001</v>
      </c>
      <c r="B1002" s="79" t="s">
        <v>996</v>
      </c>
      <c r="C1002" s="80" t="s">
        <v>95</v>
      </c>
      <c r="D1002" s="81" t="s">
        <v>79</v>
      </c>
      <c r="E1002" s="82">
        <v>36660</v>
      </c>
      <c r="F1002" s="82">
        <v>1255</v>
      </c>
      <c r="G1002" s="82">
        <v>1466</v>
      </c>
      <c r="H1002" s="83">
        <v>29.366137918528864</v>
      </c>
      <c r="I1002" s="83">
        <v>20188.648791410014</v>
      </c>
      <c r="J1002" s="83">
        <v>25.797473329763644</v>
      </c>
    </row>
    <row r="1003" spans="1:10" ht="16">
      <c r="A1003" s="79" t="s">
        <v>237</v>
      </c>
      <c r="B1003" s="79" t="s">
        <v>231</v>
      </c>
      <c r="C1003" s="80" t="s">
        <v>126</v>
      </c>
      <c r="D1003" s="81" t="s">
        <v>75</v>
      </c>
      <c r="E1003" s="82">
        <v>10437</v>
      </c>
      <c r="F1003" s="82">
        <v>424</v>
      </c>
      <c r="G1003" s="82">
        <v>104</v>
      </c>
      <c r="H1003" s="83">
        <v>16.867540460435013</v>
      </c>
      <c r="I1003" s="83">
        <v>5451.7902368255445</v>
      </c>
      <c r="J1003" s="83">
        <v>16.098377528930449</v>
      </c>
    </row>
    <row r="1004" spans="1:10" ht="16">
      <c r="A1004" s="79" t="s">
        <v>1059</v>
      </c>
      <c r="B1004" s="79" t="s">
        <v>1039</v>
      </c>
      <c r="C1004" s="80" t="s">
        <v>95</v>
      </c>
      <c r="D1004" s="81" t="s">
        <v>101</v>
      </c>
      <c r="E1004" s="82">
        <v>18336</v>
      </c>
      <c r="F1004" s="82">
        <v>1421</v>
      </c>
      <c r="G1004" s="82">
        <v>733</v>
      </c>
      <c r="H1004" s="83">
        <v>12.082706162497971</v>
      </c>
      <c r="I1004" s="83">
        <v>7845.6826999579143</v>
      </c>
      <c r="J1004" s="83">
        <v>19.566934034135205</v>
      </c>
    </row>
    <row r="1005" spans="1:10" ht="16">
      <c r="A1005" s="79" t="s">
        <v>864</v>
      </c>
      <c r="B1005" s="79" t="s">
        <v>862</v>
      </c>
      <c r="C1005" s="80" t="s">
        <v>126</v>
      </c>
      <c r="D1005" s="81" t="s">
        <v>101</v>
      </c>
      <c r="E1005" s="82">
        <v>34056</v>
      </c>
      <c r="F1005" s="82">
        <v>1678</v>
      </c>
      <c r="G1005" s="82">
        <v>2370</v>
      </c>
      <c r="H1005" s="83">
        <v>9.3142875310559816</v>
      </c>
      <c r="I1005" s="83">
        <v>5309.2117453296587</v>
      </c>
      <c r="J1005" s="83">
        <v>15.596819056688169</v>
      </c>
    </row>
    <row r="1006" spans="1:10" ht="16">
      <c r="A1006" s="79" t="s">
        <v>1060</v>
      </c>
      <c r="B1006" s="79" t="s">
        <v>1039</v>
      </c>
      <c r="C1006" s="80" t="s">
        <v>95</v>
      </c>
      <c r="D1006" s="81" t="s">
        <v>77</v>
      </c>
      <c r="E1006" s="82">
        <v>18714</v>
      </c>
      <c r="F1006" s="82">
        <v>1094</v>
      </c>
      <c r="G1006" s="82">
        <v>1310</v>
      </c>
      <c r="H1006" s="83">
        <v>11.933071304705837</v>
      </c>
      <c r="I1006" s="83">
        <v>5304.1310914294427</v>
      </c>
      <c r="J1006" s="83">
        <v>18.210652233753116</v>
      </c>
    </row>
    <row r="1007" spans="1:10" ht="16">
      <c r="A1007" s="79" t="s">
        <v>787</v>
      </c>
      <c r="B1007" s="79" t="s">
        <v>785</v>
      </c>
      <c r="C1007" s="80" t="s">
        <v>95</v>
      </c>
      <c r="D1007" s="81" t="s">
        <v>99</v>
      </c>
      <c r="E1007" s="82">
        <v>12367</v>
      </c>
      <c r="F1007" s="82">
        <v>374</v>
      </c>
      <c r="G1007" s="82">
        <v>742</v>
      </c>
      <c r="H1007" s="83">
        <v>19.639963423690897</v>
      </c>
      <c r="I1007" s="83">
        <v>4733.4480307418062</v>
      </c>
      <c r="J1007" s="83">
        <v>17.814574593215966</v>
      </c>
    </row>
    <row r="1008" spans="1:10" ht="16">
      <c r="A1008" s="79" t="s">
        <v>1096</v>
      </c>
      <c r="B1008" s="79" t="s">
        <v>1091</v>
      </c>
      <c r="C1008" s="80" t="s">
        <v>95</v>
      </c>
      <c r="D1008" s="81" t="s">
        <v>78</v>
      </c>
      <c r="E1008" s="82">
        <v>12197</v>
      </c>
      <c r="F1008" s="82">
        <v>1271</v>
      </c>
      <c r="G1008" s="82">
        <v>2927</v>
      </c>
      <c r="H1008" s="83">
        <v>44.766121757805358</v>
      </c>
      <c r="I1008" s="83">
        <v>32471.7194325565</v>
      </c>
      <c r="J1008" s="83">
        <v>33.969542161049482</v>
      </c>
    </row>
    <row r="1009" spans="1:10" ht="16">
      <c r="A1009" s="79" t="s">
        <v>1280</v>
      </c>
      <c r="B1009" s="79" t="s">
        <v>1209</v>
      </c>
      <c r="C1009" s="80" t="s">
        <v>95</v>
      </c>
      <c r="D1009" s="81" t="s">
        <v>96</v>
      </c>
      <c r="E1009" s="82">
        <v>30236</v>
      </c>
      <c r="F1009" s="82">
        <v>2129</v>
      </c>
      <c r="G1009" s="82">
        <v>8768</v>
      </c>
      <c r="H1009" s="83">
        <v>45.902603661508238</v>
      </c>
      <c r="I1009" s="83">
        <v>35873.764408803239</v>
      </c>
      <c r="J1009" s="83">
        <v>42.06655217986517</v>
      </c>
    </row>
    <row r="1010" spans="1:10" ht="16">
      <c r="A1010" s="79" t="s">
        <v>1281</v>
      </c>
      <c r="B1010" s="79" t="s">
        <v>1209</v>
      </c>
      <c r="C1010" s="80" t="s">
        <v>95</v>
      </c>
      <c r="D1010" s="81" t="s">
        <v>77</v>
      </c>
      <c r="E1010" s="82">
        <v>14645</v>
      </c>
      <c r="F1010" s="82">
        <v>1024</v>
      </c>
      <c r="G1010" s="82">
        <v>4686</v>
      </c>
      <c r="H1010" s="83">
        <v>35.738068127131832</v>
      </c>
      <c r="I1010" s="83">
        <v>33481.289537405755</v>
      </c>
      <c r="J1010" s="83">
        <v>30.177104130742173</v>
      </c>
    </row>
    <row r="1011" spans="1:10" ht="16">
      <c r="A1011" s="79" t="s">
        <v>155</v>
      </c>
      <c r="B1011" s="79" t="s">
        <v>146</v>
      </c>
      <c r="C1011" s="80" t="s">
        <v>126</v>
      </c>
      <c r="D1011" s="81" t="s">
        <v>78</v>
      </c>
      <c r="E1011" s="82">
        <v>3074</v>
      </c>
      <c r="F1011" s="82">
        <v>521</v>
      </c>
      <c r="G1011" s="82">
        <v>461</v>
      </c>
      <c r="H1011" s="83">
        <v>12.150565775672831</v>
      </c>
      <c r="I1011" s="83">
        <v>4010.9137539927478</v>
      </c>
      <c r="J1011" s="83">
        <v>28.29595523994303</v>
      </c>
    </row>
    <row r="1012" spans="1:10" ht="16">
      <c r="A1012" s="79" t="s">
        <v>217</v>
      </c>
      <c r="B1012" s="79" t="s">
        <v>203</v>
      </c>
      <c r="C1012" s="80" t="s">
        <v>95</v>
      </c>
      <c r="D1012" s="81" t="s">
        <v>103</v>
      </c>
      <c r="E1012" s="82">
        <v>6996</v>
      </c>
      <c r="F1012" s="82">
        <v>542</v>
      </c>
      <c r="G1012" s="82">
        <v>840</v>
      </c>
      <c r="H1012" s="83">
        <v>12.61533771678109</v>
      </c>
      <c r="I1012" s="83">
        <v>2779.1164964889404</v>
      </c>
      <c r="J1012" s="83">
        <v>16.713099211047499</v>
      </c>
    </row>
    <row r="1013" spans="1:10" ht="16">
      <c r="A1013" s="79" t="s">
        <v>411</v>
      </c>
      <c r="B1013" s="79" t="s">
        <v>396</v>
      </c>
      <c r="C1013" s="80" t="s">
        <v>95</v>
      </c>
      <c r="D1013" s="81" t="s">
        <v>96</v>
      </c>
      <c r="E1013" s="82">
        <v>69287</v>
      </c>
      <c r="F1013" s="82">
        <v>2389</v>
      </c>
      <c r="G1013" s="82">
        <v>9007</v>
      </c>
      <c r="H1013" s="83">
        <v>18.142539288125903</v>
      </c>
      <c r="I1013" s="83">
        <v>9211.1093601033026</v>
      </c>
      <c r="J1013" s="83">
        <v>20.955324170203966</v>
      </c>
    </row>
    <row r="1014" spans="1:10" ht="16">
      <c r="A1014" s="79" t="s">
        <v>608</v>
      </c>
      <c r="B1014" s="79" t="s">
        <v>600</v>
      </c>
      <c r="C1014" s="80" t="s">
        <v>126</v>
      </c>
      <c r="D1014" s="81" t="s">
        <v>103</v>
      </c>
      <c r="E1014" s="82">
        <v>14221</v>
      </c>
      <c r="F1014" s="82">
        <v>655</v>
      </c>
      <c r="G1014" s="82">
        <v>2418</v>
      </c>
      <c r="H1014" s="83">
        <v>24.487372446057215</v>
      </c>
      <c r="I1014" s="83">
        <v>12862.735028572723</v>
      </c>
      <c r="J1014" s="83">
        <v>20.238764290190197</v>
      </c>
    </row>
    <row r="1015" spans="1:10" ht="16">
      <c r="A1015" s="79" t="s">
        <v>1282</v>
      </c>
      <c r="B1015" s="79" t="s">
        <v>1209</v>
      </c>
      <c r="C1015" s="80" t="s">
        <v>95</v>
      </c>
      <c r="D1015" s="81" t="s">
        <v>96</v>
      </c>
      <c r="E1015" s="82">
        <v>12060</v>
      </c>
      <c r="F1015" s="82">
        <v>799</v>
      </c>
      <c r="G1015" s="82">
        <v>1568</v>
      </c>
      <c r="H1015" s="83">
        <v>14.192959486108546</v>
      </c>
      <c r="I1015" s="83">
        <v>9104.653235498703</v>
      </c>
      <c r="J1015" s="83">
        <v>16.859252796690267</v>
      </c>
    </row>
    <row r="1016" spans="1:10" ht="16">
      <c r="A1016" s="79" t="s">
        <v>920</v>
      </c>
      <c r="B1016" s="79" t="s">
        <v>912</v>
      </c>
      <c r="C1016" s="80" t="s">
        <v>95</v>
      </c>
      <c r="D1016" s="81" t="s">
        <v>111</v>
      </c>
      <c r="E1016" s="82">
        <v>47886</v>
      </c>
      <c r="F1016" s="82">
        <v>2705</v>
      </c>
      <c r="G1016" s="82">
        <v>5746</v>
      </c>
      <c r="H1016" s="83">
        <v>30.711596575320797</v>
      </c>
      <c r="I1016" s="83">
        <v>15713.559778163748</v>
      </c>
      <c r="J1016" s="83">
        <v>25.918441892440907</v>
      </c>
    </row>
    <row r="1017" spans="1:10" ht="16">
      <c r="A1017" s="79" t="s">
        <v>1283</v>
      </c>
      <c r="B1017" s="79" t="s">
        <v>1209</v>
      </c>
      <c r="C1017" s="80" t="s">
        <v>95</v>
      </c>
      <c r="D1017" s="81" t="s">
        <v>103</v>
      </c>
      <c r="E1017" s="82">
        <v>23057</v>
      </c>
      <c r="F1017" s="82">
        <v>1671</v>
      </c>
      <c r="G1017" s="82">
        <v>7609</v>
      </c>
      <c r="H1017" s="83">
        <v>38.164420837817758</v>
      </c>
      <c r="I1017" s="83">
        <v>33329.701668554742</v>
      </c>
      <c r="J1017" s="83">
        <v>35.62864385836594</v>
      </c>
    </row>
    <row r="1018" spans="1:10" ht="16">
      <c r="A1018" s="79" t="s">
        <v>992</v>
      </c>
      <c r="B1018" s="79" t="s">
        <v>993</v>
      </c>
      <c r="C1018" s="80" t="s">
        <v>95</v>
      </c>
      <c r="D1018" s="81" t="s">
        <v>103</v>
      </c>
      <c r="E1018" s="82">
        <v>40110</v>
      </c>
      <c r="F1018" s="82">
        <v>2729</v>
      </c>
      <c r="G1018" s="82">
        <v>2407</v>
      </c>
      <c r="H1018" s="83">
        <v>18.826353435629315</v>
      </c>
      <c r="I1018" s="83">
        <v>8412.3824882856643</v>
      </c>
      <c r="J1018" s="83">
        <v>21.306673403395202</v>
      </c>
    </row>
    <row r="1019" spans="1:10" ht="16">
      <c r="A1019" s="79" t="s">
        <v>1061</v>
      </c>
      <c r="B1019" s="79" t="s">
        <v>1039</v>
      </c>
      <c r="C1019" s="80" t="s">
        <v>95</v>
      </c>
      <c r="D1019" s="81" t="s">
        <v>96</v>
      </c>
      <c r="E1019" s="82">
        <v>8595</v>
      </c>
      <c r="F1019" s="82">
        <v>585</v>
      </c>
      <c r="G1019" s="82">
        <v>688</v>
      </c>
      <c r="H1019" s="83">
        <v>15.738287420680036</v>
      </c>
      <c r="I1019" s="83">
        <v>7461.9325338459284</v>
      </c>
      <c r="J1019" s="83">
        <v>23.823289920732375</v>
      </c>
    </row>
    <row r="1020" spans="1:10" ht="16">
      <c r="A1020" s="79" t="s">
        <v>412</v>
      </c>
      <c r="B1020" s="79" t="s">
        <v>396</v>
      </c>
      <c r="C1020" s="80" t="s">
        <v>95</v>
      </c>
      <c r="D1020" s="81" t="s">
        <v>99</v>
      </c>
      <c r="E1020" s="82">
        <v>58678</v>
      </c>
      <c r="F1020" s="82">
        <v>3056</v>
      </c>
      <c r="G1020" s="82">
        <v>9388</v>
      </c>
      <c r="H1020" s="83">
        <v>13.650492902513889</v>
      </c>
      <c r="I1020" s="83">
        <v>8312.1585156228812</v>
      </c>
      <c r="J1020" s="83">
        <v>22.130880321372686</v>
      </c>
    </row>
    <row r="1021" spans="1:10" ht="16">
      <c r="A1021" s="79" t="s">
        <v>795</v>
      </c>
      <c r="B1021" s="79" t="s">
        <v>796</v>
      </c>
      <c r="C1021" s="80" t="s">
        <v>95</v>
      </c>
      <c r="D1021" s="81" t="s">
        <v>79</v>
      </c>
      <c r="E1021" s="82">
        <v>4654</v>
      </c>
      <c r="F1021" s="82">
        <v>249</v>
      </c>
      <c r="G1021" s="82">
        <v>2280</v>
      </c>
      <c r="H1021" s="83">
        <v>36.785015474528919</v>
      </c>
      <c r="I1021" s="83">
        <v>27738.212451381332</v>
      </c>
      <c r="J1021" s="83">
        <v>38.574321391907041</v>
      </c>
    </row>
    <row r="1022" spans="1:10" ht="16">
      <c r="A1022" s="79" t="s">
        <v>799</v>
      </c>
      <c r="B1022" s="79" t="s">
        <v>798</v>
      </c>
      <c r="C1022" s="80" t="s">
        <v>95</v>
      </c>
      <c r="D1022" s="81" t="s">
        <v>76</v>
      </c>
      <c r="E1022" s="82">
        <v>9340</v>
      </c>
      <c r="F1022" s="82">
        <v>649</v>
      </c>
      <c r="G1022" s="82">
        <v>3456</v>
      </c>
      <c r="H1022" s="83">
        <v>33.302522048879837</v>
      </c>
      <c r="I1022" s="83">
        <v>20233.707097324685</v>
      </c>
      <c r="J1022" s="83">
        <v>32.820396518604461</v>
      </c>
    </row>
    <row r="1023" spans="1:10" ht="16">
      <c r="A1023" s="79" t="s">
        <v>1062</v>
      </c>
      <c r="B1023" s="79" t="s">
        <v>1039</v>
      </c>
      <c r="C1023" s="80" t="s">
        <v>95</v>
      </c>
      <c r="D1023" s="81" t="s">
        <v>103</v>
      </c>
      <c r="E1023" s="82">
        <v>35654</v>
      </c>
      <c r="F1023" s="82">
        <v>2764</v>
      </c>
      <c r="G1023" s="82">
        <v>3209</v>
      </c>
      <c r="H1023" s="83">
        <v>12.08106823209754</v>
      </c>
      <c r="I1023" s="83">
        <v>3813.1841207962402</v>
      </c>
      <c r="J1023" s="83">
        <v>20.299851065048603</v>
      </c>
    </row>
    <row r="1024" spans="1:10" ht="16">
      <c r="A1024" s="79" t="s">
        <v>813</v>
      </c>
      <c r="B1024" s="79" t="s">
        <v>801</v>
      </c>
      <c r="C1024" s="80" t="s">
        <v>95</v>
      </c>
      <c r="D1024" s="81" t="s">
        <v>79</v>
      </c>
      <c r="E1024" s="82">
        <v>15140</v>
      </c>
      <c r="F1024" s="82">
        <v>1893</v>
      </c>
      <c r="G1024" s="82">
        <v>3028</v>
      </c>
      <c r="H1024" s="83">
        <v>31.384375999341277</v>
      </c>
      <c r="I1024" s="83">
        <v>17285.087240666169</v>
      </c>
      <c r="J1024" s="83">
        <v>42.370674680688062</v>
      </c>
    </row>
    <row r="1025" spans="1:10" ht="16">
      <c r="A1025" s="79" t="s">
        <v>814</v>
      </c>
      <c r="B1025" s="79" t="s">
        <v>815</v>
      </c>
      <c r="C1025" s="80" t="s">
        <v>95</v>
      </c>
      <c r="D1025" s="81" t="s">
        <v>99</v>
      </c>
      <c r="E1025" s="82">
        <v>11772</v>
      </c>
      <c r="F1025" s="82">
        <v>906</v>
      </c>
      <c r="G1025" s="82">
        <v>1059</v>
      </c>
      <c r="H1025" s="83">
        <v>14.591579142286554</v>
      </c>
      <c r="I1025" s="83">
        <v>6609.646646961357</v>
      </c>
      <c r="J1025" s="83">
        <v>17.292491003130873</v>
      </c>
    </row>
    <row r="1026" spans="1:10" ht="16">
      <c r="A1026" s="79" t="s">
        <v>1284</v>
      </c>
      <c r="B1026" s="79" t="s">
        <v>1209</v>
      </c>
      <c r="C1026" s="80" t="s">
        <v>95</v>
      </c>
      <c r="D1026" s="81" t="s">
        <v>99</v>
      </c>
      <c r="E1026" s="82">
        <v>37038</v>
      </c>
      <c r="F1026" s="82">
        <v>2572</v>
      </c>
      <c r="G1026" s="82">
        <v>14815</v>
      </c>
      <c r="H1026" s="83">
        <v>64.19866330074629</v>
      </c>
      <c r="I1026" s="83">
        <v>54431.355887964048</v>
      </c>
      <c r="J1026" s="83">
        <v>57.749014771021301</v>
      </c>
    </row>
    <row r="1027" spans="1:10" ht="16">
      <c r="A1027" s="79" t="s">
        <v>218</v>
      </c>
      <c r="B1027" s="79" t="s">
        <v>203</v>
      </c>
      <c r="C1027" s="80" t="s">
        <v>95</v>
      </c>
      <c r="D1027" s="81" t="s">
        <v>75</v>
      </c>
      <c r="E1027" s="82">
        <v>29311</v>
      </c>
      <c r="F1027" s="82">
        <v>997</v>
      </c>
      <c r="G1027" s="82">
        <v>4983</v>
      </c>
      <c r="H1027" s="83">
        <v>31.278720437708124</v>
      </c>
      <c r="I1027" s="83">
        <v>21561.66139150313</v>
      </c>
      <c r="J1027" s="83">
        <v>28.830910837982454</v>
      </c>
    </row>
    <row r="1028" spans="1:10" ht="16">
      <c r="A1028" s="79" t="s">
        <v>457</v>
      </c>
      <c r="B1028" s="79" t="s">
        <v>421</v>
      </c>
      <c r="C1028" s="80" t="s">
        <v>95</v>
      </c>
      <c r="D1028" s="81" t="s">
        <v>101</v>
      </c>
      <c r="E1028" s="82">
        <v>10730</v>
      </c>
      <c r="F1028" s="82">
        <v>134</v>
      </c>
      <c r="G1028" s="82">
        <v>1931</v>
      </c>
      <c r="H1028" s="83">
        <v>50.586052786705878</v>
      </c>
      <c r="I1028" s="83">
        <v>39155.09997628058</v>
      </c>
      <c r="J1028" s="83">
        <v>42.495959093721368</v>
      </c>
    </row>
    <row r="1029" spans="1:10" ht="16">
      <c r="A1029" s="79" t="s">
        <v>1155</v>
      </c>
      <c r="B1029" s="79" t="s">
        <v>1154</v>
      </c>
      <c r="C1029" s="80" t="s">
        <v>95</v>
      </c>
      <c r="D1029" s="81" t="s">
        <v>96</v>
      </c>
      <c r="E1029" s="82">
        <v>18361</v>
      </c>
      <c r="F1029" s="82">
        <v>1360</v>
      </c>
      <c r="G1029" s="82">
        <v>184</v>
      </c>
      <c r="H1029" s="83">
        <v>7.8147879408666974</v>
      </c>
      <c r="I1029" s="83">
        <v>1904.5524524686102</v>
      </c>
      <c r="J1029" s="83">
        <v>19.419524955891454</v>
      </c>
    </row>
    <row r="1030" spans="1:10" ht="16">
      <c r="A1030" s="79" t="s">
        <v>458</v>
      </c>
      <c r="B1030" s="79" t="s">
        <v>421</v>
      </c>
      <c r="C1030" s="80" t="s">
        <v>95</v>
      </c>
      <c r="D1030" s="81" t="s">
        <v>101</v>
      </c>
      <c r="E1030" s="82">
        <v>25541</v>
      </c>
      <c r="F1030" s="82">
        <v>736</v>
      </c>
      <c r="G1030" s="82">
        <v>3065</v>
      </c>
      <c r="H1030" s="83">
        <v>29.606100936452098</v>
      </c>
      <c r="I1030" s="83">
        <v>21363.921563993896</v>
      </c>
      <c r="J1030" s="83">
        <v>34.131607841901513</v>
      </c>
    </row>
    <row r="1031" spans="1:10" ht="16">
      <c r="A1031" s="79" t="s">
        <v>994</v>
      </c>
      <c r="B1031" s="79" t="s">
        <v>993</v>
      </c>
      <c r="C1031" s="80" t="s">
        <v>95</v>
      </c>
      <c r="D1031" s="81" t="s">
        <v>76</v>
      </c>
      <c r="E1031" s="82">
        <v>12124</v>
      </c>
      <c r="F1031" s="82">
        <v>891</v>
      </c>
      <c r="G1031" s="82">
        <v>606</v>
      </c>
      <c r="H1031" s="83">
        <v>16.631824972966697</v>
      </c>
      <c r="I1031" s="83">
        <v>4908.7943229250604</v>
      </c>
      <c r="J1031" s="83">
        <v>17.143066119227608</v>
      </c>
    </row>
    <row r="1032" spans="1:10" ht="16">
      <c r="A1032" s="79" t="s">
        <v>835</v>
      </c>
      <c r="B1032" s="79" t="s">
        <v>833</v>
      </c>
      <c r="C1032" s="80" t="s">
        <v>95</v>
      </c>
      <c r="D1032" s="81" t="s">
        <v>101</v>
      </c>
      <c r="E1032" s="82">
        <v>102000</v>
      </c>
      <c r="F1032" s="82">
        <v>1553</v>
      </c>
      <c r="G1032" s="82">
        <v>1020</v>
      </c>
      <c r="H1032" s="83">
        <v>9.1290752895791734</v>
      </c>
      <c r="I1032" s="83">
        <v>1952.5407132571363</v>
      </c>
      <c r="J1032" s="83">
        <v>18.248976110087593</v>
      </c>
    </row>
    <row r="1033" spans="1:10" ht="16">
      <c r="A1033" s="79" t="s">
        <v>1428</v>
      </c>
      <c r="B1033" s="79" t="s">
        <v>1307</v>
      </c>
      <c r="C1033" s="80" t="s">
        <v>126</v>
      </c>
      <c r="D1033" s="81" t="s">
        <v>96</v>
      </c>
      <c r="E1033" s="82">
        <v>11667</v>
      </c>
      <c r="F1033" s="82">
        <v>645</v>
      </c>
      <c r="G1033" s="82">
        <v>933</v>
      </c>
      <c r="H1033" s="83">
        <v>17.776127441645887</v>
      </c>
      <c r="I1033" s="83">
        <v>10107.529024778354</v>
      </c>
      <c r="J1033" s="83">
        <v>23.30474931665302</v>
      </c>
    </row>
    <row r="1034" spans="1:10" ht="16">
      <c r="A1034" s="79" t="s">
        <v>1429</v>
      </c>
      <c r="B1034" s="79" t="s">
        <v>1307</v>
      </c>
      <c r="C1034" s="80" t="s">
        <v>126</v>
      </c>
      <c r="D1034" s="81" t="s">
        <v>99</v>
      </c>
      <c r="E1034" s="82">
        <v>33108</v>
      </c>
      <c r="F1034" s="82">
        <v>1994</v>
      </c>
      <c r="G1034" s="82">
        <v>3642</v>
      </c>
      <c r="H1034" s="83">
        <v>59.189390353282725</v>
      </c>
      <c r="I1034" s="83">
        <v>53015.962737218826</v>
      </c>
      <c r="J1034" s="83">
        <v>47.545858736909757</v>
      </c>
    </row>
    <row r="1035" spans="1:10" ht="16">
      <c r="A1035" s="79" t="s">
        <v>1430</v>
      </c>
      <c r="B1035" s="79" t="s">
        <v>1307</v>
      </c>
      <c r="C1035" s="80" t="s">
        <v>126</v>
      </c>
      <c r="D1035" s="81" t="s">
        <v>149</v>
      </c>
      <c r="E1035" s="82">
        <v>61204</v>
      </c>
      <c r="F1035" s="82">
        <v>4708</v>
      </c>
      <c r="G1035" s="82">
        <v>9181</v>
      </c>
      <c r="H1035" s="83">
        <v>31.497338926328421</v>
      </c>
      <c r="I1035" s="83">
        <v>27105.800630170113</v>
      </c>
      <c r="J1035" s="83">
        <v>38.710836442419463</v>
      </c>
    </row>
    <row r="1036" spans="1:10" ht="16">
      <c r="A1036" s="79" t="s">
        <v>589</v>
      </c>
      <c r="B1036" s="79" t="s">
        <v>556</v>
      </c>
      <c r="C1036" s="80" t="s">
        <v>95</v>
      </c>
      <c r="D1036" s="81" t="s">
        <v>103</v>
      </c>
      <c r="E1036" s="82">
        <v>12942</v>
      </c>
      <c r="F1036" s="82">
        <v>384</v>
      </c>
      <c r="G1036" s="82">
        <v>259</v>
      </c>
      <c r="H1036" s="83">
        <v>11.686780667102671</v>
      </c>
      <c r="I1036" s="83">
        <v>3841.9481041710746</v>
      </c>
      <c r="J1036" s="83">
        <v>29.014077112079974</v>
      </c>
    </row>
    <row r="1037" spans="1:10" ht="16">
      <c r="A1037" s="79" t="s">
        <v>131</v>
      </c>
      <c r="B1037" s="79" t="s">
        <v>108</v>
      </c>
      <c r="C1037" s="80" t="s">
        <v>95</v>
      </c>
      <c r="D1037" s="81" t="s">
        <v>96</v>
      </c>
      <c r="E1037" s="82">
        <v>47385</v>
      </c>
      <c r="F1037" s="82">
        <v>1802</v>
      </c>
      <c r="G1037" s="82">
        <v>21797</v>
      </c>
      <c r="H1037" s="83">
        <v>74.605541193429275</v>
      </c>
      <c r="I1037" s="83">
        <v>66560.354802559494</v>
      </c>
      <c r="J1037" s="83">
        <v>66.536032527550788</v>
      </c>
    </row>
    <row r="1038" spans="1:10" ht="16">
      <c r="A1038" s="79" t="s">
        <v>1431</v>
      </c>
      <c r="B1038" s="79" t="s">
        <v>1307</v>
      </c>
      <c r="C1038" s="80" t="s">
        <v>95</v>
      </c>
      <c r="D1038" s="81" t="s">
        <v>103</v>
      </c>
      <c r="E1038" s="82">
        <v>15971</v>
      </c>
      <c r="F1038" s="82">
        <v>2535</v>
      </c>
      <c r="G1038" s="82">
        <v>2555</v>
      </c>
      <c r="H1038" s="83">
        <v>25.671930956758512</v>
      </c>
      <c r="I1038" s="83">
        <v>20995.200507358168</v>
      </c>
      <c r="J1038" s="83">
        <v>44.312209510137933</v>
      </c>
    </row>
    <row r="1039" spans="1:10" ht="16">
      <c r="A1039" s="79" t="s">
        <v>1432</v>
      </c>
      <c r="B1039" s="79" t="s">
        <v>1307</v>
      </c>
      <c r="C1039" s="80" t="s">
        <v>126</v>
      </c>
      <c r="D1039" s="81" t="s">
        <v>75</v>
      </c>
      <c r="E1039" s="82">
        <v>42982</v>
      </c>
      <c r="F1039" s="82">
        <v>5179</v>
      </c>
      <c r="G1039" s="82">
        <v>7307</v>
      </c>
      <c r="H1039" s="83">
        <v>86.872612983225494</v>
      </c>
      <c r="I1039" s="83">
        <v>81794.909782250892</v>
      </c>
      <c r="J1039" s="83">
        <v>79.743255653432485</v>
      </c>
    </row>
    <row r="1040" spans="1:10" ht="16">
      <c r="A1040" s="79" t="s">
        <v>636</v>
      </c>
      <c r="B1040" s="79" t="s">
        <v>617</v>
      </c>
      <c r="C1040" s="80" t="s">
        <v>95</v>
      </c>
      <c r="D1040" s="81" t="s">
        <v>103</v>
      </c>
      <c r="E1040" s="82">
        <v>45451</v>
      </c>
      <c r="F1040" s="82">
        <v>2124</v>
      </c>
      <c r="G1040" s="82">
        <v>2727</v>
      </c>
      <c r="H1040" s="83">
        <v>29.058742091541177</v>
      </c>
      <c r="I1040" s="83">
        <v>20918.097189781336</v>
      </c>
      <c r="J1040" s="83">
        <v>36.239657911755529</v>
      </c>
    </row>
    <row r="1041" spans="1:10" ht="16">
      <c r="A1041" s="79" t="s">
        <v>637</v>
      </c>
      <c r="B1041" s="79" t="s">
        <v>617</v>
      </c>
      <c r="C1041" s="80" t="s">
        <v>95</v>
      </c>
      <c r="D1041" s="81" t="s">
        <v>79</v>
      </c>
      <c r="E1041" s="82">
        <v>26509</v>
      </c>
      <c r="F1041" s="82">
        <v>917</v>
      </c>
      <c r="G1041" s="82">
        <v>1591</v>
      </c>
      <c r="H1041" s="83">
        <v>20.257605890163013</v>
      </c>
      <c r="I1041" s="83">
        <v>16355.543442723767</v>
      </c>
      <c r="J1041" s="83">
        <v>24.351512949991665</v>
      </c>
    </row>
    <row r="1042" spans="1:10" ht="16">
      <c r="A1042" s="79" t="s">
        <v>921</v>
      </c>
      <c r="B1042" s="79" t="s">
        <v>912</v>
      </c>
      <c r="C1042" s="80" t="s">
        <v>95</v>
      </c>
      <c r="D1042" s="81" t="s">
        <v>75</v>
      </c>
      <c r="E1042" s="82">
        <v>18066</v>
      </c>
      <c r="F1042" s="82">
        <v>1009</v>
      </c>
      <c r="G1042" s="82">
        <v>1807</v>
      </c>
      <c r="H1042" s="83">
        <v>19.616348530683513</v>
      </c>
      <c r="I1042" s="83">
        <v>6716.9018948872326</v>
      </c>
      <c r="J1042" s="83">
        <v>22.644473893664887</v>
      </c>
    </row>
    <row r="1043" spans="1:10" ht="16">
      <c r="A1043" s="79" t="s">
        <v>1433</v>
      </c>
      <c r="B1043" s="79" t="s">
        <v>1307</v>
      </c>
      <c r="C1043" s="80" t="s">
        <v>95</v>
      </c>
      <c r="D1043" s="81" t="s">
        <v>149</v>
      </c>
      <c r="E1043" s="82">
        <v>61120</v>
      </c>
      <c r="F1043" s="82">
        <v>4929</v>
      </c>
      <c r="G1043" s="82">
        <v>6723</v>
      </c>
      <c r="H1043" s="83">
        <v>60.094343282614084</v>
      </c>
      <c r="I1043" s="83">
        <v>49076.748626387802</v>
      </c>
      <c r="J1043" s="83">
        <v>55.756999976394155</v>
      </c>
    </row>
    <row r="1044" spans="1:10" ht="16">
      <c r="A1044" s="79" t="s">
        <v>1434</v>
      </c>
      <c r="B1044" s="79" t="s">
        <v>1307</v>
      </c>
      <c r="C1044" s="80" t="s">
        <v>95</v>
      </c>
      <c r="D1044" s="81" t="s">
        <v>77</v>
      </c>
      <c r="E1044" s="82">
        <v>28513</v>
      </c>
      <c r="F1044" s="82">
        <v>2144</v>
      </c>
      <c r="G1044" s="82">
        <v>1711</v>
      </c>
      <c r="H1044" s="83">
        <v>24.567941813926364</v>
      </c>
      <c r="I1044" s="83">
        <v>15951.853329542155</v>
      </c>
      <c r="J1044" s="83">
        <v>34.921978310154081</v>
      </c>
    </row>
    <row r="1045" spans="1:10" ht="16">
      <c r="A1045" s="79" t="s">
        <v>1435</v>
      </c>
      <c r="B1045" s="79" t="s">
        <v>1307</v>
      </c>
      <c r="C1045" s="80" t="s">
        <v>95</v>
      </c>
      <c r="D1045" s="81" t="s">
        <v>101</v>
      </c>
      <c r="E1045" s="82">
        <v>7019</v>
      </c>
      <c r="F1045" s="82">
        <v>439</v>
      </c>
      <c r="G1045" s="82">
        <v>421</v>
      </c>
      <c r="H1045" s="83">
        <v>24.926840937412923</v>
      </c>
      <c r="I1045" s="83">
        <v>17410.927009084382</v>
      </c>
      <c r="J1045" s="83">
        <v>30.475192527699868</v>
      </c>
    </row>
    <row r="1046" spans="1:10" ht="16">
      <c r="A1046" s="79" t="s">
        <v>758</v>
      </c>
      <c r="B1046" s="79" t="s">
        <v>661</v>
      </c>
      <c r="C1046" s="80" t="s">
        <v>126</v>
      </c>
      <c r="D1046" s="81" t="s">
        <v>99</v>
      </c>
      <c r="E1046" s="82">
        <v>5488</v>
      </c>
      <c r="F1046" s="82">
        <v>695</v>
      </c>
      <c r="G1046" s="82">
        <v>165</v>
      </c>
      <c r="H1046" s="83">
        <v>10.488037019111818</v>
      </c>
      <c r="I1046" s="83">
        <v>2106.2914083435217</v>
      </c>
      <c r="J1046" s="83">
        <v>20.930914302829532</v>
      </c>
    </row>
    <row r="1047" spans="1:10" ht="16">
      <c r="A1047" s="79" t="s">
        <v>638</v>
      </c>
      <c r="B1047" s="79" t="s">
        <v>617</v>
      </c>
      <c r="C1047" s="80" t="s">
        <v>95</v>
      </c>
      <c r="D1047" s="81" t="s">
        <v>78</v>
      </c>
      <c r="E1047" s="82">
        <v>17432</v>
      </c>
      <c r="F1047" s="82">
        <v>703</v>
      </c>
      <c r="G1047" s="82">
        <v>1046</v>
      </c>
      <c r="H1047" s="83">
        <v>20.303578201533924</v>
      </c>
      <c r="I1047" s="83">
        <v>13692.181817044291</v>
      </c>
      <c r="J1047" s="83">
        <v>32.647645690912853</v>
      </c>
    </row>
    <row r="1048" spans="1:10" ht="16">
      <c r="A1048" s="79" t="s">
        <v>1156</v>
      </c>
      <c r="B1048" s="79" t="s">
        <v>1154</v>
      </c>
      <c r="C1048" s="80" t="s">
        <v>95</v>
      </c>
      <c r="D1048" s="81" t="s">
        <v>99</v>
      </c>
      <c r="E1048" s="82">
        <v>19973</v>
      </c>
      <c r="F1048" s="82">
        <v>2059</v>
      </c>
      <c r="G1048" s="82">
        <v>200</v>
      </c>
      <c r="H1048" s="83">
        <v>9.865739119644541</v>
      </c>
      <c r="I1048" s="83">
        <v>1121.2584885923297</v>
      </c>
      <c r="J1048" s="83">
        <v>20.647584271832198</v>
      </c>
    </row>
    <row r="1049" spans="1:10" ht="16">
      <c r="A1049" s="79" t="s">
        <v>830</v>
      </c>
      <c r="B1049" s="79" t="s">
        <v>831</v>
      </c>
      <c r="C1049" s="80" t="s">
        <v>95</v>
      </c>
      <c r="D1049" s="81" t="s">
        <v>149</v>
      </c>
      <c r="E1049" s="82">
        <v>19171</v>
      </c>
      <c r="F1049" s="82">
        <v>702</v>
      </c>
      <c r="G1049" s="82">
        <v>383</v>
      </c>
      <c r="H1049" s="83">
        <v>10.258733643538154</v>
      </c>
      <c r="I1049" s="83">
        <v>1476.0870938599437</v>
      </c>
      <c r="J1049" s="83">
        <v>12.831912785938263</v>
      </c>
    </row>
    <row r="1050" spans="1:10" ht="16">
      <c r="A1050" s="79" t="s">
        <v>219</v>
      </c>
      <c r="B1050" s="79" t="s">
        <v>203</v>
      </c>
      <c r="C1050" s="80" t="s">
        <v>126</v>
      </c>
      <c r="D1050" s="81" t="s">
        <v>111</v>
      </c>
      <c r="E1050" s="82">
        <v>36794</v>
      </c>
      <c r="F1050" s="82">
        <v>1821</v>
      </c>
      <c r="G1050" s="82">
        <v>8095</v>
      </c>
      <c r="H1050" s="83">
        <v>49.745163131166564</v>
      </c>
      <c r="I1050" s="83">
        <v>43003.203970054492</v>
      </c>
      <c r="J1050" s="83">
        <v>48.861087851559134</v>
      </c>
    </row>
    <row r="1051" spans="1:10" ht="16">
      <c r="A1051" s="79" t="s">
        <v>545</v>
      </c>
      <c r="B1051" s="79" t="s">
        <v>493</v>
      </c>
      <c r="C1051" s="80" t="s">
        <v>126</v>
      </c>
      <c r="D1051" s="81" t="s">
        <v>79</v>
      </c>
      <c r="E1051" s="82">
        <v>7874</v>
      </c>
      <c r="F1051" s="82">
        <v>435</v>
      </c>
      <c r="G1051" s="82">
        <v>176</v>
      </c>
      <c r="H1051" s="83">
        <v>10.414589844491331</v>
      </c>
      <c r="I1051" s="83">
        <v>1770.5138302343635</v>
      </c>
      <c r="J1051" s="83">
        <v>31.95869181239653</v>
      </c>
    </row>
    <row r="1052" spans="1:10" ht="16">
      <c r="A1052" s="79" t="s">
        <v>1063</v>
      </c>
      <c r="B1052" s="79" t="s">
        <v>1039</v>
      </c>
      <c r="C1052" s="80" t="s">
        <v>95</v>
      </c>
      <c r="D1052" s="81" t="s">
        <v>76</v>
      </c>
      <c r="E1052" s="82">
        <v>27662</v>
      </c>
      <c r="F1052" s="82">
        <v>1697</v>
      </c>
      <c r="G1052" s="82">
        <v>1936</v>
      </c>
      <c r="H1052" s="83">
        <v>13.929931153593214</v>
      </c>
      <c r="I1052" s="83">
        <v>4511.2424646731861</v>
      </c>
      <c r="J1052" s="83">
        <v>22.486108535000387</v>
      </c>
    </row>
    <row r="1053" spans="1:10" ht="16">
      <c r="A1053" s="79" t="s">
        <v>546</v>
      </c>
      <c r="B1053" s="79" t="s">
        <v>493</v>
      </c>
      <c r="C1053" s="80" t="s">
        <v>126</v>
      </c>
      <c r="D1053" s="81" t="s">
        <v>79</v>
      </c>
      <c r="E1053" s="82">
        <v>7810</v>
      </c>
      <c r="F1053" s="82">
        <v>367</v>
      </c>
      <c r="G1053" s="82">
        <v>781</v>
      </c>
      <c r="H1053" s="83">
        <v>8.9947039997839706</v>
      </c>
      <c r="I1053" s="83">
        <v>694.21988980953154</v>
      </c>
      <c r="J1053" s="83">
        <v>31.533507818653916</v>
      </c>
    </row>
    <row r="1054" spans="1:10" ht="16">
      <c r="A1054" s="79" t="s">
        <v>780</v>
      </c>
      <c r="B1054" s="79" t="s">
        <v>781</v>
      </c>
      <c r="C1054" s="80" t="s">
        <v>126</v>
      </c>
      <c r="D1054" s="81" t="s">
        <v>76</v>
      </c>
      <c r="E1054" s="82">
        <v>69456</v>
      </c>
      <c r="F1054" s="82">
        <v>1767</v>
      </c>
      <c r="G1054" s="82">
        <v>695</v>
      </c>
      <c r="H1054" s="83">
        <v>11.017803354631429</v>
      </c>
      <c r="I1054" s="83">
        <v>4933.8818895659915</v>
      </c>
      <c r="J1054" s="83">
        <v>15.249537940515935</v>
      </c>
    </row>
    <row r="1055" spans="1:10" ht="16">
      <c r="A1055" s="79" t="s">
        <v>413</v>
      </c>
      <c r="B1055" s="79" t="s">
        <v>396</v>
      </c>
      <c r="C1055" s="80" t="s">
        <v>95</v>
      </c>
      <c r="D1055" s="81" t="s">
        <v>111</v>
      </c>
      <c r="E1055" s="82">
        <v>37078</v>
      </c>
      <c r="F1055" s="82">
        <v>1501</v>
      </c>
      <c r="G1055" s="82">
        <v>4079</v>
      </c>
      <c r="H1055" s="83">
        <v>21.514188653643256</v>
      </c>
      <c r="I1055" s="83">
        <v>12076.206391677939</v>
      </c>
      <c r="J1055" s="83">
        <v>20.484089664625433</v>
      </c>
    </row>
    <row r="1056" spans="1:10" ht="16">
      <c r="A1056" s="79" t="s">
        <v>639</v>
      </c>
      <c r="B1056" s="79" t="s">
        <v>617</v>
      </c>
      <c r="C1056" s="80" t="s">
        <v>95</v>
      </c>
      <c r="D1056" s="81" t="s">
        <v>111</v>
      </c>
      <c r="E1056" s="82">
        <v>49604</v>
      </c>
      <c r="F1056" s="82">
        <v>2531</v>
      </c>
      <c r="G1056" s="82">
        <v>992</v>
      </c>
      <c r="H1056" s="83">
        <v>23.777064266092157</v>
      </c>
      <c r="I1056" s="83">
        <v>16861.592580951274</v>
      </c>
      <c r="J1056" s="83">
        <v>35.823229065316134</v>
      </c>
    </row>
    <row r="1057" spans="1:10" ht="16">
      <c r="A1057" s="79" t="s">
        <v>1064</v>
      </c>
      <c r="B1057" s="79" t="s">
        <v>1039</v>
      </c>
      <c r="C1057" s="80" t="s">
        <v>95</v>
      </c>
      <c r="D1057" s="81" t="s">
        <v>77</v>
      </c>
      <c r="E1057" s="82">
        <v>10833</v>
      </c>
      <c r="F1057" s="82">
        <v>833</v>
      </c>
      <c r="G1057" s="82">
        <v>2383</v>
      </c>
      <c r="H1057" s="83">
        <v>28.589241404040141</v>
      </c>
      <c r="I1057" s="83">
        <v>22446.264768807141</v>
      </c>
      <c r="J1057" s="83">
        <v>30.746233526349858</v>
      </c>
    </row>
    <row r="1058" spans="1:10" ht="16">
      <c r="A1058" s="79" t="s">
        <v>1436</v>
      </c>
      <c r="B1058" s="79" t="s">
        <v>1307</v>
      </c>
      <c r="C1058" s="80" t="s">
        <v>95</v>
      </c>
      <c r="D1058" s="81" t="s">
        <v>78</v>
      </c>
      <c r="E1058" s="82">
        <v>3041</v>
      </c>
      <c r="F1058" s="82">
        <v>1322</v>
      </c>
      <c r="G1058" s="82">
        <v>213</v>
      </c>
      <c r="H1058" s="83">
        <v>12.183277107405665</v>
      </c>
      <c r="I1058" s="83">
        <v>6985.7236419738783</v>
      </c>
      <c r="J1058" s="83">
        <v>36.506681797427603</v>
      </c>
    </row>
    <row r="1059" spans="1:10" ht="16">
      <c r="A1059" s="79" t="s">
        <v>1437</v>
      </c>
      <c r="B1059" s="79" t="s">
        <v>1307</v>
      </c>
      <c r="C1059" s="80" t="s">
        <v>126</v>
      </c>
      <c r="D1059" s="81" t="s">
        <v>77</v>
      </c>
      <c r="E1059" s="82">
        <v>24610</v>
      </c>
      <c r="F1059" s="82">
        <v>1431</v>
      </c>
      <c r="G1059" s="82">
        <v>2707</v>
      </c>
      <c r="H1059" s="83">
        <v>28.065367777197217</v>
      </c>
      <c r="I1059" s="83">
        <v>17701.317017579306</v>
      </c>
      <c r="J1059" s="83">
        <v>30.820437387399796</v>
      </c>
    </row>
    <row r="1060" spans="1:10" ht="16">
      <c r="A1060" s="79" t="s">
        <v>1438</v>
      </c>
      <c r="B1060" s="79" t="s">
        <v>1307</v>
      </c>
      <c r="C1060" s="80" t="s">
        <v>95</v>
      </c>
      <c r="D1060" s="81" t="s">
        <v>99</v>
      </c>
      <c r="E1060" s="82">
        <v>24982</v>
      </c>
      <c r="F1060" s="82">
        <v>1101</v>
      </c>
      <c r="G1060" s="82">
        <v>1249</v>
      </c>
      <c r="H1060" s="83">
        <v>22.770322768195641</v>
      </c>
      <c r="I1060" s="83">
        <v>9369.7408735340232</v>
      </c>
      <c r="J1060" s="83">
        <v>29.24203413476986</v>
      </c>
    </row>
    <row r="1061" spans="1:10" ht="16">
      <c r="A1061" s="79" t="s">
        <v>1439</v>
      </c>
      <c r="B1061" s="79" t="s">
        <v>1307</v>
      </c>
      <c r="C1061" s="80" t="s">
        <v>95</v>
      </c>
      <c r="D1061" s="81" t="s">
        <v>111</v>
      </c>
      <c r="E1061" s="82">
        <v>19382</v>
      </c>
      <c r="F1061" s="82">
        <v>1133</v>
      </c>
      <c r="G1061" s="82">
        <v>969</v>
      </c>
      <c r="H1061" s="83">
        <v>32.42340028003035</v>
      </c>
      <c r="I1061" s="83">
        <v>26631.798026616729</v>
      </c>
      <c r="J1061" s="83">
        <v>29.670303463253255</v>
      </c>
    </row>
    <row r="1062" spans="1:10" ht="16">
      <c r="A1062" s="79" t="s">
        <v>132</v>
      </c>
      <c r="B1062" s="79" t="s">
        <v>108</v>
      </c>
      <c r="C1062" s="80" t="s">
        <v>95</v>
      </c>
      <c r="D1062" s="81" t="s">
        <v>96</v>
      </c>
      <c r="E1062" s="82">
        <v>22100</v>
      </c>
      <c r="F1062" s="82">
        <v>1068</v>
      </c>
      <c r="G1062" s="82">
        <v>3978</v>
      </c>
      <c r="H1062" s="83">
        <v>29.000864748874125</v>
      </c>
      <c r="I1062" s="83">
        <v>21702.063059386863</v>
      </c>
      <c r="J1062" s="83">
        <v>24.505843496015608</v>
      </c>
    </row>
    <row r="1063" spans="1:10" ht="16">
      <c r="A1063" s="79" t="s">
        <v>865</v>
      </c>
      <c r="B1063" s="79" t="s">
        <v>862</v>
      </c>
      <c r="C1063" s="80" t="s">
        <v>95</v>
      </c>
      <c r="D1063" s="81" t="s">
        <v>111</v>
      </c>
      <c r="E1063" s="82">
        <v>34227</v>
      </c>
      <c r="F1063" s="82">
        <v>2593</v>
      </c>
      <c r="G1063" s="82">
        <v>342</v>
      </c>
      <c r="H1063" s="83">
        <v>9.599865508843509</v>
      </c>
      <c r="I1063" s="83">
        <v>1601.2746993182993</v>
      </c>
      <c r="J1063" s="83">
        <v>23.930181379053366</v>
      </c>
    </row>
    <row r="1064" spans="1:10" ht="16">
      <c r="A1064" s="79" t="s">
        <v>1440</v>
      </c>
      <c r="B1064" s="79" t="s">
        <v>1307</v>
      </c>
      <c r="C1064" s="80" t="s">
        <v>95</v>
      </c>
      <c r="D1064" s="81" t="s">
        <v>77</v>
      </c>
      <c r="E1064" s="82">
        <v>35419</v>
      </c>
      <c r="F1064" s="82">
        <v>3768</v>
      </c>
      <c r="G1064" s="82">
        <v>2834</v>
      </c>
      <c r="H1064" s="83">
        <v>63.637755565499127</v>
      </c>
      <c r="I1064" s="83">
        <v>61280.363683387688</v>
      </c>
      <c r="J1064" s="83">
        <v>60.052327984999636</v>
      </c>
    </row>
    <row r="1065" spans="1:10" ht="16">
      <c r="A1065" s="79" t="s">
        <v>1441</v>
      </c>
      <c r="B1065" s="79" t="s">
        <v>1307</v>
      </c>
      <c r="C1065" s="80" t="s">
        <v>95</v>
      </c>
      <c r="D1065" s="81" t="s">
        <v>77</v>
      </c>
      <c r="E1065" s="82">
        <v>18999</v>
      </c>
      <c r="F1065" s="82">
        <v>856</v>
      </c>
      <c r="G1065" s="82">
        <v>760</v>
      </c>
      <c r="H1065" s="83">
        <v>19.704465483968775</v>
      </c>
      <c r="I1065" s="83">
        <v>9669.7132948184935</v>
      </c>
      <c r="J1065" s="83">
        <v>21.10401284882931</v>
      </c>
    </row>
    <row r="1066" spans="1:10" ht="16">
      <c r="A1066" s="79" t="s">
        <v>1442</v>
      </c>
      <c r="B1066" s="79" t="s">
        <v>1307</v>
      </c>
      <c r="C1066" s="80" t="s">
        <v>95</v>
      </c>
      <c r="D1066" s="81" t="s">
        <v>75</v>
      </c>
      <c r="E1066" s="82">
        <v>14791</v>
      </c>
      <c r="F1066" s="82">
        <v>755</v>
      </c>
      <c r="G1066" s="82">
        <v>296</v>
      </c>
      <c r="H1066" s="83">
        <v>8.1310046247381731</v>
      </c>
      <c r="I1066" s="83">
        <v>1805.8684397791412</v>
      </c>
      <c r="J1066" s="83">
        <v>16.525835809573554</v>
      </c>
    </row>
    <row r="1067" spans="1:10" ht="16">
      <c r="A1067" s="79" t="s">
        <v>1443</v>
      </c>
      <c r="B1067" s="79" t="s">
        <v>1307</v>
      </c>
      <c r="C1067" s="80" t="s">
        <v>95</v>
      </c>
      <c r="D1067" s="81" t="s">
        <v>77</v>
      </c>
      <c r="E1067" s="82">
        <v>12132</v>
      </c>
      <c r="F1067" s="82">
        <v>685</v>
      </c>
      <c r="G1067" s="82">
        <v>243</v>
      </c>
      <c r="H1067" s="83">
        <v>11.158630613826659</v>
      </c>
      <c r="I1067" s="83">
        <v>2720.4106929526956</v>
      </c>
      <c r="J1067" s="83">
        <v>24.833928739051149</v>
      </c>
    </row>
    <row r="1068" spans="1:10" ht="16">
      <c r="A1068" s="79" t="s">
        <v>220</v>
      </c>
      <c r="B1068" s="79" t="s">
        <v>203</v>
      </c>
      <c r="C1068" s="80" t="s">
        <v>95</v>
      </c>
      <c r="D1068" s="81" t="s">
        <v>101</v>
      </c>
      <c r="E1068" s="82">
        <v>2733</v>
      </c>
      <c r="F1068" s="82">
        <v>195</v>
      </c>
      <c r="G1068" s="82">
        <v>219</v>
      </c>
      <c r="H1068" s="83">
        <v>19.150061344902085</v>
      </c>
      <c r="I1068" s="83">
        <v>7803.1938830402123</v>
      </c>
      <c r="J1068" s="83">
        <v>19.662161289295732</v>
      </c>
    </row>
    <row r="1069" spans="1:10" ht="16">
      <c r="A1069" s="79" t="s">
        <v>1444</v>
      </c>
      <c r="B1069" s="79" t="s">
        <v>1307</v>
      </c>
      <c r="C1069" s="80" t="s">
        <v>126</v>
      </c>
      <c r="D1069" s="81" t="s">
        <v>76</v>
      </c>
      <c r="E1069" s="82">
        <v>12104</v>
      </c>
      <c r="F1069" s="82">
        <v>884</v>
      </c>
      <c r="G1069" s="82">
        <v>1452</v>
      </c>
      <c r="H1069" s="83">
        <v>46.215664821485021</v>
      </c>
      <c r="I1069" s="83">
        <v>33999.886145334502</v>
      </c>
      <c r="J1069" s="83">
        <v>53.679826558972437</v>
      </c>
    </row>
    <row r="1070" spans="1:10" ht="16">
      <c r="A1070" s="79" t="s">
        <v>1285</v>
      </c>
      <c r="B1070" s="79" t="s">
        <v>1209</v>
      </c>
      <c r="C1070" s="80" t="s">
        <v>95</v>
      </c>
      <c r="D1070" s="81" t="s">
        <v>103</v>
      </c>
      <c r="E1070" s="82">
        <v>29699</v>
      </c>
      <c r="F1070" s="82">
        <v>2034</v>
      </c>
      <c r="G1070" s="82">
        <v>8613</v>
      </c>
      <c r="H1070" s="83">
        <v>43.448280804995946</v>
      </c>
      <c r="I1070" s="83">
        <v>34252.014023415068</v>
      </c>
      <c r="J1070" s="83">
        <v>43.208762991941988</v>
      </c>
    </row>
    <row r="1071" spans="1:10" ht="16">
      <c r="A1071" s="79" t="s">
        <v>759</v>
      </c>
      <c r="B1071" s="79" t="s">
        <v>661</v>
      </c>
      <c r="C1071" s="80" t="s">
        <v>95</v>
      </c>
      <c r="D1071" s="81" t="s">
        <v>99</v>
      </c>
      <c r="E1071" s="82">
        <v>1142</v>
      </c>
      <c r="F1071" s="82">
        <v>439</v>
      </c>
      <c r="G1071" s="82">
        <v>11</v>
      </c>
      <c r="H1071" s="83">
        <v>10.189164637301841</v>
      </c>
      <c r="I1071" s="83">
        <v>9659.6732131159042</v>
      </c>
      <c r="J1071" s="83">
        <v>26.993915563858401</v>
      </c>
    </row>
    <row r="1072" spans="1:10" ht="16">
      <c r="A1072" s="79" t="s">
        <v>1445</v>
      </c>
      <c r="B1072" s="79" t="s">
        <v>1307</v>
      </c>
      <c r="C1072" s="80" t="s">
        <v>95</v>
      </c>
      <c r="D1072" s="81" t="s">
        <v>103</v>
      </c>
      <c r="E1072" s="82">
        <v>22143</v>
      </c>
      <c r="F1072" s="82">
        <v>2050</v>
      </c>
      <c r="G1072" s="82">
        <v>2657</v>
      </c>
      <c r="H1072" s="83">
        <v>29.389685997645586</v>
      </c>
      <c r="I1072" s="83">
        <v>24586.030573884218</v>
      </c>
      <c r="J1072" s="83">
        <v>34.617703674603078</v>
      </c>
    </row>
    <row r="1073" spans="1:10" ht="16">
      <c r="A1073" s="79" t="s">
        <v>873</v>
      </c>
      <c r="B1073" s="79" t="s">
        <v>869</v>
      </c>
      <c r="C1073" s="80" t="s">
        <v>95</v>
      </c>
      <c r="D1073" s="81" t="s">
        <v>78</v>
      </c>
      <c r="E1073" s="82">
        <v>20783</v>
      </c>
      <c r="F1073" s="82">
        <v>1649</v>
      </c>
      <c r="G1073" s="82">
        <v>3533</v>
      </c>
      <c r="H1073" s="83">
        <v>43.871060173362117</v>
      </c>
      <c r="I1073" s="83">
        <v>39480.965712966987</v>
      </c>
      <c r="J1073" s="83">
        <v>39.694657304946787</v>
      </c>
    </row>
    <row r="1074" spans="1:10" ht="16">
      <c r="A1074" s="79" t="s">
        <v>350</v>
      </c>
      <c r="B1074" s="79" t="s">
        <v>341</v>
      </c>
      <c r="C1074" s="80" t="s">
        <v>95</v>
      </c>
      <c r="D1074" s="81" t="s">
        <v>75</v>
      </c>
      <c r="E1074" s="82">
        <v>8872</v>
      </c>
      <c r="F1074" s="82">
        <v>485</v>
      </c>
      <c r="G1074" s="82">
        <v>798</v>
      </c>
      <c r="H1074" s="83">
        <v>14.126857488391542</v>
      </c>
      <c r="I1074" s="83">
        <v>3953.0910178533322</v>
      </c>
      <c r="J1074" s="83">
        <v>17.074771727236552</v>
      </c>
    </row>
    <row r="1075" spans="1:10" ht="16">
      <c r="A1075" s="79" t="s">
        <v>858</v>
      </c>
      <c r="B1075" s="79" t="s">
        <v>853</v>
      </c>
      <c r="C1075" s="80" t="s">
        <v>95</v>
      </c>
      <c r="D1075" s="81" t="s">
        <v>103</v>
      </c>
      <c r="E1075" s="82">
        <v>18196</v>
      </c>
      <c r="F1075" s="82">
        <v>910</v>
      </c>
      <c r="G1075" s="82">
        <v>3821</v>
      </c>
      <c r="H1075" s="83">
        <v>32.200682952696241</v>
      </c>
      <c r="I1075" s="83">
        <v>27196.507068365052</v>
      </c>
      <c r="J1075" s="83">
        <v>30.215939731387792</v>
      </c>
    </row>
    <row r="1076" spans="1:10" ht="16">
      <c r="A1076" s="79" t="s">
        <v>221</v>
      </c>
      <c r="B1076" s="79" t="s">
        <v>203</v>
      </c>
      <c r="C1076" s="80" t="s">
        <v>95</v>
      </c>
      <c r="D1076" s="81" t="s">
        <v>77</v>
      </c>
      <c r="E1076" s="82">
        <v>35365</v>
      </c>
      <c r="F1076" s="82">
        <v>1432</v>
      </c>
      <c r="G1076" s="82">
        <v>6719</v>
      </c>
      <c r="H1076" s="83">
        <v>42.430402468687859</v>
      </c>
      <c r="I1076" s="83">
        <v>36279.019119651952</v>
      </c>
      <c r="J1076" s="83">
        <v>41.445663841017115</v>
      </c>
    </row>
    <row r="1077" spans="1:10" ht="16">
      <c r="A1077" s="79" t="s">
        <v>393</v>
      </c>
      <c r="B1077" s="79" t="s">
        <v>388</v>
      </c>
      <c r="C1077" s="80" t="s">
        <v>95</v>
      </c>
      <c r="D1077" s="81" t="s">
        <v>75</v>
      </c>
      <c r="E1077" s="82">
        <v>10086</v>
      </c>
      <c r="F1077" s="82">
        <v>336</v>
      </c>
      <c r="G1077" s="82">
        <v>605</v>
      </c>
      <c r="H1077" s="83">
        <v>35.149388322215643</v>
      </c>
      <c r="I1077" s="83">
        <v>26334.750577157702</v>
      </c>
      <c r="J1077" s="83">
        <v>31.096487823864003</v>
      </c>
    </row>
    <row r="1078" spans="1:10" ht="16">
      <c r="A1078" s="79" t="s">
        <v>1065</v>
      </c>
      <c r="B1078" s="79" t="s">
        <v>1039</v>
      </c>
      <c r="C1078" s="80" t="s">
        <v>95</v>
      </c>
      <c r="D1078" s="81" t="s">
        <v>75</v>
      </c>
      <c r="E1078" s="82">
        <v>21663</v>
      </c>
      <c r="F1078" s="82">
        <v>1706</v>
      </c>
      <c r="G1078" s="82">
        <v>650</v>
      </c>
      <c r="H1078" s="83">
        <v>15.584708399588871</v>
      </c>
      <c r="I1078" s="83">
        <v>8369.55195376353</v>
      </c>
      <c r="J1078" s="83">
        <v>17.560008399857772</v>
      </c>
    </row>
    <row r="1079" spans="1:10" ht="16">
      <c r="A1079" s="79" t="s">
        <v>1286</v>
      </c>
      <c r="B1079" s="79" t="s">
        <v>1209</v>
      </c>
      <c r="C1079" s="80" t="s">
        <v>126</v>
      </c>
      <c r="D1079" s="81" t="s">
        <v>75</v>
      </c>
      <c r="E1079" s="82">
        <v>20664</v>
      </c>
      <c r="F1079" s="82">
        <v>1845</v>
      </c>
      <c r="G1079" s="82">
        <v>8472</v>
      </c>
      <c r="H1079" s="83">
        <v>99.786882819998596</v>
      </c>
      <c r="I1079" s="83">
        <v>98092.394722999234</v>
      </c>
      <c r="J1079" s="83">
        <v>91.423167133308084</v>
      </c>
    </row>
    <row r="1080" spans="1:10" ht="16">
      <c r="A1080" s="79" t="s">
        <v>640</v>
      </c>
      <c r="B1080" s="79" t="s">
        <v>617</v>
      </c>
      <c r="C1080" s="80" t="s">
        <v>95</v>
      </c>
      <c r="D1080" s="81" t="s">
        <v>79</v>
      </c>
      <c r="E1080" s="82">
        <v>45169</v>
      </c>
      <c r="F1080" s="82">
        <v>2121</v>
      </c>
      <c r="G1080" s="82">
        <v>1807</v>
      </c>
      <c r="H1080" s="83">
        <v>31.814203951624471</v>
      </c>
      <c r="I1080" s="83">
        <v>24844.895314240843</v>
      </c>
      <c r="J1080" s="83">
        <v>43.290758432459803</v>
      </c>
    </row>
    <row r="1081" spans="1:10" ht="16">
      <c r="A1081" s="79" t="s">
        <v>641</v>
      </c>
      <c r="B1081" s="79" t="s">
        <v>617</v>
      </c>
      <c r="C1081" s="80" t="s">
        <v>95</v>
      </c>
      <c r="D1081" s="81" t="s">
        <v>96</v>
      </c>
      <c r="E1081" s="82">
        <v>29437</v>
      </c>
      <c r="F1081" s="82">
        <v>1436</v>
      </c>
      <c r="G1081" s="82">
        <v>294</v>
      </c>
      <c r="H1081" s="83">
        <v>17.999963223412021</v>
      </c>
      <c r="I1081" s="83">
        <v>11334.949247577815</v>
      </c>
      <c r="J1081" s="83">
        <v>21.337291399865439</v>
      </c>
    </row>
    <row r="1082" spans="1:10" ht="16">
      <c r="A1082" s="79" t="s">
        <v>351</v>
      </c>
      <c r="B1082" s="79" t="s">
        <v>341</v>
      </c>
      <c r="C1082" s="80" t="s">
        <v>95</v>
      </c>
      <c r="D1082" s="81" t="s">
        <v>149</v>
      </c>
      <c r="E1082" s="82">
        <v>7266</v>
      </c>
      <c r="F1082" s="82">
        <v>530</v>
      </c>
      <c r="G1082" s="82">
        <v>509</v>
      </c>
      <c r="H1082" s="83">
        <v>15.999730396443979</v>
      </c>
      <c r="I1082" s="83">
        <v>1596.375921603257</v>
      </c>
      <c r="J1082" s="83">
        <v>18.034851368047686</v>
      </c>
    </row>
    <row r="1083" spans="1:10" ht="16">
      <c r="A1083" s="79" t="s">
        <v>414</v>
      </c>
      <c r="B1083" s="79" t="s">
        <v>396</v>
      </c>
      <c r="C1083" s="80" t="s">
        <v>95</v>
      </c>
      <c r="D1083" s="81" t="s">
        <v>77</v>
      </c>
      <c r="E1083" s="82">
        <v>61390</v>
      </c>
      <c r="F1083" s="82">
        <v>3961</v>
      </c>
      <c r="G1083" s="82">
        <v>10436</v>
      </c>
      <c r="H1083" s="83">
        <v>36.490352586523514</v>
      </c>
      <c r="I1083" s="83">
        <v>31940.604827644282</v>
      </c>
      <c r="J1083" s="83">
        <v>52.281504972779899</v>
      </c>
    </row>
    <row r="1084" spans="1:10" ht="16">
      <c r="A1084" s="79" t="s">
        <v>642</v>
      </c>
      <c r="B1084" s="79" t="s">
        <v>617</v>
      </c>
      <c r="C1084" s="80" t="s">
        <v>95</v>
      </c>
      <c r="D1084" s="81" t="s">
        <v>78</v>
      </c>
      <c r="E1084" s="82">
        <v>25140</v>
      </c>
      <c r="F1084" s="82">
        <v>918</v>
      </c>
      <c r="G1084" s="82">
        <v>1508</v>
      </c>
      <c r="H1084" s="83">
        <v>19.603673293406231</v>
      </c>
      <c r="I1084" s="83">
        <v>12459.663438387524</v>
      </c>
      <c r="J1084" s="83">
        <v>18.842710807033566</v>
      </c>
    </row>
    <row r="1085" spans="1:10" ht="16">
      <c r="A1085" s="79" t="s">
        <v>459</v>
      </c>
      <c r="B1085" s="79" t="s">
        <v>421</v>
      </c>
      <c r="C1085" s="80" t="s">
        <v>95</v>
      </c>
      <c r="D1085" s="81" t="s">
        <v>96</v>
      </c>
      <c r="E1085" s="82">
        <v>11387</v>
      </c>
      <c r="F1085" s="82">
        <v>131</v>
      </c>
      <c r="G1085" s="82">
        <v>1366</v>
      </c>
      <c r="H1085" s="83">
        <v>40.238822073964457</v>
      </c>
      <c r="I1085" s="83">
        <v>29716.397777014168</v>
      </c>
      <c r="J1085" s="83">
        <v>33.027128835577791</v>
      </c>
    </row>
    <row r="1086" spans="1:10" ht="16">
      <c r="A1086" s="79" t="s">
        <v>474</v>
      </c>
      <c r="B1086" s="79" t="s">
        <v>467</v>
      </c>
      <c r="C1086" s="80" t="s">
        <v>126</v>
      </c>
      <c r="D1086" s="81" t="s">
        <v>96</v>
      </c>
      <c r="E1086" s="82">
        <v>25580</v>
      </c>
      <c r="F1086" s="82">
        <v>927</v>
      </c>
      <c r="G1086" s="82">
        <v>1279</v>
      </c>
      <c r="H1086" s="83">
        <v>12.596155404271242</v>
      </c>
      <c r="I1086" s="83">
        <v>4570.5188615446104</v>
      </c>
      <c r="J1086" s="83">
        <v>16.624783010651786</v>
      </c>
    </row>
    <row r="1087" spans="1:10" ht="16">
      <c r="A1087" s="79" t="s">
        <v>643</v>
      </c>
      <c r="B1087" s="79" t="s">
        <v>617</v>
      </c>
      <c r="C1087" s="80" t="s">
        <v>95</v>
      </c>
      <c r="D1087" s="81" t="s">
        <v>76</v>
      </c>
      <c r="E1087" s="82">
        <v>24623</v>
      </c>
      <c r="F1087" s="82">
        <v>593</v>
      </c>
      <c r="G1087" s="82">
        <v>1970</v>
      </c>
      <c r="H1087" s="83">
        <v>25.799156715622971</v>
      </c>
      <c r="I1087" s="83">
        <v>16834.098529829578</v>
      </c>
      <c r="J1087" s="83">
        <v>25.405739617691282</v>
      </c>
    </row>
    <row r="1088" spans="1:10" ht="16">
      <c r="A1088" s="79" t="s">
        <v>1446</v>
      </c>
      <c r="B1088" s="79" t="s">
        <v>1307</v>
      </c>
      <c r="C1088" s="80" t="s">
        <v>95</v>
      </c>
      <c r="D1088" s="81" t="s">
        <v>103</v>
      </c>
      <c r="E1088" s="82">
        <v>20578</v>
      </c>
      <c r="F1088" s="82">
        <v>3166</v>
      </c>
      <c r="G1088" s="82">
        <v>4321</v>
      </c>
      <c r="H1088" s="83">
        <v>91.122303050584861</v>
      </c>
      <c r="I1088" s="83">
        <v>88839.695205503449</v>
      </c>
      <c r="J1088" s="83">
        <v>88.13734390321379</v>
      </c>
    </row>
    <row r="1089" spans="1:10" ht="16">
      <c r="A1089" s="79" t="s">
        <v>1079</v>
      </c>
      <c r="B1089" s="79" t="s">
        <v>1078</v>
      </c>
      <c r="C1089" s="80" t="s">
        <v>95</v>
      </c>
      <c r="D1089" s="81" t="s">
        <v>79</v>
      </c>
      <c r="E1089" s="82">
        <v>17482</v>
      </c>
      <c r="F1089" s="82">
        <v>1619</v>
      </c>
      <c r="G1089" s="82">
        <v>175</v>
      </c>
      <c r="H1089" s="83">
        <v>8.2868663795214541</v>
      </c>
      <c r="I1089" s="83">
        <v>7629.8729990767479</v>
      </c>
      <c r="J1089" s="83">
        <v>16.904556583438499</v>
      </c>
    </row>
    <row r="1090" spans="1:10" ht="16">
      <c r="A1090" s="79" t="s">
        <v>644</v>
      </c>
      <c r="B1090" s="79" t="s">
        <v>617</v>
      </c>
      <c r="C1090" s="80" t="s">
        <v>95</v>
      </c>
      <c r="D1090" s="81" t="s">
        <v>111</v>
      </c>
      <c r="E1090" s="82">
        <v>24830</v>
      </c>
      <c r="F1090" s="82">
        <v>769</v>
      </c>
      <c r="G1090" s="82">
        <v>1490</v>
      </c>
      <c r="H1090" s="83">
        <v>22.916962268087513</v>
      </c>
      <c r="I1090" s="83">
        <v>19996.202591158188</v>
      </c>
      <c r="J1090" s="83">
        <v>18.617458255787689</v>
      </c>
    </row>
    <row r="1091" spans="1:10" ht="16">
      <c r="A1091" s="79" t="s">
        <v>887</v>
      </c>
      <c r="B1091" s="79" t="s">
        <v>877</v>
      </c>
      <c r="C1091" s="80" t="s">
        <v>126</v>
      </c>
      <c r="D1091" s="81" t="s">
        <v>76</v>
      </c>
      <c r="E1091" s="82">
        <v>5647</v>
      </c>
      <c r="F1091" s="82">
        <v>528</v>
      </c>
      <c r="G1091" s="82">
        <v>113</v>
      </c>
      <c r="H1091" s="83">
        <v>11.345755808848745</v>
      </c>
      <c r="I1091" s="83">
        <v>1606.3653241567267</v>
      </c>
      <c r="J1091" s="83">
        <v>25.857617202702244</v>
      </c>
    </row>
    <row r="1092" spans="1:10" ht="16">
      <c r="A1092" s="79" t="s">
        <v>645</v>
      </c>
      <c r="B1092" s="79" t="s">
        <v>617</v>
      </c>
      <c r="C1092" s="80" t="s">
        <v>95</v>
      </c>
      <c r="D1092" s="81" t="s">
        <v>96</v>
      </c>
      <c r="E1092" s="82">
        <v>33726</v>
      </c>
      <c r="F1092" s="82">
        <v>1506</v>
      </c>
      <c r="G1092" s="82">
        <v>2024</v>
      </c>
      <c r="H1092" s="83">
        <v>26.507119440567799</v>
      </c>
      <c r="I1092" s="83">
        <v>19745.507646862832</v>
      </c>
      <c r="J1092" s="83">
        <v>31.825481538089434</v>
      </c>
    </row>
    <row r="1093" spans="1:10" ht="16">
      <c r="A1093" s="79" t="s">
        <v>1447</v>
      </c>
      <c r="B1093" s="79" t="s">
        <v>1307</v>
      </c>
      <c r="C1093" s="80" t="s">
        <v>95</v>
      </c>
      <c r="D1093" s="81" t="s">
        <v>75</v>
      </c>
      <c r="E1093" s="82">
        <v>26652</v>
      </c>
      <c r="F1093" s="82">
        <v>4595</v>
      </c>
      <c r="G1093" s="82">
        <v>2932</v>
      </c>
      <c r="H1093" s="83">
        <v>46.425492152466475</v>
      </c>
      <c r="I1093" s="83">
        <v>43343.94941568112</v>
      </c>
      <c r="J1093" s="83">
        <v>47.814499292403447</v>
      </c>
    </row>
    <row r="1094" spans="1:10" ht="16">
      <c r="A1094" s="79" t="s">
        <v>1287</v>
      </c>
      <c r="B1094" s="79" t="s">
        <v>1209</v>
      </c>
      <c r="C1094" s="80" t="s">
        <v>95</v>
      </c>
      <c r="D1094" s="81" t="s">
        <v>101</v>
      </c>
      <c r="E1094" s="82">
        <v>17667</v>
      </c>
      <c r="F1094" s="82">
        <v>1027</v>
      </c>
      <c r="G1094" s="82">
        <v>2650</v>
      </c>
      <c r="H1094" s="83">
        <v>19.870686879171217</v>
      </c>
      <c r="I1094" s="83">
        <v>13030.097383224058</v>
      </c>
      <c r="J1094" s="83">
        <v>20.984557043093549</v>
      </c>
    </row>
    <row r="1095" spans="1:10" ht="16">
      <c r="A1095" s="79" t="s">
        <v>922</v>
      </c>
      <c r="B1095" s="79" t="s">
        <v>912</v>
      </c>
      <c r="C1095" s="80" t="s">
        <v>95</v>
      </c>
      <c r="D1095" s="81" t="s">
        <v>78</v>
      </c>
      <c r="E1095" s="82">
        <v>32020</v>
      </c>
      <c r="F1095" s="82">
        <v>1712</v>
      </c>
      <c r="G1095" s="82">
        <v>4803</v>
      </c>
      <c r="H1095" s="83">
        <v>28.078144605228832</v>
      </c>
      <c r="I1095" s="83">
        <v>17370.914475109705</v>
      </c>
      <c r="J1095" s="83">
        <v>28.110389956536096</v>
      </c>
    </row>
    <row r="1096" spans="1:10" ht="16">
      <c r="A1096" s="79" t="s">
        <v>1288</v>
      </c>
      <c r="B1096" s="79" t="s">
        <v>1209</v>
      </c>
      <c r="C1096" s="80" t="s">
        <v>126</v>
      </c>
      <c r="D1096" s="81" t="s">
        <v>111</v>
      </c>
      <c r="E1096" s="82">
        <v>20186</v>
      </c>
      <c r="F1096" s="82">
        <v>1311</v>
      </c>
      <c r="G1096" s="82">
        <v>5248</v>
      </c>
      <c r="H1096" s="83">
        <v>16.904184317456771</v>
      </c>
      <c r="I1096" s="83">
        <v>11533.999255798693</v>
      </c>
      <c r="J1096" s="83">
        <v>18.101796948623615</v>
      </c>
    </row>
    <row r="1097" spans="1:10" ht="16">
      <c r="A1097" s="79" t="s">
        <v>460</v>
      </c>
      <c r="B1097" s="79" t="s">
        <v>421</v>
      </c>
      <c r="C1097" s="80" t="s">
        <v>95</v>
      </c>
      <c r="D1097" s="81" t="s">
        <v>149</v>
      </c>
      <c r="E1097" s="82">
        <v>20063</v>
      </c>
      <c r="F1097" s="82">
        <v>372</v>
      </c>
      <c r="G1097" s="82">
        <v>2207</v>
      </c>
      <c r="H1097" s="83">
        <v>41.725282386244032</v>
      </c>
      <c r="I1097" s="83">
        <v>26627.025658233746</v>
      </c>
      <c r="J1097" s="83">
        <v>37.45717105357523</v>
      </c>
    </row>
    <row r="1098" spans="1:10" ht="16">
      <c r="A1098" s="79" t="s">
        <v>1002</v>
      </c>
      <c r="B1098" s="79" t="s">
        <v>996</v>
      </c>
      <c r="C1098" s="80" t="s">
        <v>95</v>
      </c>
      <c r="D1098" s="81" t="s">
        <v>111</v>
      </c>
      <c r="E1098" s="82">
        <v>35086</v>
      </c>
      <c r="F1098" s="82">
        <v>1595</v>
      </c>
      <c r="G1098" s="82">
        <v>2807</v>
      </c>
      <c r="H1098" s="83">
        <v>30.35388298762096</v>
      </c>
      <c r="I1098" s="83">
        <v>9953.7206244778808</v>
      </c>
      <c r="J1098" s="83">
        <v>25.926916172969321</v>
      </c>
    </row>
    <row r="1099" spans="1:10" ht="16">
      <c r="A1099" s="79" t="s">
        <v>923</v>
      </c>
      <c r="B1099" s="79" t="s">
        <v>924</v>
      </c>
      <c r="C1099" s="80" t="s">
        <v>95</v>
      </c>
      <c r="D1099" s="81" t="s">
        <v>77</v>
      </c>
      <c r="E1099" s="82">
        <v>49713</v>
      </c>
      <c r="F1099" s="82">
        <v>3576</v>
      </c>
      <c r="G1099" s="82">
        <v>497</v>
      </c>
      <c r="H1099" s="83">
        <v>8.7308073161822062</v>
      </c>
      <c r="I1099" s="83">
        <v>3757.9746758217702</v>
      </c>
      <c r="J1099" s="83">
        <v>18.360315857108578</v>
      </c>
    </row>
    <row r="1100" spans="1:10" ht="16">
      <c r="A1100" s="79" t="s">
        <v>133</v>
      </c>
      <c r="B1100" s="79" t="s">
        <v>108</v>
      </c>
      <c r="C1100" s="80" t="s">
        <v>95</v>
      </c>
      <c r="D1100" s="81" t="s">
        <v>101</v>
      </c>
      <c r="E1100" s="82">
        <v>39144</v>
      </c>
      <c r="F1100" s="82">
        <v>1096</v>
      </c>
      <c r="G1100" s="82">
        <v>13309</v>
      </c>
      <c r="H1100" s="83">
        <v>59.53299947484107</v>
      </c>
      <c r="I1100" s="83">
        <v>51011.211936772241</v>
      </c>
      <c r="J1100" s="83">
        <v>49.431679181066727</v>
      </c>
    </row>
    <row r="1101" spans="1:10" ht="16">
      <c r="A1101" s="79" t="s">
        <v>1289</v>
      </c>
      <c r="B1101" s="79" t="s">
        <v>1209</v>
      </c>
      <c r="C1101" s="80" t="s">
        <v>95</v>
      </c>
      <c r="D1101" s="81" t="s">
        <v>75</v>
      </c>
      <c r="E1101" s="82">
        <v>14107</v>
      </c>
      <c r="F1101" s="82">
        <v>947</v>
      </c>
      <c r="G1101" s="82">
        <v>4373</v>
      </c>
      <c r="H1101" s="83">
        <v>35.557864453455153</v>
      </c>
      <c r="I1101" s="83">
        <v>27111.506929203457</v>
      </c>
      <c r="J1101" s="83">
        <v>32.634878139827769</v>
      </c>
    </row>
    <row r="1102" spans="1:10" ht="16">
      <c r="A1102" s="79" t="s">
        <v>222</v>
      </c>
      <c r="B1102" s="79" t="s">
        <v>203</v>
      </c>
      <c r="C1102" s="80" t="s">
        <v>95</v>
      </c>
      <c r="D1102" s="81" t="s">
        <v>77</v>
      </c>
      <c r="E1102" s="82">
        <v>12935</v>
      </c>
      <c r="F1102" s="82">
        <v>553</v>
      </c>
      <c r="G1102" s="82">
        <v>2846</v>
      </c>
      <c r="H1102" s="83">
        <v>15.816270489623104</v>
      </c>
      <c r="I1102" s="83">
        <v>7068.4651472256173</v>
      </c>
      <c r="J1102" s="83">
        <v>17.479824548246729</v>
      </c>
    </row>
    <row r="1103" spans="1:10" ht="16">
      <c r="A1103" s="79" t="s">
        <v>415</v>
      </c>
      <c r="B1103" s="79" t="s">
        <v>396</v>
      </c>
      <c r="C1103" s="80" t="s">
        <v>95</v>
      </c>
      <c r="D1103" s="81" t="s">
        <v>77</v>
      </c>
      <c r="E1103" s="82">
        <v>28351</v>
      </c>
      <c r="F1103" s="82">
        <v>1575</v>
      </c>
      <c r="G1103" s="82">
        <v>3402</v>
      </c>
      <c r="H1103" s="83">
        <v>15.88007071415716</v>
      </c>
      <c r="I1103" s="83">
        <v>7921.4939878471014</v>
      </c>
      <c r="J1103" s="83">
        <v>21.757293825074662</v>
      </c>
    </row>
    <row r="1104" spans="1:10" ht="16">
      <c r="A1104" s="79" t="s">
        <v>1448</v>
      </c>
      <c r="B1104" s="79" t="s">
        <v>1307</v>
      </c>
      <c r="C1104" s="80" t="s">
        <v>95</v>
      </c>
      <c r="D1104" s="81" t="s">
        <v>149</v>
      </c>
      <c r="E1104" s="82">
        <v>16569</v>
      </c>
      <c r="F1104" s="82">
        <v>858</v>
      </c>
      <c r="G1104" s="82">
        <v>497</v>
      </c>
      <c r="H1104" s="83">
        <v>18.572483571327592</v>
      </c>
      <c r="I1104" s="83">
        <v>11693.150500207405</v>
      </c>
      <c r="J1104" s="83">
        <v>24.784045593771577</v>
      </c>
    </row>
    <row r="1105" spans="1:10" ht="16">
      <c r="A1105" s="79" t="s">
        <v>1449</v>
      </c>
      <c r="B1105" s="79" t="s">
        <v>1307</v>
      </c>
      <c r="C1105" s="80" t="s">
        <v>126</v>
      </c>
      <c r="D1105" s="81" t="s">
        <v>99</v>
      </c>
      <c r="E1105" s="82">
        <v>9824</v>
      </c>
      <c r="F1105" s="82">
        <v>2339</v>
      </c>
      <c r="G1105" s="82">
        <v>3045</v>
      </c>
      <c r="H1105" s="83">
        <v>31.23191327387568</v>
      </c>
      <c r="I1105" s="83">
        <v>27781.964676873209</v>
      </c>
      <c r="J1105" s="83">
        <v>44.042878160607714</v>
      </c>
    </row>
    <row r="1106" spans="1:10" ht="16">
      <c r="A1106" s="79" t="s">
        <v>1290</v>
      </c>
      <c r="B1106" s="79" t="s">
        <v>1209</v>
      </c>
      <c r="C1106" s="80" t="s">
        <v>95</v>
      </c>
      <c r="D1106" s="81" t="s">
        <v>111</v>
      </c>
      <c r="E1106" s="82">
        <v>7665</v>
      </c>
      <c r="F1106" s="82">
        <v>470</v>
      </c>
      <c r="G1106" s="82">
        <v>2146</v>
      </c>
      <c r="H1106" s="83">
        <v>20.446769909353794</v>
      </c>
      <c r="I1106" s="83">
        <v>6239.9598380554035</v>
      </c>
      <c r="J1106" s="83">
        <v>19.397767828510286</v>
      </c>
    </row>
    <row r="1107" spans="1:10" ht="16">
      <c r="A1107" s="79" t="s">
        <v>646</v>
      </c>
      <c r="B1107" s="79" t="s">
        <v>617</v>
      </c>
      <c r="C1107" s="80" t="s">
        <v>95</v>
      </c>
      <c r="D1107" s="81" t="s">
        <v>79</v>
      </c>
      <c r="E1107" s="82">
        <v>31696</v>
      </c>
      <c r="F1107" s="82">
        <v>633</v>
      </c>
      <c r="G1107" s="82">
        <v>1585</v>
      </c>
      <c r="H1107" s="83">
        <v>23.357257975190524</v>
      </c>
      <c r="I1107" s="83">
        <v>13924.27897847617</v>
      </c>
      <c r="J1107" s="83">
        <v>23.910374280719008</v>
      </c>
    </row>
    <row r="1108" spans="1:10" ht="16">
      <c r="A1108" s="79" t="s">
        <v>1066</v>
      </c>
      <c r="B1108" s="79" t="s">
        <v>1039</v>
      </c>
      <c r="C1108" s="80" t="s">
        <v>95</v>
      </c>
      <c r="D1108" s="81" t="s">
        <v>78</v>
      </c>
      <c r="E1108" s="82">
        <v>12411</v>
      </c>
      <c r="F1108" s="82">
        <v>1009</v>
      </c>
      <c r="G1108" s="82">
        <v>1365</v>
      </c>
      <c r="H1108" s="83">
        <v>21.989397613506139</v>
      </c>
      <c r="I1108" s="83">
        <v>14232.87457137383</v>
      </c>
      <c r="J1108" s="83">
        <v>23.776967393300385</v>
      </c>
    </row>
    <row r="1109" spans="1:10" ht="16">
      <c r="A1109" s="79" t="s">
        <v>1067</v>
      </c>
      <c r="B1109" s="79" t="s">
        <v>1039</v>
      </c>
      <c r="C1109" s="80" t="s">
        <v>95</v>
      </c>
      <c r="D1109" s="81" t="s">
        <v>101</v>
      </c>
      <c r="E1109" s="82">
        <v>28673</v>
      </c>
      <c r="F1109" s="82">
        <v>1629</v>
      </c>
      <c r="G1109" s="82">
        <v>4588</v>
      </c>
      <c r="H1109" s="83">
        <v>18.261519617365888</v>
      </c>
      <c r="I1109" s="83">
        <v>6642.1116326879355</v>
      </c>
      <c r="J1109" s="83">
        <v>26.823416455799133</v>
      </c>
    </row>
    <row r="1110" spans="1:10" ht="16">
      <c r="A1110" s="79" t="s">
        <v>647</v>
      </c>
      <c r="B1110" s="79" t="s">
        <v>617</v>
      </c>
      <c r="C1110" s="80" t="s">
        <v>95</v>
      </c>
      <c r="D1110" s="81" t="s">
        <v>96</v>
      </c>
      <c r="E1110" s="82">
        <v>12040</v>
      </c>
      <c r="F1110" s="82">
        <v>405</v>
      </c>
      <c r="G1110" s="82">
        <v>120</v>
      </c>
      <c r="H1110" s="83">
        <v>21.154512610075347</v>
      </c>
      <c r="I1110" s="83">
        <v>11864.671294374373</v>
      </c>
      <c r="J1110" s="83">
        <v>28.348519159072914</v>
      </c>
    </row>
    <row r="1111" spans="1:10" ht="16">
      <c r="A1111" s="79" t="s">
        <v>648</v>
      </c>
      <c r="B1111" s="79" t="s">
        <v>617</v>
      </c>
      <c r="C1111" s="80" t="s">
        <v>95</v>
      </c>
      <c r="D1111" s="81" t="s">
        <v>103</v>
      </c>
      <c r="E1111" s="82">
        <v>24290</v>
      </c>
      <c r="F1111" s="82">
        <v>941</v>
      </c>
      <c r="G1111" s="82">
        <v>486</v>
      </c>
      <c r="H1111" s="83">
        <v>19.670715751168899</v>
      </c>
      <c r="I1111" s="83">
        <v>18346.960429929743</v>
      </c>
      <c r="J1111" s="83">
        <v>20.931071814534253</v>
      </c>
    </row>
    <row r="1112" spans="1:10" ht="16">
      <c r="A1112" s="79" t="s">
        <v>1291</v>
      </c>
      <c r="B1112" s="79" t="s">
        <v>1209</v>
      </c>
      <c r="C1112" s="80" t="s">
        <v>95</v>
      </c>
      <c r="D1112" s="81" t="s">
        <v>101</v>
      </c>
      <c r="E1112" s="82">
        <v>15356</v>
      </c>
      <c r="F1112" s="82">
        <v>903</v>
      </c>
      <c r="G1112" s="82">
        <v>3378</v>
      </c>
      <c r="H1112" s="83">
        <v>15.79852626065659</v>
      </c>
      <c r="I1112" s="83">
        <v>5735.759446268793</v>
      </c>
      <c r="J1112" s="83">
        <v>18.932488306572917</v>
      </c>
    </row>
    <row r="1113" spans="1:10" ht="16">
      <c r="A1113" s="79" t="s">
        <v>1068</v>
      </c>
      <c r="B1113" s="79" t="s">
        <v>1039</v>
      </c>
      <c r="C1113" s="80" t="s">
        <v>95</v>
      </c>
      <c r="D1113" s="81" t="s">
        <v>78</v>
      </c>
      <c r="E1113" s="82">
        <v>25455</v>
      </c>
      <c r="F1113" s="82">
        <v>1675</v>
      </c>
      <c r="G1113" s="82">
        <v>2036</v>
      </c>
      <c r="H1113" s="83">
        <v>16.928854888687255</v>
      </c>
      <c r="I1113" s="83">
        <v>7806.9087065434833</v>
      </c>
      <c r="J1113" s="83">
        <v>22.132226228355737</v>
      </c>
    </row>
    <row r="1114" spans="1:10" ht="16">
      <c r="A1114" s="79" t="s">
        <v>238</v>
      </c>
      <c r="B1114" s="79" t="s">
        <v>231</v>
      </c>
      <c r="C1114" s="80" t="s">
        <v>126</v>
      </c>
      <c r="D1114" s="81" t="s">
        <v>101</v>
      </c>
      <c r="E1114" s="82">
        <v>22818</v>
      </c>
      <c r="F1114" s="82">
        <v>939</v>
      </c>
      <c r="G1114" s="82">
        <v>456</v>
      </c>
      <c r="H1114" s="83">
        <v>14.940226921548923</v>
      </c>
      <c r="I1114" s="83">
        <v>1726.1999748889084</v>
      </c>
      <c r="J1114" s="83">
        <v>17.007510187101957</v>
      </c>
    </row>
    <row r="1115" spans="1:10" ht="16">
      <c r="A1115" s="79" t="s">
        <v>888</v>
      </c>
      <c r="B1115" s="79" t="s">
        <v>877</v>
      </c>
      <c r="C1115" s="80" t="s">
        <v>95</v>
      </c>
      <c r="D1115" s="81" t="s">
        <v>101</v>
      </c>
      <c r="E1115" s="82">
        <v>26206</v>
      </c>
      <c r="F1115" s="82">
        <v>771</v>
      </c>
      <c r="G1115" s="82">
        <v>1824</v>
      </c>
      <c r="H1115" s="83">
        <v>8.4501515556565039</v>
      </c>
      <c r="I1115" s="83">
        <v>875.62439446429812</v>
      </c>
      <c r="J1115" s="83">
        <v>11.809711734180988</v>
      </c>
    </row>
    <row r="1116" spans="1:10" ht="16">
      <c r="A1116" s="79" t="s">
        <v>223</v>
      </c>
      <c r="B1116" s="79" t="s">
        <v>203</v>
      </c>
      <c r="C1116" s="80" t="s">
        <v>95</v>
      </c>
      <c r="D1116" s="81" t="s">
        <v>78</v>
      </c>
      <c r="E1116" s="82">
        <v>17194</v>
      </c>
      <c r="F1116" s="82">
        <v>971</v>
      </c>
      <c r="G1116" s="82">
        <v>3439</v>
      </c>
      <c r="H1116" s="83">
        <v>26.908857086521358</v>
      </c>
      <c r="I1116" s="83">
        <v>12981.732177486429</v>
      </c>
      <c r="J1116" s="83">
        <v>36.665507789894114</v>
      </c>
    </row>
    <row r="1117" spans="1:10" ht="16">
      <c r="A1117" s="79" t="s">
        <v>649</v>
      </c>
      <c r="B1117" s="79" t="s">
        <v>617</v>
      </c>
      <c r="C1117" s="80" t="s">
        <v>95</v>
      </c>
      <c r="D1117" s="81" t="s">
        <v>78</v>
      </c>
      <c r="E1117" s="82">
        <v>12993</v>
      </c>
      <c r="F1117" s="82">
        <v>539</v>
      </c>
      <c r="G1117" s="82">
        <v>260</v>
      </c>
      <c r="H1117" s="83">
        <v>17.63931004672013</v>
      </c>
      <c r="I1117" s="83">
        <v>8250.9899651050819</v>
      </c>
      <c r="J1117" s="83">
        <v>22.965251159555287</v>
      </c>
    </row>
    <row r="1118" spans="1:10" ht="16">
      <c r="A1118" s="79" t="s">
        <v>309</v>
      </c>
      <c r="B1118" s="79" t="s">
        <v>242</v>
      </c>
      <c r="C1118" s="80" t="s">
        <v>126</v>
      </c>
      <c r="D1118" s="81" t="s">
        <v>79</v>
      </c>
      <c r="E1118" s="82">
        <v>24232</v>
      </c>
      <c r="F1118" s="82">
        <v>1648</v>
      </c>
      <c r="G1118" s="82">
        <v>969</v>
      </c>
      <c r="H1118" s="83">
        <v>26.146253194287432</v>
      </c>
      <c r="I1118" s="83">
        <v>7457.1813706174844</v>
      </c>
      <c r="J1118" s="83">
        <v>28.140417626248496</v>
      </c>
    </row>
    <row r="1119" spans="1:10" ht="16">
      <c r="A1119" s="79" t="s">
        <v>310</v>
      </c>
      <c r="B1119" s="79" t="s">
        <v>242</v>
      </c>
      <c r="C1119" s="80" t="s">
        <v>126</v>
      </c>
      <c r="D1119" s="81" t="s">
        <v>111</v>
      </c>
      <c r="E1119" s="82">
        <v>16245</v>
      </c>
      <c r="F1119" s="82">
        <v>2110</v>
      </c>
      <c r="G1119" s="82">
        <v>650</v>
      </c>
      <c r="H1119" s="83">
        <v>60.304885515529065</v>
      </c>
      <c r="I1119" s="83">
        <v>44506.595421003658</v>
      </c>
      <c r="J1119" s="83">
        <v>65.376619121000161</v>
      </c>
    </row>
    <row r="1120" spans="1:10" ht="16">
      <c r="A1120" s="79" t="s">
        <v>98</v>
      </c>
      <c r="B1120" s="79" t="s">
        <v>94</v>
      </c>
      <c r="C1120" s="80" t="s">
        <v>95</v>
      </c>
      <c r="D1120" s="81" t="s">
        <v>99</v>
      </c>
      <c r="E1120" s="82">
        <v>22049</v>
      </c>
      <c r="F1120" s="82">
        <v>1885</v>
      </c>
      <c r="G1120" s="82">
        <v>441</v>
      </c>
      <c r="H1120" s="83">
        <v>7.2797959891556232</v>
      </c>
      <c r="I1120" s="83">
        <v>507.4476344667047</v>
      </c>
      <c r="J1120" s="83">
        <v>19.836850086856508</v>
      </c>
    </row>
    <row r="1121" spans="1:10" ht="16">
      <c r="A1121" s="79" t="s">
        <v>100</v>
      </c>
      <c r="B1121" s="79" t="s">
        <v>94</v>
      </c>
      <c r="C1121" s="80" t="s">
        <v>95</v>
      </c>
      <c r="D1121" s="81" t="s">
        <v>101</v>
      </c>
      <c r="E1121" s="82">
        <v>41865</v>
      </c>
      <c r="F1121" s="82">
        <v>1861</v>
      </c>
      <c r="G1121" s="82">
        <v>419</v>
      </c>
      <c r="H1121" s="83">
        <v>7.6224039611455723</v>
      </c>
      <c r="I1121" s="83">
        <v>614.885027733279</v>
      </c>
      <c r="J1121" s="83">
        <v>17.036580736015832</v>
      </c>
    </row>
    <row r="1122" spans="1:10" ht="16">
      <c r="A1122" s="79" t="s">
        <v>1034</v>
      </c>
      <c r="B1122" s="79" t="s">
        <v>1007</v>
      </c>
      <c r="C1122" s="80" t="s">
        <v>95</v>
      </c>
      <c r="D1122" s="81" t="s">
        <v>77</v>
      </c>
      <c r="E1122" s="82">
        <v>8807</v>
      </c>
      <c r="F1122" s="82">
        <v>531</v>
      </c>
      <c r="G1122" s="82">
        <v>440</v>
      </c>
      <c r="H1122" s="83">
        <v>18.343179435229359</v>
      </c>
      <c r="I1122" s="83">
        <v>4502.2739496968088</v>
      </c>
      <c r="J1122" s="83">
        <v>22.906967947396115</v>
      </c>
    </row>
    <row r="1123" spans="1:10" ht="16">
      <c r="A1123" s="79" t="s">
        <v>1069</v>
      </c>
      <c r="B1123" s="79" t="s">
        <v>1039</v>
      </c>
      <c r="C1123" s="80" t="s">
        <v>95</v>
      </c>
      <c r="D1123" s="81" t="s">
        <v>101</v>
      </c>
      <c r="E1123" s="82">
        <v>62811</v>
      </c>
      <c r="F1123" s="82">
        <v>3049</v>
      </c>
      <c r="G1123" s="82">
        <v>3769</v>
      </c>
      <c r="H1123" s="83">
        <v>19.332619416970719</v>
      </c>
      <c r="I1123" s="83">
        <v>6846.0836091750571</v>
      </c>
      <c r="J1123" s="83">
        <v>25.815064707560936</v>
      </c>
    </row>
    <row r="1124" spans="1:10" ht="16">
      <c r="A1124" s="79" t="s">
        <v>1157</v>
      </c>
      <c r="B1124" s="79" t="s">
        <v>1154</v>
      </c>
      <c r="C1124" s="80" t="s">
        <v>95</v>
      </c>
      <c r="D1124" s="81" t="s">
        <v>149</v>
      </c>
      <c r="E1124" s="82">
        <v>32178</v>
      </c>
      <c r="F1124" s="82">
        <v>2384</v>
      </c>
      <c r="G1124" s="82">
        <v>322</v>
      </c>
      <c r="H1124" s="83">
        <v>10.689108235676747</v>
      </c>
      <c r="I1124" s="83">
        <v>1806.283535747026</v>
      </c>
      <c r="J1124" s="83">
        <v>29.385597187514467</v>
      </c>
    </row>
    <row r="1125" spans="1:10" ht="16">
      <c r="A1125" s="79" t="s">
        <v>1207</v>
      </c>
      <c r="B1125" s="79" t="s">
        <v>1204</v>
      </c>
      <c r="C1125" s="80" t="s">
        <v>95</v>
      </c>
      <c r="D1125" s="81" t="s">
        <v>101</v>
      </c>
      <c r="E1125" s="82">
        <v>14286</v>
      </c>
      <c r="F1125" s="82">
        <v>687</v>
      </c>
      <c r="G1125" s="82">
        <v>8572</v>
      </c>
      <c r="H1125" s="83">
        <v>12.007780877014612</v>
      </c>
      <c r="I1125" s="83">
        <v>4610.1042898201176</v>
      </c>
      <c r="J1125" s="83">
        <v>20.13905621047077</v>
      </c>
    </row>
    <row r="1126" spans="1:10" ht="16">
      <c r="A1126" s="79" t="s">
        <v>1292</v>
      </c>
      <c r="B1126" s="79" t="s">
        <v>1209</v>
      </c>
      <c r="C1126" s="80" t="s">
        <v>126</v>
      </c>
      <c r="D1126" s="81" t="s">
        <v>79</v>
      </c>
      <c r="E1126" s="82">
        <v>26218</v>
      </c>
      <c r="F1126" s="82">
        <v>1748</v>
      </c>
      <c r="G1126" s="82">
        <v>8914</v>
      </c>
      <c r="H1126" s="83">
        <v>47.274550846830103</v>
      </c>
      <c r="I1126" s="83">
        <v>38542.780242053268</v>
      </c>
      <c r="J1126" s="83">
        <v>45.870342375217433</v>
      </c>
    </row>
    <row r="1127" spans="1:10" ht="16">
      <c r="A1127" s="79" t="s">
        <v>760</v>
      </c>
      <c r="B1127" s="79" t="s">
        <v>661</v>
      </c>
      <c r="C1127" s="80" t="s">
        <v>95</v>
      </c>
      <c r="D1127" s="81" t="s">
        <v>103</v>
      </c>
      <c r="E1127" s="82">
        <v>3002</v>
      </c>
      <c r="F1127" s="82">
        <v>259</v>
      </c>
      <c r="G1127" s="82">
        <v>90</v>
      </c>
      <c r="H1127" s="83">
        <v>12.663940696363131</v>
      </c>
      <c r="I1127" s="83">
        <v>1617.2727545246016</v>
      </c>
      <c r="J1127" s="83">
        <v>20.9246286144297</v>
      </c>
    </row>
    <row r="1128" spans="1:10" ht="16">
      <c r="A1128" s="79" t="s">
        <v>461</v>
      </c>
      <c r="B1128" s="79" t="s">
        <v>421</v>
      </c>
      <c r="C1128" s="80" t="s">
        <v>126</v>
      </c>
      <c r="D1128" s="81" t="s">
        <v>101</v>
      </c>
      <c r="E1128" s="82">
        <v>19268</v>
      </c>
      <c r="F1128" s="82">
        <v>456</v>
      </c>
      <c r="G1128" s="82">
        <v>2312</v>
      </c>
      <c r="H1128" s="83">
        <v>25.500375627650758</v>
      </c>
      <c r="I1128" s="83">
        <v>14486.431451130593</v>
      </c>
      <c r="J1128" s="83">
        <v>21.594272292188055</v>
      </c>
    </row>
    <row r="1129" spans="1:10" ht="16">
      <c r="A1129" s="79" t="s">
        <v>650</v>
      </c>
      <c r="B1129" s="79" t="s">
        <v>617</v>
      </c>
      <c r="C1129" s="80" t="s">
        <v>95</v>
      </c>
      <c r="D1129" s="81" t="s">
        <v>101</v>
      </c>
      <c r="E1129" s="82">
        <v>12636</v>
      </c>
      <c r="F1129" s="82">
        <v>854</v>
      </c>
      <c r="G1129" s="82">
        <v>1011</v>
      </c>
      <c r="H1129" s="83">
        <v>21.622150150288906</v>
      </c>
      <c r="I1129" s="83">
        <v>14668.974514338708</v>
      </c>
      <c r="J1129" s="83">
        <v>38.144567175103582</v>
      </c>
    </row>
    <row r="1130" spans="1:10" ht="16">
      <c r="A1130" s="79" t="s">
        <v>907</v>
      </c>
      <c r="B1130" s="79" t="s">
        <v>898</v>
      </c>
      <c r="C1130" s="80" t="s">
        <v>95</v>
      </c>
      <c r="D1130" s="81" t="s">
        <v>78</v>
      </c>
      <c r="E1130" s="82">
        <v>24174</v>
      </c>
      <c r="F1130" s="82">
        <v>1889</v>
      </c>
      <c r="G1130" s="82">
        <v>725</v>
      </c>
      <c r="H1130" s="83">
        <v>9.5329636521431222</v>
      </c>
      <c r="I1130" s="83">
        <v>1669.8930316214887</v>
      </c>
      <c r="J1130" s="83">
        <v>18.489606158255139</v>
      </c>
    </row>
    <row r="1131" spans="1:10" ht="16">
      <c r="A1131" s="79" t="s">
        <v>829</v>
      </c>
      <c r="B1131" s="79" t="s">
        <v>817</v>
      </c>
      <c r="C1131" s="80" t="s">
        <v>95</v>
      </c>
      <c r="D1131" s="81" t="s">
        <v>103</v>
      </c>
      <c r="E1131" s="82">
        <v>29921</v>
      </c>
      <c r="F1131" s="82">
        <v>1432</v>
      </c>
      <c r="G1131" s="82">
        <v>299</v>
      </c>
      <c r="H1131" s="83">
        <v>8.2192642641788751</v>
      </c>
      <c r="I1131" s="83">
        <v>683.18551443904437</v>
      </c>
      <c r="J1131" s="83">
        <v>14.462266634037022</v>
      </c>
    </row>
    <row r="1132" spans="1:10" ht="16">
      <c r="A1132" s="79" t="s">
        <v>1158</v>
      </c>
      <c r="B1132" s="79" t="s">
        <v>1154</v>
      </c>
      <c r="C1132" s="80" t="s">
        <v>95</v>
      </c>
      <c r="D1132" s="81" t="s">
        <v>103</v>
      </c>
      <c r="E1132" s="82">
        <v>25335</v>
      </c>
      <c r="F1132" s="82">
        <v>2282</v>
      </c>
      <c r="G1132" s="82">
        <v>253</v>
      </c>
      <c r="H1132" s="83">
        <v>8.4332702248748372</v>
      </c>
      <c r="I1132" s="83">
        <v>1062.1413200819475</v>
      </c>
      <c r="J1132" s="83">
        <v>23.614533522042638</v>
      </c>
    </row>
    <row r="1133" spans="1:10" ht="16">
      <c r="A1133" s="79" t="s">
        <v>1003</v>
      </c>
      <c r="B1133" s="79" t="s">
        <v>996</v>
      </c>
      <c r="C1133" s="80" t="s">
        <v>95</v>
      </c>
      <c r="D1133" s="81" t="s">
        <v>77</v>
      </c>
      <c r="E1133" s="82">
        <v>193874</v>
      </c>
      <c r="F1133" s="82">
        <v>1249</v>
      </c>
      <c r="G1133" s="82">
        <v>13571</v>
      </c>
      <c r="H1133" s="83">
        <v>19.983682968862553</v>
      </c>
      <c r="I1133" s="83">
        <v>2867.5701803745005</v>
      </c>
      <c r="J1133" s="83">
        <v>22.492148785704476</v>
      </c>
    </row>
    <row r="1134" spans="1:10" ht="16">
      <c r="A1134" s="79" t="s">
        <v>134</v>
      </c>
      <c r="B1134" s="79" t="s">
        <v>108</v>
      </c>
      <c r="C1134" s="80" t="s">
        <v>95</v>
      </c>
      <c r="D1134" s="81" t="s">
        <v>76</v>
      </c>
      <c r="E1134" s="82">
        <v>20268</v>
      </c>
      <c r="F1134" s="82">
        <v>665</v>
      </c>
      <c r="G1134" s="82">
        <v>5067</v>
      </c>
      <c r="H1134" s="83">
        <v>39.64663158996138</v>
      </c>
      <c r="I1134" s="83">
        <v>25959.25789106893</v>
      </c>
      <c r="J1134" s="83">
        <v>31.915459811228779</v>
      </c>
    </row>
    <row r="1135" spans="1:10" ht="16">
      <c r="A1135" s="79" t="s">
        <v>1450</v>
      </c>
      <c r="B1135" s="79" t="s">
        <v>1307</v>
      </c>
      <c r="C1135" s="80" t="s">
        <v>95</v>
      </c>
      <c r="D1135" s="81" t="s">
        <v>77</v>
      </c>
      <c r="E1135" s="82">
        <v>32291</v>
      </c>
      <c r="F1135" s="82">
        <v>1993</v>
      </c>
      <c r="G1135" s="82">
        <v>1615</v>
      </c>
      <c r="H1135" s="83">
        <v>26.092729855797863</v>
      </c>
      <c r="I1135" s="83">
        <v>16300.212847642948</v>
      </c>
      <c r="J1135" s="83">
        <v>33.88226926939798</v>
      </c>
    </row>
    <row r="1136" spans="1:10" ht="16">
      <c r="A1136" s="79" t="s">
        <v>311</v>
      </c>
      <c r="B1136" s="79" t="s">
        <v>242</v>
      </c>
      <c r="C1136" s="80" t="s">
        <v>95</v>
      </c>
      <c r="D1136" s="81" t="s">
        <v>103</v>
      </c>
      <c r="E1136" s="82">
        <v>21401</v>
      </c>
      <c r="F1136" s="82">
        <v>2140</v>
      </c>
      <c r="G1136" s="82">
        <v>1473</v>
      </c>
      <c r="H1136" s="83">
        <v>10.284080130092244</v>
      </c>
      <c r="I1136" s="83">
        <v>1065.2535617553383</v>
      </c>
      <c r="J1136" s="83">
        <v>19.583056409531743</v>
      </c>
    </row>
    <row r="1137" spans="1:10" ht="16">
      <c r="A1137" s="79" t="s">
        <v>1451</v>
      </c>
      <c r="B1137" s="79" t="s">
        <v>1307</v>
      </c>
      <c r="C1137" s="80" t="s">
        <v>95</v>
      </c>
      <c r="D1137" s="81" t="s">
        <v>103</v>
      </c>
      <c r="E1137" s="82">
        <v>14542</v>
      </c>
      <c r="F1137" s="82">
        <v>414</v>
      </c>
      <c r="G1137" s="82">
        <v>436</v>
      </c>
      <c r="H1137" s="83">
        <v>16.140856089729965</v>
      </c>
      <c r="I1137" s="83">
        <v>7335.9935057092425</v>
      </c>
      <c r="J1137" s="83">
        <v>31.508066334718126</v>
      </c>
    </row>
    <row r="1138" spans="1:10" ht="16">
      <c r="A1138" s="79" t="s">
        <v>1452</v>
      </c>
      <c r="B1138" s="79" t="s">
        <v>1307</v>
      </c>
      <c r="C1138" s="80" t="s">
        <v>95</v>
      </c>
      <c r="D1138" s="81" t="s">
        <v>78</v>
      </c>
      <c r="E1138" s="82">
        <v>33885</v>
      </c>
      <c r="F1138" s="82">
        <v>1793</v>
      </c>
      <c r="G1138" s="82">
        <v>4744</v>
      </c>
      <c r="H1138" s="83">
        <v>34.201867893046398</v>
      </c>
      <c r="I1138" s="83">
        <v>29940.128622004115</v>
      </c>
      <c r="J1138" s="83">
        <v>30.816378636719147</v>
      </c>
    </row>
    <row r="1139" spans="1:10" ht="16">
      <c r="A1139" s="79" t="s">
        <v>1293</v>
      </c>
      <c r="B1139" s="79" t="s">
        <v>1209</v>
      </c>
      <c r="C1139" s="80" t="s">
        <v>95</v>
      </c>
      <c r="D1139" s="81" t="s">
        <v>99</v>
      </c>
      <c r="E1139" s="82">
        <v>15664</v>
      </c>
      <c r="F1139" s="82">
        <v>1058</v>
      </c>
      <c r="G1139" s="82">
        <v>2976</v>
      </c>
      <c r="H1139" s="83">
        <v>9.8869501602394596</v>
      </c>
      <c r="I1139" s="83">
        <v>2579.3819938991614</v>
      </c>
      <c r="J1139" s="83">
        <v>16.699281525536154</v>
      </c>
    </row>
    <row r="1140" spans="1:10" ht="16">
      <c r="A1140" s="79" t="s">
        <v>1294</v>
      </c>
      <c r="B1140" s="79" t="s">
        <v>1209</v>
      </c>
      <c r="C1140" s="80" t="s">
        <v>95</v>
      </c>
      <c r="D1140" s="81" t="s">
        <v>76</v>
      </c>
      <c r="E1140" s="82">
        <v>23863</v>
      </c>
      <c r="F1140" s="82">
        <v>1742</v>
      </c>
      <c r="G1140" s="82">
        <v>8113</v>
      </c>
      <c r="H1140" s="83">
        <v>45.294036054477466</v>
      </c>
      <c r="I1140" s="83">
        <v>39052.224903935021</v>
      </c>
      <c r="J1140" s="83">
        <v>41.138419730165147</v>
      </c>
    </row>
    <row r="1141" spans="1:10" ht="16">
      <c r="A1141" s="79" t="s">
        <v>1453</v>
      </c>
      <c r="B1141" s="79" t="s">
        <v>1307</v>
      </c>
      <c r="C1141" s="80" t="s">
        <v>95</v>
      </c>
      <c r="D1141" s="81" t="s">
        <v>101</v>
      </c>
      <c r="E1141" s="82">
        <v>36929</v>
      </c>
      <c r="F1141" s="82">
        <v>3156</v>
      </c>
      <c r="G1141" s="82">
        <v>9232</v>
      </c>
      <c r="H1141" s="83">
        <v>60.242704498069713</v>
      </c>
      <c r="I1141" s="83">
        <v>55209.568481152019</v>
      </c>
      <c r="J1141" s="83">
        <v>55.107976853204377</v>
      </c>
    </row>
    <row r="1142" spans="1:10" ht="16">
      <c r="A1142" s="79" t="s">
        <v>361</v>
      </c>
      <c r="B1142" s="79" t="s">
        <v>355</v>
      </c>
      <c r="C1142" s="80" t="s">
        <v>95</v>
      </c>
      <c r="D1142" s="81" t="s">
        <v>79</v>
      </c>
      <c r="E1142" s="82">
        <v>21281</v>
      </c>
      <c r="F1142" s="82">
        <v>1759</v>
      </c>
      <c r="G1142" s="82">
        <v>3618</v>
      </c>
      <c r="H1142" s="83">
        <v>28.573814596794431</v>
      </c>
      <c r="I1142" s="83">
        <v>23993.416151323072</v>
      </c>
      <c r="J1142" s="83">
        <v>21.703619580892671</v>
      </c>
    </row>
    <row r="1143" spans="1:10" ht="16">
      <c r="A1143" s="79" t="s">
        <v>135</v>
      </c>
      <c r="B1143" s="79" t="s">
        <v>108</v>
      </c>
      <c r="C1143" s="80" t="s">
        <v>95</v>
      </c>
      <c r="D1143" s="81" t="s">
        <v>79</v>
      </c>
      <c r="E1143" s="82">
        <v>12405</v>
      </c>
      <c r="F1143" s="82">
        <v>481</v>
      </c>
      <c r="G1143" s="82">
        <v>1861</v>
      </c>
      <c r="H1143" s="83">
        <v>20.227327109174848</v>
      </c>
      <c r="I1143" s="83">
        <v>10922.696571625431</v>
      </c>
      <c r="J1143" s="83">
        <v>20.269643552614625</v>
      </c>
    </row>
    <row r="1144" spans="1:10" ht="16">
      <c r="A1144" s="79" t="s">
        <v>332</v>
      </c>
      <c r="B1144" s="79" t="s">
        <v>333</v>
      </c>
      <c r="C1144" s="80" t="s">
        <v>126</v>
      </c>
      <c r="D1144" s="81" t="s">
        <v>76</v>
      </c>
      <c r="E1144" s="82">
        <v>20043</v>
      </c>
      <c r="F1144" s="82">
        <v>891</v>
      </c>
      <c r="G1144" s="82">
        <v>401</v>
      </c>
      <c r="H1144" s="83">
        <v>12.677920963618778</v>
      </c>
      <c r="I1144" s="83">
        <v>7022.3227529265632</v>
      </c>
      <c r="J1144" s="83">
        <v>16.038218114652036</v>
      </c>
    </row>
    <row r="1145" spans="1:10" ht="16">
      <c r="A1145" s="79" t="s">
        <v>1295</v>
      </c>
      <c r="B1145" s="79" t="s">
        <v>1209</v>
      </c>
      <c r="C1145" s="80" t="s">
        <v>95</v>
      </c>
      <c r="D1145" s="81" t="s">
        <v>101</v>
      </c>
      <c r="E1145" s="82">
        <v>9213</v>
      </c>
      <c r="F1145" s="82">
        <v>725</v>
      </c>
      <c r="G1145" s="82">
        <v>4238</v>
      </c>
      <c r="H1145" s="83">
        <v>41.806920127924009</v>
      </c>
      <c r="I1145" s="83">
        <v>28372.448001845125</v>
      </c>
      <c r="J1145" s="83">
        <v>42.303069961183105</v>
      </c>
    </row>
    <row r="1146" spans="1:10" ht="16">
      <c r="A1146" s="79" t="s">
        <v>1097</v>
      </c>
      <c r="B1146" s="79" t="s">
        <v>1091</v>
      </c>
      <c r="C1146" s="80" t="s">
        <v>126</v>
      </c>
      <c r="D1146" s="81" t="s">
        <v>149</v>
      </c>
      <c r="E1146" s="82">
        <v>7579</v>
      </c>
      <c r="F1146" s="82">
        <v>642</v>
      </c>
      <c r="G1146" s="82">
        <v>2577</v>
      </c>
      <c r="H1146" s="83">
        <v>20.124378201852082</v>
      </c>
      <c r="I1146" s="83">
        <v>11601.001348390477</v>
      </c>
      <c r="J1146" s="83">
        <v>31.398841422355812</v>
      </c>
    </row>
    <row r="1147" spans="1:10" ht="16">
      <c r="A1147" s="79" t="s">
        <v>1296</v>
      </c>
      <c r="B1147" s="79" t="s">
        <v>1209</v>
      </c>
      <c r="C1147" s="80" t="s">
        <v>95</v>
      </c>
      <c r="D1147" s="81" t="s">
        <v>78</v>
      </c>
      <c r="E1147" s="82">
        <v>9250</v>
      </c>
      <c r="F1147" s="82">
        <v>585</v>
      </c>
      <c r="G1147" s="82">
        <v>2128</v>
      </c>
      <c r="H1147" s="83">
        <v>25.760471249437828</v>
      </c>
      <c r="I1147" s="83">
        <v>19109.651176765659</v>
      </c>
      <c r="J1147" s="83">
        <v>24.491731789228986</v>
      </c>
    </row>
    <row r="1148" spans="1:10" ht="16">
      <c r="A1148" s="79" t="s">
        <v>416</v>
      </c>
      <c r="B1148" s="79" t="s">
        <v>396</v>
      </c>
      <c r="C1148" s="80" t="s">
        <v>95</v>
      </c>
      <c r="D1148" s="81" t="s">
        <v>99</v>
      </c>
      <c r="E1148" s="82">
        <v>46898</v>
      </c>
      <c r="F1148" s="82">
        <v>2495</v>
      </c>
      <c r="G1148" s="82">
        <v>9380</v>
      </c>
      <c r="H1148" s="83">
        <v>21.56885751602147</v>
      </c>
      <c r="I1148" s="83">
        <v>13168.920828055207</v>
      </c>
      <c r="J1148" s="83">
        <v>29.377324720509506</v>
      </c>
    </row>
    <row r="1149" spans="1:10" ht="16">
      <c r="A1149" s="79" t="s">
        <v>1297</v>
      </c>
      <c r="B1149" s="79" t="s">
        <v>1209</v>
      </c>
      <c r="C1149" s="80" t="s">
        <v>126</v>
      </c>
      <c r="D1149" s="81" t="s">
        <v>99</v>
      </c>
      <c r="E1149" s="82">
        <v>18517</v>
      </c>
      <c r="F1149" s="82">
        <v>975</v>
      </c>
      <c r="G1149" s="82">
        <v>5000</v>
      </c>
      <c r="H1149" s="83">
        <v>31.824920060306372</v>
      </c>
      <c r="I1149" s="83">
        <v>16403.500335770961</v>
      </c>
      <c r="J1149" s="83">
        <v>29.060590037735096</v>
      </c>
    </row>
    <row r="1150" spans="1:10" ht="16">
      <c r="A1150" s="79" t="s">
        <v>462</v>
      </c>
      <c r="B1150" s="79" t="s">
        <v>421</v>
      </c>
      <c r="C1150" s="80" t="s">
        <v>126</v>
      </c>
      <c r="D1150" s="81" t="s">
        <v>96</v>
      </c>
      <c r="E1150" s="82">
        <v>26004</v>
      </c>
      <c r="F1150" s="82">
        <v>568</v>
      </c>
      <c r="G1150" s="82">
        <v>5201</v>
      </c>
      <c r="H1150" s="83">
        <v>46.154567228097804</v>
      </c>
      <c r="I1150" s="83">
        <v>23793.025967203757</v>
      </c>
      <c r="J1150" s="83">
        <v>42.486117488545375</v>
      </c>
    </row>
    <row r="1151" spans="1:10" ht="16">
      <c r="A1151" s="79" t="s">
        <v>1298</v>
      </c>
      <c r="B1151" s="79" t="s">
        <v>1209</v>
      </c>
      <c r="C1151" s="80" t="s">
        <v>95</v>
      </c>
      <c r="D1151" s="81" t="s">
        <v>96</v>
      </c>
      <c r="E1151" s="82">
        <v>13125</v>
      </c>
      <c r="F1151" s="82">
        <v>820</v>
      </c>
      <c r="G1151" s="82">
        <v>4856</v>
      </c>
      <c r="H1151" s="83">
        <v>34.590729161196869</v>
      </c>
      <c r="I1151" s="83">
        <v>24679.350971681328</v>
      </c>
      <c r="J1151" s="83">
        <v>30.618638012504892</v>
      </c>
    </row>
    <row r="1152" spans="1:10" ht="16">
      <c r="A1152" s="79" t="s">
        <v>1299</v>
      </c>
      <c r="B1152" s="79" t="s">
        <v>1209</v>
      </c>
      <c r="C1152" s="80" t="s">
        <v>95</v>
      </c>
      <c r="D1152" s="81" t="s">
        <v>79</v>
      </c>
      <c r="E1152" s="82">
        <v>14978</v>
      </c>
      <c r="F1152" s="82">
        <v>930</v>
      </c>
      <c r="G1152" s="82">
        <v>5841</v>
      </c>
      <c r="H1152" s="83">
        <v>38.255137295760598</v>
      </c>
      <c r="I1152" s="83">
        <v>34810.530772824321</v>
      </c>
      <c r="J1152" s="83">
        <v>35.47714006978002</v>
      </c>
    </row>
    <row r="1153" spans="1:10" ht="16">
      <c r="A1153" s="79" t="s">
        <v>136</v>
      </c>
      <c r="B1153" s="79" t="s">
        <v>108</v>
      </c>
      <c r="C1153" s="80" t="s">
        <v>95</v>
      </c>
      <c r="D1153" s="81" t="s">
        <v>77</v>
      </c>
      <c r="E1153" s="82">
        <v>45111</v>
      </c>
      <c r="F1153" s="82">
        <v>2244</v>
      </c>
      <c r="G1153" s="82">
        <v>17593</v>
      </c>
      <c r="H1153" s="83">
        <v>62.364687795547937</v>
      </c>
      <c r="I1153" s="83">
        <v>55827.474951587814</v>
      </c>
      <c r="J1153" s="83">
        <v>51.902713240821413</v>
      </c>
    </row>
    <row r="1154" spans="1:10" ht="16">
      <c r="A1154" s="79" t="s">
        <v>489</v>
      </c>
      <c r="B1154" s="79" t="s">
        <v>485</v>
      </c>
      <c r="C1154" s="80" t="s">
        <v>95</v>
      </c>
      <c r="D1154" s="81" t="s">
        <v>99</v>
      </c>
      <c r="E1154" s="82">
        <v>19700</v>
      </c>
      <c r="F1154" s="82">
        <v>1576</v>
      </c>
      <c r="G1154" s="82">
        <v>3152</v>
      </c>
      <c r="H1154" s="83">
        <v>13.222542557295707</v>
      </c>
      <c r="I1154" s="83">
        <v>4549.2074620191161</v>
      </c>
      <c r="J1154" s="83">
        <v>22.08997577832379</v>
      </c>
    </row>
    <row r="1155" spans="1:10" ht="16">
      <c r="A1155" s="79" t="s">
        <v>590</v>
      </c>
      <c r="B1155" s="79" t="s">
        <v>556</v>
      </c>
      <c r="C1155" s="80" t="s">
        <v>126</v>
      </c>
      <c r="D1155" s="81" t="s">
        <v>103</v>
      </c>
      <c r="E1155" s="82">
        <v>20360</v>
      </c>
      <c r="F1155" s="82">
        <v>771</v>
      </c>
      <c r="G1155" s="82">
        <v>936</v>
      </c>
      <c r="H1155" s="83">
        <v>19.998007177655307</v>
      </c>
      <c r="I1155" s="83">
        <v>8401.351546683718</v>
      </c>
      <c r="J1155" s="83">
        <v>28.449718807385594</v>
      </c>
    </row>
    <row r="1156" spans="1:10" ht="16">
      <c r="A1156" s="79" t="s">
        <v>239</v>
      </c>
      <c r="B1156" s="79" t="s">
        <v>231</v>
      </c>
      <c r="C1156" s="80" t="s">
        <v>126</v>
      </c>
      <c r="D1156" s="81" t="s">
        <v>96</v>
      </c>
      <c r="E1156" s="82">
        <v>10795</v>
      </c>
      <c r="F1156" s="82">
        <v>670</v>
      </c>
      <c r="G1156" s="82">
        <v>108</v>
      </c>
      <c r="H1156" s="83">
        <v>11.914040206405797</v>
      </c>
      <c r="I1156" s="83">
        <v>3087.7871068747445</v>
      </c>
      <c r="J1156" s="83">
        <v>15.373262209332657</v>
      </c>
    </row>
    <row r="1157" spans="1:10" ht="16">
      <c r="A1157" s="79" t="s">
        <v>386</v>
      </c>
      <c r="B1157" s="79" t="s">
        <v>384</v>
      </c>
      <c r="C1157" s="80" t="s">
        <v>95</v>
      </c>
      <c r="D1157" s="81" t="s">
        <v>149</v>
      </c>
      <c r="E1157" s="82">
        <v>8532</v>
      </c>
      <c r="F1157" s="82">
        <v>736</v>
      </c>
      <c r="G1157" s="82">
        <v>683</v>
      </c>
      <c r="H1157" s="83">
        <v>27.608850897463558</v>
      </c>
      <c r="I1157" s="83">
        <v>22405.309297353742</v>
      </c>
      <c r="J1157" s="83">
        <v>27.623810784623281</v>
      </c>
    </row>
    <row r="1158" spans="1:10" ht="16">
      <c r="A1158" s="79" t="s">
        <v>137</v>
      </c>
      <c r="B1158" s="79" t="s">
        <v>108</v>
      </c>
      <c r="C1158" s="80" t="s">
        <v>95</v>
      </c>
      <c r="D1158" s="81" t="s">
        <v>78</v>
      </c>
      <c r="E1158" s="82">
        <v>18219</v>
      </c>
      <c r="F1158" s="82">
        <v>732</v>
      </c>
      <c r="G1158" s="82">
        <v>5466</v>
      </c>
      <c r="H1158" s="83">
        <v>33.751301125798157</v>
      </c>
      <c r="I1158" s="83">
        <v>21280.642707852352</v>
      </c>
      <c r="J1158" s="83">
        <v>26.284939024105508</v>
      </c>
    </row>
    <row r="1159" spans="1:10" ht="16">
      <c r="A1159" s="79" t="s">
        <v>138</v>
      </c>
      <c r="B1159" s="79" t="s">
        <v>108</v>
      </c>
      <c r="C1159" s="80" t="s">
        <v>95</v>
      </c>
      <c r="D1159" s="81" t="s">
        <v>75</v>
      </c>
      <c r="E1159" s="82">
        <v>26385</v>
      </c>
      <c r="F1159" s="82">
        <v>608</v>
      </c>
      <c r="G1159" s="82">
        <v>8971</v>
      </c>
      <c r="H1159" s="83">
        <v>43.288247487775458</v>
      </c>
      <c r="I1159" s="83">
        <v>32323.827426545977</v>
      </c>
      <c r="J1159" s="83">
        <v>33.915689783664988</v>
      </c>
    </row>
    <row r="1160" spans="1:10" ht="16">
      <c r="A1160" s="79" t="s">
        <v>598</v>
      </c>
      <c r="B1160" s="79" t="s">
        <v>597</v>
      </c>
      <c r="C1160" s="80" t="s">
        <v>95</v>
      </c>
      <c r="D1160" s="81" t="s">
        <v>76</v>
      </c>
      <c r="E1160" s="82">
        <v>10450</v>
      </c>
      <c r="F1160" s="82">
        <v>1659</v>
      </c>
      <c r="G1160" s="82">
        <v>727</v>
      </c>
      <c r="H1160" s="83">
        <v>7.2384401590711835</v>
      </c>
      <c r="I1160" s="83">
        <v>1421.053759671028</v>
      </c>
      <c r="J1160" s="83">
        <v>21.269495050220772</v>
      </c>
    </row>
    <row r="1161" spans="1:10" ht="16">
      <c r="A1161" s="79" t="s">
        <v>591</v>
      </c>
      <c r="B1161" s="79" t="s">
        <v>556</v>
      </c>
      <c r="C1161" s="80" t="s">
        <v>126</v>
      </c>
      <c r="D1161" s="81" t="s">
        <v>101</v>
      </c>
      <c r="E1161" s="82">
        <v>53614</v>
      </c>
      <c r="F1161" s="82">
        <v>2188</v>
      </c>
      <c r="G1161" s="82">
        <v>1072</v>
      </c>
      <c r="H1161" s="83">
        <v>24.039906653127499</v>
      </c>
      <c r="I1161" s="83">
        <v>9114.3286027246249</v>
      </c>
      <c r="J1161" s="83">
        <v>37.282231852386509</v>
      </c>
    </row>
    <row r="1162" spans="1:10" ht="16">
      <c r="A1162" s="79" t="s">
        <v>1454</v>
      </c>
      <c r="B1162" s="79" t="s">
        <v>1307</v>
      </c>
      <c r="C1162" s="80" t="s">
        <v>95</v>
      </c>
      <c r="D1162" s="81" t="s">
        <v>101</v>
      </c>
      <c r="E1162" s="82">
        <v>28835</v>
      </c>
      <c r="F1162" s="82">
        <v>1144</v>
      </c>
      <c r="G1162" s="82">
        <v>4325</v>
      </c>
      <c r="H1162" s="83">
        <v>19.141362788149969</v>
      </c>
      <c r="I1162" s="83">
        <v>9196.5173016468634</v>
      </c>
      <c r="J1162" s="83">
        <v>21.682162897488595</v>
      </c>
    </row>
    <row r="1163" spans="1:10" ht="16">
      <c r="A1163" s="79" t="s">
        <v>1455</v>
      </c>
      <c r="B1163" s="79" t="s">
        <v>1307</v>
      </c>
      <c r="C1163" s="80" t="s">
        <v>95</v>
      </c>
      <c r="D1163" s="81" t="s">
        <v>77</v>
      </c>
      <c r="E1163" s="82">
        <v>49165</v>
      </c>
      <c r="F1163" s="82">
        <v>2858</v>
      </c>
      <c r="G1163" s="82">
        <v>4917</v>
      </c>
      <c r="H1163" s="83">
        <v>76.345927825363518</v>
      </c>
      <c r="I1163" s="83">
        <v>71058.382877920114</v>
      </c>
      <c r="J1163" s="83">
        <v>68.336945964699225</v>
      </c>
    </row>
    <row r="1164" spans="1:10" ht="16">
      <c r="A1164" s="79" t="s">
        <v>1456</v>
      </c>
      <c r="B1164" s="79" t="s">
        <v>1307</v>
      </c>
      <c r="C1164" s="80" t="s">
        <v>126</v>
      </c>
      <c r="D1164" s="81" t="s">
        <v>111</v>
      </c>
      <c r="E1164" s="82">
        <v>22757</v>
      </c>
      <c r="F1164" s="82">
        <v>1054</v>
      </c>
      <c r="G1164" s="82">
        <v>5689</v>
      </c>
      <c r="H1164" s="83">
        <v>29.791909924479722</v>
      </c>
      <c r="I1164" s="83">
        <v>24074.724347926327</v>
      </c>
      <c r="J1164" s="83">
        <v>24.298555625731421</v>
      </c>
    </row>
    <row r="1165" spans="1:10" ht="16">
      <c r="A1165" s="79" t="s">
        <v>1457</v>
      </c>
      <c r="B1165" s="79" t="s">
        <v>1307</v>
      </c>
      <c r="C1165" s="80" t="s">
        <v>95</v>
      </c>
      <c r="D1165" s="81" t="s">
        <v>96</v>
      </c>
      <c r="E1165" s="82">
        <v>17089</v>
      </c>
      <c r="F1165" s="82">
        <v>737</v>
      </c>
      <c r="G1165" s="82">
        <v>1367</v>
      </c>
      <c r="H1165" s="83">
        <v>23.053329021680412</v>
      </c>
      <c r="I1165" s="83">
        <v>8345.9391305091194</v>
      </c>
      <c r="J1165" s="83">
        <v>21.67089118352914</v>
      </c>
    </row>
    <row r="1166" spans="1:10" ht="16">
      <c r="A1166" s="79" t="s">
        <v>1458</v>
      </c>
      <c r="B1166" s="79" t="s">
        <v>1307</v>
      </c>
      <c r="C1166" s="80" t="s">
        <v>95</v>
      </c>
      <c r="D1166" s="81" t="s">
        <v>99</v>
      </c>
      <c r="E1166" s="82">
        <v>24435</v>
      </c>
      <c r="F1166" s="82">
        <v>997</v>
      </c>
      <c r="G1166" s="82">
        <v>977</v>
      </c>
      <c r="H1166" s="83">
        <v>22.095312186868341</v>
      </c>
      <c r="I1166" s="83">
        <v>16482.895141073026</v>
      </c>
      <c r="J1166" s="83">
        <v>18.654671256822734</v>
      </c>
    </row>
    <row r="1167" spans="1:10" ht="16">
      <c r="A1167" s="79" t="s">
        <v>475</v>
      </c>
      <c r="B1167" s="79" t="s">
        <v>467</v>
      </c>
      <c r="C1167" s="80" t="s">
        <v>95</v>
      </c>
      <c r="D1167" s="81" t="s">
        <v>149</v>
      </c>
      <c r="E1167" s="82">
        <v>13040</v>
      </c>
      <c r="F1167" s="82">
        <v>316</v>
      </c>
      <c r="G1167" s="82">
        <v>130</v>
      </c>
      <c r="H1167" s="83">
        <v>17.976865900170765</v>
      </c>
      <c r="I1167" s="83">
        <v>7895.6355214712776</v>
      </c>
      <c r="J1167" s="83">
        <v>18.70045987866358</v>
      </c>
    </row>
    <row r="1168" spans="1:10" ht="16">
      <c r="A1168" s="79" t="s">
        <v>240</v>
      </c>
      <c r="B1168" s="79" t="s">
        <v>231</v>
      </c>
      <c r="C1168" s="80" t="s">
        <v>95</v>
      </c>
      <c r="D1168" s="81" t="s">
        <v>101</v>
      </c>
      <c r="E1168" s="82">
        <v>8402</v>
      </c>
      <c r="F1168" s="82">
        <v>583</v>
      </c>
      <c r="G1168" s="82">
        <v>168</v>
      </c>
      <c r="H1168" s="83">
        <v>10.996938743367114</v>
      </c>
      <c r="I1168" s="83">
        <v>1648.1334444604204</v>
      </c>
      <c r="J1168" s="83">
        <v>16.424760114234839</v>
      </c>
    </row>
    <row r="1169" spans="1:10" ht="16">
      <c r="A1169" s="79" t="s">
        <v>328</v>
      </c>
      <c r="B1169" s="79" t="s">
        <v>323</v>
      </c>
      <c r="C1169" s="80" t="s">
        <v>126</v>
      </c>
      <c r="D1169" s="81" t="s">
        <v>77</v>
      </c>
      <c r="E1169" s="82">
        <v>15521</v>
      </c>
      <c r="F1169" s="82">
        <v>1176</v>
      </c>
      <c r="G1169" s="82">
        <v>310</v>
      </c>
      <c r="H1169" s="83">
        <v>16.624862871218141</v>
      </c>
      <c r="I1169" s="83">
        <v>7175.3015726281283</v>
      </c>
      <c r="J1169" s="83">
        <v>21.498226167490408</v>
      </c>
    </row>
    <row r="1170" spans="1:10" ht="16">
      <c r="A1170" s="79" t="s">
        <v>1477</v>
      </c>
      <c r="B1170" s="79" t="s">
        <v>1478</v>
      </c>
      <c r="C1170" s="80" t="s">
        <v>95</v>
      </c>
      <c r="D1170" s="81" t="s">
        <v>103</v>
      </c>
      <c r="E1170" s="82">
        <v>42198</v>
      </c>
      <c r="F1170" s="82">
        <v>2512</v>
      </c>
      <c r="G1170" s="82">
        <v>4007</v>
      </c>
      <c r="H1170" s="83">
        <v>8.1451060332230458</v>
      </c>
      <c r="I1170" s="83">
        <v>719.44718978410219</v>
      </c>
      <c r="J1170" s="83">
        <v>15.05079926397684</v>
      </c>
    </row>
    <row r="1171" spans="1:10" ht="16">
      <c r="A1171" s="79" t="s">
        <v>1070</v>
      </c>
      <c r="B1171" s="79" t="s">
        <v>1039</v>
      </c>
      <c r="C1171" s="80" t="s">
        <v>95</v>
      </c>
      <c r="D1171" s="81" t="s">
        <v>77</v>
      </c>
      <c r="E1171" s="82">
        <v>11277</v>
      </c>
      <c r="F1171" s="82">
        <v>881</v>
      </c>
      <c r="G1171" s="82">
        <v>789</v>
      </c>
      <c r="H1171" s="83">
        <v>14.332685624986937</v>
      </c>
      <c r="I1171" s="83">
        <v>8044.1045357738549</v>
      </c>
      <c r="J1171" s="83">
        <v>20.775006348903471</v>
      </c>
    </row>
    <row r="1172" spans="1:10" ht="16">
      <c r="A1172" s="79" t="s">
        <v>1071</v>
      </c>
      <c r="B1172" s="79" t="s">
        <v>1039</v>
      </c>
      <c r="C1172" s="80" t="s">
        <v>95</v>
      </c>
      <c r="D1172" s="81" t="s">
        <v>101</v>
      </c>
      <c r="E1172" s="82">
        <v>42485</v>
      </c>
      <c r="F1172" s="82">
        <v>2871</v>
      </c>
      <c r="G1172" s="82">
        <v>1699</v>
      </c>
      <c r="H1172" s="83">
        <v>17.111683989972036</v>
      </c>
      <c r="I1172" s="83">
        <v>8110.8965298696376</v>
      </c>
      <c r="J1172" s="83">
        <v>22.6023707588785</v>
      </c>
    </row>
    <row r="1173" spans="1:10" ht="16">
      <c r="A1173" s="79" t="s">
        <v>329</v>
      </c>
      <c r="B1173" s="79" t="s">
        <v>323</v>
      </c>
      <c r="C1173" s="80" t="s">
        <v>95</v>
      </c>
      <c r="D1173" s="81" t="s">
        <v>79</v>
      </c>
      <c r="E1173" s="82">
        <v>14228</v>
      </c>
      <c r="F1173" s="82">
        <v>694</v>
      </c>
      <c r="G1173" s="82">
        <v>427</v>
      </c>
      <c r="H1173" s="83">
        <v>11.349795845586572</v>
      </c>
      <c r="I1173" s="83">
        <v>1255.0238605393502</v>
      </c>
      <c r="J1173" s="83">
        <v>15.163152342487361</v>
      </c>
    </row>
    <row r="1174" spans="1:10" ht="16">
      <c r="A1174" s="79" t="s">
        <v>896</v>
      </c>
      <c r="B1174" s="79" t="s">
        <v>895</v>
      </c>
      <c r="C1174" s="80" t="s">
        <v>95</v>
      </c>
      <c r="D1174" s="81" t="s">
        <v>78</v>
      </c>
      <c r="E1174" s="82">
        <v>39877</v>
      </c>
      <c r="F1174" s="82">
        <v>4747</v>
      </c>
      <c r="G1174" s="82">
        <v>399</v>
      </c>
      <c r="H1174" s="83">
        <v>17.569465008286322</v>
      </c>
      <c r="I1174" s="83">
        <v>14999.502998638543</v>
      </c>
      <c r="J1174" s="83">
        <v>24.779586396299678</v>
      </c>
    </row>
    <row r="1175" spans="1:10" ht="16">
      <c r="A1175" s="79" t="s">
        <v>889</v>
      </c>
      <c r="B1175" s="79" t="s">
        <v>877</v>
      </c>
      <c r="C1175" s="80" t="s">
        <v>95</v>
      </c>
      <c r="D1175" s="81" t="s">
        <v>101</v>
      </c>
      <c r="E1175" s="82">
        <v>27907</v>
      </c>
      <c r="F1175" s="82">
        <v>1037</v>
      </c>
      <c r="G1175" s="82">
        <v>1942</v>
      </c>
      <c r="H1175" s="83">
        <v>11.202636326933215</v>
      </c>
      <c r="I1175" s="83">
        <v>3552.4939800094785</v>
      </c>
      <c r="J1175" s="83">
        <v>19.966898454447158</v>
      </c>
    </row>
    <row r="1176" spans="1:10" ht="16">
      <c r="A1176" s="79" t="s">
        <v>761</v>
      </c>
      <c r="B1176" s="79" t="s">
        <v>661</v>
      </c>
      <c r="C1176" s="80" t="s">
        <v>126</v>
      </c>
      <c r="D1176" s="81" t="s">
        <v>76</v>
      </c>
      <c r="E1176" s="82">
        <v>8222</v>
      </c>
      <c r="F1176" s="82">
        <v>754</v>
      </c>
      <c r="G1176" s="82">
        <v>164</v>
      </c>
      <c r="H1176" s="83">
        <v>12.029051349980369</v>
      </c>
      <c r="I1176" s="83">
        <v>1786.3367877702347</v>
      </c>
      <c r="J1176" s="83">
        <v>19.673508707596614</v>
      </c>
    </row>
    <row r="1177" spans="1:10" ht="16">
      <c r="A1177" s="79" t="s">
        <v>197</v>
      </c>
      <c r="B1177" s="79" t="s">
        <v>169</v>
      </c>
      <c r="C1177" s="80" t="s">
        <v>95</v>
      </c>
      <c r="D1177" s="81" t="s">
        <v>149</v>
      </c>
      <c r="E1177" s="82">
        <v>21715</v>
      </c>
      <c r="F1177" s="82">
        <v>916</v>
      </c>
      <c r="G1177" s="82">
        <v>1495</v>
      </c>
      <c r="H1177" s="83">
        <v>10.674769222766253</v>
      </c>
      <c r="I1177" s="83">
        <v>2150.4656390571117</v>
      </c>
      <c r="J1177" s="83">
        <v>18.489304211537551</v>
      </c>
    </row>
    <row r="1178" spans="1:10" ht="16">
      <c r="A1178" s="79" t="s">
        <v>139</v>
      </c>
      <c r="B1178" s="79" t="s">
        <v>108</v>
      </c>
      <c r="C1178" s="80" t="s">
        <v>95</v>
      </c>
      <c r="D1178" s="81" t="s">
        <v>103</v>
      </c>
      <c r="E1178" s="82">
        <v>9720</v>
      </c>
      <c r="F1178" s="82">
        <v>311</v>
      </c>
      <c r="G1178" s="82">
        <v>1652</v>
      </c>
      <c r="H1178" s="83">
        <v>23.629191623398199</v>
      </c>
      <c r="I1178" s="83">
        <v>10854.789441119743</v>
      </c>
      <c r="J1178" s="83">
        <v>17.87061403634025</v>
      </c>
    </row>
    <row r="1179" spans="1:10" ht="16">
      <c r="A1179" s="79" t="s">
        <v>1300</v>
      </c>
      <c r="B1179" s="79" t="s">
        <v>1209</v>
      </c>
      <c r="C1179" s="80" t="s">
        <v>95</v>
      </c>
      <c r="D1179" s="81" t="s">
        <v>103</v>
      </c>
      <c r="E1179" s="82">
        <v>21737</v>
      </c>
      <c r="F1179" s="82">
        <v>1188</v>
      </c>
      <c r="G1179" s="82">
        <v>4565</v>
      </c>
      <c r="H1179" s="83">
        <v>16.155101482479047</v>
      </c>
      <c r="I1179" s="83">
        <v>7400.4209230918941</v>
      </c>
      <c r="J1179" s="83">
        <v>18.011576741625703</v>
      </c>
    </row>
    <row r="1180" spans="1:10" ht="16">
      <c r="A1180" s="79" t="s">
        <v>1301</v>
      </c>
      <c r="B1180" s="79" t="s">
        <v>1209</v>
      </c>
      <c r="C1180" s="80" t="s">
        <v>95</v>
      </c>
      <c r="D1180" s="81" t="s">
        <v>99</v>
      </c>
      <c r="E1180" s="82">
        <v>11730</v>
      </c>
      <c r="F1180" s="82">
        <v>524</v>
      </c>
      <c r="G1180" s="82">
        <v>2463</v>
      </c>
      <c r="H1180" s="83">
        <v>13.919966983627969</v>
      </c>
      <c r="I1180" s="83">
        <v>10728.588619914924</v>
      </c>
      <c r="J1180" s="83">
        <v>14.437452858868832</v>
      </c>
    </row>
    <row r="1181" spans="1:10" ht="16">
      <c r="A1181" s="79" t="s">
        <v>1004</v>
      </c>
      <c r="B1181" s="79" t="s">
        <v>996</v>
      </c>
      <c r="C1181" s="80" t="s">
        <v>95</v>
      </c>
      <c r="D1181" s="81" t="s">
        <v>99</v>
      </c>
      <c r="E1181" s="82">
        <v>21999</v>
      </c>
      <c r="F1181" s="82">
        <v>721</v>
      </c>
      <c r="G1181" s="82">
        <v>1760</v>
      </c>
      <c r="H1181" s="83">
        <v>20.493660374250936</v>
      </c>
      <c r="I1181" s="83">
        <v>12066.490936347804</v>
      </c>
      <c r="J1181" s="83">
        <v>18.99898691780961</v>
      </c>
    </row>
    <row r="1182" spans="1:10" ht="16">
      <c r="A1182" s="79" t="s">
        <v>1005</v>
      </c>
      <c r="B1182" s="79" t="s">
        <v>996</v>
      </c>
      <c r="C1182" s="80" t="s">
        <v>95</v>
      </c>
      <c r="D1182" s="81" t="s">
        <v>75</v>
      </c>
      <c r="E1182" s="82">
        <v>28521</v>
      </c>
      <c r="F1182" s="82">
        <v>1084</v>
      </c>
      <c r="G1182" s="82">
        <v>2282</v>
      </c>
      <c r="H1182" s="83">
        <v>43.335432720339895</v>
      </c>
      <c r="I1182" s="83">
        <v>34051.005626960628</v>
      </c>
      <c r="J1182" s="83">
        <v>31.255238397522891</v>
      </c>
    </row>
    <row r="1183" spans="1:10" ht="16">
      <c r="A1183" s="79" t="s">
        <v>476</v>
      </c>
      <c r="B1183" s="79" t="s">
        <v>467</v>
      </c>
      <c r="C1183" s="80" t="s">
        <v>95</v>
      </c>
      <c r="D1183" s="81" t="s">
        <v>75</v>
      </c>
      <c r="E1183" s="82">
        <v>17004</v>
      </c>
      <c r="F1183" s="82">
        <v>437</v>
      </c>
      <c r="G1183" s="82">
        <v>680</v>
      </c>
      <c r="H1183" s="83">
        <v>20.530999003160819</v>
      </c>
      <c r="I1183" s="83">
        <v>9864.1618549551986</v>
      </c>
      <c r="J1183" s="83">
        <v>15.96440994100735</v>
      </c>
    </row>
    <row r="1184" spans="1:10" ht="16">
      <c r="A1184" s="79" t="s">
        <v>102</v>
      </c>
      <c r="B1184" s="79" t="s">
        <v>94</v>
      </c>
      <c r="C1184" s="80" t="s">
        <v>95</v>
      </c>
      <c r="D1184" s="81" t="s">
        <v>103</v>
      </c>
      <c r="E1184" s="82">
        <v>43446</v>
      </c>
      <c r="F1184" s="82">
        <v>1773</v>
      </c>
      <c r="G1184" s="82">
        <v>434</v>
      </c>
      <c r="H1184" s="83">
        <v>9.7882440923561411</v>
      </c>
      <c r="I1184" s="83">
        <v>496.27120180637309</v>
      </c>
      <c r="J1184" s="83">
        <v>29.914807519795048</v>
      </c>
    </row>
    <row r="1185" spans="1:10" ht="16">
      <c r="A1185" s="79" t="s">
        <v>1459</v>
      </c>
      <c r="B1185" s="79" t="s">
        <v>1307</v>
      </c>
      <c r="C1185" s="80" t="s">
        <v>95</v>
      </c>
      <c r="D1185" s="81" t="s">
        <v>77</v>
      </c>
      <c r="E1185" s="82">
        <v>18587</v>
      </c>
      <c r="F1185" s="82">
        <v>1199</v>
      </c>
      <c r="G1185" s="82">
        <v>2045</v>
      </c>
      <c r="H1185" s="83">
        <v>14.411563446418423</v>
      </c>
      <c r="I1185" s="83">
        <v>6807.0966500406166</v>
      </c>
      <c r="J1185" s="83">
        <v>34.208112387825267</v>
      </c>
    </row>
    <row r="1186" spans="1:10" ht="16">
      <c r="A1186" s="79" t="s">
        <v>224</v>
      </c>
      <c r="B1186" s="79" t="s">
        <v>203</v>
      </c>
      <c r="C1186" s="80" t="s">
        <v>95</v>
      </c>
      <c r="D1186" s="81" t="s">
        <v>78</v>
      </c>
      <c r="E1186" s="82">
        <v>73370</v>
      </c>
      <c r="F1186" s="82">
        <v>3650</v>
      </c>
      <c r="G1186" s="82">
        <v>15408</v>
      </c>
      <c r="H1186" s="83">
        <v>89.705770188294181</v>
      </c>
      <c r="I1186" s="83">
        <v>83830.977435721317</v>
      </c>
      <c r="J1186" s="83">
        <v>77.346245805235142</v>
      </c>
    </row>
    <row r="1187" spans="1:10" ht="16">
      <c r="A1187" s="79" t="s">
        <v>417</v>
      </c>
      <c r="B1187" s="79" t="s">
        <v>396</v>
      </c>
      <c r="C1187" s="80" t="s">
        <v>95</v>
      </c>
      <c r="D1187" s="81" t="s">
        <v>75</v>
      </c>
      <c r="E1187" s="82">
        <v>27285</v>
      </c>
      <c r="F1187" s="82">
        <v>1287</v>
      </c>
      <c r="G1187" s="82">
        <v>3001</v>
      </c>
      <c r="H1187" s="83">
        <v>12.685153058160129</v>
      </c>
      <c r="I1187" s="83">
        <v>6091.3947526689917</v>
      </c>
      <c r="J1187" s="83">
        <v>30.506213471299571</v>
      </c>
    </row>
    <row r="1188" spans="1:10" ht="16">
      <c r="A1188" s="79" t="s">
        <v>762</v>
      </c>
      <c r="B1188" s="79" t="s">
        <v>661</v>
      </c>
      <c r="C1188" s="80" t="s">
        <v>126</v>
      </c>
      <c r="D1188" s="81" t="s">
        <v>76</v>
      </c>
      <c r="E1188" s="82">
        <v>9133</v>
      </c>
      <c r="F1188" s="82">
        <v>761</v>
      </c>
      <c r="G1188" s="82">
        <v>274</v>
      </c>
      <c r="H1188" s="83">
        <v>13.90909294289645</v>
      </c>
      <c r="I1188" s="83">
        <v>2647.7948007057353</v>
      </c>
      <c r="J1188" s="83">
        <v>21.188216379763499</v>
      </c>
    </row>
    <row r="1189" spans="1:10" ht="16">
      <c r="A1189" s="79" t="s">
        <v>651</v>
      </c>
      <c r="B1189" s="79" t="s">
        <v>617</v>
      </c>
      <c r="C1189" s="80" t="s">
        <v>95</v>
      </c>
      <c r="D1189" s="81" t="s">
        <v>76</v>
      </c>
      <c r="E1189" s="82">
        <v>12920</v>
      </c>
      <c r="F1189" s="82">
        <v>663</v>
      </c>
      <c r="G1189" s="82">
        <v>904</v>
      </c>
      <c r="H1189" s="83">
        <v>32.509508366019261</v>
      </c>
      <c r="I1189" s="83">
        <v>24731.910329941897</v>
      </c>
      <c r="J1189" s="83">
        <v>27.791513806955827</v>
      </c>
    </row>
    <row r="1190" spans="1:10" ht="16">
      <c r="A1190" s="79" t="s">
        <v>652</v>
      </c>
      <c r="B1190" s="79" t="s">
        <v>617</v>
      </c>
      <c r="C1190" s="80" t="s">
        <v>95</v>
      </c>
      <c r="D1190" s="81" t="s">
        <v>76</v>
      </c>
      <c r="E1190" s="82">
        <v>15933</v>
      </c>
      <c r="F1190" s="82">
        <v>678</v>
      </c>
      <c r="G1190" s="82">
        <v>1275</v>
      </c>
      <c r="H1190" s="83">
        <v>23.21777658174685</v>
      </c>
      <c r="I1190" s="83">
        <v>15196.599478497121</v>
      </c>
      <c r="J1190" s="83">
        <v>31.08377312923983</v>
      </c>
    </row>
    <row r="1191" spans="1:10" ht="16">
      <c r="A1191" s="79" t="s">
        <v>763</v>
      </c>
      <c r="B1191" s="79" t="s">
        <v>661</v>
      </c>
      <c r="C1191" s="80" t="s">
        <v>126</v>
      </c>
      <c r="D1191" s="81" t="s">
        <v>149</v>
      </c>
      <c r="E1191" s="82">
        <v>16844</v>
      </c>
      <c r="F1191" s="82">
        <v>1239</v>
      </c>
      <c r="G1191" s="82">
        <v>3537</v>
      </c>
      <c r="H1191" s="83">
        <v>37.353272986714998</v>
      </c>
      <c r="I1191" s="83">
        <v>12811.481374586403</v>
      </c>
      <c r="J1191" s="83">
        <v>44.292467739475711</v>
      </c>
    </row>
    <row r="1192" spans="1:10" ht="16">
      <c r="A1192" s="79" t="s">
        <v>1460</v>
      </c>
      <c r="B1192" s="79" t="s">
        <v>1307</v>
      </c>
      <c r="C1192" s="80" t="s">
        <v>126</v>
      </c>
      <c r="D1192" s="81" t="s">
        <v>76</v>
      </c>
      <c r="E1192" s="82">
        <v>5067</v>
      </c>
      <c r="F1192" s="82">
        <v>409</v>
      </c>
      <c r="G1192" s="82">
        <v>811</v>
      </c>
      <c r="H1192" s="83">
        <v>16.585439483819833</v>
      </c>
      <c r="I1192" s="83">
        <v>11187.913240664273</v>
      </c>
      <c r="J1192" s="83">
        <v>34.049950489881695</v>
      </c>
    </row>
    <row r="1193" spans="1:10" ht="16">
      <c r="A1193" s="79" t="s">
        <v>1159</v>
      </c>
      <c r="B1193" s="79" t="s">
        <v>1154</v>
      </c>
      <c r="C1193" s="80" t="s">
        <v>95</v>
      </c>
      <c r="D1193" s="81" t="s">
        <v>96</v>
      </c>
      <c r="E1193" s="82">
        <v>33923</v>
      </c>
      <c r="F1193" s="82">
        <v>3359</v>
      </c>
      <c r="G1193" s="82">
        <v>339</v>
      </c>
      <c r="H1193" s="83">
        <v>10.5142062157562</v>
      </c>
      <c r="I1193" s="83">
        <v>1826.8334501601116</v>
      </c>
      <c r="J1193" s="83">
        <v>25.756958280094928</v>
      </c>
    </row>
    <row r="1194" spans="1:10" ht="16">
      <c r="A1194" s="79" t="s">
        <v>653</v>
      </c>
      <c r="B1194" s="79" t="s">
        <v>617</v>
      </c>
      <c r="C1194" s="80" t="s">
        <v>95</v>
      </c>
      <c r="D1194" s="81" t="s">
        <v>103</v>
      </c>
      <c r="E1194" s="82">
        <v>55957</v>
      </c>
      <c r="F1194" s="82">
        <v>1890</v>
      </c>
      <c r="G1194" s="82">
        <v>4477</v>
      </c>
      <c r="H1194" s="83">
        <v>27.338694135951357</v>
      </c>
      <c r="I1194" s="83">
        <v>20565.731829178781</v>
      </c>
      <c r="J1194" s="83">
        <v>23.435151518008862</v>
      </c>
    </row>
    <row r="1195" spans="1:10" ht="16">
      <c r="A1195" s="79" t="s">
        <v>394</v>
      </c>
      <c r="B1195" s="79" t="s">
        <v>388</v>
      </c>
      <c r="C1195" s="80" t="s">
        <v>95</v>
      </c>
      <c r="D1195" s="81" t="s">
        <v>103</v>
      </c>
      <c r="E1195" s="82">
        <v>12785</v>
      </c>
      <c r="F1195" s="82">
        <v>784</v>
      </c>
      <c r="G1195" s="82">
        <v>767</v>
      </c>
      <c r="H1195" s="83">
        <v>31.138898160843112</v>
      </c>
      <c r="I1195" s="83">
        <v>22701.884133759515</v>
      </c>
      <c r="J1195" s="83">
        <v>27.149821890130355</v>
      </c>
    </row>
    <row r="1196" spans="1:10" ht="16">
      <c r="A1196" s="79" t="s">
        <v>848</v>
      </c>
      <c r="B1196" s="79" t="s">
        <v>839</v>
      </c>
      <c r="C1196" s="80" t="s">
        <v>126</v>
      </c>
      <c r="D1196" s="81" t="s">
        <v>75</v>
      </c>
      <c r="E1196" s="82">
        <v>7584</v>
      </c>
      <c r="F1196" s="82">
        <v>546</v>
      </c>
      <c r="G1196" s="82">
        <v>2427</v>
      </c>
      <c r="H1196" s="83">
        <v>47.703468168538542</v>
      </c>
      <c r="I1196" s="83">
        <v>26044.893384723182</v>
      </c>
      <c r="J1196" s="83">
        <v>35.843274907211708</v>
      </c>
    </row>
    <row r="1197" spans="1:10" ht="16">
      <c r="A1197" s="79" t="s">
        <v>654</v>
      </c>
      <c r="B1197" s="79" t="s">
        <v>617</v>
      </c>
      <c r="C1197" s="80" t="s">
        <v>95</v>
      </c>
      <c r="D1197" s="81" t="s">
        <v>79</v>
      </c>
      <c r="E1197" s="82">
        <v>11793</v>
      </c>
      <c r="F1197" s="82">
        <v>663</v>
      </c>
      <c r="G1197" s="82">
        <v>826</v>
      </c>
      <c r="H1197" s="83">
        <v>16.171743902448817</v>
      </c>
      <c r="I1197" s="83">
        <v>11105.191681143697</v>
      </c>
      <c r="J1197" s="83">
        <v>26.209512124576637</v>
      </c>
    </row>
    <row r="1198" spans="1:10" ht="16">
      <c r="A1198" s="79" t="s">
        <v>1035</v>
      </c>
      <c r="B1198" s="79" t="s">
        <v>1007</v>
      </c>
      <c r="C1198" s="80" t="s">
        <v>126</v>
      </c>
      <c r="D1198" s="81" t="s">
        <v>77</v>
      </c>
      <c r="E1198" s="82">
        <v>12730</v>
      </c>
      <c r="F1198" s="82">
        <v>1107</v>
      </c>
      <c r="G1198" s="82">
        <v>382</v>
      </c>
      <c r="H1198" s="83">
        <v>24.266118896461254</v>
      </c>
      <c r="I1198" s="83">
        <v>14475.053187920057</v>
      </c>
      <c r="J1198" s="83">
        <v>20.609822408348794</v>
      </c>
    </row>
    <row r="1199" spans="1:10" ht="16">
      <c r="A1199" s="79" t="s">
        <v>655</v>
      </c>
      <c r="B1199" s="79" t="s">
        <v>617</v>
      </c>
      <c r="C1199" s="80" t="s">
        <v>95</v>
      </c>
      <c r="D1199" s="81" t="s">
        <v>78</v>
      </c>
      <c r="E1199" s="82">
        <v>14278</v>
      </c>
      <c r="F1199" s="82">
        <v>361</v>
      </c>
      <c r="G1199" s="82">
        <v>857</v>
      </c>
      <c r="H1199" s="83">
        <v>14.930310401414099</v>
      </c>
      <c r="I1199" s="83">
        <v>12950.52380025974</v>
      </c>
      <c r="J1199" s="83">
        <v>17.791924301788093</v>
      </c>
    </row>
    <row r="1200" spans="1:10" ht="16">
      <c r="A1200" s="79" t="s">
        <v>1461</v>
      </c>
      <c r="B1200" s="79" t="s">
        <v>1307</v>
      </c>
      <c r="C1200" s="80" t="s">
        <v>126</v>
      </c>
      <c r="D1200" s="81" t="s">
        <v>79</v>
      </c>
      <c r="E1200" s="82">
        <v>30365</v>
      </c>
      <c r="F1200" s="82">
        <v>2138</v>
      </c>
      <c r="G1200" s="82">
        <v>2429</v>
      </c>
      <c r="H1200" s="83">
        <v>35.186342026725896</v>
      </c>
      <c r="I1200" s="83">
        <v>30057.077402585495</v>
      </c>
      <c r="J1200" s="83">
        <v>39.543501073509134</v>
      </c>
    </row>
    <row r="1201" spans="1:10" ht="16">
      <c r="A1201" s="79" t="s">
        <v>1072</v>
      </c>
      <c r="B1201" s="79" t="s">
        <v>1039</v>
      </c>
      <c r="C1201" s="80" t="s">
        <v>95</v>
      </c>
      <c r="D1201" s="81" t="s">
        <v>77</v>
      </c>
      <c r="E1201" s="82">
        <v>50311</v>
      </c>
      <c r="F1201" s="82">
        <v>3377</v>
      </c>
      <c r="G1201" s="82">
        <v>6037</v>
      </c>
      <c r="H1201" s="83">
        <v>21.563719544311461</v>
      </c>
      <c r="I1201" s="83">
        <v>14742.90636028772</v>
      </c>
      <c r="J1201" s="83">
        <v>25.07550729548484</v>
      </c>
    </row>
    <row r="1202" spans="1:10" ht="16">
      <c r="A1202" s="79" t="s">
        <v>1073</v>
      </c>
      <c r="B1202" s="79" t="s">
        <v>1039</v>
      </c>
      <c r="C1202" s="80" t="s">
        <v>95</v>
      </c>
      <c r="D1202" s="81" t="s">
        <v>99</v>
      </c>
      <c r="E1202" s="82">
        <v>23232</v>
      </c>
      <c r="F1202" s="82">
        <v>1889</v>
      </c>
      <c r="G1202" s="82">
        <v>1394</v>
      </c>
      <c r="H1202" s="83">
        <v>12.786797544911645</v>
      </c>
      <c r="I1202" s="83">
        <v>2737.0968166211842</v>
      </c>
      <c r="J1202" s="83">
        <v>22.056752942758905</v>
      </c>
    </row>
    <row r="1203" spans="1:10" ht="16">
      <c r="A1203" s="79" t="s">
        <v>890</v>
      </c>
      <c r="B1203" s="79" t="s">
        <v>877</v>
      </c>
      <c r="C1203" s="80" t="s">
        <v>126</v>
      </c>
      <c r="D1203" s="81" t="s">
        <v>111</v>
      </c>
      <c r="E1203" s="82">
        <v>5794</v>
      </c>
      <c r="F1203" s="82">
        <v>203</v>
      </c>
      <c r="G1203" s="82">
        <v>58</v>
      </c>
      <c r="H1203" s="83">
        <v>11.013901363475192</v>
      </c>
      <c r="I1203" s="83">
        <v>883.86168358590305</v>
      </c>
      <c r="J1203" s="83">
        <v>15.452263602618752</v>
      </c>
    </row>
    <row r="1204" spans="1:10" ht="16">
      <c r="A1204" s="79" t="s">
        <v>225</v>
      </c>
      <c r="B1204" s="79" t="s">
        <v>203</v>
      </c>
      <c r="C1204" s="80" t="s">
        <v>95</v>
      </c>
      <c r="D1204" s="81" t="s">
        <v>79</v>
      </c>
      <c r="E1204" s="82">
        <v>21169</v>
      </c>
      <c r="F1204" s="82">
        <v>824</v>
      </c>
      <c r="G1204" s="82">
        <v>4234</v>
      </c>
      <c r="H1204" s="83">
        <v>16.040187750000353</v>
      </c>
      <c r="I1204" s="83">
        <v>11215.81908519581</v>
      </c>
      <c r="J1204" s="83">
        <v>23.848593852469286</v>
      </c>
    </row>
    <row r="1205" spans="1:10" ht="16">
      <c r="A1205" s="79" t="s">
        <v>156</v>
      </c>
      <c r="B1205" s="79" t="s">
        <v>146</v>
      </c>
      <c r="C1205" s="80" t="s">
        <v>95</v>
      </c>
      <c r="D1205" s="81" t="s">
        <v>96</v>
      </c>
      <c r="E1205" s="82">
        <v>33547</v>
      </c>
      <c r="F1205" s="82">
        <v>835</v>
      </c>
      <c r="G1205" s="82">
        <v>9058</v>
      </c>
      <c r="H1205" s="83">
        <v>55.719703985720116</v>
      </c>
      <c r="I1205" s="83">
        <v>35727.912720460787</v>
      </c>
      <c r="J1205" s="83">
        <v>48.567018846133088</v>
      </c>
    </row>
    <row r="1206" spans="1:10" ht="16">
      <c r="A1206" s="79" t="s">
        <v>1074</v>
      </c>
      <c r="B1206" s="79" t="s">
        <v>1039</v>
      </c>
      <c r="C1206" s="80" t="s">
        <v>126</v>
      </c>
      <c r="D1206" s="81" t="s">
        <v>96</v>
      </c>
      <c r="E1206" s="82">
        <v>18652</v>
      </c>
      <c r="F1206" s="82">
        <v>1137</v>
      </c>
      <c r="G1206" s="82">
        <v>933</v>
      </c>
      <c r="H1206" s="83">
        <v>15.419468793241073</v>
      </c>
      <c r="I1206" s="83">
        <v>5783.6265629666686</v>
      </c>
      <c r="J1206" s="83">
        <v>18.199798732422991</v>
      </c>
    </row>
    <row r="1207" spans="1:10" ht="16">
      <c r="A1207" s="79" t="s">
        <v>1462</v>
      </c>
      <c r="B1207" s="79" t="s">
        <v>1307</v>
      </c>
      <c r="C1207" s="80" t="s">
        <v>95</v>
      </c>
      <c r="D1207" s="81" t="s">
        <v>149</v>
      </c>
      <c r="E1207" s="82">
        <v>23116</v>
      </c>
      <c r="F1207" s="82">
        <v>2688</v>
      </c>
      <c r="G1207" s="82">
        <v>2774</v>
      </c>
      <c r="H1207" s="83">
        <v>44.087631770234914</v>
      </c>
      <c r="I1207" s="83">
        <v>39788.107906871533</v>
      </c>
      <c r="J1207" s="83">
        <v>54.502792564415962</v>
      </c>
    </row>
    <row r="1208" spans="1:10" ht="16">
      <c r="A1208" s="79" t="s">
        <v>859</v>
      </c>
      <c r="B1208" s="79" t="s">
        <v>853</v>
      </c>
      <c r="C1208" s="80" t="s">
        <v>95</v>
      </c>
      <c r="D1208" s="81" t="s">
        <v>149</v>
      </c>
      <c r="E1208" s="82">
        <v>9892</v>
      </c>
      <c r="F1208" s="82">
        <v>547</v>
      </c>
      <c r="G1208" s="82">
        <v>1879</v>
      </c>
      <c r="H1208" s="83">
        <v>27.270627216226828</v>
      </c>
      <c r="I1208" s="83">
        <v>12880.807474418893</v>
      </c>
      <c r="J1208" s="83">
        <v>21.293292842643915</v>
      </c>
    </row>
    <row r="1209" spans="1:10" ht="16">
      <c r="A1209" s="79" t="s">
        <v>908</v>
      </c>
      <c r="B1209" s="79" t="s">
        <v>898</v>
      </c>
      <c r="C1209" s="80" t="s">
        <v>95</v>
      </c>
      <c r="D1209" s="81" t="s">
        <v>103</v>
      </c>
      <c r="E1209" s="82">
        <v>50484</v>
      </c>
      <c r="F1209" s="82">
        <v>3606</v>
      </c>
      <c r="G1209" s="82">
        <v>5048</v>
      </c>
      <c r="H1209" s="83">
        <v>22.007991994525408</v>
      </c>
      <c r="I1209" s="83">
        <v>8918.5609073722608</v>
      </c>
      <c r="J1209" s="83">
        <v>26.636478240284273</v>
      </c>
    </row>
    <row r="1210" spans="1:10" ht="16">
      <c r="A1210" s="79" t="s">
        <v>1302</v>
      </c>
      <c r="B1210" s="79" t="s">
        <v>1209</v>
      </c>
      <c r="C1210" s="80" t="s">
        <v>126</v>
      </c>
      <c r="D1210" s="81" t="s">
        <v>101</v>
      </c>
      <c r="E1210" s="82">
        <v>20599</v>
      </c>
      <c r="F1210" s="82">
        <v>1561</v>
      </c>
      <c r="G1210" s="82">
        <v>8446</v>
      </c>
      <c r="H1210" s="83">
        <v>52.784375828443913</v>
      </c>
      <c r="I1210" s="83">
        <v>46877.102368741886</v>
      </c>
      <c r="J1210" s="83">
        <v>47.281603444033649</v>
      </c>
    </row>
    <row r="1211" spans="1:10" ht="16">
      <c r="A1211" s="79" t="s">
        <v>1463</v>
      </c>
      <c r="B1211" s="79" t="s">
        <v>1307</v>
      </c>
      <c r="C1211" s="80" t="s">
        <v>95</v>
      </c>
      <c r="D1211" s="81" t="s">
        <v>77</v>
      </c>
      <c r="E1211" s="82">
        <v>45692</v>
      </c>
      <c r="F1211" s="82">
        <v>4116</v>
      </c>
      <c r="G1211" s="82">
        <v>7311</v>
      </c>
      <c r="H1211" s="83">
        <v>82.940926863414461</v>
      </c>
      <c r="I1211" s="83">
        <v>81094.499030554405</v>
      </c>
      <c r="J1211" s="83">
        <v>72.527080792851436</v>
      </c>
    </row>
    <row r="1212" spans="1:10" ht="16">
      <c r="A1212" s="79" t="s">
        <v>226</v>
      </c>
      <c r="B1212" s="79" t="s">
        <v>203</v>
      </c>
      <c r="C1212" s="80" t="s">
        <v>126</v>
      </c>
      <c r="D1212" s="81" t="s">
        <v>101</v>
      </c>
      <c r="E1212" s="82">
        <v>33519</v>
      </c>
      <c r="F1212" s="82">
        <v>1420</v>
      </c>
      <c r="G1212" s="82">
        <v>6704</v>
      </c>
      <c r="H1212" s="83">
        <v>42.372045453186026</v>
      </c>
      <c r="I1212" s="83">
        <v>27935.848362169407</v>
      </c>
      <c r="J1212" s="83">
        <v>35.013915843791324</v>
      </c>
    </row>
    <row r="1213" spans="1:10" ht="16">
      <c r="A1213" s="79" t="s">
        <v>352</v>
      </c>
      <c r="B1213" s="79" t="s">
        <v>341</v>
      </c>
      <c r="C1213" s="80" t="s">
        <v>95</v>
      </c>
      <c r="D1213" s="81" t="s">
        <v>77</v>
      </c>
      <c r="E1213" s="82">
        <v>10540</v>
      </c>
      <c r="F1213" s="82">
        <v>693</v>
      </c>
      <c r="G1213" s="82">
        <v>527</v>
      </c>
      <c r="H1213" s="83">
        <v>16.219086190108676</v>
      </c>
      <c r="I1213" s="83">
        <v>2633.5303714855245</v>
      </c>
      <c r="J1213" s="83">
        <v>18.572947538468707</v>
      </c>
    </row>
    <row r="1214" spans="1:10" ht="16">
      <c r="A1214" s="79" t="s">
        <v>140</v>
      </c>
      <c r="B1214" s="79" t="s">
        <v>108</v>
      </c>
      <c r="C1214" s="80" t="s">
        <v>126</v>
      </c>
      <c r="D1214" s="81" t="s">
        <v>76</v>
      </c>
      <c r="E1214" s="82">
        <v>18400</v>
      </c>
      <c r="F1214" s="82">
        <v>793</v>
      </c>
      <c r="G1214" s="82">
        <v>5336</v>
      </c>
      <c r="H1214" s="83">
        <v>44.036418610507731</v>
      </c>
      <c r="I1214" s="83">
        <v>40025.60589560926</v>
      </c>
      <c r="J1214" s="83">
        <v>32.687845683950378</v>
      </c>
    </row>
    <row r="1215" spans="1:10" ht="16">
      <c r="A1215" s="79" t="s">
        <v>1303</v>
      </c>
      <c r="B1215" s="79" t="s">
        <v>1209</v>
      </c>
      <c r="C1215" s="80" t="s">
        <v>95</v>
      </c>
      <c r="D1215" s="81" t="s">
        <v>75</v>
      </c>
      <c r="E1215" s="82">
        <v>16401</v>
      </c>
      <c r="F1215" s="82">
        <v>943</v>
      </c>
      <c r="G1215" s="82">
        <v>7544</v>
      </c>
      <c r="H1215" s="83">
        <v>17.076420945448834</v>
      </c>
      <c r="I1215" s="83">
        <v>5972.893274274029</v>
      </c>
      <c r="J1215" s="83">
        <v>19.146030206140811</v>
      </c>
    </row>
    <row r="1216" spans="1:10" ht="16">
      <c r="A1216" s="79" t="s">
        <v>227</v>
      </c>
      <c r="B1216" s="79" t="s">
        <v>203</v>
      </c>
      <c r="C1216" s="80" t="s">
        <v>95</v>
      </c>
      <c r="D1216" s="81" t="s">
        <v>99</v>
      </c>
      <c r="E1216" s="82">
        <v>13140</v>
      </c>
      <c r="F1216" s="82">
        <v>453</v>
      </c>
      <c r="G1216" s="82">
        <v>3022</v>
      </c>
      <c r="H1216" s="83">
        <v>26.883103594544401</v>
      </c>
      <c r="I1216" s="83">
        <v>8936.0251725679263</v>
      </c>
      <c r="J1216" s="83">
        <v>34.486619256580958</v>
      </c>
    </row>
    <row r="1217" spans="1:10" ht="16">
      <c r="A1217" s="79" t="s">
        <v>1464</v>
      </c>
      <c r="B1217" s="79" t="s">
        <v>1307</v>
      </c>
      <c r="C1217" s="80" t="s">
        <v>126</v>
      </c>
      <c r="D1217" s="81" t="s">
        <v>111</v>
      </c>
      <c r="E1217" s="82">
        <v>39154</v>
      </c>
      <c r="F1217" s="82">
        <v>3915</v>
      </c>
      <c r="G1217" s="82">
        <v>5090</v>
      </c>
      <c r="H1217" s="83">
        <v>70.821381510164528</v>
      </c>
      <c r="I1217" s="83">
        <v>59991.637989023242</v>
      </c>
      <c r="J1217" s="83">
        <v>69.492929858071051</v>
      </c>
    </row>
    <row r="1218" spans="1:10" ht="16">
      <c r="A1218" s="79" t="s">
        <v>1465</v>
      </c>
      <c r="B1218" s="79" t="s">
        <v>1307</v>
      </c>
      <c r="C1218" s="80" t="s">
        <v>95</v>
      </c>
      <c r="D1218" s="81" t="s">
        <v>96</v>
      </c>
      <c r="E1218" s="82">
        <v>20874</v>
      </c>
      <c r="F1218" s="82">
        <v>1082</v>
      </c>
      <c r="G1218" s="82">
        <v>1252</v>
      </c>
      <c r="H1218" s="83">
        <v>23.533198060812797</v>
      </c>
      <c r="I1218" s="83">
        <v>15251.133474120688</v>
      </c>
      <c r="J1218" s="83">
        <v>21.853106906160306</v>
      </c>
    </row>
    <row r="1219" spans="1:10" ht="16">
      <c r="A1219" s="79" t="s">
        <v>141</v>
      </c>
      <c r="B1219" s="79" t="s">
        <v>108</v>
      </c>
      <c r="C1219" s="80" t="s">
        <v>95</v>
      </c>
      <c r="D1219" s="81" t="s">
        <v>79</v>
      </c>
      <c r="E1219" s="82">
        <v>18642</v>
      </c>
      <c r="F1219" s="82">
        <v>592</v>
      </c>
      <c r="G1219" s="82">
        <v>5406</v>
      </c>
      <c r="H1219" s="83">
        <v>35.525717488363831</v>
      </c>
      <c r="I1219" s="83">
        <v>26490.466808613961</v>
      </c>
      <c r="J1219" s="83">
        <v>30.051451309151233</v>
      </c>
    </row>
    <row r="1220" spans="1:10" ht="16">
      <c r="A1220" s="79" t="s">
        <v>1304</v>
      </c>
      <c r="B1220" s="79" t="s">
        <v>1209</v>
      </c>
      <c r="C1220" s="80" t="s">
        <v>95</v>
      </c>
      <c r="D1220" s="81" t="s">
        <v>149</v>
      </c>
      <c r="E1220" s="82">
        <v>15687</v>
      </c>
      <c r="F1220" s="82">
        <v>769</v>
      </c>
      <c r="G1220" s="82">
        <v>3294</v>
      </c>
      <c r="H1220" s="83">
        <v>13.311706387408233</v>
      </c>
      <c r="I1220" s="83">
        <v>4658.7586076489797</v>
      </c>
      <c r="J1220" s="83">
        <v>15.868564678636</v>
      </c>
    </row>
    <row r="1221" spans="1:10" ht="16">
      <c r="A1221" s="79" t="s">
        <v>463</v>
      </c>
      <c r="B1221" s="79" t="s">
        <v>421</v>
      </c>
      <c r="C1221" s="80" t="s">
        <v>95</v>
      </c>
      <c r="D1221" s="81" t="s">
        <v>77</v>
      </c>
      <c r="E1221" s="82">
        <v>23343</v>
      </c>
      <c r="F1221" s="82">
        <v>418</v>
      </c>
      <c r="G1221" s="82">
        <v>2568</v>
      </c>
      <c r="H1221" s="83">
        <v>17.901391928333929</v>
      </c>
      <c r="I1221" s="83">
        <v>10796.220520571851</v>
      </c>
      <c r="J1221" s="83">
        <v>25.668543215576033</v>
      </c>
    </row>
    <row r="1222" spans="1:10" ht="16">
      <c r="A1222" s="79" t="s">
        <v>764</v>
      </c>
      <c r="B1222" s="79" t="s">
        <v>661</v>
      </c>
      <c r="C1222" s="80" t="s">
        <v>126</v>
      </c>
      <c r="D1222" s="81" t="s">
        <v>76</v>
      </c>
      <c r="E1222" s="82">
        <v>4659</v>
      </c>
      <c r="F1222" s="82">
        <v>740</v>
      </c>
      <c r="G1222" s="82">
        <v>186</v>
      </c>
      <c r="H1222" s="83">
        <v>11.450653838563008</v>
      </c>
      <c r="I1222" s="83">
        <v>2758.8058917450903</v>
      </c>
      <c r="J1222" s="83">
        <v>24.408119167278727</v>
      </c>
    </row>
    <row r="1223" spans="1:10" ht="16">
      <c r="A1223" s="79" t="s">
        <v>1305</v>
      </c>
      <c r="B1223" s="79" t="s">
        <v>1209</v>
      </c>
      <c r="C1223" s="80" t="s">
        <v>95</v>
      </c>
      <c r="D1223" s="81" t="s">
        <v>79</v>
      </c>
      <c r="E1223" s="82">
        <v>16058</v>
      </c>
      <c r="F1223" s="82">
        <v>1078</v>
      </c>
      <c r="G1223" s="82">
        <v>3854</v>
      </c>
      <c r="H1223" s="83">
        <v>47.166467471534517</v>
      </c>
      <c r="I1223" s="83">
        <v>39665.084364819551</v>
      </c>
      <c r="J1223" s="83">
        <v>41.245597936573539</v>
      </c>
    </row>
    <row r="1224" spans="1:10" ht="16">
      <c r="A1224" s="79" t="s">
        <v>334</v>
      </c>
      <c r="B1224" s="79" t="s">
        <v>333</v>
      </c>
      <c r="C1224" s="80" t="s">
        <v>95</v>
      </c>
      <c r="D1224" s="81" t="s">
        <v>79</v>
      </c>
      <c r="E1224" s="82">
        <v>68216</v>
      </c>
      <c r="F1224" s="82">
        <v>3609</v>
      </c>
      <c r="G1224" s="82">
        <v>2046</v>
      </c>
      <c r="H1224" s="83">
        <v>13.112883403593706</v>
      </c>
      <c r="I1224" s="83">
        <v>3277.6655066943522</v>
      </c>
      <c r="J1224" s="83">
        <v>18.789915728181175</v>
      </c>
    </row>
    <row r="1225" spans="1:10" ht="16">
      <c r="A1225" s="79" t="s">
        <v>592</v>
      </c>
      <c r="B1225" s="79" t="s">
        <v>556</v>
      </c>
      <c r="C1225" s="80" t="s">
        <v>95</v>
      </c>
      <c r="D1225" s="81" t="s">
        <v>77</v>
      </c>
      <c r="E1225" s="82">
        <v>9980</v>
      </c>
      <c r="F1225" s="82">
        <v>398</v>
      </c>
      <c r="G1225" s="82">
        <v>459</v>
      </c>
      <c r="H1225" s="83">
        <v>12.516513027764006</v>
      </c>
      <c r="I1225" s="83">
        <v>3515.0728936483188</v>
      </c>
      <c r="J1225" s="83">
        <v>17.58394796498682</v>
      </c>
    </row>
    <row r="1226" spans="1:10" ht="16">
      <c r="A1226" s="79" t="s">
        <v>1075</v>
      </c>
      <c r="B1226" s="79" t="s">
        <v>1039</v>
      </c>
      <c r="C1226" s="80" t="s">
        <v>95</v>
      </c>
      <c r="D1226" s="81" t="s">
        <v>75</v>
      </c>
      <c r="E1226" s="82">
        <v>28211</v>
      </c>
      <c r="F1226" s="82">
        <v>2739</v>
      </c>
      <c r="G1226" s="82">
        <v>1693</v>
      </c>
      <c r="H1226" s="83">
        <v>13.449380211417274</v>
      </c>
      <c r="I1226" s="83">
        <v>5911.8874863774927</v>
      </c>
      <c r="J1226" s="83">
        <v>22.755285892968665</v>
      </c>
    </row>
    <row r="1227" spans="1:10" ht="16">
      <c r="A1227" s="79" t="s">
        <v>1098</v>
      </c>
      <c r="B1227" s="79" t="s">
        <v>1091</v>
      </c>
      <c r="C1227" s="80" t="s">
        <v>95</v>
      </c>
      <c r="D1227" s="81" t="s">
        <v>75</v>
      </c>
      <c r="E1227" s="82">
        <v>22609</v>
      </c>
      <c r="F1227" s="82">
        <v>1838</v>
      </c>
      <c r="G1227" s="82">
        <v>4748</v>
      </c>
      <c r="H1227" s="83">
        <v>47.123286732497967</v>
      </c>
      <c r="I1227" s="83">
        <v>41266.457939402171</v>
      </c>
      <c r="J1227" s="83">
        <v>47.968536400910239</v>
      </c>
    </row>
    <row r="1228" spans="1:10" ht="16">
      <c r="A1228" s="79" t="s">
        <v>1076</v>
      </c>
      <c r="B1228" s="79" t="s">
        <v>1039</v>
      </c>
      <c r="C1228" s="80" t="s">
        <v>95</v>
      </c>
      <c r="D1228" s="81" t="s">
        <v>77</v>
      </c>
      <c r="E1228" s="82">
        <v>42079</v>
      </c>
      <c r="F1228" s="82">
        <v>1670</v>
      </c>
      <c r="G1228" s="82">
        <v>4629</v>
      </c>
      <c r="H1228" s="83">
        <v>10.94395685032325</v>
      </c>
      <c r="I1228" s="83">
        <v>4419.4962938106073</v>
      </c>
      <c r="J1228" s="83">
        <v>19.210408856240292</v>
      </c>
    </row>
    <row r="1229" spans="1:10" ht="16">
      <c r="A1229" s="79" t="s">
        <v>142</v>
      </c>
      <c r="B1229" s="79" t="s">
        <v>108</v>
      </c>
      <c r="C1229" s="80" t="s">
        <v>126</v>
      </c>
      <c r="D1229" s="81" t="s">
        <v>99</v>
      </c>
      <c r="E1229" s="82">
        <v>44336</v>
      </c>
      <c r="F1229" s="82">
        <v>1242</v>
      </c>
      <c r="G1229" s="82">
        <v>18178</v>
      </c>
      <c r="H1229" s="83">
        <v>58.562976675945187</v>
      </c>
      <c r="I1229" s="83">
        <v>48253.065968931427</v>
      </c>
      <c r="J1229" s="83">
        <v>50.327187854617954</v>
      </c>
    </row>
    <row r="1230" spans="1:10" ht="16">
      <c r="A1230" s="79" t="s">
        <v>1089</v>
      </c>
      <c r="B1230" s="79" t="s">
        <v>1081</v>
      </c>
      <c r="C1230" s="80" t="s">
        <v>95</v>
      </c>
      <c r="D1230" s="81" t="s">
        <v>111</v>
      </c>
      <c r="E1230" s="82">
        <v>25438</v>
      </c>
      <c r="F1230" s="82">
        <v>1523</v>
      </c>
      <c r="G1230" s="82">
        <v>3816</v>
      </c>
      <c r="H1230" s="83">
        <v>57.2281725506299</v>
      </c>
      <c r="I1230" s="83">
        <v>47945.763660796212</v>
      </c>
      <c r="J1230" s="83">
        <v>41.772343322097129</v>
      </c>
    </row>
    <row r="1231" spans="1:10" ht="16">
      <c r="A1231" s="79" t="s">
        <v>974</v>
      </c>
      <c r="B1231" s="79" t="s">
        <v>938</v>
      </c>
      <c r="C1231" s="80" t="s">
        <v>126</v>
      </c>
      <c r="D1231" s="81" t="s">
        <v>101</v>
      </c>
      <c r="E1231" s="82">
        <v>25000</v>
      </c>
      <c r="F1231" s="82">
        <v>2155</v>
      </c>
      <c r="G1231" s="82">
        <v>2750</v>
      </c>
      <c r="H1231" s="83">
        <v>17.048621416539131</v>
      </c>
      <c r="I1231" s="83">
        <v>2129.6148280894736</v>
      </c>
      <c r="J1231" s="83">
        <v>23.859810943227199</v>
      </c>
    </row>
    <row r="1232" spans="1:10" ht="16">
      <c r="A1232" s="79" t="s">
        <v>593</v>
      </c>
      <c r="B1232" s="79" t="s">
        <v>556</v>
      </c>
      <c r="C1232" s="80" t="s">
        <v>126</v>
      </c>
      <c r="D1232" s="81" t="s">
        <v>78</v>
      </c>
      <c r="E1232" s="82">
        <v>13500</v>
      </c>
      <c r="F1232" s="82">
        <v>472</v>
      </c>
      <c r="G1232" s="82">
        <v>620</v>
      </c>
      <c r="H1232" s="83">
        <v>13.400164288455871</v>
      </c>
      <c r="I1232" s="83">
        <v>2365.0123296417923</v>
      </c>
      <c r="J1232" s="83">
        <v>20.598426499445292</v>
      </c>
    </row>
    <row r="1233" spans="1:10" ht="16">
      <c r="A1233" s="79" t="s">
        <v>849</v>
      </c>
      <c r="B1233" s="79" t="s">
        <v>839</v>
      </c>
      <c r="C1233" s="80" t="s">
        <v>95</v>
      </c>
      <c r="D1233" s="81" t="s">
        <v>96</v>
      </c>
      <c r="E1233" s="82">
        <v>31833</v>
      </c>
      <c r="F1233" s="82">
        <v>2242</v>
      </c>
      <c r="G1233" s="82">
        <v>2865</v>
      </c>
      <c r="H1233" s="83">
        <v>61.762811568446338</v>
      </c>
      <c r="I1233" s="83">
        <v>54154.24652317811</v>
      </c>
      <c r="J1233" s="83">
        <v>44.162779243300697</v>
      </c>
    </row>
    <row r="1234" spans="1:10" ht="16">
      <c r="A1234" s="79" t="s">
        <v>765</v>
      </c>
      <c r="B1234" s="79" t="s">
        <v>661</v>
      </c>
      <c r="C1234" s="80" t="s">
        <v>126</v>
      </c>
      <c r="D1234" s="81" t="s">
        <v>96</v>
      </c>
      <c r="E1234" s="82">
        <v>4872</v>
      </c>
      <c r="F1234" s="82">
        <v>364</v>
      </c>
      <c r="G1234" s="82">
        <v>195</v>
      </c>
      <c r="H1234" s="83">
        <v>11.017453134038654</v>
      </c>
      <c r="I1234" s="83">
        <v>620.72823824632792</v>
      </c>
      <c r="J1234" s="83">
        <v>18.660339850379547</v>
      </c>
    </row>
    <row r="1235" spans="1:10" ht="16">
      <c r="A1235" s="79" t="s">
        <v>1202</v>
      </c>
      <c r="B1235" s="79" t="s">
        <v>1197</v>
      </c>
      <c r="C1235" s="80" t="s">
        <v>126</v>
      </c>
      <c r="D1235" s="81" t="s">
        <v>99</v>
      </c>
      <c r="E1235" s="82">
        <v>17109</v>
      </c>
      <c r="F1235" s="82">
        <v>1880</v>
      </c>
      <c r="G1235" s="82">
        <v>4277</v>
      </c>
      <c r="H1235" s="83">
        <v>9.7172635954443312</v>
      </c>
      <c r="I1235" s="83">
        <v>840.07717116716299</v>
      </c>
      <c r="J1235" s="83">
        <v>21.015013555373525</v>
      </c>
    </row>
    <row r="1236" spans="1:10" ht="16">
      <c r="A1236" s="79" t="s">
        <v>1466</v>
      </c>
      <c r="B1236" s="79" t="s">
        <v>1307</v>
      </c>
      <c r="C1236" s="80" t="s">
        <v>95</v>
      </c>
      <c r="D1236" s="81" t="s">
        <v>77</v>
      </c>
      <c r="E1236" s="82">
        <v>12006</v>
      </c>
      <c r="F1236" s="82">
        <v>4002</v>
      </c>
      <c r="G1236" s="82">
        <v>1681</v>
      </c>
      <c r="H1236" s="83">
        <v>42.633752603495964</v>
      </c>
      <c r="I1236" s="83">
        <v>40251.934841331858</v>
      </c>
      <c r="J1236" s="83">
        <v>48.750915977687519</v>
      </c>
    </row>
    <row r="1237" spans="1:10" ht="16">
      <c r="A1237" s="79" t="s">
        <v>656</v>
      </c>
      <c r="B1237" s="79" t="s">
        <v>617</v>
      </c>
      <c r="C1237" s="80" t="s">
        <v>95</v>
      </c>
      <c r="D1237" s="81" t="s">
        <v>75</v>
      </c>
      <c r="E1237" s="82">
        <v>19873</v>
      </c>
      <c r="F1237" s="82">
        <v>723</v>
      </c>
      <c r="G1237" s="82">
        <v>994</v>
      </c>
      <c r="H1237" s="83">
        <v>20.622168122627439</v>
      </c>
      <c r="I1237" s="83">
        <v>12975.475369899106</v>
      </c>
      <c r="J1237" s="83">
        <v>31.588618536734668</v>
      </c>
    </row>
    <row r="1238" spans="1:10" ht="16">
      <c r="A1238" s="79" t="s">
        <v>143</v>
      </c>
      <c r="B1238" s="79" t="s">
        <v>108</v>
      </c>
      <c r="C1238" s="80" t="s">
        <v>95</v>
      </c>
      <c r="D1238" s="81" t="s">
        <v>75</v>
      </c>
      <c r="E1238" s="82">
        <v>14815</v>
      </c>
      <c r="F1238" s="82">
        <v>460</v>
      </c>
      <c r="G1238" s="82">
        <v>3407</v>
      </c>
      <c r="H1238" s="83">
        <v>26.561006770265195</v>
      </c>
      <c r="I1238" s="83">
        <v>19611.369348175915</v>
      </c>
      <c r="J1238" s="83">
        <v>24.877636978751045</v>
      </c>
    </row>
    <row r="1239" spans="1:10" ht="16">
      <c r="A1239" s="79" t="s">
        <v>860</v>
      </c>
      <c r="B1239" s="79" t="s">
        <v>853</v>
      </c>
      <c r="C1239" s="80" t="s">
        <v>95</v>
      </c>
      <c r="D1239" s="81" t="s">
        <v>99</v>
      </c>
      <c r="E1239" s="82">
        <v>17442</v>
      </c>
      <c r="F1239" s="82">
        <v>923</v>
      </c>
      <c r="G1239" s="82">
        <v>3663</v>
      </c>
      <c r="H1239" s="83">
        <v>32.583411678106657</v>
      </c>
      <c r="I1239" s="83">
        <v>14506.656161882003</v>
      </c>
      <c r="J1239" s="83">
        <v>23.689614436469501</v>
      </c>
    </row>
    <row r="1240" spans="1:10" ht="16">
      <c r="A1240" s="79" t="s">
        <v>157</v>
      </c>
      <c r="B1240" s="79" t="s">
        <v>146</v>
      </c>
      <c r="C1240" s="80" t="s">
        <v>126</v>
      </c>
      <c r="D1240" s="81" t="s">
        <v>75</v>
      </c>
      <c r="E1240" s="82">
        <v>10464</v>
      </c>
      <c r="F1240" s="82">
        <v>526</v>
      </c>
      <c r="G1240" s="82">
        <v>3035</v>
      </c>
      <c r="H1240" s="83">
        <v>36.831960590615019</v>
      </c>
      <c r="I1240" s="83">
        <v>16788.104117186576</v>
      </c>
      <c r="J1240" s="83">
        <v>39.237484893202968</v>
      </c>
    </row>
    <row r="1241" spans="1:10" ht="16">
      <c r="A1241" s="79" t="s">
        <v>1481</v>
      </c>
      <c r="B1241" s="79" t="s">
        <v>1480</v>
      </c>
      <c r="C1241" s="80" t="s">
        <v>95</v>
      </c>
      <c r="D1241" s="81" t="s">
        <v>103</v>
      </c>
      <c r="E1241" s="82">
        <v>63479</v>
      </c>
      <c r="F1241" s="82">
        <v>2925</v>
      </c>
      <c r="G1241" s="82">
        <v>635</v>
      </c>
      <c r="H1241" s="83">
        <v>8.874805216387097</v>
      </c>
      <c r="I1241" s="83">
        <v>1402.7043383305977</v>
      </c>
      <c r="J1241" s="83">
        <v>14.857003436652219</v>
      </c>
    </row>
    <row r="1242" spans="1:10" ht="16">
      <c r="A1242" s="79" t="s">
        <v>1482</v>
      </c>
      <c r="B1242" s="79" t="s">
        <v>1480</v>
      </c>
      <c r="C1242" s="80" t="s">
        <v>95</v>
      </c>
      <c r="D1242" s="81" t="s">
        <v>96</v>
      </c>
      <c r="E1242" s="82">
        <v>32944</v>
      </c>
      <c r="F1242" s="82">
        <v>2459</v>
      </c>
      <c r="G1242" s="82">
        <v>329</v>
      </c>
      <c r="H1242" s="83">
        <v>9.2575160053138408</v>
      </c>
      <c r="I1242" s="83">
        <v>3537.7295587330391</v>
      </c>
      <c r="J1242" s="83">
        <v>22.491492797601602</v>
      </c>
    </row>
    <row r="1243" spans="1:10" ht="16">
      <c r="A1243" s="79" t="s">
        <v>793</v>
      </c>
      <c r="B1243" s="79" t="s">
        <v>792</v>
      </c>
      <c r="C1243" s="80" t="s">
        <v>126</v>
      </c>
      <c r="D1243" s="81" t="s">
        <v>111</v>
      </c>
      <c r="E1243" s="82">
        <v>9551</v>
      </c>
      <c r="F1243" s="82">
        <v>677</v>
      </c>
      <c r="G1243" s="82">
        <v>955</v>
      </c>
      <c r="H1243" s="83">
        <v>13.227194509584962</v>
      </c>
      <c r="I1243" s="83">
        <v>3959.5278992130061</v>
      </c>
      <c r="J1243" s="83">
        <v>16.468425866992053</v>
      </c>
    </row>
    <row r="1244" spans="1:10" ht="16">
      <c r="A1244" s="79" t="s">
        <v>794</v>
      </c>
      <c r="B1244" s="79" t="s">
        <v>792</v>
      </c>
      <c r="C1244" s="80" t="s">
        <v>95</v>
      </c>
      <c r="D1244" s="81" t="s">
        <v>76</v>
      </c>
      <c r="E1244" s="82">
        <v>16216</v>
      </c>
      <c r="F1244" s="82">
        <v>1501</v>
      </c>
      <c r="G1244" s="82">
        <v>1459</v>
      </c>
      <c r="H1244" s="83">
        <v>14.43790601754753</v>
      </c>
      <c r="I1244" s="83">
        <v>5308.303039819124</v>
      </c>
      <c r="J1244" s="83">
        <v>20.166572550590921</v>
      </c>
    </row>
    <row r="1245" spans="1:10" ht="16">
      <c r="A1245" s="79" t="s">
        <v>1467</v>
      </c>
      <c r="B1245" s="79" t="s">
        <v>1307</v>
      </c>
      <c r="C1245" s="80" t="s">
        <v>126</v>
      </c>
      <c r="D1245" s="81" t="s">
        <v>75</v>
      </c>
      <c r="E1245" s="82">
        <v>32838</v>
      </c>
      <c r="F1245" s="82">
        <v>1794</v>
      </c>
      <c r="G1245" s="82">
        <v>4597</v>
      </c>
      <c r="H1245" s="83">
        <v>42.407907101645357</v>
      </c>
      <c r="I1245" s="83">
        <v>30035.55195402087</v>
      </c>
      <c r="J1245" s="83">
        <v>38.421229321152367</v>
      </c>
    </row>
    <row r="1246" spans="1:10" ht="16">
      <c r="A1246" s="79" t="s">
        <v>547</v>
      </c>
      <c r="B1246" s="79" t="s">
        <v>493</v>
      </c>
      <c r="C1246" s="80" t="s">
        <v>126</v>
      </c>
      <c r="D1246" s="81" t="s">
        <v>75</v>
      </c>
      <c r="E1246" s="82">
        <v>33380</v>
      </c>
      <c r="F1246" s="82">
        <v>1677</v>
      </c>
      <c r="G1246" s="82">
        <v>334</v>
      </c>
      <c r="H1246" s="83">
        <v>12.768566406452717</v>
      </c>
      <c r="I1246" s="83">
        <v>5575.0492267128911</v>
      </c>
      <c r="J1246" s="83">
        <v>21.021939851461671</v>
      </c>
    </row>
    <row r="1247" spans="1:10" ht="16">
      <c r="A1247" s="79" t="s">
        <v>657</v>
      </c>
      <c r="B1247" s="79" t="s">
        <v>617</v>
      </c>
      <c r="C1247" s="80" t="s">
        <v>95</v>
      </c>
      <c r="D1247" s="81" t="s">
        <v>99</v>
      </c>
      <c r="E1247" s="82">
        <v>2610</v>
      </c>
      <c r="F1247" s="82">
        <v>244</v>
      </c>
      <c r="G1247" s="82">
        <v>78</v>
      </c>
      <c r="H1247" s="83">
        <v>23.071992402210853</v>
      </c>
      <c r="I1247" s="83">
        <v>21876.112946421697</v>
      </c>
      <c r="J1247" s="83">
        <v>38.973990245777053</v>
      </c>
    </row>
    <row r="1248" spans="1:10" ht="16">
      <c r="A1248" s="79" t="s">
        <v>975</v>
      </c>
      <c r="B1248" s="79" t="s">
        <v>938</v>
      </c>
      <c r="C1248" s="80" t="s">
        <v>126</v>
      </c>
      <c r="D1248" s="81" t="s">
        <v>96</v>
      </c>
      <c r="E1248" s="82">
        <v>14764</v>
      </c>
      <c r="F1248" s="82">
        <v>984</v>
      </c>
      <c r="G1248" s="82">
        <v>1033</v>
      </c>
      <c r="H1248" s="83">
        <v>9.532744613892854</v>
      </c>
      <c r="I1248" s="83">
        <v>2027.802015064753</v>
      </c>
      <c r="J1248" s="83">
        <v>16.097424913121987</v>
      </c>
    </row>
    <row r="1249" spans="1:10" ht="16">
      <c r="A1249" s="79" t="s">
        <v>976</v>
      </c>
      <c r="B1249" s="79" t="s">
        <v>938</v>
      </c>
      <c r="C1249" s="80" t="s">
        <v>95</v>
      </c>
      <c r="D1249" s="81" t="s">
        <v>96</v>
      </c>
      <c r="E1249" s="82">
        <v>15246</v>
      </c>
      <c r="F1249" s="82">
        <v>1386</v>
      </c>
      <c r="G1249" s="82">
        <v>1525</v>
      </c>
      <c r="H1249" s="83">
        <v>8.9361454809654681</v>
      </c>
      <c r="I1249" s="83">
        <v>368.80163445262707</v>
      </c>
      <c r="J1249" s="83">
        <v>21.791868648248006</v>
      </c>
    </row>
    <row r="1250" spans="1:10" ht="16">
      <c r="A1250" s="79" t="s">
        <v>850</v>
      </c>
      <c r="B1250" s="79" t="s">
        <v>839</v>
      </c>
      <c r="C1250" s="80" t="s">
        <v>95</v>
      </c>
      <c r="D1250" s="81" t="s">
        <v>79</v>
      </c>
      <c r="E1250" s="82">
        <v>23025</v>
      </c>
      <c r="F1250" s="82">
        <v>1395</v>
      </c>
      <c r="G1250" s="82">
        <v>2303</v>
      </c>
      <c r="H1250" s="83">
        <v>49.015448632788392</v>
      </c>
      <c r="I1250" s="83">
        <v>42521.589478997063</v>
      </c>
      <c r="J1250" s="83">
        <v>36.456816125575969</v>
      </c>
    </row>
    <row r="1251" spans="1:10" ht="16">
      <c r="A1251" s="79" t="s">
        <v>167</v>
      </c>
      <c r="B1251" s="79" t="s">
        <v>163</v>
      </c>
      <c r="C1251" s="80" t="s">
        <v>95</v>
      </c>
      <c r="D1251" s="81" t="s">
        <v>149</v>
      </c>
      <c r="E1251" s="82">
        <v>11371</v>
      </c>
      <c r="F1251" s="82">
        <v>400</v>
      </c>
      <c r="G1251" s="82">
        <v>2502</v>
      </c>
      <c r="H1251" s="83">
        <v>42.362787356261499</v>
      </c>
      <c r="I1251" s="83">
        <v>26544.174136312915</v>
      </c>
      <c r="J1251" s="83">
        <v>38.142506335234721</v>
      </c>
    </row>
    <row r="1252" spans="1:10" ht="16">
      <c r="A1252" s="79" t="s">
        <v>353</v>
      </c>
      <c r="B1252" s="79" t="s">
        <v>341</v>
      </c>
      <c r="C1252" s="80" t="s">
        <v>126</v>
      </c>
      <c r="D1252" s="81" t="s">
        <v>76</v>
      </c>
      <c r="E1252" s="82">
        <v>13381</v>
      </c>
      <c r="F1252" s="82">
        <v>910</v>
      </c>
      <c r="G1252" s="82">
        <v>1740</v>
      </c>
      <c r="H1252" s="83">
        <v>13.453351388476344</v>
      </c>
      <c r="I1252" s="83">
        <v>1334.767902563452</v>
      </c>
      <c r="J1252" s="83">
        <v>19.285804076490315</v>
      </c>
    </row>
    <row r="1253" spans="1:10" ht="16">
      <c r="A1253" s="79" t="s">
        <v>851</v>
      </c>
      <c r="B1253" s="79" t="s">
        <v>839</v>
      </c>
      <c r="C1253" s="80" t="s">
        <v>95</v>
      </c>
      <c r="D1253" s="81" t="s">
        <v>99</v>
      </c>
      <c r="E1253" s="82">
        <v>13914</v>
      </c>
      <c r="F1253" s="82">
        <v>653</v>
      </c>
      <c r="G1253" s="82">
        <v>3757</v>
      </c>
      <c r="H1253" s="83">
        <v>57.125244204470008</v>
      </c>
      <c r="I1253" s="83">
        <v>54885.806150720869</v>
      </c>
      <c r="J1253" s="83">
        <v>50.212274018257936</v>
      </c>
    </row>
    <row r="1254" spans="1:10" ht="16">
      <c r="A1254" s="79" t="s">
        <v>1468</v>
      </c>
      <c r="B1254" s="79" t="s">
        <v>1307</v>
      </c>
      <c r="C1254" s="80" t="s">
        <v>95</v>
      </c>
      <c r="D1254" s="81" t="s">
        <v>79</v>
      </c>
      <c r="E1254" s="82">
        <v>7675</v>
      </c>
      <c r="F1254" s="82">
        <v>1919</v>
      </c>
      <c r="G1254" s="82">
        <v>691</v>
      </c>
      <c r="H1254" s="83">
        <v>19.43948254775259</v>
      </c>
      <c r="I1254" s="83">
        <v>17702.391666898999</v>
      </c>
      <c r="J1254" s="83">
        <v>43.437383037460535</v>
      </c>
    </row>
    <row r="1255" spans="1:10" ht="16">
      <c r="A1255" s="79" t="s">
        <v>909</v>
      </c>
      <c r="B1255" s="79" t="s">
        <v>898</v>
      </c>
      <c r="C1255" s="80" t="s">
        <v>126</v>
      </c>
      <c r="D1255" s="81" t="s">
        <v>78</v>
      </c>
      <c r="E1255" s="82">
        <v>29709</v>
      </c>
      <c r="F1255" s="82">
        <v>2303</v>
      </c>
      <c r="G1255" s="82">
        <v>1783</v>
      </c>
      <c r="H1255" s="83">
        <v>11.876215211318648</v>
      </c>
      <c r="I1255" s="83">
        <v>3635.8056083492561</v>
      </c>
      <c r="J1255" s="83">
        <v>19.924389777182594</v>
      </c>
    </row>
    <row r="1256" spans="1:10" ht="16">
      <c r="A1256" s="79" t="s">
        <v>766</v>
      </c>
      <c r="B1256" s="79" t="s">
        <v>661</v>
      </c>
      <c r="C1256" s="80" t="s">
        <v>126</v>
      </c>
      <c r="D1256" s="81" t="s">
        <v>101</v>
      </c>
      <c r="E1256" s="82">
        <v>48839</v>
      </c>
      <c r="F1256" s="82">
        <v>3464</v>
      </c>
      <c r="G1256" s="82">
        <v>4884</v>
      </c>
      <c r="H1256" s="83">
        <v>23.766858114505734</v>
      </c>
      <c r="I1256" s="83">
        <v>6438.0061473332316</v>
      </c>
      <c r="J1256" s="83">
        <v>32.215654352038626</v>
      </c>
    </row>
    <row r="1257" spans="1:10" ht="16">
      <c r="A1257" s="79" t="s">
        <v>1469</v>
      </c>
      <c r="B1257" s="79" t="s">
        <v>1307</v>
      </c>
      <c r="C1257" s="80" t="s">
        <v>95</v>
      </c>
      <c r="D1257" s="81" t="s">
        <v>101</v>
      </c>
      <c r="E1257" s="82">
        <v>27957</v>
      </c>
      <c r="F1257" s="82">
        <v>1545</v>
      </c>
      <c r="G1257" s="82">
        <v>1957</v>
      </c>
      <c r="H1257" s="83">
        <v>29.09589811758331</v>
      </c>
      <c r="I1257" s="83">
        <v>20535.085025632226</v>
      </c>
      <c r="J1257" s="83">
        <v>31.041305168253771</v>
      </c>
    </row>
    <row r="1258" spans="1:10" ht="16">
      <c r="A1258" s="79" t="s">
        <v>1470</v>
      </c>
      <c r="B1258" s="79" t="s">
        <v>1307</v>
      </c>
      <c r="C1258" s="80" t="s">
        <v>126</v>
      </c>
      <c r="D1258" s="81" t="s">
        <v>75</v>
      </c>
      <c r="E1258" s="82">
        <v>13401</v>
      </c>
      <c r="F1258" s="82">
        <v>1787</v>
      </c>
      <c r="G1258" s="82">
        <v>2680</v>
      </c>
      <c r="H1258" s="83">
        <v>58.350660333721954</v>
      </c>
      <c r="I1258" s="83">
        <v>56865.28720448423</v>
      </c>
      <c r="J1258" s="83">
        <v>64.741642527789509</v>
      </c>
    </row>
    <row r="1259" spans="1:10" ht="16">
      <c r="A1259" s="79" t="s">
        <v>1471</v>
      </c>
      <c r="B1259" s="79" t="s">
        <v>1307</v>
      </c>
      <c r="C1259" s="80" t="s">
        <v>95</v>
      </c>
      <c r="D1259" s="81" t="s">
        <v>111</v>
      </c>
      <c r="E1259" s="82">
        <v>22295</v>
      </c>
      <c r="F1259" s="82">
        <v>1973</v>
      </c>
      <c r="G1259" s="82">
        <v>2007</v>
      </c>
      <c r="H1259" s="83">
        <v>18.868821211579345</v>
      </c>
      <c r="I1259" s="83">
        <v>15100.13315044039</v>
      </c>
      <c r="J1259" s="83">
        <v>33.323033303736572</v>
      </c>
    </row>
    <row r="1260" spans="1:10" ht="16">
      <c r="A1260" s="79" t="s">
        <v>312</v>
      </c>
      <c r="B1260" s="79" t="s">
        <v>242</v>
      </c>
      <c r="C1260" s="80" t="s">
        <v>95</v>
      </c>
      <c r="D1260" s="81" t="s">
        <v>101</v>
      </c>
      <c r="E1260" s="82">
        <v>15971</v>
      </c>
      <c r="F1260" s="82">
        <v>1365</v>
      </c>
      <c r="G1260" s="82">
        <v>799</v>
      </c>
      <c r="H1260" s="83">
        <v>13.603386710261908</v>
      </c>
      <c r="I1260" s="83">
        <v>3565.814273003984</v>
      </c>
      <c r="J1260" s="83">
        <v>16.934834975160513</v>
      </c>
    </row>
    <row r="1261" spans="1:10" ht="16">
      <c r="A1261" s="79" t="s">
        <v>936</v>
      </c>
      <c r="B1261" s="79" t="s">
        <v>928</v>
      </c>
      <c r="C1261" s="80" t="s">
        <v>95</v>
      </c>
      <c r="D1261" s="81" t="s">
        <v>76</v>
      </c>
      <c r="E1261" s="82">
        <v>13550</v>
      </c>
      <c r="F1261" s="82">
        <v>753</v>
      </c>
      <c r="G1261" s="82">
        <v>542</v>
      </c>
      <c r="H1261" s="83">
        <v>10.184468627349334</v>
      </c>
      <c r="I1261" s="83">
        <v>1100.3418299728914</v>
      </c>
      <c r="J1261" s="83">
        <v>18.098758817686591</v>
      </c>
    </row>
    <row r="1262" spans="1:10" ht="16">
      <c r="A1262" s="79" t="s">
        <v>1472</v>
      </c>
      <c r="B1262" s="79" t="s">
        <v>1307</v>
      </c>
      <c r="C1262" s="80" t="s">
        <v>126</v>
      </c>
      <c r="D1262" s="81" t="s">
        <v>75</v>
      </c>
      <c r="E1262" s="82">
        <v>25966</v>
      </c>
      <c r="F1262" s="82">
        <v>1404</v>
      </c>
      <c r="G1262" s="82">
        <v>2077</v>
      </c>
      <c r="H1262" s="83">
        <v>17.702667642105489</v>
      </c>
      <c r="I1262" s="83">
        <v>10147.457205123155</v>
      </c>
      <c r="J1262" s="83">
        <v>28.744794985723345</v>
      </c>
    </row>
    <row r="1263" spans="1:10" ht="16">
      <c r="A1263" s="79" t="s">
        <v>144</v>
      </c>
      <c r="B1263" s="79" t="s">
        <v>108</v>
      </c>
      <c r="C1263" s="80" t="s">
        <v>95</v>
      </c>
      <c r="D1263" s="81" t="s">
        <v>79</v>
      </c>
      <c r="E1263" s="82">
        <v>32259</v>
      </c>
      <c r="F1263" s="82">
        <v>904</v>
      </c>
      <c r="G1263" s="82">
        <v>5484</v>
      </c>
      <c r="H1263" s="83">
        <v>30.097911482239184</v>
      </c>
      <c r="I1263" s="83">
        <v>24132.825395317999</v>
      </c>
      <c r="J1263" s="83">
        <v>24.361065218956877</v>
      </c>
    </row>
    <row r="1264" spans="1:10" ht="16">
      <c r="A1264" s="79" t="s">
        <v>228</v>
      </c>
      <c r="B1264" s="79" t="s">
        <v>203</v>
      </c>
      <c r="C1264" s="80" t="s">
        <v>95</v>
      </c>
      <c r="D1264" s="81" t="s">
        <v>78</v>
      </c>
      <c r="E1264" s="82">
        <v>29865</v>
      </c>
      <c r="F1264" s="82">
        <v>1293</v>
      </c>
      <c r="G1264" s="82">
        <v>5376</v>
      </c>
      <c r="H1264" s="83">
        <v>36.003268563592478</v>
      </c>
      <c r="I1264" s="83">
        <v>27279.451938656846</v>
      </c>
      <c r="J1264" s="83">
        <v>40.726930553659393</v>
      </c>
    </row>
    <row r="1265" spans="1:10" ht="16">
      <c r="A1265" s="79" t="s">
        <v>1473</v>
      </c>
      <c r="B1265" s="79" t="s">
        <v>1307</v>
      </c>
      <c r="C1265" s="80" t="s">
        <v>95</v>
      </c>
      <c r="D1265" s="81" t="s">
        <v>77</v>
      </c>
      <c r="E1265" s="82">
        <v>13726</v>
      </c>
      <c r="F1265" s="82">
        <v>775</v>
      </c>
      <c r="G1265" s="82">
        <v>137</v>
      </c>
      <c r="H1265" s="83">
        <v>10.856000920632784</v>
      </c>
      <c r="I1265" s="83">
        <v>6653.6152280350898</v>
      </c>
      <c r="J1265" s="83">
        <v>16.687399949413592</v>
      </c>
    </row>
    <row r="1266" spans="1:10" ht="16">
      <c r="A1266" s="79" t="s">
        <v>1474</v>
      </c>
      <c r="B1266" s="79" t="s">
        <v>1307</v>
      </c>
      <c r="C1266" s="80" t="s">
        <v>95</v>
      </c>
      <c r="D1266" s="81" t="s">
        <v>101</v>
      </c>
      <c r="E1266" s="82">
        <v>8235</v>
      </c>
      <c r="F1266" s="82">
        <v>722</v>
      </c>
      <c r="G1266" s="82">
        <v>741</v>
      </c>
      <c r="H1266" s="83">
        <v>21.242197327065934</v>
      </c>
      <c r="I1266" s="83">
        <v>18488.970174663478</v>
      </c>
      <c r="J1266" s="83">
        <v>48.293928081036803</v>
      </c>
    </row>
    <row r="1267" spans="1:10" ht="16">
      <c r="A1267" s="79" t="s">
        <v>1475</v>
      </c>
      <c r="B1267" s="79" t="s">
        <v>1307</v>
      </c>
      <c r="C1267" s="80" t="s">
        <v>126</v>
      </c>
      <c r="D1267" s="81" t="s">
        <v>101</v>
      </c>
      <c r="E1267" s="82">
        <v>5733</v>
      </c>
      <c r="F1267" s="82">
        <v>451</v>
      </c>
      <c r="G1267" s="82">
        <v>1261</v>
      </c>
      <c r="H1267" s="83">
        <v>18.641153634634342</v>
      </c>
      <c r="I1267" s="83">
        <v>10469.581510927956</v>
      </c>
      <c r="J1267" s="83">
        <v>20.472003694730162</v>
      </c>
    </row>
    <row r="1268" spans="1:10" ht="16">
      <c r="A1268" s="79" t="s">
        <v>910</v>
      </c>
      <c r="B1268" s="79" t="s">
        <v>898</v>
      </c>
      <c r="C1268" s="80" t="s">
        <v>126</v>
      </c>
      <c r="D1268" s="81" t="s">
        <v>78</v>
      </c>
      <c r="E1268" s="82">
        <v>28329</v>
      </c>
      <c r="F1268" s="82">
        <v>1914</v>
      </c>
      <c r="G1268" s="82">
        <v>850</v>
      </c>
      <c r="H1268" s="83">
        <v>11.645114430473223</v>
      </c>
      <c r="I1268" s="83">
        <v>2302.8671377932019</v>
      </c>
      <c r="J1268" s="83">
        <v>17.035868990125618</v>
      </c>
    </row>
    <row r="1269" spans="1:10" ht="16">
      <c r="A1269" s="79" t="s">
        <v>313</v>
      </c>
      <c r="B1269" s="79" t="s">
        <v>242</v>
      </c>
      <c r="C1269" s="80" t="s">
        <v>95</v>
      </c>
      <c r="D1269" s="81" t="s">
        <v>103</v>
      </c>
      <c r="E1269" s="82">
        <v>52502</v>
      </c>
      <c r="F1269" s="82">
        <v>3596</v>
      </c>
      <c r="G1269" s="82">
        <v>3675</v>
      </c>
      <c r="H1269" s="83">
        <v>34.722602469721728</v>
      </c>
      <c r="I1269" s="83">
        <v>17855.395106810174</v>
      </c>
      <c r="J1269" s="83">
        <v>44.407944064457361</v>
      </c>
    </row>
    <row r="1270" spans="1:10" ht="16">
      <c r="A1270" s="79" t="s">
        <v>314</v>
      </c>
      <c r="B1270" s="79" t="s">
        <v>242</v>
      </c>
      <c r="C1270" s="80" t="s">
        <v>126</v>
      </c>
      <c r="D1270" s="81" t="s">
        <v>75</v>
      </c>
      <c r="E1270" s="82">
        <v>51684</v>
      </c>
      <c r="F1270" s="82">
        <v>3692</v>
      </c>
      <c r="G1270" s="82">
        <v>1551</v>
      </c>
      <c r="H1270" s="83">
        <v>14.159085984768536</v>
      </c>
      <c r="I1270" s="83">
        <v>5483.7636512555373</v>
      </c>
      <c r="J1270" s="83">
        <v>18.901301877179147</v>
      </c>
    </row>
    <row r="1271" spans="1:10" ht="16">
      <c r="A1271" s="79" t="s">
        <v>315</v>
      </c>
      <c r="B1271" s="79" t="s">
        <v>242</v>
      </c>
      <c r="C1271" s="80" t="s">
        <v>126</v>
      </c>
      <c r="D1271" s="81" t="s">
        <v>99</v>
      </c>
      <c r="E1271" s="82">
        <v>40841</v>
      </c>
      <c r="F1271" s="82">
        <v>2797</v>
      </c>
      <c r="G1271" s="82">
        <v>1634</v>
      </c>
      <c r="H1271" s="83">
        <v>23.309536319973986</v>
      </c>
      <c r="I1271" s="83">
        <v>13086.779468504294</v>
      </c>
      <c r="J1271" s="83">
        <v>28.118254094266334</v>
      </c>
    </row>
    <row r="1272" spans="1:10" ht="16">
      <c r="A1272" s="79" t="s">
        <v>316</v>
      </c>
      <c r="B1272" s="79" t="s">
        <v>242</v>
      </c>
      <c r="C1272" s="80" t="s">
        <v>95</v>
      </c>
      <c r="D1272" s="81" t="s">
        <v>111</v>
      </c>
      <c r="E1272" s="82">
        <v>31340</v>
      </c>
      <c r="F1272" s="82">
        <v>1478</v>
      </c>
      <c r="G1272" s="82">
        <v>313</v>
      </c>
      <c r="H1272" s="83">
        <v>12.108815601356307</v>
      </c>
      <c r="I1272" s="83">
        <v>5542.6097926916555</v>
      </c>
      <c r="J1272" s="83">
        <v>15.034272884389155</v>
      </c>
    </row>
    <row r="1273" spans="1:10" ht="16">
      <c r="A1273" s="79" t="s">
        <v>317</v>
      </c>
      <c r="B1273" s="79" t="s">
        <v>242</v>
      </c>
      <c r="C1273" s="80" t="s">
        <v>126</v>
      </c>
      <c r="D1273" s="81" t="s">
        <v>101</v>
      </c>
      <c r="E1273" s="82">
        <v>34140</v>
      </c>
      <c r="F1273" s="82">
        <v>1996</v>
      </c>
      <c r="G1273" s="82">
        <v>1024</v>
      </c>
      <c r="H1273" s="83">
        <v>17.919115384518232</v>
      </c>
      <c r="I1273" s="83">
        <v>5669.0164190053638</v>
      </c>
      <c r="J1273" s="83">
        <v>21.167141633000487</v>
      </c>
    </row>
    <row r="1274" spans="1:10" ht="16">
      <c r="A1274" s="79" t="s">
        <v>1476</v>
      </c>
      <c r="B1274" s="79" t="s">
        <v>1307</v>
      </c>
      <c r="C1274" s="80" t="s">
        <v>126</v>
      </c>
      <c r="D1274" s="81" t="s">
        <v>99</v>
      </c>
      <c r="E1274" s="82">
        <v>12402</v>
      </c>
      <c r="F1274" s="82">
        <v>2297</v>
      </c>
      <c r="G1274" s="82">
        <v>2480</v>
      </c>
      <c r="H1274" s="83">
        <v>95.449296001712099</v>
      </c>
      <c r="I1274" s="83">
        <v>92298.146244031581</v>
      </c>
      <c r="J1274" s="83">
        <v>92.222971271602773</v>
      </c>
    </row>
    <row r="1275" spans="1:10" ht="16">
      <c r="A1275" s="79" t="s">
        <v>767</v>
      </c>
      <c r="B1275" s="79" t="s">
        <v>661</v>
      </c>
      <c r="C1275" s="80" t="s">
        <v>126</v>
      </c>
      <c r="D1275" s="81" t="s">
        <v>76</v>
      </c>
      <c r="E1275" s="82">
        <v>8913</v>
      </c>
      <c r="F1275" s="82">
        <v>1024</v>
      </c>
      <c r="G1275" s="82">
        <v>178</v>
      </c>
      <c r="H1275" s="83">
        <v>13.073010081982778</v>
      </c>
      <c r="I1275" s="83">
        <v>2161.9682707604252</v>
      </c>
      <c r="J1275" s="83">
        <v>22.676313059369743</v>
      </c>
    </row>
    <row r="1276" spans="1:10" ht="16">
      <c r="A1276" s="79" t="s">
        <v>768</v>
      </c>
      <c r="B1276" s="79" t="s">
        <v>661</v>
      </c>
      <c r="C1276" s="80" t="s">
        <v>126</v>
      </c>
      <c r="D1276" s="81" t="s">
        <v>75</v>
      </c>
      <c r="E1276" s="82">
        <v>10580</v>
      </c>
      <c r="F1276" s="82">
        <v>980</v>
      </c>
      <c r="G1276" s="82">
        <v>529</v>
      </c>
      <c r="H1276" s="83">
        <v>13.047725416243354</v>
      </c>
      <c r="I1276" s="83">
        <v>1876.7230800482168</v>
      </c>
      <c r="J1276" s="83">
        <v>21.41485200378764</v>
      </c>
    </row>
    <row r="1277" spans="1:10" ht="16">
      <c r="A1277" s="79" t="s">
        <v>318</v>
      </c>
      <c r="B1277" s="79" t="s">
        <v>242</v>
      </c>
      <c r="C1277" s="80" t="s">
        <v>95</v>
      </c>
      <c r="D1277" s="81" t="s">
        <v>149</v>
      </c>
      <c r="E1277" s="82">
        <v>36880</v>
      </c>
      <c r="F1277" s="82">
        <v>2442</v>
      </c>
      <c r="G1277" s="82">
        <v>1106</v>
      </c>
      <c r="H1277" s="83">
        <v>11.586022668174603</v>
      </c>
      <c r="I1277" s="83">
        <v>4399.9504190967382</v>
      </c>
      <c r="J1277" s="83">
        <v>15.749346955448837</v>
      </c>
    </row>
    <row r="1278" spans="1:10" ht="16">
      <c r="A1278" s="79" t="s">
        <v>319</v>
      </c>
      <c r="B1278" s="79" t="s">
        <v>242</v>
      </c>
      <c r="C1278" s="80" t="s">
        <v>126</v>
      </c>
      <c r="D1278" s="81" t="s">
        <v>77</v>
      </c>
      <c r="E1278" s="82">
        <v>32748</v>
      </c>
      <c r="F1278" s="82">
        <v>2140</v>
      </c>
      <c r="G1278" s="82">
        <v>327</v>
      </c>
      <c r="H1278" s="83">
        <v>11.498381087319386</v>
      </c>
      <c r="I1278" s="83">
        <v>1672.8489629284322</v>
      </c>
      <c r="J1278" s="83">
        <v>17.958007925496581</v>
      </c>
    </row>
    <row r="1279" spans="1:10" ht="16">
      <c r="A1279" s="79" t="s">
        <v>776</v>
      </c>
      <c r="B1279" s="79" t="s">
        <v>772</v>
      </c>
      <c r="C1279" s="80" t="s">
        <v>95</v>
      </c>
      <c r="D1279" s="81" t="s">
        <v>149</v>
      </c>
      <c r="E1279" s="82">
        <v>35353</v>
      </c>
      <c r="F1279" s="82">
        <v>1163</v>
      </c>
      <c r="G1279" s="82">
        <v>3182</v>
      </c>
      <c r="H1279" s="83">
        <v>8.7933223560283196</v>
      </c>
      <c r="I1279" s="83">
        <v>589.54672239847093</v>
      </c>
      <c r="J1279" s="83">
        <v>20.05381089094416</v>
      </c>
    </row>
    <row r="1280" spans="1:10" ht="16">
      <c r="A1280" s="79" t="s">
        <v>594</v>
      </c>
      <c r="B1280" s="79" t="s">
        <v>556</v>
      </c>
      <c r="C1280" s="80" t="s">
        <v>126</v>
      </c>
      <c r="D1280" s="81" t="s">
        <v>101</v>
      </c>
      <c r="E1280" s="82">
        <v>6332</v>
      </c>
      <c r="F1280" s="82">
        <v>230</v>
      </c>
      <c r="G1280" s="82">
        <v>441</v>
      </c>
      <c r="H1280" s="83">
        <v>16.264567180370019</v>
      </c>
      <c r="I1280" s="83">
        <v>14232.949079738826</v>
      </c>
      <c r="J1280" s="83">
        <v>15.772906319317649</v>
      </c>
    </row>
    <row r="1281" spans="1:10" ht="16">
      <c r="A1281" s="79" t="s">
        <v>595</v>
      </c>
      <c r="B1281" s="79" t="s">
        <v>556</v>
      </c>
      <c r="C1281" s="80" t="s">
        <v>95</v>
      </c>
      <c r="D1281" s="81" t="s">
        <v>96</v>
      </c>
      <c r="E1281" s="82">
        <v>13745</v>
      </c>
      <c r="F1281" s="82">
        <v>455</v>
      </c>
      <c r="G1281" s="82">
        <v>137</v>
      </c>
      <c r="H1281" s="83">
        <v>15.130891182218821</v>
      </c>
      <c r="I1281" s="83">
        <v>2331.5263622064585</v>
      </c>
      <c r="J1281" s="83">
        <v>17.291886348724478</v>
      </c>
    </row>
    <row r="1282" spans="1:10" ht="16">
      <c r="A1282" s="79" t="s">
        <v>1192</v>
      </c>
      <c r="B1282" s="79" t="s">
        <v>1161</v>
      </c>
      <c r="C1282" s="80" t="s">
        <v>95</v>
      </c>
      <c r="D1282" s="81" t="s">
        <v>149</v>
      </c>
      <c r="E1282" s="82">
        <v>19508</v>
      </c>
      <c r="F1282" s="82">
        <v>522</v>
      </c>
      <c r="G1282" s="82">
        <v>390</v>
      </c>
      <c r="H1282" s="83">
        <v>12.464623952012323</v>
      </c>
      <c r="I1282" s="83">
        <v>1452.9804286883418</v>
      </c>
      <c r="J1282" s="83">
        <v>19.164021460578507</v>
      </c>
    </row>
    <row r="1283" spans="1:10" ht="16">
      <c r="A1283" s="79" t="s">
        <v>1036</v>
      </c>
      <c r="B1283" s="79" t="s">
        <v>1007</v>
      </c>
      <c r="C1283" s="80" t="s">
        <v>126</v>
      </c>
      <c r="D1283" s="81" t="s">
        <v>101</v>
      </c>
      <c r="E1283" s="82">
        <v>20135</v>
      </c>
      <c r="F1283" s="82">
        <v>1360</v>
      </c>
      <c r="G1283" s="82">
        <v>1007</v>
      </c>
      <c r="H1283" s="83">
        <v>13.291719411654331</v>
      </c>
      <c r="I1283" s="83">
        <v>5854.4700768280909</v>
      </c>
      <c r="J1283" s="83">
        <v>19.060188340403108</v>
      </c>
    </row>
    <row r="1284" spans="1:10" ht="16">
      <c r="A1284" s="79" t="s">
        <v>1193</v>
      </c>
      <c r="B1284" s="79" t="s">
        <v>1161</v>
      </c>
      <c r="C1284" s="80" t="s">
        <v>126</v>
      </c>
      <c r="D1284" s="81" t="s">
        <v>99</v>
      </c>
      <c r="E1284" s="82">
        <v>36946</v>
      </c>
      <c r="F1284" s="82">
        <v>1103</v>
      </c>
      <c r="G1284" s="82">
        <v>1478</v>
      </c>
      <c r="H1284" s="83">
        <v>13.275000123907169</v>
      </c>
      <c r="I1284" s="83">
        <v>2982.04382938957</v>
      </c>
      <c r="J1284" s="83">
        <v>15.652762255131982</v>
      </c>
    </row>
    <row r="1285" spans="1:10" ht="16">
      <c r="A1285" s="79" t="s">
        <v>769</v>
      </c>
      <c r="B1285" s="79" t="s">
        <v>661</v>
      </c>
      <c r="C1285" s="80" t="s">
        <v>95</v>
      </c>
      <c r="D1285" s="81" t="s">
        <v>149</v>
      </c>
      <c r="E1285" s="82">
        <v>4910</v>
      </c>
      <c r="F1285" s="82">
        <v>1091</v>
      </c>
      <c r="G1285" s="82">
        <v>98</v>
      </c>
      <c r="H1285" s="83">
        <v>8.7657091642034661</v>
      </c>
      <c r="I1285" s="83">
        <v>7408.770010692765</v>
      </c>
      <c r="J1285" s="83">
        <v>25.955807066487569</v>
      </c>
    </row>
    <row r="1286" spans="1:10" ht="16">
      <c r="A1286" s="79" t="s">
        <v>770</v>
      </c>
      <c r="B1286" s="79" t="s">
        <v>661</v>
      </c>
      <c r="C1286" s="80" t="s">
        <v>126</v>
      </c>
      <c r="D1286" s="81" t="s">
        <v>77</v>
      </c>
      <c r="E1286" s="82">
        <v>9889</v>
      </c>
      <c r="F1286" s="82">
        <v>791</v>
      </c>
      <c r="G1286" s="82">
        <v>692</v>
      </c>
      <c r="H1286" s="83">
        <v>16.926531807610097</v>
      </c>
      <c r="I1286" s="83">
        <v>2680.4956453229702</v>
      </c>
      <c r="J1286" s="83">
        <v>23.404774447151688</v>
      </c>
    </row>
    <row r="1287" spans="1:10" ht="16">
      <c r="A1287" s="79" t="s">
        <v>1037</v>
      </c>
      <c r="B1287" s="79" t="s">
        <v>1007</v>
      </c>
      <c r="C1287" s="80" t="s">
        <v>126</v>
      </c>
      <c r="D1287" s="81" t="s">
        <v>103</v>
      </c>
      <c r="E1287" s="82">
        <v>17744</v>
      </c>
      <c r="F1287" s="82">
        <v>1215</v>
      </c>
      <c r="G1287" s="82">
        <v>3904</v>
      </c>
      <c r="H1287" s="83">
        <v>53.085742475072166</v>
      </c>
      <c r="I1287" s="83">
        <v>27878.30229571927</v>
      </c>
      <c r="J1287" s="83">
        <v>51.227585358905706</v>
      </c>
    </row>
    <row r="1288" spans="1:10" ht="16">
      <c r="A1288" s="79" t="s">
        <v>229</v>
      </c>
      <c r="B1288" s="79" t="s">
        <v>203</v>
      </c>
      <c r="C1288" s="80" t="s">
        <v>95</v>
      </c>
      <c r="D1288" s="81" t="s">
        <v>103</v>
      </c>
      <c r="E1288" s="82">
        <v>46683</v>
      </c>
      <c r="F1288" s="82">
        <v>1319</v>
      </c>
      <c r="G1288" s="82">
        <v>11204</v>
      </c>
      <c r="H1288" s="83">
        <v>37.953710045881245</v>
      </c>
      <c r="I1288" s="83">
        <v>19084.907429349201</v>
      </c>
      <c r="J1288" s="83">
        <v>28.972247532906014</v>
      </c>
    </row>
    <row r="1289" spans="1:10" ht="16">
      <c r="A1289" s="79" t="s">
        <v>1135</v>
      </c>
      <c r="B1289" s="79" t="s">
        <v>1100</v>
      </c>
      <c r="C1289" s="80" t="s">
        <v>126</v>
      </c>
      <c r="D1289" s="81" t="s">
        <v>96</v>
      </c>
      <c r="E1289" s="82">
        <v>8356</v>
      </c>
      <c r="F1289" s="82">
        <v>429</v>
      </c>
      <c r="G1289" s="82">
        <v>668</v>
      </c>
      <c r="H1289" s="83">
        <v>14.82811308101139</v>
      </c>
      <c r="I1289" s="83">
        <v>2156.6916202679308</v>
      </c>
      <c r="J1289" s="83">
        <v>17.301845072674848</v>
      </c>
    </row>
    <row r="1290" spans="1:10" ht="16">
      <c r="A1290" s="79" t="s">
        <v>382</v>
      </c>
      <c r="B1290" s="79" t="s">
        <v>363</v>
      </c>
      <c r="C1290" s="80" t="s">
        <v>95</v>
      </c>
      <c r="D1290" s="81" t="s">
        <v>96</v>
      </c>
      <c r="E1290" s="82">
        <v>156419</v>
      </c>
      <c r="F1290" s="82">
        <v>6517</v>
      </c>
      <c r="G1290" s="82">
        <v>1564</v>
      </c>
      <c r="H1290" s="83">
        <v>8.3264488230614475</v>
      </c>
      <c r="I1290" s="83">
        <v>2303.3348906498895</v>
      </c>
      <c r="J1290" s="83">
        <v>14.240703990121405</v>
      </c>
    </row>
    <row r="1291" spans="1:10" ht="16">
      <c r="A1291" s="79" t="s">
        <v>320</v>
      </c>
      <c r="B1291" s="79" t="s">
        <v>242</v>
      </c>
      <c r="C1291" s="80" t="s">
        <v>126</v>
      </c>
      <c r="D1291" s="81" t="s">
        <v>101</v>
      </c>
      <c r="E1291" s="82">
        <v>33427</v>
      </c>
      <c r="F1291" s="82">
        <v>3124</v>
      </c>
      <c r="G1291" s="82">
        <v>7354</v>
      </c>
      <c r="H1291" s="83">
        <v>65.521320223063469</v>
      </c>
      <c r="I1291" s="83">
        <v>32767.018595574358</v>
      </c>
      <c r="J1291" s="83">
        <v>66.108543554792149</v>
      </c>
    </row>
    <row r="1292" spans="1:10" ht="16">
      <c r="A1292" s="79" t="s">
        <v>321</v>
      </c>
      <c r="B1292" s="79" t="s">
        <v>242</v>
      </c>
      <c r="C1292" s="80" t="s">
        <v>95</v>
      </c>
      <c r="D1292" s="81" t="s">
        <v>79</v>
      </c>
      <c r="E1292" s="82">
        <v>31228</v>
      </c>
      <c r="F1292" s="82">
        <v>2124</v>
      </c>
      <c r="G1292" s="82">
        <v>2498</v>
      </c>
      <c r="H1292" s="83">
        <v>14.434036967941024</v>
      </c>
      <c r="I1292" s="83">
        <v>4616.202517370346</v>
      </c>
      <c r="J1292" s="83">
        <v>17.423796165543536</v>
      </c>
    </row>
  </sheetData>
  <phoneticPr fontId="4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94D34-CDC8-764C-A7E4-D9FC3A505EEA}">
  <sheetPr codeName="Sheet7"/>
  <dimension ref="A1:J1292"/>
  <sheetViews>
    <sheetView zoomScale="95" zoomScaleNormal="100" workbookViewId="0"/>
  </sheetViews>
  <sheetFormatPr baseColWidth="10" defaultRowHeight="15"/>
  <cols>
    <col min="1" max="1" width="59" style="26" bestFit="1" customWidth="1"/>
    <col min="2" max="2" width="19" style="26" bestFit="1" customWidth="1"/>
    <col min="3" max="3" width="21.83203125" style="26" bestFit="1" customWidth="1"/>
    <col min="4" max="4" width="30.6640625" style="26" bestFit="1" customWidth="1"/>
    <col min="5" max="5" width="24.6640625" style="26" bestFit="1" customWidth="1"/>
    <col min="6" max="6" width="19.6640625" style="26" bestFit="1" customWidth="1"/>
    <col min="7" max="7" width="40.83203125" style="26" bestFit="1" customWidth="1"/>
    <col min="8" max="8" width="18.5" style="26" bestFit="1" customWidth="1"/>
    <col min="9" max="9" width="24.5" style="26" bestFit="1" customWidth="1"/>
    <col min="10" max="10" width="18.5" style="26" bestFit="1" customWidth="1"/>
    <col min="11" max="16384" width="10.83203125" style="26"/>
  </cols>
  <sheetData>
    <row r="1" spans="1:10" ht="21">
      <c r="A1" s="78" t="s">
        <v>83</v>
      </c>
      <c r="B1" s="78" t="s">
        <v>84</v>
      </c>
      <c r="C1" s="78" t="s">
        <v>85</v>
      </c>
      <c r="D1" s="78" t="s">
        <v>86</v>
      </c>
      <c r="E1" s="78" t="s">
        <v>87</v>
      </c>
      <c r="F1" s="78" t="s">
        <v>88</v>
      </c>
      <c r="G1" s="78" t="s">
        <v>89</v>
      </c>
      <c r="H1" s="78" t="s">
        <v>90</v>
      </c>
      <c r="I1" s="78" t="s">
        <v>91</v>
      </c>
      <c r="J1" s="78" t="s">
        <v>92</v>
      </c>
    </row>
    <row r="2" spans="1:10" ht="16">
      <c r="A2" s="79" t="s">
        <v>354</v>
      </c>
      <c r="B2" s="79" t="s">
        <v>355</v>
      </c>
      <c r="C2" s="80" t="s">
        <v>95</v>
      </c>
      <c r="D2" s="81" t="s">
        <v>101</v>
      </c>
      <c r="E2" s="82">
        <v>16340</v>
      </c>
      <c r="F2" s="82">
        <v>1201</v>
      </c>
      <c r="G2" s="82">
        <v>2451</v>
      </c>
      <c r="H2" s="83">
        <v>39.776720990517688</v>
      </c>
      <c r="I2" s="83">
        <v>34061.184876854139</v>
      </c>
      <c r="J2" s="83">
        <v>29.494859240638689</v>
      </c>
    </row>
    <row r="3" spans="1:10" ht="16">
      <c r="A3" s="79" t="s">
        <v>387</v>
      </c>
      <c r="B3" s="79" t="s">
        <v>388</v>
      </c>
      <c r="C3" s="80" t="s">
        <v>126</v>
      </c>
      <c r="D3" s="81" t="s">
        <v>75</v>
      </c>
      <c r="E3" s="82">
        <v>12195</v>
      </c>
      <c r="F3" s="82">
        <v>656</v>
      </c>
      <c r="G3" s="82">
        <v>3171</v>
      </c>
      <c r="H3" s="83">
        <v>40.279169458865212</v>
      </c>
      <c r="I3" s="83">
        <v>30276.391050839848</v>
      </c>
      <c r="J3" s="83">
        <v>42.504089885750382</v>
      </c>
    </row>
    <row r="4" spans="1:10" ht="16">
      <c r="A4" s="79" t="s">
        <v>356</v>
      </c>
      <c r="B4" s="79" t="s">
        <v>355</v>
      </c>
      <c r="C4" s="80" t="s">
        <v>95</v>
      </c>
      <c r="D4" s="81" t="s">
        <v>76</v>
      </c>
      <c r="E4" s="82">
        <v>26842</v>
      </c>
      <c r="F4" s="82">
        <v>1864</v>
      </c>
      <c r="G4" s="82">
        <v>2416</v>
      </c>
      <c r="H4" s="83">
        <v>54.332129951079203</v>
      </c>
      <c r="I4" s="83">
        <v>46171.894410554225</v>
      </c>
      <c r="J4" s="83">
        <v>37.330775576408584</v>
      </c>
    </row>
    <row r="5" spans="1:10" ht="16">
      <c r="A5" s="79" t="s">
        <v>1208</v>
      </c>
      <c r="B5" s="79" t="s">
        <v>1209</v>
      </c>
      <c r="C5" s="80" t="s">
        <v>126</v>
      </c>
      <c r="D5" s="81" t="s">
        <v>77</v>
      </c>
      <c r="E5" s="82">
        <v>6866</v>
      </c>
      <c r="F5" s="82">
        <v>424</v>
      </c>
      <c r="G5" s="82">
        <v>1305</v>
      </c>
      <c r="H5" s="83">
        <v>23.734708386851651</v>
      </c>
      <c r="I5" s="83">
        <v>15196.605561581386</v>
      </c>
      <c r="J5" s="83">
        <v>25.254126864034429</v>
      </c>
    </row>
    <row r="6" spans="1:10" ht="16">
      <c r="A6" s="79" t="s">
        <v>492</v>
      </c>
      <c r="B6" s="79" t="s">
        <v>493</v>
      </c>
      <c r="C6" s="80" t="s">
        <v>126</v>
      </c>
      <c r="D6" s="81" t="s">
        <v>75</v>
      </c>
      <c r="E6" s="82">
        <v>4792</v>
      </c>
      <c r="F6" s="82">
        <v>383</v>
      </c>
      <c r="G6" s="82">
        <v>288</v>
      </c>
      <c r="H6" s="83">
        <v>9.3709212540129965</v>
      </c>
      <c r="I6" s="83">
        <v>1445.4361802329663</v>
      </c>
      <c r="J6" s="83">
        <v>40.641924351797861</v>
      </c>
    </row>
    <row r="7" spans="1:10" ht="16">
      <c r="A7" s="79" t="s">
        <v>1160</v>
      </c>
      <c r="B7" s="79" t="s">
        <v>1161</v>
      </c>
      <c r="C7" s="80" t="s">
        <v>95</v>
      </c>
      <c r="D7" s="81" t="s">
        <v>79</v>
      </c>
      <c r="E7" s="82">
        <v>2342</v>
      </c>
      <c r="F7" s="82">
        <v>545</v>
      </c>
      <c r="G7" s="82">
        <v>47</v>
      </c>
      <c r="H7" s="83">
        <v>9.2368746520522915</v>
      </c>
      <c r="I7" s="83">
        <v>646.77821170836216</v>
      </c>
      <c r="J7" s="83">
        <v>22.206674009347989</v>
      </c>
    </row>
    <row r="8" spans="1:10" ht="16">
      <c r="A8" s="79" t="s">
        <v>897</v>
      </c>
      <c r="B8" s="79" t="s">
        <v>898</v>
      </c>
      <c r="C8" s="80" t="s">
        <v>95</v>
      </c>
      <c r="D8" s="81" t="s">
        <v>111</v>
      </c>
      <c r="E8" s="82">
        <v>37634</v>
      </c>
      <c r="F8" s="82">
        <v>2650</v>
      </c>
      <c r="G8" s="82">
        <v>753</v>
      </c>
      <c r="H8" s="83">
        <v>14.16538293827079</v>
      </c>
      <c r="I8" s="83">
        <v>4413.5951902873176</v>
      </c>
      <c r="J8" s="83">
        <v>18.632459251322409</v>
      </c>
    </row>
    <row r="9" spans="1:10" ht="16">
      <c r="A9" s="79" t="s">
        <v>899</v>
      </c>
      <c r="B9" s="79" t="s">
        <v>898</v>
      </c>
      <c r="C9" s="80" t="s">
        <v>126</v>
      </c>
      <c r="D9" s="81" t="s">
        <v>103</v>
      </c>
      <c r="E9" s="82">
        <v>28620</v>
      </c>
      <c r="F9" s="82">
        <v>2202</v>
      </c>
      <c r="G9" s="82">
        <v>572</v>
      </c>
      <c r="H9" s="83">
        <v>14.259533578595944</v>
      </c>
      <c r="I9" s="83">
        <v>3195.2324085847249</v>
      </c>
      <c r="J9" s="83">
        <v>18.077137775835308</v>
      </c>
    </row>
    <row r="10" spans="1:10" ht="16">
      <c r="A10" s="79" t="s">
        <v>660</v>
      </c>
      <c r="B10" s="79" t="s">
        <v>661</v>
      </c>
      <c r="C10" s="80" t="s">
        <v>95</v>
      </c>
      <c r="D10" s="81" t="s">
        <v>103</v>
      </c>
      <c r="E10" s="82">
        <v>1288</v>
      </c>
      <c r="F10" s="82">
        <v>460</v>
      </c>
      <c r="G10" s="82">
        <v>13</v>
      </c>
      <c r="H10" s="83">
        <v>11.618031527606925</v>
      </c>
      <c r="I10" s="83">
        <v>3515.9525224436065</v>
      </c>
      <c r="J10" s="83">
        <v>26.702859912362864</v>
      </c>
    </row>
    <row r="11" spans="1:10" ht="16">
      <c r="A11" s="79" t="s">
        <v>362</v>
      </c>
      <c r="B11" s="79" t="s">
        <v>363</v>
      </c>
      <c r="C11" s="80" t="s">
        <v>95</v>
      </c>
      <c r="D11" s="81" t="s">
        <v>76</v>
      </c>
      <c r="E11" s="82">
        <v>179636</v>
      </c>
      <c r="F11" s="82">
        <v>10629</v>
      </c>
      <c r="G11" s="82">
        <v>5389</v>
      </c>
      <c r="H11" s="83">
        <v>10.477071955032958</v>
      </c>
      <c r="I11" s="83">
        <v>3211.4129302977744</v>
      </c>
      <c r="J11" s="83">
        <v>21.642080667412721</v>
      </c>
    </row>
    <row r="12" spans="1:10" ht="16">
      <c r="A12" s="79" t="s">
        <v>395</v>
      </c>
      <c r="B12" s="79" t="s">
        <v>396</v>
      </c>
      <c r="C12" s="80" t="s">
        <v>95</v>
      </c>
      <c r="D12" s="81" t="s">
        <v>79</v>
      </c>
      <c r="E12" s="82">
        <v>67857</v>
      </c>
      <c r="F12" s="82">
        <v>4088</v>
      </c>
      <c r="G12" s="82">
        <v>8143</v>
      </c>
      <c r="H12" s="83">
        <v>26.00749682136782</v>
      </c>
      <c r="I12" s="83">
        <v>17041.47244423956</v>
      </c>
      <c r="J12" s="83">
        <v>41.560527869045117</v>
      </c>
    </row>
    <row r="13" spans="1:10" ht="16">
      <c r="A13" s="79" t="s">
        <v>1006</v>
      </c>
      <c r="B13" s="79" t="s">
        <v>1007</v>
      </c>
      <c r="C13" s="80" t="s">
        <v>95</v>
      </c>
      <c r="D13" s="81" t="s">
        <v>149</v>
      </c>
      <c r="E13" s="82">
        <v>9906</v>
      </c>
      <c r="F13" s="82">
        <v>877</v>
      </c>
      <c r="G13" s="82">
        <v>693</v>
      </c>
      <c r="H13" s="83">
        <v>23.917081814336282</v>
      </c>
      <c r="I13" s="83">
        <v>6999.3752138669988</v>
      </c>
      <c r="J13" s="83">
        <v>24.20257300311529</v>
      </c>
    </row>
    <row r="14" spans="1:10" ht="16">
      <c r="A14" s="79" t="s">
        <v>1162</v>
      </c>
      <c r="B14" s="79" t="s">
        <v>1161</v>
      </c>
      <c r="C14" s="80" t="s">
        <v>126</v>
      </c>
      <c r="D14" s="81" t="s">
        <v>101</v>
      </c>
      <c r="E14" s="82">
        <v>42862</v>
      </c>
      <c r="F14" s="82">
        <v>1194</v>
      </c>
      <c r="G14" s="82">
        <v>429</v>
      </c>
      <c r="H14" s="83">
        <v>9.4413981292227867</v>
      </c>
      <c r="I14" s="83">
        <v>1255.7516712863478</v>
      </c>
      <c r="J14" s="83">
        <v>16.089946681464419</v>
      </c>
    </row>
    <row r="15" spans="1:10" ht="16">
      <c r="A15" s="79" t="s">
        <v>662</v>
      </c>
      <c r="B15" s="79" t="s">
        <v>661</v>
      </c>
      <c r="C15" s="80" t="s">
        <v>126</v>
      </c>
      <c r="D15" s="81" t="s">
        <v>79</v>
      </c>
      <c r="E15" s="82">
        <v>4942</v>
      </c>
      <c r="F15" s="82">
        <v>504</v>
      </c>
      <c r="G15" s="82">
        <v>198</v>
      </c>
      <c r="H15" s="83">
        <v>10.902906093943249</v>
      </c>
      <c r="I15" s="83">
        <v>985.14115389488541</v>
      </c>
      <c r="J15" s="83">
        <v>21.993328941271439</v>
      </c>
    </row>
    <row r="16" spans="1:10" ht="16">
      <c r="A16" s="79" t="s">
        <v>364</v>
      </c>
      <c r="B16" s="79" t="s">
        <v>363</v>
      </c>
      <c r="C16" s="80" t="s">
        <v>126</v>
      </c>
      <c r="D16" s="81" t="s">
        <v>103</v>
      </c>
      <c r="E16" s="82">
        <v>342151</v>
      </c>
      <c r="F16" s="82">
        <v>10495</v>
      </c>
      <c r="G16" s="82">
        <v>20529</v>
      </c>
      <c r="H16" s="83">
        <v>9.1435595105987222</v>
      </c>
      <c r="I16" s="83">
        <v>1382.9525326941737</v>
      </c>
      <c r="J16" s="83">
        <v>15.45780733854723</v>
      </c>
    </row>
    <row r="17" spans="1:10" ht="16">
      <c r="A17" s="79" t="s">
        <v>771</v>
      </c>
      <c r="B17" s="79" t="s">
        <v>772</v>
      </c>
      <c r="C17" s="80" t="s">
        <v>95</v>
      </c>
      <c r="D17" s="81" t="s">
        <v>75</v>
      </c>
      <c r="E17" s="82">
        <v>33918</v>
      </c>
      <c r="F17" s="82">
        <v>1084</v>
      </c>
      <c r="G17" s="82">
        <v>1357</v>
      </c>
      <c r="H17" s="83">
        <v>9.2640367848755236</v>
      </c>
      <c r="I17" s="83">
        <v>4735.2774476217019</v>
      </c>
      <c r="J17" s="83">
        <v>12.350811016545281</v>
      </c>
    </row>
    <row r="18" spans="1:10" ht="16">
      <c r="A18" s="79" t="s">
        <v>777</v>
      </c>
      <c r="B18" s="79" t="s">
        <v>778</v>
      </c>
      <c r="C18" s="80" t="s">
        <v>95</v>
      </c>
      <c r="D18" s="81" t="s">
        <v>99</v>
      </c>
      <c r="E18" s="82">
        <v>21138</v>
      </c>
      <c r="F18" s="82">
        <v>3775</v>
      </c>
      <c r="G18" s="82">
        <v>2325</v>
      </c>
      <c r="H18" s="83">
        <v>10.281840077245143</v>
      </c>
      <c r="I18" s="83">
        <v>2008.7093568858086</v>
      </c>
      <c r="J18" s="83">
        <v>25.016524969797892</v>
      </c>
    </row>
    <row r="19" spans="1:10" ht="16">
      <c r="A19" s="79" t="s">
        <v>365</v>
      </c>
      <c r="B19" s="79" t="s">
        <v>363</v>
      </c>
      <c r="C19" s="80" t="s">
        <v>95</v>
      </c>
      <c r="D19" s="81" t="s">
        <v>111</v>
      </c>
      <c r="E19" s="82">
        <v>182129</v>
      </c>
      <c r="F19" s="82">
        <v>6647</v>
      </c>
      <c r="G19" s="82">
        <v>5464</v>
      </c>
      <c r="H19" s="83">
        <v>13.946535646141738</v>
      </c>
      <c r="I19" s="83">
        <v>3176.3186113570118</v>
      </c>
      <c r="J19" s="83">
        <v>19.170244370643232</v>
      </c>
    </row>
    <row r="20" spans="1:10" ht="16">
      <c r="A20" s="79" t="s">
        <v>927</v>
      </c>
      <c r="B20" s="79" t="s">
        <v>928</v>
      </c>
      <c r="C20" s="80" t="s">
        <v>95</v>
      </c>
      <c r="D20" s="81" t="s">
        <v>75</v>
      </c>
      <c r="E20" s="82">
        <v>23124</v>
      </c>
      <c r="F20" s="82">
        <v>1278</v>
      </c>
      <c r="G20" s="82">
        <v>1387</v>
      </c>
      <c r="H20" s="83">
        <v>11.938222392599078</v>
      </c>
      <c r="I20" s="83">
        <v>1077.389818896467</v>
      </c>
      <c r="J20" s="83">
        <v>17.408108032619296</v>
      </c>
    </row>
    <row r="21" spans="1:10" ht="16">
      <c r="A21" s="79" t="s">
        <v>977</v>
      </c>
      <c r="B21" s="79" t="s">
        <v>978</v>
      </c>
      <c r="C21" s="80" t="s">
        <v>95</v>
      </c>
      <c r="D21" s="81" t="s">
        <v>75</v>
      </c>
      <c r="E21" s="82">
        <v>2566</v>
      </c>
      <c r="F21" s="82">
        <v>247</v>
      </c>
      <c r="G21" s="82">
        <v>872</v>
      </c>
      <c r="H21" s="83">
        <v>21.788216781924806</v>
      </c>
      <c r="I21" s="83">
        <v>20172.020172445835</v>
      </c>
      <c r="J21" s="83">
        <v>20.244444493866325</v>
      </c>
    </row>
    <row r="22" spans="1:10" ht="16">
      <c r="A22" s="79" t="s">
        <v>494</v>
      </c>
      <c r="B22" s="79" t="s">
        <v>493</v>
      </c>
      <c r="C22" s="80" t="s">
        <v>126</v>
      </c>
      <c r="D22" s="81" t="s">
        <v>99</v>
      </c>
      <c r="E22" s="82">
        <v>18783</v>
      </c>
      <c r="F22" s="82">
        <v>1391</v>
      </c>
      <c r="G22" s="82">
        <v>376</v>
      </c>
      <c r="H22" s="83">
        <v>10.566507716896945</v>
      </c>
      <c r="I22" s="83">
        <v>4301.9357435215034</v>
      </c>
      <c r="J22" s="83">
        <v>29.110930516289709</v>
      </c>
    </row>
    <row r="23" spans="1:10" ht="16">
      <c r="A23" s="79" t="s">
        <v>555</v>
      </c>
      <c r="B23" s="79" t="s">
        <v>556</v>
      </c>
      <c r="C23" s="80" t="s">
        <v>95</v>
      </c>
      <c r="D23" s="81" t="s">
        <v>101</v>
      </c>
      <c r="E23" s="82">
        <v>10110</v>
      </c>
      <c r="F23" s="82">
        <v>449</v>
      </c>
      <c r="G23" s="82">
        <v>101</v>
      </c>
      <c r="H23" s="83">
        <v>10.353656674858417</v>
      </c>
      <c r="I23" s="83">
        <v>1671.8069987569972</v>
      </c>
      <c r="J23" s="83">
        <v>18.782954944064034</v>
      </c>
    </row>
    <row r="24" spans="1:10" ht="16">
      <c r="A24" s="79" t="s">
        <v>616</v>
      </c>
      <c r="B24" s="79" t="s">
        <v>617</v>
      </c>
      <c r="C24" s="80" t="s">
        <v>95</v>
      </c>
      <c r="D24" s="81" t="s">
        <v>76</v>
      </c>
      <c r="E24" s="82">
        <v>13447</v>
      </c>
      <c r="F24" s="82">
        <v>372</v>
      </c>
      <c r="G24" s="82">
        <v>807</v>
      </c>
      <c r="H24" s="83">
        <v>19.619132169445134</v>
      </c>
      <c r="I24" s="83">
        <v>12516.779753683059</v>
      </c>
      <c r="J24" s="83">
        <v>15.210304130372291</v>
      </c>
    </row>
    <row r="25" spans="1:10" ht="16">
      <c r="A25" s="79" t="s">
        <v>1306</v>
      </c>
      <c r="B25" s="79" t="s">
        <v>1307</v>
      </c>
      <c r="C25" s="80" t="s">
        <v>95</v>
      </c>
      <c r="D25" s="81" t="s">
        <v>96</v>
      </c>
      <c r="E25" s="82">
        <v>11750</v>
      </c>
      <c r="F25" s="82">
        <v>1068</v>
      </c>
      <c r="G25" s="82">
        <v>1410</v>
      </c>
      <c r="H25" s="83">
        <v>19.610686613019876</v>
      </c>
      <c r="I25" s="83">
        <v>12836.500611376148</v>
      </c>
      <c r="J25" s="83">
        <v>41.510578499460827</v>
      </c>
    </row>
    <row r="26" spans="1:10" ht="16">
      <c r="A26" s="79" t="s">
        <v>366</v>
      </c>
      <c r="B26" s="79" t="s">
        <v>363</v>
      </c>
      <c r="C26" s="80" t="s">
        <v>95</v>
      </c>
      <c r="D26" s="81" t="s">
        <v>77</v>
      </c>
      <c r="E26" s="82">
        <v>5936</v>
      </c>
      <c r="F26" s="82">
        <v>433</v>
      </c>
      <c r="G26" s="82">
        <v>297</v>
      </c>
      <c r="H26" s="83">
        <v>26.070574222327679</v>
      </c>
      <c r="I26" s="83">
        <v>5089.8753001316927</v>
      </c>
      <c r="J26" s="83">
        <v>27.911539908428772</v>
      </c>
    </row>
    <row r="27" spans="1:10" ht="16">
      <c r="A27" s="79" t="s">
        <v>788</v>
      </c>
      <c r="B27" s="79" t="s">
        <v>789</v>
      </c>
      <c r="C27" s="80" t="s">
        <v>95</v>
      </c>
      <c r="D27" s="81" t="s">
        <v>99</v>
      </c>
      <c r="E27" s="82">
        <v>8401</v>
      </c>
      <c r="F27" s="82">
        <v>988</v>
      </c>
      <c r="G27" s="82">
        <v>1764</v>
      </c>
      <c r="H27" s="83">
        <v>15.459886991648014</v>
      </c>
      <c r="I27" s="83">
        <v>11544.11246090796</v>
      </c>
      <c r="J27" s="83">
        <v>29.17647252135886</v>
      </c>
    </row>
    <row r="28" spans="1:10" ht="16">
      <c r="A28" s="79" t="s">
        <v>1203</v>
      </c>
      <c r="B28" s="79" t="s">
        <v>1204</v>
      </c>
      <c r="C28" s="80" t="s">
        <v>126</v>
      </c>
      <c r="D28" s="81" t="s">
        <v>103</v>
      </c>
      <c r="E28" s="82">
        <v>5652</v>
      </c>
      <c r="F28" s="82">
        <v>404</v>
      </c>
      <c r="G28" s="82">
        <v>4691</v>
      </c>
      <c r="H28" s="83">
        <v>14.893441763763732</v>
      </c>
      <c r="I28" s="83">
        <v>3407.8172269874917</v>
      </c>
      <c r="J28" s="83">
        <v>20.052538892768037</v>
      </c>
    </row>
    <row r="29" spans="1:10" ht="16">
      <c r="A29" s="79" t="s">
        <v>557</v>
      </c>
      <c r="B29" s="79" t="s">
        <v>556</v>
      </c>
      <c r="C29" s="80" t="s">
        <v>126</v>
      </c>
      <c r="D29" s="81" t="s">
        <v>96</v>
      </c>
      <c r="E29" s="82">
        <v>11580</v>
      </c>
      <c r="F29" s="82">
        <v>536</v>
      </c>
      <c r="G29" s="82">
        <v>232</v>
      </c>
      <c r="H29" s="83">
        <v>31.885547054660371</v>
      </c>
      <c r="I29" s="83">
        <v>13740.013282774427</v>
      </c>
      <c r="J29" s="83">
        <v>34.851736634558918</v>
      </c>
    </row>
    <row r="30" spans="1:10" ht="16">
      <c r="A30" s="79" t="s">
        <v>495</v>
      </c>
      <c r="B30" s="79" t="s">
        <v>493</v>
      </c>
      <c r="C30" s="80" t="s">
        <v>126</v>
      </c>
      <c r="D30" s="81" t="s">
        <v>103</v>
      </c>
      <c r="E30" s="82">
        <v>29623</v>
      </c>
      <c r="F30" s="82">
        <v>1975</v>
      </c>
      <c r="G30" s="82">
        <v>1185</v>
      </c>
      <c r="H30" s="83">
        <v>9.5356184505950221</v>
      </c>
      <c r="I30" s="83">
        <v>1764.4407250730731</v>
      </c>
      <c r="J30" s="83">
        <v>15.891357325983529</v>
      </c>
    </row>
    <row r="31" spans="1:10" ht="16">
      <c r="A31" s="79" t="s">
        <v>496</v>
      </c>
      <c r="B31" s="79" t="s">
        <v>493</v>
      </c>
      <c r="C31" s="80" t="s">
        <v>126</v>
      </c>
      <c r="D31" s="81" t="s">
        <v>103</v>
      </c>
      <c r="E31" s="82">
        <v>14689</v>
      </c>
      <c r="F31" s="82">
        <v>1234</v>
      </c>
      <c r="G31" s="82">
        <v>1763</v>
      </c>
      <c r="H31" s="83">
        <v>17.665362461541044</v>
      </c>
      <c r="I31" s="83">
        <v>8136.7073633066166</v>
      </c>
      <c r="J31" s="83">
        <v>26.28874858871314</v>
      </c>
    </row>
    <row r="32" spans="1:10" ht="16">
      <c r="A32" s="79" t="s">
        <v>1163</v>
      </c>
      <c r="B32" s="79" t="s">
        <v>1161</v>
      </c>
      <c r="C32" s="80" t="s">
        <v>126</v>
      </c>
      <c r="D32" s="81" t="s">
        <v>75</v>
      </c>
      <c r="E32" s="82">
        <v>830104</v>
      </c>
      <c r="F32" s="82">
        <v>1682</v>
      </c>
      <c r="G32" s="82">
        <v>8301</v>
      </c>
      <c r="H32" s="83">
        <v>24.184558742978233</v>
      </c>
      <c r="I32" s="83">
        <v>3979.6604196470266</v>
      </c>
      <c r="J32" s="83">
        <v>13.562802819961732</v>
      </c>
    </row>
    <row r="33" spans="1:10" ht="16">
      <c r="A33" s="79" t="s">
        <v>497</v>
      </c>
      <c r="B33" s="79" t="s">
        <v>493</v>
      </c>
      <c r="C33" s="80" t="s">
        <v>95</v>
      </c>
      <c r="D33" s="81" t="s">
        <v>149</v>
      </c>
      <c r="E33" s="82">
        <v>9785</v>
      </c>
      <c r="F33" s="82">
        <v>589</v>
      </c>
      <c r="G33" s="82">
        <v>196</v>
      </c>
      <c r="H33" s="83">
        <v>11.012320381909545</v>
      </c>
      <c r="I33" s="83">
        <v>870.31258393205553</v>
      </c>
      <c r="J33" s="83">
        <v>37.518259282767616</v>
      </c>
    </row>
    <row r="34" spans="1:10" ht="16">
      <c r="A34" s="79" t="s">
        <v>1210</v>
      </c>
      <c r="B34" s="79" t="s">
        <v>1209</v>
      </c>
      <c r="C34" s="80" t="s">
        <v>95</v>
      </c>
      <c r="D34" s="81" t="s">
        <v>96</v>
      </c>
      <c r="E34" s="82">
        <v>18022</v>
      </c>
      <c r="F34" s="82">
        <v>780</v>
      </c>
      <c r="G34" s="82">
        <v>5407</v>
      </c>
      <c r="H34" s="83">
        <v>15.361853725556768</v>
      </c>
      <c r="I34" s="83">
        <v>14431.014677696838</v>
      </c>
      <c r="J34" s="83">
        <v>18.015403557899543</v>
      </c>
    </row>
    <row r="35" spans="1:10" ht="16">
      <c r="A35" s="79" t="s">
        <v>1164</v>
      </c>
      <c r="B35" s="79" t="s">
        <v>1161</v>
      </c>
      <c r="C35" s="80" t="s">
        <v>126</v>
      </c>
      <c r="D35" s="81" t="s">
        <v>79</v>
      </c>
      <c r="E35" s="82">
        <v>69737</v>
      </c>
      <c r="F35" s="82">
        <v>3651</v>
      </c>
      <c r="G35" s="82">
        <v>2789</v>
      </c>
      <c r="H35" s="83">
        <v>10.493117562358192</v>
      </c>
      <c r="I35" s="83">
        <v>1391.8858676783705</v>
      </c>
      <c r="J35" s="83">
        <v>19.708413100153468</v>
      </c>
    </row>
    <row r="36" spans="1:10" ht="16">
      <c r="A36" s="79" t="s">
        <v>498</v>
      </c>
      <c r="B36" s="79" t="s">
        <v>493</v>
      </c>
      <c r="C36" s="80" t="s">
        <v>126</v>
      </c>
      <c r="D36" s="81" t="s">
        <v>78</v>
      </c>
      <c r="E36" s="82">
        <v>14428</v>
      </c>
      <c r="F36" s="82">
        <v>925</v>
      </c>
      <c r="G36" s="82">
        <v>144</v>
      </c>
      <c r="H36" s="83">
        <v>14.566935470862118</v>
      </c>
      <c r="I36" s="83">
        <v>2625.6772693726061</v>
      </c>
      <c r="J36" s="83">
        <v>23.066217010586684</v>
      </c>
    </row>
    <row r="37" spans="1:10" ht="16">
      <c r="A37" s="79" t="s">
        <v>499</v>
      </c>
      <c r="B37" s="79" t="s">
        <v>493</v>
      </c>
      <c r="C37" s="80" t="s">
        <v>126</v>
      </c>
      <c r="D37" s="81" t="s">
        <v>103</v>
      </c>
      <c r="E37" s="82">
        <v>23098</v>
      </c>
      <c r="F37" s="82">
        <v>1638</v>
      </c>
      <c r="G37" s="82">
        <v>462</v>
      </c>
      <c r="H37" s="83">
        <v>9.0526604853006347</v>
      </c>
      <c r="I37" s="83">
        <v>1611.9198727758835</v>
      </c>
      <c r="J37" s="83">
        <v>29.564838643181851</v>
      </c>
    </row>
    <row r="38" spans="1:10" ht="16">
      <c r="A38" s="79" t="s">
        <v>663</v>
      </c>
      <c r="B38" s="79" t="s">
        <v>661</v>
      </c>
      <c r="C38" s="80" t="s">
        <v>126</v>
      </c>
      <c r="D38" s="81" t="s">
        <v>99</v>
      </c>
      <c r="E38" s="82">
        <v>19143</v>
      </c>
      <c r="F38" s="82">
        <v>1679</v>
      </c>
      <c r="G38" s="82">
        <v>574</v>
      </c>
      <c r="H38" s="83">
        <v>8.304260246362988</v>
      </c>
      <c r="I38" s="83">
        <v>1659.4495047566957</v>
      </c>
      <c r="J38" s="83">
        <v>17.208967134480009</v>
      </c>
    </row>
    <row r="39" spans="1:10" ht="16">
      <c r="A39" s="79" t="s">
        <v>466</v>
      </c>
      <c r="B39" s="79" t="s">
        <v>467</v>
      </c>
      <c r="C39" s="80" t="s">
        <v>95</v>
      </c>
      <c r="D39" s="81" t="s">
        <v>77</v>
      </c>
      <c r="E39" s="82">
        <v>46505</v>
      </c>
      <c r="F39" s="82">
        <v>1735</v>
      </c>
      <c r="G39" s="82">
        <v>2325</v>
      </c>
      <c r="H39" s="83">
        <v>17.558225876798566</v>
      </c>
      <c r="I39" s="83">
        <v>10856.315641622708</v>
      </c>
      <c r="J39" s="83">
        <v>19.481750202421207</v>
      </c>
    </row>
    <row r="40" spans="1:10" ht="16">
      <c r="A40" s="79" t="s">
        <v>1308</v>
      </c>
      <c r="B40" s="79" t="s">
        <v>1307</v>
      </c>
      <c r="C40" s="80" t="s">
        <v>126</v>
      </c>
      <c r="D40" s="81" t="s">
        <v>78</v>
      </c>
      <c r="E40" s="82">
        <v>46683</v>
      </c>
      <c r="F40" s="82">
        <v>2212</v>
      </c>
      <c r="G40" s="82">
        <v>9803</v>
      </c>
      <c r="H40" s="83">
        <v>50.990630415409413</v>
      </c>
      <c r="I40" s="83">
        <v>41424.693043140425</v>
      </c>
      <c r="J40" s="83">
        <v>40.018293890271863</v>
      </c>
    </row>
    <row r="41" spans="1:10" ht="16">
      <c r="A41" s="79" t="s">
        <v>1099</v>
      </c>
      <c r="B41" s="79" t="s">
        <v>1100</v>
      </c>
      <c r="C41" s="80" t="s">
        <v>95</v>
      </c>
      <c r="D41" s="81" t="s">
        <v>96</v>
      </c>
      <c r="E41" s="82">
        <v>11779</v>
      </c>
      <c r="F41" s="82">
        <v>395</v>
      </c>
      <c r="G41" s="82">
        <v>589</v>
      </c>
      <c r="H41" s="83">
        <v>34.140732491277767</v>
      </c>
      <c r="I41" s="83">
        <v>7758.6035595882549</v>
      </c>
      <c r="J41" s="83">
        <v>18.03153384437843</v>
      </c>
    </row>
    <row r="42" spans="1:10" ht="16">
      <c r="A42" s="79" t="s">
        <v>367</v>
      </c>
      <c r="B42" s="79" t="s">
        <v>363</v>
      </c>
      <c r="C42" s="80" t="s">
        <v>126</v>
      </c>
      <c r="D42" s="81" t="s">
        <v>111</v>
      </c>
      <c r="E42" s="82">
        <v>87471</v>
      </c>
      <c r="F42" s="82">
        <v>4440</v>
      </c>
      <c r="G42" s="82">
        <v>875</v>
      </c>
      <c r="H42" s="83">
        <v>9.1263342153420641</v>
      </c>
      <c r="I42" s="83">
        <v>2337.2733979234072</v>
      </c>
      <c r="J42" s="83">
        <v>16.002976865549755</v>
      </c>
    </row>
    <row r="43" spans="1:10" ht="16">
      <c r="A43" s="79" t="s">
        <v>1211</v>
      </c>
      <c r="B43" s="79" t="s">
        <v>1209</v>
      </c>
      <c r="C43" s="80" t="s">
        <v>126</v>
      </c>
      <c r="D43" s="81" t="s">
        <v>103</v>
      </c>
      <c r="E43" s="82">
        <v>11113</v>
      </c>
      <c r="F43" s="82">
        <v>527</v>
      </c>
      <c r="G43" s="82">
        <v>2889</v>
      </c>
      <c r="H43" s="83">
        <v>24.51885597733428</v>
      </c>
      <c r="I43" s="83">
        <v>13336.289886375809</v>
      </c>
      <c r="J43" s="83">
        <v>21.063748734831726</v>
      </c>
    </row>
    <row r="44" spans="1:10" ht="16">
      <c r="A44" s="79" t="s">
        <v>368</v>
      </c>
      <c r="B44" s="79" t="s">
        <v>363</v>
      </c>
      <c r="C44" s="80" t="s">
        <v>95</v>
      </c>
      <c r="D44" s="81" t="s">
        <v>79</v>
      </c>
      <c r="E44" s="82">
        <v>22393</v>
      </c>
      <c r="F44" s="82">
        <v>549</v>
      </c>
      <c r="G44" s="82">
        <v>501</v>
      </c>
      <c r="H44" s="83">
        <v>9.4733462379331215</v>
      </c>
      <c r="I44" s="83">
        <v>8776.0698953631581</v>
      </c>
      <c r="J44" s="83">
        <v>12.102786972584415</v>
      </c>
    </row>
    <row r="45" spans="1:10" ht="16">
      <c r="A45" s="79" t="s">
        <v>468</v>
      </c>
      <c r="B45" s="79" t="s">
        <v>467</v>
      </c>
      <c r="C45" s="80" t="s">
        <v>126</v>
      </c>
      <c r="D45" s="81" t="s">
        <v>79</v>
      </c>
      <c r="E45" s="82">
        <v>9678</v>
      </c>
      <c r="F45" s="82">
        <v>218</v>
      </c>
      <c r="G45" s="82">
        <v>484</v>
      </c>
      <c r="H45" s="83">
        <v>21.503207578559028</v>
      </c>
      <c r="I45" s="83">
        <v>8367.5997628041514</v>
      </c>
      <c r="J45" s="83">
        <v>17.980003676929229</v>
      </c>
    </row>
    <row r="46" spans="1:10" ht="16">
      <c r="A46" s="79" t="s">
        <v>1165</v>
      </c>
      <c r="B46" s="79" t="s">
        <v>1161</v>
      </c>
      <c r="C46" s="80" t="s">
        <v>126</v>
      </c>
      <c r="D46" s="81" t="s">
        <v>149</v>
      </c>
      <c r="E46" s="82">
        <v>9862</v>
      </c>
      <c r="F46" s="82">
        <v>587</v>
      </c>
      <c r="G46" s="82">
        <v>592</v>
      </c>
      <c r="H46" s="83">
        <v>9.5034108268015292</v>
      </c>
      <c r="I46" s="83">
        <v>3470.0809765063527</v>
      </c>
      <c r="J46" s="83">
        <v>15.142700484467674</v>
      </c>
    </row>
    <row r="47" spans="1:10" ht="16">
      <c r="A47" s="79" t="s">
        <v>1309</v>
      </c>
      <c r="B47" s="79" t="s">
        <v>1307</v>
      </c>
      <c r="C47" s="80" t="s">
        <v>95</v>
      </c>
      <c r="D47" s="81" t="s">
        <v>99</v>
      </c>
      <c r="E47" s="82">
        <v>26641</v>
      </c>
      <c r="F47" s="82">
        <v>1417</v>
      </c>
      <c r="G47" s="82">
        <v>2398</v>
      </c>
      <c r="H47" s="83">
        <v>21.995992885062471</v>
      </c>
      <c r="I47" s="83">
        <v>9174.9620879144804</v>
      </c>
      <c r="J47" s="83">
        <v>33.173511774791898</v>
      </c>
    </row>
    <row r="48" spans="1:10" ht="16">
      <c r="A48" s="79" t="s">
        <v>852</v>
      </c>
      <c r="B48" s="79" t="s">
        <v>853</v>
      </c>
      <c r="C48" s="80" t="s">
        <v>95</v>
      </c>
      <c r="D48" s="81" t="s">
        <v>111</v>
      </c>
      <c r="E48" s="82">
        <v>18035</v>
      </c>
      <c r="F48" s="82">
        <v>1055</v>
      </c>
      <c r="G48" s="82">
        <v>8476</v>
      </c>
      <c r="H48" s="83">
        <v>18.461574801189784</v>
      </c>
      <c r="I48" s="83">
        <v>18053.866579126399</v>
      </c>
      <c r="J48" s="83">
        <v>20.562959992333013</v>
      </c>
    </row>
    <row r="49" spans="1:10" ht="16">
      <c r="A49" s="79" t="s">
        <v>230</v>
      </c>
      <c r="B49" s="79" t="s">
        <v>231</v>
      </c>
      <c r="C49" s="80" t="s">
        <v>126</v>
      </c>
      <c r="D49" s="81" t="s">
        <v>101</v>
      </c>
      <c r="E49" s="82">
        <v>15575</v>
      </c>
      <c r="F49" s="82">
        <v>880</v>
      </c>
      <c r="G49" s="82">
        <v>312</v>
      </c>
      <c r="H49" s="83">
        <v>12.325320148521726</v>
      </c>
      <c r="I49" s="83">
        <v>2792.1431335691423</v>
      </c>
      <c r="J49" s="83">
        <v>15.933621900156643</v>
      </c>
    </row>
    <row r="50" spans="1:10" ht="16">
      <c r="A50" s="79" t="s">
        <v>107</v>
      </c>
      <c r="B50" s="79" t="s">
        <v>108</v>
      </c>
      <c r="C50" s="80" t="s">
        <v>95</v>
      </c>
      <c r="D50" s="81" t="s">
        <v>75</v>
      </c>
      <c r="E50" s="82">
        <v>23886</v>
      </c>
      <c r="F50" s="82">
        <v>549</v>
      </c>
      <c r="G50" s="82">
        <v>2866</v>
      </c>
      <c r="H50" s="83">
        <v>27.916137453170926</v>
      </c>
      <c r="I50" s="83">
        <v>20231.894356002464</v>
      </c>
      <c r="J50" s="83">
        <v>21.393220440050147</v>
      </c>
    </row>
    <row r="51" spans="1:10" ht="16">
      <c r="A51" s="79" t="s">
        <v>109</v>
      </c>
      <c r="B51" s="79" t="s">
        <v>108</v>
      </c>
      <c r="C51" s="80" t="s">
        <v>95</v>
      </c>
      <c r="D51" s="81" t="s">
        <v>99</v>
      </c>
      <c r="E51" s="82">
        <v>17359</v>
      </c>
      <c r="F51" s="82">
        <v>975</v>
      </c>
      <c r="G51" s="82">
        <v>7638</v>
      </c>
      <c r="H51" s="83">
        <v>70.434574179405402</v>
      </c>
      <c r="I51" s="83">
        <v>61684.526630901084</v>
      </c>
      <c r="J51" s="83">
        <v>55.134868663219272</v>
      </c>
    </row>
    <row r="52" spans="1:10" ht="16">
      <c r="A52" s="79" t="s">
        <v>816</v>
      </c>
      <c r="B52" s="79" t="s">
        <v>817</v>
      </c>
      <c r="C52" s="80" t="s">
        <v>95</v>
      </c>
      <c r="D52" s="81" t="s">
        <v>149</v>
      </c>
      <c r="E52" s="82">
        <v>59507</v>
      </c>
      <c r="F52" s="82">
        <v>3362</v>
      </c>
      <c r="G52" s="82">
        <v>1190</v>
      </c>
      <c r="H52" s="83">
        <v>9.77968919268009</v>
      </c>
      <c r="I52" s="83">
        <v>683.03769687284671</v>
      </c>
      <c r="J52" s="83">
        <v>14.513387855041717</v>
      </c>
    </row>
    <row r="53" spans="1:10" ht="16">
      <c r="A53" s="79" t="s">
        <v>1038</v>
      </c>
      <c r="B53" s="79" t="s">
        <v>1039</v>
      </c>
      <c r="C53" s="80" t="s">
        <v>95</v>
      </c>
      <c r="D53" s="81" t="s">
        <v>111</v>
      </c>
      <c r="E53" s="82">
        <v>31877</v>
      </c>
      <c r="F53" s="82">
        <v>2530</v>
      </c>
      <c r="G53" s="82">
        <v>5100</v>
      </c>
      <c r="H53" s="83">
        <v>36.230407953728502</v>
      </c>
      <c r="I53" s="83">
        <v>33625.820105913983</v>
      </c>
      <c r="J53" s="83">
        <v>41.794539834289637</v>
      </c>
    </row>
    <row r="54" spans="1:10" ht="16">
      <c r="A54" s="79" t="s">
        <v>818</v>
      </c>
      <c r="B54" s="79" t="s">
        <v>817</v>
      </c>
      <c r="C54" s="80" t="s">
        <v>95</v>
      </c>
      <c r="D54" s="81" t="s">
        <v>96</v>
      </c>
      <c r="E54" s="82">
        <v>34995</v>
      </c>
      <c r="F54" s="82">
        <v>1923</v>
      </c>
      <c r="G54" s="82">
        <v>350</v>
      </c>
      <c r="H54" s="83">
        <v>9.1924411455997035</v>
      </c>
      <c r="I54" s="83">
        <v>692.14538720976259</v>
      </c>
      <c r="J54" s="83">
        <v>15.939786883370482</v>
      </c>
    </row>
    <row r="55" spans="1:10" ht="16">
      <c r="A55" s="79" t="s">
        <v>1040</v>
      </c>
      <c r="B55" s="79" t="s">
        <v>1039</v>
      </c>
      <c r="C55" s="80" t="s">
        <v>95</v>
      </c>
      <c r="D55" s="81" t="s">
        <v>79</v>
      </c>
      <c r="E55" s="82">
        <v>29576</v>
      </c>
      <c r="F55" s="82">
        <v>2207</v>
      </c>
      <c r="G55" s="82">
        <v>4141</v>
      </c>
      <c r="H55" s="83">
        <v>29.071791134829219</v>
      </c>
      <c r="I55" s="83">
        <v>21435.924447515896</v>
      </c>
      <c r="J55" s="83">
        <v>40.494711862801388</v>
      </c>
    </row>
    <row r="56" spans="1:10" ht="16">
      <c r="A56" s="79" t="s">
        <v>819</v>
      </c>
      <c r="B56" s="79" t="s">
        <v>817</v>
      </c>
      <c r="C56" s="80" t="s">
        <v>95</v>
      </c>
      <c r="D56" s="81" t="s">
        <v>79</v>
      </c>
      <c r="E56" s="82">
        <v>69982</v>
      </c>
      <c r="F56" s="82">
        <v>2108</v>
      </c>
      <c r="G56" s="82">
        <v>700</v>
      </c>
      <c r="H56" s="83">
        <v>7.9950124336095296</v>
      </c>
      <c r="I56" s="83">
        <v>968.4146146362292</v>
      </c>
      <c r="J56" s="83">
        <v>16.826977586342707</v>
      </c>
    </row>
    <row r="57" spans="1:10" ht="16">
      <c r="A57" s="79" t="s">
        <v>820</v>
      </c>
      <c r="B57" s="79" t="s">
        <v>817</v>
      </c>
      <c r="C57" s="80" t="s">
        <v>95</v>
      </c>
      <c r="D57" s="81" t="s">
        <v>99</v>
      </c>
      <c r="E57" s="82">
        <v>32012</v>
      </c>
      <c r="F57" s="82">
        <v>3370</v>
      </c>
      <c r="G57" s="82">
        <v>320</v>
      </c>
      <c r="H57" s="83">
        <v>8.275450102048401</v>
      </c>
      <c r="I57" s="83">
        <v>888.65591720591158</v>
      </c>
      <c r="J57" s="83">
        <v>18.525586982452985</v>
      </c>
    </row>
    <row r="58" spans="1:10" ht="16">
      <c r="A58" s="79" t="s">
        <v>821</v>
      </c>
      <c r="B58" s="79" t="s">
        <v>817</v>
      </c>
      <c r="C58" s="80" t="s">
        <v>95</v>
      </c>
      <c r="D58" s="81" t="s">
        <v>79</v>
      </c>
      <c r="E58" s="82">
        <v>72792</v>
      </c>
      <c r="F58" s="82">
        <v>3386</v>
      </c>
      <c r="G58" s="82">
        <v>5065</v>
      </c>
      <c r="H58" s="83">
        <v>8.2779436172186482</v>
      </c>
      <c r="I58" s="83">
        <v>1141.8754476300419</v>
      </c>
      <c r="J58" s="83">
        <v>13.54711675793958</v>
      </c>
    </row>
    <row r="59" spans="1:10" ht="16">
      <c r="A59" s="79" t="s">
        <v>822</v>
      </c>
      <c r="B59" s="79" t="s">
        <v>817</v>
      </c>
      <c r="C59" s="80" t="s">
        <v>95</v>
      </c>
      <c r="D59" s="81" t="s">
        <v>149</v>
      </c>
      <c r="E59" s="82">
        <v>57588</v>
      </c>
      <c r="F59" s="82">
        <v>2594</v>
      </c>
      <c r="G59" s="82">
        <v>576</v>
      </c>
      <c r="H59" s="83">
        <v>10.134091439392787</v>
      </c>
      <c r="I59" s="83">
        <v>636.46006223034215</v>
      </c>
      <c r="J59" s="83">
        <v>14.639590672691572</v>
      </c>
    </row>
    <row r="60" spans="1:10" ht="16">
      <c r="A60" s="79" t="s">
        <v>558</v>
      </c>
      <c r="B60" s="79" t="s">
        <v>556</v>
      </c>
      <c r="C60" s="80" t="s">
        <v>95</v>
      </c>
      <c r="D60" s="81" t="s">
        <v>99</v>
      </c>
      <c r="E60" s="82">
        <v>6329</v>
      </c>
      <c r="F60" s="82">
        <v>265</v>
      </c>
      <c r="G60" s="82">
        <v>291</v>
      </c>
      <c r="H60" s="83">
        <v>13.375213679262407</v>
      </c>
      <c r="I60" s="83">
        <v>2992.7822567408625</v>
      </c>
      <c r="J60" s="83">
        <v>18.443041033195374</v>
      </c>
    </row>
    <row r="61" spans="1:10" ht="16">
      <c r="A61" s="79" t="s">
        <v>929</v>
      </c>
      <c r="B61" s="79" t="s">
        <v>928</v>
      </c>
      <c r="C61" s="80" t="s">
        <v>95</v>
      </c>
      <c r="D61" s="81" t="s">
        <v>75</v>
      </c>
      <c r="E61" s="82">
        <v>37168</v>
      </c>
      <c r="F61" s="82">
        <v>1511</v>
      </c>
      <c r="G61" s="82">
        <v>1487</v>
      </c>
      <c r="H61" s="83">
        <v>14.412680813950024</v>
      </c>
      <c r="I61" s="83">
        <v>5208.2348952657912</v>
      </c>
      <c r="J61" s="83">
        <v>17.40217545810059</v>
      </c>
    </row>
    <row r="62" spans="1:10" ht="16">
      <c r="A62" s="79" t="s">
        <v>559</v>
      </c>
      <c r="B62" s="79" t="s">
        <v>556</v>
      </c>
      <c r="C62" s="80" t="s">
        <v>126</v>
      </c>
      <c r="D62" s="81" t="s">
        <v>75</v>
      </c>
      <c r="E62" s="82">
        <v>5744</v>
      </c>
      <c r="F62" s="82">
        <v>194</v>
      </c>
      <c r="G62" s="82">
        <v>400</v>
      </c>
      <c r="H62" s="83">
        <v>21.706281955467944</v>
      </c>
      <c r="I62" s="83">
        <v>21203.337626337292</v>
      </c>
      <c r="J62" s="83">
        <v>15.582212944757876</v>
      </c>
    </row>
    <row r="63" spans="1:10" ht="16">
      <c r="A63" s="79" t="s">
        <v>876</v>
      </c>
      <c r="B63" s="79" t="s">
        <v>877</v>
      </c>
      <c r="C63" s="80" t="s">
        <v>126</v>
      </c>
      <c r="D63" s="81" t="s">
        <v>96</v>
      </c>
      <c r="E63" s="82">
        <v>28135</v>
      </c>
      <c r="F63" s="82">
        <v>816</v>
      </c>
      <c r="G63" s="82">
        <v>1958</v>
      </c>
      <c r="H63" s="83">
        <v>9.5091762440590699</v>
      </c>
      <c r="I63" s="83">
        <v>1791.9358631413731</v>
      </c>
      <c r="J63" s="83">
        <v>13.796182011048593</v>
      </c>
    </row>
    <row r="64" spans="1:10" ht="16">
      <c r="A64" s="79" t="s">
        <v>1166</v>
      </c>
      <c r="B64" s="79" t="s">
        <v>1161</v>
      </c>
      <c r="C64" s="80" t="s">
        <v>126</v>
      </c>
      <c r="D64" s="81" t="s">
        <v>77</v>
      </c>
      <c r="E64" s="82">
        <v>16458</v>
      </c>
      <c r="F64" s="82">
        <v>430</v>
      </c>
      <c r="G64" s="82">
        <v>1975</v>
      </c>
      <c r="H64" s="83">
        <v>14.864020720294283</v>
      </c>
      <c r="I64" s="83">
        <v>2185.9006979995329</v>
      </c>
      <c r="J64" s="83">
        <v>19.09601417688323</v>
      </c>
    </row>
    <row r="65" spans="1:10" ht="16">
      <c r="A65" s="79" t="s">
        <v>500</v>
      </c>
      <c r="B65" s="79" t="s">
        <v>493</v>
      </c>
      <c r="C65" s="80" t="s">
        <v>126</v>
      </c>
      <c r="D65" s="81" t="s">
        <v>103</v>
      </c>
      <c r="E65" s="82">
        <v>14953</v>
      </c>
      <c r="F65" s="82">
        <v>1323</v>
      </c>
      <c r="G65" s="82">
        <v>449</v>
      </c>
      <c r="H65" s="83">
        <v>17.223206474233361</v>
      </c>
      <c r="I65" s="83">
        <v>7671.7409682619937</v>
      </c>
      <c r="J65" s="83">
        <v>30.824163576717638</v>
      </c>
    </row>
    <row r="66" spans="1:10" ht="16">
      <c r="A66" s="79" t="s">
        <v>501</v>
      </c>
      <c r="B66" s="79" t="s">
        <v>493</v>
      </c>
      <c r="C66" s="80" t="s">
        <v>95</v>
      </c>
      <c r="D66" s="81" t="s">
        <v>96</v>
      </c>
      <c r="E66" s="82">
        <v>10355</v>
      </c>
      <c r="F66" s="82">
        <v>542</v>
      </c>
      <c r="G66" s="82">
        <v>414</v>
      </c>
      <c r="H66" s="83">
        <v>10.81396589928001</v>
      </c>
      <c r="I66" s="83">
        <v>1110.5561701719782</v>
      </c>
      <c r="J66" s="83">
        <v>33.588253589504795</v>
      </c>
    </row>
    <row r="67" spans="1:10" ht="16">
      <c r="A67" s="79" t="s">
        <v>548</v>
      </c>
      <c r="B67" s="79" t="s">
        <v>549</v>
      </c>
      <c r="C67" s="80" t="s">
        <v>126</v>
      </c>
      <c r="D67" s="81" t="s">
        <v>75</v>
      </c>
      <c r="E67" s="82">
        <v>17382</v>
      </c>
      <c r="F67" s="82">
        <v>1655</v>
      </c>
      <c r="G67" s="82">
        <v>348</v>
      </c>
      <c r="H67" s="83">
        <v>17.681752271262614</v>
      </c>
      <c r="I67" s="83">
        <v>2731.3993915958472</v>
      </c>
      <c r="J67" s="83">
        <v>22.399530698044845</v>
      </c>
    </row>
    <row r="68" spans="1:10" ht="16">
      <c r="A68" s="79" t="s">
        <v>1212</v>
      </c>
      <c r="B68" s="79" t="s">
        <v>1209</v>
      </c>
      <c r="C68" s="80" t="s">
        <v>95</v>
      </c>
      <c r="D68" s="81" t="s">
        <v>75</v>
      </c>
      <c r="E68" s="82">
        <v>9590</v>
      </c>
      <c r="F68" s="82">
        <v>588</v>
      </c>
      <c r="G68" s="82">
        <v>2206</v>
      </c>
      <c r="H68" s="83">
        <v>21.29072658328792</v>
      </c>
      <c r="I68" s="83">
        <v>13766.719437995431</v>
      </c>
      <c r="J68" s="83">
        <v>23.015354210136287</v>
      </c>
    </row>
    <row r="69" spans="1:10" ht="16">
      <c r="A69" s="79" t="s">
        <v>609</v>
      </c>
      <c r="B69" s="79" t="s">
        <v>610</v>
      </c>
      <c r="C69" s="80" t="s">
        <v>95</v>
      </c>
      <c r="D69" s="81" t="s">
        <v>78</v>
      </c>
      <c r="E69" s="82">
        <v>16723</v>
      </c>
      <c r="F69" s="82">
        <v>956</v>
      </c>
      <c r="G69" s="82">
        <v>836</v>
      </c>
      <c r="H69" s="83">
        <v>36.883379423738084</v>
      </c>
      <c r="I69" s="83">
        <v>16176.480075097317</v>
      </c>
      <c r="J69" s="83">
        <v>30.066285756287961</v>
      </c>
    </row>
    <row r="70" spans="1:10" ht="16">
      <c r="A70" s="79" t="s">
        <v>937</v>
      </c>
      <c r="B70" s="79" t="s">
        <v>938</v>
      </c>
      <c r="C70" s="80" t="s">
        <v>95</v>
      </c>
      <c r="D70" s="81" t="s">
        <v>149</v>
      </c>
      <c r="E70" s="82">
        <v>15236</v>
      </c>
      <c r="F70" s="82">
        <v>1373</v>
      </c>
      <c r="G70" s="82">
        <v>457</v>
      </c>
      <c r="H70" s="83">
        <v>8.1763057239254895</v>
      </c>
      <c r="I70" s="83">
        <v>365.59418399553374</v>
      </c>
      <c r="J70" s="83">
        <v>17.856445685340432</v>
      </c>
    </row>
    <row r="71" spans="1:10" ht="16">
      <c r="A71" s="79" t="s">
        <v>1167</v>
      </c>
      <c r="B71" s="79" t="s">
        <v>1161</v>
      </c>
      <c r="C71" s="80" t="s">
        <v>95</v>
      </c>
      <c r="D71" s="81" t="s">
        <v>99</v>
      </c>
      <c r="E71" s="82">
        <v>12516</v>
      </c>
      <c r="F71" s="82">
        <v>1138</v>
      </c>
      <c r="G71" s="82">
        <v>1188</v>
      </c>
      <c r="H71" s="83">
        <v>11.502500631293348</v>
      </c>
      <c r="I71" s="83">
        <v>524.03925727428737</v>
      </c>
      <c r="J71" s="83">
        <v>22.258757225183174</v>
      </c>
    </row>
    <row r="72" spans="1:10" ht="16">
      <c r="A72" s="79" t="s">
        <v>939</v>
      </c>
      <c r="B72" s="79" t="s">
        <v>938</v>
      </c>
      <c r="C72" s="80" t="s">
        <v>126</v>
      </c>
      <c r="D72" s="81" t="s">
        <v>103</v>
      </c>
      <c r="E72" s="82">
        <v>19785</v>
      </c>
      <c r="F72" s="82">
        <v>4122</v>
      </c>
      <c r="G72" s="82">
        <v>1583</v>
      </c>
      <c r="H72" s="83">
        <v>17.61725982160517</v>
      </c>
      <c r="I72" s="83">
        <v>2929.4647400619592</v>
      </c>
      <c r="J72" s="83">
        <v>34.07147474988642</v>
      </c>
    </row>
    <row r="73" spans="1:10" ht="16">
      <c r="A73" s="79" t="s">
        <v>1310</v>
      </c>
      <c r="B73" s="79" t="s">
        <v>1307</v>
      </c>
      <c r="C73" s="80" t="s">
        <v>95</v>
      </c>
      <c r="D73" s="81" t="s">
        <v>96</v>
      </c>
      <c r="E73" s="82">
        <v>17078</v>
      </c>
      <c r="F73" s="82">
        <v>1054</v>
      </c>
      <c r="G73" s="82">
        <v>1025</v>
      </c>
      <c r="H73" s="83">
        <v>19.19084625196751</v>
      </c>
      <c r="I73" s="83">
        <v>9831.5498642611747</v>
      </c>
      <c r="J73" s="83">
        <v>33.00766296616176</v>
      </c>
    </row>
    <row r="74" spans="1:10" ht="16">
      <c r="A74" s="79" t="s">
        <v>241</v>
      </c>
      <c r="B74" s="79" t="s">
        <v>242</v>
      </c>
      <c r="C74" s="80" t="s">
        <v>126</v>
      </c>
      <c r="D74" s="81" t="s">
        <v>149</v>
      </c>
      <c r="E74" s="82">
        <v>29952</v>
      </c>
      <c r="F74" s="82">
        <v>2186</v>
      </c>
      <c r="G74" s="82">
        <v>1797</v>
      </c>
      <c r="H74" s="83">
        <v>34.992066689152026</v>
      </c>
      <c r="I74" s="83">
        <v>13065.373263258194</v>
      </c>
      <c r="J74" s="83">
        <v>31.399095462548964</v>
      </c>
    </row>
    <row r="75" spans="1:10" ht="16">
      <c r="A75" s="79" t="s">
        <v>243</v>
      </c>
      <c r="B75" s="79" t="s">
        <v>242</v>
      </c>
      <c r="C75" s="80" t="s">
        <v>126</v>
      </c>
      <c r="D75" s="81" t="s">
        <v>99</v>
      </c>
      <c r="E75" s="82">
        <v>30608</v>
      </c>
      <c r="F75" s="82">
        <v>2301</v>
      </c>
      <c r="G75" s="82">
        <v>2449</v>
      </c>
      <c r="H75" s="83">
        <v>32.758681843596811</v>
      </c>
      <c r="I75" s="83">
        <v>10528.227557712529</v>
      </c>
      <c r="J75" s="83">
        <v>31.485267796507681</v>
      </c>
    </row>
    <row r="76" spans="1:10" ht="16">
      <c r="A76" s="79" t="s">
        <v>244</v>
      </c>
      <c r="B76" s="79" t="s">
        <v>242</v>
      </c>
      <c r="C76" s="80" t="s">
        <v>95</v>
      </c>
      <c r="D76" s="81" t="s">
        <v>78</v>
      </c>
      <c r="E76" s="82">
        <v>26457</v>
      </c>
      <c r="F76" s="82">
        <v>1890</v>
      </c>
      <c r="G76" s="82">
        <v>2117</v>
      </c>
      <c r="H76" s="83">
        <v>24.326287317154431</v>
      </c>
      <c r="I76" s="83">
        <v>4782.6349887957449</v>
      </c>
      <c r="J76" s="83">
        <v>23.876424712932415</v>
      </c>
    </row>
    <row r="77" spans="1:10" ht="16">
      <c r="A77" s="79" t="s">
        <v>245</v>
      </c>
      <c r="B77" s="79" t="s">
        <v>242</v>
      </c>
      <c r="C77" s="80" t="s">
        <v>95</v>
      </c>
      <c r="D77" s="81" t="s">
        <v>78</v>
      </c>
      <c r="E77" s="82">
        <v>23524</v>
      </c>
      <c r="F77" s="82">
        <v>1528</v>
      </c>
      <c r="G77" s="82">
        <v>2588</v>
      </c>
      <c r="H77" s="83">
        <v>40.246964200785968</v>
      </c>
      <c r="I77" s="83">
        <v>19278.630798270711</v>
      </c>
      <c r="J77" s="83">
        <v>47.10833019751361</v>
      </c>
    </row>
    <row r="78" spans="1:10" ht="16">
      <c r="A78" s="79" t="s">
        <v>160</v>
      </c>
      <c r="B78" s="79" t="s">
        <v>161</v>
      </c>
      <c r="C78" s="80" t="s">
        <v>95</v>
      </c>
      <c r="D78" s="81" t="s">
        <v>76</v>
      </c>
      <c r="E78" s="82">
        <v>27101</v>
      </c>
      <c r="F78" s="82">
        <v>3226</v>
      </c>
      <c r="G78" s="82">
        <v>2439</v>
      </c>
      <c r="H78" s="83">
        <v>10.151069836010812</v>
      </c>
      <c r="I78" s="83">
        <v>1300.5774000333454</v>
      </c>
      <c r="J78" s="83">
        <v>21.823981460458356</v>
      </c>
    </row>
    <row r="79" spans="1:10" ht="16">
      <c r="A79" s="79" t="s">
        <v>940</v>
      </c>
      <c r="B79" s="79" t="s">
        <v>938</v>
      </c>
      <c r="C79" s="80" t="s">
        <v>95</v>
      </c>
      <c r="D79" s="81" t="s">
        <v>77</v>
      </c>
      <c r="E79" s="82">
        <v>13175</v>
      </c>
      <c r="F79" s="82">
        <v>983</v>
      </c>
      <c r="G79" s="82">
        <v>2372</v>
      </c>
      <c r="H79" s="83">
        <v>10.533525085116333</v>
      </c>
      <c r="I79" s="83">
        <v>2039.281431641288</v>
      </c>
      <c r="J79" s="83">
        <v>19.857927144539207</v>
      </c>
    </row>
    <row r="80" spans="1:10" ht="16">
      <c r="A80" s="79" t="s">
        <v>369</v>
      </c>
      <c r="B80" s="79" t="s">
        <v>363</v>
      </c>
      <c r="C80" s="80" t="s">
        <v>126</v>
      </c>
      <c r="D80" s="81" t="s">
        <v>79</v>
      </c>
      <c r="E80" s="82">
        <v>97843</v>
      </c>
      <c r="F80" s="82">
        <v>3208</v>
      </c>
      <c r="G80" s="82">
        <v>4892</v>
      </c>
      <c r="H80" s="83">
        <v>7.7885988967594839</v>
      </c>
      <c r="I80" s="83">
        <v>4097.7115816220467</v>
      </c>
      <c r="J80" s="83">
        <v>15.579380320925047</v>
      </c>
    </row>
    <row r="81" spans="1:10" ht="16">
      <c r="A81" s="79" t="s">
        <v>370</v>
      </c>
      <c r="B81" s="79" t="s">
        <v>363</v>
      </c>
      <c r="C81" s="80" t="s">
        <v>126</v>
      </c>
      <c r="D81" s="81" t="s">
        <v>101</v>
      </c>
      <c r="E81" s="82">
        <v>67981</v>
      </c>
      <c r="F81" s="82">
        <v>2687</v>
      </c>
      <c r="G81" s="82">
        <v>680</v>
      </c>
      <c r="H81" s="83">
        <v>8.2762706403909156</v>
      </c>
      <c r="I81" s="83">
        <v>4508.6226771645188</v>
      </c>
      <c r="J81" s="83">
        <v>15.329705931614333</v>
      </c>
    </row>
    <row r="82" spans="1:10" ht="16">
      <c r="A82" s="79" t="s">
        <v>420</v>
      </c>
      <c r="B82" s="79" t="s">
        <v>421</v>
      </c>
      <c r="C82" s="80" t="s">
        <v>95</v>
      </c>
      <c r="D82" s="81" t="s">
        <v>96</v>
      </c>
      <c r="E82" s="82">
        <v>24875</v>
      </c>
      <c r="F82" s="82">
        <v>321</v>
      </c>
      <c r="G82" s="82">
        <v>1990</v>
      </c>
      <c r="H82" s="83">
        <v>43.528500963385895</v>
      </c>
      <c r="I82" s="83">
        <v>38912.056585616221</v>
      </c>
      <c r="J82" s="83">
        <v>36.291732816541973</v>
      </c>
    </row>
    <row r="83" spans="1:10" ht="16">
      <c r="A83" s="79" t="s">
        <v>1168</v>
      </c>
      <c r="B83" s="79" t="s">
        <v>1161</v>
      </c>
      <c r="C83" s="80" t="s">
        <v>126</v>
      </c>
      <c r="D83" s="81" t="s">
        <v>78</v>
      </c>
      <c r="E83" s="82">
        <v>10374</v>
      </c>
      <c r="F83" s="82">
        <v>715</v>
      </c>
      <c r="G83" s="82">
        <v>934</v>
      </c>
      <c r="H83" s="83">
        <v>25.028897068987586</v>
      </c>
      <c r="I83" s="83">
        <v>13150.578604727471</v>
      </c>
      <c r="J83" s="83">
        <v>25.283600651949769</v>
      </c>
    </row>
    <row r="84" spans="1:10" ht="16">
      <c r="A84" s="79" t="s">
        <v>1311</v>
      </c>
      <c r="B84" s="79" t="s">
        <v>1307</v>
      </c>
      <c r="C84" s="80" t="s">
        <v>126</v>
      </c>
      <c r="D84" s="81" t="s">
        <v>76</v>
      </c>
      <c r="E84" s="82">
        <v>17848</v>
      </c>
      <c r="F84" s="82">
        <v>766</v>
      </c>
      <c r="G84" s="82">
        <v>2499</v>
      </c>
      <c r="H84" s="83">
        <v>21.921284043236099</v>
      </c>
      <c r="I84" s="83">
        <v>13604.321769860755</v>
      </c>
      <c r="J84" s="83">
        <v>23.40717053073077</v>
      </c>
    </row>
    <row r="85" spans="1:10" ht="16">
      <c r="A85" s="79" t="s">
        <v>1213</v>
      </c>
      <c r="B85" s="79" t="s">
        <v>1209</v>
      </c>
      <c r="C85" s="80" t="s">
        <v>95</v>
      </c>
      <c r="D85" s="81" t="s">
        <v>78</v>
      </c>
      <c r="E85" s="82">
        <v>8631</v>
      </c>
      <c r="F85" s="82">
        <v>546</v>
      </c>
      <c r="G85" s="82">
        <v>3280</v>
      </c>
      <c r="H85" s="83">
        <v>31.824492233226259</v>
      </c>
      <c r="I85" s="83">
        <v>19835.307580355082</v>
      </c>
      <c r="J85" s="83">
        <v>27.785720636596778</v>
      </c>
    </row>
    <row r="86" spans="1:10" ht="16">
      <c r="A86" s="79" t="s">
        <v>502</v>
      </c>
      <c r="B86" s="79" t="s">
        <v>493</v>
      </c>
      <c r="C86" s="80" t="s">
        <v>126</v>
      </c>
      <c r="D86" s="81" t="s">
        <v>76</v>
      </c>
      <c r="E86" s="82">
        <v>13535</v>
      </c>
      <c r="F86" s="82">
        <v>778</v>
      </c>
      <c r="G86" s="82">
        <v>135</v>
      </c>
      <c r="H86" s="83">
        <v>11.246735564770352</v>
      </c>
      <c r="I86" s="83">
        <v>3381.0311798813941</v>
      </c>
      <c r="J86" s="83">
        <v>19.789136785592071</v>
      </c>
    </row>
    <row r="87" spans="1:10" ht="16">
      <c r="A87" s="79" t="s">
        <v>1214</v>
      </c>
      <c r="B87" s="79" t="s">
        <v>1209</v>
      </c>
      <c r="C87" s="80" t="s">
        <v>95</v>
      </c>
      <c r="D87" s="81" t="s">
        <v>103</v>
      </c>
      <c r="E87" s="82">
        <v>19975</v>
      </c>
      <c r="F87" s="82">
        <v>1104</v>
      </c>
      <c r="G87" s="82">
        <v>4594</v>
      </c>
      <c r="H87" s="83">
        <v>10.736039470042295</v>
      </c>
      <c r="I87" s="83">
        <v>3879.368116885777</v>
      </c>
      <c r="J87" s="83">
        <v>16.418804493960433</v>
      </c>
    </row>
    <row r="88" spans="1:10" ht="16">
      <c r="A88" s="79" t="s">
        <v>1169</v>
      </c>
      <c r="B88" s="79" t="s">
        <v>1161</v>
      </c>
      <c r="C88" s="80" t="s">
        <v>126</v>
      </c>
      <c r="D88" s="81" t="s">
        <v>96</v>
      </c>
      <c r="E88" s="82">
        <v>13202</v>
      </c>
      <c r="F88" s="82">
        <v>569</v>
      </c>
      <c r="G88" s="82">
        <v>396</v>
      </c>
      <c r="H88" s="83">
        <v>21.235089845385968</v>
      </c>
      <c r="I88" s="83">
        <v>10521.558896366047</v>
      </c>
      <c r="J88" s="83">
        <v>23.253278691881523</v>
      </c>
    </row>
    <row r="89" spans="1:10" ht="16">
      <c r="A89" s="79" t="s">
        <v>550</v>
      </c>
      <c r="B89" s="79" t="s">
        <v>549</v>
      </c>
      <c r="C89" s="80" t="s">
        <v>95</v>
      </c>
      <c r="D89" s="81" t="s">
        <v>78</v>
      </c>
      <c r="E89" s="82">
        <v>22289</v>
      </c>
      <c r="F89" s="82">
        <v>1798</v>
      </c>
      <c r="G89" s="82">
        <v>669</v>
      </c>
      <c r="H89" s="83">
        <v>10.632606966457791</v>
      </c>
      <c r="I89" s="83">
        <v>946.40136899122035</v>
      </c>
      <c r="J89" s="83">
        <v>19.823897267687887</v>
      </c>
    </row>
    <row r="90" spans="1:10" ht="16">
      <c r="A90" s="79" t="s">
        <v>110</v>
      </c>
      <c r="B90" s="79" t="s">
        <v>108</v>
      </c>
      <c r="C90" s="80" t="s">
        <v>95</v>
      </c>
      <c r="D90" s="81" t="s">
        <v>111</v>
      </c>
      <c r="E90" s="82">
        <v>3341</v>
      </c>
      <c r="F90" s="82">
        <v>324</v>
      </c>
      <c r="G90" s="82">
        <v>1437</v>
      </c>
      <c r="H90" s="83">
        <v>19.653795402597773</v>
      </c>
      <c r="I90" s="83">
        <v>12667.762327887345</v>
      </c>
      <c r="J90" s="83">
        <v>21.249261726479702</v>
      </c>
    </row>
    <row r="91" spans="1:10" ht="16">
      <c r="A91" s="79" t="s">
        <v>1312</v>
      </c>
      <c r="B91" s="79" t="s">
        <v>1307</v>
      </c>
      <c r="C91" s="80" t="s">
        <v>95</v>
      </c>
      <c r="D91" s="81" t="s">
        <v>75</v>
      </c>
      <c r="E91" s="82">
        <v>12904</v>
      </c>
      <c r="F91" s="82">
        <v>822</v>
      </c>
      <c r="G91" s="82">
        <v>1419</v>
      </c>
      <c r="H91" s="83">
        <v>34.37242462538201</v>
      </c>
      <c r="I91" s="83">
        <v>23388.817375810078</v>
      </c>
      <c r="J91" s="83">
        <v>37.240173952984605</v>
      </c>
    </row>
    <row r="92" spans="1:10" ht="16">
      <c r="A92" s="79" t="s">
        <v>1313</v>
      </c>
      <c r="B92" s="79" t="s">
        <v>1307</v>
      </c>
      <c r="C92" s="80" t="s">
        <v>95</v>
      </c>
      <c r="D92" s="81" t="s">
        <v>96</v>
      </c>
      <c r="E92" s="82">
        <v>25662</v>
      </c>
      <c r="F92" s="82">
        <v>2212</v>
      </c>
      <c r="G92" s="82">
        <v>6929</v>
      </c>
      <c r="H92" s="83">
        <v>56.063719791573412</v>
      </c>
      <c r="I92" s="83">
        <v>53302.153014846517</v>
      </c>
      <c r="J92" s="83">
        <v>57.661957484755327</v>
      </c>
    </row>
    <row r="93" spans="1:10" ht="16">
      <c r="A93" s="79" t="s">
        <v>1215</v>
      </c>
      <c r="B93" s="79" t="s">
        <v>1209</v>
      </c>
      <c r="C93" s="80" t="s">
        <v>95</v>
      </c>
      <c r="D93" s="81" t="s">
        <v>111</v>
      </c>
      <c r="E93" s="82">
        <v>13692</v>
      </c>
      <c r="F93" s="82">
        <v>801</v>
      </c>
      <c r="G93" s="82">
        <v>2465</v>
      </c>
      <c r="H93" s="83">
        <v>19.04762873698515</v>
      </c>
      <c r="I93" s="83">
        <v>10429.374187881245</v>
      </c>
      <c r="J93" s="83">
        <v>34.006206813777482</v>
      </c>
    </row>
    <row r="94" spans="1:10" ht="16">
      <c r="A94" s="79" t="s">
        <v>1314</v>
      </c>
      <c r="B94" s="79" t="s">
        <v>1307</v>
      </c>
      <c r="C94" s="80" t="s">
        <v>95</v>
      </c>
      <c r="D94" s="81" t="s">
        <v>77</v>
      </c>
      <c r="E94" s="82">
        <v>5375</v>
      </c>
      <c r="F94" s="82">
        <v>441</v>
      </c>
      <c r="G94" s="82">
        <v>1451</v>
      </c>
      <c r="H94" s="83">
        <v>23.486689180746897</v>
      </c>
      <c r="I94" s="83">
        <v>22937.896290846646</v>
      </c>
      <c r="J94" s="83">
        <v>28.66458779125842</v>
      </c>
    </row>
    <row r="95" spans="1:10" ht="16">
      <c r="A95" s="79" t="s">
        <v>1216</v>
      </c>
      <c r="B95" s="79" t="s">
        <v>1209</v>
      </c>
      <c r="C95" s="80" t="s">
        <v>95</v>
      </c>
      <c r="D95" s="81" t="s">
        <v>149</v>
      </c>
      <c r="E95" s="82">
        <v>879</v>
      </c>
      <c r="F95" s="82">
        <v>78</v>
      </c>
      <c r="G95" s="82">
        <v>132</v>
      </c>
      <c r="H95" s="83">
        <v>20.826628827528715</v>
      </c>
      <c r="I95" s="83">
        <v>19983.788448422365</v>
      </c>
      <c r="J95" s="83">
        <v>16.48997818314481</v>
      </c>
    </row>
    <row r="96" spans="1:10" ht="16">
      <c r="A96" s="79" t="s">
        <v>340</v>
      </c>
      <c r="B96" s="79" t="s">
        <v>341</v>
      </c>
      <c r="C96" s="80" t="s">
        <v>126</v>
      </c>
      <c r="D96" s="81" t="s">
        <v>149</v>
      </c>
      <c r="E96" s="82">
        <v>20275</v>
      </c>
      <c r="F96" s="82">
        <v>1034</v>
      </c>
      <c r="G96" s="82">
        <v>4461</v>
      </c>
      <c r="H96" s="83">
        <v>15.613109175232239</v>
      </c>
      <c r="I96" s="83">
        <v>3399.0458276848931</v>
      </c>
      <c r="J96" s="83">
        <v>19.359335724553628</v>
      </c>
    </row>
    <row r="97" spans="1:10" ht="16">
      <c r="A97" s="79" t="s">
        <v>1315</v>
      </c>
      <c r="B97" s="79" t="s">
        <v>1307</v>
      </c>
      <c r="C97" s="80" t="s">
        <v>126</v>
      </c>
      <c r="D97" s="81" t="s">
        <v>77</v>
      </c>
      <c r="E97" s="82">
        <v>9391</v>
      </c>
      <c r="F97" s="82">
        <v>870</v>
      </c>
      <c r="G97" s="82">
        <v>1878</v>
      </c>
      <c r="H97" s="83">
        <v>56.292018796778159</v>
      </c>
      <c r="I97" s="83">
        <v>53282.473389788669</v>
      </c>
      <c r="J97" s="83">
        <v>64.321101257341113</v>
      </c>
    </row>
    <row r="98" spans="1:10" ht="16">
      <c r="A98" s="79" t="s">
        <v>1217</v>
      </c>
      <c r="B98" s="79" t="s">
        <v>1209</v>
      </c>
      <c r="C98" s="80" t="s">
        <v>126</v>
      </c>
      <c r="D98" s="81" t="s">
        <v>77</v>
      </c>
      <c r="E98" s="82">
        <v>10961</v>
      </c>
      <c r="F98" s="82">
        <v>672</v>
      </c>
      <c r="G98" s="82">
        <v>3946</v>
      </c>
      <c r="H98" s="83">
        <v>27.594833617619251</v>
      </c>
      <c r="I98" s="83">
        <v>17046.034783467603</v>
      </c>
      <c r="J98" s="83">
        <v>27.018713014117267</v>
      </c>
    </row>
    <row r="99" spans="1:10" ht="16">
      <c r="A99" s="79" t="s">
        <v>560</v>
      </c>
      <c r="B99" s="79" t="s">
        <v>556</v>
      </c>
      <c r="C99" s="80" t="s">
        <v>95</v>
      </c>
      <c r="D99" s="81" t="s">
        <v>75</v>
      </c>
      <c r="E99" s="82">
        <v>11609</v>
      </c>
      <c r="F99" s="82">
        <v>441</v>
      </c>
      <c r="G99" s="82">
        <v>116</v>
      </c>
      <c r="H99" s="83">
        <v>16.239610397462066</v>
      </c>
      <c r="I99" s="83">
        <v>3967.7995024693614</v>
      </c>
      <c r="J99" s="83">
        <v>22.278900134572872</v>
      </c>
    </row>
    <row r="100" spans="1:10" ht="16">
      <c r="A100" s="79" t="s">
        <v>930</v>
      </c>
      <c r="B100" s="79" t="s">
        <v>928</v>
      </c>
      <c r="C100" s="80" t="s">
        <v>95</v>
      </c>
      <c r="D100" s="81" t="s">
        <v>75</v>
      </c>
      <c r="E100" s="82">
        <v>22022</v>
      </c>
      <c r="F100" s="82">
        <v>1488</v>
      </c>
      <c r="G100" s="82">
        <v>661</v>
      </c>
      <c r="H100" s="83">
        <v>10.853194756500134</v>
      </c>
      <c r="I100" s="83">
        <v>5325.1643952572522</v>
      </c>
      <c r="J100" s="83">
        <v>16.16769650535587</v>
      </c>
    </row>
    <row r="101" spans="1:10" ht="16">
      <c r="A101" s="79" t="s">
        <v>484</v>
      </c>
      <c r="B101" s="79" t="s">
        <v>485</v>
      </c>
      <c r="C101" s="80" t="s">
        <v>126</v>
      </c>
      <c r="D101" s="81" t="s">
        <v>101</v>
      </c>
      <c r="E101" s="82">
        <v>18219</v>
      </c>
      <c r="F101" s="82">
        <v>1078</v>
      </c>
      <c r="G101" s="82">
        <v>1275</v>
      </c>
      <c r="H101" s="83">
        <v>16.358782234313338</v>
      </c>
      <c r="I101" s="83">
        <v>4016.5163997851969</v>
      </c>
      <c r="J101" s="83">
        <v>17.509241459304295</v>
      </c>
    </row>
    <row r="102" spans="1:10" ht="16">
      <c r="A102" s="79" t="s">
        <v>371</v>
      </c>
      <c r="B102" s="79" t="s">
        <v>363</v>
      </c>
      <c r="C102" s="80" t="s">
        <v>126</v>
      </c>
      <c r="D102" s="81" t="s">
        <v>99</v>
      </c>
      <c r="E102" s="82">
        <v>223275</v>
      </c>
      <c r="F102" s="82">
        <v>5499</v>
      </c>
      <c r="G102" s="82">
        <v>4466</v>
      </c>
      <c r="H102" s="83">
        <v>13.867920845781235</v>
      </c>
      <c r="I102" s="83">
        <v>7101.0781107483635</v>
      </c>
      <c r="J102" s="83">
        <v>22.159178290488569</v>
      </c>
    </row>
    <row r="103" spans="1:10" ht="16">
      <c r="A103" s="79" t="s">
        <v>1316</v>
      </c>
      <c r="B103" s="79" t="s">
        <v>1307</v>
      </c>
      <c r="C103" s="80" t="s">
        <v>126</v>
      </c>
      <c r="D103" s="81" t="s">
        <v>149</v>
      </c>
      <c r="E103" s="82">
        <v>2240</v>
      </c>
      <c r="F103" s="82">
        <v>350</v>
      </c>
      <c r="G103" s="82">
        <v>672</v>
      </c>
      <c r="H103" s="83">
        <v>97.714208980505319</v>
      </c>
      <c r="I103" s="83">
        <v>95230.664161475113</v>
      </c>
      <c r="J103" s="83">
        <v>92.862044042680239</v>
      </c>
    </row>
    <row r="104" spans="1:10" ht="16">
      <c r="A104" s="79" t="s">
        <v>1317</v>
      </c>
      <c r="B104" s="79" t="s">
        <v>1307</v>
      </c>
      <c r="C104" s="80" t="s">
        <v>95</v>
      </c>
      <c r="D104" s="81" t="s">
        <v>96</v>
      </c>
      <c r="E104" s="82">
        <v>30595</v>
      </c>
      <c r="F104" s="82">
        <v>1553</v>
      </c>
      <c r="G104" s="82">
        <v>1224</v>
      </c>
      <c r="H104" s="83">
        <v>10.40664463393728</v>
      </c>
      <c r="I104" s="83">
        <v>2773.9232221073476</v>
      </c>
      <c r="J104" s="83">
        <v>23.171702379613212</v>
      </c>
    </row>
    <row r="105" spans="1:10" ht="16">
      <c r="A105" s="79" t="s">
        <v>1170</v>
      </c>
      <c r="B105" s="79" t="s">
        <v>1161</v>
      </c>
      <c r="C105" s="80" t="s">
        <v>126</v>
      </c>
      <c r="D105" s="81" t="s">
        <v>78</v>
      </c>
      <c r="E105" s="82">
        <v>9164</v>
      </c>
      <c r="F105" s="82">
        <v>323</v>
      </c>
      <c r="G105" s="82">
        <v>183</v>
      </c>
      <c r="H105" s="83">
        <v>12.28028040156177</v>
      </c>
      <c r="I105" s="83">
        <v>11423.851241795413</v>
      </c>
      <c r="J105" s="83">
        <v>15.588593829891485</v>
      </c>
    </row>
    <row r="106" spans="1:10" ht="16">
      <c r="A106" s="79" t="s">
        <v>1218</v>
      </c>
      <c r="B106" s="79" t="s">
        <v>1209</v>
      </c>
      <c r="C106" s="80" t="s">
        <v>95</v>
      </c>
      <c r="D106" s="81" t="s">
        <v>75</v>
      </c>
      <c r="E106" s="82">
        <v>11386</v>
      </c>
      <c r="F106" s="82">
        <v>674</v>
      </c>
      <c r="G106" s="82">
        <v>1366</v>
      </c>
      <c r="H106" s="83">
        <v>11.905587497951144</v>
      </c>
      <c r="I106" s="83">
        <v>2286.9044758831992</v>
      </c>
      <c r="J106" s="83">
        <v>16.683469552620341</v>
      </c>
    </row>
    <row r="107" spans="1:10" ht="16">
      <c r="A107" s="79" t="s">
        <v>246</v>
      </c>
      <c r="B107" s="79" t="s">
        <v>242</v>
      </c>
      <c r="C107" s="80" t="s">
        <v>95</v>
      </c>
      <c r="D107" s="81" t="s">
        <v>99</v>
      </c>
      <c r="E107" s="82">
        <v>13178</v>
      </c>
      <c r="F107" s="82">
        <v>1938</v>
      </c>
      <c r="G107" s="82">
        <v>659</v>
      </c>
      <c r="H107" s="83">
        <v>20.240359900162261</v>
      </c>
      <c r="I107" s="83">
        <v>4991.6425969602933</v>
      </c>
      <c r="J107" s="83">
        <v>30.771933881596592</v>
      </c>
    </row>
    <row r="108" spans="1:10" ht="16">
      <c r="A108" s="79" t="s">
        <v>1219</v>
      </c>
      <c r="B108" s="79" t="s">
        <v>1209</v>
      </c>
      <c r="C108" s="80" t="s">
        <v>95</v>
      </c>
      <c r="D108" s="81" t="s">
        <v>76</v>
      </c>
      <c r="E108" s="82">
        <v>8661</v>
      </c>
      <c r="F108" s="82">
        <v>525</v>
      </c>
      <c r="G108" s="82">
        <v>1472</v>
      </c>
      <c r="H108" s="83">
        <v>11.007724091032983</v>
      </c>
      <c r="I108" s="83">
        <v>4441.8630483471716</v>
      </c>
      <c r="J108" s="83">
        <v>17.357052338691357</v>
      </c>
    </row>
    <row r="109" spans="1:10" ht="16">
      <c r="A109" s="79" t="s">
        <v>1220</v>
      </c>
      <c r="B109" s="79" t="s">
        <v>1209</v>
      </c>
      <c r="C109" s="80" t="s">
        <v>95</v>
      </c>
      <c r="D109" s="81" t="s">
        <v>99</v>
      </c>
      <c r="E109" s="82">
        <v>25501</v>
      </c>
      <c r="F109" s="82">
        <v>1889</v>
      </c>
      <c r="G109" s="82">
        <v>6885</v>
      </c>
      <c r="H109" s="83">
        <v>35.987940485647584</v>
      </c>
      <c r="I109" s="83">
        <v>30992.068197597913</v>
      </c>
      <c r="J109" s="83">
        <v>33.457738617348554</v>
      </c>
    </row>
    <row r="110" spans="1:10" ht="16">
      <c r="A110" s="79" t="s">
        <v>202</v>
      </c>
      <c r="B110" s="79" t="s">
        <v>203</v>
      </c>
      <c r="C110" s="80" t="s">
        <v>126</v>
      </c>
      <c r="D110" s="81" t="s">
        <v>149</v>
      </c>
      <c r="E110" s="82">
        <v>27570</v>
      </c>
      <c r="F110" s="82">
        <v>928</v>
      </c>
      <c r="G110" s="82">
        <v>5790</v>
      </c>
      <c r="H110" s="83">
        <v>28.149523396930554</v>
      </c>
      <c r="I110" s="83">
        <v>15584.460835915759</v>
      </c>
      <c r="J110" s="83">
        <v>20.412167360806773</v>
      </c>
    </row>
    <row r="111" spans="1:10" ht="16">
      <c r="A111" s="79" t="s">
        <v>1041</v>
      </c>
      <c r="B111" s="79" t="s">
        <v>1039</v>
      </c>
      <c r="C111" s="80" t="s">
        <v>126</v>
      </c>
      <c r="D111" s="81" t="s">
        <v>75</v>
      </c>
      <c r="E111" s="82">
        <v>17265</v>
      </c>
      <c r="F111" s="82">
        <v>1570</v>
      </c>
      <c r="G111" s="82">
        <v>2590</v>
      </c>
      <c r="H111" s="83">
        <v>16.525993791478076</v>
      </c>
      <c r="I111" s="83">
        <v>5699.5675329571786</v>
      </c>
      <c r="J111" s="83">
        <v>25.261859823793674</v>
      </c>
    </row>
    <row r="112" spans="1:10" ht="16">
      <c r="A112" s="79" t="s">
        <v>1318</v>
      </c>
      <c r="B112" s="79" t="s">
        <v>1307</v>
      </c>
      <c r="C112" s="80" t="s">
        <v>126</v>
      </c>
      <c r="D112" s="81" t="s">
        <v>96</v>
      </c>
      <c r="E112" s="82">
        <v>13430</v>
      </c>
      <c r="F112" s="82">
        <v>988</v>
      </c>
      <c r="G112" s="82">
        <v>6446</v>
      </c>
      <c r="H112" s="83">
        <v>83.020323054544193</v>
      </c>
      <c r="I112" s="83">
        <v>81228.823870516193</v>
      </c>
      <c r="J112" s="83">
        <v>66.514151266758404</v>
      </c>
    </row>
    <row r="113" spans="1:10" ht="16">
      <c r="A113" s="79" t="s">
        <v>1319</v>
      </c>
      <c r="B113" s="79" t="s">
        <v>1307</v>
      </c>
      <c r="C113" s="80" t="s">
        <v>126</v>
      </c>
      <c r="D113" s="81" t="s">
        <v>77</v>
      </c>
      <c r="E113" s="82">
        <v>10654</v>
      </c>
      <c r="F113" s="82">
        <v>1211</v>
      </c>
      <c r="G113" s="82">
        <v>2450</v>
      </c>
      <c r="H113" s="83">
        <v>40.316279881391914</v>
      </c>
      <c r="I113" s="83">
        <v>38101.344568565699</v>
      </c>
      <c r="J113" s="83">
        <v>49.023448199696205</v>
      </c>
    </row>
    <row r="114" spans="1:10" ht="16">
      <c r="A114" s="79" t="s">
        <v>911</v>
      </c>
      <c r="B114" s="79" t="s">
        <v>912</v>
      </c>
      <c r="C114" s="80" t="s">
        <v>95</v>
      </c>
      <c r="D114" s="81" t="s">
        <v>79</v>
      </c>
      <c r="E114" s="82">
        <v>10998</v>
      </c>
      <c r="F114" s="82">
        <v>412</v>
      </c>
      <c r="G114" s="82">
        <v>1100</v>
      </c>
      <c r="H114" s="83">
        <v>15.617612063181717</v>
      </c>
      <c r="I114" s="83">
        <v>14234.31655378667</v>
      </c>
      <c r="J114" s="83">
        <v>19.242278344155338</v>
      </c>
    </row>
    <row r="115" spans="1:10" ht="16">
      <c r="A115" s="79" t="s">
        <v>232</v>
      </c>
      <c r="B115" s="79" t="s">
        <v>231</v>
      </c>
      <c r="C115" s="80" t="s">
        <v>126</v>
      </c>
      <c r="D115" s="81" t="s">
        <v>103</v>
      </c>
      <c r="E115" s="82">
        <v>11871</v>
      </c>
      <c r="F115" s="82">
        <v>606</v>
      </c>
      <c r="G115" s="82">
        <v>237</v>
      </c>
      <c r="H115" s="83">
        <v>14.471988923409482</v>
      </c>
      <c r="I115" s="83">
        <v>2689.6629307414119</v>
      </c>
      <c r="J115" s="83">
        <v>15.58255101228235</v>
      </c>
    </row>
    <row r="116" spans="1:10" ht="16">
      <c r="A116" s="79" t="s">
        <v>618</v>
      </c>
      <c r="B116" s="79" t="s">
        <v>617</v>
      </c>
      <c r="C116" s="80" t="s">
        <v>95</v>
      </c>
      <c r="D116" s="81" t="s">
        <v>101</v>
      </c>
      <c r="E116" s="82">
        <v>28725</v>
      </c>
      <c r="F116" s="82">
        <v>1330</v>
      </c>
      <c r="G116" s="82">
        <v>2011</v>
      </c>
      <c r="H116" s="83">
        <v>21.519510532734774</v>
      </c>
      <c r="I116" s="83">
        <v>15220.569910746815</v>
      </c>
      <c r="J116" s="83">
        <v>19.328101799027966</v>
      </c>
    </row>
    <row r="117" spans="1:10" ht="16">
      <c r="A117" s="79" t="s">
        <v>112</v>
      </c>
      <c r="B117" s="79" t="s">
        <v>108</v>
      </c>
      <c r="C117" s="80" t="s">
        <v>95</v>
      </c>
      <c r="D117" s="81" t="s">
        <v>101</v>
      </c>
      <c r="E117" s="82">
        <v>14701</v>
      </c>
      <c r="F117" s="82">
        <v>707</v>
      </c>
      <c r="G117" s="82">
        <v>4557</v>
      </c>
      <c r="H117" s="83">
        <v>13.561413373985205</v>
      </c>
      <c r="I117" s="83">
        <v>6477.1040701584971</v>
      </c>
      <c r="J117" s="83">
        <v>16.935425274113321</v>
      </c>
    </row>
    <row r="118" spans="1:10" ht="16">
      <c r="A118" s="79" t="s">
        <v>247</v>
      </c>
      <c r="B118" s="79" t="s">
        <v>242</v>
      </c>
      <c r="C118" s="80" t="s">
        <v>95</v>
      </c>
      <c r="D118" s="81" t="s">
        <v>149</v>
      </c>
      <c r="E118" s="82">
        <v>51546</v>
      </c>
      <c r="F118" s="82">
        <v>2801</v>
      </c>
      <c r="G118" s="82">
        <v>1031</v>
      </c>
      <c r="H118" s="83">
        <v>34.011262062064361</v>
      </c>
      <c r="I118" s="83">
        <v>19006.928219521658</v>
      </c>
      <c r="J118" s="83">
        <v>32.134131118996159</v>
      </c>
    </row>
    <row r="119" spans="1:10" ht="16">
      <c r="A119" s="79" t="s">
        <v>397</v>
      </c>
      <c r="B119" s="79" t="s">
        <v>396</v>
      </c>
      <c r="C119" s="80" t="s">
        <v>126</v>
      </c>
      <c r="D119" s="81" t="s">
        <v>79</v>
      </c>
      <c r="E119" s="82">
        <v>1706</v>
      </c>
      <c r="F119" s="82">
        <v>106</v>
      </c>
      <c r="G119" s="82">
        <v>768</v>
      </c>
      <c r="H119" s="83">
        <v>30.314853704089707</v>
      </c>
      <c r="I119" s="83">
        <v>14393.456505028727</v>
      </c>
      <c r="J119" s="83">
        <v>31.233313891726198</v>
      </c>
    </row>
    <row r="120" spans="1:10" ht="16">
      <c r="A120" s="79" t="s">
        <v>1080</v>
      </c>
      <c r="B120" s="79" t="s">
        <v>1081</v>
      </c>
      <c r="C120" s="80" t="s">
        <v>126</v>
      </c>
      <c r="D120" s="81" t="s">
        <v>78</v>
      </c>
      <c r="E120" s="82">
        <v>9209</v>
      </c>
      <c r="F120" s="82">
        <v>737</v>
      </c>
      <c r="G120" s="82">
        <v>1566</v>
      </c>
      <c r="H120" s="83">
        <v>42.724556984648622</v>
      </c>
      <c r="I120" s="83">
        <v>25304.887069042998</v>
      </c>
      <c r="J120" s="83">
        <v>36.777031953115916</v>
      </c>
    </row>
    <row r="121" spans="1:10" ht="16">
      <c r="A121" s="79" t="s">
        <v>1101</v>
      </c>
      <c r="B121" s="79" t="s">
        <v>1100</v>
      </c>
      <c r="C121" s="80" t="s">
        <v>126</v>
      </c>
      <c r="D121" s="81" t="s">
        <v>79</v>
      </c>
      <c r="E121" s="82">
        <v>7556</v>
      </c>
      <c r="F121" s="82">
        <v>614</v>
      </c>
      <c r="G121" s="82">
        <v>378</v>
      </c>
      <c r="H121" s="83">
        <v>26.539074120490319</v>
      </c>
      <c r="I121" s="83">
        <v>7852.7884126116314</v>
      </c>
      <c r="J121" s="83">
        <v>24.155904798883931</v>
      </c>
    </row>
    <row r="122" spans="1:10" ht="16">
      <c r="A122" s="79" t="s">
        <v>1102</v>
      </c>
      <c r="B122" s="79" t="s">
        <v>1100</v>
      </c>
      <c r="C122" s="80" t="s">
        <v>95</v>
      </c>
      <c r="D122" s="81" t="s">
        <v>79</v>
      </c>
      <c r="E122" s="82">
        <v>16787</v>
      </c>
      <c r="F122" s="82">
        <v>401</v>
      </c>
      <c r="G122" s="82">
        <v>1343</v>
      </c>
      <c r="H122" s="83">
        <v>12.992560543035326</v>
      </c>
      <c r="I122" s="83">
        <v>867.03680495517108</v>
      </c>
      <c r="J122" s="83">
        <v>13.718553869399571</v>
      </c>
    </row>
    <row r="123" spans="1:10" ht="16">
      <c r="A123" s="79" t="s">
        <v>113</v>
      </c>
      <c r="B123" s="79" t="s">
        <v>108</v>
      </c>
      <c r="C123" s="80" t="s">
        <v>95</v>
      </c>
      <c r="D123" s="81" t="s">
        <v>103</v>
      </c>
      <c r="E123" s="82">
        <v>6314</v>
      </c>
      <c r="F123" s="82">
        <v>277</v>
      </c>
      <c r="G123" s="82">
        <v>2020</v>
      </c>
      <c r="H123" s="83">
        <v>24.770793773199795</v>
      </c>
      <c r="I123" s="83">
        <v>12541.151978166614</v>
      </c>
      <c r="J123" s="83">
        <v>20.739780118042177</v>
      </c>
    </row>
    <row r="124" spans="1:10" ht="16">
      <c r="A124" s="79" t="s">
        <v>342</v>
      </c>
      <c r="B124" s="79" t="s">
        <v>341</v>
      </c>
      <c r="C124" s="80" t="s">
        <v>95</v>
      </c>
      <c r="D124" s="81" t="s">
        <v>101</v>
      </c>
      <c r="E124" s="82">
        <v>48623</v>
      </c>
      <c r="F124" s="82">
        <v>3829</v>
      </c>
      <c r="G124" s="82">
        <v>8752</v>
      </c>
      <c r="H124" s="83">
        <v>26.61559235140734</v>
      </c>
      <c r="I124" s="83">
        <v>13748.420306583974</v>
      </c>
      <c r="J124" s="83">
        <v>33.046727829064665</v>
      </c>
    </row>
    <row r="125" spans="1:10" ht="16">
      <c r="A125" s="79" t="s">
        <v>422</v>
      </c>
      <c r="B125" s="79" t="s">
        <v>421</v>
      </c>
      <c r="C125" s="80" t="s">
        <v>126</v>
      </c>
      <c r="D125" s="81" t="s">
        <v>75</v>
      </c>
      <c r="E125" s="82">
        <v>10473</v>
      </c>
      <c r="F125" s="82">
        <v>229</v>
      </c>
      <c r="G125" s="82">
        <v>2514</v>
      </c>
      <c r="H125" s="83">
        <v>27.250393286265211</v>
      </c>
      <c r="I125" s="83">
        <v>7119.2544775697488</v>
      </c>
      <c r="J125" s="83">
        <v>33.501743271146808</v>
      </c>
    </row>
    <row r="126" spans="1:10" ht="16">
      <c r="A126" s="79" t="s">
        <v>1138</v>
      </c>
      <c r="B126" s="79" t="s">
        <v>1139</v>
      </c>
      <c r="C126" s="80" t="s">
        <v>95</v>
      </c>
      <c r="D126" s="81" t="s">
        <v>101</v>
      </c>
      <c r="E126" s="82">
        <v>35013</v>
      </c>
      <c r="F126" s="82">
        <v>2259</v>
      </c>
      <c r="G126" s="82">
        <v>700</v>
      </c>
      <c r="H126" s="83">
        <v>15.100636950224663</v>
      </c>
      <c r="I126" s="83">
        <v>2563.1719049845947</v>
      </c>
      <c r="J126" s="83">
        <v>21.631195357945099</v>
      </c>
    </row>
    <row r="127" spans="1:10" ht="16">
      <c r="A127" s="79" t="s">
        <v>664</v>
      </c>
      <c r="B127" s="79" t="s">
        <v>661</v>
      </c>
      <c r="C127" s="80" t="s">
        <v>126</v>
      </c>
      <c r="D127" s="81" t="s">
        <v>75</v>
      </c>
      <c r="E127" s="82">
        <v>9763</v>
      </c>
      <c r="F127" s="82">
        <v>321</v>
      </c>
      <c r="G127" s="82">
        <v>98</v>
      </c>
      <c r="H127" s="83">
        <v>9.1392828824757704</v>
      </c>
      <c r="I127" s="83">
        <v>625.44044806825877</v>
      </c>
      <c r="J127" s="83">
        <v>14.670758980096794</v>
      </c>
    </row>
    <row r="128" spans="1:10" ht="16">
      <c r="A128" s="79" t="s">
        <v>665</v>
      </c>
      <c r="B128" s="79" t="s">
        <v>661</v>
      </c>
      <c r="C128" s="80" t="s">
        <v>126</v>
      </c>
      <c r="D128" s="81" t="s">
        <v>111</v>
      </c>
      <c r="E128" s="82">
        <v>13764</v>
      </c>
      <c r="F128" s="82">
        <v>1404</v>
      </c>
      <c r="G128" s="82">
        <v>688</v>
      </c>
      <c r="H128" s="83">
        <v>19.386687320925677</v>
      </c>
      <c r="I128" s="83">
        <v>6266.5918626494276</v>
      </c>
      <c r="J128" s="83">
        <v>29.61825045374648</v>
      </c>
    </row>
    <row r="129" spans="1:10" ht="16">
      <c r="A129" s="79" t="s">
        <v>248</v>
      </c>
      <c r="B129" s="79" t="s">
        <v>242</v>
      </c>
      <c r="C129" s="80" t="s">
        <v>95</v>
      </c>
      <c r="D129" s="81" t="s">
        <v>79</v>
      </c>
      <c r="E129" s="82">
        <v>19586</v>
      </c>
      <c r="F129" s="82">
        <v>1688</v>
      </c>
      <c r="G129" s="82">
        <v>196</v>
      </c>
      <c r="H129" s="83">
        <v>26.582259169067843</v>
      </c>
      <c r="I129" s="83">
        <v>10672.163718944548</v>
      </c>
      <c r="J129" s="83">
        <v>35.488644970883342</v>
      </c>
    </row>
    <row r="130" spans="1:10" ht="16">
      <c r="A130" s="79" t="s">
        <v>1103</v>
      </c>
      <c r="B130" s="79" t="s">
        <v>1100</v>
      </c>
      <c r="C130" s="80" t="s">
        <v>95</v>
      </c>
      <c r="D130" s="81" t="s">
        <v>101</v>
      </c>
      <c r="E130" s="82">
        <v>7603</v>
      </c>
      <c r="F130" s="82">
        <v>461</v>
      </c>
      <c r="G130" s="82">
        <v>608</v>
      </c>
      <c r="H130" s="83">
        <v>33.211993084762916</v>
      </c>
      <c r="I130" s="83">
        <v>14907.744900459988</v>
      </c>
      <c r="J130" s="83">
        <v>26.429717136603113</v>
      </c>
    </row>
    <row r="131" spans="1:10" ht="16">
      <c r="A131" s="79" t="s">
        <v>249</v>
      </c>
      <c r="B131" s="79" t="s">
        <v>242</v>
      </c>
      <c r="C131" s="80" t="s">
        <v>95</v>
      </c>
      <c r="D131" s="81" t="s">
        <v>77</v>
      </c>
      <c r="E131" s="82">
        <v>16144</v>
      </c>
      <c r="F131" s="82">
        <v>897</v>
      </c>
      <c r="G131" s="82">
        <v>484</v>
      </c>
      <c r="H131" s="83">
        <v>13.500943420858976</v>
      </c>
      <c r="I131" s="83">
        <v>4661.07134011367</v>
      </c>
      <c r="J131" s="83">
        <v>22.96340218055753</v>
      </c>
    </row>
    <row r="132" spans="1:10" ht="16">
      <c r="A132" s="79" t="s">
        <v>250</v>
      </c>
      <c r="B132" s="79" t="s">
        <v>242</v>
      </c>
      <c r="C132" s="80" t="s">
        <v>126</v>
      </c>
      <c r="D132" s="81" t="s">
        <v>79</v>
      </c>
      <c r="E132" s="82">
        <v>17752</v>
      </c>
      <c r="F132" s="82">
        <v>1168</v>
      </c>
      <c r="G132" s="82">
        <v>178</v>
      </c>
      <c r="H132" s="83">
        <v>14.3464185006658</v>
      </c>
      <c r="I132" s="83">
        <v>5639.9000319161332</v>
      </c>
      <c r="J132" s="83">
        <v>24.706052378786229</v>
      </c>
    </row>
    <row r="133" spans="1:10" ht="16">
      <c r="A133" s="79" t="s">
        <v>251</v>
      </c>
      <c r="B133" s="79" t="s">
        <v>242</v>
      </c>
      <c r="C133" s="80" t="s">
        <v>95</v>
      </c>
      <c r="D133" s="81" t="s">
        <v>79</v>
      </c>
      <c r="E133" s="82">
        <v>28934</v>
      </c>
      <c r="F133" s="82">
        <v>1733</v>
      </c>
      <c r="G133" s="82">
        <v>1157</v>
      </c>
      <c r="H133" s="83">
        <v>17.976152490622052</v>
      </c>
      <c r="I133" s="83">
        <v>7418.2404961194297</v>
      </c>
      <c r="J133" s="83">
        <v>21.05359909920773</v>
      </c>
    </row>
    <row r="134" spans="1:10" ht="16">
      <c r="A134" s="79" t="s">
        <v>252</v>
      </c>
      <c r="B134" s="79" t="s">
        <v>242</v>
      </c>
      <c r="C134" s="80" t="s">
        <v>126</v>
      </c>
      <c r="D134" s="81" t="s">
        <v>99</v>
      </c>
      <c r="E134" s="82">
        <v>47225</v>
      </c>
      <c r="F134" s="82">
        <v>2539</v>
      </c>
      <c r="G134" s="82">
        <v>945</v>
      </c>
      <c r="H134" s="83">
        <v>13.985734579269781</v>
      </c>
      <c r="I134" s="83">
        <v>6472.7769809639967</v>
      </c>
      <c r="J134" s="83">
        <v>19.975629105385913</v>
      </c>
    </row>
    <row r="135" spans="1:10" ht="16">
      <c r="A135" s="79" t="s">
        <v>253</v>
      </c>
      <c r="B135" s="79" t="s">
        <v>242</v>
      </c>
      <c r="C135" s="80" t="s">
        <v>126</v>
      </c>
      <c r="D135" s="81" t="s">
        <v>103</v>
      </c>
      <c r="E135" s="82">
        <v>15150</v>
      </c>
      <c r="F135" s="82">
        <v>810</v>
      </c>
      <c r="G135" s="82">
        <v>606</v>
      </c>
      <c r="H135" s="83">
        <v>26.150164660279348</v>
      </c>
      <c r="I135" s="83">
        <v>10265.896251586681</v>
      </c>
      <c r="J135" s="83">
        <v>24.925764576529609</v>
      </c>
    </row>
    <row r="136" spans="1:10" ht="16">
      <c r="A136" s="79" t="s">
        <v>477</v>
      </c>
      <c r="B136" s="79" t="s">
        <v>478</v>
      </c>
      <c r="C136" s="80" t="s">
        <v>126</v>
      </c>
      <c r="D136" s="81" t="s">
        <v>149</v>
      </c>
      <c r="E136" s="82">
        <v>18340</v>
      </c>
      <c r="F136" s="82">
        <v>986</v>
      </c>
      <c r="G136" s="82">
        <v>5869</v>
      </c>
      <c r="H136" s="83">
        <v>63.024968335978308</v>
      </c>
      <c r="I136" s="83">
        <v>53115.12467749526</v>
      </c>
      <c r="J136" s="83">
        <v>56.529889236256224</v>
      </c>
    </row>
    <row r="137" spans="1:10" ht="16">
      <c r="A137" s="79" t="s">
        <v>1008</v>
      </c>
      <c r="B137" s="79" t="s">
        <v>1007</v>
      </c>
      <c r="C137" s="80" t="s">
        <v>126</v>
      </c>
      <c r="D137" s="81" t="s">
        <v>103</v>
      </c>
      <c r="E137" s="82">
        <v>20601</v>
      </c>
      <c r="F137" s="82">
        <v>995</v>
      </c>
      <c r="G137" s="82">
        <v>1030</v>
      </c>
      <c r="H137" s="83">
        <v>20.532267823348885</v>
      </c>
      <c r="I137" s="83">
        <v>4867.3751828934201</v>
      </c>
      <c r="J137" s="83">
        <v>23.226855812431239</v>
      </c>
    </row>
    <row r="138" spans="1:10" ht="16">
      <c r="A138" s="79" t="s">
        <v>254</v>
      </c>
      <c r="B138" s="79" t="s">
        <v>242</v>
      </c>
      <c r="C138" s="80" t="s">
        <v>95</v>
      </c>
      <c r="D138" s="81" t="s">
        <v>149</v>
      </c>
      <c r="E138" s="82">
        <v>44394</v>
      </c>
      <c r="F138" s="82">
        <v>2775</v>
      </c>
      <c r="G138" s="82">
        <v>1776</v>
      </c>
      <c r="H138" s="83">
        <v>21.586286248455654</v>
      </c>
      <c r="I138" s="83">
        <v>7529.3268705266155</v>
      </c>
      <c r="J138" s="83">
        <v>23.292485880975562</v>
      </c>
    </row>
    <row r="139" spans="1:10" ht="16">
      <c r="A139" s="79" t="s">
        <v>1009</v>
      </c>
      <c r="B139" s="79" t="s">
        <v>1007</v>
      </c>
      <c r="C139" s="80" t="s">
        <v>126</v>
      </c>
      <c r="D139" s="81" t="s">
        <v>78</v>
      </c>
      <c r="E139" s="82">
        <v>22469</v>
      </c>
      <c r="F139" s="82">
        <v>1330</v>
      </c>
      <c r="G139" s="82">
        <v>1348</v>
      </c>
      <c r="H139" s="83">
        <v>21.1438708317079</v>
      </c>
      <c r="I139" s="83">
        <v>5994.4715296074392</v>
      </c>
      <c r="J139" s="83">
        <v>22.049681883229628</v>
      </c>
    </row>
    <row r="140" spans="1:10" ht="16">
      <c r="A140" s="79" t="s">
        <v>666</v>
      </c>
      <c r="B140" s="79" t="s">
        <v>661</v>
      </c>
      <c r="C140" s="80" t="s">
        <v>126</v>
      </c>
      <c r="D140" s="81" t="s">
        <v>75</v>
      </c>
      <c r="E140" s="82">
        <v>12533</v>
      </c>
      <c r="F140" s="82">
        <v>520</v>
      </c>
      <c r="G140" s="82">
        <v>125</v>
      </c>
      <c r="H140" s="83">
        <v>10.003240990766798</v>
      </c>
      <c r="I140" s="83">
        <v>1713.4120163553562</v>
      </c>
      <c r="J140" s="83">
        <v>13.858418795448257</v>
      </c>
    </row>
    <row r="141" spans="1:10" ht="16">
      <c r="A141" s="79" t="s">
        <v>1140</v>
      </c>
      <c r="B141" s="79" t="s">
        <v>1139</v>
      </c>
      <c r="C141" s="80" t="s">
        <v>95</v>
      </c>
      <c r="D141" s="81" t="s">
        <v>75</v>
      </c>
      <c r="E141" s="82">
        <v>38531</v>
      </c>
      <c r="F141" s="82">
        <v>2752</v>
      </c>
      <c r="G141" s="82">
        <v>1541</v>
      </c>
      <c r="H141" s="83">
        <v>22.435484464979876</v>
      </c>
      <c r="I141" s="83">
        <v>4825.0511220945809</v>
      </c>
      <c r="J141" s="83">
        <v>31.982642408130694</v>
      </c>
    </row>
    <row r="142" spans="1:10" ht="16">
      <c r="A142" s="79" t="s">
        <v>1104</v>
      </c>
      <c r="B142" s="79" t="s">
        <v>1100</v>
      </c>
      <c r="C142" s="80" t="s">
        <v>126</v>
      </c>
      <c r="D142" s="81" t="s">
        <v>96</v>
      </c>
      <c r="E142" s="82">
        <v>15926</v>
      </c>
      <c r="F142" s="82">
        <v>484</v>
      </c>
      <c r="G142" s="82">
        <v>1752</v>
      </c>
      <c r="H142" s="83">
        <v>24.672282457089963</v>
      </c>
      <c r="I142" s="83">
        <v>3648.4886722558808</v>
      </c>
      <c r="J142" s="83">
        <v>17.359513755488916</v>
      </c>
    </row>
    <row r="143" spans="1:10" ht="16">
      <c r="A143" s="79" t="s">
        <v>1010</v>
      </c>
      <c r="B143" s="79" t="s">
        <v>1007</v>
      </c>
      <c r="C143" s="80" t="s">
        <v>126</v>
      </c>
      <c r="D143" s="81" t="s">
        <v>103</v>
      </c>
      <c r="E143" s="82">
        <v>16681</v>
      </c>
      <c r="F143" s="82">
        <v>755</v>
      </c>
      <c r="G143" s="82">
        <v>3003</v>
      </c>
      <c r="H143" s="83">
        <v>37.275474634270658</v>
      </c>
      <c r="I143" s="83">
        <v>9328.1912924344815</v>
      </c>
      <c r="J143" s="83">
        <v>38.462323816354335</v>
      </c>
    </row>
    <row r="144" spans="1:10" ht="16">
      <c r="A144" s="79" t="s">
        <v>1011</v>
      </c>
      <c r="B144" s="79" t="s">
        <v>1007</v>
      </c>
      <c r="C144" s="80" t="s">
        <v>126</v>
      </c>
      <c r="D144" s="81" t="s">
        <v>79</v>
      </c>
      <c r="E144" s="82">
        <v>21908</v>
      </c>
      <c r="F144" s="82">
        <v>1101</v>
      </c>
      <c r="G144" s="82">
        <v>876</v>
      </c>
      <c r="H144" s="83">
        <v>21.345016798457696</v>
      </c>
      <c r="I144" s="83">
        <v>2556.7662378080395</v>
      </c>
      <c r="J144" s="83">
        <v>22.886702531517919</v>
      </c>
    </row>
    <row r="145" spans="1:10" ht="16">
      <c r="A145" s="79" t="s">
        <v>667</v>
      </c>
      <c r="B145" s="79" t="s">
        <v>661</v>
      </c>
      <c r="C145" s="80" t="s">
        <v>126</v>
      </c>
      <c r="D145" s="81" t="s">
        <v>101</v>
      </c>
      <c r="E145" s="82">
        <v>26302</v>
      </c>
      <c r="F145" s="82">
        <v>707</v>
      </c>
      <c r="G145" s="82">
        <v>1052</v>
      </c>
      <c r="H145" s="83">
        <v>11.160197621302224</v>
      </c>
      <c r="I145" s="83">
        <v>2380.1690145070156</v>
      </c>
      <c r="J145" s="83">
        <v>27.845805146262695</v>
      </c>
    </row>
    <row r="146" spans="1:10" ht="16">
      <c r="A146" s="79" t="s">
        <v>479</v>
      </c>
      <c r="B146" s="79" t="s">
        <v>478</v>
      </c>
      <c r="C146" s="80" t="s">
        <v>95</v>
      </c>
      <c r="D146" s="81" t="s">
        <v>76</v>
      </c>
      <c r="E146" s="82">
        <v>9587</v>
      </c>
      <c r="F146" s="82">
        <v>872</v>
      </c>
      <c r="G146" s="82">
        <v>4314</v>
      </c>
      <c r="H146" s="83">
        <v>49.097985455349885</v>
      </c>
      <c r="I146" s="83">
        <v>38021.89454790984</v>
      </c>
      <c r="J146" s="83">
        <v>41.414239707480967</v>
      </c>
    </row>
    <row r="147" spans="1:10" ht="16">
      <c r="A147" s="79" t="s">
        <v>1221</v>
      </c>
      <c r="B147" s="79" t="s">
        <v>1209</v>
      </c>
      <c r="C147" s="80" t="s">
        <v>95</v>
      </c>
      <c r="D147" s="81" t="s">
        <v>103</v>
      </c>
      <c r="E147" s="82">
        <v>14362</v>
      </c>
      <c r="F147" s="82">
        <v>776</v>
      </c>
      <c r="G147" s="82">
        <v>7325</v>
      </c>
      <c r="H147" s="83">
        <v>28.75600439278864</v>
      </c>
      <c r="I147" s="83">
        <v>16091.094880850989</v>
      </c>
      <c r="J147" s="83">
        <v>26.72578901611508</v>
      </c>
    </row>
    <row r="148" spans="1:10" ht="16">
      <c r="A148" s="79" t="s">
        <v>1320</v>
      </c>
      <c r="B148" s="79" t="s">
        <v>1307</v>
      </c>
      <c r="C148" s="80" t="s">
        <v>95</v>
      </c>
      <c r="D148" s="81" t="s">
        <v>103</v>
      </c>
      <c r="E148" s="82">
        <v>3045</v>
      </c>
      <c r="F148" s="82">
        <v>265</v>
      </c>
      <c r="G148" s="82">
        <v>700</v>
      </c>
      <c r="H148" s="83">
        <v>22.935176449660123</v>
      </c>
      <c r="I148" s="83">
        <v>18039.251233069575</v>
      </c>
      <c r="J148" s="83">
        <v>24.737211486851166</v>
      </c>
    </row>
    <row r="149" spans="1:10" ht="16">
      <c r="A149" s="79" t="s">
        <v>398</v>
      </c>
      <c r="B149" s="79" t="s">
        <v>396</v>
      </c>
      <c r="C149" s="80" t="s">
        <v>95</v>
      </c>
      <c r="D149" s="81" t="s">
        <v>76</v>
      </c>
      <c r="E149" s="82">
        <v>26875</v>
      </c>
      <c r="F149" s="82">
        <v>2116</v>
      </c>
      <c r="G149" s="82">
        <v>3494</v>
      </c>
      <c r="H149" s="83">
        <v>24.155203221815437</v>
      </c>
      <c r="I149" s="83">
        <v>13971.657128970335</v>
      </c>
      <c r="J149" s="83">
        <v>26.946693299708862</v>
      </c>
    </row>
    <row r="150" spans="1:10" ht="16">
      <c r="A150" s="79" t="s">
        <v>1321</v>
      </c>
      <c r="B150" s="79" t="s">
        <v>1307</v>
      </c>
      <c r="C150" s="80" t="s">
        <v>126</v>
      </c>
      <c r="D150" s="81" t="s">
        <v>111</v>
      </c>
      <c r="E150" s="82">
        <v>21436</v>
      </c>
      <c r="F150" s="82">
        <v>1261</v>
      </c>
      <c r="G150" s="82">
        <v>1501</v>
      </c>
      <c r="H150" s="83">
        <v>21.670610412756933</v>
      </c>
      <c r="I150" s="83">
        <v>9156.5937425370248</v>
      </c>
      <c r="J150" s="83">
        <v>25.70211138201061</v>
      </c>
    </row>
    <row r="151" spans="1:10" ht="16">
      <c r="A151" s="79" t="s">
        <v>503</v>
      </c>
      <c r="B151" s="79" t="s">
        <v>493</v>
      </c>
      <c r="C151" s="80" t="s">
        <v>126</v>
      </c>
      <c r="D151" s="81" t="s">
        <v>103</v>
      </c>
      <c r="E151" s="82">
        <v>8271</v>
      </c>
      <c r="F151" s="82">
        <v>447</v>
      </c>
      <c r="G151" s="82">
        <v>185</v>
      </c>
      <c r="H151" s="83">
        <v>11.318984896527978</v>
      </c>
      <c r="I151" s="83">
        <v>830.62210890743529</v>
      </c>
      <c r="J151" s="83">
        <v>24.186183475932815</v>
      </c>
    </row>
    <row r="152" spans="1:10" ht="16">
      <c r="A152" s="79" t="s">
        <v>1322</v>
      </c>
      <c r="B152" s="79" t="s">
        <v>1307</v>
      </c>
      <c r="C152" s="80" t="s">
        <v>126</v>
      </c>
      <c r="D152" s="81" t="s">
        <v>78</v>
      </c>
      <c r="E152" s="82">
        <v>5768</v>
      </c>
      <c r="F152" s="82">
        <v>345</v>
      </c>
      <c r="G152" s="82">
        <v>634</v>
      </c>
      <c r="H152" s="83">
        <v>25.56917346734766</v>
      </c>
      <c r="I152" s="83">
        <v>20033.903898688761</v>
      </c>
      <c r="J152" s="83">
        <v>30.387438583795742</v>
      </c>
    </row>
    <row r="153" spans="1:10" ht="16">
      <c r="A153" s="79" t="s">
        <v>1323</v>
      </c>
      <c r="B153" s="79" t="s">
        <v>1307</v>
      </c>
      <c r="C153" s="80" t="s">
        <v>95</v>
      </c>
      <c r="D153" s="81" t="s">
        <v>149</v>
      </c>
      <c r="E153" s="82">
        <v>26014</v>
      </c>
      <c r="F153" s="82">
        <v>1596</v>
      </c>
      <c r="G153" s="82">
        <v>1561</v>
      </c>
      <c r="H153" s="83">
        <v>26.001105730954077</v>
      </c>
      <c r="I153" s="83">
        <v>16243.70951879741</v>
      </c>
      <c r="J153" s="83">
        <v>28.574682628260277</v>
      </c>
    </row>
    <row r="154" spans="1:10" ht="16">
      <c r="A154" s="79" t="s">
        <v>1324</v>
      </c>
      <c r="B154" s="79" t="s">
        <v>1307</v>
      </c>
      <c r="C154" s="80" t="s">
        <v>126</v>
      </c>
      <c r="D154" s="81" t="s">
        <v>149</v>
      </c>
      <c r="E154" s="82">
        <v>26586</v>
      </c>
      <c r="F154" s="82">
        <v>4584</v>
      </c>
      <c r="G154" s="82">
        <v>9837</v>
      </c>
      <c r="H154" s="83">
        <v>83.489624781728836</v>
      </c>
      <c r="I154" s="83">
        <v>81149.42842936315</v>
      </c>
      <c r="J154" s="83">
        <v>85.632939315463688</v>
      </c>
    </row>
    <row r="155" spans="1:10" ht="16">
      <c r="A155" s="79" t="s">
        <v>988</v>
      </c>
      <c r="B155" s="79" t="s">
        <v>989</v>
      </c>
      <c r="C155" s="80" t="s">
        <v>95</v>
      </c>
      <c r="D155" s="81" t="s">
        <v>96</v>
      </c>
      <c r="E155" s="82">
        <v>20056</v>
      </c>
      <c r="F155" s="82">
        <v>2047</v>
      </c>
      <c r="G155" s="82">
        <v>2808</v>
      </c>
      <c r="H155" s="83">
        <v>13.241441896189317</v>
      </c>
      <c r="I155" s="83">
        <v>2924.5299425416465</v>
      </c>
      <c r="J155" s="83">
        <v>22.511396780941705</v>
      </c>
    </row>
    <row r="156" spans="1:10" ht="16">
      <c r="A156" s="79" t="s">
        <v>1042</v>
      </c>
      <c r="B156" s="79" t="s">
        <v>1039</v>
      </c>
      <c r="C156" s="80" t="s">
        <v>95</v>
      </c>
      <c r="D156" s="81" t="s">
        <v>76</v>
      </c>
      <c r="E156" s="82">
        <v>62624</v>
      </c>
      <c r="F156" s="82">
        <v>3179</v>
      </c>
      <c r="G156" s="82">
        <v>8141</v>
      </c>
      <c r="H156" s="83">
        <v>29.732751349823946</v>
      </c>
      <c r="I156" s="83">
        <v>13688.863297280104</v>
      </c>
      <c r="J156" s="83">
        <v>36.042220741450087</v>
      </c>
    </row>
    <row r="157" spans="1:10" ht="16">
      <c r="A157" s="79" t="s">
        <v>878</v>
      </c>
      <c r="B157" s="79" t="s">
        <v>877</v>
      </c>
      <c r="C157" s="80" t="s">
        <v>126</v>
      </c>
      <c r="D157" s="81" t="s">
        <v>76</v>
      </c>
      <c r="E157" s="82">
        <v>33030</v>
      </c>
      <c r="F157" s="82">
        <v>2897</v>
      </c>
      <c r="G157" s="82">
        <v>330</v>
      </c>
      <c r="H157" s="83">
        <v>10.054184086016072</v>
      </c>
      <c r="I157" s="83">
        <v>6547.1241715455144</v>
      </c>
      <c r="J157" s="83">
        <v>17.013924807600656</v>
      </c>
    </row>
    <row r="158" spans="1:10" ht="16">
      <c r="A158" s="79" t="s">
        <v>204</v>
      </c>
      <c r="B158" s="79" t="s">
        <v>203</v>
      </c>
      <c r="C158" s="80" t="s">
        <v>126</v>
      </c>
      <c r="D158" s="81" t="s">
        <v>149</v>
      </c>
      <c r="E158" s="82">
        <v>33543</v>
      </c>
      <c r="F158" s="82">
        <v>1038</v>
      </c>
      <c r="G158" s="82">
        <v>9727</v>
      </c>
      <c r="H158" s="83">
        <v>26.814724917468592</v>
      </c>
      <c r="I158" s="83">
        <v>11948.782740400997</v>
      </c>
      <c r="J158" s="83">
        <v>20.922955738032247</v>
      </c>
    </row>
    <row r="159" spans="1:10" ht="16">
      <c r="A159" s="79" t="s">
        <v>357</v>
      </c>
      <c r="B159" s="79" t="s">
        <v>355</v>
      </c>
      <c r="C159" s="80" t="s">
        <v>126</v>
      </c>
      <c r="D159" s="81" t="s">
        <v>149</v>
      </c>
      <c r="E159" s="82">
        <v>16317</v>
      </c>
      <c r="F159" s="82">
        <v>528</v>
      </c>
      <c r="G159" s="82">
        <v>4079</v>
      </c>
      <c r="H159" s="83">
        <v>32.847421447993611</v>
      </c>
      <c r="I159" s="83">
        <v>27181.616153024414</v>
      </c>
      <c r="J159" s="83">
        <v>25.741542404305278</v>
      </c>
    </row>
    <row r="160" spans="1:10" ht="16">
      <c r="A160" s="79" t="s">
        <v>1325</v>
      </c>
      <c r="B160" s="79" t="s">
        <v>1307</v>
      </c>
      <c r="C160" s="80" t="s">
        <v>126</v>
      </c>
      <c r="D160" s="81" t="s">
        <v>103</v>
      </c>
      <c r="E160" s="82">
        <v>22319</v>
      </c>
      <c r="F160" s="82">
        <v>2277</v>
      </c>
      <c r="G160" s="82">
        <v>5580</v>
      </c>
      <c r="H160" s="83">
        <v>86.344615702797554</v>
      </c>
      <c r="I160" s="83">
        <v>83113.001297813666</v>
      </c>
      <c r="J160" s="83">
        <v>79.774205901116957</v>
      </c>
    </row>
    <row r="161" spans="1:10" ht="16">
      <c r="A161" s="79" t="s">
        <v>486</v>
      </c>
      <c r="B161" s="79" t="s">
        <v>485</v>
      </c>
      <c r="C161" s="80" t="s">
        <v>95</v>
      </c>
      <c r="D161" s="81" t="s">
        <v>78</v>
      </c>
      <c r="E161" s="82">
        <v>11023</v>
      </c>
      <c r="F161" s="82">
        <v>475</v>
      </c>
      <c r="G161" s="82">
        <v>1653</v>
      </c>
      <c r="H161" s="83">
        <v>13.885616620847239</v>
      </c>
      <c r="I161" s="83">
        <v>3255.2554471622148</v>
      </c>
      <c r="J161" s="83">
        <v>18.735015985452392</v>
      </c>
    </row>
    <row r="162" spans="1:10" ht="16">
      <c r="A162" s="79" t="s">
        <v>861</v>
      </c>
      <c r="B162" s="79" t="s">
        <v>862</v>
      </c>
      <c r="C162" s="80" t="s">
        <v>126</v>
      </c>
      <c r="D162" s="81" t="s">
        <v>111</v>
      </c>
      <c r="E162" s="82">
        <v>8768</v>
      </c>
      <c r="F162" s="82">
        <v>558</v>
      </c>
      <c r="G162" s="82">
        <v>610</v>
      </c>
      <c r="H162" s="83">
        <v>15.01376435859974</v>
      </c>
      <c r="I162" s="83">
        <v>11538.760572147215</v>
      </c>
      <c r="J162" s="83">
        <v>28.178302906448689</v>
      </c>
    </row>
    <row r="163" spans="1:10" ht="16">
      <c r="A163" s="79" t="s">
        <v>1222</v>
      </c>
      <c r="B163" s="79" t="s">
        <v>1209</v>
      </c>
      <c r="C163" s="80" t="s">
        <v>126</v>
      </c>
      <c r="D163" s="81" t="s">
        <v>99</v>
      </c>
      <c r="E163" s="82">
        <v>27531</v>
      </c>
      <c r="F163" s="82">
        <v>1679</v>
      </c>
      <c r="G163" s="82">
        <v>12664</v>
      </c>
      <c r="H163" s="83">
        <v>13.191212229508384</v>
      </c>
      <c r="I163" s="83">
        <v>5634.4474457284323</v>
      </c>
      <c r="J163" s="83">
        <v>17.438841403212813</v>
      </c>
    </row>
    <row r="164" spans="1:10" ht="16">
      <c r="A164" s="79" t="s">
        <v>1326</v>
      </c>
      <c r="B164" s="79" t="s">
        <v>1307</v>
      </c>
      <c r="C164" s="80" t="s">
        <v>95</v>
      </c>
      <c r="D164" s="81" t="s">
        <v>78</v>
      </c>
      <c r="E164" s="82">
        <v>8228</v>
      </c>
      <c r="F164" s="82">
        <v>741</v>
      </c>
      <c r="G164" s="82">
        <v>658</v>
      </c>
      <c r="H164" s="83">
        <v>12.527920059963789</v>
      </c>
      <c r="I164" s="83">
        <v>4847.9755967097162</v>
      </c>
      <c r="J164" s="83">
        <v>42.090624414962264</v>
      </c>
    </row>
    <row r="165" spans="1:10" ht="16">
      <c r="A165" s="79" t="s">
        <v>1171</v>
      </c>
      <c r="B165" s="79" t="s">
        <v>1161</v>
      </c>
      <c r="C165" s="80" t="s">
        <v>126</v>
      </c>
      <c r="D165" s="81" t="s">
        <v>96</v>
      </c>
      <c r="E165" s="82">
        <v>42418</v>
      </c>
      <c r="F165" s="82">
        <v>2164</v>
      </c>
      <c r="G165" s="82">
        <v>1273</v>
      </c>
      <c r="H165" s="83">
        <v>13.495929951152339</v>
      </c>
      <c r="I165" s="83">
        <v>1956.3383740490453</v>
      </c>
      <c r="J165" s="83">
        <v>16.043732427087559</v>
      </c>
    </row>
    <row r="166" spans="1:10" ht="16">
      <c r="A166" s="79" t="s">
        <v>114</v>
      </c>
      <c r="B166" s="79" t="s">
        <v>108</v>
      </c>
      <c r="C166" s="80" t="s">
        <v>95</v>
      </c>
      <c r="D166" s="81" t="s">
        <v>78</v>
      </c>
      <c r="E166" s="82">
        <v>29214</v>
      </c>
      <c r="F166" s="82">
        <v>1446</v>
      </c>
      <c r="G166" s="82">
        <v>9056</v>
      </c>
      <c r="H166" s="83">
        <v>31.260917294756517</v>
      </c>
      <c r="I166" s="83">
        <v>25325.195267291958</v>
      </c>
      <c r="J166" s="83">
        <v>23.513325737768316</v>
      </c>
    </row>
    <row r="167" spans="1:10" ht="16">
      <c r="A167" s="79" t="s">
        <v>337</v>
      </c>
      <c r="B167" s="79" t="s">
        <v>338</v>
      </c>
      <c r="C167" s="80" t="s">
        <v>95</v>
      </c>
      <c r="D167" s="81" t="s">
        <v>101</v>
      </c>
      <c r="E167" s="82">
        <v>3228</v>
      </c>
      <c r="F167" s="82">
        <v>186</v>
      </c>
      <c r="G167" s="82">
        <v>258</v>
      </c>
      <c r="H167" s="83">
        <v>16.831042109260309</v>
      </c>
      <c r="I167" s="83">
        <v>16071.998608945225</v>
      </c>
      <c r="J167" s="83">
        <v>17.872215990674547</v>
      </c>
    </row>
    <row r="168" spans="1:10" ht="16">
      <c r="A168" s="79" t="s">
        <v>343</v>
      </c>
      <c r="B168" s="79" t="s">
        <v>341</v>
      </c>
      <c r="C168" s="80" t="s">
        <v>126</v>
      </c>
      <c r="D168" s="81" t="s">
        <v>78</v>
      </c>
      <c r="E168" s="82">
        <v>19499</v>
      </c>
      <c r="F168" s="82">
        <v>1840</v>
      </c>
      <c r="G168" s="82">
        <v>3705</v>
      </c>
      <c r="H168" s="83">
        <v>17.897494235589466</v>
      </c>
      <c r="I168" s="83">
        <v>4093.8878485129849</v>
      </c>
      <c r="J168" s="83">
        <v>21.388525562420451</v>
      </c>
    </row>
    <row r="169" spans="1:10" ht="16">
      <c r="A169" s="79" t="s">
        <v>344</v>
      </c>
      <c r="B169" s="79" t="s">
        <v>341</v>
      </c>
      <c r="C169" s="80" t="s">
        <v>95</v>
      </c>
      <c r="D169" s="81" t="s">
        <v>103</v>
      </c>
      <c r="E169" s="82">
        <v>17065</v>
      </c>
      <c r="F169" s="82">
        <v>837</v>
      </c>
      <c r="G169" s="82">
        <v>3413</v>
      </c>
      <c r="H169" s="83">
        <v>13.948240633538081</v>
      </c>
      <c r="I169" s="83">
        <v>2451.6085004021211</v>
      </c>
      <c r="J169" s="83">
        <v>18.012561178102128</v>
      </c>
    </row>
    <row r="170" spans="1:10" ht="16">
      <c r="A170" s="79" t="s">
        <v>205</v>
      </c>
      <c r="B170" s="79" t="s">
        <v>203</v>
      </c>
      <c r="C170" s="80" t="s">
        <v>95</v>
      </c>
      <c r="D170" s="81" t="s">
        <v>101</v>
      </c>
      <c r="E170" s="82">
        <v>15196</v>
      </c>
      <c r="F170" s="82">
        <v>1034</v>
      </c>
      <c r="G170" s="82">
        <v>3495</v>
      </c>
      <c r="H170" s="83">
        <v>30.297670787727505</v>
      </c>
      <c r="I170" s="83">
        <v>23604.796554016622</v>
      </c>
      <c r="J170" s="83">
        <v>27.918169660252342</v>
      </c>
    </row>
    <row r="171" spans="1:10" ht="16">
      <c r="A171" s="79" t="s">
        <v>255</v>
      </c>
      <c r="B171" s="79" t="s">
        <v>242</v>
      </c>
      <c r="C171" s="80" t="s">
        <v>126</v>
      </c>
      <c r="D171" s="81" t="s">
        <v>101</v>
      </c>
      <c r="E171" s="82">
        <v>39665</v>
      </c>
      <c r="F171" s="82">
        <v>2526</v>
      </c>
      <c r="G171" s="82">
        <v>1190</v>
      </c>
      <c r="H171" s="83">
        <v>24.573558859836375</v>
      </c>
      <c r="I171" s="83">
        <v>9541.7984719545711</v>
      </c>
      <c r="J171" s="83">
        <v>25.361014887084359</v>
      </c>
    </row>
    <row r="172" spans="1:10" ht="16">
      <c r="A172" s="79" t="s">
        <v>1327</v>
      </c>
      <c r="B172" s="79" t="s">
        <v>1307</v>
      </c>
      <c r="C172" s="80" t="s">
        <v>126</v>
      </c>
      <c r="D172" s="81" t="s">
        <v>78</v>
      </c>
      <c r="E172" s="82">
        <v>6247</v>
      </c>
      <c r="F172" s="82">
        <v>811</v>
      </c>
      <c r="G172" s="82">
        <v>937</v>
      </c>
      <c r="H172" s="83">
        <v>40.468455415806787</v>
      </c>
      <c r="I172" s="83">
        <v>38557.605630057245</v>
      </c>
      <c r="J172" s="83">
        <v>58.677453373022949</v>
      </c>
    </row>
    <row r="173" spans="1:10" ht="16">
      <c r="A173" s="79" t="s">
        <v>894</v>
      </c>
      <c r="B173" s="79" t="s">
        <v>895</v>
      </c>
      <c r="C173" s="80" t="s">
        <v>126</v>
      </c>
      <c r="D173" s="81" t="s">
        <v>75</v>
      </c>
      <c r="E173" s="82">
        <v>15604</v>
      </c>
      <c r="F173" s="82">
        <v>877</v>
      </c>
      <c r="G173" s="82">
        <v>468</v>
      </c>
      <c r="H173" s="83">
        <v>13.108721857387252</v>
      </c>
      <c r="I173" s="83">
        <v>3417.2887471766644</v>
      </c>
      <c r="J173" s="83">
        <v>17.83113969255362</v>
      </c>
    </row>
    <row r="174" spans="1:10" ht="16">
      <c r="A174" s="79" t="s">
        <v>1223</v>
      </c>
      <c r="B174" s="79" t="s">
        <v>1209</v>
      </c>
      <c r="C174" s="80" t="s">
        <v>95</v>
      </c>
      <c r="D174" s="81" t="s">
        <v>77</v>
      </c>
      <c r="E174" s="82">
        <v>19093</v>
      </c>
      <c r="F174" s="82">
        <v>979</v>
      </c>
      <c r="G174" s="82">
        <v>5155</v>
      </c>
      <c r="H174" s="83">
        <v>14.200733762139405</v>
      </c>
      <c r="I174" s="83">
        <v>6974.1979724434977</v>
      </c>
      <c r="J174" s="83">
        <v>17.472261329971712</v>
      </c>
    </row>
    <row r="175" spans="1:10" ht="16">
      <c r="A175" s="79" t="s">
        <v>115</v>
      </c>
      <c r="B175" s="79" t="s">
        <v>108</v>
      </c>
      <c r="C175" s="80" t="s">
        <v>95</v>
      </c>
      <c r="D175" s="81" t="s">
        <v>96</v>
      </c>
      <c r="E175" s="82">
        <v>39305</v>
      </c>
      <c r="F175" s="82">
        <v>1374</v>
      </c>
      <c r="G175" s="82">
        <v>8647</v>
      </c>
      <c r="H175" s="83">
        <v>29.642737116464453</v>
      </c>
      <c r="I175" s="83">
        <v>21820.544359557091</v>
      </c>
      <c r="J175" s="83">
        <v>24.755570918801919</v>
      </c>
    </row>
    <row r="176" spans="1:10" ht="16">
      <c r="A176" s="79" t="s">
        <v>322</v>
      </c>
      <c r="B176" s="79" t="s">
        <v>323</v>
      </c>
      <c r="C176" s="80" t="s">
        <v>95</v>
      </c>
      <c r="D176" s="81" t="s">
        <v>79</v>
      </c>
      <c r="E176" s="82">
        <v>10339</v>
      </c>
      <c r="F176" s="82">
        <v>801</v>
      </c>
      <c r="G176" s="82">
        <v>103</v>
      </c>
      <c r="H176" s="83">
        <v>10.519090402729431</v>
      </c>
      <c r="I176" s="83">
        <v>1482.6202709339161</v>
      </c>
      <c r="J176" s="83">
        <v>16.885534615232991</v>
      </c>
    </row>
    <row r="177" spans="1:10" ht="16">
      <c r="A177" s="79" t="s">
        <v>838</v>
      </c>
      <c r="B177" s="79" t="s">
        <v>839</v>
      </c>
      <c r="C177" s="80" t="s">
        <v>126</v>
      </c>
      <c r="D177" s="81" t="s">
        <v>99</v>
      </c>
      <c r="E177" s="82">
        <v>18743</v>
      </c>
      <c r="F177" s="82">
        <v>928</v>
      </c>
      <c r="G177" s="82">
        <v>5623</v>
      </c>
      <c r="H177" s="83">
        <v>72.964474871691181</v>
      </c>
      <c r="I177" s="83">
        <v>45705.57764829637</v>
      </c>
      <c r="J177" s="83">
        <v>55.99060701784434</v>
      </c>
    </row>
    <row r="178" spans="1:10" ht="16">
      <c r="A178" s="79" t="s">
        <v>504</v>
      </c>
      <c r="B178" s="79" t="s">
        <v>493</v>
      </c>
      <c r="C178" s="80" t="s">
        <v>126</v>
      </c>
      <c r="D178" s="81" t="s">
        <v>75</v>
      </c>
      <c r="E178" s="82">
        <v>8242</v>
      </c>
      <c r="F178" s="82">
        <v>354</v>
      </c>
      <c r="G178" s="82">
        <v>379</v>
      </c>
      <c r="H178" s="83">
        <v>13.115012669044114</v>
      </c>
      <c r="I178" s="83">
        <v>4915.1824479620582</v>
      </c>
      <c r="J178" s="83">
        <v>16.018644022165468</v>
      </c>
    </row>
    <row r="179" spans="1:10" ht="16">
      <c r="A179" s="79" t="s">
        <v>469</v>
      </c>
      <c r="B179" s="79" t="s">
        <v>467</v>
      </c>
      <c r="C179" s="80" t="s">
        <v>95</v>
      </c>
      <c r="D179" s="81" t="s">
        <v>101</v>
      </c>
      <c r="E179" s="82">
        <v>30414</v>
      </c>
      <c r="F179" s="82">
        <v>611</v>
      </c>
      <c r="G179" s="82">
        <v>912</v>
      </c>
      <c r="H179" s="83">
        <v>12.349204868740451</v>
      </c>
      <c r="I179" s="83">
        <v>3737.535812665164</v>
      </c>
      <c r="J179" s="83">
        <v>15.234538679518169</v>
      </c>
    </row>
    <row r="180" spans="1:10" ht="16">
      <c r="A180" s="79" t="s">
        <v>233</v>
      </c>
      <c r="B180" s="79" t="s">
        <v>231</v>
      </c>
      <c r="C180" s="80" t="s">
        <v>126</v>
      </c>
      <c r="D180" s="81" t="s">
        <v>111</v>
      </c>
      <c r="E180" s="82">
        <v>17287</v>
      </c>
      <c r="F180" s="82">
        <v>1160</v>
      </c>
      <c r="G180" s="82">
        <v>346</v>
      </c>
      <c r="H180" s="83">
        <v>10.599984269521325</v>
      </c>
      <c r="I180" s="83">
        <v>10089.655646757488</v>
      </c>
      <c r="J180" s="83">
        <v>15.338309356842199</v>
      </c>
    </row>
    <row r="181" spans="1:10" ht="16">
      <c r="A181" s="79" t="s">
        <v>1172</v>
      </c>
      <c r="B181" s="79" t="s">
        <v>1161</v>
      </c>
      <c r="C181" s="80" t="s">
        <v>126</v>
      </c>
      <c r="D181" s="81" t="s">
        <v>78</v>
      </c>
      <c r="E181" s="82">
        <v>62844</v>
      </c>
      <c r="F181" s="82">
        <v>3256</v>
      </c>
      <c r="G181" s="82">
        <v>1257</v>
      </c>
      <c r="H181" s="83">
        <v>9.7819003246819687</v>
      </c>
      <c r="I181" s="83">
        <v>1883.6356096672951</v>
      </c>
      <c r="J181" s="83">
        <v>15.585750637834167</v>
      </c>
    </row>
    <row r="182" spans="1:10" ht="16">
      <c r="A182" s="79" t="s">
        <v>668</v>
      </c>
      <c r="B182" s="79" t="s">
        <v>661</v>
      </c>
      <c r="C182" s="80" t="s">
        <v>126</v>
      </c>
      <c r="D182" s="81" t="s">
        <v>103</v>
      </c>
      <c r="E182" s="82">
        <v>28309</v>
      </c>
      <c r="F182" s="82">
        <v>1506</v>
      </c>
      <c r="G182" s="82">
        <v>1132</v>
      </c>
      <c r="H182" s="83">
        <v>10.656279575455025</v>
      </c>
      <c r="I182" s="83">
        <v>755.82879564995096</v>
      </c>
      <c r="J182" s="83">
        <v>15.807106801766551</v>
      </c>
    </row>
    <row r="183" spans="1:10" ht="16">
      <c r="A183" s="79" t="s">
        <v>1328</v>
      </c>
      <c r="B183" s="79" t="s">
        <v>1307</v>
      </c>
      <c r="C183" s="80" t="s">
        <v>126</v>
      </c>
      <c r="D183" s="81" t="s">
        <v>76</v>
      </c>
      <c r="E183" s="82">
        <v>19801</v>
      </c>
      <c r="F183" s="82">
        <v>1784</v>
      </c>
      <c r="G183" s="82">
        <v>3366</v>
      </c>
      <c r="H183" s="83">
        <v>20.921555540471999</v>
      </c>
      <c r="I183" s="83">
        <v>13205.291049629403</v>
      </c>
      <c r="J183" s="83">
        <v>35.842112166818126</v>
      </c>
    </row>
    <row r="184" spans="1:10" ht="16">
      <c r="A184" s="79" t="s">
        <v>599</v>
      </c>
      <c r="B184" s="79" t="s">
        <v>600</v>
      </c>
      <c r="C184" s="80" t="s">
        <v>95</v>
      </c>
      <c r="D184" s="81" t="s">
        <v>76</v>
      </c>
      <c r="E184" s="82">
        <v>12619</v>
      </c>
      <c r="F184" s="82">
        <v>526</v>
      </c>
      <c r="G184" s="82">
        <v>1262</v>
      </c>
      <c r="H184" s="83">
        <v>25.844816406163584</v>
      </c>
      <c r="I184" s="83">
        <v>12547.550779996909</v>
      </c>
      <c r="J184" s="83">
        <v>21.406348996257996</v>
      </c>
    </row>
    <row r="185" spans="1:10" ht="16">
      <c r="A185" s="79" t="s">
        <v>1329</v>
      </c>
      <c r="B185" s="79" t="s">
        <v>1307</v>
      </c>
      <c r="C185" s="80" t="s">
        <v>126</v>
      </c>
      <c r="D185" s="81" t="s">
        <v>78</v>
      </c>
      <c r="E185" s="82">
        <v>15309</v>
      </c>
      <c r="F185" s="82">
        <v>3560</v>
      </c>
      <c r="G185" s="82">
        <v>2909</v>
      </c>
      <c r="H185" s="83">
        <v>77.364105931586337</v>
      </c>
      <c r="I185" s="83">
        <v>74544.814907181179</v>
      </c>
      <c r="J185" s="83">
        <v>82.431460492093564</v>
      </c>
    </row>
    <row r="186" spans="1:10" ht="16">
      <c r="A186" s="79" t="s">
        <v>1224</v>
      </c>
      <c r="B186" s="79" t="s">
        <v>1209</v>
      </c>
      <c r="C186" s="80" t="s">
        <v>95</v>
      </c>
      <c r="D186" s="81" t="s">
        <v>77</v>
      </c>
      <c r="E186" s="82">
        <v>16963</v>
      </c>
      <c r="F186" s="82">
        <v>1146</v>
      </c>
      <c r="G186" s="82">
        <v>5089</v>
      </c>
      <c r="H186" s="83">
        <v>48.623172943050683</v>
      </c>
      <c r="I186" s="83">
        <v>36117.477567279704</v>
      </c>
      <c r="J186" s="83">
        <v>45.903874290911318</v>
      </c>
    </row>
    <row r="187" spans="1:10" ht="16">
      <c r="A187" s="79" t="s">
        <v>256</v>
      </c>
      <c r="B187" s="79" t="s">
        <v>242</v>
      </c>
      <c r="C187" s="80" t="s">
        <v>95</v>
      </c>
      <c r="D187" s="81" t="s">
        <v>79</v>
      </c>
      <c r="E187" s="82">
        <v>25747</v>
      </c>
      <c r="F187" s="82">
        <v>2239</v>
      </c>
      <c r="G187" s="82">
        <v>4377</v>
      </c>
      <c r="H187" s="83">
        <v>24.284971614582069</v>
      </c>
      <c r="I187" s="83">
        <v>11917.683291030389</v>
      </c>
      <c r="J187" s="83">
        <v>31.404114755220942</v>
      </c>
    </row>
    <row r="188" spans="1:10" ht="16">
      <c r="A188" s="79" t="s">
        <v>257</v>
      </c>
      <c r="B188" s="79" t="s">
        <v>242</v>
      </c>
      <c r="C188" s="80" t="s">
        <v>126</v>
      </c>
      <c r="D188" s="81" t="s">
        <v>77</v>
      </c>
      <c r="E188" s="82">
        <v>25519</v>
      </c>
      <c r="F188" s="82">
        <v>1636</v>
      </c>
      <c r="G188" s="82">
        <v>510</v>
      </c>
      <c r="H188" s="83">
        <v>19.727597994149924</v>
      </c>
      <c r="I188" s="83">
        <v>8430.697727033501</v>
      </c>
      <c r="J188" s="83">
        <v>22.389134825369961</v>
      </c>
    </row>
    <row r="189" spans="1:10" ht="16">
      <c r="A189" s="79" t="s">
        <v>866</v>
      </c>
      <c r="B189" s="79" t="s">
        <v>867</v>
      </c>
      <c r="C189" s="80" t="s">
        <v>126</v>
      </c>
      <c r="D189" s="81" t="s">
        <v>78</v>
      </c>
      <c r="E189" s="82">
        <v>18865</v>
      </c>
      <c r="F189" s="82">
        <v>696</v>
      </c>
      <c r="G189" s="82">
        <v>15658</v>
      </c>
      <c r="H189" s="83">
        <v>12.651155246885816</v>
      </c>
      <c r="I189" s="83">
        <v>3592.6767144008954</v>
      </c>
      <c r="J189" s="83">
        <v>17.467455656739354</v>
      </c>
    </row>
    <row r="190" spans="1:10" ht="16">
      <c r="A190" s="79" t="s">
        <v>1225</v>
      </c>
      <c r="B190" s="79" t="s">
        <v>1209</v>
      </c>
      <c r="C190" s="80" t="s">
        <v>95</v>
      </c>
      <c r="D190" s="81" t="s">
        <v>103</v>
      </c>
      <c r="E190" s="82">
        <v>12185</v>
      </c>
      <c r="F190" s="82">
        <v>786</v>
      </c>
      <c r="G190" s="82">
        <v>609</v>
      </c>
      <c r="H190" s="83">
        <v>11.149441288326557</v>
      </c>
      <c r="I190" s="83">
        <v>3382.1003211530988</v>
      </c>
      <c r="J190" s="83">
        <v>15.174614039124044</v>
      </c>
    </row>
    <row r="191" spans="1:10" ht="16">
      <c r="A191" s="79" t="s">
        <v>1226</v>
      </c>
      <c r="B191" s="79" t="s">
        <v>1209</v>
      </c>
      <c r="C191" s="80" t="s">
        <v>95</v>
      </c>
      <c r="D191" s="81" t="s">
        <v>96</v>
      </c>
      <c r="E191" s="82">
        <v>10668</v>
      </c>
      <c r="F191" s="82">
        <v>567</v>
      </c>
      <c r="G191" s="82">
        <v>3520</v>
      </c>
      <c r="H191" s="83">
        <v>13.939612037343803</v>
      </c>
      <c r="I191" s="83">
        <v>5634.5558942642956</v>
      </c>
      <c r="J191" s="83">
        <v>17.122973450035158</v>
      </c>
    </row>
    <row r="192" spans="1:10" ht="16">
      <c r="A192" s="79" t="s">
        <v>116</v>
      </c>
      <c r="B192" s="79" t="s">
        <v>108</v>
      </c>
      <c r="C192" s="80" t="s">
        <v>95</v>
      </c>
      <c r="D192" s="81" t="s">
        <v>101</v>
      </c>
      <c r="E192" s="82">
        <v>17560</v>
      </c>
      <c r="F192" s="82">
        <v>561</v>
      </c>
      <c r="G192" s="82">
        <v>4566</v>
      </c>
      <c r="H192" s="83">
        <v>22.406830182499604</v>
      </c>
      <c r="I192" s="83">
        <v>14849.532379717066</v>
      </c>
      <c r="J192" s="83">
        <v>19.554064783763099</v>
      </c>
    </row>
    <row r="193" spans="1:10" ht="16">
      <c r="A193" s="79" t="s">
        <v>1173</v>
      </c>
      <c r="B193" s="79" t="s">
        <v>1161</v>
      </c>
      <c r="C193" s="80" t="s">
        <v>126</v>
      </c>
      <c r="D193" s="81" t="s">
        <v>103</v>
      </c>
      <c r="E193" s="82">
        <v>46056</v>
      </c>
      <c r="F193" s="82">
        <v>2193</v>
      </c>
      <c r="G193" s="82">
        <v>1382</v>
      </c>
      <c r="H193" s="83">
        <v>10.611170128252045</v>
      </c>
      <c r="I193" s="83">
        <v>1384.6974309428626</v>
      </c>
      <c r="J193" s="83">
        <v>17.39794077000376</v>
      </c>
    </row>
    <row r="194" spans="1:10" ht="16">
      <c r="A194" s="79" t="s">
        <v>669</v>
      </c>
      <c r="B194" s="79" t="s">
        <v>661</v>
      </c>
      <c r="C194" s="80" t="s">
        <v>126</v>
      </c>
      <c r="D194" s="81" t="s">
        <v>103</v>
      </c>
      <c r="E194" s="82">
        <v>9333</v>
      </c>
      <c r="F194" s="82">
        <v>712</v>
      </c>
      <c r="G194" s="82">
        <v>187</v>
      </c>
      <c r="H194" s="83">
        <v>15.235565013532455</v>
      </c>
      <c r="I194" s="83">
        <v>3011.3387744359934</v>
      </c>
      <c r="J194" s="83">
        <v>21.344907831104234</v>
      </c>
    </row>
    <row r="195" spans="1:10" ht="16">
      <c r="A195" s="79" t="s">
        <v>840</v>
      </c>
      <c r="B195" s="79" t="s">
        <v>839</v>
      </c>
      <c r="C195" s="80" t="s">
        <v>126</v>
      </c>
      <c r="D195" s="81" t="s">
        <v>99</v>
      </c>
      <c r="E195" s="82">
        <v>8917</v>
      </c>
      <c r="F195" s="82">
        <v>431</v>
      </c>
      <c r="G195" s="82">
        <v>1694</v>
      </c>
      <c r="H195" s="83">
        <v>48.829892313152776</v>
      </c>
      <c r="I195" s="83">
        <v>29782.731221362279</v>
      </c>
      <c r="J195" s="83">
        <v>45.269438837845499</v>
      </c>
    </row>
    <row r="196" spans="1:10" ht="16">
      <c r="A196" s="79" t="s">
        <v>1330</v>
      </c>
      <c r="B196" s="79" t="s">
        <v>1307</v>
      </c>
      <c r="C196" s="80" t="s">
        <v>126</v>
      </c>
      <c r="D196" s="81" t="s">
        <v>96</v>
      </c>
      <c r="E196" s="82">
        <v>16340</v>
      </c>
      <c r="F196" s="82">
        <v>973</v>
      </c>
      <c r="G196" s="82">
        <v>1471</v>
      </c>
      <c r="H196" s="83">
        <v>9.7143809673742698</v>
      </c>
      <c r="I196" s="83">
        <v>4112.4414659194454</v>
      </c>
      <c r="J196" s="83">
        <v>17.861770540163104</v>
      </c>
    </row>
    <row r="197" spans="1:10" ht="16">
      <c r="A197" s="79" t="s">
        <v>1331</v>
      </c>
      <c r="B197" s="79" t="s">
        <v>1307</v>
      </c>
      <c r="C197" s="80" t="s">
        <v>95</v>
      </c>
      <c r="D197" s="81" t="s">
        <v>76</v>
      </c>
      <c r="E197" s="82">
        <v>12735</v>
      </c>
      <c r="F197" s="82">
        <v>3184</v>
      </c>
      <c r="G197" s="82">
        <v>2547</v>
      </c>
      <c r="H197" s="83">
        <v>40.814925156918747</v>
      </c>
      <c r="I197" s="83">
        <v>40010.417350634962</v>
      </c>
      <c r="J197" s="83">
        <v>56.642482116498726</v>
      </c>
    </row>
    <row r="198" spans="1:10" ht="16">
      <c r="A198" s="79" t="s">
        <v>841</v>
      </c>
      <c r="B198" s="79" t="s">
        <v>839</v>
      </c>
      <c r="C198" s="80" t="s">
        <v>95</v>
      </c>
      <c r="D198" s="81" t="s">
        <v>79</v>
      </c>
      <c r="E198" s="82">
        <v>23167</v>
      </c>
      <c r="F198" s="82">
        <v>1136</v>
      </c>
      <c r="G198" s="82">
        <v>5328</v>
      </c>
      <c r="H198" s="83">
        <v>58.210419973466081</v>
      </c>
      <c r="I198" s="83">
        <v>55656.037129283861</v>
      </c>
      <c r="J198" s="83">
        <v>39.709089834028845</v>
      </c>
    </row>
    <row r="199" spans="1:10" ht="16">
      <c r="A199" s="79" t="s">
        <v>1174</v>
      </c>
      <c r="B199" s="79" t="s">
        <v>1161</v>
      </c>
      <c r="C199" s="80" t="s">
        <v>126</v>
      </c>
      <c r="D199" s="81" t="s">
        <v>103</v>
      </c>
      <c r="E199" s="82">
        <v>39178</v>
      </c>
      <c r="F199" s="82">
        <v>1346</v>
      </c>
      <c r="G199" s="82">
        <v>1175</v>
      </c>
      <c r="H199" s="83">
        <v>17.196634497167761</v>
      </c>
      <c r="I199" s="83">
        <v>3358.176170472937</v>
      </c>
      <c r="J199" s="83">
        <v>20.467998944621907</v>
      </c>
    </row>
    <row r="200" spans="1:10" ht="16">
      <c r="A200" s="79" t="s">
        <v>1090</v>
      </c>
      <c r="B200" s="79" t="s">
        <v>1091</v>
      </c>
      <c r="C200" s="80" t="s">
        <v>126</v>
      </c>
      <c r="D200" s="81" t="s">
        <v>77</v>
      </c>
      <c r="E200" s="82">
        <v>18956</v>
      </c>
      <c r="F200" s="82">
        <v>1516</v>
      </c>
      <c r="G200" s="82">
        <v>7393</v>
      </c>
      <c r="H200" s="83">
        <v>93.78872428038953</v>
      </c>
      <c r="I200" s="83">
        <v>83855.183546042521</v>
      </c>
      <c r="J200" s="83">
        <v>82.539135114244843</v>
      </c>
    </row>
    <row r="201" spans="1:10" ht="16">
      <c r="A201" s="79" t="s">
        <v>1012</v>
      </c>
      <c r="B201" s="79" t="s">
        <v>1007</v>
      </c>
      <c r="C201" s="80" t="s">
        <v>126</v>
      </c>
      <c r="D201" s="81" t="s">
        <v>99</v>
      </c>
      <c r="E201" s="82">
        <v>14510</v>
      </c>
      <c r="F201" s="82">
        <v>859</v>
      </c>
      <c r="G201" s="82">
        <v>2177</v>
      </c>
      <c r="H201" s="83">
        <v>31.67687731312596</v>
      </c>
      <c r="I201" s="83">
        <v>9701.4308397292443</v>
      </c>
      <c r="J201" s="83">
        <v>30.478712622526107</v>
      </c>
    </row>
    <row r="202" spans="1:10" ht="16">
      <c r="A202" s="79" t="s">
        <v>941</v>
      </c>
      <c r="B202" s="79" t="s">
        <v>938</v>
      </c>
      <c r="C202" s="80" t="s">
        <v>126</v>
      </c>
      <c r="D202" s="81" t="s">
        <v>149</v>
      </c>
      <c r="E202" s="82">
        <v>15601</v>
      </c>
      <c r="F202" s="82">
        <v>1515</v>
      </c>
      <c r="G202" s="82">
        <v>2964</v>
      </c>
      <c r="H202" s="83">
        <v>11.810622679430384</v>
      </c>
      <c r="I202" s="83">
        <v>1329.1486116708129</v>
      </c>
      <c r="J202" s="83">
        <v>21.46594525911517</v>
      </c>
    </row>
    <row r="203" spans="1:10" ht="16">
      <c r="A203" s="79" t="s">
        <v>372</v>
      </c>
      <c r="B203" s="79" t="s">
        <v>363</v>
      </c>
      <c r="C203" s="80" t="s">
        <v>126</v>
      </c>
      <c r="D203" s="81" t="s">
        <v>96</v>
      </c>
      <c r="E203" s="82">
        <v>33084</v>
      </c>
      <c r="F203" s="82">
        <v>2346</v>
      </c>
      <c r="G203" s="82">
        <v>331</v>
      </c>
      <c r="H203" s="83">
        <v>10.023814867381549</v>
      </c>
      <c r="I203" s="83">
        <v>3205.7763406986874</v>
      </c>
      <c r="J203" s="83">
        <v>15.796862427913828</v>
      </c>
    </row>
    <row r="204" spans="1:10" ht="16">
      <c r="A204" s="79" t="s">
        <v>168</v>
      </c>
      <c r="B204" s="79" t="s">
        <v>169</v>
      </c>
      <c r="C204" s="80" t="s">
        <v>126</v>
      </c>
      <c r="D204" s="81" t="s">
        <v>77</v>
      </c>
      <c r="E204" s="82">
        <v>5872</v>
      </c>
      <c r="F204" s="82">
        <v>763</v>
      </c>
      <c r="G204" s="82">
        <v>404</v>
      </c>
      <c r="H204" s="83">
        <v>7.8561030921231456</v>
      </c>
      <c r="I204" s="83">
        <v>132.70703002510859</v>
      </c>
      <c r="J204" s="83">
        <v>28.220909236539185</v>
      </c>
    </row>
    <row r="205" spans="1:10" ht="16">
      <c r="A205" s="79" t="s">
        <v>170</v>
      </c>
      <c r="B205" s="79" t="s">
        <v>169</v>
      </c>
      <c r="C205" s="80" t="s">
        <v>126</v>
      </c>
      <c r="D205" s="81" t="s">
        <v>111</v>
      </c>
      <c r="E205" s="82">
        <v>14422</v>
      </c>
      <c r="F205" s="82">
        <v>690</v>
      </c>
      <c r="G205" s="82">
        <v>144</v>
      </c>
      <c r="H205" s="83">
        <v>11.81490494719246</v>
      </c>
      <c r="I205" s="83">
        <v>2862.6838634310134</v>
      </c>
      <c r="J205" s="83">
        <v>16.583901842020285</v>
      </c>
    </row>
    <row r="206" spans="1:10" ht="16">
      <c r="A206" s="79" t="s">
        <v>171</v>
      </c>
      <c r="B206" s="79" t="s">
        <v>169</v>
      </c>
      <c r="C206" s="80" t="s">
        <v>95</v>
      </c>
      <c r="D206" s="81" t="s">
        <v>101</v>
      </c>
      <c r="E206" s="82">
        <v>24077</v>
      </c>
      <c r="F206" s="82">
        <v>1824</v>
      </c>
      <c r="G206" s="82">
        <v>1204</v>
      </c>
      <c r="H206" s="83">
        <v>7.6228092504392153</v>
      </c>
      <c r="I206" s="83">
        <v>841.78136784470973</v>
      </c>
      <c r="J206" s="83">
        <v>16.686613635527912</v>
      </c>
    </row>
    <row r="207" spans="1:10" ht="16">
      <c r="A207" s="79" t="s">
        <v>172</v>
      </c>
      <c r="B207" s="79" t="s">
        <v>169</v>
      </c>
      <c r="C207" s="80" t="s">
        <v>95</v>
      </c>
      <c r="D207" s="81" t="s">
        <v>78</v>
      </c>
      <c r="E207" s="82">
        <v>40848</v>
      </c>
      <c r="F207" s="82">
        <v>2569</v>
      </c>
      <c r="G207" s="82">
        <v>2812</v>
      </c>
      <c r="H207" s="83">
        <v>13.925946731600424</v>
      </c>
      <c r="I207" s="83">
        <v>2580.6352686617479</v>
      </c>
      <c r="J207" s="83">
        <v>22.396981938112479</v>
      </c>
    </row>
    <row r="208" spans="1:10" ht="16">
      <c r="A208" s="79" t="s">
        <v>173</v>
      </c>
      <c r="B208" s="79" t="s">
        <v>169</v>
      </c>
      <c r="C208" s="80" t="s">
        <v>95</v>
      </c>
      <c r="D208" s="81" t="s">
        <v>77</v>
      </c>
      <c r="E208" s="82">
        <v>3621</v>
      </c>
      <c r="F208" s="82">
        <v>338</v>
      </c>
      <c r="G208" s="82">
        <v>72</v>
      </c>
      <c r="H208" s="83">
        <v>10.727461027487623</v>
      </c>
      <c r="I208" s="83">
        <v>1366.6085761163563</v>
      </c>
      <c r="J208" s="83">
        <v>21.130004651174435</v>
      </c>
    </row>
    <row r="209" spans="1:10" ht="16">
      <c r="A209" s="79" t="s">
        <v>174</v>
      </c>
      <c r="B209" s="79" t="s">
        <v>169</v>
      </c>
      <c r="C209" s="80" t="s">
        <v>126</v>
      </c>
      <c r="D209" s="81" t="s">
        <v>78</v>
      </c>
      <c r="E209" s="82">
        <v>14024</v>
      </c>
      <c r="F209" s="82">
        <v>723</v>
      </c>
      <c r="G209" s="82">
        <v>140</v>
      </c>
      <c r="H209" s="83">
        <v>17.58213444253543</v>
      </c>
      <c r="I209" s="83">
        <v>1885.9581112705851</v>
      </c>
      <c r="J209" s="83">
        <v>24.475238655370035</v>
      </c>
    </row>
    <row r="210" spans="1:10" ht="16">
      <c r="A210" s="79" t="s">
        <v>175</v>
      </c>
      <c r="B210" s="79" t="s">
        <v>169</v>
      </c>
      <c r="C210" s="80" t="s">
        <v>126</v>
      </c>
      <c r="D210" s="81" t="s">
        <v>101</v>
      </c>
      <c r="E210" s="82">
        <v>25018</v>
      </c>
      <c r="F210" s="82">
        <v>1390</v>
      </c>
      <c r="G210" s="82">
        <v>1722</v>
      </c>
      <c r="H210" s="83">
        <v>7.7688725844615574</v>
      </c>
      <c r="I210" s="83">
        <v>515.89113456572716</v>
      </c>
      <c r="J210" s="83">
        <v>17.932793943482746</v>
      </c>
    </row>
    <row r="211" spans="1:10" ht="16">
      <c r="A211" s="79" t="s">
        <v>176</v>
      </c>
      <c r="B211" s="79" t="s">
        <v>169</v>
      </c>
      <c r="C211" s="80" t="s">
        <v>95</v>
      </c>
      <c r="D211" s="81" t="s">
        <v>149</v>
      </c>
      <c r="E211" s="82">
        <v>43899</v>
      </c>
      <c r="F211" s="82">
        <v>3484</v>
      </c>
      <c r="G211" s="82">
        <v>878</v>
      </c>
      <c r="H211" s="83">
        <v>18.020460711201569</v>
      </c>
      <c r="I211" s="83">
        <v>9338.4282738261591</v>
      </c>
      <c r="J211" s="83">
        <v>30.852172437647614</v>
      </c>
    </row>
    <row r="212" spans="1:10" ht="16">
      <c r="A212" s="79" t="s">
        <v>177</v>
      </c>
      <c r="B212" s="79" t="s">
        <v>169</v>
      </c>
      <c r="C212" s="80" t="s">
        <v>95</v>
      </c>
      <c r="D212" s="81" t="s">
        <v>99</v>
      </c>
      <c r="E212" s="82">
        <v>13823</v>
      </c>
      <c r="F212" s="82">
        <v>848</v>
      </c>
      <c r="G212" s="82">
        <v>138</v>
      </c>
      <c r="H212" s="83">
        <v>10.164823432142843</v>
      </c>
      <c r="I212" s="83">
        <v>1868.105520269009</v>
      </c>
      <c r="J212" s="83">
        <v>17.165123938760406</v>
      </c>
    </row>
    <row r="213" spans="1:10" ht="16">
      <c r="A213" s="79" t="s">
        <v>178</v>
      </c>
      <c r="B213" s="79" t="s">
        <v>169</v>
      </c>
      <c r="C213" s="80" t="s">
        <v>95</v>
      </c>
      <c r="D213" s="81" t="s">
        <v>103</v>
      </c>
      <c r="E213" s="82">
        <v>23198</v>
      </c>
      <c r="F213" s="82">
        <v>1333</v>
      </c>
      <c r="G213" s="82">
        <v>1160</v>
      </c>
      <c r="H213" s="83">
        <v>11.346006481708931</v>
      </c>
      <c r="I213" s="83">
        <v>5368.1592980085006</v>
      </c>
      <c r="J213" s="83">
        <v>18.487356933678182</v>
      </c>
    </row>
    <row r="214" spans="1:10" ht="16">
      <c r="A214" s="79" t="s">
        <v>179</v>
      </c>
      <c r="B214" s="79" t="s">
        <v>169</v>
      </c>
      <c r="C214" s="80" t="s">
        <v>126</v>
      </c>
      <c r="D214" s="81" t="s">
        <v>103</v>
      </c>
      <c r="E214" s="82">
        <v>34072</v>
      </c>
      <c r="F214" s="82">
        <v>2662</v>
      </c>
      <c r="G214" s="82">
        <v>341</v>
      </c>
      <c r="H214" s="83">
        <v>9.9665685483785023</v>
      </c>
      <c r="I214" s="83">
        <v>1328.2403333446814</v>
      </c>
      <c r="J214" s="83">
        <v>27.282696028261121</v>
      </c>
    </row>
    <row r="215" spans="1:10" ht="16">
      <c r="A215" s="79" t="s">
        <v>180</v>
      </c>
      <c r="B215" s="79" t="s">
        <v>169</v>
      </c>
      <c r="C215" s="80" t="s">
        <v>95</v>
      </c>
      <c r="D215" s="81" t="s">
        <v>101</v>
      </c>
      <c r="E215" s="82">
        <v>48675</v>
      </c>
      <c r="F215" s="82">
        <v>3957</v>
      </c>
      <c r="G215" s="82">
        <v>974</v>
      </c>
      <c r="H215" s="83">
        <v>22.842101971640435</v>
      </c>
      <c r="I215" s="83">
        <v>5765.829385418222</v>
      </c>
      <c r="J215" s="83">
        <v>35.2416829749287</v>
      </c>
    </row>
    <row r="216" spans="1:10" ht="16">
      <c r="A216" s="79" t="s">
        <v>181</v>
      </c>
      <c r="B216" s="79" t="s">
        <v>169</v>
      </c>
      <c r="C216" s="80" t="s">
        <v>95</v>
      </c>
      <c r="D216" s="81" t="s">
        <v>79</v>
      </c>
      <c r="E216" s="82">
        <v>42573</v>
      </c>
      <c r="F216" s="82">
        <v>2490</v>
      </c>
      <c r="G216" s="82">
        <v>2931</v>
      </c>
      <c r="H216" s="83">
        <v>8.7628744857619498</v>
      </c>
      <c r="I216" s="83">
        <v>1669.8013774452324</v>
      </c>
      <c r="J216" s="83">
        <v>19.60161499469573</v>
      </c>
    </row>
    <row r="217" spans="1:10" ht="16">
      <c r="A217" s="79" t="s">
        <v>182</v>
      </c>
      <c r="B217" s="79" t="s">
        <v>169</v>
      </c>
      <c r="C217" s="80" t="s">
        <v>95</v>
      </c>
      <c r="D217" s="81" t="s">
        <v>149</v>
      </c>
      <c r="E217" s="82">
        <v>52579</v>
      </c>
      <c r="F217" s="82">
        <v>2710</v>
      </c>
      <c r="G217" s="82">
        <v>526</v>
      </c>
      <c r="H217" s="83">
        <v>19.121317501101739</v>
      </c>
      <c r="I217" s="83">
        <v>9024.2247921244416</v>
      </c>
      <c r="J217" s="83">
        <v>29.989143630399191</v>
      </c>
    </row>
    <row r="218" spans="1:10" ht="16">
      <c r="A218" s="79" t="s">
        <v>183</v>
      </c>
      <c r="B218" s="79" t="s">
        <v>169</v>
      </c>
      <c r="C218" s="80" t="s">
        <v>126</v>
      </c>
      <c r="D218" s="81" t="s">
        <v>101</v>
      </c>
      <c r="E218" s="82">
        <v>38719</v>
      </c>
      <c r="F218" s="82">
        <v>2332</v>
      </c>
      <c r="G218" s="82">
        <v>774</v>
      </c>
      <c r="H218" s="83">
        <v>13.105359604967868</v>
      </c>
      <c r="I218" s="83">
        <v>6898.9135700455881</v>
      </c>
      <c r="J218" s="83">
        <v>29.285293821455824</v>
      </c>
    </row>
    <row r="219" spans="1:10" ht="16">
      <c r="A219" s="79" t="s">
        <v>184</v>
      </c>
      <c r="B219" s="79" t="s">
        <v>169</v>
      </c>
      <c r="C219" s="80" t="s">
        <v>95</v>
      </c>
      <c r="D219" s="81" t="s">
        <v>77</v>
      </c>
      <c r="E219" s="82">
        <v>27285</v>
      </c>
      <c r="F219" s="82">
        <v>1935</v>
      </c>
      <c r="G219" s="82">
        <v>1879</v>
      </c>
      <c r="H219" s="83">
        <v>9.4113957186814936</v>
      </c>
      <c r="I219" s="83">
        <v>1191.532850097137</v>
      </c>
      <c r="J219" s="83">
        <v>20.770014117038539</v>
      </c>
    </row>
    <row r="220" spans="1:10" ht="16">
      <c r="A220" s="79" t="s">
        <v>1105</v>
      </c>
      <c r="B220" s="79" t="s">
        <v>1100</v>
      </c>
      <c r="C220" s="80" t="s">
        <v>126</v>
      </c>
      <c r="D220" s="81" t="s">
        <v>99</v>
      </c>
      <c r="E220" s="82">
        <v>19840</v>
      </c>
      <c r="F220" s="82">
        <v>859</v>
      </c>
      <c r="G220" s="82">
        <v>3174</v>
      </c>
      <c r="H220" s="83">
        <v>17.652933800014619</v>
      </c>
      <c r="I220" s="83">
        <v>2984.4136760864271</v>
      </c>
      <c r="J220" s="83">
        <v>18.199799190229012</v>
      </c>
    </row>
    <row r="221" spans="1:10" ht="16">
      <c r="A221" s="79" t="s">
        <v>561</v>
      </c>
      <c r="B221" s="79" t="s">
        <v>556</v>
      </c>
      <c r="C221" s="80" t="s">
        <v>95</v>
      </c>
      <c r="D221" s="81" t="s">
        <v>79</v>
      </c>
      <c r="E221" s="82">
        <v>23992</v>
      </c>
      <c r="F221" s="82">
        <v>813</v>
      </c>
      <c r="G221" s="82">
        <v>1200</v>
      </c>
      <c r="H221" s="83">
        <v>19.405070502925309</v>
      </c>
      <c r="I221" s="83">
        <v>4285.3767252815924</v>
      </c>
      <c r="J221" s="83">
        <v>26.395528210549841</v>
      </c>
    </row>
    <row r="222" spans="1:10" ht="16">
      <c r="A222" s="79" t="s">
        <v>117</v>
      </c>
      <c r="B222" s="79" t="s">
        <v>108</v>
      </c>
      <c r="C222" s="80" t="s">
        <v>95</v>
      </c>
      <c r="D222" s="81" t="s">
        <v>78</v>
      </c>
      <c r="E222" s="82">
        <v>16844</v>
      </c>
      <c r="F222" s="82">
        <v>653</v>
      </c>
      <c r="G222" s="82">
        <v>5727</v>
      </c>
      <c r="H222" s="83">
        <v>30.240115866073598</v>
      </c>
      <c r="I222" s="83">
        <v>25246.030846461763</v>
      </c>
      <c r="J222" s="83">
        <v>22.95600297587298</v>
      </c>
    </row>
    <row r="223" spans="1:10" ht="16">
      <c r="A223" s="79" t="s">
        <v>1332</v>
      </c>
      <c r="B223" s="79" t="s">
        <v>1307</v>
      </c>
      <c r="C223" s="80" t="s">
        <v>95</v>
      </c>
      <c r="D223" s="81" t="s">
        <v>78</v>
      </c>
      <c r="E223" s="82">
        <v>23658</v>
      </c>
      <c r="F223" s="82">
        <v>1293</v>
      </c>
      <c r="G223" s="82">
        <v>2366</v>
      </c>
      <c r="H223" s="83">
        <v>19.861783072457225</v>
      </c>
      <c r="I223" s="83">
        <v>7190.5201991244494</v>
      </c>
      <c r="J223" s="83">
        <v>21.85601319612941</v>
      </c>
    </row>
    <row r="224" spans="1:10" ht="16">
      <c r="A224" s="79" t="s">
        <v>1333</v>
      </c>
      <c r="B224" s="79" t="s">
        <v>1307</v>
      </c>
      <c r="C224" s="80" t="s">
        <v>126</v>
      </c>
      <c r="D224" s="81" t="s">
        <v>76</v>
      </c>
      <c r="E224" s="82">
        <v>5344</v>
      </c>
      <c r="F224" s="82">
        <v>379</v>
      </c>
      <c r="G224" s="82">
        <v>1764</v>
      </c>
      <c r="H224" s="83">
        <v>14.962745054502037</v>
      </c>
      <c r="I224" s="83">
        <v>4601.3312807828415</v>
      </c>
      <c r="J224" s="83">
        <v>23.49427268702134</v>
      </c>
    </row>
    <row r="225" spans="1:10" ht="16">
      <c r="A225" s="79" t="s">
        <v>1334</v>
      </c>
      <c r="B225" s="79" t="s">
        <v>1307</v>
      </c>
      <c r="C225" s="80" t="s">
        <v>95</v>
      </c>
      <c r="D225" s="81" t="s">
        <v>79</v>
      </c>
      <c r="E225" s="82">
        <v>34203</v>
      </c>
      <c r="F225" s="82">
        <v>1437</v>
      </c>
      <c r="G225" s="82">
        <v>2736</v>
      </c>
      <c r="H225" s="83">
        <v>23.588461559923442</v>
      </c>
      <c r="I225" s="83">
        <v>14100.6297506624</v>
      </c>
      <c r="J225" s="83">
        <v>30.967480050487129</v>
      </c>
    </row>
    <row r="226" spans="1:10" ht="16">
      <c r="A226" s="79" t="s">
        <v>1335</v>
      </c>
      <c r="B226" s="79" t="s">
        <v>1307</v>
      </c>
      <c r="C226" s="80" t="s">
        <v>95</v>
      </c>
      <c r="D226" s="81" t="s">
        <v>103</v>
      </c>
      <c r="E226" s="82">
        <v>38520</v>
      </c>
      <c r="F226" s="82">
        <v>1598</v>
      </c>
      <c r="G226" s="82">
        <v>2696</v>
      </c>
      <c r="H226" s="83">
        <v>40.17027352502447</v>
      </c>
      <c r="I226" s="83">
        <v>27749.888457637338</v>
      </c>
      <c r="J226" s="83">
        <v>38.071546903495431</v>
      </c>
    </row>
    <row r="227" spans="1:10" ht="16">
      <c r="A227" s="79" t="s">
        <v>185</v>
      </c>
      <c r="B227" s="79" t="s">
        <v>169</v>
      </c>
      <c r="C227" s="80" t="s">
        <v>126</v>
      </c>
      <c r="D227" s="81" t="s">
        <v>99</v>
      </c>
      <c r="E227" s="82">
        <v>55502</v>
      </c>
      <c r="F227" s="82">
        <v>3604</v>
      </c>
      <c r="G227" s="82">
        <v>3821</v>
      </c>
      <c r="H227" s="83">
        <v>11.956516457462193</v>
      </c>
      <c r="I227" s="83">
        <v>1680.3457926330907</v>
      </c>
      <c r="J227" s="83">
        <v>20.583077063141761</v>
      </c>
    </row>
    <row r="228" spans="1:10" ht="16">
      <c r="A228" s="79" t="s">
        <v>423</v>
      </c>
      <c r="B228" s="79" t="s">
        <v>421</v>
      </c>
      <c r="C228" s="80" t="s">
        <v>95</v>
      </c>
      <c r="D228" s="81" t="s">
        <v>76</v>
      </c>
      <c r="E228" s="82">
        <v>35894</v>
      </c>
      <c r="F228" s="82">
        <v>617</v>
      </c>
      <c r="G228" s="82">
        <v>7538</v>
      </c>
      <c r="H228" s="83">
        <v>64.183785046883727</v>
      </c>
      <c r="I228" s="83">
        <v>36991.972142057384</v>
      </c>
      <c r="J228" s="83">
        <v>57.410940334721971</v>
      </c>
    </row>
    <row r="229" spans="1:10" ht="16">
      <c r="A229" s="79" t="s">
        <v>619</v>
      </c>
      <c r="B229" s="79" t="s">
        <v>617</v>
      </c>
      <c r="C229" s="80" t="s">
        <v>95</v>
      </c>
      <c r="D229" s="81" t="s">
        <v>103</v>
      </c>
      <c r="E229" s="82">
        <v>3891</v>
      </c>
      <c r="F229" s="82">
        <v>324</v>
      </c>
      <c r="G229" s="82">
        <v>506</v>
      </c>
      <c r="H229" s="83">
        <v>14.072386085276749</v>
      </c>
      <c r="I229" s="83">
        <v>10265.742838475569</v>
      </c>
      <c r="J229" s="83">
        <v>21.40767007231225</v>
      </c>
    </row>
    <row r="230" spans="1:10" ht="16">
      <c r="A230" s="79" t="s">
        <v>1106</v>
      </c>
      <c r="B230" s="79" t="s">
        <v>1100</v>
      </c>
      <c r="C230" s="80" t="s">
        <v>95</v>
      </c>
      <c r="D230" s="81" t="s">
        <v>78</v>
      </c>
      <c r="E230" s="82">
        <v>20450</v>
      </c>
      <c r="F230" s="82">
        <v>988</v>
      </c>
      <c r="G230" s="82">
        <v>1841</v>
      </c>
      <c r="H230" s="83">
        <v>20.16988707495257</v>
      </c>
      <c r="I230" s="83">
        <v>6247.0492745114652</v>
      </c>
      <c r="J230" s="83">
        <v>18.913204923912385</v>
      </c>
    </row>
    <row r="231" spans="1:10" ht="16">
      <c r="A231" s="79" t="s">
        <v>258</v>
      </c>
      <c r="B231" s="79" t="s">
        <v>242</v>
      </c>
      <c r="C231" s="80" t="s">
        <v>95</v>
      </c>
      <c r="D231" s="81" t="s">
        <v>103</v>
      </c>
      <c r="E231" s="82">
        <v>32537</v>
      </c>
      <c r="F231" s="82">
        <v>2905</v>
      </c>
      <c r="G231" s="82">
        <v>3904</v>
      </c>
      <c r="H231" s="83">
        <v>59.046558465244679</v>
      </c>
      <c r="I231" s="83">
        <v>39951.11907095366</v>
      </c>
      <c r="J231" s="83">
        <v>62.306355466386947</v>
      </c>
    </row>
    <row r="232" spans="1:10" ht="16">
      <c r="A232" s="79" t="s">
        <v>670</v>
      </c>
      <c r="B232" s="79" t="s">
        <v>661</v>
      </c>
      <c r="C232" s="80" t="s">
        <v>95</v>
      </c>
      <c r="D232" s="81" t="s">
        <v>96</v>
      </c>
      <c r="E232" s="82">
        <v>2942</v>
      </c>
      <c r="F232" s="82">
        <v>919</v>
      </c>
      <c r="G232" s="82">
        <v>205</v>
      </c>
      <c r="H232" s="83">
        <v>10.179967017157397</v>
      </c>
      <c r="I232" s="83">
        <v>8904.3449634371682</v>
      </c>
      <c r="J232" s="83">
        <v>25.407972558383928</v>
      </c>
    </row>
    <row r="233" spans="1:10" ht="16">
      <c r="A233" s="79" t="s">
        <v>259</v>
      </c>
      <c r="B233" s="79" t="s">
        <v>242</v>
      </c>
      <c r="C233" s="80" t="s">
        <v>126</v>
      </c>
      <c r="D233" s="81" t="s">
        <v>78</v>
      </c>
      <c r="E233" s="82">
        <v>34979</v>
      </c>
      <c r="F233" s="82">
        <v>2200</v>
      </c>
      <c r="G233" s="82">
        <v>700</v>
      </c>
      <c r="H233" s="83">
        <v>12.141667381418106</v>
      </c>
      <c r="I233" s="83">
        <v>6642.5895877004959</v>
      </c>
      <c r="J233" s="83">
        <v>16.754300022009026</v>
      </c>
    </row>
    <row r="234" spans="1:10" ht="16">
      <c r="A234" s="79" t="s">
        <v>1175</v>
      </c>
      <c r="B234" s="79" t="s">
        <v>1161</v>
      </c>
      <c r="C234" s="80" t="s">
        <v>126</v>
      </c>
      <c r="D234" s="81" t="s">
        <v>78</v>
      </c>
      <c r="E234" s="82">
        <v>77346</v>
      </c>
      <c r="F234" s="82">
        <v>2553</v>
      </c>
      <c r="G234" s="82">
        <v>2320</v>
      </c>
      <c r="H234" s="83">
        <v>11.291591702228631</v>
      </c>
      <c r="I234" s="83">
        <v>1408.2771655781078</v>
      </c>
      <c r="J234" s="83">
        <v>19.659416858520999</v>
      </c>
    </row>
    <row r="235" spans="1:10" ht="16">
      <c r="A235" s="79" t="s">
        <v>1176</v>
      </c>
      <c r="B235" s="79" t="s">
        <v>1161</v>
      </c>
      <c r="C235" s="80" t="s">
        <v>126</v>
      </c>
      <c r="D235" s="81" t="s">
        <v>78</v>
      </c>
      <c r="E235" s="82">
        <v>37903</v>
      </c>
      <c r="F235" s="82">
        <v>995</v>
      </c>
      <c r="G235" s="82">
        <v>2274</v>
      </c>
      <c r="H235" s="83">
        <v>9.583958912735385</v>
      </c>
      <c r="I235" s="83">
        <v>1415.0001181228315</v>
      </c>
      <c r="J235" s="83">
        <v>17.653216566824053</v>
      </c>
    </row>
    <row r="236" spans="1:10" ht="16">
      <c r="A236" s="79" t="s">
        <v>900</v>
      </c>
      <c r="B236" s="79" t="s">
        <v>898</v>
      </c>
      <c r="C236" s="80" t="s">
        <v>126</v>
      </c>
      <c r="D236" s="81" t="s">
        <v>79</v>
      </c>
      <c r="E236" s="82">
        <v>16834</v>
      </c>
      <c r="F236" s="82">
        <v>1137</v>
      </c>
      <c r="G236" s="82">
        <v>673</v>
      </c>
      <c r="H236" s="83">
        <v>12.61054081507986</v>
      </c>
      <c r="I236" s="83">
        <v>4495.7668673578419</v>
      </c>
      <c r="J236" s="83">
        <v>17.301159619825327</v>
      </c>
    </row>
    <row r="237" spans="1:10" ht="16">
      <c r="A237" s="79" t="s">
        <v>1177</v>
      </c>
      <c r="B237" s="79" t="s">
        <v>1161</v>
      </c>
      <c r="C237" s="80" t="s">
        <v>126</v>
      </c>
      <c r="D237" s="81" t="s">
        <v>79</v>
      </c>
      <c r="E237" s="82">
        <v>7487</v>
      </c>
      <c r="F237" s="82">
        <v>273</v>
      </c>
      <c r="G237" s="82">
        <v>150</v>
      </c>
      <c r="H237" s="83">
        <v>14.179962089355918</v>
      </c>
      <c r="I237" s="83">
        <v>2745.5897871249067</v>
      </c>
      <c r="J237" s="83">
        <v>21.677287741202516</v>
      </c>
    </row>
    <row r="238" spans="1:10" ht="16">
      <c r="A238" s="79" t="s">
        <v>1336</v>
      </c>
      <c r="B238" s="79" t="s">
        <v>1307</v>
      </c>
      <c r="C238" s="80" t="s">
        <v>95</v>
      </c>
      <c r="D238" s="81" t="s">
        <v>99</v>
      </c>
      <c r="E238" s="82">
        <v>29377</v>
      </c>
      <c r="F238" s="82">
        <v>1632</v>
      </c>
      <c r="G238" s="82">
        <v>2938</v>
      </c>
      <c r="H238" s="83">
        <v>26.673517996096546</v>
      </c>
      <c r="I238" s="83">
        <v>23586.112561833314</v>
      </c>
      <c r="J238" s="83">
        <v>30.104935108440671</v>
      </c>
    </row>
    <row r="239" spans="1:10" ht="16">
      <c r="A239" s="79" t="s">
        <v>1337</v>
      </c>
      <c r="B239" s="79" t="s">
        <v>1307</v>
      </c>
      <c r="C239" s="80" t="s">
        <v>95</v>
      </c>
      <c r="D239" s="81" t="s">
        <v>103</v>
      </c>
      <c r="E239" s="82">
        <v>23488</v>
      </c>
      <c r="F239" s="82">
        <v>1793</v>
      </c>
      <c r="G239" s="82">
        <v>4228</v>
      </c>
      <c r="H239" s="83">
        <v>33.025641854689482</v>
      </c>
      <c r="I239" s="83">
        <v>26462.706087824354</v>
      </c>
      <c r="J239" s="83">
        <v>49.408218382166076</v>
      </c>
    </row>
    <row r="240" spans="1:10" ht="16">
      <c r="A240" s="79" t="s">
        <v>1338</v>
      </c>
      <c r="B240" s="79" t="s">
        <v>1307</v>
      </c>
      <c r="C240" s="80" t="s">
        <v>95</v>
      </c>
      <c r="D240" s="81" t="s">
        <v>77</v>
      </c>
      <c r="E240" s="82">
        <v>16279</v>
      </c>
      <c r="F240" s="82">
        <v>1915</v>
      </c>
      <c r="G240" s="82">
        <v>2930</v>
      </c>
      <c r="H240" s="83">
        <v>38.039640511466644</v>
      </c>
      <c r="I240" s="83">
        <v>35669.765963644299</v>
      </c>
      <c r="J240" s="83">
        <v>57.830380655462719</v>
      </c>
    </row>
    <row r="241" spans="1:10" ht="16">
      <c r="A241" s="79" t="s">
        <v>1339</v>
      </c>
      <c r="B241" s="79" t="s">
        <v>1307</v>
      </c>
      <c r="C241" s="80" t="s">
        <v>126</v>
      </c>
      <c r="D241" s="81" t="s">
        <v>103</v>
      </c>
      <c r="E241" s="82">
        <v>21372</v>
      </c>
      <c r="F241" s="82">
        <v>1168</v>
      </c>
      <c r="G241" s="82">
        <v>5770</v>
      </c>
      <c r="H241" s="83">
        <v>76.609872335463166</v>
      </c>
      <c r="I241" s="83">
        <v>69090.47092340338</v>
      </c>
      <c r="J241" s="83">
        <v>60.932741200446031</v>
      </c>
    </row>
    <row r="242" spans="1:10" ht="16">
      <c r="A242" s="79" t="s">
        <v>1340</v>
      </c>
      <c r="B242" s="79" t="s">
        <v>1307</v>
      </c>
      <c r="C242" s="80" t="s">
        <v>95</v>
      </c>
      <c r="D242" s="81" t="s">
        <v>101</v>
      </c>
      <c r="E242" s="82">
        <v>29290</v>
      </c>
      <c r="F242" s="82">
        <v>2034</v>
      </c>
      <c r="G242" s="82">
        <v>1757</v>
      </c>
      <c r="H242" s="83">
        <v>27.507549889938165</v>
      </c>
      <c r="I242" s="83">
        <v>17154.181908537066</v>
      </c>
      <c r="J242" s="83">
        <v>34.66055106467617</v>
      </c>
    </row>
    <row r="243" spans="1:10" ht="16">
      <c r="A243" s="79" t="s">
        <v>162</v>
      </c>
      <c r="B243" s="79" t="s">
        <v>163</v>
      </c>
      <c r="C243" s="80" t="s">
        <v>95</v>
      </c>
      <c r="D243" s="81" t="s">
        <v>75</v>
      </c>
      <c r="E243" s="82">
        <v>38080</v>
      </c>
      <c r="F243" s="82">
        <v>1029</v>
      </c>
      <c r="G243" s="82">
        <v>3808</v>
      </c>
      <c r="H243" s="83">
        <v>55.75357474890351</v>
      </c>
      <c r="I243" s="83">
        <v>43558.654976731057</v>
      </c>
      <c r="J243" s="83">
        <v>43.321681070241077</v>
      </c>
    </row>
    <row r="244" spans="1:10" ht="16">
      <c r="A244" s="79" t="s">
        <v>671</v>
      </c>
      <c r="B244" s="79" t="s">
        <v>661</v>
      </c>
      <c r="C244" s="80" t="s">
        <v>126</v>
      </c>
      <c r="D244" s="81" t="s">
        <v>78</v>
      </c>
      <c r="E244" s="82">
        <v>7194</v>
      </c>
      <c r="F244" s="82">
        <v>947</v>
      </c>
      <c r="G244" s="82">
        <v>288</v>
      </c>
      <c r="H244" s="83">
        <v>12.240342304663628</v>
      </c>
      <c r="I244" s="83">
        <v>2000.840493929353</v>
      </c>
      <c r="J244" s="83">
        <v>23.849798797251971</v>
      </c>
    </row>
    <row r="245" spans="1:10" ht="16">
      <c r="A245" s="79" t="s">
        <v>505</v>
      </c>
      <c r="B245" s="79" t="s">
        <v>493</v>
      </c>
      <c r="C245" s="80" t="s">
        <v>126</v>
      </c>
      <c r="D245" s="81" t="s">
        <v>96</v>
      </c>
      <c r="E245" s="82">
        <v>17226</v>
      </c>
      <c r="F245" s="82">
        <v>1213</v>
      </c>
      <c r="G245" s="82">
        <v>345</v>
      </c>
      <c r="H245" s="83">
        <v>7.9075727814385877</v>
      </c>
      <c r="I245" s="83">
        <v>1160.3558896004638</v>
      </c>
      <c r="J245" s="83">
        <v>17.084421519552635</v>
      </c>
    </row>
    <row r="246" spans="1:10" ht="16">
      <c r="A246" s="79" t="s">
        <v>1227</v>
      </c>
      <c r="B246" s="79" t="s">
        <v>1209</v>
      </c>
      <c r="C246" s="80" t="s">
        <v>95</v>
      </c>
      <c r="D246" s="81" t="s">
        <v>111</v>
      </c>
      <c r="E246" s="82">
        <v>12637</v>
      </c>
      <c r="F246" s="82">
        <v>635</v>
      </c>
      <c r="G246" s="82">
        <v>2148</v>
      </c>
      <c r="H246" s="83">
        <v>12.480163582302753</v>
      </c>
      <c r="I246" s="83">
        <v>6865.7154231536842</v>
      </c>
      <c r="J246" s="83">
        <v>16.584555660974296</v>
      </c>
    </row>
    <row r="247" spans="1:10" ht="16">
      <c r="A247" s="79" t="s">
        <v>424</v>
      </c>
      <c r="B247" s="79" t="s">
        <v>421</v>
      </c>
      <c r="C247" s="80" t="s">
        <v>95</v>
      </c>
      <c r="D247" s="81" t="s">
        <v>96</v>
      </c>
      <c r="E247" s="82">
        <v>47141</v>
      </c>
      <c r="F247" s="82">
        <v>2405</v>
      </c>
      <c r="G247" s="82">
        <v>7071</v>
      </c>
      <c r="H247" s="83">
        <v>30.136412124464719</v>
      </c>
      <c r="I247" s="83">
        <v>22344.610194999255</v>
      </c>
      <c r="J247" s="83">
        <v>32.046553745970456</v>
      </c>
    </row>
    <row r="248" spans="1:10" ht="16">
      <c r="A248" s="79" t="s">
        <v>1228</v>
      </c>
      <c r="B248" s="79" t="s">
        <v>1209</v>
      </c>
      <c r="C248" s="80" t="s">
        <v>95</v>
      </c>
      <c r="D248" s="81" t="s">
        <v>149</v>
      </c>
      <c r="E248" s="82">
        <v>8486</v>
      </c>
      <c r="F248" s="82">
        <v>555</v>
      </c>
      <c r="G248" s="82">
        <v>2970</v>
      </c>
      <c r="H248" s="83">
        <v>29.049455371348174</v>
      </c>
      <c r="I248" s="83">
        <v>17330.934747911488</v>
      </c>
      <c r="J248" s="83">
        <v>34.222407245923932</v>
      </c>
    </row>
    <row r="249" spans="1:10" ht="16">
      <c r="A249" s="79" t="s">
        <v>879</v>
      </c>
      <c r="B249" s="79" t="s">
        <v>877</v>
      </c>
      <c r="C249" s="80" t="s">
        <v>126</v>
      </c>
      <c r="D249" s="81" t="s">
        <v>149</v>
      </c>
      <c r="E249" s="82">
        <v>9986</v>
      </c>
      <c r="F249" s="82">
        <v>414</v>
      </c>
      <c r="G249" s="82">
        <v>100</v>
      </c>
      <c r="H249" s="83">
        <v>9.6722759198303425</v>
      </c>
      <c r="I249" s="83">
        <v>519.1464991541103</v>
      </c>
      <c r="J249" s="83">
        <v>14.047926387014222</v>
      </c>
    </row>
    <row r="250" spans="1:10" ht="16">
      <c r="A250" s="79" t="s">
        <v>145</v>
      </c>
      <c r="B250" s="79" t="s">
        <v>146</v>
      </c>
      <c r="C250" s="80" t="s">
        <v>126</v>
      </c>
      <c r="D250" s="81" t="s">
        <v>76</v>
      </c>
      <c r="E250" s="82">
        <v>6370</v>
      </c>
      <c r="F250" s="82">
        <v>637</v>
      </c>
      <c r="G250" s="82">
        <v>1274</v>
      </c>
      <c r="H250" s="83">
        <v>18.4496607006853</v>
      </c>
      <c r="I250" s="83">
        <v>8800.3201288114724</v>
      </c>
      <c r="J250" s="83">
        <v>31.039836223590818</v>
      </c>
    </row>
    <row r="251" spans="1:10" ht="16">
      <c r="A251" s="79" t="s">
        <v>399</v>
      </c>
      <c r="B251" s="79" t="s">
        <v>396</v>
      </c>
      <c r="C251" s="80" t="s">
        <v>95</v>
      </c>
      <c r="D251" s="81" t="s">
        <v>77</v>
      </c>
      <c r="E251" s="82">
        <v>41411</v>
      </c>
      <c r="F251" s="82">
        <v>2353</v>
      </c>
      <c r="G251" s="82">
        <v>5383</v>
      </c>
      <c r="H251" s="83">
        <v>30.567130588051707</v>
      </c>
      <c r="I251" s="83">
        <v>21249.564202861278</v>
      </c>
      <c r="J251" s="83">
        <v>34.073031839012614</v>
      </c>
    </row>
    <row r="252" spans="1:10" ht="16">
      <c r="A252" s="79" t="s">
        <v>118</v>
      </c>
      <c r="B252" s="79" t="s">
        <v>108</v>
      </c>
      <c r="C252" s="80" t="s">
        <v>95</v>
      </c>
      <c r="D252" s="81" t="s">
        <v>111</v>
      </c>
      <c r="E252" s="82">
        <v>34120</v>
      </c>
      <c r="F252" s="82">
        <v>1446</v>
      </c>
      <c r="G252" s="82">
        <v>5800</v>
      </c>
      <c r="H252" s="83">
        <v>33.387764719223959</v>
      </c>
      <c r="I252" s="83">
        <v>28137.255677677465</v>
      </c>
      <c r="J252" s="83">
        <v>25.511898931315756</v>
      </c>
    </row>
    <row r="253" spans="1:10" ht="16">
      <c r="A253" s="79" t="s">
        <v>931</v>
      </c>
      <c r="B253" s="79" t="s">
        <v>928</v>
      </c>
      <c r="C253" s="80" t="s">
        <v>95</v>
      </c>
      <c r="D253" s="81" t="s">
        <v>76</v>
      </c>
      <c r="E253" s="82">
        <v>9375</v>
      </c>
      <c r="F253" s="82">
        <v>845</v>
      </c>
      <c r="G253" s="82">
        <v>2625</v>
      </c>
      <c r="H253" s="83">
        <v>7.8879266914928481</v>
      </c>
      <c r="I253" s="83">
        <v>1124.0155999000979</v>
      </c>
      <c r="J253" s="83">
        <v>17.642055239784401</v>
      </c>
    </row>
    <row r="254" spans="1:10" ht="16">
      <c r="A254" s="79" t="s">
        <v>260</v>
      </c>
      <c r="B254" s="79" t="s">
        <v>242</v>
      </c>
      <c r="C254" s="80" t="s">
        <v>126</v>
      </c>
      <c r="D254" s="81" t="s">
        <v>76</v>
      </c>
      <c r="E254" s="82">
        <v>43815</v>
      </c>
      <c r="F254" s="82">
        <v>2224</v>
      </c>
      <c r="G254" s="82">
        <v>3017</v>
      </c>
      <c r="H254" s="83">
        <v>13.492370448470469</v>
      </c>
      <c r="I254" s="83">
        <v>7207.6341500460594</v>
      </c>
      <c r="J254" s="83">
        <v>14.871070410712186</v>
      </c>
    </row>
    <row r="255" spans="1:10" ht="16">
      <c r="A255" s="79" t="s">
        <v>261</v>
      </c>
      <c r="B255" s="79" t="s">
        <v>242</v>
      </c>
      <c r="C255" s="80" t="s">
        <v>126</v>
      </c>
      <c r="D255" s="81" t="s">
        <v>77</v>
      </c>
      <c r="E255" s="82">
        <v>36083</v>
      </c>
      <c r="F255" s="82">
        <v>2135</v>
      </c>
      <c r="G255" s="82">
        <v>1443</v>
      </c>
      <c r="H255" s="83">
        <v>12.166959756538528</v>
      </c>
      <c r="I255" s="83">
        <v>2038.9892621841298</v>
      </c>
      <c r="J255" s="83">
        <v>16.758952587322543</v>
      </c>
    </row>
    <row r="256" spans="1:10" ht="16">
      <c r="A256" s="79" t="s">
        <v>942</v>
      </c>
      <c r="B256" s="79" t="s">
        <v>938</v>
      </c>
      <c r="C256" s="80" t="s">
        <v>126</v>
      </c>
      <c r="D256" s="81" t="s">
        <v>103</v>
      </c>
      <c r="E256" s="82">
        <v>8406</v>
      </c>
      <c r="F256" s="82">
        <v>712</v>
      </c>
      <c r="G256" s="82">
        <v>588</v>
      </c>
      <c r="H256" s="83">
        <v>11.910402038728085</v>
      </c>
      <c r="I256" s="83">
        <v>949.66827632643822</v>
      </c>
      <c r="J256" s="83">
        <v>18.22225335211666</v>
      </c>
    </row>
    <row r="257" spans="1:10" ht="16">
      <c r="A257" s="79" t="s">
        <v>672</v>
      </c>
      <c r="B257" s="79" t="s">
        <v>661</v>
      </c>
      <c r="C257" s="80" t="s">
        <v>126</v>
      </c>
      <c r="D257" s="81" t="s">
        <v>111</v>
      </c>
      <c r="E257" s="82">
        <v>6473</v>
      </c>
      <c r="F257" s="82">
        <v>841</v>
      </c>
      <c r="G257" s="82">
        <v>194</v>
      </c>
      <c r="H257" s="83">
        <v>13.571092247600779</v>
      </c>
      <c r="I257" s="83">
        <v>2312.4784496554844</v>
      </c>
      <c r="J257" s="83">
        <v>28.297390688380126</v>
      </c>
    </row>
    <row r="258" spans="1:10" ht="16">
      <c r="A258" s="79" t="s">
        <v>1013</v>
      </c>
      <c r="B258" s="79" t="s">
        <v>1007</v>
      </c>
      <c r="C258" s="80" t="s">
        <v>126</v>
      </c>
      <c r="D258" s="81" t="s">
        <v>111</v>
      </c>
      <c r="E258" s="82">
        <v>2098</v>
      </c>
      <c r="F258" s="82">
        <v>173</v>
      </c>
      <c r="G258" s="82">
        <v>126</v>
      </c>
      <c r="H258" s="83">
        <v>39.736024815367493</v>
      </c>
      <c r="I258" s="83">
        <v>15462.873151290989</v>
      </c>
      <c r="J258" s="83">
        <v>40.355864683549939</v>
      </c>
    </row>
    <row r="259" spans="1:10" ht="16">
      <c r="A259" s="79" t="s">
        <v>1178</v>
      </c>
      <c r="B259" s="79" t="s">
        <v>1161</v>
      </c>
      <c r="C259" s="80" t="s">
        <v>126</v>
      </c>
      <c r="D259" s="81" t="s">
        <v>76</v>
      </c>
      <c r="E259" s="82">
        <v>48591</v>
      </c>
      <c r="F259" s="82">
        <v>2505</v>
      </c>
      <c r="G259" s="82">
        <v>1944</v>
      </c>
      <c r="H259" s="83">
        <v>9.0516780764523084</v>
      </c>
      <c r="I259" s="83">
        <v>1518.622883144189</v>
      </c>
      <c r="J259" s="83">
        <v>15.72824155692504</v>
      </c>
    </row>
    <row r="260" spans="1:10" ht="16">
      <c r="A260" s="79" t="s">
        <v>1014</v>
      </c>
      <c r="B260" s="79" t="s">
        <v>1007</v>
      </c>
      <c r="C260" s="80" t="s">
        <v>126</v>
      </c>
      <c r="D260" s="81" t="s">
        <v>103</v>
      </c>
      <c r="E260" s="82">
        <v>8108</v>
      </c>
      <c r="F260" s="82">
        <v>827</v>
      </c>
      <c r="G260" s="82">
        <v>405</v>
      </c>
      <c r="H260" s="83">
        <v>15.864902798277466</v>
      </c>
      <c r="I260" s="83">
        <v>2443.3795452680247</v>
      </c>
      <c r="J260" s="83">
        <v>19.03640671519226</v>
      </c>
    </row>
    <row r="261" spans="1:10" ht="16">
      <c r="A261" s="79" t="s">
        <v>673</v>
      </c>
      <c r="B261" s="79" t="s">
        <v>661</v>
      </c>
      <c r="C261" s="80" t="s">
        <v>126</v>
      </c>
      <c r="D261" s="81" t="s">
        <v>75</v>
      </c>
      <c r="E261" s="82">
        <v>1210</v>
      </c>
      <c r="F261" s="82">
        <v>318</v>
      </c>
      <c r="G261" s="82">
        <v>12</v>
      </c>
      <c r="H261" s="83">
        <v>14.136161488873398</v>
      </c>
      <c r="I261" s="83">
        <v>3332.5074745943043</v>
      </c>
      <c r="J261" s="83">
        <v>29.231768679636851</v>
      </c>
    </row>
    <row r="262" spans="1:10" ht="16">
      <c r="A262" s="79" t="s">
        <v>425</v>
      </c>
      <c r="B262" s="79" t="s">
        <v>421</v>
      </c>
      <c r="C262" s="80" t="s">
        <v>126</v>
      </c>
      <c r="D262" s="81" t="s">
        <v>75</v>
      </c>
      <c r="E262" s="82">
        <v>5216</v>
      </c>
      <c r="F262" s="82">
        <v>148</v>
      </c>
      <c r="G262" s="82">
        <v>991</v>
      </c>
      <c r="H262" s="83">
        <v>24.339902216483445</v>
      </c>
      <c r="I262" s="83">
        <v>10182.082978661138</v>
      </c>
      <c r="J262" s="83">
        <v>36.448546500576235</v>
      </c>
    </row>
    <row r="263" spans="1:10" ht="16">
      <c r="A263" s="79" t="s">
        <v>1479</v>
      </c>
      <c r="B263" s="79" t="s">
        <v>1480</v>
      </c>
      <c r="C263" s="80" t="s">
        <v>126</v>
      </c>
      <c r="D263" s="81" t="s">
        <v>149</v>
      </c>
      <c r="E263" s="82">
        <v>32161</v>
      </c>
      <c r="F263" s="82">
        <v>1503</v>
      </c>
      <c r="G263" s="82">
        <v>322</v>
      </c>
      <c r="H263" s="83">
        <v>8.6076339854041528</v>
      </c>
      <c r="I263" s="83">
        <v>3553.9571595277171</v>
      </c>
      <c r="J263" s="83">
        <v>15.609771999271423</v>
      </c>
    </row>
    <row r="264" spans="1:10" ht="16">
      <c r="A264" s="79" t="s">
        <v>1015</v>
      </c>
      <c r="B264" s="79" t="s">
        <v>1007</v>
      </c>
      <c r="C264" s="80" t="s">
        <v>95</v>
      </c>
      <c r="D264" s="81" t="s">
        <v>99</v>
      </c>
      <c r="E264" s="82">
        <v>20087</v>
      </c>
      <c r="F264" s="82">
        <v>1279</v>
      </c>
      <c r="G264" s="82">
        <v>4218</v>
      </c>
      <c r="H264" s="83">
        <v>40.234590164097924</v>
      </c>
      <c r="I264" s="83">
        <v>16059.041647678607</v>
      </c>
      <c r="J264" s="83">
        <v>40.063584601030101</v>
      </c>
    </row>
    <row r="265" spans="1:10" ht="16">
      <c r="A265" s="79" t="s">
        <v>262</v>
      </c>
      <c r="B265" s="79" t="s">
        <v>242</v>
      </c>
      <c r="C265" s="80" t="s">
        <v>126</v>
      </c>
      <c r="D265" s="81" t="s">
        <v>96</v>
      </c>
      <c r="E265" s="82">
        <v>29603</v>
      </c>
      <c r="F265" s="82">
        <v>2990</v>
      </c>
      <c r="G265" s="82">
        <v>3552</v>
      </c>
      <c r="H265" s="83">
        <v>37.293746416613857</v>
      </c>
      <c r="I265" s="83">
        <v>16232.634448318562</v>
      </c>
      <c r="J265" s="83">
        <v>40.14092715410154</v>
      </c>
    </row>
    <row r="266" spans="1:10" ht="16">
      <c r="A266" s="79" t="s">
        <v>1341</v>
      </c>
      <c r="B266" s="79" t="s">
        <v>1307</v>
      </c>
      <c r="C266" s="80" t="s">
        <v>126</v>
      </c>
      <c r="D266" s="81" t="s">
        <v>76</v>
      </c>
      <c r="E266" s="82">
        <v>20823</v>
      </c>
      <c r="F266" s="82">
        <v>2263</v>
      </c>
      <c r="G266" s="82">
        <v>4998</v>
      </c>
      <c r="H266" s="83">
        <v>99.26611985268579</v>
      </c>
      <c r="I266" s="83">
        <v>97781.187557054625</v>
      </c>
      <c r="J266" s="83">
        <v>90.108769549585261</v>
      </c>
    </row>
    <row r="267" spans="1:10" ht="16">
      <c r="A267" s="79" t="s">
        <v>773</v>
      </c>
      <c r="B267" s="79" t="s">
        <v>772</v>
      </c>
      <c r="C267" s="80" t="s">
        <v>95</v>
      </c>
      <c r="D267" s="81" t="s">
        <v>149</v>
      </c>
      <c r="E267" s="82">
        <v>15654</v>
      </c>
      <c r="F267" s="82">
        <v>879</v>
      </c>
      <c r="G267" s="82">
        <v>1096</v>
      </c>
      <c r="H267" s="83">
        <v>11.31259838956213</v>
      </c>
      <c r="I267" s="83">
        <v>944.56162848014128</v>
      </c>
      <c r="J267" s="83">
        <v>14.099004909209304</v>
      </c>
    </row>
    <row r="268" spans="1:10" ht="16">
      <c r="A268" s="79" t="s">
        <v>164</v>
      </c>
      <c r="B268" s="79" t="s">
        <v>163</v>
      </c>
      <c r="C268" s="80" t="s">
        <v>126</v>
      </c>
      <c r="D268" s="81" t="s">
        <v>99</v>
      </c>
      <c r="E268" s="82">
        <v>5189</v>
      </c>
      <c r="F268" s="82">
        <v>167</v>
      </c>
      <c r="G268" s="82">
        <v>675</v>
      </c>
      <c r="H268" s="83">
        <v>38.580965705497853</v>
      </c>
      <c r="I268" s="83">
        <v>21572.51922340985</v>
      </c>
      <c r="J268" s="83">
        <v>28.321540957796078</v>
      </c>
    </row>
    <row r="269" spans="1:10" ht="16">
      <c r="A269" s="79" t="s">
        <v>611</v>
      </c>
      <c r="B269" s="79" t="s">
        <v>610</v>
      </c>
      <c r="C269" s="80" t="s">
        <v>95</v>
      </c>
      <c r="D269" s="81" t="s">
        <v>101</v>
      </c>
      <c r="E269" s="82">
        <v>16137</v>
      </c>
      <c r="F269" s="82">
        <v>1345</v>
      </c>
      <c r="G269" s="82">
        <v>807</v>
      </c>
      <c r="H269" s="83">
        <v>45.155063166085235</v>
      </c>
      <c r="I269" s="83">
        <v>28117.066325710264</v>
      </c>
      <c r="J269" s="83">
        <v>48.415651406584935</v>
      </c>
    </row>
    <row r="270" spans="1:10" ht="16">
      <c r="A270" s="79" t="s">
        <v>426</v>
      </c>
      <c r="B270" s="79" t="s">
        <v>421</v>
      </c>
      <c r="C270" s="80" t="s">
        <v>95</v>
      </c>
      <c r="D270" s="81" t="s">
        <v>76</v>
      </c>
      <c r="E270" s="82">
        <v>20800</v>
      </c>
      <c r="F270" s="82">
        <v>1292</v>
      </c>
      <c r="G270" s="82">
        <v>3744</v>
      </c>
      <c r="H270" s="83">
        <v>61.040266540950505</v>
      </c>
      <c r="I270" s="83">
        <v>58011.138087315361</v>
      </c>
      <c r="J270" s="83">
        <v>67.798591729623809</v>
      </c>
    </row>
    <row r="271" spans="1:10" ht="16">
      <c r="A271" s="79" t="s">
        <v>373</v>
      </c>
      <c r="B271" s="79" t="s">
        <v>363</v>
      </c>
      <c r="C271" s="80" t="s">
        <v>95</v>
      </c>
      <c r="D271" s="81" t="s">
        <v>75</v>
      </c>
      <c r="E271" s="82">
        <v>113043</v>
      </c>
      <c r="F271" s="82">
        <v>5162</v>
      </c>
      <c r="G271" s="82">
        <v>1130</v>
      </c>
      <c r="H271" s="83">
        <v>9.450402469090001</v>
      </c>
      <c r="I271" s="83">
        <v>1734.4492105276788</v>
      </c>
      <c r="J271" s="83">
        <v>15.527357513595563</v>
      </c>
    </row>
    <row r="272" spans="1:10" ht="16">
      <c r="A272" s="79" t="s">
        <v>1229</v>
      </c>
      <c r="B272" s="79" t="s">
        <v>1209</v>
      </c>
      <c r="C272" s="80" t="s">
        <v>126</v>
      </c>
      <c r="D272" s="81" t="s">
        <v>75</v>
      </c>
      <c r="E272" s="82">
        <v>9189</v>
      </c>
      <c r="F272" s="82">
        <v>534</v>
      </c>
      <c r="G272" s="82">
        <v>3216</v>
      </c>
      <c r="H272" s="83">
        <v>26.775757292720254</v>
      </c>
      <c r="I272" s="83">
        <v>20141.483820350186</v>
      </c>
      <c r="J272" s="83">
        <v>28.916445401108213</v>
      </c>
    </row>
    <row r="273" spans="1:10" ht="16">
      <c r="A273" s="79" t="s">
        <v>943</v>
      </c>
      <c r="B273" s="79" t="s">
        <v>938</v>
      </c>
      <c r="C273" s="80" t="s">
        <v>95</v>
      </c>
      <c r="D273" s="81" t="s">
        <v>101</v>
      </c>
      <c r="E273" s="82">
        <v>22111</v>
      </c>
      <c r="F273" s="82">
        <v>1688</v>
      </c>
      <c r="G273" s="82">
        <v>1990</v>
      </c>
      <c r="H273" s="83">
        <v>38.250103703380248</v>
      </c>
      <c r="I273" s="83">
        <v>29165.595339152496</v>
      </c>
      <c r="J273" s="83">
        <v>36.821178732078131</v>
      </c>
    </row>
    <row r="274" spans="1:10" ht="16">
      <c r="A274" s="79" t="s">
        <v>674</v>
      </c>
      <c r="B274" s="79" t="s">
        <v>661</v>
      </c>
      <c r="C274" s="80" t="s">
        <v>126</v>
      </c>
      <c r="D274" s="81" t="s">
        <v>75</v>
      </c>
      <c r="E274" s="82">
        <v>15077</v>
      </c>
      <c r="F274" s="82">
        <v>1675</v>
      </c>
      <c r="G274" s="82">
        <v>1508</v>
      </c>
      <c r="H274" s="83">
        <v>22.585361469618586</v>
      </c>
      <c r="I274" s="83">
        <v>7084.1888444567094</v>
      </c>
      <c r="J274" s="83">
        <v>29.06235903994439</v>
      </c>
    </row>
    <row r="275" spans="1:10" ht="16">
      <c r="A275" s="79" t="s">
        <v>1342</v>
      </c>
      <c r="B275" s="79" t="s">
        <v>1307</v>
      </c>
      <c r="C275" s="80" t="s">
        <v>95</v>
      </c>
      <c r="D275" s="81" t="s">
        <v>76</v>
      </c>
      <c r="E275" s="82">
        <v>10066</v>
      </c>
      <c r="F275" s="82">
        <v>724</v>
      </c>
      <c r="G275" s="82">
        <v>906</v>
      </c>
      <c r="H275" s="83">
        <v>13.221605350982038</v>
      </c>
      <c r="I275" s="83">
        <v>10535.630522481788</v>
      </c>
      <c r="J275" s="83">
        <v>39.369629197800563</v>
      </c>
    </row>
    <row r="276" spans="1:10" ht="16">
      <c r="A276" s="79" t="s">
        <v>675</v>
      </c>
      <c r="B276" s="79" t="s">
        <v>661</v>
      </c>
      <c r="C276" s="80" t="s">
        <v>126</v>
      </c>
      <c r="D276" s="81" t="s">
        <v>149</v>
      </c>
      <c r="E276" s="82">
        <v>18225</v>
      </c>
      <c r="F276" s="82">
        <v>2250</v>
      </c>
      <c r="G276" s="82">
        <v>2005</v>
      </c>
      <c r="H276" s="83">
        <v>40.878083926031799</v>
      </c>
      <c r="I276" s="83">
        <v>12038.582587284523</v>
      </c>
      <c r="J276" s="83">
        <v>46.194497717426259</v>
      </c>
    </row>
    <row r="277" spans="1:10" ht="16">
      <c r="A277" s="79" t="s">
        <v>480</v>
      </c>
      <c r="B277" s="79" t="s">
        <v>478</v>
      </c>
      <c r="C277" s="80" t="s">
        <v>95</v>
      </c>
      <c r="D277" s="81" t="s">
        <v>111</v>
      </c>
      <c r="E277" s="82">
        <v>8759</v>
      </c>
      <c r="F277" s="82">
        <v>755</v>
      </c>
      <c r="G277" s="82">
        <v>3942</v>
      </c>
      <c r="H277" s="83">
        <v>22.649318319026353</v>
      </c>
      <c r="I277" s="83">
        <v>12809.516175366376</v>
      </c>
      <c r="J277" s="83">
        <v>28.691033087936543</v>
      </c>
    </row>
    <row r="278" spans="1:10" ht="16">
      <c r="A278" s="79" t="s">
        <v>481</v>
      </c>
      <c r="B278" s="79" t="s">
        <v>478</v>
      </c>
      <c r="C278" s="80" t="s">
        <v>95</v>
      </c>
      <c r="D278" s="81" t="s">
        <v>77</v>
      </c>
      <c r="E278" s="82">
        <v>20388</v>
      </c>
      <c r="F278" s="82">
        <v>883</v>
      </c>
      <c r="G278" s="82">
        <v>5097</v>
      </c>
      <c r="H278" s="83">
        <v>46.836741337255738</v>
      </c>
      <c r="I278" s="83">
        <v>33485.588639190435</v>
      </c>
      <c r="J278" s="83">
        <v>41.401333852228078</v>
      </c>
    </row>
    <row r="279" spans="1:10" ht="16">
      <c r="A279" s="79" t="s">
        <v>676</v>
      </c>
      <c r="B279" s="79" t="s">
        <v>661</v>
      </c>
      <c r="C279" s="80" t="s">
        <v>126</v>
      </c>
      <c r="D279" s="81" t="s">
        <v>96</v>
      </c>
      <c r="E279" s="82">
        <v>30969</v>
      </c>
      <c r="F279" s="82">
        <v>761</v>
      </c>
      <c r="G279" s="82">
        <v>619</v>
      </c>
      <c r="H279" s="83">
        <v>10.123625197520241</v>
      </c>
      <c r="I279" s="83">
        <v>2515.2522061251625</v>
      </c>
      <c r="J279" s="83">
        <v>17.323246974793818</v>
      </c>
    </row>
    <row r="280" spans="1:10" ht="16">
      <c r="A280" s="79" t="s">
        <v>1343</v>
      </c>
      <c r="B280" s="79" t="s">
        <v>1307</v>
      </c>
      <c r="C280" s="80" t="s">
        <v>95</v>
      </c>
      <c r="D280" s="81" t="s">
        <v>77</v>
      </c>
      <c r="E280" s="82">
        <v>8449</v>
      </c>
      <c r="F280" s="82">
        <v>1127</v>
      </c>
      <c r="G280" s="82">
        <v>676</v>
      </c>
      <c r="H280" s="83">
        <v>16.082875930627637</v>
      </c>
      <c r="I280" s="83">
        <v>15187.23745370922</v>
      </c>
      <c r="J280" s="83">
        <v>43.045119358834434</v>
      </c>
    </row>
    <row r="281" spans="1:10" ht="16">
      <c r="A281" s="79" t="s">
        <v>263</v>
      </c>
      <c r="B281" s="79" t="s">
        <v>242</v>
      </c>
      <c r="C281" s="80" t="s">
        <v>126</v>
      </c>
      <c r="D281" s="81" t="s">
        <v>101</v>
      </c>
      <c r="E281" s="82">
        <v>30491</v>
      </c>
      <c r="F281" s="82">
        <v>1723</v>
      </c>
      <c r="G281" s="82">
        <v>3354</v>
      </c>
      <c r="H281" s="83">
        <v>11.529505019495003</v>
      </c>
      <c r="I281" s="83">
        <v>3086.2614449373655</v>
      </c>
      <c r="J281" s="83">
        <v>15.128053093901926</v>
      </c>
    </row>
    <row r="282" spans="1:10" ht="16">
      <c r="A282" s="79" t="s">
        <v>264</v>
      </c>
      <c r="B282" s="79" t="s">
        <v>242</v>
      </c>
      <c r="C282" s="80" t="s">
        <v>95</v>
      </c>
      <c r="D282" s="81" t="s">
        <v>75</v>
      </c>
      <c r="E282" s="82">
        <v>25956</v>
      </c>
      <c r="F282" s="82">
        <v>1492</v>
      </c>
      <c r="G282" s="82">
        <v>519</v>
      </c>
      <c r="H282" s="83">
        <v>15.903554688916589</v>
      </c>
      <c r="I282" s="83">
        <v>7543.476204509464</v>
      </c>
      <c r="J282" s="83">
        <v>22.432200095293801</v>
      </c>
    </row>
    <row r="283" spans="1:10" ht="16">
      <c r="A283" s="79" t="s">
        <v>265</v>
      </c>
      <c r="B283" s="79" t="s">
        <v>242</v>
      </c>
      <c r="C283" s="80" t="s">
        <v>126</v>
      </c>
      <c r="D283" s="81" t="s">
        <v>103</v>
      </c>
      <c r="E283" s="82">
        <v>56379</v>
      </c>
      <c r="F283" s="82">
        <v>3417</v>
      </c>
      <c r="G283" s="82">
        <v>2819</v>
      </c>
      <c r="H283" s="83">
        <v>39.412984771596335</v>
      </c>
      <c r="I283" s="83">
        <v>23438.790879273012</v>
      </c>
      <c r="J283" s="83">
        <v>41.42428098102404</v>
      </c>
    </row>
    <row r="284" spans="1:10" ht="16">
      <c r="A284" s="79" t="s">
        <v>427</v>
      </c>
      <c r="B284" s="79" t="s">
        <v>421</v>
      </c>
      <c r="C284" s="80" t="s">
        <v>126</v>
      </c>
      <c r="D284" s="81" t="s">
        <v>78</v>
      </c>
      <c r="E284" s="82">
        <v>33463</v>
      </c>
      <c r="F284" s="82">
        <v>596</v>
      </c>
      <c r="G284" s="82">
        <v>5689</v>
      </c>
      <c r="H284" s="83">
        <v>67.67801032155549</v>
      </c>
      <c r="I284" s="83">
        <v>45360.935936604743</v>
      </c>
      <c r="J284" s="83">
        <v>61.843416719735991</v>
      </c>
    </row>
    <row r="285" spans="1:10" ht="16">
      <c r="A285" s="79" t="s">
        <v>266</v>
      </c>
      <c r="B285" s="79" t="s">
        <v>242</v>
      </c>
      <c r="C285" s="80" t="s">
        <v>126</v>
      </c>
      <c r="D285" s="81" t="s">
        <v>76</v>
      </c>
      <c r="E285" s="82">
        <v>40715</v>
      </c>
      <c r="F285" s="82">
        <v>1996</v>
      </c>
      <c r="G285" s="82">
        <v>814</v>
      </c>
      <c r="H285" s="83">
        <v>24.375884520352461</v>
      </c>
      <c r="I285" s="83">
        <v>18124.652060268614</v>
      </c>
      <c r="J285" s="83">
        <v>24.330488239478271</v>
      </c>
    </row>
    <row r="286" spans="1:10" ht="16">
      <c r="A286" s="79" t="s">
        <v>677</v>
      </c>
      <c r="B286" s="79" t="s">
        <v>661</v>
      </c>
      <c r="C286" s="80" t="s">
        <v>126</v>
      </c>
      <c r="D286" s="81" t="s">
        <v>96</v>
      </c>
      <c r="E286" s="82">
        <v>888</v>
      </c>
      <c r="F286" s="82">
        <v>444</v>
      </c>
      <c r="G286" s="82">
        <v>9</v>
      </c>
      <c r="H286" s="83">
        <v>12.793134064182521</v>
      </c>
      <c r="I286" s="83">
        <v>5430.2181450577127</v>
      </c>
      <c r="J286" s="83">
        <v>30.265676634725637</v>
      </c>
    </row>
    <row r="287" spans="1:10" ht="16">
      <c r="A287" s="79" t="s">
        <v>1107</v>
      </c>
      <c r="B287" s="79" t="s">
        <v>1100</v>
      </c>
      <c r="C287" s="80" t="s">
        <v>126</v>
      </c>
      <c r="D287" s="81" t="s">
        <v>96</v>
      </c>
      <c r="E287" s="82">
        <v>13970</v>
      </c>
      <c r="F287" s="82">
        <v>490</v>
      </c>
      <c r="G287" s="82">
        <v>1956</v>
      </c>
      <c r="H287" s="83">
        <v>17.852398357614657</v>
      </c>
      <c r="I287" s="83">
        <v>2262.3304091209266</v>
      </c>
      <c r="J287" s="83">
        <v>15.597192251115796</v>
      </c>
    </row>
    <row r="288" spans="1:10" ht="16">
      <c r="A288" s="79" t="s">
        <v>678</v>
      </c>
      <c r="B288" s="79" t="s">
        <v>661</v>
      </c>
      <c r="C288" s="80" t="s">
        <v>126</v>
      </c>
      <c r="D288" s="81" t="s">
        <v>75</v>
      </c>
      <c r="E288" s="82">
        <v>8181</v>
      </c>
      <c r="F288" s="82">
        <v>538</v>
      </c>
      <c r="G288" s="82">
        <v>245</v>
      </c>
      <c r="H288" s="83">
        <v>10.824723848491006</v>
      </c>
      <c r="I288" s="83">
        <v>818.95745978522598</v>
      </c>
      <c r="J288" s="83">
        <v>16.655842191457488</v>
      </c>
    </row>
    <row r="289" spans="1:10" ht="16">
      <c r="A289" s="79" t="s">
        <v>612</v>
      </c>
      <c r="B289" s="79" t="s">
        <v>610</v>
      </c>
      <c r="C289" s="80" t="s">
        <v>95</v>
      </c>
      <c r="D289" s="81" t="s">
        <v>96</v>
      </c>
      <c r="E289" s="82">
        <v>6908</v>
      </c>
      <c r="F289" s="82">
        <v>147</v>
      </c>
      <c r="G289" s="82">
        <v>1658</v>
      </c>
      <c r="H289" s="83">
        <v>11.020510826505355</v>
      </c>
      <c r="I289" s="83">
        <v>6337.0872132726981</v>
      </c>
      <c r="J289" s="83">
        <v>14.995134508481318</v>
      </c>
    </row>
    <row r="290" spans="1:10" ht="16">
      <c r="A290" s="79" t="s">
        <v>428</v>
      </c>
      <c r="B290" s="79" t="s">
        <v>421</v>
      </c>
      <c r="C290" s="80" t="s">
        <v>126</v>
      </c>
      <c r="D290" s="81" t="s">
        <v>77</v>
      </c>
      <c r="E290" s="82">
        <v>5807</v>
      </c>
      <c r="F290" s="82">
        <v>328</v>
      </c>
      <c r="G290" s="82">
        <v>1278</v>
      </c>
      <c r="H290" s="83">
        <v>17.48539553760698</v>
      </c>
      <c r="I290" s="83">
        <v>5030.9605085888797</v>
      </c>
      <c r="J290" s="83">
        <v>25.40595782967031</v>
      </c>
    </row>
    <row r="291" spans="1:10" ht="16">
      <c r="A291" s="79" t="s">
        <v>979</v>
      </c>
      <c r="B291" s="79" t="s">
        <v>978</v>
      </c>
      <c r="C291" s="80" t="s">
        <v>95</v>
      </c>
      <c r="D291" s="81" t="s">
        <v>78</v>
      </c>
      <c r="E291" s="82">
        <v>24763</v>
      </c>
      <c r="F291" s="82">
        <v>2913</v>
      </c>
      <c r="G291" s="82">
        <v>991</v>
      </c>
      <c r="H291" s="83">
        <v>8.4267004253025242</v>
      </c>
      <c r="I291" s="83">
        <v>1235.0622119908351</v>
      </c>
      <c r="J291" s="83">
        <v>22.004598225466722</v>
      </c>
    </row>
    <row r="292" spans="1:10" ht="16">
      <c r="A292" s="79" t="s">
        <v>562</v>
      </c>
      <c r="B292" s="79" t="s">
        <v>556</v>
      </c>
      <c r="C292" s="80" t="s">
        <v>95</v>
      </c>
      <c r="D292" s="81" t="s">
        <v>79</v>
      </c>
      <c r="E292" s="82">
        <v>8330</v>
      </c>
      <c r="F292" s="82">
        <v>291</v>
      </c>
      <c r="G292" s="82">
        <v>583</v>
      </c>
      <c r="H292" s="83">
        <v>8.8345460502221638</v>
      </c>
      <c r="I292" s="83">
        <v>6691.2165361989764</v>
      </c>
      <c r="J292" s="83">
        <v>12.763005039549892</v>
      </c>
    </row>
    <row r="293" spans="1:10" ht="16">
      <c r="A293" s="79" t="s">
        <v>1230</v>
      </c>
      <c r="B293" s="79" t="s">
        <v>1209</v>
      </c>
      <c r="C293" s="80" t="s">
        <v>126</v>
      </c>
      <c r="D293" s="81" t="s">
        <v>75</v>
      </c>
      <c r="E293" s="82">
        <v>16760</v>
      </c>
      <c r="F293" s="82">
        <v>1432</v>
      </c>
      <c r="G293" s="82">
        <v>9386</v>
      </c>
      <c r="H293" s="83">
        <v>88.201362423883822</v>
      </c>
      <c r="I293" s="83">
        <v>85011.200058326212</v>
      </c>
      <c r="J293" s="83">
        <v>85.002366913309316</v>
      </c>
    </row>
    <row r="294" spans="1:10" ht="16">
      <c r="A294" s="79" t="s">
        <v>400</v>
      </c>
      <c r="B294" s="79" t="s">
        <v>396</v>
      </c>
      <c r="C294" s="80" t="s">
        <v>126</v>
      </c>
      <c r="D294" s="81" t="s">
        <v>96</v>
      </c>
      <c r="E294" s="82">
        <v>1676</v>
      </c>
      <c r="F294" s="82">
        <v>204</v>
      </c>
      <c r="G294" s="82">
        <v>737</v>
      </c>
      <c r="H294" s="83">
        <v>29.29250510773047</v>
      </c>
      <c r="I294" s="83">
        <v>15157.234316664641</v>
      </c>
      <c r="J294" s="83">
        <v>35.189845005623852</v>
      </c>
    </row>
    <row r="295" spans="1:10" ht="16">
      <c r="A295" s="79" t="s">
        <v>1016</v>
      </c>
      <c r="B295" s="79" t="s">
        <v>1007</v>
      </c>
      <c r="C295" s="80" t="s">
        <v>126</v>
      </c>
      <c r="D295" s="81" t="s">
        <v>96</v>
      </c>
      <c r="E295" s="82">
        <v>13499</v>
      </c>
      <c r="F295" s="82">
        <v>605</v>
      </c>
      <c r="G295" s="82">
        <v>405</v>
      </c>
      <c r="H295" s="83">
        <v>17.758713496651438</v>
      </c>
      <c r="I295" s="83">
        <v>3725.1616946323643</v>
      </c>
      <c r="J295" s="83">
        <v>16.946454457650674</v>
      </c>
    </row>
    <row r="296" spans="1:10" ht="16">
      <c r="A296" s="79" t="s">
        <v>506</v>
      </c>
      <c r="B296" s="79" t="s">
        <v>493</v>
      </c>
      <c r="C296" s="80" t="s">
        <v>126</v>
      </c>
      <c r="D296" s="81" t="s">
        <v>76</v>
      </c>
      <c r="E296" s="82">
        <v>4128</v>
      </c>
      <c r="F296" s="82">
        <v>430</v>
      </c>
      <c r="G296" s="82">
        <v>41</v>
      </c>
      <c r="H296" s="83">
        <v>56.027995952249682</v>
      </c>
      <c r="I296" s="83">
        <v>17929.544581007143</v>
      </c>
      <c r="J296" s="83">
        <v>59.242420720617545</v>
      </c>
    </row>
    <row r="297" spans="1:10" ht="16">
      <c r="A297" s="79" t="s">
        <v>507</v>
      </c>
      <c r="B297" s="79" t="s">
        <v>493</v>
      </c>
      <c r="C297" s="80" t="s">
        <v>126</v>
      </c>
      <c r="D297" s="81" t="s">
        <v>149</v>
      </c>
      <c r="E297" s="82">
        <v>1335</v>
      </c>
      <c r="F297" s="82">
        <v>113</v>
      </c>
      <c r="G297" s="82">
        <v>30</v>
      </c>
      <c r="H297" s="83">
        <v>10.972568069142524</v>
      </c>
      <c r="I297" s="83">
        <v>3102.338124540951</v>
      </c>
      <c r="J297" s="83">
        <v>28.366409014571861</v>
      </c>
    </row>
    <row r="298" spans="1:10" ht="16">
      <c r="A298" s="79" t="s">
        <v>508</v>
      </c>
      <c r="B298" s="79" t="s">
        <v>493</v>
      </c>
      <c r="C298" s="80" t="s">
        <v>126</v>
      </c>
      <c r="D298" s="81" t="s">
        <v>79</v>
      </c>
      <c r="E298" s="82">
        <v>1274</v>
      </c>
      <c r="F298" s="82">
        <v>134</v>
      </c>
      <c r="G298" s="82">
        <v>29</v>
      </c>
      <c r="H298" s="83">
        <v>19.740872479806203</v>
      </c>
      <c r="I298" s="83">
        <v>10575.159384998165</v>
      </c>
      <c r="J298" s="83">
        <v>32.649611844582559</v>
      </c>
    </row>
    <row r="299" spans="1:10" ht="16">
      <c r="A299" s="79" t="s">
        <v>509</v>
      </c>
      <c r="B299" s="79" t="s">
        <v>493</v>
      </c>
      <c r="C299" s="80" t="s">
        <v>126</v>
      </c>
      <c r="D299" s="81" t="s">
        <v>111</v>
      </c>
      <c r="E299" s="82">
        <v>7833</v>
      </c>
      <c r="F299" s="82">
        <v>312</v>
      </c>
      <c r="G299" s="82">
        <v>78</v>
      </c>
      <c r="H299" s="83">
        <v>13.967150379515653</v>
      </c>
      <c r="I299" s="83">
        <v>5057.1904338112063</v>
      </c>
      <c r="J299" s="83">
        <v>22.051427173977906</v>
      </c>
    </row>
    <row r="300" spans="1:10" ht="16">
      <c r="A300" s="79" t="s">
        <v>510</v>
      </c>
      <c r="B300" s="79" t="s">
        <v>493</v>
      </c>
      <c r="C300" s="80" t="s">
        <v>126</v>
      </c>
      <c r="D300" s="81" t="s">
        <v>111</v>
      </c>
      <c r="E300" s="82">
        <v>1237</v>
      </c>
      <c r="F300" s="82">
        <v>116</v>
      </c>
      <c r="G300" s="82">
        <v>57</v>
      </c>
      <c r="H300" s="83">
        <v>12.171789817410007</v>
      </c>
      <c r="I300" s="83">
        <v>6008.2826200497866</v>
      </c>
      <c r="J300" s="83">
        <v>27.360842663760156</v>
      </c>
    </row>
    <row r="301" spans="1:10" ht="16">
      <c r="A301" s="79" t="s">
        <v>511</v>
      </c>
      <c r="B301" s="79" t="s">
        <v>493</v>
      </c>
      <c r="C301" s="80" t="s">
        <v>126</v>
      </c>
      <c r="D301" s="81" t="s">
        <v>149</v>
      </c>
      <c r="E301" s="82">
        <v>10267</v>
      </c>
      <c r="F301" s="82">
        <v>638</v>
      </c>
      <c r="G301" s="82">
        <v>103</v>
      </c>
      <c r="H301" s="83">
        <v>40.176217356502001</v>
      </c>
      <c r="I301" s="83">
        <v>13843.508814979898</v>
      </c>
      <c r="J301" s="83">
        <v>45.441218435024872</v>
      </c>
    </row>
    <row r="302" spans="1:10" ht="16">
      <c r="A302" s="79" t="s">
        <v>512</v>
      </c>
      <c r="B302" s="79" t="s">
        <v>493</v>
      </c>
      <c r="C302" s="80" t="s">
        <v>126</v>
      </c>
      <c r="D302" s="81" t="s">
        <v>149</v>
      </c>
      <c r="E302" s="82">
        <v>7284</v>
      </c>
      <c r="F302" s="82">
        <v>492</v>
      </c>
      <c r="G302" s="82">
        <v>73</v>
      </c>
      <c r="H302" s="83">
        <v>28.645569212238662</v>
      </c>
      <c r="I302" s="83">
        <v>13710.366014089992</v>
      </c>
      <c r="J302" s="83">
        <v>49.248882423172127</v>
      </c>
    </row>
    <row r="303" spans="1:10" ht="16">
      <c r="A303" s="79" t="s">
        <v>513</v>
      </c>
      <c r="B303" s="79" t="s">
        <v>493</v>
      </c>
      <c r="C303" s="80" t="s">
        <v>126</v>
      </c>
      <c r="D303" s="81" t="s">
        <v>78</v>
      </c>
      <c r="E303" s="82">
        <v>1222</v>
      </c>
      <c r="F303" s="82">
        <v>109</v>
      </c>
      <c r="G303" s="82">
        <v>27</v>
      </c>
      <c r="H303" s="83">
        <v>12.035843022243219</v>
      </c>
      <c r="I303" s="83">
        <v>8796.1463291769287</v>
      </c>
      <c r="J303" s="83">
        <v>21.689334393267011</v>
      </c>
    </row>
    <row r="304" spans="1:10" ht="16">
      <c r="A304" s="79" t="s">
        <v>514</v>
      </c>
      <c r="B304" s="79" t="s">
        <v>493</v>
      </c>
      <c r="C304" s="80" t="s">
        <v>126</v>
      </c>
      <c r="D304" s="81" t="s">
        <v>149</v>
      </c>
      <c r="E304" s="82">
        <v>5699</v>
      </c>
      <c r="F304" s="82">
        <v>422</v>
      </c>
      <c r="G304" s="82">
        <v>57</v>
      </c>
      <c r="H304" s="83">
        <v>22.420093629859167</v>
      </c>
      <c r="I304" s="83">
        <v>8190.2634290595388</v>
      </c>
      <c r="J304" s="83">
        <v>34.246579914918883</v>
      </c>
    </row>
    <row r="305" spans="1:10" ht="16">
      <c r="A305" s="79" t="s">
        <v>515</v>
      </c>
      <c r="B305" s="79" t="s">
        <v>493</v>
      </c>
      <c r="C305" s="80" t="s">
        <v>126</v>
      </c>
      <c r="D305" s="81" t="s">
        <v>111</v>
      </c>
      <c r="E305" s="82">
        <v>2088</v>
      </c>
      <c r="F305" s="82">
        <v>175</v>
      </c>
      <c r="G305" s="82">
        <v>96</v>
      </c>
      <c r="H305" s="83">
        <v>18.037328894983329</v>
      </c>
      <c r="I305" s="83">
        <v>9478.9098837916717</v>
      </c>
      <c r="J305" s="83">
        <v>25.99690153361092</v>
      </c>
    </row>
    <row r="306" spans="1:10" ht="16">
      <c r="A306" s="79" t="s">
        <v>516</v>
      </c>
      <c r="B306" s="79" t="s">
        <v>493</v>
      </c>
      <c r="C306" s="80" t="s">
        <v>126</v>
      </c>
      <c r="D306" s="81" t="s">
        <v>103</v>
      </c>
      <c r="E306" s="82">
        <v>1128</v>
      </c>
      <c r="F306" s="82">
        <v>116</v>
      </c>
      <c r="G306" s="82">
        <v>52</v>
      </c>
      <c r="H306" s="83">
        <v>24.63149144796088</v>
      </c>
      <c r="I306" s="83">
        <v>18333.280100362339</v>
      </c>
      <c r="J306" s="83">
        <v>33.425956994522814</v>
      </c>
    </row>
    <row r="307" spans="1:10" ht="16">
      <c r="A307" s="79" t="s">
        <v>517</v>
      </c>
      <c r="B307" s="79" t="s">
        <v>493</v>
      </c>
      <c r="C307" s="80" t="s">
        <v>126</v>
      </c>
      <c r="D307" s="81" t="s">
        <v>103</v>
      </c>
      <c r="E307" s="82">
        <v>6860</v>
      </c>
      <c r="F307" s="82">
        <v>504</v>
      </c>
      <c r="G307" s="82">
        <v>315</v>
      </c>
      <c r="H307" s="83">
        <v>24.725874923855329</v>
      </c>
      <c r="I307" s="83">
        <v>8641.2983095350373</v>
      </c>
      <c r="J307" s="83">
        <v>37.922120919513198</v>
      </c>
    </row>
    <row r="308" spans="1:10" ht="16">
      <c r="A308" s="79" t="s">
        <v>518</v>
      </c>
      <c r="B308" s="79" t="s">
        <v>493</v>
      </c>
      <c r="C308" s="80" t="s">
        <v>126</v>
      </c>
      <c r="D308" s="81" t="s">
        <v>75</v>
      </c>
      <c r="E308" s="82">
        <v>9167</v>
      </c>
      <c r="F308" s="82">
        <v>745</v>
      </c>
      <c r="G308" s="82">
        <v>421</v>
      </c>
      <c r="H308" s="83">
        <v>39.115282164789384</v>
      </c>
      <c r="I308" s="83">
        <v>15208.737124263846</v>
      </c>
      <c r="J308" s="83">
        <v>41.537117186001794</v>
      </c>
    </row>
    <row r="309" spans="1:10" ht="16">
      <c r="A309" s="79" t="s">
        <v>519</v>
      </c>
      <c r="B309" s="79" t="s">
        <v>493</v>
      </c>
      <c r="C309" s="80" t="s">
        <v>126</v>
      </c>
      <c r="D309" s="81" t="s">
        <v>76</v>
      </c>
      <c r="E309" s="82">
        <v>9241</v>
      </c>
      <c r="F309" s="82">
        <v>592</v>
      </c>
      <c r="G309" s="82">
        <v>92</v>
      </c>
      <c r="H309" s="83">
        <v>31.476812899905465</v>
      </c>
      <c r="I309" s="83">
        <v>7774.0860819240324</v>
      </c>
      <c r="J309" s="83">
        <v>45.706402758593214</v>
      </c>
    </row>
    <row r="310" spans="1:10" ht="16">
      <c r="A310" s="79" t="s">
        <v>520</v>
      </c>
      <c r="B310" s="79" t="s">
        <v>493</v>
      </c>
      <c r="C310" s="80" t="s">
        <v>126</v>
      </c>
      <c r="D310" s="81" t="s">
        <v>111</v>
      </c>
      <c r="E310" s="82">
        <v>1387</v>
      </c>
      <c r="F310" s="82">
        <v>110</v>
      </c>
      <c r="G310" s="82">
        <v>64</v>
      </c>
      <c r="H310" s="83">
        <v>8.5227408139377445</v>
      </c>
      <c r="I310" s="83">
        <v>3500.9621768809689</v>
      </c>
      <c r="J310" s="83">
        <v>18.226386989392012</v>
      </c>
    </row>
    <row r="311" spans="1:10" ht="16">
      <c r="A311" s="79" t="s">
        <v>521</v>
      </c>
      <c r="B311" s="79" t="s">
        <v>493</v>
      </c>
      <c r="C311" s="80" t="s">
        <v>126</v>
      </c>
      <c r="D311" s="81" t="s">
        <v>77</v>
      </c>
      <c r="E311" s="82">
        <v>7561</v>
      </c>
      <c r="F311" s="82">
        <v>461</v>
      </c>
      <c r="G311" s="82">
        <v>151</v>
      </c>
      <c r="H311" s="83">
        <v>28.530488323705207</v>
      </c>
      <c r="I311" s="83">
        <v>13162.120050909076</v>
      </c>
      <c r="J311" s="83">
        <v>38.947491364752942</v>
      </c>
    </row>
    <row r="312" spans="1:10" ht="16">
      <c r="A312" s="79" t="s">
        <v>522</v>
      </c>
      <c r="B312" s="79" t="s">
        <v>493</v>
      </c>
      <c r="C312" s="80" t="s">
        <v>126</v>
      </c>
      <c r="D312" s="81" t="s">
        <v>79</v>
      </c>
      <c r="E312" s="82">
        <v>1119</v>
      </c>
      <c r="F312" s="82">
        <v>147</v>
      </c>
      <c r="G312" s="82">
        <v>51</v>
      </c>
      <c r="H312" s="83">
        <v>12.991537349407103</v>
      </c>
      <c r="I312" s="83">
        <v>12828.766201003797</v>
      </c>
      <c r="J312" s="83">
        <v>28.196588491268745</v>
      </c>
    </row>
    <row r="313" spans="1:10" ht="16">
      <c r="A313" s="79" t="s">
        <v>1344</v>
      </c>
      <c r="B313" s="79" t="s">
        <v>1307</v>
      </c>
      <c r="C313" s="80" t="s">
        <v>95</v>
      </c>
      <c r="D313" s="81" t="s">
        <v>75</v>
      </c>
      <c r="E313" s="82">
        <v>66872</v>
      </c>
      <c r="F313" s="82">
        <v>4917</v>
      </c>
      <c r="G313" s="82">
        <v>10031</v>
      </c>
      <c r="H313" s="83">
        <v>49.886542115732112</v>
      </c>
      <c r="I313" s="83">
        <v>38163.999971351972</v>
      </c>
      <c r="J313" s="83">
        <v>51.678486582913443</v>
      </c>
    </row>
    <row r="314" spans="1:10" ht="16">
      <c r="A314" s="79" t="s">
        <v>324</v>
      </c>
      <c r="B314" s="79" t="s">
        <v>323</v>
      </c>
      <c r="C314" s="80" t="s">
        <v>126</v>
      </c>
      <c r="D314" s="81" t="s">
        <v>149</v>
      </c>
      <c r="E314" s="82">
        <v>20851</v>
      </c>
      <c r="F314" s="82">
        <v>851</v>
      </c>
      <c r="G314" s="82">
        <v>1436</v>
      </c>
      <c r="H314" s="83">
        <v>10.133930904681984</v>
      </c>
      <c r="I314" s="83">
        <v>3494.8683517710001</v>
      </c>
      <c r="J314" s="83">
        <v>15.016875861949327</v>
      </c>
    </row>
    <row r="315" spans="1:10" ht="16">
      <c r="A315" s="79" t="s">
        <v>1017</v>
      </c>
      <c r="B315" s="79" t="s">
        <v>1007</v>
      </c>
      <c r="C315" s="80" t="s">
        <v>126</v>
      </c>
      <c r="D315" s="81" t="s">
        <v>99</v>
      </c>
      <c r="E315" s="82">
        <v>19196</v>
      </c>
      <c r="F315" s="82">
        <v>817</v>
      </c>
      <c r="G315" s="82">
        <v>1152</v>
      </c>
      <c r="H315" s="83">
        <v>21.267191033407588</v>
      </c>
      <c r="I315" s="83">
        <v>4931.3170637599351</v>
      </c>
      <c r="J315" s="83">
        <v>24.113006714220283</v>
      </c>
    </row>
    <row r="316" spans="1:10" ht="16">
      <c r="A316" s="79" t="s">
        <v>523</v>
      </c>
      <c r="B316" s="79" t="s">
        <v>493</v>
      </c>
      <c r="C316" s="80" t="s">
        <v>126</v>
      </c>
      <c r="D316" s="81" t="s">
        <v>96</v>
      </c>
      <c r="E316" s="82">
        <v>2146</v>
      </c>
      <c r="F316" s="82">
        <v>118</v>
      </c>
      <c r="G316" s="82">
        <v>48</v>
      </c>
      <c r="H316" s="83">
        <v>24.355008664690466</v>
      </c>
      <c r="I316" s="83">
        <v>11376.707116430201</v>
      </c>
      <c r="J316" s="83">
        <v>38.959067156188709</v>
      </c>
    </row>
    <row r="317" spans="1:10" ht="16">
      <c r="A317" s="79" t="s">
        <v>880</v>
      </c>
      <c r="B317" s="79" t="s">
        <v>877</v>
      </c>
      <c r="C317" s="80" t="s">
        <v>126</v>
      </c>
      <c r="D317" s="81" t="s">
        <v>78</v>
      </c>
      <c r="E317" s="82">
        <v>30614</v>
      </c>
      <c r="F317" s="82">
        <v>1554</v>
      </c>
      <c r="G317" s="82">
        <v>2449</v>
      </c>
      <c r="H317" s="83">
        <v>8.3387401531275174</v>
      </c>
      <c r="I317" s="83">
        <v>3999.1148372925004</v>
      </c>
      <c r="J317" s="83">
        <v>14.489908213627045</v>
      </c>
    </row>
    <row r="318" spans="1:10" ht="16">
      <c r="A318" s="79" t="s">
        <v>1345</v>
      </c>
      <c r="B318" s="79" t="s">
        <v>1307</v>
      </c>
      <c r="C318" s="80" t="s">
        <v>126</v>
      </c>
      <c r="D318" s="81" t="s">
        <v>75</v>
      </c>
      <c r="E318" s="82">
        <v>32469</v>
      </c>
      <c r="F318" s="82">
        <v>1727</v>
      </c>
      <c r="G318" s="82">
        <v>3896</v>
      </c>
      <c r="H318" s="83">
        <v>33.38108939865986</v>
      </c>
      <c r="I318" s="83">
        <v>19984.976806668554</v>
      </c>
      <c r="J318" s="83">
        <v>29.784122961796797</v>
      </c>
    </row>
    <row r="319" spans="1:10" ht="16">
      <c r="A319" s="79" t="s">
        <v>563</v>
      </c>
      <c r="B319" s="79" t="s">
        <v>556</v>
      </c>
      <c r="C319" s="80" t="s">
        <v>95</v>
      </c>
      <c r="D319" s="81" t="s">
        <v>75</v>
      </c>
      <c r="E319" s="82">
        <v>8673</v>
      </c>
      <c r="F319" s="82">
        <v>964</v>
      </c>
      <c r="G319" s="82">
        <v>260</v>
      </c>
      <c r="H319" s="83">
        <v>10.41716873988759</v>
      </c>
      <c r="I319" s="83">
        <v>5312.3189251951899</v>
      </c>
      <c r="J319" s="83">
        <v>37.898102732992157</v>
      </c>
    </row>
    <row r="320" spans="1:10" ht="16">
      <c r="A320" s="79" t="s">
        <v>564</v>
      </c>
      <c r="B320" s="79" t="s">
        <v>556</v>
      </c>
      <c r="C320" s="80" t="s">
        <v>126</v>
      </c>
      <c r="D320" s="81" t="s">
        <v>101</v>
      </c>
      <c r="E320" s="82">
        <v>13273</v>
      </c>
      <c r="F320" s="82">
        <v>419</v>
      </c>
      <c r="G320" s="82">
        <v>133</v>
      </c>
      <c r="H320" s="83">
        <v>33.050500709548913</v>
      </c>
      <c r="I320" s="83">
        <v>14100.163149911687</v>
      </c>
      <c r="J320" s="83">
        <v>28.108557466400342</v>
      </c>
    </row>
    <row r="321" spans="1:10" ht="16">
      <c r="A321" s="79" t="s">
        <v>913</v>
      </c>
      <c r="B321" s="79" t="s">
        <v>912</v>
      </c>
      <c r="C321" s="80" t="s">
        <v>126</v>
      </c>
      <c r="D321" s="81" t="s">
        <v>99</v>
      </c>
      <c r="E321" s="82">
        <v>8898</v>
      </c>
      <c r="F321" s="82">
        <v>368</v>
      </c>
      <c r="G321" s="82">
        <v>1068</v>
      </c>
      <c r="H321" s="83">
        <v>27.0329971187045</v>
      </c>
      <c r="I321" s="83">
        <v>7750.3110010168703</v>
      </c>
      <c r="J321" s="83">
        <v>23.513735426901579</v>
      </c>
    </row>
    <row r="322" spans="1:10" ht="16">
      <c r="A322" s="79" t="s">
        <v>565</v>
      </c>
      <c r="B322" s="79" t="s">
        <v>556</v>
      </c>
      <c r="C322" s="80" t="s">
        <v>95</v>
      </c>
      <c r="D322" s="81" t="s">
        <v>149</v>
      </c>
      <c r="E322" s="82">
        <v>11340</v>
      </c>
      <c r="F322" s="82">
        <v>922</v>
      </c>
      <c r="G322" s="82">
        <v>113</v>
      </c>
      <c r="H322" s="83">
        <v>11.92335910857229</v>
      </c>
      <c r="I322" s="83">
        <v>2680.1532687429731</v>
      </c>
      <c r="J322" s="83">
        <v>41.512752192337352</v>
      </c>
    </row>
    <row r="323" spans="1:10" ht="16">
      <c r="A323" s="79" t="s">
        <v>566</v>
      </c>
      <c r="B323" s="79" t="s">
        <v>556</v>
      </c>
      <c r="C323" s="80" t="s">
        <v>126</v>
      </c>
      <c r="D323" s="81" t="s">
        <v>79</v>
      </c>
      <c r="E323" s="82">
        <v>10064</v>
      </c>
      <c r="F323" s="82">
        <v>486</v>
      </c>
      <c r="G323" s="82">
        <v>101</v>
      </c>
      <c r="H323" s="83">
        <v>24.366004353694546</v>
      </c>
      <c r="I323" s="83">
        <v>9766.7183454632122</v>
      </c>
      <c r="J323" s="83">
        <v>25.62505426634047</v>
      </c>
    </row>
    <row r="324" spans="1:10" ht="16">
      <c r="A324" s="79" t="s">
        <v>1179</v>
      </c>
      <c r="B324" s="79" t="s">
        <v>1161</v>
      </c>
      <c r="C324" s="80" t="s">
        <v>95</v>
      </c>
      <c r="D324" s="81" t="s">
        <v>149</v>
      </c>
      <c r="E324" s="82">
        <v>26215</v>
      </c>
      <c r="F324" s="82">
        <v>892</v>
      </c>
      <c r="G324" s="82">
        <v>524</v>
      </c>
      <c r="H324" s="83">
        <v>9.4726578362295708</v>
      </c>
      <c r="I324" s="83">
        <v>1011.1478595915009</v>
      </c>
      <c r="J324" s="83">
        <v>12.550206648627325</v>
      </c>
    </row>
    <row r="325" spans="1:10" ht="16">
      <c r="A325" s="79" t="s">
        <v>1180</v>
      </c>
      <c r="B325" s="79" t="s">
        <v>1161</v>
      </c>
      <c r="C325" s="80" t="s">
        <v>126</v>
      </c>
      <c r="D325" s="81" t="s">
        <v>149</v>
      </c>
      <c r="E325" s="82">
        <v>34825</v>
      </c>
      <c r="F325" s="82">
        <v>1514</v>
      </c>
      <c r="G325" s="82">
        <v>1393</v>
      </c>
      <c r="H325" s="83">
        <v>28.292393854486331</v>
      </c>
      <c r="I325" s="83">
        <v>8461.9610687172953</v>
      </c>
      <c r="J325" s="83">
        <v>25.966267318460208</v>
      </c>
    </row>
    <row r="326" spans="1:10" ht="16">
      <c r="A326" s="79" t="s">
        <v>1181</v>
      </c>
      <c r="B326" s="79" t="s">
        <v>1161</v>
      </c>
      <c r="C326" s="80" t="s">
        <v>95</v>
      </c>
      <c r="D326" s="81" t="s">
        <v>79</v>
      </c>
      <c r="E326" s="82">
        <v>122002</v>
      </c>
      <c r="F326" s="82">
        <v>2044</v>
      </c>
      <c r="G326" s="82">
        <v>7320</v>
      </c>
      <c r="H326" s="83">
        <v>24.77908429941089</v>
      </c>
      <c r="I326" s="83">
        <v>5772.1984022831884</v>
      </c>
      <c r="J326" s="83">
        <v>26.23282227546278</v>
      </c>
    </row>
    <row r="327" spans="1:10" ht="16">
      <c r="A327" s="79" t="s">
        <v>944</v>
      </c>
      <c r="B327" s="79" t="s">
        <v>938</v>
      </c>
      <c r="C327" s="80" t="s">
        <v>126</v>
      </c>
      <c r="D327" s="81" t="s">
        <v>101</v>
      </c>
      <c r="E327" s="82">
        <v>10206</v>
      </c>
      <c r="F327" s="82">
        <v>779</v>
      </c>
      <c r="G327" s="82">
        <v>1633</v>
      </c>
      <c r="H327" s="83">
        <v>28.442908792157034</v>
      </c>
      <c r="I327" s="83">
        <v>13974.066806770794</v>
      </c>
      <c r="J327" s="83">
        <v>31.493280680447498</v>
      </c>
    </row>
    <row r="328" spans="1:10" ht="16">
      <c r="A328" s="79" t="s">
        <v>1196</v>
      </c>
      <c r="B328" s="79" t="s">
        <v>1197</v>
      </c>
      <c r="C328" s="80" t="s">
        <v>95</v>
      </c>
      <c r="D328" s="81" t="s">
        <v>101</v>
      </c>
      <c r="E328" s="82">
        <v>16220</v>
      </c>
      <c r="F328" s="82">
        <v>1886</v>
      </c>
      <c r="G328" s="82">
        <v>162</v>
      </c>
      <c r="H328" s="83">
        <v>8.2032461340794107</v>
      </c>
      <c r="I328" s="83">
        <v>341.24525760659236</v>
      </c>
      <c r="J328" s="83">
        <v>22.455434209368523</v>
      </c>
    </row>
    <row r="329" spans="1:10" ht="16">
      <c r="A329" s="79" t="s">
        <v>418</v>
      </c>
      <c r="B329" s="79" t="s">
        <v>419</v>
      </c>
      <c r="C329" s="80" t="s">
        <v>95</v>
      </c>
      <c r="D329" s="81" t="s">
        <v>76</v>
      </c>
      <c r="E329" s="82">
        <v>19670</v>
      </c>
      <c r="F329" s="82">
        <v>823</v>
      </c>
      <c r="G329" s="82">
        <v>393</v>
      </c>
      <c r="H329" s="83">
        <v>9.5603597799170128</v>
      </c>
      <c r="I329" s="83">
        <v>436.8805062707807</v>
      </c>
      <c r="J329" s="83">
        <v>15.61374196150528</v>
      </c>
    </row>
    <row r="330" spans="1:10" ht="16">
      <c r="A330" s="79" t="s">
        <v>679</v>
      </c>
      <c r="B330" s="79" t="s">
        <v>661</v>
      </c>
      <c r="C330" s="80" t="s">
        <v>126</v>
      </c>
      <c r="D330" s="81" t="s">
        <v>101</v>
      </c>
      <c r="E330" s="82">
        <v>5516</v>
      </c>
      <c r="F330" s="82">
        <v>400</v>
      </c>
      <c r="G330" s="82">
        <v>165</v>
      </c>
      <c r="H330" s="83">
        <v>10.004481379772017</v>
      </c>
      <c r="I330" s="83">
        <v>1185.3350912721664</v>
      </c>
      <c r="J330" s="83">
        <v>20.029165203717273</v>
      </c>
    </row>
    <row r="331" spans="1:10" ht="16">
      <c r="A331" s="79" t="s">
        <v>1182</v>
      </c>
      <c r="B331" s="79" t="s">
        <v>1161</v>
      </c>
      <c r="C331" s="80" t="s">
        <v>126</v>
      </c>
      <c r="D331" s="81" t="s">
        <v>99</v>
      </c>
      <c r="E331" s="82">
        <v>5090</v>
      </c>
      <c r="F331" s="82">
        <v>260</v>
      </c>
      <c r="G331" s="82">
        <v>204</v>
      </c>
      <c r="H331" s="83">
        <v>11.83779966203393</v>
      </c>
      <c r="I331" s="83">
        <v>3258.1127856000062</v>
      </c>
      <c r="J331" s="83">
        <v>19.700864101050417</v>
      </c>
    </row>
    <row r="332" spans="1:10" ht="16">
      <c r="A332" s="79" t="s">
        <v>429</v>
      </c>
      <c r="B332" s="79" t="s">
        <v>421</v>
      </c>
      <c r="C332" s="80" t="s">
        <v>126</v>
      </c>
      <c r="D332" s="81" t="s">
        <v>101</v>
      </c>
      <c r="E332" s="82">
        <v>1142</v>
      </c>
      <c r="F332" s="82">
        <v>70</v>
      </c>
      <c r="G332" s="82">
        <v>868</v>
      </c>
      <c r="H332" s="83">
        <v>33.592383578232457</v>
      </c>
      <c r="I332" s="83">
        <v>16838.119937475949</v>
      </c>
      <c r="J332" s="83">
        <v>40.638531801082088</v>
      </c>
    </row>
    <row r="333" spans="1:10" ht="16">
      <c r="A333" s="79" t="s">
        <v>524</v>
      </c>
      <c r="B333" s="79" t="s">
        <v>493</v>
      </c>
      <c r="C333" s="80" t="s">
        <v>126</v>
      </c>
      <c r="D333" s="81" t="s">
        <v>111</v>
      </c>
      <c r="E333" s="82">
        <v>11528</v>
      </c>
      <c r="F333" s="82">
        <v>627</v>
      </c>
      <c r="G333" s="82">
        <v>115</v>
      </c>
      <c r="H333" s="83">
        <v>22.56439909879186</v>
      </c>
      <c r="I333" s="83">
        <v>6357.765789699868</v>
      </c>
      <c r="J333" s="83">
        <v>34.027374598137463</v>
      </c>
    </row>
    <row r="334" spans="1:10" ht="16">
      <c r="A334" s="79" t="s">
        <v>901</v>
      </c>
      <c r="B334" s="79" t="s">
        <v>898</v>
      </c>
      <c r="C334" s="80" t="s">
        <v>95</v>
      </c>
      <c r="D334" s="81" t="s">
        <v>101</v>
      </c>
      <c r="E334" s="82">
        <v>40608</v>
      </c>
      <c r="F334" s="82">
        <v>3726</v>
      </c>
      <c r="G334" s="82">
        <v>3655</v>
      </c>
      <c r="H334" s="83">
        <v>17.88537060365455</v>
      </c>
      <c r="I334" s="83">
        <v>10444.447530469666</v>
      </c>
      <c r="J334" s="83">
        <v>25.85826963659289</v>
      </c>
    </row>
    <row r="335" spans="1:10" ht="16">
      <c r="A335" s="79" t="s">
        <v>119</v>
      </c>
      <c r="B335" s="79" t="s">
        <v>108</v>
      </c>
      <c r="C335" s="80" t="s">
        <v>95</v>
      </c>
      <c r="D335" s="81" t="s">
        <v>76</v>
      </c>
      <c r="E335" s="82">
        <v>11491</v>
      </c>
      <c r="F335" s="82">
        <v>542</v>
      </c>
      <c r="G335" s="82">
        <v>1264</v>
      </c>
      <c r="H335" s="83">
        <v>28.674314692830073</v>
      </c>
      <c r="I335" s="83">
        <v>26522.905345424475</v>
      </c>
      <c r="J335" s="83">
        <v>24.283271215299376</v>
      </c>
    </row>
    <row r="336" spans="1:10" ht="16">
      <c r="A336" s="79" t="s">
        <v>525</v>
      </c>
      <c r="B336" s="79" t="s">
        <v>493</v>
      </c>
      <c r="C336" s="80" t="s">
        <v>126</v>
      </c>
      <c r="D336" s="81" t="s">
        <v>78</v>
      </c>
      <c r="E336" s="82">
        <v>10653</v>
      </c>
      <c r="F336" s="82">
        <v>1098</v>
      </c>
      <c r="G336" s="82">
        <v>320</v>
      </c>
      <c r="H336" s="83">
        <v>9.2392189529107398</v>
      </c>
      <c r="I336" s="83">
        <v>4156.8701777240913</v>
      </c>
      <c r="J336" s="83">
        <v>29.923096498984993</v>
      </c>
    </row>
    <row r="337" spans="1:10" ht="16">
      <c r="A337" s="79" t="s">
        <v>1043</v>
      </c>
      <c r="B337" s="79" t="s">
        <v>1039</v>
      </c>
      <c r="C337" s="80" t="s">
        <v>95</v>
      </c>
      <c r="D337" s="81" t="s">
        <v>78</v>
      </c>
      <c r="E337" s="82">
        <v>12182</v>
      </c>
      <c r="F337" s="82">
        <v>781</v>
      </c>
      <c r="G337" s="82">
        <v>1096</v>
      </c>
      <c r="H337" s="83">
        <v>16.815138530912581</v>
      </c>
      <c r="I337" s="83">
        <v>8128.8823279553153</v>
      </c>
      <c r="J337" s="83">
        <v>23.469734104553424</v>
      </c>
    </row>
    <row r="338" spans="1:10" ht="16">
      <c r="A338" s="79" t="s">
        <v>526</v>
      </c>
      <c r="B338" s="79" t="s">
        <v>493</v>
      </c>
      <c r="C338" s="80" t="s">
        <v>95</v>
      </c>
      <c r="D338" s="81" t="s">
        <v>76</v>
      </c>
      <c r="E338" s="82">
        <v>7938</v>
      </c>
      <c r="F338" s="82">
        <v>571</v>
      </c>
      <c r="G338" s="82">
        <v>318</v>
      </c>
      <c r="H338" s="83">
        <v>17.323326156256734</v>
      </c>
      <c r="I338" s="83">
        <v>4617.0536554040236</v>
      </c>
      <c r="J338" s="83">
        <v>44.517308019604997</v>
      </c>
    </row>
    <row r="339" spans="1:10" ht="16">
      <c r="A339" s="79" t="s">
        <v>267</v>
      </c>
      <c r="B339" s="79" t="s">
        <v>242</v>
      </c>
      <c r="C339" s="80" t="s">
        <v>126</v>
      </c>
      <c r="D339" s="81" t="s">
        <v>101</v>
      </c>
      <c r="E339" s="82">
        <v>21455</v>
      </c>
      <c r="F339" s="82">
        <v>1500</v>
      </c>
      <c r="G339" s="82">
        <v>429</v>
      </c>
      <c r="H339" s="83">
        <v>11.773913903651065</v>
      </c>
      <c r="I339" s="83">
        <v>6705.9863828262587</v>
      </c>
      <c r="J339" s="83">
        <v>15.877750765779457</v>
      </c>
    </row>
    <row r="340" spans="1:10" ht="16">
      <c r="A340" s="79" t="s">
        <v>268</v>
      </c>
      <c r="B340" s="79" t="s">
        <v>242</v>
      </c>
      <c r="C340" s="80" t="s">
        <v>126</v>
      </c>
      <c r="D340" s="81" t="s">
        <v>101</v>
      </c>
      <c r="E340" s="82">
        <v>35335</v>
      </c>
      <c r="F340" s="82">
        <v>3719</v>
      </c>
      <c r="G340" s="82">
        <v>1767</v>
      </c>
      <c r="H340" s="83">
        <v>10.700300867433794</v>
      </c>
      <c r="I340" s="83">
        <v>3469.1016619684983</v>
      </c>
      <c r="J340" s="83">
        <v>19.638485383991192</v>
      </c>
    </row>
    <row r="341" spans="1:10" ht="16">
      <c r="A341" s="79" t="s">
        <v>680</v>
      </c>
      <c r="B341" s="79" t="s">
        <v>661</v>
      </c>
      <c r="C341" s="80" t="s">
        <v>126</v>
      </c>
      <c r="D341" s="81" t="s">
        <v>99</v>
      </c>
      <c r="E341" s="82">
        <v>1078</v>
      </c>
      <c r="F341" s="82">
        <v>1198</v>
      </c>
      <c r="G341" s="82">
        <v>11</v>
      </c>
      <c r="H341" s="83">
        <v>9.3132777325488405</v>
      </c>
      <c r="I341" s="83">
        <v>4459.8352672048695</v>
      </c>
      <c r="J341" s="83">
        <v>29.316054243258517</v>
      </c>
    </row>
    <row r="342" spans="1:10" ht="16">
      <c r="A342" s="79" t="s">
        <v>269</v>
      </c>
      <c r="B342" s="79" t="s">
        <v>242</v>
      </c>
      <c r="C342" s="80" t="s">
        <v>126</v>
      </c>
      <c r="D342" s="81" t="s">
        <v>103</v>
      </c>
      <c r="E342" s="82">
        <v>70450</v>
      </c>
      <c r="F342" s="82">
        <v>6523</v>
      </c>
      <c r="G342" s="82">
        <v>2114</v>
      </c>
      <c r="H342" s="83">
        <v>16.571795965375223</v>
      </c>
      <c r="I342" s="83">
        <v>4441.3260058233445</v>
      </c>
      <c r="J342" s="83">
        <v>27.819573219479786</v>
      </c>
    </row>
    <row r="343" spans="1:10" ht="16">
      <c r="A343" s="79" t="s">
        <v>270</v>
      </c>
      <c r="B343" s="79" t="s">
        <v>242</v>
      </c>
      <c r="C343" s="80" t="s">
        <v>95</v>
      </c>
      <c r="D343" s="81" t="s">
        <v>76</v>
      </c>
      <c r="E343" s="82">
        <v>34904</v>
      </c>
      <c r="F343" s="82">
        <v>2493</v>
      </c>
      <c r="G343" s="82">
        <v>11867</v>
      </c>
      <c r="H343" s="83">
        <v>15.34322731641878</v>
      </c>
      <c r="I343" s="83">
        <v>5741.7452024572649</v>
      </c>
      <c r="J343" s="83">
        <v>22.446820454487248</v>
      </c>
    </row>
    <row r="344" spans="1:10" ht="16">
      <c r="A344" s="79" t="s">
        <v>430</v>
      </c>
      <c r="B344" s="79" t="s">
        <v>421</v>
      </c>
      <c r="C344" s="80" t="s">
        <v>95</v>
      </c>
      <c r="D344" s="81" t="s">
        <v>103</v>
      </c>
      <c r="E344" s="82">
        <v>31919</v>
      </c>
      <c r="F344" s="82">
        <v>1187</v>
      </c>
      <c r="G344" s="82">
        <v>3511</v>
      </c>
      <c r="H344" s="83">
        <v>23.294106857357065</v>
      </c>
      <c r="I344" s="83">
        <v>17543.721983448246</v>
      </c>
      <c r="J344" s="83">
        <v>35.960990171566493</v>
      </c>
    </row>
    <row r="345" spans="1:10" ht="16">
      <c r="A345" s="79" t="s">
        <v>147</v>
      </c>
      <c r="B345" s="79" t="s">
        <v>146</v>
      </c>
      <c r="C345" s="80" t="s">
        <v>95</v>
      </c>
      <c r="D345" s="81" t="s">
        <v>75</v>
      </c>
      <c r="E345" s="82">
        <v>6122</v>
      </c>
      <c r="F345" s="82">
        <v>583</v>
      </c>
      <c r="G345" s="82">
        <v>673</v>
      </c>
      <c r="H345" s="83">
        <v>19.863021584167178</v>
      </c>
      <c r="I345" s="83">
        <v>9265.4227874817934</v>
      </c>
      <c r="J345" s="83">
        <v>29.004514706624306</v>
      </c>
    </row>
    <row r="346" spans="1:10" ht="16">
      <c r="A346" s="79" t="s">
        <v>1346</v>
      </c>
      <c r="B346" s="79" t="s">
        <v>1307</v>
      </c>
      <c r="C346" s="80" t="s">
        <v>95</v>
      </c>
      <c r="D346" s="81" t="s">
        <v>99</v>
      </c>
      <c r="E346" s="82">
        <v>16171</v>
      </c>
      <c r="F346" s="82">
        <v>3594</v>
      </c>
      <c r="G346" s="82">
        <v>4204</v>
      </c>
      <c r="H346" s="83">
        <v>92.36395591619609</v>
      </c>
      <c r="I346" s="83">
        <v>89899.039864489081</v>
      </c>
      <c r="J346" s="83">
        <v>82.593890709390948</v>
      </c>
    </row>
    <row r="347" spans="1:10" ht="16">
      <c r="A347" s="79" t="s">
        <v>774</v>
      </c>
      <c r="B347" s="79" t="s">
        <v>772</v>
      </c>
      <c r="C347" s="80" t="s">
        <v>95</v>
      </c>
      <c r="D347" s="81" t="s">
        <v>79</v>
      </c>
      <c r="E347" s="82">
        <v>21512</v>
      </c>
      <c r="F347" s="82">
        <v>1605</v>
      </c>
      <c r="G347" s="82">
        <v>3657</v>
      </c>
      <c r="H347" s="83">
        <v>9.3155530258138128</v>
      </c>
      <c r="I347" s="83">
        <v>9092.5801694720521</v>
      </c>
      <c r="J347" s="83">
        <v>16.600018390587717</v>
      </c>
    </row>
    <row r="348" spans="1:10" ht="16">
      <c r="A348" s="79" t="s">
        <v>681</v>
      </c>
      <c r="B348" s="79" t="s">
        <v>661</v>
      </c>
      <c r="C348" s="80" t="s">
        <v>95</v>
      </c>
      <c r="D348" s="81" t="s">
        <v>76</v>
      </c>
      <c r="E348" s="82">
        <v>4653</v>
      </c>
      <c r="F348" s="82">
        <v>1224</v>
      </c>
      <c r="G348" s="82">
        <v>93</v>
      </c>
      <c r="H348" s="83">
        <v>14.042520596270766</v>
      </c>
      <c r="I348" s="83">
        <v>3769.1270364434145</v>
      </c>
      <c r="J348" s="83">
        <v>35.568121545316728</v>
      </c>
    </row>
    <row r="349" spans="1:10" ht="16">
      <c r="A349" s="79" t="s">
        <v>431</v>
      </c>
      <c r="B349" s="79" t="s">
        <v>421</v>
      </c>
      <c r="C349" s="80" t="s">
        <v>95</v>
      </c>
      <c r="D349" s="81" t="s">
        <v>96</v>
      </c>
      <c r="E349" s="82">
        <v>28575</v>
      </c>
      <c r="F349" s="82">
        <v>611</v>
      </c>
      <c r="G349" s="82">
        <v>2572</v>
      </c>
      <c r="H349" s="83">
        <v>34.729782903112365</v>
      </c>
      <c r="I349" s="83">
        <v>18350.036125339102</v>
      </c>
      <c r="J349" s="83">
        <v>38.694550150144821</v>
      </c>
    </row>
    <row r="350" spans="1:10" ht="16">
      <c r="A350" s="79" t="s">
        <v>567</v>
      </c>
      <c r="B350" s="79" t="s">
        <v>556</v>
      </c>
      <c r="C350" s="80" t="s">
        <v>126</v>
      </c>
      <c r="D350" s="81" t="s">
        <v>75</v>
      </c>
      <c r="E350" s="82">
        <v>6582</v>
      </c>
      <c r="F350" s="82">
        <v>295</v>
      </c>
      <c r="G350" s="82">
        <v>66</v>
      </c>
      <c r="H350" s="83">
        <v>23.78469025451475</v>
      </c>
      <c r="I350" s="83">
        <v>5958.6466005660031</v>
      </c>
      <c r="J350" s="83">
        <v>25.484895671407362</v>
      </c>
    </row>
    <row r="351" spans="1:10" ht="16">
      <c r="A351" s="79" t="s">
        <v>374</v>
      </c>
      <c r="B351" s="79" t="s">
        <v>363</v>
      </c>
      <c r="C351" s="80" t="s">
        <v>95</v>
      </c>
      <c r="D351" s="81" t="s">
        <v>75</v>
      </c>
      <c r="E351" s="82">
        <v>74546</v>
      </c>
      <c r="F351" s="82">
        <v>1878</v>
      </c>
      <c r="G351" s="82">
        <v>745</v>
      </c>
      <c r="H351" s="83">
        <v>8.3879534537151361</v>
      </c>
      <c r="I351" s="83">
        <v>5354.7432798361879</v>
      </c>
      <c r="J351" s="83">
        <v>13.824819454941604</v>
      </c>
    </row>
    <row r="352" spans="1:10" ht="16">
      <c r="A352" s="79" t="s">
        <v>682</v>
      </c>
      <c r="B352" s="79" t="s">
        <v>661</v>
      </c>
      <c r="C352" s="80" t="s">
        <v>126</v>
      </c>
      <c r="D352" s="81" t="s">
        <v>99</v>
      </c>
      <c r="E352" s="82">
        <v>6392</v>
      </c>
      <c r="F352" s="82">
        <v>659</v>
      </c>
      <c r="G352" s="82">
        <v>128</v>
      </c>
      <c r="H352" s="83">
        <v>12.232168344945391</v>
      </c>
      <c r="I352" s="83">
        <v>3357.7027514251217</v>
      </c>
      <c r="J352" s="83">
        <v>21.005079228793321</v>
      </c>
    </row>
    <row r="353" spans="1:10" ht="16">
      <c r="A353" s="79" t="s">
        <v>683</v>
      </c>
      <c r="B353" s="79" t="s">
        <v>661</v>
      </c>
      <c r="C353" s="80" t="s">
        <v>126</v>
      </c>
      <c r="D353" s="81" t="s">
        <v>149</v>
      </c>
      <c r="E353" s="82">
        <v>10541</v>
      </c>
      <c r="F353" s="82">
        <v>1044</v>
      </c>
      <c r="G353" s="82">
        <v>316</v>
      </c>
      <c r="H353" s="83">
        <v>11.751219156609345</v>
      </c>
      <c r="I353" s="83">
        <v>2053.6910047102069</v>
      </c>
      <c r="J353" s="83">
        <v>21.915898167648709</v>
      </c>
    </row>
    <row r="354" spans="1:10" ht="16">
      <c r="A354" s="79" t="s">
        <v>684</v>
      </c>
      <c r="B354" s="79" t="s">
        <v>661</v>
      </c>
      <c r="C354" s="80" t="s">
        <v>126</v>
      </c>
      <c r="D354" s="81" t="s">
        <v>99</v>
      </c>
      <c r="E354" s="82">
        <v>18104</v>
      </c>
      <c r="F354" s="82">
        <v>1240</v>
      </c>
      <c r="G354" s="82">
        <v>543</v>
      </c>
      <c r="H354" s="83">
        <v>8.0311912620616805</v>
      </c>
      <c r="I354" s="83">
        <v>932.71049689602933</v>
      </c>
      <c r="J354" s="83">
        <v>15.218319770109048</v>
      </c>
    </row>
    <row r="355" spans="1:10" ht="16">
      <c r="A355" s="79" t="s">
        <v>685</v>
      </c>
      <c r="B355" s="79" t="s">
        <v>661</v>
      </c>
      <c r="C355" s="80" t="s">
        <v>126</v>
      </c>
      <c r="D355" s="81" t="s">
        <v>103</v>
      </c>
      <c r="E355" s="82">
        <v>10420</v>
      </c>
      <c r="F355" s="82">
        <v>1063</v>
      </c>
      <c r="G355" s="82">
        <v>521</v>
      </c>
      <c r="H355" s="83">
        <v>17.936422832655889</v>
      </c>
      <c r="I355" s="83">
        <v>5043.8985171175673</v>
      </c>
      <c r="J355" s="83">
        <v>27.530207044220724</v>
      </c>
    </row>
    <row r="356" spans="1:10" ht="16">
      <c r="A356" s="79" t="s">
        <v>1018</v>
      </c>
      <c r="B356" s="79" t="s">
        <v>1007</v>
      </c>
      <c r="C356" s="80" t="s">
        <v>126</v>
      </c>
      <c r="D356" s="81" t="s">
        <v>99</v>
      </c>
      <c r="E356" s="82">
        <v>23127</v>
      </c>
      <c r="F356" s="82">
        <v>1001</v>
      </c>
      <c r="G356" s="82">
        <v>694</v>
      </c>
      <c r="H356" s="83">
        <v>15.681935078154792</v>
      </c>
      <c r="I356" s="83">
        <v>2683.3795396778396</v>
      </c>
      <c r="J356" s="83">
        <v>18.487861207805885</v>
      </c>
    </row>
    <row r="357" spans="1:10" ht="16">
      <c r="A357" s="79" t="s">
        <v>686</v>
      </c>
      <c r="B357" s="79" t="s">
        <v>661</v>
      </c>
      <c r="C357" s="80" t="s">
        <v>126</v>
      </c>
      <c r="D357" s="81" t="s">
        <v>76</v>
      </c>
      <c r="E357" s="82">
        <v>841</v>
      </c>
      <c r="F357" s="82">
        <v>765</v>
      </c>
      <c r="G357" s="82">
        <v>25</v>
      </c>
      <c r="H357" s="83">
        <v>9.6769341194280489</v>
      </c>
      <c r="I357" s="83">
        <v>6117.1761910309733</v>
      </c>
      <c r="J357" s="83">
        <v>32.666595345909577</v>
      </c>
    </row>
    <row r="358" spans="1:10" ht="16">
      <c r="A358" s="79" t="s">
        <v>687</v>
      </c>
      <c r="B358" s="79" t="s">
        <v>661</v>
      </c>
      <c r="C358" s="80" t="s">
        <v>126</v>
      </c>
      <c r="D358" s="81" t="s">
        <v>101</v>
      </c>
      <c r="E358" s="82">
        <v>30346</v>
      </c>
      <c r="F358" s="82">
        <v>2709</v>
      </c>
      <c r="G358" s="82">
        <v>910</v>
      </c>
      <c r="H358" s="83">
        <v>8.9736077280863107</v>
      </c>
      <c r="I358" s="83">
        <v>556.00388058630438</v>
      </c>
      <c r="J358" s="83">
        <v>24.90465541400749</v>
      </c>
    </row>
    <row r="359" spans="1:10" ht="16">
      <c r="A359" s="79" t="s">
        <v>1347</v>
      </c>
      <c r="B359" s="79" t="s">
        <v>1307</v>
      </c>
      <c r="C359" s="80" t="s">
        <v>126</v>
      </c>
      <c r="D359" s="81" t="s">
        <v>111</v>
      </c>
      <c r="E359" s="82">
        <v>21536</v>
      </c>
      <c r="F359" s="82">
        <v>1506</v>
      </c>
      <c r="G359" s="82">
        <v>1938</v>
      </c>
      <c r="H359" s="83">
        <v>21.388952606422322</v>
      </c>
      <c r="I359" s="83">
        <v>9375.7931043423941</v>
      </c>
      <c r="J359" s="83">
        <v>25.64716184809939</v>
      </c>
    </row>
    <row r="360" spans="1:10" ht="16">
      <c r="A360" s="79" t="s">
        <v>1108</v>
      </c>
      <c r="B360" s="79" t="s">
        <v>1100</v>
      </c>
      <c r="C360" s="80" t="s">
        <v>95</v>
      </c>
      <c r="D360" s="81" t="s">
        <v>77</v>
      </c>
      <c r="E360" s="82">
        <v>6881</v>
      </c>
      <c r="F360" s="82">
        <v>564</v>
      </c>
      <c r="G360" s="82">
        <v>482</v>
      </c>
      <c r="H360" s="83">
        <v>23.378626284312126</v>
      </c>
      <c r="I360" s="83">
        <v>6045.0315577365109</v>
      </c>
      <c r="J360" s="83">
        <v>22.784624182570617</v>
      </c>
    </row>
    <row r="361" spans="1:10" ht="16">
      <c r="A361" s="79" t="s">
        <v>432</v>
      </c>
      <c r="B361" s="79" t="s">
        <v>421</v>
      </c>
      <c r="C361" s="80" t="s">
        <v>126</v>
      </c>
      <c r="D361" s="81" t="s">
        <v>79</v>
      </c>
      <c r="E361" s="82">
        <v>27255</v>
      </c>
      <c r="F361" s="82">
        <v>1065</v>
      </c>
      <c r="G361" s="82">
        <v>5996</v>
      </c>
      <c r="H361" s="83">
        <v>48.020534381498777</v>
      </c>
      <c r="I361" s="83">
        <v>31826.273384648652</v>
      </c>
      <c r="J361" s="83">
        <v>46.341184236459952</v>
      </c>
    </row>
    <row r="362" spans="1:10" ht="16">
      <c r="A362" s="79" t="s">
        <v>1082</v>
      </c>
      <c r="B362" s="79" t="s">
        <v>1081</v>
      </c>
      <c r="C362" s="80" t="s">
        <v>95</v>
      </c>
      <c r="D362" s="81" t="s">
        <v>77</v>
      </c>
      <c r="E362" s="82">
        <v>8552</v>
      </c>
      <c r="F362" s="82">
        <v>668</v>
      </c>
      <c r="G362" s="82">
        <v>7184</v>
      </c>
      <c r="H362" s="83">
        <v>13.746119446343176</v>
      </c>
      <c r="I362" s="83">
        <v>6308.735919981119</v>
      </c>
      <c r="J362" s="83">
        <v>17.60763885729207</v>
      </c>
    </row>
    <row r="363" spans="1:10" ht="16">
      <c r="A363" s="79" t="s">
        <v>1083</v>
      </c>
      <c r="B363" s="79" t="s">
        <v>1081</v>
      </c>
      <c r="C363" s="80" t="s">
        <v>95</v>
      </c>
      <c r="D363" s="81" t="s">
        <v>149</v>
      </c>
      <c r="E363" s="82">
        <v>7777</v>
      </c>
      <c r="F363" s="82">
        <v>864</v>
      </c>
      <c r="G363" s="82">
        <v>1555</v>
      </c>
      <c r="H363" s="83">
        <v>71.827539937892439</v>
      </c>
      <c r="I363" s="83">
        <v>68703.724743710656</v>
      </c>
      <c r="J363" s="83">
        <v>55.791478843002977</v>
      </c>
    </row>
    <row r="364" spans="1:10" ht="16">
      <c r="A364" s="79" t="s">
        <v>1141</v>
      </c>
      <c r="B364" s="79" t="s">
        <v>1139</v>
      </c>
      <c r="C364" s="80" t="s">
        <v>95</v>
      </c>
      <c r="D364" s="81" t="s">
        <v>75</v>
      </c>
      <c r="E364" s="82">
        <v>68067</v>
      </c>
      <c r="F364" s="82">
        <v>3066</v>
      </c>
      <c r="G364" s="82">
        <v>681</v>
      </c>
      <c r="H364" s="83">
        <v>13.083052614484661</v>
      </c>
      <c r="I364" s="83">
        <v>1320.0737842961537</v>
      </c>
      <c r="J364" s="83">
        <v>18.877875878862181</v>
      </c>
    </row>
    <row r="365" spans="1:10" ht="16">
      <c r="A365" s="79" t="s">
        <v>791</v>
      </c>
      <c r="B365" s="79" t="s">
        <v>792</v>
      </c>
      <c r="C365" s="80" t="s">
        <v>126</v>
      </c>
      <c r="D365" s="81" t="s">
        <v>79</v>
      </c>
      <c r="E365" s="82">
        <v>9956</v>
      </c>
      <c r="F365" s="82">
        <v>677</v>
      </c>
      <c r="G365" s="82">
        <v>597</v>
      </c>
      <c r="H365" s="83">
        <v>11.870943933325423</v>
      </c>
      <c r="I365" s="83">
        <v>640.13451000941814</v>
      </c>
      <c r="J365" s="83">
        <v>16.860654250223611</v>
      </c>
    </row>
    <row r="366" spans="1:10" ht="16">
      <c r="A366" s="79" t="s">
        <v>945</v>
      </c>
      <c r="B366" s="79" t="s">
        <v>938</v>
      </c>
      <c r="C366" s="80" t="s">
        <v>95</v>
      </c>
      <c r="D366" s="81" t="s">
        <v>103</v>
      </c>
      <c r="E366" s="82">
        <v>26670</v>
      </c>
      <c r="F366" s="82">
        <v>2469</v>
      </c>
      <c r="G366" s="82">
        <v>3467</v>
      </c>
      <c r="H366" s="83">
        <v>17.595194851306253</v>
      </c>
      <c r="I366" s="83">
        <v>8096.4213398162192</v>
      </c>
      <c r="J366" s="83">
        <v>29.183607017429647</v>
      </c>
    </row>
    <row r="367" spans="1:10" ht="16">
      <c r="A367" s="79" t="s">
        <v>946</v>
      </c>
      <c r="B367" s="79" t="s">
        <v>938</v>
      </c>
      <c r="C367" s="80" t="s">
        <v>126</v>
      </c>
      <c r="D367" s="81" t="s">
        <v>111</v>
      </c>
      <c r="E367" s="82">
        <v>15260</v>
      </c>
      <c r="F367" s="82">
        <v>1426</v>
      </c>
      <c r="G367" s="82">
        <v>1679</v>
      </c>
      <c r="H367" s="83">
        <v>9.2015981056349716</v>
      </c>
      <c r="I367" s="83">
        <v>886.23178638277375</v>
      </c>
      <c r="J367" s="83">
        <v>18.529820249732552</v>
      </c>
    </row>
    <row r="368" spans="1:10" ht="16">
      <c r="A368" s="79" t="s">
        <v>1231</v>
      </c>
      <c r="B368" s="79" t="s">
        <v>1209</v>
      </c>
      <c r="C368" s="80" t="s">
        <v>95</v>
      </c>
      <c r="D368" s="81" t="s">
        <v>78</v>
      </c>
      <c r="E368" s="82">
        <v>9004</v>
      </c>
      <c r="F368" s="82">
        <v>600</v>
      </c>
      <c r="G368" s="82">
        <v>1711</v>
      </c>
      <c r="H368" s="83">
        <v>22.770198351727892</v>
      </c>
      <c r="I368" s="83">
        <v>14399.763496334916</v>
      </c>
      <c r="J368" s="83">
        <v>21.262328165616765</v>
      </c>
    </row>
    <row r="369" spans="1:10" ht="16">
      <c r="A369" s="79" t="s">
        <v>688</v>
      </c>
      <c r="B369" s="79" t="s">
        <v>661</v>
      </c>
      <c r="C369" s="80" t="s">
        <v>126</v>
      </c>
      <c r="D369" s="81" t="s">
        <v>96</v>
      </c>
      <c r="E369" s="82">
        <v>34916</v>
      </c>
      <c r="F369" s="82">
        <v>3357</v>
      </c>
      <c r="G369" s="82">
        <v>2793</v>
      </c>
      <c r="H369" s="83">
        <v>26.575287465113266</v>
      </c>
      <c r="I369" s="83">
        <v>9492.4348656661314</v>
      </c>
      <c r="J369" s="83">
        <v>32.635517892613628</v>
      </c>
    </row>
    <row r="370" spans="1:10" ht="16">
      <c r="A370" s="79" t="s">
        <v>1348</v>
      </c>
      <c r="B370" s="79" t="s">
        <v>1307</v>
      </c>
      <c r="C370" s="80" t="s">
        <v>95</v>
      </c>
      <c r="D370" s="81" t="s">
        <v>103</v>
      </c>
      <c r="E370" s="82">
        <v>24559</v>
      </c>
      <c r="F370" s="82">
        <v>1204</v>
      </c>
      <c r="G370" s="82">
        <v>2210</v>
      </c>
      <c r="H370" s="83">
        <v>19.060740695925684</v>
      </c>
      <c r="I370" s="83">
        <v>10610.082121740603</v>
      </c>
      <c r="J370" s="83">
        <v>24.297092730128533</v>
      </c>
    </row>
    <row r="371" spans="1:10" ht="16">
      <c r="A371" s="79" t="s">
        <v>1205</v>
      </c>
      <c r="B371" s="79" t="s">
        <v>1204</v>
      </c>
      <c r="C371" s="80" t="s">
        <v>95</v>
      </c>
      <c r="D371" s="81" t="s">
        <v>103</v>
      </c>
      <c r="E371" s="82">
        <v>3651</v>
      </c>
      <c r="F371" s="82">
        <v>384</v>
      </c>
      <c r="G371" s="82">
        <v>949</v>
      </c>
      <c r="H371" s="83">
        <v>33.89736071378767</v>
      </c>
      <c r="I371" s="83">
        <v>17780.14487999937</v>
      </c>
      <c r="J371" s="83">
        <v>28.428732118190414</v>
      </c>
    </row>
    <row r="372" spans="1:10" ht="16">
      <c r="A372" s="79" t="s">
        <v>568</v>
      </c>
      <c r="B372" s="79" t="s">
        <v>556</v>
      </c>
      <c r="C372" s="80" t="s">
        <v>95</v>
      </c>
      <c r="D372" s="81" t="s">
        <v>99</v>
      </c>
      <c r="E372" s="82">
        <v>12656</v>
      </c>
      <c r="F372" s="82">
        <v>606</v>
      </c>
      <c r="G372" s="82">
        <v>127</v>
      </c>
      <c r="H372" s="83">
        <v>12.772892968513908</v>
      </c>
      <c r="I372" s="83">
        <v>2696.0592942875242</v>
      </c>
      <c r="J372" s="83">
        <v>28.353064412101752</v>
      </c>
    </row>
    <row r="373" spans="1:10" ht="16">
      <c r="A373" s="79" t="s">
        <v>1142</v>
      </c>
      <c r="B373" s="79" t="s">
        <v>1139</v>
      </c>
      <c r="C373" s="80" t="s">
        <v>95</v>
      </c>
      <c r="D373" s="81" t="s">
        <v>103</v>
      </c>
      <c r="E373" s="82">
        <v>38655</v>
      </c>
      <c r="F373" s="82">
        <v>1962</v>
      </c>
      <c r="G373" s="82">
        <v>773</v>
      </c>
      <c r="H373" s="83">
        <v>12.862322648445188</v>
      </c>
      <c r="I373" s="83">
        <v>2173.9190105776806</v>
      </c>
      <c r="J373" s="83">
        <v>22.091705471987588</v>
      </c>
    </row>
    <row r="374" spans="1:10" ht="16">
      <c r="A374" s="79" t="s">
        <v>527</v>
      </c>
      <c r="B374" s="79" t="s">
        <v>493</v>
      </c>
      <c r="C374" s="80" t="s">
        <v>126</v>
      </c>
      <c r="D374" s="81" t="s">
        <v>103</v>
      </c>
      <c r="E374" s="82">
        <v>21390</v>
      </c>
      <c r="F374" s="82">
        <v>1633</v>
      </c>
      <c r="G374" s="82">
        <v>428</v>
      </c>
      <c r="H374" s="83">
        <v>11.633761544331696</v>
      </c>
      <c r="I374" s="83">
        <v>2982.162683189375</v>
      </c>
      <c r="J374" s="83">
        <v>17.166561800869331</v>
      </c>
    </row>
    <row r="375" spans="1:10" ht="16">
      <c r="A375" s="79" t="s">
        <v>689</v>
      </c>
      <c r="B375" s="79" t="s">
        <v>661</v>
      </c>
      <c r="C375" s="80" t="s">
        <v>126</v>
      </c>
      <c r="D375" s="81" t="s">
        <v>79</v>
      </c>
      <c r="E375" s="82">
        <v>33125</v>
      </c>
      <c r="F375" s="82">
        <v>2436</v>
      </c>
      <c r="G375" s="82">
        <v>663</v>
      </c>
      <c r="H375" s="83">
        <v>12.14078384171704</v>
      </c>
      <c r="I375" s="83">
        <v>6681.6750426284916</v>
      </c>
      <c r="J375" s="83">
        <v>20.463974108154151</v>
      </c>
    </row>
    <row r="376" spans="1:10" ht="16">
      <c r="A376" s="79" t="s">
        <v>980</v>
      </c>
      <c r="B376" s="79" t="s">
        <v>978</v>
      </c>
      <c r="C376" s="80" t="s">
        <v>95</v>
      </c>
      <c r="D376" s="81" t="s">
        <v>79</v>
      </c>
      <c r="E376" s="82">
        <v>32853</v>
      </c>
      <c r="F376" s="82">
        <v>4159</v>
      </c>
      <c r="G376" s="82">
        <v>6899</v>
      </c>
      <c r="H376" s="83">
        <v>16.829758886585331</v>
      </c>
      <c r="I376" s="83">
        <v>15961.989034828906</v>
      </c>
      <c r="J376" s="83">
        <v>29.637138556483002</v>
      </c>
    </row>
    <row r="377" spans="1:10" ht="16">
      <c r="A377" s="79" t="s">
        <v>981</v>
      </c>
      <c r="B377" s="79" t="s">
        <v>978</v>
      </c>
      <c r="C377" s="80" t="s">
        <v>126</v>
      </c>
      <c r="D377" s="81" t="s">
        <v>149</v>
      </c>
      <c r="E377" s="82">
        <v>6882</v>
      </c>
      <c r="F377" s="82">
        <v>1012</v>
      </c>
      <c r="G377" s="82">
        <v>895</v>
      </c>
      <c r="H377" s="83">
        <v>16.050412270728899</v>
      </c>
      <c r="I377" s="83">
        <v>8226.1171023779134</v>
      </c>
      <c r="J377" s="83">
        <v>28.007651831163777</v>
      </c>
    </row>
    <row r="378" spans="1:10" ht="16">
      <c r="A378" s="79" t="s">
        <v>982</v>
      </c>
      <c r="B378" s="79" t="s">
        <v>978</v>
      </c>
      <c r="C378" s="80" t="s">
        <v>95</v>
      </c>
      <c r="D378" s="81" t="s">
        <v>111</v>
      </c>
      <c r="E378" s="82">
        <v>38865</v>
      </c>
      <c r="F378" s="82">
        <v>4798</v>
      </c>
      <c r="G378" s="82">
        <v>4275</v>
      </c>
      <c r="H378" s="83">
        <v>7.5415702632466797</v>
      </c>
      <c r="I378" s="83">
        <v>3825.0313691688352</v>
      </c>
      <c r="J378" s="83">
        <v>22.328945831827266</v>
      </c>
    </row>
    <row r="379" spans="1:10" ht="16">
      <c r="A379" s="79" t="s">
        <v>1143</v>
      </c>
      <c r="B379" s="79" t="s">
        <v>1139</v>
      </c>
      <c r="C379" s="80" t="s">
        <v>126</v>
      </c>
      <c r="D379" s="81" t="s">
        <v>103</v>
      </c>
      <c r="E379" s="82">
        <v>26846</v>
      </c>
      <c r="F379" s="82">
        <v>1078</v>
      </c>
      <c r="G379" s="82">
        <v>2549</v>
      </c>
      <c r="H379" s="83">
        <v>9.9072200688768497</v>
      </c>
      <c r="I379" s="83">
        <v>1004.13721420602</v>
      </c>
      <c r="J379" s="83">
        <v>15.225842634473782</v>
      </c>
    </row>
    <row r="380" spans="1:10" ht="16">
      <c r="A380" s="79" t="s">
        <v>983</v>
      </c>
      <c r="B380" s="79" t="s">
        <v>978</v>
      </c>
      <c r="C380" s="80" t="s">
        <v>95</v>
      </c>
      <c r="D380" s="81" t="s">
        <v>78</v>
      </c>
      <c r="E380" s="82">
        <v>11708</v>
      </c>
      <c r="F380" s="82">
        <v>1697</v>
      </c>
      <c r="G380" s="82">
        <v>117</v>
      </c>
      <c r="H380" s="83">
        <v>8.165869774521358</v>
      </c>
      <c r="I380" s="83">
        <v>5221.402110467543</v>
      </c>
      <c r="J380" s="83">
        <v>30.548706054337195</v>
      </c>
    </row>
    <row r="381" spans="1:10" ht="16">
      <c r="A381" s="79" t="s">
        <v>984</v>
      </c>
      <c r="B381" s="79" t="s">
        <v>978</v>
      </c>
      <c r="C381" s="80" t="s">
        <v>95</v>
      </c>
      <c r="D381" s="81" t="s">
        <v>78</v>
      </c>
      <c r="E381" s="82">
        <v>38971</v>
      </c>
      <c r="F381" s="82">
        <v>3747</v>
      </c>
      <c r="G381" s="82">
        <v>3897</v>
      </c>
      <c r="H381" s="83">
        <v>26.150978057498868</v>
      </c>
      <c r="I381" s="83">
        <v>12833.772286255215</v>
      </c>
      <c r="J381" s="83">
        <v>25.478399950876859</v>
      </c>
    </row>
    <row r="382" spans="1:10" ht="16">
      <c r="A382" s="79" t="s">
        <v>1232</v>
      </c>
      <c r="B382" s="79" t="s">
        <v>1209</v>
      </c>
      <c r="C382" s="80" t="s">
        <v>95</v>
      </c>
      <c r="D382" s="81" t="s">
        <v>103</v>
      </c>
      <c r="E382" s="82">
        <v>15700</v>
      </c>
      <c r="F382" s="82">
        <v>892</v>
      </c>
      <c r="G382" s="82">
        <v>5652</v>
      </c>
      <c r="H382" s="83">
        <v>15.904457622377139</v>
      </c>
      <c r="I382" s="83">
        <v>5200.6358566311628</v>
      </c>
      <c r="J382" s="83">
        <v>18.205097757387733</v>
      </c>
    </row>
    <row r="383" spans="1:10" ht="16">
      <c r="A383" s="79" t="s">
        <v>690</v>
      </c>
      <c r="B383" s="79" t="s">
        <v>661</v>
      </c>
      <c r="C383" s="80" t="s">
        <v>95</v>
      </c>
      <c r="D383" s="81" t="s">
        <v>149</v>
      </c>
      <c r="E383" s="82">
        <v>8503</v>
      </c>
      <c r="F383" s="82">
        <v>1575</v>
      </c>
      <c r="G383" s="82">
        <v>592</v>
      </c>
      <c r="H383" s="83">
        <v>10.839248875079864</v>
      </c>
      <c r="I383" s="83">
        <v>1819.3401783690881</v>
      </c>
      <c r="J383" s="83">
        <v>24.447518744248086</v>
      </c>
    </row>
    <row r="384" spans="1:10" ht="16">
      <c r="A384" s="79" t="s">
        <v>691</v>
      </c>
      <c r="B384" s="79" t="s">
        <v>661</v>
      </c>
      <c r="C384" s="80" t="s">
        <v>126</v>
      </c>
      <c r="D384" s="81" t="s">
        <v>99</v>
      </c>
      <c r="E384" s="82">
        <v>15593</v>
      </c>
      <c r="F384" s="82">
        <v>1641</v>
      </c>
      <c r="G384" s="82">
        <v>1092</v>
      </c>
      <c r="H384" s="83">
        <v>23.403000907662189</v>
      </c>
      <c r="I384" s="83">
        <v>7117.2860171805369</v>
      </c>
      <c r="J384" s="83">
        <v>32.714981542088431</v>
      </c>
    </row>
    <row r="385" spans="1:10" ht="16">
      <c r="A385" s="79" t="s">
        <v>1183</v>
      </c>
      <c r="B385" s="79" t="s">
        <v>1161</v>
      </c>
      <c r="C385" s="80" t="s">
        <v>95</v>
      </c>
      <c r="D385" s="81" t="s">
        <v>103</v>
      </c>
      <c r="E385" s="82">
        <v>5381</v>
      </c>
      <c r="F385" s="82">
        <v>345</v>
      </c>
      <c r="G385" s="82">
        <v>323</v>
      </c>
      <c r="H385" s="83">
        <v>34.419170440771978</v>
      </c>
      <c r="I385" s="83">
        <v>16937.912221756433</v>
      </c>
      <c r="J385" s="83">
        <v>26.983562401209596</v>
      </c>
    </row>
    <row r="386" spans="1:10" ht="16">
      <c r="A386" s="79" t="s">
        <v>692</v>
      </c>
      <c r="B386" s="79" t="s">
        <v>661</v>
      </c>
      <c r="C386" s="80" t="s">
        <v>126</v>
      </c>
      <c r="D386" s="81" t="s">
        <v>99</v>
      </c>
      <c r="E386" s="82">
        <v>5469</v>
      </c>
      <c r="F386" s="82">
        <v>675</v>
      </c>
      <c r="G386" s="82">
        <v>55</v>
      </c>
      <c r="H386" s="83">
        <v>11.215570226271703</v>
      </c>
      <c r="I386" s="83">
        <v>2225.0185759486258</v>
      </c>
      <c r="J386" s="83">
        <v>20.735414851254298</v>
      </c>
    </row>
    <row r="387" spans="1:10" ht="16">
      <c r="A387" s="79" t="s">
        <v>693</v>
      </c>
      <c r="B387" s="79" t="s">
        <v>661</v>
      </c>
      <c r="C387" s="80" t="s">
        <v>126</v>
      </c>
      <c r="D387" s="81" t="s">
        <v>79</v>
      </c>
      <c r="E387" s="82">
        <v>6505</v>
      </c>
      <c r="F387" s="82">
        <v>374</v>
      </c>
      <c r="G387" s="82">
        <v>65</v>
      </c>
      <c r="H387" s="83">
        <v>9.8284829284117414</v>
      </c>
      <c r="I387" s="83">
        <v>869.10491959197543</v>
      </c>
      <c r="J387" s="83">
        <v>17.887013467306677</v>
      </c>
    </row>
    <row r="388" spans="1:10" ht="16">
      <c r="A388" s="79" t="s">
        <v>1019</v>
      </c>
      <c r="B388" s="79" t="s">
        <v>1007</v>
      </c>
      <c r="C388" s="80" t="s">
        <v>95</v>
      </c>
      <c r="D388" s="81" t="s">
        <v>111</v>
      </c>
      <c r="E388" s="82">
        <v>12225</v>
      </c>
      <c r="F388" s="82">
        <v>527</v>
      </c>
      <c r="G388" s="82">
        <v>1956</v>
      </c>
      <c r="H388" s="83">
        <v>38.836473100928956</v>
      </c>
      <c r="I388" s="83">
        <v>10440.769110418909</v>
      </c>
      <c r="J388" s="83">
        <v>33.644268736747144</v>
      </c>
    </row>
    <row r="389" spans="1:10" ht="16">
      <c r="A389" s="79" t="s">
        <v>1020</v>
      </c>
      <c r="B389" s="79" t="s">
        <v>1007</v>
      </c>
      <c r="C389" s="80" t="s">
        <v>126</v>
      </c>
      <c r="D389" s="81" t="s">
        <v>101</v>
      </c>
      <c r="E389" s="82">
        <v>17081</v>
      </c>
      <c r="F389" s="82">
        <v>1512</v>
      </c>
      <c r="G389" s="82">
        <v>1708</v>
      </c>
      <c r="H389" s="83">
        <v>10.85547568885716</v>
      </c>
      <c r="I389" s="83">
        <v>1707.6264407294304</v>
      </c>
      <c r="J389" s="83">
        <v>18.765325217678612</v>
      </c>
    </row>
    <row r="390" spans="1:10" ht="16">
      <c r="A390" s="79" t="s">
        <v>1021</v>
      </c>
      <c r="B390" s="79" t="s">
        <v>1007</v>
      </c>
      <c r="C390" s="80" t="s">
        <v>126</v>
      </c>
      <c r="D390" s="81" t="s">
        <v>76</v>
      </c>
      <c r="E390" s="82">
        <v>9481</v>
      </c>
      <c r="F390" s="82">
        <v>930</v>
      </c>
      <c r="G390" s="82">
        <v>758</v>
      </c>
      <c r="H390" s="83">
        <v>66.575610863719845</v>
      </c>
      <c r="I390" s="83">
        <v>38617.085397558883</v>
      </c>
      <c r="J390" s="83">
        <v>63.452580115286878</v>
      </c>
    </row>
    <row r="391" spans="1:10" ht="16">
      <c r="A391" s="79" t="s">
        <v>1022</v>
      </c>
      <c r="B391" s="79" t="s">
        <v>1007</v>
      </c>
      <c r="C391" s="80" t="s">
        <v>126</v>
      </c>
      <c r="D391" s="81" t="s">
        <v>101</v>
      </c>
      <c r="E391" s="82">
        <v>22965</v>
      </c>
      <c r="F391" s="82">
        <v>1435</v>
      </c>
      <c r="G391" s="82">
        <v>5052</v>
      </c>
      <c r="H391" s="83">
        <v>50.566941234685352</v>
      </c>
      <c r="I391" s="83">
        <v>32385.156945223534</v>
      </c>
      <c r="J391" s="83">
        <v>49.166494657120104</v>
      </c>
    </row>
    <row r="392" spans="1:10" ht="16">
      <c r="A392" s="79" t="s">
        <v>1084</v>
      </c>
      <c r="B392" s="79" t="s">
        <v>1081</v>
      </c>
      <c r="C392" s="80" t="s">
        <v>126</v>
      </c>
      <c r="D392" s="81" t="s">
        <v>78</v>
      </c>
      <c r="E392" s="82">
        <v>12659</v>
      </c>
      <c r="F392" s="82">
        <v>806</v>
      </c>
      <c r="G392" s="82">
        <v>2532</v>
      </c>
      <c r="H392" s="83">
        <v>43.199652350411988</v>
      </c>
      <c r="I392" s="83">
        <v>26647.290953542357</v>
      </c>
      <c r="J392" s="83">
        <v>40.7234054133596</v>
      </c>
    </row>
    <row r="393" spans="1:10" ht="16">
      <c r="A393" s="79" t="s">
        <v>165</v>
      </c>
      <c r="B393" s="79" t="s">
        <v>163</v>
      </c>
      <c r="C393" s="80" t="s">
        <v>126</v>
      </c>
      <c r="D393" s="81" t="s">
        <v>99</v>
      </c>
      <c r="E393" s="82">
        <v>45049</v>
      </c>
      <c r="F393" s="82">
        <v>1241</v>
      </c>
      <c r="G393" s="82">
        <v>6757</v>
      </c>
      <c r="H393" s="83">
        <v>74.27859467384512</v>
      </c>
      <c r="I393" s="83">
        <v>63102.249725397836</v>
      </c>
      <c r="J393" s="83">
        <v>59.558834149465028</v>
      </c>
    </row>
    <row r="394" spans="1:10" ht="16">
      <c r="A394" s="79" t="s">
        <v>694</v>
      </c>
      <c r="B394" s="79" t="s">
        <v>661</v>
      </c>
      <c r="C394" s="80" t="s">
        <v>126</v>
      </c>
      <c r="D394" s="81" t="s">
        <v>76</v>
      </c>
      <c r="E394" s="82">
        <v>10032</v>
      </c>
      <c r="F394" s="82">
        <v>1320</v>
      </c>
      <c r="G394" s="82">
        <v>702</v>
      </c>
      <c r="H394" s="83">
        <v>14.305056940870962</v>
      </c>
      <c r="I394" s="83">
        <v>3291.3031264070578</v>
      </c>
      <c r="J394" s="83">
        <v>26.384067141490792</v>
      </c>
    </row>
    <row r="395" spans="1:10" ht="16">
      <c r="A395" s="79" t="s">
        <v>695</v>
      </c>
      <c r="B395" s="79" t="s">
        <v>661</v>
      </c>
      <c r="C395" s="80" t="s">
        <v>126</v>
      </c>
      <c r="D395" s="81" t="s">
        <v>149</v>
      </c>
      <c r="E395" s="82">
        <v>4850</v>
      </c>
      <c r="F395" s="82">
        <v>664</v>
      </c>
      <c r="G395" s="82">
        <v>97</v>
      </c>
      <c r="H395" s="83">
        <v>10.479444295806122</v>
      </c>
      <c r="I395" s="83">
        <v>5550.5145582929172</v>
      </c>
      <c r="J395" s="83">
        <v>22.440490922742327</v>
      </c>
    </row>
    <row r="396" spans="1:10" ht="16">
      <c r="A396" s="79" t="s">
        <v>782</v>
      </c>
      <c r="B396" s="79" t="s">
        <v>783</v>
      </c>
      <c r="C396" s="80" t="s">
        <v>95</v>
      </c>
      <c r="D396" s="81" t="s">
        <v>79</v>
      </c>
      <c r="E396" s="82">
        <v>36551</v>
      </c>
      <c r="F396" s="82">
        <v>1549</v>
      </c>
      <c r="G396" s="82">
        <v>5483</v>
      </c>
      <c r="H396" s="83">
        <v>10.093868749149415</v>
      </c>
      <c r="I396" s="83">
        <v>3151.0585548868903</v>
      </c>
      <c r="J396" s="83">
        <v>19.883969805026098</v>
      </c>
    </row>
    <row r="397" spans="1:10" ht="16">
      <c r="A397" s="79" t="s">
        <v>696</v>
      </c>
      <c r="B397" s="79" t="s">
        <v>661</v>
      </c>
      <c r="C397" s="80" t="s">
        <v>126</v>
      </c>
      <c r="D397" s="81" t="s">
        <v>103</v>
      </c>
      <c r="E397" s="82">
        <v>24766</v>
      </c>
      <c r="F397" s="82">
        <v>1041</v>
      </c>
      <c r="G397" s="82">
        <v>743</v>
      </c>
      <c r="H397" s="83">
        <v>9.5303863969250013</v>
      </c>
      <c r="I397" s="83">
        <v>1210.9661980470996</v>
      </c>
      <c r="J397" s="83">
        <v>15.551510645397393</v>
      </c>
    </row>
    <row r="398" spans="1:10" ht="16">
      <c r="A398" s="79" t="s">
        <v>697</v>
      </c>
      <c r="B398" s="79" t="s">
        <v>661</v>
      </c>
      <c r="C398" s="80" t="s">
        <v>126</v>
      </c>
      <c r="D398" s="81" t="s">
        <v>75</v>
      </c>
      <c r="E398" s="82">
        <v>3989</v>
      </c>
      <c r="F398" s="82">
        <v>307</v>
      </c>
      <c r="G398" s="82">
        <v>199</v>
      </c>
      <c r="H398" s="83">
        <v>16.416143828250082</v>
      </c>
      <c r="I398" s="83">
        <v>1644.8949909453365</v>
      </c>
      <c r="J398" s="83">
        <v>22.122480512500847</v>
      </c>
    </row>
    <row r="399" spans="1:10" ht="16">
      <c r="A399" s="79" t="s">
        <v>698</v>
      </c>
      <c r="B399" s="79" t="s">
        <v>661</v>
      </c>
      <c r="C399" s="80" t="s">
        <v>126</v>
      </c>
      <c r="D399" s="81" t="s">
        <v>96</v>
      </c>
      <c r="E399" s="82">
        <v>1330</v>
      </c>
      <c r="F399" s="82">
        <v>391</v>
      </c>
      <c r="G399" s="82">
        <v>13</v>
      </c>
      <c r="H399" s="83">
        <v>13.582603380141903</v>
      </c>
      <c r="I399" s="83">
        <v>4515.4252363937894</v>
      </c>
      <c r="J399" s="83">
        <v>33.233393179252047</v>
      </c>
    </row>
    <row r="400" spans="1:10" ht="16">
      <c r="A400" s="79" t="s">
        <v>699</v>
      </c>
      <c r="B400" s="79" t="s">
        <v>661</v>
      </c>
      <c r="C400" s="80" t="s">
        <v>126</v>
      </c>
      <c r="D400" s="81" t="s">
        <v>78</v>
      </c>
      <c r="E400" s="82">
        <v>22566</v>
      </c>
      <c r="F400" s="82">
        <v>2507</v>
      </c>
      <c r="G400" s="82">
        <v>2031</v>
      </c>
      <c r="H400" s="83">
        <v>78.858170251149829</v>
      </c>
      <c r="I400" s="83">
        <v>46829.491292878323</v>
      </c>
      <c r="J400" s="83">
        <v>74.269245195559733</v>
      </c>
    </row>
    <row r="401" spans="1:10" ht="16">
      <c r="A401" s="79" t="s">
        <v>1023</v>
      </c>
      <c r="B401" s="79" t="s">
        <v>1007</v>
      </c>
      <c r="C401" s="80" t="s">
        <v>95</v>
      </c>
      <c r="D401" s="81" t="s">
        <v>103</v>
      </c>
      <c r="E401" s="82">
        <v>22102</v>
      </c>
      <c r="F401" s="82">
        <v>1278</v>
      </c>
      <c r="G401" s="82">
        <v>4862</v>
      </c>
      <c r="H401" s="83">
        <v>40.525308853241164</v>
      </c>
      <c r="I401" s="83">
        <v>22885.31572200124</v>
      </c>
      <c r="J401" s="83">
        <v>34.255825964580502</v>
      </c>
    </row>
    <row r="402" spans="1:10" ht="16">
      <c r="A402" s="79" t="s">
        <v>1024</v>
      </c>
      <c r="B402" s="79" t="s">
        <v>1007</v>
      </c>
      <c r="C402" s="80" t="s">
        <v>126</v>
      </c>
      <c r="D402" s="81" t="s">
        <v>99</v>
      </c>
      <c r="E402" s="82">
        <v>24155</v>
      </c>
      <c r="F402" s="82">
        <v>1028</v>
      </c>
      <c r="G402" s="82">
        <v>1449</v>
      </c>
      <c r="H402" s="83">
        <v>28.015679295112726</v>
      </c>
      <c r="I402" s="83">
        <v>7019.4409542789872</v>
      </c>
      <c r="J402" s="83">
        <v>25.304298601011411</v>
      </c>
    </row>
    <row r="403" spans="1:10" ht="16">
      <c r="A403" s="79" t="s">
        <v>700</v>
      </c>
      <c r="B403" s="79" t="s">
        <v>661</v>
      </c>
      <c r="C403" s="80" t="s">
        <v>126</v>
      </c>
      <c r="D403" s="81" t="s">
        <v>76</v>
      </c>
      <c r="E403" s="82">
        <v>5653</v>
      </c>
      <c r="F403" s="82">
        <v>349</v>
      </c>
      <c r="G403" s="82">
        <v>226</v>
      </c>
      <c r="H403" s="83">
        <v>12.925469247442155</v>
      </c>
      <c r="I403" s="83">
        <v>3853.1921387524899</v>
      </c>
      <c r="J403" s="83">
        <v>19.50696183355209</v>
      </c>
    </row>
    <row r="404" spans="1:10" ht="16">
      <c r="A404" s="79" t="s">
        <v>701</v>
      </c>
      <c r="B404" s="79" t="s">
        <v>661</v>
      </c>
      <c r="C404" s="80" t="s">
        <v>126</v>
      </c>
      <c r="D404" s="81" t="s">
        <v>101</v>
      </c>
      <c r="E404" s="82">
        <v>18643</v>
      </c>
      <c r="F404" s="82">
        <v>2119</v>
      </c>
      <c r="G404" s="82">
        <v>2424</v>
      </c>
      <c r="H404" s="83">
        <v>39.52156515694297</v>
      </c>
      <c r="I404" s="83">
        <v>13448.810003812836</v>
      </c>
      <c r="J404" s="83">
        <v>44.955254775062969</v>
      </c>
    </row>
    <row r="405" spans="1:10" ht="16">
      <c r="A405" s="79" t="s">
        <v>779</v>
      </c>
      <c r="B405" s="79" t="s">
        <v>778</v>
      </c>
      <c r="C405" s="80" t="s">
        <v>126</v>
      </c>
      <c r="D405" s="81" t="s">
        <v>96</v>
      </c>
      <c r="E405" s="82">
        <v>17205</v>
      </c>
      <c r="F405" s="82">
        <v>3246</v>
      </c>
      <c r="G405" s="82">
        <v>688</v>
      </c>
      <c r="H405" s="83">
        <v>8.3759544159873158</v>
      </c>
      <c r="I405" s="83">
        <v>1257.7073257012971</v>
      </c>
      <c r="J405" s="83">
        <v>21.663514330609484</v>
      </c>
    </row>
    <row r="406" spans="1:10" ht="16">
      <c r="A406" s="79" t="s">
        <v>120</v>
      </c>
      <c r="B406" s="79" t="s">
        <v>108</v>
      </c>
      <c r="C406" s="80" t="s">
        <v>95</v>
      </c>
      <c r="D406" s="81" t="s">
        <v>103</v>
      </c>
      <c r="E406" s="82">
        <v>22292</v>
      </c>
      <c r="F406" s="82">
        <v>658</v>
      </c>
      <c r="G406" s="82">
        <v>6465</v>
      </c>
      <c r="H406" s="83">
        <v>33.341057046140087</v>
      </c>
      <c r="I406" s="83">
        <v>24272.126126640211</v>
      </c>
      <c r="J406" s="83">
        <v>27.421268529363882</v>
      </c>
    </row>
    <row r="407" spans="1:10" ht="16">
      <c r="A407" s="79" t="s">
        <v>881</v>
      </c>
      <c r="B407" s="79" t="s">
        <v>877</v>
      </c>
      <c r="C407" s="80" t="s">
        <v>126</v>
      </c>
      <c r="D407" s="81" t="s">
        <v>111</v>
      </c>
      <c r="E407" s="82">
        <v>3859</v>
      </c>
      <c r="F407" s="82">
        <v>264</v>
      </c>
      <c r="G407" s="82">
        <v>39</v>
      </c>
      <c r="H407" s="83">
        <v>13.425991528015629</v>
      </c>
      <c r="I407" s="83">
        <v>4332.5990288115245</v>
      </c>
      <c r="J407" s="83">
        <v>19.762187069977973</v>
      </c>
    </row>
    <row r="408" spans="1:10" ht="16">
      <c r="A408" s="79" t="s">
        <v>206</v>
      </c>
      <c r="B408" s="79" t="s">
        <v>203</v>
      </c>
      <c r="C408" s="80" t="s">
        <v>95</v>
      </c>
      <c r="D408" s="81" t="s">
        <v>76</v>
      </c>
      <c r="E408" s="82">
        <v>8050</v>
      </c>
      <c r="F408" s="82">
        <v>329</v>
      </c>
      <c r="G408" s="82">
        <v>1047</v>
      </c>
      <c r="H408" s="83">
        <v>20.411019152353219</v>
      </c>
      <c r="I408" s="83">
        <v>9167.154254077348</v>
      </c>
      <c r="J408" s="83">
        <v>17.608791550970249</v>
      </c>
    </row>
    <row r="409" spans="1:10" ht="16">
      <c r="A409" s="79" t="s">
        <v>1233</v>
      </c>
      <c r="B409" s="79" t="s">
        <v>1209</v>
      </c>
      <c r="C409" s="80" t="s">
        <v>95</v>
      </c>
      <c r="D409" s="81" t="s">
        <v>76</v>
      </c>
      <c r="E409" s="82">
        <v>12657</v>
      </c>
      <c r="F409" s="82">
        <v>1013</v>
      </c>
      <c r="G409" s="82">
        <v>4810</v>
      </c>
      <c r="H409" s="83">
        <v>40.184549442129644</v>
      </c>
      <c r="I409" s="83">
        <v>36457.673777321412</v>
      </c>
      <c r="J409" s="83">
        <v>35.043312222925792</v>
      </c>
    </row>
    <row r="410" spans="1:10" ht="16">
      <c r="A410" s="79" t="s">
        <v>389</v>
      </c>
      <c r="B410" s="79" t="s">
        <v>388</v>
      </c>
      <c r="C410" s="80" t="s">
        <v>126</v>
      </c>
      <c r="D410" s="81" t="s">
        <v>78</v>
      </c>
      <c r="E410" s="82">
        <v>3851</v>
      </c>
      <c r="F410" s="82">
        <v>137</v>
      </c>
      <c r="G410" s="82">
        <v>732</v>
      </c>
      <c r="H410" s="83">
        <v>30.512454339116584</v>
      </c>
      <c r="I410" s="83">
        <v>13001.739046807077</v>
      </c>
      <c r="J410" s="83">
        <v>28.62735219906061</v>
      </c>
    </row>
    <row r="411" spans="1:10" ht="16">
      <c r="A411" s="79" t="s">
        <v>784</v>
      </c>
      <c r="B411" s="79" t="s">
        <v>785</v>
      </c>
      <c r="C411" s="80" t="s">
        <v>126</v>
      </c>
      <c r="D411" s="81" t="s">
        <v>149</v>
      </c>
      <c r="E411" s="82">
        <v>4216</v>
      </c>
      <c r="F411" s="82">
        <v>114</v>
      </c>
      <c r="G411" s="82">
        <v>42</v>
      </c>
      <c r="H411" s="83">
        <v>17.846456428978296</v>
      </c>
      <c r="I411" s="83">
        <v>919.41653017219915</v>
      </c>
      <c r="J411" s="83">
        <v>17.750966913020985</v>
      </c>
    </row>
    <row r="412" spans="1:10" ht="16">
      <c r="A412" s="79" t="s">
        <v>207</v>
      </c>
      <c r="B412" s="79" t="s">
        <v>203</v>
      </c>
      <c r="C412" s="80" t="s">
        <v>95</v>
      </c>
      <c r="D412" s="81" t="s">
        <v>76</v>
      </c>
      <c r="E412" s="82">
        <v>29250</v>
      </c>
      <c r="F412" s="82">
        <v>1691</v>
      </c>
      <c r="G412" s="82">
        <v>3803</v>
      </c>
      <c r="H412" s="83">
        <v>32.745741480342552</v>
      </c>
      <c r="I412" s="83">
        <v>21508.43518535576</v>
      </c>
      <c r="J412" s="83">
        <v>40.723268806560355</v>
      </c>
    </row>
    <row r="413" spans="1:10" ht="16">
      <c r="A413" s="79" t="s">
        <v>790</v>
      </c>
      <c r="B413" s="79" t="s">
        <v>789</v>
      </c>
      <c r="C413" s="80" t="s">
        <v>126</v>
      </c>
      <c r="D413" s="81" t="s">
        <v>79</v>
      </c>
      <c r="E413" s="82">
        <v>7866</v>
      </c>
      <c r="F413" s="82">
        <v>587</v>
      </c>
      <c r="G413" s="82">
        <v>1416</v>
      </c>
      <c r="H413" s="83">
        <v>10.554226128147203</v>
      </c>
      <c r="I413" s="83">
        <v>2542.8417024192022</v>
      </c>
      <c r="J413" s="83">
        <v>31.114974052369014</v>
      </c>
    </row>
    <row r="414" spans="1:10" ht="16">
      <c r="A414" s="79" t="s">
        <v>1234</v>
      </c>
      <c r="B414" s="79" t="s">
        <v>1209</v>
      </c>
      <c r="C414" s="80" t="s">
        <v>95</v>
      </c>
      <c r="D414" s="81" t="s">
        <v>103</v>
      </c>
      <c r="E414" s="82">
        <v>19726</v>
      </c>
      <c r="F414" s="82">
        <v>1012</v>
      </c>
      <c r="G414" s="82">
        <v>2367</v>
      </c>
      <c r="H414" s="83">
        <v>14.449821554987357</v>
      </c>
      <c r="I414" s="83">
        <v>5512.0703891981175</v>
      </c>
      <c r="J414" s="83">
        <v>17.186735390943269</v>
      </c>
    </row>
    <row r="415" spans="1:10" ht="16">
      <c r="A415" s="79" t="s">
        <v>1349</v>
      </c>
      <c r="B415" s="79" t="s">
        <v>1307</v>
      </c>
      <c r="C415" s="80" t="s">
        <v>126</v>
      </c>
      <c r="D415" s="81" t="s">
        <v>101</v>
      </c>
      <c r="E415" s="82">
        <v>6462</v>
      </c>
      <c r="F415" s="82">
        <v>598</v>
      </c>
      <c r="G415" s="82">
        <v>1099</v>
      </c>
      <c r="H415" s="83">
        <v>20.820951425842065</v>
      </c>
      <c r="I415" s="83">
        <v>10611.893553353144</v>
      </c>
      <c r="J415" s="83">
        <v>28.275258392442897</v>
      </c>
    </row>
    <row r="416" spans="1:10" ht="16">
      <c r="A416" s="79" t="s">
        <v>433</v>
      </c>
      <c r="B416" s="79" t="s">
        <v>421</v>
      </c>
      <c r="C416" s="80" t="s">
        <v>126</v>
      </c>
      <c r="D416" s="81" t="s">
        <v>77</v>
      </c>
      <c r="E416" s="82">
        <v>27625</v>
      </c>
      <c r="F416" s="82">
        <v>512</v>
      </c>
      <c r="G416" s="82">
        <v>3868</v>
      </c>
      <c r="H416" s="83">
        <v>30.219344804130394</v>
      </c>
      <c r="I416" s="83">
        <v>13814.371164373739</v>
      </c>
      <c r="J416" s="83">
        <v>37.20251581295863</v>
      </c>
    </row>
    <row r="417" spans="1:10" ht="16">
      <c r="A417" s="79" t="s">
        <v>842</v>
      </c>
      <c r="B417" s="79" t="s">
        <v>839</v>
      </c>
      <c r="C417" s="80" t="s">
        <v>95</v>
      </c>
      <c r="D417" s="81" t="s">
        <v>96</v>
      </c>
      <c r="E417" s="82">
        <v>28741</v>
      </c>
      <c r="F417" s="82">
        <v>1537</v>
      </c>
      <c r="G417" s="82">
        <v>4599</v>
      </c>
      <c r="H417" s="83">
        <v>65.055484514871068</v>
      </c>
      <c r="I417" s="83">
        <v>54077.912305641701</v>
      </c>
      <c r="J417" s="83">
        <v>48.799738835922476</v>
      </c>
    </row>
    <row r="418" spans="1:10" ht="16">
      <c r="A418" s="79" t="s">
        <v>854</v>
      </c>
      <c r="B418" s="79" t="s">
        <v>853</v>
      </c>
      <c r="C418" s="80" t="s">
        <v>126</v>
      </c>
      <c r="D418" s="81" t="s">
        <v>99</v>
      </c>
      <c r="E418" s="82">
        <v>2476</v>
      </c>
      <c r="F418" s="82">
        <v>183</v>
      </c>
      <c r="G418" s="82">
        <v>966</v>
      </c>
      <c r="H418" s="83">
        <v>20.753259392101743</v>
      </c>
      <c r="I418" s="83">
        <v>9562.7659728267754</v>
      </c>
      <c r="J418" s="83">
        <v>25.026150902340383</v>
      </c>
    </row>
    <row r="419" spans="1:10" ht="16">
      <c r="A419" s="79" t="s">
        <v>1235</v>
      </c>
      <c r="B419" s="79" t="s">
        <v>1209</v>
      </c>
      <c r="C419" s="80" t="s">
        <v>95</v>
      </c>
      <c r="D419" s="81" t="s">
        <v>101</v>
      </c>
      <c r="E419" s="82">
        <v>19461</v>
      </c>
      <c r="F419" s="82">
        <v>1118</v>
      </c>
      <c r="G419" s="82">
        <v>2725</v>
      </c>
      <c r="H419" s="83">
        <v>17.686137442087897</v>
      </c>
      <c r="I419" s="83">
        <v>13688.488107872441</v>
      </c>
      <c r="J419" s="83">
        <v>17.965954096687472</v>
      </c>
    </row>
    <row r="420" spans="1:10" ht="16">
      <c r="A420" s="79" t="s">
        <v>434</v>
      </c>
      <c r="B420" s="79" t="s">
        <v>421</v>
      </c>
      <c r="C420" s="80" t="s">
        <v>95</v>
      </c>
      <c r="D420" s="81" t="s">
        <v>103</v>
      </c>
      <c r="E420" s="82">
        <v>34519</v>
      </c>
      <c r="F420" s="82">
        <v>995</v>
      </c>
      <c r="G420" s="82">
        <v>5868</v>
      </c>
      <c r="H420" s="83">
        <v>77.257949225388757</v>
      </c>
      <c r="I420" s="83">
        <v>68455.101532280256</v>
      </c>
      <c r="J420" s="83">
        <v>69.09384444332261</v>
      </c>
    </row>
    <row r="421" spans="1:10" ht="16">
      <c r="A421" s="79" t="s">
        <v>947</v>
      </c>
      <c r="B421" s="79" t="s">
        <v>938</v>
      </c>
      <c r="C421" s="80" t="s">
        <v>95</v>
      </c>
      <c r="D421" s="81" t="s">
        <v>77</v>
      </c>
      <c r="E421" s="82">
        <v>18077</v>
      </c>
      <c r="F421" s="82">
        <v>2288</v>
      </c>
      <c r="G421" s="82">
        <v>1265</v>
      </c>
      <c r="H421" s="83">
        <v>12.061976074294744</v>
      </c>
      <c r="I421" s="83">
        <v>1446.778551053769</v>
      </c>
      <c r="J421" s="83">
        <v>26.311793624665697</v>
      </c>
    </row>
    <row r="422" spans="1:10" ht="16">
      <c r="A422" s="79" t="s">
        <v>902</v>
      </c>
      <c r="B422" s="79" t="s">
        <v>898</v>
      </c>
      <c r="C422" s="80" t="s">
        <v>126</v>
      </c>
      <c r="D422" s="81" t="s">
        <v>101</v>
      </c>
      <c r="E422" s="82">
        <v>16372</v>
      </c>
      <c r="F422" s="82">
        <v>1259</v>
      </c>
      <c r="G422" s="82">
        <v>655</v>
      </c>
      <c r="H422" s="83">
        <v>11.965014666885223</v>
      </c>
      <c r="I422" s="83">
        <v>2003.324253421006</v>
      </c>
      <c r="J422" s="83">
        <v>17.092049892576789</v>
      </c>
    </row>
    <row r="423" spans="1:10" ht="16">
      <c r="A423" s="79" t="s">
        <v>948</v>
      </c>
      <c r="B423" s="79" t="s">
        <v>938</v>
      </c>
      <c r="C423" s="80" t="s">
        <v>126</v>
      </c>
      <c r="D423" s="81" t="s">
        <v>76</v>
      </c>
      <c r="E423" s="82">
        <v>29235</v>
      </c>
      <c r="F423" s="82">
        <v>4005</v>
      </c>
      <c r="G423" s="82">
        <v>8478</v>
      </c>
      <c r="H423" s="83">
        <v>63.633433073231863</v>
      </c>
      <c r="I423" s="83">
        <v>9840.1452221846557</v>
      </c>
      <c r="J423" s="83">
        <v>79.005509102377601</v>
      </c>
    </row>
    <row r="424" spans="1:10" ht="16">
      <c r="A424" s="79" t="s">
        <v>1236</v>
      </c>
      <c r="B424" s="79" t="s">
        <v>1209</v>
      </c>
      <c r="C424" s="80" t="s">
        <v>95</v>
      </c>
      <c r="D424" s="81" t="s">
        <v>103</v>
      </c>
      <c r="E424" s="82">
        <v>10570</v>
      </c>
      <c r="F424" s="82">
        <v>874</v>
      </c>
      <c r="G424" s="82">
        <v>7505</v>
      </c>
      <c r="H424" s="83">
        <v>83.84844731821299</v>
      </c>
      <c r="I424" s="83">
        <v>77081.181947906894</v>
      </c>
      <c r="J424" s="83">
        <v>69.757728565353176</v>
      </c>
    </row>
    <row r="425" spans="1:10" ht="16">
      <c r="A425" s="79" t="s">
        <v>1237</v>
      </c>
      <c r="B425" s="79" t="s">
        <v>1209</v>
      </c>
      <c r="C425" s="80" t="s">
        <v>95</v>
      </c>
      <c r="D425" s="81" t="s">
        <v>79</v>
      </c>
      <c r="E425" s="82">
        <v>12168</v>
      </c>
      <c r="F425" s="82">
        <v>737</v>
      </c>
      <c r="G425" s="82">
        <v>4015</v>
      </c>
      <c r="H425" s="83">
        <v>10.633633829373954</v>
      </c>
      <c r="I425" s="83">
        <v>1887.5901812107277</v>
      </c>
      <c r="J425" s="83">
        <v>15.882899580305796</v>
      </c>
    </row>
    <row r="426" spans="1:10" ht="16">
      <c r="A426" s="79" t="s">
        <v>186</v>
      </c>
      <c r="B426" s="79" t="s">
        <v>169</v>
      </c>
      <c r="C426" s="80" t="s">
        <v>95</v>
      </c>
      <c r="D426" s="81" t="s">
        <v>78</v>
      </c>
      <c r="E426" s="82">
        <v>26685</v>
      </c>
      <c r="F426" s="82">
        <v>1744</v>
      </c>
      <c r="G426" s="82">
        <v>267</v>
      </c>
      <c r="H426" s="83">
        <v>14.057915849351813</v>
      </c>
      <c r="I426" s="83">
        <v>2172.3600694814218</v>
      </c>
      <c r="J426" s="83">
        <v>21.889551871383208</v>
      </c>
    </row>
    <row r="427" spans="1:10" ht="16">
      <c r="A427" s="79" t="s">
        <v>1238</v>
      </c>
      <c r="B427" s="79" t="s">
        <v>1209</v>
      </c>
      <c r="C427" s="80" t="s">
        <v>126</v>
      </c>
      <c r="D427" s="81" t="s">
        <v>76</v>
      </c>
      <c r="E427" s="82">
        <v>14749</v>
      </c>
      <c r="F427" s="82">
        <v>1031</v>
      </c>
      <c r="G427" s="82">
        <v>3687</v>
      </c>
      <c r="H427" s="83">
        <v>35.033673934296552</v>
      </c>
      <c r="I427" s="83">
        <v>18194.872478142592</v>
      </c>
      <c r="J427" s="83">
        <v>34.421343351134254</v>
      </c>
    </row>
    <row r="428" spans="1:10" ht="16">
      <c r="A428" s="79" t="s">
        <v>1350</v>
      </c>
      <c r="B428" s="79" t="s">
        <v>1307</v>
      </c>
      <c r="C428" s="80" t="s">
        <v>95</v>
      </c>
      <c r="D428" s="81" t="s">
        <v>103</v>
      </c>
      <c r="E428" s="82">
        <v>29169</v>
      </c>
      <c r="F428" s="82">
        <v>1409</v>
      </c>
      <c r="G428" s="82">
        <v>1750</v>
      </c>
      <c r="H428" s="83">
        <v>27.245282465898715</v>
      </c>
      <c r="I428" s="83">
        <v>14569.961877972315</v>
      </c>
      <c r="J428" s="83">
        <v>34.551910651175319</v>
      </c>
    </row>
    <row r="429" spans="1:10" ht="16">
      <c r="A429" s="79" t="s">
        <v>1351</v>
      </c>
      <c r="B429" s="79" t="s">
        <v>1307</v>
      </c>
      <c r="C429" s="80" t="s">
        <v>126</v>
      </c>
      <c r="D429" s="81" t="s">
        <v>103</v>
      </c>
      <c r="E429" s="82">
        <v>11210</v>
      </c>
      <c r="F429" s="82">
        <v>496</v>
      </c>
      <c r="G429" s="82">
        <v>448</v>
      </c>
      <c r="H429" s="83">
        <v>9.9872989552079829</v>
      </c>
      <c r="I429" s="83">
        <v>4279.7061785988344</v>
      </c>
      <c r="J429" s="83">
        <v>17.800459440451633</v>
      </c>
    </row>
    <row r="430" spans="1:10" ht="16">
      <c r="A430" s="79" t="s">
        <v>1085</v>
      </c>
      <c r="B430" s="79" t="s">
        <v>1081</v>
      </c>
      <c r="C430" s="80" t="s">
        <v>95</v>
      </c>
      <c r="D430" s="81" t="s">
        <v>77</v>
      </c>
      <c r="E430" s="82">
        <v>27266</v>
      </c>
      <c r="F430" s="82">
        <v>2253</v>
      </c>
      <c r="G430" s="82">
        <v>5181</v>
      </c>
      <c r="H430" s="83">
        <v>55.164569123324426</v>
      </c>
      <c r="I430" s="83">
        <v>46868.443278273902</v>
      </c>
      <c r="J430" s="83">
        <v>41.406123102368113</v>
      </c>
    </row>
    <row r="431" spans="1:10" ht="16">
      <c r="A431" s="79" t="s">
        <v>1198</v>
      </c>
      <c r="B431" s="79" t="s">
        <v>1197</v>
      </c>
      <c r="C431" s="80" t="s">
        <v>126</v>
      </c>
      <c r="D431" s="81" t="s">
        <v>79</v>
      </c>
      <c r="E431" s="82">
        <v>21560</v>
      </c>
      <c r="F431" s="82">
        <v>2053</v>
      </c>
      <c r="G431" s="82">
        <v>216</v>
      </c>
      <c r="H431" s="83">
        <v>9.1818084519171244</v>
      </c>
      <c r="I431" s="83">
        <v>4346.4882863932153</v>
      </c>
      <c r="J431" s="83">
        <v>18.593237039226839</v>
      </c>
    </row>
    <row r="432" spans="1:10" ht="16">
      <c r="A432" s="79" t="s">
        <v>843</v>
      </c>
      <c r="B432" s="79" t="s">
        <v>839</v>
      </c>
      <c r="C432" s="80" t="s">
        <v>95</v>
      </c>
      <c r="D432" s="81" t="s">
        <v>103</v>
      </c>
      <c r="E432" s="82">
        <v>16857</v>
      </c>
      <c r="F432" s="82">
        <v>906</v>
      </c>
      <c r="G432" s="82">
        <v>9103</v>
      </c>
      <c r="H432" s="83">
        <v>48.986381930308156</v>
      </c>
      <c r="I432" s="83">
        <v>37247.644600573854</v>
      </c>
      <c r="J432" s="83">
        <v>40.898136993697946</v>
      </c>
    </row>
    <row r="433" spans="1:10" ht="16">
      <c r="A433" s="79" t="s">
        <v>797</v>
      </c>
      <c r="B433" s="79" t="s">
        <v>798</v>
      </c>
      <c r="C433" s="80" t="s">
        <v>95</v>
      </c>
      <c r="D433" s="81" t="s">
        <v>96</v>
      </c>
      <c r="E433" s="82">
        <v>9924</v>
      </c>
      <c r="F433" s="82">
        <v>407</v>
      </c>
      <c r="G433" s="82">
        <v>7840</v>
      </c>
      <c r="H433" s="83">
        <v>23.178594901879894</v>
      </c>
      <c r="I433" s="83">
        <v>18636.038847841501</v>
      </c>
      <c r="J433" s="83">
        <v>27.112554328853051</v>
      </c>
    </row>
    <row r="434" spans="1:10" ht="16">
      <c r="A434" s="79" t="s">
        <v>121</v>
      </c>
      <c r="B434" s="79" t="s">
        <v>108</v>
      </c>
      <c r="C434" s="80" t="s">
        <v>95</v>
      </c>
      <c r="D434" s="81" t="s">
        <v>79</v>
      </c>
      <c r="E434" s="82">
        <v>30234</v>
      </c>
      <c r="F434" s="82">
        <v>441</v>
      </c>
      <c r="G434" s="82">
        <v>8768</v>
      </c>
      <c r="H434" s="83">
        <v>42.846807848630803</v>
      </c>
      <c r="I434" s="83">
        <v>30616.061693187712</v>
      </c>
      <c r="J434" s="83">
        <v>37.889904382729078</v>
      </c>
    </row>
    <row r="435" spans="1:10" ht="16">
      <c r="A435" s="79" t="s">
        <v>1144</v>
      </c>
      <c r="B435" s="79" t="s">
        <v>1139</v>
      </c>
      <c r="C435" s="80" t="s">
        <v>95</v>
      </c>
      <c r="D435" s="81" t="s">
        <v>103</v>
      </c>
      <c r="E435" s="82">
        <v>13534</v>
      </c>
      <c r="F435" s="82">
        <v>607</v>
      </c>
      <c r="G435" s="82">
        <v>541</v>
      </c>
      <c r="H435" s="83">
        <v>9.1105301328075754</v>
      </c>
      <c r="I435" s="83">
        <v>6720.0686339084859</v>
      </c>
      <c r="J435" s="83">
        <v>15.323155305463786</v>
      </c>
    </row>
    <row r="436" spans="1:10" ht="16">
      <c r="A436" s="79" t="s">
        <v>528</v>
      </c>
      <c r="B436" s="79" t="s">
        <v>493</v>
      </c>
      <c r="C436" s="80" t="s">
        <v>95</v>
      </c>
      <c r="D436" s="81" t="s">
        <v>103</v>
      </c>
      <c r="E436" s="82">
        <v>39252</v>
      </c>
      <c r="F436" s="82">
        <v>1443</v>
      </c>
      <c r="G436" s="82">
        <v>879</v>
      </c>
      <c r="H436" s="83">
        <v>10.105007112631911</v>
      </c>
      <c r="I436" s="83">
        <v>1607.2051655387502</v>
      </c>
      <c r="J436" s="83">
        <v>14.683010255530954</v>
      </c>
    </row>
    <row r="437" spans="1:10" ht="16">
      <c r="A437" s="79" t="s">
        <v>1145</v>
      </c>
      <c r="B437" s="79" t="s">
        <v>1139</v>
      </c>
      <c r="C437" s="80" t="s">
        <v>95</v>
      </c>
      <c r="D437" s="81" t="s">
        <v>101</v>
      </c>
      <c r="E437" s="82">
        <v>38192</v>
      </c>
      <c r="F437" s="82">
        <v>1303</v>
      </c>
      <c r="G437" s="82">
        <v>3626</v>
      </c>
      <c r="H437" s="83">
        <v>8.9075900901861456</v>
      </c>
      <c r="I437" s="83">
        <v>883.18060544652383</v>
      </c>
      <c r="J437" s="83">
        <v>18.526693381918154</v>
      </c>
    </row>
    <row r="438" spans="1:10" ht="16">
      <c r="A438" s="79" t="s">
        <v>1146</v>
      </c>
      <c r="B438" s="79" t="s">
        <v>1139</v>
      </c>
      <c r="C438" s="80" t="s">
        <v>126</v>
      </c>
      <c r="D438" s="81" t="s">
        <v>79</v>
      </c>
      <c r="E438" s="82">
        <v>28476</v>
      </c>
      <c r="F438" s="82">
        <v>2792</v>
      </c>
      <c r="G438" s="82">
        <v>1139</v>
      </c>
      <c r="H438" s="83">
        <v>21.493101757755078</v>
      </c>
      <c r="I438" s="83">
        <v>9510.4088285909947</v>
      </c>
      <c r="J438" s="83">
        <v>32.203933927504629</v>
      </c>
    </row>
    <row r="439" spans="1:10" ht="16">
      <c r="A439" s="79" t="s">
        <v>1194</v>
      </c>
      <c r="B439" s="79" t="s">
        <v>1195</v>
      </c>
      <c r="C439" s="80" t="s">
        <v>126</v>
      </c>
      <c r="D439" s="81" t="s">
        <v>99</v>
      </c>
      <c r="E439" s="82">
        <v>34651</v>
      </c>
      <c r="F439" s="82">
        <v>1468</v>
      </c>
      <c r="G439" s="82">
        <v>2772</v>
      </c>
      <c r="H439" s="83">
        <v>13.175263297951147</v>
      </c>
      <c r="I439" s="83">
        <v>8869.4500272355453</v>
      </c>
      <c r="J439" s="83">
        <v>17.362430845711749</v>
      </c>
    </row>
    <row r="440" spans="1:10" ht="16">
      <c r="A440" s="79" t="s">
        <v>1239</v>
      </c>
      <c r="B440" s="79" t="s">
        <v>1209</v>
      </c>
      <c r="C440" s="80" t="s">
        <v>95</v>
      </c>
      <c r="D440" s="81" t="s">
        <v>77</v>
      </c>
      <c r="E440" s="82">
        <v>28146</v>
      </c>
      <c r="F440" s="82">
        <v>1864</v>
      </c>
      <c r="G440" s="82">
        <v>4503</v>
      </c>
      <c r="H440" s="83">
        <v>14.964902123552493</v>
      </c>
      <c r="I440" s="83">
        <v>7902.6196222074932</v>
      </c>
      <c r="J440" s="83">
        <v>20.254125899284677</v>
      </c>
    </row>
    <row r="441" spans="1:10" ht="16">
      <c r="A441" s="79" t="s">
        <v>529</v>
      </c>
      <c r="B441" s="79" t="s">
        <v>493</v>
      </c>
      <c r="C441" s="80" t="s">
        <v>126</v>
      </c>
      <c r="D441" s="81" t="s">
        <v>76</v>
      </c>
      <c r="E441" s="82">
        <v>23082</v>
      </c>
      <c r="F441" s="82">
        <v>2684</v>
      </c>
      <c r="G441" s="82">
        <v>2539</v>
      </c>
      <c r="H441" s="83">
        <v>12.476601934520968</v>
      </c>
      <c r="I441" s="83">
        <v>1081.0391237997255</v>
      </c>
      <c r="J441" s="83">
        <v>24.126643581438994</v>
      </c>
    </row>
    <row r="442" spans="1:10" ht="16">
      <c r="A442" s="79" t="s">
        <v>375</v>
      </c>
      <c r="B442" s="79" t="s">
        <v>363</v>
      </c>
      <c r="C442" s="80" t="s">
        <v>95</v>
      </c>
      <c r="D442" s="81" t="s">
        <v>99</v>
      </c>
      <c r="E442" s="82">
        <v>140126</v>
      </c>
      <c r="F442" s="82">
        <v>5628</v>
      </c>
      <c r="G442" s="82">
        <v>4204</v>
      </c>
      <c r="H442" s="83">
        <v>10.15790829231778</v>
      </c>
      <c r="I442" s="83">
        <v>8153.1462872353795</v>
      </c>
      <c r="J442" s="83">
        <v>19.94122194194728</v>
      </c>
    </row>
    <row r="443" spans="1:10" ht="16">
      <c r="A443" s="79" t="s">
        <v>620</v>
      </c>
      <c r="B443" s="79" t="s">
        <v>617</v>
      </c>
      <c r="C443" s="80" t="s">
        <v>126</v>
      </c>
      <c r="D443" s="81" t="s">
        <v>101</v>
      </c>
      <c r="E443" s="82">
        <v>10603</v>
      </c>
      <c r="F443" s="82">
        <v>512</v>
      </c>
      <c r="G443" s="82">
        <v>424</v>
      </c>
      <c r="H443" s="83">
        <v>19.542078504027828</v>
      </c>
      <c r="I443" s="83">
        <v>12453.624231629034</v>
      </c>
      <c r="J443" s="83">
        <v>22.798521597165113</v>
      </c>
    </row>
    <row r="444" spans="1:10" ht="16">
      <c r="A444" s="79" t="s">
        <v>1184</v>
      </c>
      <c r="B444" s="79" t="s">
        <v>1161</v>
      </c>
      <c r="C444" s="80" t="s">
        <v>126</v>
      </c>
      <c r="D444" s="81" t="s">
        <v>101</v>
      </c>
      <c r="E444" s="82">
        <v>59480</v>
      </c>
      <c r="F444" s="82">
        <v>2044</v>
      </c>
      <c r="G444" s="82">
        <v>2379</v>
      </c>
      <c r="H444" s="83">
        <v>9.5677118350944159</v>
      </c>
      <c r="I444" s="83">
        <v>1736.1751483058981</v>
      </c>
      <c r="J444" s="83">
        <v>22.079766733766789</v>
      </c>
    </row>
    <row r="445" spans="1:10" ht="16">
      <c r="A445" s="79" t="s">
        <v>1352</v>
      </c>
      <c r="B445" s="79" t="s">
        <v>1307</v>
      </c>
      <c r="C445" s="80" t="s">
        <v>95</v>
      </c>
      <c r="D445" s="81" t="s">
        <v>79</v>
      </c>
      <c r="E445" s="82">
        <v>10472</v>
      </c>
      <c r="F445" s="82">
        <v>873</v>
      </c>
      <c r="G445" s="82">
        <v>419</v>
      </c>
      <c r="H445" s="83">
        <v>14.50783434634398</v>
      </c>
      <c r="I445" s="83">
        <v>4953.6391289181229</v>
      </c>
      <c r="J445" s="83">
        <v>36.387204227788715</v>
      </c>
    </row>
    <row r="446" spans="1:10" ht="16">
      <c r="A446" s="79" t="s">
        <v>345</v>
      </c>
      <c r="B446" s="79" t="s">
        <v>341</v>
      </c>
      <c r="C446" s="80" t="s">
        <v>95</v>
      </c>
      <c r="D446" s="81" t="s">
        <v>76</v>
      </c>
      <c r="E446" s="82">
        <v>31611</v>
      </c>
      <c r="F446" s="82">
        <v>1565</v>
      </c>
      <c r="G446" s="82">
        <v>6638</v>
      </c>
      <c r="H446" s="83">
        <v>25.564475359537528</v>
      </c>
      <c r="I446" s="83">
        <v>9244.7488033435657</v>
      </c>
      <c r="J446" s="83">
        <v>22.666608994702951</v>
      </c>
    </row>
    <row r="447" spans="1:10" ht="16">
      <c r="A447" s="79" t="s">
        <v>569</v>
      </c>
      <c r="B447" s="79" t="s">
        <v>556</v>
      </c>
      <c r="C447" s="80" t="s">
        <v>95</v>
      </c>
      <c r="D447" s="81" t="s">
        <v>77</v>
      </c>
      <c r="E447" s="82">
        <v>9134</v>
      </c>
      <c r="F447" s="82">
        <v>862</v>
      </c>
      <c r="G447" s="82">
        <v>274</v>
      </c>
      <c r="H447" s="83">
        <v>12.711483037839031</v>
      </c>
      <c r="I447" s="83">
        <v>8995.846551703582</v>
      </c>
      <c r="J447" s="83">
        <v>28.421499841281914</v>
      </c>
    </row>
    <row r="448" spans="1:10" ht="16">
      <c r="A448" s="79" t="s">
        <v>1353</v>
      </c>
      <c r="B448" s="79" t="s">
        <v>1307</v>
      </c>
      <c r="C448" s="80" t="s">
        <v>126</v>
      </c>
      <c r="D448" s="81" t="s">
        <v>103</v>
      </c>
      <c r="E448" s="82">
        <v>11247</v>
      </c>
      <c r="F448" s="82">
        <v>1308</v>
      </c>
      <c r="G448" s="82">
        <v>3824</v>
      </c>
      <c r="H448" s="83">
        <v>92.593889844879939</v>
      </c>
      <c r="I448" s="83">
        <v>91974.529011089544</v>
      </c>
      <c r="J448" s="83">
        <v>90.955689166125794</v>
      </c>
    </row>
    <row r="449" spans="1:10" ht="16">
      <c r="A449" s="79" t="s">
        <v>855</v>
      </c>
      <c r="B449" s="79" t="s">
        <v>853</v>
      </c>
      <c r="C449" s="80" t="s">
        <v>95</v>
      </c>
      <c r="D449" s="81" t="s">
        <v>77</v>
      </c>
      <c r="E449" s="82">
        <v>18653</v>
      </c>
      <c r="F449" s="82">
        <v>1151</v>
      </c>
      <c r="G449" s="82">
        <v>5782</v>
      </c>
      <c r="H449" s="83">
        <v>19.42393214154469</v>
      </c>
      <c r="I449" s="83">
        <v>9291.1420202544032</v>
      </c>
      <c r="J449" s="83">
        <v>23.304877329579536</v>
      </c>
    </row>
    <row r="450" spans="1:10" ht="16">
      <c r="A450" s="79" t="s">
        <v>601</v>
      </c>
      <c r="B450" s="79" t="s">
        <v>600</v>
      </c>
      <c r="C450" s="80" t="s">
        <v>95</v>
      </c>
      <c r="D450" s="81" t="s">
        <v>76</v>
      </c>
      <c r="E450" s="82">
        <v>9291</v>
      </c>
      <c r="F450" s="82">
        <v>328</v>
      </c>
      <c r="G450" s="82">
        <v>1115</v>
      </c>
      <c r="H450" s="83">
        <v>30.257181110708355</v>
      </c>
      <c r="I450" s="83">
        <v>24010.826324141548</v>
      </c>
      <c r="J450" s="83">
        <v>21.245418888629622</v>
      </c>
    </row>
    <row r="451" spans="1:10" ht="16">
      <c r="A451" s="79" t="s">
        <v>208</v>
      </c>
      <c r="B451" s="79" t="s">
        <v>203</v>
      </c>
      <c r="C451" s="80" t="s">
        <v>95</v>
      </c>
      <c r="D451" s="81" t="s">
        <v>101</v>
      </c>
      <c r="E451" s="82">
        <v>31294</v>
      </c>
      <c r="F451" s="82">
        <v>2407</v>
      </c>
      <c r="G451" s="82">
        <v>9075</v>
      </c>
      <c r="H451" s="83">
        <v>72.441550338965257</v>
      </c>
      <c r="I451" s="83">
        <v>60974.074949598478</v>
      </c>
      <c r="J451" s="83">
        <v>65.973913884768791</v>
      </c>
    </row>
    <row r="452" spans="1:10" ht="16">
      <c r="A452" s="79" t="s">
        <v>209</v>
      </c>
      <c r="B452" s="79" t="s">
        <v>203</v>
      </c>
      <c r="C452" s="80" t="s">
        <v>95</v>
      </c>
      <c r="D452" s="81" t="s">
        <v>99</v>
      </c>
      <c r="E452" s="82">
        <v>24412</v>
      </c>
      <c r="F452" s="82">
        <v>869</v>
      </c>
      <c r="G452" s="82">
        <v>4150</v>
      </c>
      <c r="H452" s="83">
        <v>50.367613389814281</v>
      </c>
      <c r="I452" s="83">
        <v>47566.702094851244</v>
      </c>
      <c r="J452" s="83">
        <v>44.874529651223618</v>
      </c>
    </row>
    <row r="453" spans="1:10" ht="16">
      <c r="A453" s="79" t="s">
        <v>148</v>
      </c>
      <c r="B453" s="79" t="s">
        <v>146</v>
      </c>
      <c r="C453" s="80" t="s">
        <v>95</v>
      </c>
      <c r="D453" s="81" t="s">
        <v>149</v>
      </c>
      <c r="E453" s="82">
        <v>3352</v>
      </c>
      <c r="F453" s="82">
        <v>308</v>
      </c>
      <c r="G453" s="82">
        <v>804</v>
      </c>
      <c r="H453" s="83">
        <v>25.298616571579362</v>
      </c>
      <c r="I453" s="83">
        <v>23081.036126281513</v>
      </c>
      <c r="J453" s="83">
        <v>31.381656596108993</v>
      </c>
    </row>
    <row r="454" spans="1:10" ht="16">
      <c r="A454" s="79" t="s">
        <v>150</v>
      </c>
      <c r="B454" s="79" t="s">
        <v>146</v>
      </c>
      <c r="C454" s="80" t="s">
        <v>95</v>
      </c>
      <c r="D454" s="81" t="s">
        <v>79</v>
      </c>
      <c r="E454" s="82">
        <v>2966</v>
      </c>
      <c r="F454" s="82">
        <v>690</v>
      </c>
      <c r="G454" s="82">
        <v>1305</v>
      </c>
      <c r="H454" s="83">
        <v>14.878487793619705</v>
      </c>
      <c r="I454" s="83">
        <v>12725.436136109363</v>
      </c>
      <c r="J454" s="83">
        <v>31.329446049479003</v>
      </c>
    </row>
    <row r="455" spans="1:10" ht="16">
      <c r="A455" s="79" t="s">
        <v>151</v>
      </c>
      <c r="B455" s="79" t="s">
        <v>146</v>
      </c>
      <c r="C455" s="80" t="s">
        <v>95</v>
      </c>
      <c r="D455" s="81" t="s">
        <v>149</v>
      </c>
      <c r="E455" s="82">
        <v>7142</v>
      </c>
      <c r="F455" s="82">
        <v>882</v>
      </c>
      <c r="G455" s="82">
        <v>2143</v>
      </c>
      <c r="H455" s="83">
        <v>23.956092701144236</v>
      </c>
      <c r="I455" s="83">
        <v>21264.945302617831</v>
      </c>
      <c r="J455" s="83">
        <v>34.27930945260303</v>
      </c>
    </row>
    <row r="456" spans="1:10" ht="16">
      <c r="A456" s="79" t="s">
        <v>702</v>
      </c>
      <c r="B456" s="79" t="s">
        <v>661</v>
      </c>
      <c r="C456" s="80" t="s">
        <v>126</v>
      </c>
      <c r="D456" s="81" t="s">
        <v>111</v>
      </c>
      <c r="E456" s="82">
        <v>33309</v>
      </c>
      <c r="F456" s="82">
        <v>2847</v>
      </c>
      <c r="G456" s="82">
        <v>1332</v>
      </c>
      <c r="H456" s="83">
        <v>8.8263401451098726</v>
      </c>
      <c r="I456" s="83">
        <v>982.35821834107389</v>
      </c>
      <c r="J456" s="83">
        <v>18.587009078213704</v>
      </c>
    </row>
    <row r="457" spans="1:10" ht="16">
      <c r="A457" s="79" t="s">
        <v>703</v>
      </c>
      <c r="B457" s="79" t="s">
        <v>661</v>
      </c>
      <c r="C457" s="80" t="s">
        <v>126</v>
      </c>
      <c r="D457" s="81" t="s">
        <v>111</v>
      </c>
      <c r="E457" s="82">
        <v>15412</v>
      </c>
      <c r="F457" s="82">
        <v>491</v>
      </c>
      <c r="G457" s="82">
        <v>154</v>
      </c>
      <c r="H457" s="83">
        <v>10.183438259751849</v>
      </c>
      <c r="I457" s="83">
        <v>1165.359546854437</v>
      </c>
      <c r="J457" s="83">
        <v>16.445104668844863</v>
      </c>
    </row>
    <row r="458" spans="1:10" ht="16">
      <c r="A458" s="79" t="s">
        <v>210</v>
      </c>
      <c r="B458" s="79" t="s">
        <v>203</v>
      </c>
      <c r="C458" s="80" t="s">
        <v>95</v>
      </c>
      <c r="D458" s="81" t="s">
        <v>99</v>
      </c>
      <c r="E458" s="82">
        <v>15127</v>
      </c>
      <c r="F458" s="82">
        <v>1104</v>
      </c>
      <c r="G458" s="82">
        <v>2723</v>
      </c>
      <c r="H458" s="83">
        <v>20.153491302414949</v>
      </c>
      <c r="I458" s="83">
        <v>11514.354296477797</v>
      </c>
      <c r="J458" s="83">
        <v>21.053514045230866</v>
      </c>
    </row>
    <row r="459" spans="1:10" ht="16">
      <c r="A459" s="79" t="s">
        <v>346</v>
      </c>
      <c r="B459" s="79" t="s">
        <v>341</v>
      </c>
      <c r="C459" s="80" t="s">
        <v>95</v>
      </c>
      <c r="D459" s="81" t="s">
        <v>79</v>
      </c>
      <c r="E459" s="82">
        <v>7215</v>
      </c>
      <c r="F459" s="82">
        <v>501</v>
      </c>
      <c r="G459" s="82">
        <v>1154</v>
      </c>
      <c r="H459" s="83">
        <v>15.42576903110135</v>
      </c>
      <c r="I459" s="83">
        <v>1079.1675243120128</v>
      </c>
      <c r="J459" s="83">
        <v>18.513255833373698</v>
      </c>
    </row>
    <row r="460" spans="1:10" ht="16">
      <c r="A460" s="79" t="s">
        <v>376</v>
      </c>
      <c r="B460" s="79" t="s">
        <v>363</v>
      </c>
      <c r="C460" s="80" t="s">
        <v>126</v>
      </c>
      <c r="D460" s="81" t="s">
        <v>76</v>
      </c>
      <c r="E460" s="82">
        <v>84587</v>
      </c>
      <c r="F460" s="82">
        <v>2324</v>
      </c>
      <c r="G460" s="82">
        <v>846</v>
      </c>
      <c r="H460" s="83">
        <v>8.6714988731275984</v>
      </c>
      <c r="I460" s="83">
        <v>1989.5712445232264</v>
      </c>
      <c r="J460" s="83">
        <v>15.412793567416289</v>
      </c>
    </row>
    <row r="461" spans="1:10" ht="16">
      <c r="A461" s="79" t="s">
        <v>823</v>
      </c>
      <c r="B461" s="79" t="s">
        <v>817</v>
      </c>
      <c r="C461" s="80" t="s">
        <v>126</v>
      </c>
      <c r="D461" s="81" t="s">
        <v>79</v>
      </c>
      <c r="E461" s="82">
        <v>57827</v>
      </c>
      <c r="F461" s="82">
        <v>2891</v>
      </c>
      <c r="G461" s="82">
        <v>4024</v>
      </c>
      <c r="H461" s="83">
        <v>17.216127574006709</v>
      </c>
      <c r="I461" s="83">
        <v>11249.880033764277</v>
      </c>
      <c r="J461" s="83">
        <v>16.785666597598944</v>
      </c>
    </row>
    <row r="462" spans="1:10" ht="16">
      <c r="A462" s="79" t="s">
        <v>1354</v>
      </c>
      <c r="B462" s="79" t="s">
        <v>1307</v>
      </c>
      <c r="C462" s="80" t="s">
        <v>95</v>
      </c>
      <c r="D462" s="81" t="s">
        <v>96</v>
      </c>
      <c r="E462" s="82">
        <v>44789</v>
      </c>
      <c r="F462" s="82">
        <v>2714</v>
      </c>
      <c r="G462" s="82">
        <v>7166</v>
      </c>
      <c r="H462" s="83">
        <v>58.121429631324432</v>
      </c>
      <c r="I462" s="83">
        <v>45990.165793829314</v>
      </c>
      <c r="J462" s="83">
        <v>57.49355902140757</v>
      </c>
    </row>
    <row r="463" spans="1:10" ht="16">
      <c r="A463" s="79" t="s">
        <v>1185</v>
      </c>
      <c r="B463" s="79" t="s">
        <v>1161</v>
      </c>
      <c r="C463" s="80" t="s">
        <v>126</v>
      </c>
      <c r="D463" s="81" t="s">
        <v>99</v>
      </c>
      <c r="E463" s="82">
        <v>27455</v>
      </c>
      <c r="F463" s="82">
        <v>869</v>
      </c>
      <c r="G463" s="82">
        <v>1647</v>
      </c>
      <c r="H463" s="83">
        <v>24.02825303958798</v>
      </c>
      <c r="I463" s="83">
        <v>7148.3723088272509</v>
      </c>
      <c r="J463" s="83">
        <v>29.594770055792207</v>
      </c>
    </row>
    <row r="464" spans="1:10" ht="16">
      <c r="A464" s="79" t="s">
        <v>1240</v>
      </c>
      <c r="B464" s="79" t="s">
        <v>1209</v>
      </c>
      <c r="C464" s="80" t="s">
        <v>95</v>
      </c>
      <c r="D464" s="81" t="s">
        <v>111</v>
      </c>
      <c r="E464" s="82">
        <v>15649</v>
      </c>
      <c r="F464" s="82">
        <v>869</v>
      </c>
      <c r="G464" s="82">
        <v>7042</v>
      </c>
      <c r="H464" s="83">
        <v>17.529644071886285</v>
      </c>
      <c r="I464" s="83">
        <v>12864.849539481609</v>
      </c>
      <c r="J464" s="83">
        <v>20.395574331562813</v>
      </c>
    </row>
    <row r="465" spans="1:10" ht="16">
      <c r="A465" s="79" t="s">
        <v>704</v>
      </c>
      <c r="B465" s="79" t="s">
        <v>661</v>
      </c>
      <c r="C465" s="80" t="s">
        <v>126</v>
      </c>
      <c r="D465" s="81" t="s">
        <v>79</v>
      </c>
      <c r="E465" s="82">
        <v>7118</v>
      </c>
      <c r="F465" s="82">
        <v>749</v>
      </c>
      <c r="G465" s="82">
        <v>214</v>
      </c>
      <c r="H465" s="83">
        <v>11.861907107687427</v>
      </c>
      <c r="I465" s="83">
        <v>2444.0829188323669</v>
      </c>
      <c r="J465" s="83">
        <v>21.466292382134284</v>
      </c>
    </row>
    <row r="466" spans="1:10" ht="16">
      <c r="A466" s="79" t="s">
        <v>1109</v>
      </c>
      <c r="B466" s="79" t="s">
        <v>1100</v>
      </c>
      <c r="C466" s="80" t="s">
        <v>95</v>
      </c>
      <c r="D466" s="81" t="s">
        <v>79</v>
      </c>
      <c r="E466" s="82">
        <v>18590</v>
      </c>
      <c r="F466" s="82">
        <v>819</v>
      </c>
      <c r="G466" s="82">
        <v>2231</v>
      </c>
      <c r="H466" s="83">
        <v>11.590440738232342</v>
      </c>
      <c r="I466" s="83">
        <v>1146.3485530704907</v>
      </c>
      <c r="J466" s="83">
        <v>14.239576130598545</v>
      </c>
    </row>
    <row r="467" spans="1:10" ht="16">
      <c r="A467" s="79" t="s">
        <v>377</v>
      </c>
      <c r="B467" s="79" t="s">
        <v>363</v>
      </c>
      <c r="C467" s="80" t="s">
        <v>95</v>
      </c>
      <c r="D467" s="81" t="s">
        <v>75</v>
      </c>
      <c r="E467" s="82">
        <v>59181</v>
      </c>
      <c r="F467" s="82">
        <v>3794</v>
      </c>
      <c r="G467" s="82">
        <v>592</v>
      </c>
      <c r="H467" s="83">
        <v>8.0707827161346586</v>
      </c>
      <c r="I467" s="83">
        <v>1714.4297700996719</v>
      </c>
      <c r="J467" s="83">
        <v>16.000449879167327</v>
      </c>
    </row>
    <row r="468" spans="1:10" ht="16">
      <c r="A468" s="79" t="s">
        <v>949</v>
      </c>
      <c r="B468" s="79" t="s">
        <v>938</v>
      </c>
      <c r="C468" s="80" t="s">
        <v>126</v>
      </c>
      <c r="D468" s="81" t="s">
        <v>111</v>
      </c>
      <c r="E468" s="82">
        <v>19965</v>
      </c>
      <c r="F468" s="82">
        <v>1174</v>
      </c>
      <c r="G468" s="82">
        <v>599</v>
      </c>
      <c r="H468" s="83">
        <v>10.134471156632717</v>
      </c>
      <c r="I468" s="83">
        <v>413.29794142966472</v>
      </c>
      <c r="J468" s="83">
        <v>15.651345518487858</v>
      </c>
    </row>
    <row r="469" spans="1:10" ht="16">
      <c r="A469" s="79" t="s">
        <v>1355</v>
      </c>
      <c r="B469" s="79" t="s">
        <v>1307</v>
      </c>
      <c r="C469" s="80" t="s">
        <v>95</v>
      </c>
      <c r="D469" s="81" t="s">
        <v>75</v>
      </c>
      <c r="E469" s="82">
        <v>26121</v>
      </c>
      <c r="F469" s="82">
        <v>1375</v>
      </c>
      <c r="G469" s="82">
        <v>784</v>
      </c>
      <c r="H469" s="83">
        <v>16.393258122900587</v>
      </c>
      <c r="I469" s="83">
        <v>6911.8859915956928</v>
      </c>
      <c r="J469" s="83">
        <v>22.285649644566849</v>
      </c>
    </row>
    <row r="470" spans="1:10" ht="16">
      <c r="A470" s="79" t="s">
        <v>1356</v>
      </c>
      <c r="B470" s="79" t="s">
        <v>1307</v>
      </c>
      <c r="C470" s="80" t="s">
        <v>126</v>
      </c>
      <c r="D470" s="81" t="s">
        <v>75</v>
      </c>
      <c r="E470" s="82">
        <v>8084</v>
      </c>
      <c r="F470" s="82">
        <v>364</v>
      </c>
      <c r="G470" s="82">
        <v>1132</v>
      </c>
      <c r="H470" s="83">
        <v>25.242275412873934</v>
      </c>
      <c r="I470" s="83">
        <v>14584.018766005534</v>
      </c>
      <c r="J470" s="83">
        <v>24.562787914830828</v>
      </c>
    </row>
    <row r="471" spans="1:10" ht="16">
      <c r="A471" s="79" t="s">
        <v>832</v>
      </c>
      <c r="B471" s="79" t="s">
        <v>833</v>
      </c>
      <c r="C471" s="80" t="s">
        <v>95</v>
      </c>
      <c r="D471" s="81" t="s">
        <v>77</v>
      </c>
      <c r="E471" s="82">
        <v>81914</v>
      </c>
      <c r="F471" s="82">
        <v>2453</v>
      </c>
      <c r="G471" s="82">
        <v>4096</v>
      </c>
      <c r="H471" s="83">
        <v>10.803880594997063</v>
      </c>
      <c r="I471" s="83">
        <v>1665.4107547884537</v>
      </c>
      <c r="J471" s="83">
        <v>29.109873406506228</v>
      </c>
    </row>
    <row r="472" spans="1:10" ht="16">
      <c r="A472" s="79" t="s">
        <v>122</v>
      </c>
      <c r="B472" s="79" t="s">
        <v>108</v>
      </c>
      <c r="C472" s="80" t="s">
        <v>95</v>
      </c>
      <c r="D472" s="81" t="s">
        <v>99</v>
      </c>
      <c r="E472" s="82">
        <v>52989</v>
      </c>
      <c r="F472" s="82">
        <v>1563</v>
      </c>
      <c r="G472" s="82">
        <v>20666</v>
      </c>
      <c r="H472" s="83">
        <v>57.5338124435577</v>
      </c>
      <c r="I472" s="83">
        <v>47439.954564370011</v>
      </c>
      <c r="J472" s="83">
        <v>47.483399684302199</v>
      </c>
    </row>
    <row r="473" spans="1:10" ht="16">
      <c r="A473" s="79" t="s">
        <v>1357</v>
      </c>
      <c r="B473" s="79" t="s">
        <v>1307</v>
      </c>
      <c r="C473" s="80" t="s">
        <v>126</v>
      </c>
      <c r="D473" s="81" t="s">
        <v>77</v>
      </c>
      <c r="E473" s="82">
        <v>14357</v>
      </c>
      <c r="F473" s="82">
        <v>740</v>
      </c>
      <c r="G473" s="82">
        <v>431</v>
      </c>
      <c r="H473" s="83">
        <v>19.878566564313399</v>
      </c>
      <c r="I473" s="83">
        <v>13063.464030164114</v>
      </c>
      <c r="J473" s="83">
        <v>19.511504073357109</v>
      </c>
    </row>
    <row r="474" spans="1:10" ht="16">
      <c r="A474" s="79" t="s">
        <v>824</v>
      </c>
      <c r="B474" s="79" t="s">
        <v>817</v>
      </c>
      <c r="C474" s="80" t="s">
        <v>126</v>
      </c>
      <c r="D474" s="81" t="s">
        <v>149</v>
      </c>
      <c r="E474" s="82">
        <v>14343</v>
      </c>
      <c r="F474" s="82">
        <v>885</v>
      </c>
      <c r="G474" s="82">
        <v>1578</v>
      </c>
      <c r="H474" s="83">
        <v>18.379073190291667</v>
      </c>
      <c r="I474" s="83">
        <v>7623.9261778307991</v>
      </c>
      <c r="J474" s="83">
        <v>21.491758914513571</v>
      </c>
    </row>
    <row r="475" spans="1:10" ht="16">
      <c r="A475" s="79" t="s">
        <v>401</v>
      </c>
      <c r="B475" s="79" t="s">
        <v>396</v>
      </c>
      <c r="C475" s="80" t="s">
        <v>95</v>
      </c>
      <c r="D475" s="81" t="s">
        <v>76</v>
      </c>
      <c r="E475" s="82">
        <v>39405</v>
      </c>
      <c r="F475" s="82">
        <v>2021</v>
      </c>
      <c r="G475" s="82">
        <v>5911</v>
      </c>
      <c r="H475" s="83">
        <v>27.143474117846093</v>
      </c>
      <c r="I475" s="83">
        <v>18224.343591298086</v>
      </c>
      <c r="J475" s="83">
        <v>37.227130410445149</v>
      </c>
    </row>
    <row r="476" spans="1:10" ht="16">
      <c r="A476" s="79" t="s">
        <v>950</v>
      </c>
      <c r="B476" s="79" t="s">
        <v>938</v>
      </c>
      <c r="C476" s="80" t="s">
        <v>126</v>
      </c>
      <c r="D476" s="81" t="s">
        <v>79</v>
      </c>
      <c r="E476" s="82">
        <v>15248</v>
      </c>
      <c r="F476" s="82">
        <v>1303</v>
      </c>
      <c r="G476" s="82">
        <v>1372</v>
      </c>
      <c r="H476" s="83">
        <v>12.591778301744966</v>
      </c>
      <c r="I476" s="83">
        <v>353.15988203798247</v>
      </c>
      <c r="J476" s="83">
        <v>24.665104480196984</v>
      </c>
    </row>
    <row r="477" spans="1:10" ht="16">
      <c r="A477" s="79" t="s">
        <v>951</v>
      </c>
      <c r="B477" s="79" t="s">
        <v>938</v>
      </c>
      <c r="C477" s="80" t="s">
        <v>126</v>
      </c>
      <c r="D477" s="81" t="s">
        <v>77</v>
      </c>
      <c r="E477" s="82">
        <v>5716</v>
      </c>
      <c r="F477" s="82">
        <v>510</v>
      </c>
      <c r="G477" s="82">
        <v>857</v>
      </c>
      <c r="H477" s="83">
        <v>45.97720018639459</v>
      </c>
      <c r="I477" s="83">
        <v>21558.210446904021</v>
      </c>
      <c r="J477" s="83">
        <v>53.512085622681923</v>
      </c>
    </row>
    <row r="478" spans="1:10" ht="16">
      <c r="A478" s="79" t="s">
        <v>952</v>
      </c>
      <c r="B478" s="79" t="s">
        <v>938</v>
      </c>
      <c r="C478" s="80" t="s">
        <v>126</v>
      </c>
      <c r="D478" s="81" t="s">
        <v>79</v>
      </c>
      <c r="E478" s="82">
        <v>11422</v>
      </c>
      <c r="F478" s="82">
        <v>777</v>
      </c>
      <c r="G478" s="82">
        <v>1142</v>
      </c>
      <c r="H478" s="83">
        <v>11.313128064198905</v>
      </c>
      <c r="I478" s="83">
        <v>623.8643093441849</v>
      </c>
      <c r="J478" s="83">
        <v>19.539430883855509</v>
      </c>
    </row>
    <row r="479" spans="1:10" ht="16">
      <c r="A479" s="79" t="s">
        <v>800</v>
      </c>
      <c r="B479" s="79" t="s">
        <v>801</v>
      </c>
      <c r="C479" s="80" t="s">
        <v>126</v>
      </c>
      <c r="D479" s="81" t="s">
        <v>77</v>
      </c>
      <c r="E479" s="82">
        <v>11080</v>
      </c>
      <c r="F479" s="82">
        <v>833</v>
      </c>
      <c r="G479" s="82">
        <v>997</v>
      </c>
      <c r="H479" s="83">
        <v>10.45033193187126</v>
      </c>
      <c r="I479" s="83">
        <v>1095.5179593211083</v>
      </c>
      <c r="J479" s="83">
        <v>16.730301977593722</v>
      </c>
    </row>
    <row r="480" spans="1:10" ht="16">
      <c r="A480" s="79" t="s">
        <v>123</v>
      </c>
      <c r="B480" s="79" t="s">
        <v>108</v>
      </c>
      <c r="C480" s="80" t="s">
        <v>95</v>
      </c>
      <c r="D480" s="81" t="s">
        <v>101</v>
      </c>
      <c r="E480" s="82">
        <v>14905</v>
      </c>
      <c r="F480" s="82">
        <v>538</v>
      </c>
      <c r="G480" s="82">
        <v>5515</v>
      </c>
      <c r="H480" s="83">
        <v>24.902359783868647</v>
      </c>
      <c r="I480" s="83">
        <v>15430.984385728407</v>
      </c>
      <c r="J480" s="83">
        <v>19.093488156935912</v>
      </c>
    </row>
    <row r="481" spans="1:10" ht="16">
      <c r="A481" s="79" t="s">
        <v>705</v>
      </c>
      <c r="B481" s="79" t="s">
        <v>661</v>
      </c>
      <c r="C481" s="80" t="s">
        <v>126</v>
      </c>
      <c r="D481" s="81" t="s">
        <v>149</v>
      </c>
      <c r="E481" s="82">
        <v>3365</v>
      </c>
      <c r="F481" s="82">
        <v>192</v>
      </c>
      <c r="G481" s="82">
        <v>135</v>
      </c>
      <c r="H481" s="83">
        <v>9.7463693246254888</v>
      </c>
      <c r="I481" s="83">
        <v>4019.7435102742857</v>
      </c>
      <c r="J481" s="83">
        <v>15.975943335309569</v>
      </c>
    </row>
    <row r="482" spans="1:10" ht="16">
      <c r="A482" s="79" t="s">
        <v>706</v>
      </c>
      <c r="B482" s="79" t="s">
        <v>661</v>
      </c>
      <c r="C482" s="80" t="s">
        <v>126</v>
      </c>
      <c r="D482" s="81" t="s">
        <v>77</v>
      </c>
      <c r="E482" s="82">
        <v>2300</v>
      </c>
      <c r="F482" s="82">
        <v>215</v>
      </c>
      <c r="G482" s="82">
        <v>276</v>
      </c>
      <c r="H482" s="83">
        <v>14.688719268208846</v>
      </c>
      <c r="I482" s="83">
        <v>1720.3949580581173</v>
      </c>
      <c r="J482" s="83">
        <v>25.636389289862983</v>
      </c>
    </row>
    <row r="483" spans="1:10" ht="16">
      <c r="A483" s="79" t="s">
        <v>707</v>
      </c>
      <c r="B483" s="79" t="s">
        <v>661</v>
      </c>
      <c r="C483" s="80" t="s">
        <v>126</v>
      </c>
      <c r="D483" s="81" t="s">
        <v>103</v>
      </c>
      <c r="E483" s="82">
        <v>9163</v>
      </c>
      <c r="F483" s="82">
        <v>1309</v>
      </c>
      <c r="G483" s="82">
        <v>367</v>
      </c>
      <c r="H483" s="83">
        <v>14.837214192744559</v>
      </c>
      <c r="I483" s="83">
        <v>3366.1614409901572</v>
      </c>
      <c r="J483" s="83">
        <v>26.368181737565159</v>
      </c>
    </row>
    <row r="484" spans="1:10" ht="16">
      <c r="A484" s="79" t="s">
        <v>708</v>
      </c>
      <c r="B484" s="79" t="s">
        <v>661</v>
      </c>
      <c r="C484" s="80" t="s">
        <v>95</v>
      </c>
      <c r="D484" s="81" t="s">
        <v>78</v>
      </c>
      <c r="E484" s="82">
        <v>4444</v>
      </c>
      <c r="F484" s="82">
        <v>585</v>
      </c>
      <c r="G484" s="82">
        <v>89</v>
      </c>
      <c r="H484" s="83">
        <v>14.714424418309232</v>
      </c>
      <c r="I484" s="83">
        <v>3883.085193772572</v>
      </c>
      <c r="J484" s="83">
        <v>23.277638973364102</v>
      </c>
    </row>
    <row r="485" spans="1:10" ht="16">
      <c r="A485" s="79" t="s">
        <v>709</v>
      </c>
      <c r="B485" s="79" t="s">
        <v>661</v>
      </c>
      <c r="C485" s="80" t="s">
        <v>126</v>
      </c>
      <c r="D485" s="81" t="s">
        <v>149</v>
      </c>
      <c r="E485" s="82">
        <v>5661</v>
      </c>
      <c r="F485" s="82">
        <v>349</v>
      </c>
      <c r="G485" s="82">
        <v>226</v>
      </c>
      <c r="H485" s="83">
        <v>19.954916495582776</v>
      </c>
      <c r="I485" s="83">
        <v>2490.7652837212449</v>
      </c>
      <c r="J485" s="83">
        <v>19.699051015432183</v>
      </c>
    </row>
    <row r="486" spans="1:10" ht="16">
      <c r="A486" s="79" t="s">
        <v>710</v>
      </c>
      <c r="B486" s="79" t="s">
        <v>661</v>
      </c>
      <c r="C486" s="80" t="s">
        <v>126</v>
      </c>
      <c r="D486" s="81" t="s">
        <v>75</v>
      </c>
      <c r="E486" s="82">
        <v>15676</v>
      </c>
      <c r="F486" s="82">
        <v>1704</v>
      </c>
      <c r="G486" s="82">
        <v>1724</v>
      </c>
      <c r="H486" s="83">
        <v>48.453195146885022</v>
      </c>
      <c r="I486" s="83">
        <v>20768.981417126121</v>
      </c>
      <c r="J486" s="83">
        <v>48.651773759852738</v>
      </c>
    </row>
    <row r="487" spans="1:10" ht="16">
      <c r="A487" s="79" t="s">
        <v>271</v>
      </c>
      <c r="B487" s="79" t="s">
        <v>242</v>
      </c>
      <c r="C487" s="80" t="s">
        <v>95</v>
      </c>
      <c r="D487" s="81" t="s">
        <v>111</v>
      </c>
      <c r="E487" s="82">
        <v>25963</v>
      </c>
      <c r="F487" s="82">
        <v>1633</v>
      </c>
      <c r="G487" s="82">
        <v>779</v>
      </c>
      <c r="H487" s="83">
        <v>17.384459807593853</v>
      </c>
      <c r="I487" s="83">
        <v>7439.3921234969839</v>
      </c>
      <c r="J487" s="83">
        <v>23.436017995957364</v>
      </c>
    </row>
    <row r="488" spans="1:10" ht="16">
      <c r="A488" s="79" t="s">
        <v>272</v>
      </c>
      <c r="B488" s="79" t="s">
        <v>242</v>
      </c>
      <c r="C488" s="80" t="s">
        <v>126</v>
      </c>
      <c r="D488" s="81" t="s">
        <v>78</v>
      </c>
      <c r="E488" s="82">
        <v>15420</v>
      </c>
      <c r="F488" s="82">
        <v>1713</v>
      </c>
      <c r="G488" s="82">
        <v>771</v>
      </c>
      <c r="H488" s="83">
        <v>25.933528452702671</v>
      </c>
      <c r="I488" s="83">
        <v>9348.9897968033874</v>
      </c>
      <c r="J488" s="83">
        <v>38.916716293600999</v>
      </c>
    </row>
    <row r="489" spans="1:10" ht="16">
      <c r="A489" s="79" t="s">
        <v>273</v>
      </c>
      <c r="B489" s="79" t="s">
        <v>242</v>
      </c>
      <c r="C489" s="80" t="s">
        <v>95</v>
      </c>
      <c r="D489" s="81" t="s">
        <v>149</v>
      </c>
      <c r="E489" s="82">
        <v>27490</v>
      </c>
      <c r="F489" s="82">
        <v>2083</v>
      </c>
      <c r="G489" s="82">
        <v>825</v>
      </c>
      <c r="H489" s="83">
        <v>13.098635353581125</v>
      </c>
      <c r="I489" s="83">
        <v>6610.0901453236947</v>
      </c>
      <c r="J489" s="83">
        <v>20.24074463276974</v>
      </c>
    </row>
    <row r="490" spans="1:10" ht="16">
      <c r="A490" s="79" t="s">
        <v>274</v>
      </c>
      <c r="B490" s="79" t="s">
        <v>242</v>
      </c>
      <c r="C490" s="80" t="s">
        <v>95</v>
      </c>
      <c r="D490" s="81" t="s">
        <v>77</v>
      </c>
      <c r="E490" s="82">
        <v>33175</v>
      </c>
      <c r="F490" s="82">
        <v>2387</v>
      </c>
      <c r="G490" s="82">
        <v>664</v>
      </c>
      <c r="H490" s="83">
        <v>12.272348493504717</v>
      </c>
      <c r="I490" s="83">
        <v>6454.7390162068004</v>
      </c>
      <c r="J490" s="83">
        <v>17.980242184683409</v>
      </c>
    </row>
    <row r="491" spans="1:10" ht="16">
      <c r="A491" s="79" t="s">
        <v>275</v>
      </c>
      <c r="B491" s="79" t="s">
        <v>242</v>
      </c>
      <c r="C491" s="80" t="s">
        <v>126</v>
      </c>
      <c r="D491" s="81" t="s">
        <v>96</v>
      </c>
      <c r="E491" s="82">
        <v>34569</v>
      </c>
      <c r="F491" s="82">
        <v>2230</v>
      </c>
      <c r="G491" s="82">
        <v>3457</v>
      </c>
      <c r="H491" s="83">
        <v>48.89293145151192</v>
      </c>
      <c r="I491" s="83">
        <v>34482.401150908045</v>
      </c>
      <c r="J491" s="83">
        <v>50.98803939458076</v>
      </c>
    </row>
    <row r="492" spans="1:10" ht="16">
      <c r="A492" s="79" t="s">
        <v>276</v>
      </c>
      <c r="B492" s="79" t="s">
        <v>242</v>
      </c>
      <c r="C492" s="80" t="s">
        <v>126</v>
      </c>
      <c r="D492" s="81" t="s">
        <v>96</v>
      </c>
      <c r="E492" s="82">
        <v>29542</v>
      </c>
      <c r="F492" s="82">
        <v>1780</v>
      </c>
      <c r="G492" s="82">
        <v>886</v>
      </c>
      <c r="H492" s="83">
        <v>21.114995374172647</v>
      </c>
      <c r="I492" s="83">
        <v>4195.4210946230005</v>
      </c>
      <c r="J492" s="83">
        <v>21.279133146581877</v>
      </c>
    </row>
    <row r="493" spans="1:10" ht="16">
      <c r="A493" s="79" t="s">
        <v>277</v>
      </c>
      <c r="B493" s="79" t="s">
        <v>242</v>
      </c>
      <c r="C493" s="80" t="s">
        <v>126</v>
      </c>
      <c r="D493" s="81" t="s">
        <v>99</v>
      </c>
      <c r="E493" s="82">
        <v>21857</v>
      </c>
      <c r="F493" s="82">
        <v>1410</v>
      </c>
      <c r="G493" s="82">
        <v>656</v>
      </c>
      <c r="H493" s="83">
        <v>15.504371578233055</v>
      </c>
      <c r="I493" s="83">
        <v>10478.356829766943</v>
      </c>
      <c r="J493" s="83">
        <v>17.505624534665273</v>
      </c>
    </row>
    <row r="494" spans="1:10" ht="16">
      <c r="A494" s="79" t="s">
        <v>278</v>
      </c>
      <c r="B494" s="79" t="s">
        <v>242</v>
      </c>
      <c r="C494" s="80" t="s">
        <v>95</v>
      </c>
      <c r="D494" s="81" t="s">
        <v>111</v>
      </c>
      <c r="E494" s="82">
        <v>28061</v>
      </c>
      <c r="F494" s="82">
        <v>2110</v>
      </c>
      <c r="G494" s="82">
        <v>1964</v>
      </c>
      <c r="H494" s="83">
        <v>22.642368890745146</v>
      </c>
      <c r="I494" s="83">
        <v>16526.282786906533</v>
      </c>
      <c r="J494" s="83">
        <v>35.826714810170323</v>
      </c>
    </row>
    <row r="495" spans="1:10" ht="16">
      <c r="A495" s="79" t="s">
        <v>985</v>
      </c>
      <c r="B495" s="79" t="s">
        <v>986</v>
      </c>
      <c r="C495" s="80" t="s">
        <v>126</v>
      </c>
      <c r="D495" s="81" t="s">
        <v>79</v>
      </c>
      <c r="E495" s="82">
        <v>25088</v>
      </c>
      <c r="F495" s="82">
        <v>1578</v>
      </c>
      <c r="G495" s="82">
        <v>6774</v>
      </c>
      <c r="H495" s="83">
        <v>71.04105449412782</v>
      </c>
      <c r="I495" s="83">
        <v>59780.581429543447</v>
      </c>
      <c r="J495" s="83">
        <v>58.443728296739586</v>
      </c>
    </row>
    <row r="496" spans="1:10" ht="16">
      <c r="A496" s="79" t="s">
        <v>711</v>
      </c>
      <c r="B496" s="79" t="s">
        <v>661</v>
      </c>
      <c r="C496" s="80" t="s">
        <v>126</v>
      </c>
      <c r="D496" s="81" t="s">
        <v>111</v>
      </c>
      <c r="E496" s="82">
        <v>1240</v>
      </c>
      <c r="F496" s="82">
        <v>376</v>
      </c>
      <c r="G496" s="82">
        <v>12</v>
      </c>
      <c r="H496" s="83">
        <v>11.249086642948559</v>
      </c>
      <c r="I496" s="83">
        <v>2348.3667497811912</v>
      </c>
      <c r="J496" s="83">
        <v>24.847078064185258</v>
      </c>
    </row>
    <row r="497" spans="1:10" ht="16">
      <c r="A497" s="79" t="s">
        <v>1147</v>
      </c>
      <c r="B497" s="79" t="s">
        <v>1139</v>
      </c>
      <c r="C497" s="80" t="s">
        <v>95</v>
      </c>
      <c r="D497" s="81" t="s">
        <v>79</v>
      </c>
      <c r="E497" s="82">
        <v>22863</v>
      </c>
      <c r="F497" s="82">
        <v>1466</v>
      </c>
      <c r="G497" s="82">
        <v>229</v>
      </c>
      <c r="H497" s="83">
        <v>8.572662110683348</v>
      </c>
      <c r="I497" s="83">
        <v>987.24115247336943</v>
      </c>
      <c r="J497" s="83">
        <v>17.297433127177328</v>
      </c>
    </row>
    <row r="498" spans="1:10" ht="16">
      <c r="A498" s="79" t="s">
        <v>470</v>
      </c>
      <c r="B498" s="79" t="s">
        <v>467</v>
      </c>
      <c r="C498" s="80" t="s">
        <v>95</v>
      </c>
      <c r="D498" s="81" t="s">
        <v>149</v>
      </c>
      <c r="E498" s="82">
        <v>57697</v>
      </c>
      <c r="F498" s="82">
        <v>2032</v>
      </c>
      <c r="G498" s="82">
        <v>5770</v>
      </c>
      <c r="H498" s="83">
        <v>15.545497417639153</v>
      </c>
      <c r="I498" s="83">
        <v>10958.023131587814</v>
      </c>
      <c r="J498" s="83">
        <v>22.214206632725581</v>
      </c>
    </row>
    <row r="499" spans="1:10" ht="16">
      <c r="A499" s="79" t="s">
        <v>825</v>
      </c>
      <c r="B499" s="79" t="s">
        <v>817</v>
      </c>
      <c r="C499" s="80" t="s">
        <v>95</v>
      </c>
      <c r="D499" s="81" t="s">
        <v>103</v>
      </c>
      <c r="E499" s="82">
        <v>161718</v>
      </c>
      <c r="F499" s="82">
        <v>9457</v>
      </c>
      <c r="G499" s="82">
        <v>12937</v>
      </c>
      <c r="H499" s="83">
        <v>30.945483158170106</v>
      </c>
      <c r="I499" s="83">
        <v>5753.4866345793826</v>
      </c>
      <c r="J499" s="83">
        <v>32.754807464202777</v>
      </c>
    </row>
    <row r="500" spans="1:10" ht="16">
      <c r="A500" s="79" t="s">
        <v>1110</v>
      </c>
      <c r="B500" s="79" t="s">
        <v>1100</v>
      </c>
      <c r="C500" s="80" t="s">
        <v>126</v>
      </c>
      <c r="D500" s="81" t="s">
        <v>79</v>
      </c>
      <c r="E500" s="82">
        <v>10838</v>
      </c>
      <c r="F500" s="82">
        <v>1153</v>
      </c>
      <c r="G500" s="82">
        <v>1084</v>
      </c>
      <c r="H500" s="83">
        <v>22.978592702672422</v>
      </c>
      <c r="I500" s="83">
        <v>5014.7848362962304</v>
      </c>
      <c r="J500" s="83">
        <v>25.955551514056296</v>
      </c>
    </row>
    <row r="501" spans="1:10" ht="16">
      <c r="A501" s="79" t="s">
        <v>1111</v>
      </c>
      <c r="B501" s="79" t="s">
        <v>1100</v>
      </c>
      <c r="C501" s="80" t="s">
        <v>95</v>
      </c>
      <c r="D501" s="81" t="s">
        <v>75</v>
      </c>
      <c r="E501" s="82">
        <v>8180</v>
      </c>
      <c r="F501" s="82">
        <v>375</v>
      </c>
      <c r="G501" s="82">
        <v>654</v>
      </c>
      <c r="H501" s="83">
        <v>18.671386793001979</v>
      </c>
      <c r="I501" s="83">
        <v>2253.08166455946</v>
      </c>
      <c r="J501" s="83">
        <v>21.135361459538242</v>
      </c>
    </row>
    <row r="502" spans="1:10" ht="16">
      <c r="A502" s="79" t="s">
        <v>1112</v>
      </c>
      <c r="B502" s="79" t="s">
        <v>1100</v>
      </c>
      <c r="C502" s="80" t="s">
        <v>126</v>
      </c>
      <c r="D502" s="81" t="s">
        <v>103</v>
      </c>
      <c r="E502" s="82">
        <v>20663</v>
      </c>
      <c r="F502" s="82">
        <v>1508</v>
      </c>
      <c r="G502" s="82">
        <v>2686</v>
      </c>
      <c r="H502" s="83">
        <v>41.996232373117401</v>
      </c>
      <c r="I502" s="83">
        <v>9423.1214699193115</v>
      </c>
      <c r="J502" s="83">
        <v>33.691091013737761</v>
      </c>
    </row>
    <row r="503" spans="1:10" ht="16">
      <c r="A503" s="79" t="s">
        <v>1113</v>
      </c>
      <c r="B503" s="79" t="s">
        <v>1100</v>
      </c>
      <c r="C503" s="80" t="s">
        <v>95</v>
      </c>
      <c r="D503" s="81" t="s">
        <v>111</v>
      </c>
      <c r="E503" s="82">
        <v>13558</v>
      </c>
      <c r="F503" s="82">
        <v>869</v>
      </c>
      <c r="G503" s="82">
        <v>2169</v>
      </c>
      <c r="H503" s="83">
        <v>29.508090265808384</v>
      </c>
      <c r="I503" s="83">
        <v>3877.6597246721353</v>
      </c>
      <c r="J503" s="83">
        <v>23.45412642388014</v>
      </c>
    </row>
    <row r="504" spans="1:10" ht="16">
      <c r="A504" s="79" t="s">
        <v>1114</v>
      </c>
      <c r="B504" s="79" t="s">
        <v>1100</v>
      </c>
      <c r="C504" s="80" t="s">
        <v>126</v>
      </c>
      <c r="D504" s="81" t="s">
        <v>79</v>
      </c>
      <c r="E504" s="82">
        <v>12017</v>
      </c>
      <c r="F504" s="82">
        <v>720</v>
      </c>
      <c r="G504" s="82">
        <v>1442</v>
      </c>
      <c r="H504" s="83">
        <v>43.500866161904064</v>
      </c>
      <c r="I504" s="83">
        <v>11107.797168207471</v>
      </c>
      <c r="J504" s="83">
        <v>36.36411473419939</v>
      </c>
    </row>
    <row r="505" spans="1:10" ht="16">
      <c r="A505" s="79" t="s">
        <v>1115</v>
      </c>
      <c r="B505" s="79" t="s">
        <v>1100</v>
      </c>
      <c r="C505" s="80" t="s">
        <v>126</v>
      </c>
      <c r="D505" s="81" t="s">
        <v>101</v>
      </c>
      <c r="E505" s="82">
        <v>12219</v>
      </c>
      <c r="F505" s="82">
        <v>465</v>
      </c>
      <c r="G505" s="82">
        <v>367</v>
      </c>
      <c r="H505" s="83">
        <v>12.759654631846722</v>
      </c>
      <c r="I505" s="83">
        <v>994.63347331642569</v>
      </c>
      <c r="J505" s="83">
        <v>15.404351084482791</v>
      </c>
    </row>
    <row r="506" spans="1:10" ht="16">
      <c r="A506" s="79" t="s">
        <v>1116</v>
      </c>
      <c r="B506" s="79" t="s">
        <v>1100</v>
      </c>
      <c r="C506" s="80" t="s">
        <v>126</v>
      </c>
      <c r="D506" s="81" t="s">
        <v>99</v>
      </c>
      <c r="E506" s="82">
        <v>7158</v>
      </c>
      <c r="F506" s="82">
        <v>287</v>
      </c>
      <c r="G506" s="82">
        <v>286</v>
      </c>
      <c r="H506" s="83">
        <v>19.491992712805658</v>
      </c>
      <c r="I506" s="83">
        <v>857.2769324955882</v>
      </c>
      <c r="J506" s="83">
        <v>14.62204903285715</v>
      </c>
    </row>
    <row r="507" spans="1:10" ht="16">
      <c r="A507" s="79" t="s">
        <v>1117</v>
      </c>
      <c r="B507" s="79" t="s">
        <v>1100</v>
      </c>
      <c r="C507" s="80" t="s">
        <v>126</v>
      </c>
      <c r="D507" s="81" t="s">
        <v>111</v>
      </c>
      <c r="E507" s="82">
        <v>10161</v>
      </c>
      <c r="F507" s="82">
        <v>682</v>
      </c>
      <c r="G507" s="82">
        <v>508</v>
      </c>
      <c r="H507" s="83">
        <v>19.111474749527606</v>
      </c>
      <c r="I507" s="83">
        <v>2508.1941598117055</v>
      </c>
      <c r="J507" s="83">
        <v>19.944212494732156</v>
      </c>
    </row>
    <row r="508" spans="1:10" ht="16">
      <c r="A508" s="79" t="s">
        <v>1118</v>
      </c>
      <c r="B508" s="79" t="s">
        <v>1100</v>
      </c>
      <c r="C508" s="80" t="s">
        <v>126</v>
      </c>
      <c r="D508" s="81" t="s">
        <v>78</v>
      </c>
      <c r="E508" s="82">
        <v>15077</v>
      </c>
      <c r="F508" s="82">
        <v>1012</v>
      </c>
      <c r="G508" s="82">
        <v>754</v>
      </c>
      <c r="H508" s="83">
        <v>17.024637094148389</v>
      </c>
      <c r="I508" s="83">
        <v>3143.741278983347</v>
      </c>
      <c r="J508" s="83">
        <v>21.716006841073181</v>
      </c>
    </row>
    <row r="509" spans="1:10" ht="16">
      <c r="A509" s="79" t="s">
        <v>1119</v>
      </c>
      <c r="B509" s="79" t="s">
        <v>1100</v>
      </c>
      <c r="C509" s="80" t="s">
        <v>95</v>
      </c>
      <c r="D509" s="81" t="s">
        <v>99</v>
      </c>
      <c r="E509" s="82">
        <v>10269</v>
      </c>
      <c r="F509" s="82">
        <v>567</v>
      </c>
      <c r="G509" s="82">
        <v>924</v>
      </c>
      <c r="H509" s="83">
        <v>25.315579702040402</v>
      </c>
      <c r="I509" s="83">
        <v>7126.2460794008903</v>
      </c>
      <c r="J509" s="83">
        <v>16.349394664572706</v>
      </c>
    </row>
    <row r="510" spans="1:10" ht="16">
      <c r="A510" s="79" t="s">
        <v>402</v>
      </c>
      <c r="B510" s="79" t="s">
        <v>396</v>
      </c>
      <c r="C510" s="80" t="s">
        <v>126</v>
      </c>
      <c r="D510" s="81" t="s">
        <v>103</v>
      </c>
      <c r="E510" s="82">
        <v>6173</v>
      </c>
      <c r="F510" s="82">
        <v>315</v>
      </c>
      <c r="G510" s="82">
        <v>1728</v>
      </c>
      <c r="H510" s="83">
        <v>25.807350091146134</v>
      </c>
      <c r="I510" s="83">
        <v>8626.9551689233613</v>
      </c>
      <c r="J510" s="83">
        <v>30.633150555678803</v>
      </c>
    </row>
    <row r="511" spans="1:10" ht="16">
      <c r="A511" s="79" t="s">
        <v>530</v>
      </c>
      <c r="B511" s="79" t="s">
        <v>493</v>
      </c>
      <c r="C511" s="80" t="s">
        <v>126</v>
      </c>
      <c r="D511" s="81" t="s">
        <v>79</v>
      </c>
      <c r="E511" s="82">
        <v>5851</v>
      </c>
      <c r="F511" s="82">
        <v>311</v>
      </c>
      <c r="G511" s="82">
        <v>234</v>
      </c>
      <c r="H511" s="83">
        <v>15.183679386383634</v>
      </c>
      <c r="I511" s="83">
        <v>6785.0279416907651</v>
      </c>
      <c r="J511" s="83">
        <v>27.074480249830742</v>
      </c>
    </row>
    <row r="512" spans="1:10" ht="16">
      <c r="A512" s="79" t="s">
        <v>531</v>
      </c>
      <c r="B512" s="79" t="s">
        <v>493</v>
      </c>
      <c r="C512" s="80" t="s">
        <v>126</v>
      </c>
      <c r="D512" s="81" t="s">
        <v>99</v>
      </c>
      <c r="E512" s="82">
        <v>6081</v>
      </c>
      <c r="F512" s="82">
        <v>318</v>
      </c>
      <c r="G512" s="82">
        <v>486</v>
      </c>
      <c r="H512" s="83">
        <v>18.141061020505205</v>
      </c>
      <c r="I512" s="83">
        <v>5735.6593024155009</v>
      </c>
      <c r="J512" s="83">
        <v>25.454326599149041</v>
      </c>
    </row>
    <row r="513" spans="1:10" ht="16">
      <c r="A513" s="79" t="s">
        <v>826</v>
      </c>
      <c r="B513" s="79" t="s">
        <v>817</v>
      </c>
      <c r="C513" s="80" t="s">
        <v>126</v>
      </c>
      <c r="D513" s="81" t="s">
        <v>79</v>
      </c>
      <c r="E513" s="82">
        <v>177983</v>
      </c>
      <c r="F513" s="82">
        <v>16480</v>
      </c>
      <c r="G513" s="82">
        <v>12385</v>
      </c>
      <c r="H513" s="83">
        <v>9.3839904645126069</v>
      </c>
      <c r="I513" s="83">
        <v>971.34139325869876</v>
      </c>
      <c r="J513" s="83">
        <v>17.663498178357369</v>
      </c>
    </row>
    <row r="514" spans="1:10" ht="16">
      <c r="A514" s="79" t="s">
        <v>953</v>
      </c>
      <c r="B514" s="79" t="s">
        <v>938</v>
      </c>
      <c r="C514" s="80" t="s">
        <v>126</v>
      </c>
      <c r="D514" s="81" t="s">
        <v>111</v>
      </c>
      <c r="E514" s="82">
        <v>6489</v>
      </c>
      <c r="F514" s="82">
        <v>601</v>
      </c>
      <c r="G514" s="82">
        <v>1557</v>
      </c>
      <c r="H514" s="83">
        <v>36.505946214406698</v>
      </c>
      <c r="I514" s="83">
        <v>12155.703819553493</v>
      </c>
      <c r="J514" s="83">
        <v>38.316989663580685</v>
      </c>
    </row>
    <row r="515" spans="1:10" ht="16">
      <c r="A515" s="79" t="s">
        <v>954</v>
      </c>
      <c r="B515" s="79" t="s">
        <v>938</v>
      </c>
      <c r="C515" s="80" t="s">
        <v>95</v>
      </c>
      <c r="D515" s="81" t="s">
        <v>96</v>
      </c>
      <c r="E515" s="82">
        <v>9847</v>
      </c>
      <c r="F515" s="82">
        <v>1015</v>
      </c>
      <c r="G515" s="82">
        <v>689</v>
      </c>
      <c r="H515" s="83">
        <v>12.039716500689897</v>
      </c>
      <c r="I515" s="83">
        <v>3011.0017740842736</v>
      </c>
      <c r="J515" s="83">
        <v>20.82332566691559</v>
      </c>
    </row>
    <row r="516" spans="1:10" ht="16">
      <c r="A516" s="79" t="s">
        <v>1120</v>
      </c>
      <c r="B516" s="79" t="s">
        <v>1100</v>
      </c>
      <c r="C516" s="80" t="s">
        <v>126</v>
      </c>
      <c r="D516" s="81" t="s">
        <v>77</v>
      </c>
      <c r="E516" s="82">
        <v>9190</v>
      </c>
      <c r="F516" s="82">
        <v>696</v>
      </c>
      <c r="G516" s="82">
        <v>551</v>
      </c>
      <c r="H516" s="83">
        <v>28.855925267555687</v>
      </c>
      <c r="I516" s="83">
        <v>6139.8513486590773</v>
      </c>
      <c r="J516" s="83">
        <v>25.065933751260491</v>
      </c>
    </row>
    <row r="517" spans="1:10" ht="16">
      <c r="A517" s="79" t="s">
        <v>1121</v>
      </c>
      <c r="B517" s="79" t="s">
        <v>1100</v>
      </c>
      <c r="C517" s="80" t="s">
        <v>95</v>
      </c>
      <c r="D517" s="81" t="s">
        <v>103</v>
      </c>
      <c r="E517" s="82">
        <v>8645</v>
      </c>
      <c r="F517" s="82">
        <v>509</v>
      </c>
      <c r="G517" s="82">
        <v>346</v>
      </c>
      <c r="H517" s="83">
        <v>15.68015246606765</v>
      </c>
      <c r="I517" s="83">
        <v>3770.9361137153119</v>
      </c>
      <c r="J517" s="83">
        <v>20.290979783398587</v>
      </c>
    </row>
    <row r="518" spans="1:10" ht="16">
      <c r="A518" s="79" t="s">
        <v>1122</v>
      </c>
      <c r="B518" s="79" t="s">
        <v>1100</v>
      </c>
      <c r="C518" s="80" t="s">
        <v>126</v>
      </c>
      <c r="D518" s="81" t="s">
        <v>101</v>
      </c>
      <c r="E518" s="82">
        <v>9994</v>
      </c>
      <c r="F518" s="82">
        <v>629</v>
      </c>
      <c r="G518" s="82">
        <v>800</v>
      </c>
      <c r="H518" s="83">
        <v>20.542689014290868</v>
      </c>
      <c r="I518" s="83">
        <v>4545.9652956240952</v>
      </c>
      <c r="J518" s="83">
        <v>22.326089119477796</v>
      </c>
    </row>
    <row r="519" spans="1:10" ht="16">
      <c r="A519" s="79" t="s">
        <v>1123</v>
      </c>
      <c r="B519" s="79" t="s">
        <v>1100</v>
      </c>
      <c r="C519" s="80" t="s">
        <v>126</v>
      </c>
      <c r="D519" s="81" t="s">
        <v>149</v>
      </c>
      <c r="E519" s="82">
        <v>10789</v>
      </c>
      <c r="F519" s="82">
        <v>892</v>
      </c>
      <c r="G519" s="82">
        <v>2589</v>
      </c>
      <c r="H519" s="83">
        <v>37.649113587210998</v>
      </c>
      <c r="I519" s="83">
        <v>8513.2319731834141</v>
      </c>
      <c r="J519" s="83">
        <v>32.132013048713361</v>
      </c>
    </row>
    <row r="520" spans="1:10" ht="16">
      <c r="A520" s="79" t="s">
        <v>1124</v>
      </c>
      <c r="B520" s="79" t="s">
        <v>1100</v>
      </c>
      <c r="C520" s="80" t="s">
        <v>126</v>
      </c>
      <c r="D520" s="81" t="s">
        <v>103</v>
      </c>
      <c r="E520" s="82">
        <v>8652</v>
      </c>
      <c r="F520" s="82">
        <v>401</v>
      </c>
      <c r="G520" s="82">
        <v>779</v>
      </c>
      <c r="H520" s="83">
        <v>21.715808411827911</v>
      </c>
      <c r="I520" s="83">
        <v>3684.2568987282339</v>
      </c>
      <c r="J520" s="83">
        <v>18.685519149736741</v>
      </c>
    </row>
    <row r="521" spans="1:10" ht="16">
      <c r="A521" s="79" t="s">
        <v>1125</v>
      </c>
      <c r="B521" s="79" t="s">
        <v>1100</v>
      </c>
      <c r="C521" s="80" t="s">
        <v>126</v>
      </c>
      <c r="D521" s="81" t="s">
        <v>77</v>
      </c>
      <c r="E521" s="82">
        <v>27254</v>
      </c>
      <c r="F521" s="82">
        <v>2455</v>
      </c>
      <c r="G521" s="82">
        <v>2998</v>
      </c>
      <c r="H521" s="83">
        <v>62.942807436845392</v>
      </c>
      <c r="I521" s="83">
        <v>40179.164625232384</v>
      </c>
      <c r="J521" s="83">
        <v>57.630339389928615</v>
      </c>
    </row>
    <row r="522" spans="1:10" ht="16">
      <c r="A522" s="79" t="s">
        <v>1126</v>
      </c>
      <c r="B522" s="79" t="s">
        <v>1100</v>
      </c>
      <c r="C522" s="80" t="s">
        <v>126</v>
      </c>
      <c r="D522" s="81" t="s">
        <v>76</v>
      </c>
      <c r="E522" s="82">
        <v>8340</v>
      </c>
      <c r="F522" s="82">
        <v>428</v>
      </c>
      <c r="G522" s="82">
        <v>1251</v>
      </c>
      <c r="H522" s="83">
        <v>42.259486453035933</v>
      </c>
      <c r="I522" s="83">
        <v>16516.288154919326</v>
      </c>
      <c r="J522" s="83">
        <v>30.081211044656836</v>
      </c>
    </row>
    <row r="523" spans="1:10" ht="16">
      <c r="A523" s="79" t="s">
        <v>1199</v>
      </c>
      <c r="B523" s="79" t="s">
        <v>1197</v>
      </c>
      <c r="C523" s="80" t="s">
        <v>126</v>
      </c>
      <c r="D523" s="81" t="s">
        <v>75</v>
      </c>
      <c r="E523" s="82">
        <v>13411</v>
      </c>
      <c r="F523" s="82">
        <v>1597</v>
      </c>
      <c r="G523" s="82">
        <v>1207</v>
      </c>
      <c r="H523" s="83">
        <v>7.8413175251330927</v>
      </c>
      <c r="I523" s="83">
        <v>422.30728705578764</v>
      </c>
      <c r="J523" s="83">
        <v>19.717945643125876</v>
      </c>
    </row>
    <row r="524" spans="1:10" ht="16">
      <c r="A524" s="79" t="s">
        <v>471</v>
      </c>
      <c r="B524" s="79" t="s">
        <v>467</v>
      </c>
      <c r="C524" s="80" t="s">
        <v>126</v>
      </c>
      <c r="D524" s="81" t="s">
        <v>96</v>
      </c>
      <c r="E524" s="82">
        <v>14133</v>
      </c>
      <c r="F524" s="82">
        <v>686</v>
      </c>
      <c r="G524" s="82">
        <v>1131</v>
      </c>
      <c r="H524" s="83">
        <v>13.405414139212532</v>
      </c>
      <c r="I524" s="83">
        <v>5783.5907345540681</v>
      </c>
      <c r="J524" s="83">
        <v>23.568491807534659</v>
      </c>
    </row>
    <row r="525" spans="1:10" ht="16">
      <c r="A525" s="79" t="s">
        <v>1127</v>
      </c>
      <c r="B525" s="79" t="s">
        <v>1100</v>
      </c>
      <c r="C525" s="80" t="s">
        <v>126</v>
      </c>
      <c r="D525" s="81" t="s">
        <v>103</v>
      </c>
      <c r="E525" s="82">
        <v>14853</v>
      </c>
      <c r="F525" s="82">
        <v>825</v>
      </c>
      <c r="G525" s="82">
        <v>1485</v>
      </c>
      <c r="H525" s="83">
        <v>46.210814139792276</v>
      </c>
      <c r="I525" s="83">
        <v>23184.080026923195</v>
      </c>
      <c r="J525" s="83">
        <v>36.27057075603922</v>
      </c>
    </row>
    <row r="526" spans="1:10" ht="16">
      <c r="A526" s="79" t="s">
        <v>325</v>
      </c>
      <c r="B526" s="79" t="s">
        <v>323</v>
      </c>
      <c r="C526" s="80" t="s">
        <v>126</v>
      </c>
      <c r="D526" s="81" t="s">
        <v>75</v>
      </c>
      <c r="E526" s="82">
        <v>52085</v>
      </c>
      <c r="F526" s="82">
        <v>2325</v>
      </c>
      <c r="G526" s="82">
        <v>521</v>
      </c>
      <c r="H526" s="83">
        <v>14.885607499341406</v>
      </c>
      <c r="I526" s="83">
        <v>3788.6066443071759</v>
      </c>
      <c r="J526" s="83">
        <v>19.209869605819591</v>
      </c>
    </row>
    <row r="527" spans="1:10" ht="16">
      <c r="A527" s="79" t="s">
        <v>104</v>
      </c>
      <c r="B527" s="79" t="s">
        <v>105</v>
      </c>
      <c r="C527" s="80" t="s">
        <v>95</v>
      </c>
      <c r="D527" s="81" t="s">
        <v>96</v>
      </c>
      <c r="E527" s="82">
        <v>46096</v>
      </c>
      <c r="F527" s="82">
        <v>4802</v>
      </c>
      <c r="G527" s="82">
        <v>922</v>
      </c>
      <c r="H527" s="83">
        <v>7.7459638656246925</v>
      </c>
      <c r="I527" s="83">
        <v>1830.7079247563615</v>
      </c>
      <c r="J527" s="83">
        <v>18.484438957202293</v>
      </c>
    </row>
    <row r="528" spans="1:10" ht="16">
      <c r="A528" s="79" t="s">
        <v>602</v>
      </c>
      <c r="B528" s="79" t="s">
        <v>600</v>
      </c>
      <c r="C528" s="80" t="s">
        <v>95</v>
      </c>
      <c r="D528" s="81" t="s">
        <v>149</v>
      </c>
      <c r="E528" s="82">
        <v>13911</v>
      </c>
      <c r="F528" s="82">
        <v>523</v>
      </c>
      <c r="G528" s="82">
        <v>2365</v>
      </c>
      <c r="H528" s="83">
        <v>30.834499374851681</v>
      </c>
      <c r="I528" s="83">
        <v>22878.27917008489</v>
      </c>
      <c r="J528" s="83">
        <v>27.28002117742966</v>
      </c>
    </row>
    <row r="529" spans="1:10" ht="16">
      <c r="A529" s="79" t="s">
        <v>1128</v>
      </c>
      <c r="B529" s="79" t="s">
        <v>1100</v>
      </c>
      <c r="C529" s="80" t="s">
        <v>126</v>
      </c>
      <c r="D529" s="81" t="s">
        <v>75</v>
      </c>
      <c r="E529" s="82">
        <v>5550</v>
      </c>
      <c r="F529" s="82">
        <v>238</v>
      </c>
      <c r="G529" s="82">
        <v>222</v>
      </c>
      <c r="H529" s="83">
        <v>16.775845943201226</v>
      </c>
      <c r="I529" s="83">
        <v>985.12199951404807</v>
      </c>
      <c r="J529" s="83">
        <v>14.11087003410144</v>
      </c>
    </row>
    <row r="530" spans="1:10" ht="16">
      <c r="A530" s="79" t="s">
        <v>955</v>
      </c>
      <c r="B530" s="79" t="s">
        <v>938</v>
      </c>
      <c r="C530" s="80" t="s">
        <v>126</v>
      </c>
      <c r="D530" s="81" t="s">
        <v>77</v>
      </c>
      <c r="E530" s="82">
        <v>7090</v>
      </c>
      <c r="F530" s="82">
        <v>627</v>
      </c>
      <c r="G530" s="82">
        <v>1843</v>
      </c>
      <c r="H530" s="83">
        <v>24.333812457581796</v>
      </c>
      <c r="I530" s="83">
        <v>6899.0406161436758</v>
      </c>
      <c r="J530" s="83">
        <v>24.513413977979596</v>
      </c>
    </row>
    <row r="531" spans="1:10" ht="16">
      <c r="A531" s="79" t="s">
        <v>882</v>
      </c>
      <c r="B531" s="79" t="s">
        <v>877</v>
      </c>
      <c r="C531" s="80" t="s">
        <v>126</v>
      </c>
      <c r="D531" s="81" t="s">
        <v>77</v>
      </c>
      <c r="E531" s="82">
        <v>10645</v>
      </c>
      <c r="F531" s="82">
        <v>1314</v>
      </c>
      <c r="G531" s="82">
        <v>319</v>
      </c>
      <c r="H531" s="83">
        <v>12.251694753151577</v>
      </c>
      <c r="I531" s="83">
        <v>4120.0350675359132</v>
      </c>
      <c r="J531" s="83">
        <v>21.200271039085987</v>
      </c>
    </row>
    <row r="532" spans="1:10" ht="16">
      <c r="A532" s="79" t="s">
        <v>987</v>
      </c>
      <c r="B532" s="79" t="s">
        <v>986</v>
      </c>
      <c r="C532" s="80" t="s">
        <v>95</v>
      </c>
      <c r="D532" s="81" t="s">
        <v>96</v>
      </c>
      <c r="E532" s="82">
        <v>30869</v>
      </c>
      <c r="F532" s="82">
        <v>1725</v>
      </c>
      <c r="G532" s="82">
        <v>8643</v>
      </c>
      <c r="H532" s="83">
        <v>91.124892924033219</v>
      </c>
      <c r="I532" s="83">
        <v>69580.088872710563</v>
      </c>
      <c r="J532" s="83">
        <v>77.188148512724936</v>
      </c>
    </row>
    <row r="533" spans="1:10" ht="16">
      <c r="A533" s="79" t="s">
        <v>106</v>
      </c>
      <c r="B533" s="79" t="s">
        <v>105</v>
      </c>
      <c r="C533" s="80" t="s">
        <v>95</v>
      </c>
      <c r="D533" s="81" t="s">
        <v>75</v>
      </c>
      <c r="E533" s="82">
        <v>20987</v>
      </c>
      <c r="F533" s="82">
        <v>1312</v>
      </c>
      <c r="G533" s="82">
        <v>2099</v>
      </c>
      <c r="H533" s="83">
        <v>8.1413110825202715</v>
      </c>
      <c r="I533" s="83">
        <v>574.73117130570847</v>
      </c>
      <c r="J533" s="83">
        <v>17.068534179248736</v>
      </c>
    </row>
    <row r="534" spans="1:10" ht="16">
      <c r="A534" s="79" t="s">
        <v>1129</v>
      </c>
      <c r="B534" s="79" t="s">
        <v>1100</v>
      </c>
      <c r="C534" s="80" t="s">
        <v>126</v>
      </c>
      <c r="D534" s="81" t="s">
        <v>96</v>
      </c>
      <c r="E534" s="82">
        <v>4258</v>
      </c>
      <c r="F534" s="82">
        <v>835</v>
      </c>
      <c r="G534" s="82">
        <v>85</v>
      </c>
      <c r="H534" s="83">
        <v>19.069121694761193</v>
      </c>
      <c r="I534" s="83">
        <v>11328.729536612018</v>
      </c>
      <c r="J534" s="83">
        <v>39.300718269434512</v>
      </c>
    </row>
    <row r="535" spans="1:10" ht="16">
      <c r="A535" s="79" t="s">
        <v>1130</v>
      </c>
      <c r="B535" s="79" t="s">
        <v>1100</v>
      </c>
      <c r="C535" s="80" t="s">
        <v>126</v>
      </c>
      <c r="D535" s="81" t="s">
        <v>149</v>
      </c>
      <c r="E535" s="82">
        <v>9215</v>
      </c>
      <c r="F535" s="82">
        <v>370</v>
      </c>
      <c r="G535" s="82">
        <v>369</v>
      </c>
      <c r="H535" s="83">
        <v>26.93698733361828</v>
      </c>
      <c r="I535" s="83">
        <v>1928.7584025323451</v>
      </c>
      <c r="J535" s="83">
        <v>17.726548602427034</v>
      </c>
    </row>
    <row r="536" spans="1:10" ht="16">
      <c r="A536" s="79" t="s">
        <v>1358</v>
      </c>
      <c r="B536" s="79" t="s">
        <v>1307</v>
      </c>
      <c r="C536" s="80" t="s">
        <v>126</v>
      </c>
      <c r="D536" s="81" t="s">
        <v>111</v>
      </c>
      <c r="E536" s="82">
        <v>9279</v>
      </c>
      <c r="F536" s="82">
        <v>615</v>
      </c>
      <c r="G536" s="82">
        <v>1577</v>
      </c>
      <c r="H536" s="83">
        <v>19.878548219898658</v>
      </c>
      <c r="I536" s="83">
        <v>11190.351833149483</v>
      </c>
      <c r="J536" s="83">
        <v>21.737094967464234</v>
      </c>
    </row>
    <row r="537" spans="1:10" ht="16">
      <c r="A537" s="79" t="s">
        <v>1359</v>
      </c>
      <c r="B537" s="79" t="s">
        <v>1307</v>
      </c>
      <c r="C537" s="80" t="s">
        <v>126</v>
      </c>
      <c r="D537" s="81" t="s">
        <v>78</v>
      </c>
      <c r="E537" s="82">
        <v>1809</v>
      </c>
      <c r="F537" s="82">
        <v>160</v>
      </c>
      <c r="G537" s="82">
        <v>145</v>
      </c>
      <c r="H537" s="83">
        <v>15.328250009444421</v>
      </c>
      <c r="I537" s="83">
        <v>10371.793069283251</v>
      </c>
      <c r="J537" s="83">
        <v>23.007654409244466</v>
      </c>
    </row>
    <row r="538" spans="1:10" ht="16">
      <c r="A538" s="79" t="s">
        <v>1360</v>
      </c>
      <c r="B538" s="79" t="s">
        <v>1307</v>
      </c>
      <c r="C538" s="80" t="s">
        <v>95</v>
      </c>
      <c r="D538" s="81" t="s">
        <v>96</v>
      </c>
      <c r="E538" s="82">
        <v>12753</v>
      </c>
      <c r="F538" s="82">
        <v>773</v>
      </c>
      <c r="G538" s="82">
        <v>1020</v>
      </c>
      <c r="H538" s="83">
        <v>14.842284530333332</v>
      </c>
      <c r="I538" s="83">
        <v>7967.2978100079245</v>
      </c>
      <c r="J538" s="83">
        <v>21.625178580536495</v>
      </c>
    </row>
    <row r="539" spans="1:10" ht="16">
      <c r="A539" s="79" t="s">
        <v>1361</v>
      </c>
      <c r="B539" s="79" t="s">
        <v>1307</v>
      </c>
      <c r="C539" s="80" t="s">
        <v>95</v>
      </c>
      <c r="D539" s="81" t="s">
        <v>149</v>
      </c>
      <c r="E539" s="82">
        <v>44466</v>
      </c>
      <c r="F539" s="82">
        <v>4996</v>
      </c>
      <c r="G539" s="82">
        <v>14674</v>
      </c>
      <c r="H539" s="83">
        <v>77.534217921903576</v>
      </c>
      <c r="I539" s="83">
        <v>74848.015923746672</v>
      </c>
      <c r="J539" s="83">
        <v>76.936791764393092</v>
      </c>
    </row>
    <row r="540" spans="1:10" ht="16">
      <c r="A540" s="79" t="s">
        <v>1241</v>
      </c>
      <c r="B540" s="79" t="s">
        <v>1209</v>
      </c>
      <c r="C540" s="80" t="s">
        <v>95</v>
      </c>
      <c r="D540" s="81" t="s">
        <v>111</v>
      </c>
      <c r="E540" s="82">
        <v>22691</v>
      </c>
      <c r="F540" s="82">
        <v>1609</v>
      </c>
      <c r="G540" s="82">
        <v>6127</v>
      </c>
      <c r="H540" s="83">
        <v>36.896134661212429</v>
      </c>
      <c r="I540" s="83">
        <v>31016.289494217322</v>
      </c>
      <c r="J540" s="83">
        <v>31.79382745491181</v>
      </c>
    </row>
    <row r="541" spans="1:10" ht="16">
      <c r="A541" s="79" t="s">
        <v>903</v>
      </c>
      <c r="B541" s="79" t="s">
        <v>898</v>
      </c>
      <c r="C541" s="80" t="s">
        <v>95</v>
      </c>
      <c r="D541" s="81" t="s">
        <v>149</v>
      </c>
      <c r="E541" s="82">
        <v>22438</v>
      </c>
      <c r="F541" s="82">
        <v>2021</v>
      </c>
      <c r="G541" s="82">
        <v>449</v>
      </c>
      <c r="H541" s="83">
        <v>11.254795492901881</v>
      </c>
      <c r="I541" s="83">
        <v>2354.4569536773934</v>
      </c>
      <c r="J541" s="83">
        <v>18.836813524527411</v>
      </c>
    </row>
    <row r="542" spans="1:10" ht="16">
      <c r="A542" s="79" t="s">
        <v>712</v>
      </c>
      <c r="B542" s="79" t="s">
        <v>661</v>
      </c>
      <c r="C542" s="80" t="s">
        <v>126</v>
      </c>
      <c r="D542" s="81" t="s">
        <v>75</v>
      </c>
      <c r="E542" s="82">
        <v>12158</v>
      </c>
      <c r="F542" s="82">
        <v>1539</v>
      </c>
      <c r="G542" s="82">
        <v>243</v>
      </c>
      <c r="H542" s="83">
        <v>13.537031236446518</v>
      </c>
      <c r="I542" s="83">
        <v>5392.3237804669307</v>
      </c>
      <c r="J542" s="83">
        <v>24.579032420518079</v>
      </c>
    </row>
    <row r="543" spans="1:10" ht="16">
      <c r="A543" s="79" t="s">
        <v>713</v>
      </c>
      <c r="B543" s="79" t="s">
        <v>661</v>
      </c>
      <c r="C543" s="80" t="s">
        <v>126</v>
      </c>
      <c r="D543" s="81" t="s">
        <v>149</v>
      </c>
      <c r="E543" s="82">
        <v>850</v>
      </c>
      <c r="F543" s="82">
        <v>944</v>
      </c>
      <c r="G543" s="82">
        <v>59</v>
      </c>
      <c r="H543" s="83">
        <v>9.6402293449077732</v>
      </c>
      <c r="I543" s="83">
        <v>4877.4265802877062</v>
      </c>
      <c r="J543" s="83">
        <v>26.456223763010243</v>
      </c>
    </row>
    <row r="544" spans="1:10" ht="16">
      <c r="A544" s="79" t="s">
        <v>403</v>
      </c>
      <c r="B544" s="79" t="s">
        <v>396</v>
      </c>
      <c r="C544" s="80" t="s">
        <v>95</v>
      </c>
      <c r="D544" s="81" t="s">
        <v>111</v>
      </c>
      <c r="E544" s="82">
        <v>68013</v>
      </c>
      <c r="F544" s="82">
        <v>3350</v>
      </c>
      <c r="G544" s="82">
        <v>7481</v>
      </c>
      <c r="H544" s="83">
        <v>13.843558986183112</v>
      </c>
      <c r="I544" s="83">
        <v>5012.6765634086933</v>
      </c>
      <c r="J544" s="83">
        <v>17.408398432784438</v>
      </c>
    </row>
    <row r="545" spans="1:10" ht="16">
      <c r="A545" s="79" t="s">
        <v>1362</v>
      </c>
      <c r="B545" s="79" t="s">
        <v>1307</v>
      </c>
      <c r="C545" s="80" t="s">
        <v>126</v>
      </c>
      <c r="D545" s="81" t="s">
        <v>149</v>
      </c>
      <c r="E545" s="82">
        <v>30231</v>
      </c>
      <c r="F545" s="82">
        <v>2418</v>
      </c>
      <c r="G545" s="82">
        <v>4535</v>
      </c>
      <c r="H545" s="83">
        <v>35.660653270819076</v>
      </c>
      <c r="I545" s="83">
        <v>22886.295837635815</v>
      </c>
      <c r="J545" s="83">
        <v>36.776354279320046</v>
      </c>
    </row>
    <row r="546" spans="1:10" ht="16">
      <c r="A546" s="79" t="s">
        <v>279</v>
      </c>
      <c r="B546" s="79" t="s">
        <v>242</v>
      </c>
      <c r="C546" s="80" t="s">
        <v>126</v>
      </c>
      <c r="D546" s="81" t="s">
        <v>103</v>
      </c>
      <c r="E546" s="82">
        <v>30733</v>
      </c>
      <c r="F546" s="82">
        <v>1851</v>
      </c>
      <c r="G546" s="82">
        <v>615</v>
      </c>
      <c r="H546" s="83">
        <v>12.122098375068742</v>
      </c>
      <c r="I546" s="83">
        <v>3406.1322070059095</v>
      </c>
      <c r="J546" s="83">
        <v>17.460717159672964</v>
      </c>
    </row>
    <row r="547" spans="1:10" ht="16">
      <c r="A547" s="79" t="s">
        <v>995</v>
      </c>
      <c r="B547" s="79" t="s">
        <v>996</v>
      </c>
      <c r="C547" s="80" t="s">
        <v>95</v>
      </c>
      <c r="D547" s="81" t="s">
        <v>75</v>
      </c>
      <c r="E547" s="82">
        <v>36749</v>
      </c>
      <c r="F547" s="82">
        <v>1229</v>
      </c>
      <c r="G547" s="82">
        <v>1470</v>
      </c>
      <c r="H547" s="83">
        <v>17.265269941592138</v>
      </c>
      <c r="I547" s="83">
        <v>12019.447074477986</v>
      </c>
      <c r="J547" s="83">
        <v>20.169181203642228</v>
      </c>
    </row>
    <row r="548" spans="1:10" ht="16">
      <c r="A548" s="79" t="s">
        <v>280</v>
      </c>
      <c r="B548" s="79" t="s">
        <v>242</v>
      </c>
      <c r="C548" s="80" t="s">
        <v>95</v>
      </c>
      <c r="D548" s="81" t="s">
        <v>99</v>
      </c>
      <c r="E548" s="82">
        <v>25425</v>
      </c>
      <c r="F548" s="82">
        <v>1730</v>
      </c>
      <c r="G548" s="82">
        <v>509</v>
      </c>
      <c r="H548" s="83">
        <v>11.231297031894114</v>
      </c>
      <c r="I548" s="83">
        <v>5018.8164973471139</v>
      </c>
      <c r="J548" s="83">
        <v>24.468130209259542</v>
      </c>
    </row>
    <row r="549" spans="1:10" ht="16">
      <c r="A549" s="79" t="s">
        <v>281</v>
      </c>
      <c r="B549" s="79" t="s">
        <v>242</v>
      </c>
      <c r="C549" s="80" t="s">
        <v>95</v>
      </c>
      <c r="D549" s="81" t="s">
        <v>101</v>
      </c>
      <c r="E549" s="82">
        <v>36015</v>
      </c>
      <c r="F549" s="82">
        <v>2484</v>
      </c>
      <c r="G549" s="82">
        <v>1441</v>
      </c>
      <c r="H549" s="83">
        <v>22.254095365644368</v>
      </c>
      <c r="I549" s="83">
        <v>4275.3180225439901</v>
      </c>
      <c r="J549" s="83">
        <v>25.321750990079067</v>
      </c>
    </row>
    <row r="550" spans="1:10" ht="16">
      <c r="A550" s="79" t="s">
        <v>281</v>
      </c>
      <c r="B550" s="79" t="s">
        <v>1307</v>
      </c>
      <c r="C550" s="80" t="s">
        <v>126</v>
      </c>
      <c r="D550" s="81" t="s">
        <v>99</v>
      </c>
      <c r="E550" s="82">
        <v>19575</v>
      </c>
      <c r="F550" s="82">
        <v>1408</v>
      </c>
      <c r="G550" s="82">
        <v>6851</v>
      </c>
      <c r="H550" s="83">
        <v>28.727370279179933</v>
      </c>
      <c r="I550" s="83">
        <v>27246.116344156017</v>
      </c>
      <c r="J550" s="83">
        <v>38.354449310971411</v>
      </c>
    </row>
    <row r="551" spans="1:10" ht="16">
      <c r="A551" s="79" t="s">
        <v>1363</v>
      </c>
      <c r="B551" s="79" t="s">
        <v>1307</v>
      </c>
      <c r="C551" s="80" t="s">
        <v>95</v>
      </c>
      <c r="D551" s="81" t="s">
        <v>99</v>
      </c>
      <c r="E551" s="82">
        <v>29684</v>
      </c>
      <c r="F551" s="82">
        <v>1056</v>
      </c>
      <c r="G551" s="82">
        <v>1484</v>
      </c>
      <c r="H551" s="83">
        <v>15.45949103029551</v>
      </c>
      <c r="I551" s="83">
        <v>12118.666192850513</v>
      </c>
      <c r="J551" s="83">
        <v>21.040014434610729</v>
      </c>
    </row>
    <row r="552" spans="1:10" ht="16">
      <c r="A552" s="79" t="s">
        <v>1242</v>
      </c>
      <c r="B552" s="79" t="s">
        <v>1209</v>
      </c>
      <c r="C552" s="80" t="s">
        <v>95</v>
      </c>
      <c r="D552" s="81" t="s">
        <v>96</v>
      </c>
      <c r="E552" s="82">
        <v>21811</v>
      </c>
      <c r="F552" s="82">
        <v>1246</v>
      </c>
      <c r="G552" s="82">
        <v>3708</v>
      </c>
      <c r="H552" s="83">
        <v>18.923213526312239</v>
      </c>
      <c r="I552" s="83">
        <v>15508.678979645127</v>
      </c>
      <c r="J552" s="83">
        <v>19.570068661793488</v>
      </c>
    </row>
    <row r="553" spans="1:10" ht="16">
      <c r="A553" s="79" t="s">
        <v>282</v>
      </c>
      <c r="B553" s="79" t="s">
        <v>242</v>
      </c>
      <c r="C553" s="80" t="s">
        <v>95</v>
      </c>
      <c r="D553" s="81" t="s">
        <v>77</v>
      </c>
      <c r="E553" s="82">
        <v>29327</v>
      </c>
      <c r="F553" s="82">
        <v>1917</v>
      </c>
      <c r="G553" s="82">
        <v>293</v>
      </c>
      <c r="H553" s="83">
        <v>13.641589549886625</v>
      </c>
      <c r="I553" s="83">
        <v>4959.535148296497</v>
      </c>
      <c r="J553" s="83">
        <v>20.895891139800202</v>
      </c>
    </row>
    <row r="554" spans="1:10" ht="16">
      <c r="A554" s="79" t="s">
        <v>283</v>
      </c>
      <c r="B554" s="79" t="s">
        <v>242</v>
      </c>
      <c r="C554" s="80" t="s">
        <v>95</v>
      </c>
      <c r="D554" s="81" t="s">
        <v>96</v>
      </c>
      <c r="E554" s="82">
        <v>24237</v>
      </c>
      <c r="F554" s="82">
        <v>1638</v>
      </c>
      <c r="G554" s="82">
        <v>969</v>
      </c>
      <c r="H554" s="83">
        <v>12.763975289968883</v>
      </c>
      <c r="I554" s="83">
        <v>4788.1381222602495</v>
      </c>
      <c r="J554" s="83">
        <v>20.252885012600075</v>
      </c>
    </row>
    <row r="555" spans="1:10" ht="16">
      <c r="A555" s="79" t="s">
        <v>284</v>
      </c>
      <c r="B555" s="79" t="s">
        <v>242</v>
      </c>
      <c r="C555" s="80" t="s">
        <v>126</v>
      </c>
      <c r="D555" s="81" t="s">
        <v>149</v>
      </c>
      <c r="E555" s="82">
        <v>28432</v>
      </c>
      <c r="F555" s="82">
        <v>2045</v>
      </c>
      <c r="G555" s="82">
        <v>1137</v>
      </c>
      <c r="H555" s="83">
        <v>34.29901367856111</v>
      </c>
      <c r="I555" s="83">
        <v>13521.680542925771</v>
      </c>
      <c r="J555" s="83">
        <v>26.541523673327838</v>
      </c>
    </row>
    <row r="556" spans="1:10" ht="16">
      <c r="A556" s="79" t="s">
        <v>1364</v>
      </c>
      <c r="B556" s="79" t="s">
        <v>1307</v>
      </c>
      <c r="C556" s="80" t="s">
        <v>126</v>
      </c>
      <c r="D556" s="81" t="s">
        <v>103</v>
      </c>
      <c r="E556" s="82">
        <v>17951</v>
      </c>
      <c r="F556" s="82">
        <v>1402</v>
      </c>
      <c r="G556" s="82">
        <v>3590</v>
      </c>
      <c r="H556" s="83">
        <v>84.454298386690382</v>
      </c>
      <c r="I556" s="83">
        <v>82042.923995765887</v>
      </c>
      <c r="J556" s="83">
        <v>75.133008625491399</v>
      </c>
    </row>
    <row r="557" spans="1:10" ht="16">
      <c r="A557" s="79" t="s">
        <v>868</v>
      </c>
      <c r="B557" s="79" t="s">
        <v>869</v>
      </c>
      <c r="C557" s="80" t="s">
        <v>95</v>
      </c>
      <c r="D557" s="81" t="s">
        <v>75</v>
      </c>
      <c r="E557" s="82">
        <v>5790</v>
      </c>
      <c r="F557" s="82">
        <v>839</v>
      </c>
      <c r="G557" s="82">
        <v>1216</v>
      </c>
      <c r="H557" s="83">
        <v>10.970384549528989</v>
      </c>
      <c r="I557" s="83">
        <v>6992.3479149459226</v>
      </c>
      <c r="J557" s="83">
        <v>26.952878799488143</v>
      </c>
    </row>
    <row r="558" spans="1:10" ht="16">
      <c r="A558" s="79" t="s">
        <v>870</v>
      </c>
      <c r="B558" s="79" t="s">
        <v>869</v>
      </c>
      <c r="C558" s="80" t="s">
        <v>126</v>
      </c>
      <c r="D558" s="81" t="s">
        <v>103</v>
      </c>
      <c r="E558" s="82">
        <v>35181</v>
      </c>
      <c r="F558" s="82">
        <v>2227</v>
      </c>
      <c r="G558" s="82">
        <v>2814</v>
      </c>
      <c r="H558" s="83">
        <v>28.4746686014178</v>
      </c>
      <c r="I558" s="83">
        <v>18236.474090935881</v>
      </c>
      <c r="J558" s="83">
        <v>27.171649975427457</v>
      </c>
    </row>
    <row r="559" spans="1:10" ht="16">
      <c r="A559" s="79" t="s">
        <v>1243</v>
      </c>
      <c r="B559" s="79" t="s">
        <v>1209</v>
      </c>
      <c r="C559" s="80" t="s">
        <v>95</v>
      </c>
      <c r="D559" s="81" t="s">
        <v>78</v>
      </c>
      <c r="E559" s="82">
        <v>24140</v>
      </c>
      <c r="F559" s="82">
        <v>1609</v>
      </c>
      <c r="G559" s="82">
        <v>4587</v>
      </c>
      <c r="H559" s="83">
        <v>13.147133701607713</v>
      </c>
      <c r="I559" s="83">
        <v>7684.525734185775</v>
      </c>
      <c r="J559" s="83">
        <v>18.35064036237803</v>
      </c>
    </row>
    <row r="560" spans="1:10" ht="16">
      <c r="A560" s="79" t="s">
        <v>1365</v>
      </c>
      <c r="B560" s="79" t="s">
        <v>1307</v>
      </c>
      <c r="C560" s="80" t="s">
        <v>95</v>
      </c>
      <c r="D560" s="81" t="s">
        <v>79</v>
      </c>
      <c r="E560" s="82">
        <v>17785</v>
      </c>
      <c r="F560" s="82">
        <v>760</v>
      </c>
      <c r="G560" s="82">
        <v>1067</v>
      </c>
      <c r="H560" s="83">
        <v>10.510040033760413</v>
      </c>
      <c r="I560" s="83">
        <v>10275.001316400832</v>
      </c>
      <c r="J560" s="83">
        <v>33.850441169781959</v>
      </c>
    </row>
    <row r="561" spans="1:10" ht="16">
      <c r="A561" s="79" t="s">
        <v>914</v>
      </c>
      <c r="B561" s="79" t="s">
        <v>912</v>
      </c>
      <c r="C561" s="80" t="s">
        <v>126</v>
      </c>
      <c r="D561" s="81" t="s">
        <v>101</v>
      </c>
      <c r="E561" s="82">
        <v>19694</v>
      </c>
      <c r="F561" s="82">
        <v>1088</v>
      </c>
      <c r="G561" s="82">
        <v>3348</v>
      </c>
      <c r="H561" s="83">
        <v>26.525444585720944</v>
      </c>
      <c r="I561" s="83">
        <v>12003.024048308549</v>
      </c>
      <c r="J561" s="83">
        <v>25.038372359021263</v>
      </c>
    </row>
    <row r="562" spans="1:10" ht="16">
      <c r="A562" s="79" t="s">
        <v>956</v>
      </c>
      <c r="B562" s="79" t="s">
        <v>938</v>
      </c>
      <c r="C562" s="80" t="s">
        <v>126</v>
      </c>
      <c r="D562" s="81" t="s">
        <v>79</v>
      </c>
      <c r="E562" s="82">
        <v>11640</v>
      </c>
      <c r="F562" s="82">
        <v>1021</v>
      </c>
      <c r="G562" s="82">
        <v>2328</v>
      </c>
      <c r="H562" s="83">
        <v>13.406214508470203</v>
      </c>
      <c r="I562" s="83">
        <v>1886.885858992553</v>
      </c>
      <c r="J562" s="83">
        <v>20.658601815947762</v>
      </c>
    </row>
    <row r="563" spans="1:10" ht="16">
      <c r="A563" s="79" t="s">
        <v>957</v>
      </c>
      <c r="B563" s="79" t="s">
        <v>938</v>
      </c>
      <c r="C563" s="80" t="s">
        <v>126</v>
      </c>
      <c r="D563" s="81" t="s">
        <v>99</v>
      </c>
      <c r="E563" s="82">
        <v>7123</v>
      </c>
      <c r="F563" s="82">
        <v>1149</v>
      </c>
      <c r="G563" s="82">
        <v>1425</v>
      </c>
      <c r="H563" s="83">
        <v>32.613393291246176</v>
      </c>
      <c r="I563" s="83">
        <v>9674.6736510779792</v>
      </c>
      <c r="J563" s="83">
        <v>43.468066401523416</v>
      </c>
    </row>
    <row r="564" spans="1:10" ht="16">
      <c r="A564" s="79" t="s">
        <v>1366</v>
      </c>
      <c r="B564" s="79" t="s">
        <v>1307</v>
      </c>
      <c r="C564" s="80" t="s">
        <v>95</v>
      </c>
      <c r="D564" s="81" t="s">
        <v>111</v>
      </c>
      <c r="E564" s="82">
        <v>15887</v>
      </c>
      <c r="F564" s="82">
        <v>841</v>
      </c>
      <c r="G564" s="82">
        <v>635</v>
      </c>
      <c r="H564" s="83">
        <v>13.179209238748188</v>
      </c>
      <c r="I564" s="83">
        <v>3114.0114919576554</v>
      </c>
      <c r="J564" s="83">
        <v>26.439417129801413</v>
      </c>
    </row>
    <row r="565" spans="1:10" ht="16">
      <c r="A565" s="79" t="s">
        <v>285</v>
      </c>
      <c r="B565" s="79" t="s">
        <v>242</v>
      </c>
      <c r="C565" s="80" t="s">
        <v>95</v>
      </c>
      <c r="D565" s="81" t="s">
        <v>149</v>
      </c>
      <c r="E565" s="82">
        <v>32059</v>
      </c>
      <c r="F565" s="82">
        <v>1832</v>
      </c>
      <c r="G565" s="82">
        <v>1282</v>
      </c>
      <c r="H565" s="83">
        <v>15.938818809881001</v>
      </c>
      <c r="I565" s="83">
        <v>4088.6216502680177</v>
      </c>
      <c r="J565" s="83">
        <v>20.402739886772089</v>
      </c>
    </row>
    <row r="566" spans="1:10" ht="16">
      <c r="A566" s="79" t="s">
        <v>714</v>
      </c>
      <c r="B566" s="79" t="s">
        <v>661</v>
      </c>
      <c r="C566" s="80" t="s">
        <v>126</v>
      </c>
      <c r="D566" s="81" t="s">
        <v>103</v>
      </c>
      <c r="E566" s="82">
        <v>2775</v>
      </c>
      <c r="F566" s="82">
        <v>188</v>
      </c>
      <c r="G566" s="82">
        <v>111</v>
      </c>
      <c r="H566" s="83">
        <v>12.711274735775273</v>
      </c>
      <c r="I566" s="83">
        <v>1658.8937482192789</v>
      </c>
      <c r="J566" s="83">
        <v>23.493383685151727</v>
      </c>
    </row>
    <row r="567" spans="1:10" ht="16">
      <c r="A567" s="79" t="s">
        <v>1367</v>
      </c>
      <c r="B567" s="79" t="s">
        <v>1307</v>
      </c>
      <c r="C567" s="80" t="s">
        <v>126</v>
      </c>
      <c r="D567" s="81" t="s">
        <v>78</v>
      </c>
      <c r="E567" s="82">
        <v>54372</v>
      </c>
      <c r="F567" s="82">
        <v>4350</v>
      </c>
      <c r="G567" s="82">
        <v>7068</v>
      </c>
      <c r="H567" s="83">
        <v>56.34013840631404</v>
      </c>
      <c r="I567" s="83">
        <v>48999.922011324292</v>
      </c>
      <c r="J567" s="83">
        <v>58.120004432209804</v>
      </c>
    </row>
    <row r="568" spans="1:10" ht="16">
      <c r="A568" s="79" t="s">
        <v>1368</v>
      </c>
      <c r="B568" s="79" t="s">
        <v>1307</v>
      </c>
      <c r="C568" s="80" t="s">
        <v>95</v>
      </c>
      <c r="D568" s="81" t="s">
        <v>79</v>
      </c>
      <c r="E568" s="82">
        <v>25013</v>
      </c>
      <c r="F568" s="82">
        <v>1122</v>
      </c>
      <c r="G568" s="82">
        <v>1251</v>
      </c>
      <c r="H568" s="83">
        <v>18.156622878683486</v>
      </c>
      <c r="I568" s="83">
        <v>7585.3681417028911</v>
      </c>
      <c r="J568" s="83">
        <v>28.513724597023224</v>
      </c>
    </row>
    <row r="569" spans="1:10" ht="16">
      <c r="A569" s="79" t="s">
        <v>715</v>
      </c>
      <c r="B569" s="79" t="s">
        <v>661</v>
      </c>
      <c r="C569" s="80" t="s">
        <v>126</v>
      </c>
      <c r="D569" s="81" t="s">
        <v>103</v>
      </c>
      <c r="E569" s="82">
        <v>5693</v>
      </c>
      <c r="F569" s="82">
        <v>619</v>
      </c>
      <c r="G569" s="82">
        <v>57</v>
      </c>
      <c r="H569" s="83">
        <v>10.099966415189689</v>
      </c>
      <c r="I569" s="83">
        <v>1895.8787654191653</v>
      </c>
      <c r="J569" s="83">
        <v>19.983901319793073</v>
      </c>
    </row>
    <row r="570" spans="1:10" ht="16">
      <c r="A570" s="79" t="s">
        <v>716</v>
      </c>
      <c r="B570" s="79" t="s">
        <v>661</v>
      </c>
      <c r="C570" s="80" t="s">
        <v>126</v>
      </c>
      <c r="D570" s="81" t="s">
        <v>101</v>
      </c>
      <c r="E570" s="82">
        <v>13099</v>
      </c>
      <c r="F570" s="82">
        <v>1637</v>
      </c>
      <c r="G570" s="82">
        <v>1048</v>
      </c>
      <c r="H570" s="83">
        <v>17.435303612973748</v>
      </c>
      <c r="I570" s="83">
        <v>4505.3697542599148</v>
      </c>
      <c r="J570" s="83">
        <v>26.446987740962019</v>
      </c>
    </row>
    <row r="571" spans="1:10" ht="16">
      <c r="A571" s="79" t="s">
        <v>1369</v>
      </c>
      <c r="B571" s="79" t="s">
        <v>1307</v>
      </c>
      <c r="C571" s="80" t="s">
        <v>126</v>
      </c>
      <c r="D571" s="81" t="s">
        <v>101</v>
      </c>
      <c r="E571" s="82">
        <v>21494</v>
      </c>
      <c r="F571" s="82">
        <v>1360</v>
      </c>
      <c r="G571" s="82">
        <v>1505</v>
      </c>
      <c r="H571" s="83">
        <v>21.514874262194773</v>
      </c>
      <c r="I571" s="83">
        <v>15322.668699162505</v>
      </c>
      <c r="J571" s="83">
        <v>24.314956929624501</v>
      </c>
    </row>
    <row r="572" spans="1:10" ht="16">
      <c r="A572" s="79" t="s">
        <v>1370</v>
      </c>
      <c r="B572" s="79" t="s">
        <v>1307</v>
      </c>
      <c r="C572" s="80" t="s">
        <v>95</v>
      </c>
      <c r="D572" s="81" t="s">
        <v>111</v>
      </c>
      <c r="E572" s="82">
        <v>18878</v>
      </c>
      <c r="F572" s="82">
        <v>1037</v>
      </c>
      <c r="G572" s="82">
        <v>566</v>
      </c>
      <c r="H572" s="83">
        <v>19.49383439118499</v>
      </c>
      <c r="I572" s="83">
        <v>9982.6522522842497</v>
      </c>
      <c r="J572" s="83">
        <v>23.519582814696268</v>
      </c>
    </row>
    <row r="573" spans="1:10" ht="16">
      <c r="A573" s="79" t="s">
        <v>1186</v>
      </c>
      <c r="B573" s="79" t="s">
        <v>1161</v>
      </c>
      <c r="C573" s="80" t="s">
        <v>95</v>
      </c>
      <c r="D573" s="81" t="s">
        <v>101</v>
      </c>
      <c r="E573" s="82">
        <v>36179</v>
      </c>
      <c r="F573" s="82">
        <v>1096</v>
      </c>
      <c r="G573" s="82">
        <v>2171</v>
      </c>
      <c r="H573" s="83">
        <v>9.2830854000704761</v>
      </c>
      <c r="I573" s="83">
        <v>601.30246909592734</v>
      </c>
      <c r="J573" s="83">
        <v>15.780735096933844</v>
      </c>
    </row>
    <row r="574" spans="1:10" ht="16">
      <c r="A574" s="79" t="s">
        <v>1044</v>
      </c>
      <c r="B574" s="79" t="s">
        <v>1039</v>
      </c>
      <c r="C574" s="80" t="s">
        <v>95</v>
      </c>
      <c r="D574" s="81" t="s">
        <v>99</v>
      </c>
      <c r="E574" s="82">
        <v>22962</v>
      </c>
      <c r="F574" s="82">
        <v>272</v>
      </c>
      <c r="G574" s="82">
        <v>459</v>
      </c>
      <c r="H574" s="83">
        <v>14.99006749679225</v>
      </c>
      <c r="I574" s="83">
        <v>10566.78105339071</v>
      </c>
      <c r="J574" s="83">
        <v>17.148297931985621</v>
      </c>
    </row>
    <row r="575" spans="1:10" ht="16">
      <c r="A575" s="79" t="s">
        <v>1371</v>
      </c>
      <c r="B575" s="79" t="s">
        <v>1307</v>
      </c>
      <c r="C575" s="80" t="s">
        <v>95</v>
      </c>
      <c r="D575" s="81" t="s">
        <v>75</v>
      </c>
      <c r="E575" s="82">
        <v>2895</v>
      </c>
      <c r="F575" s="82">
        <v>2895</v>
      </c>
      <c r="G575" s="82">
        <v>87</v>
      </c>
      <c r="H575" s="83">
        <v>17.263493728692247</v>
      </c>
      <c r="I575" s="83">
        <v>16730.027144451764</v>
      </c>
      <c r="J575" s="83">
        <v>36.33961525224354</v>
      </c>
    </row>
    <row r="576" spans="1:10" ht="16">
      <c r="A576" s="79" t="s">
        <v>1372</v>
      </c>
      <c r="B576" s="79" t="s">
        <v>1307</v>
      </c>
      <c r="C576" s="80" t="s">
        <v>126</v>
      </c>
      <c r="D576" s="81" t="s">
        <v>111</v>
      </c>
      <c r="E576" s="82">
        <v>24798</v>
      </c>
      <c r="F576" s="82">
        <v>1550</v>
      </c>
      <c r="G576" s="82">
        <v>2728</v>
      </c>
      <c r="H576" s="83">
        <v>30.71556617633858</v>
      </c>
      <c r="I576" s="83">
        <v>20274.297519005289</v>
      </c>
      <c r="J576" s="83">
        <v>31.820611233186263</v>
      </c>
    </row>
    <row r="577" spans="1:10" ht="16">
      <c r="A577" s="79" t="s">
        <v>717</v>
      </c>
      <c r="B577" s="79" t="s">
        <v>661</v>
      </c>
      <c r="C577" s="80" t="s">
        <v>126</v>
      </c>
      <c r="D577" s="81" t="s">
        <v>78</v>
      </c>
      <c r="E577" s="82">
        <v>8279</v>
      </c>
      <c r="F577" s="82">
        <v>930</v>
      </c>
      <c r="G577" s="82">
        <v>331</v>
      </c>
      <c r="H577" s="83">
        <v>14.936231604293635</v>
      </c>
      <c r="I577" s="83">
        <v>3836.3206157491254</v>
      </c>
      <c r="J577" s="83">
        <v>25.723840167634645</v>
      </c>
    </row>
    <row r="578" spans="1:10" ht="16">
      <c r="A578" s="79" t="s">
        <v>718</v>
      </c>
      <c r="B578" s="79" t="s">
        <v>661</v>
      </c>
      <c r="C578" s="80" t="s">
        <v>126</v>
      </c>
      <c r="D578" s="81" t="s">
        <v>79</v>
      </c>
      <c r="E578" s="82">
        <v>1248</v>
      </c>
      <c r="F578" s="82">
        <v>462</v>
      </c>
      <c r="G578" s="82">
        <v>12</v>
      </c>
      <c r="H578" s="83">
        <v>11.109113228584944</v>
      </c>
      <c r="I578" s="83">
        <v>1284.4571334309817</v>
      </c>
      <c r="J578" s="83">
        <v>27.820317765138451</v>
      </c>
    </row>
    <row r="579" spans="1:10" ht="16">
      <c r="A579" s="79" t="s">
        <v>719</v>
      </c>
      <c r="B579" s="79" t="s">
        <v>661</v>
      </c>
      <c r="C579" s="80" t="s">
        <v>126</v>
      </c>
      <c r="D579" s="81" t="s">
        <v>79</v>
      </c>
      <c r="E579" s="82">
        <v>7746</v>
      </c>
      <c r="F579" s="82">
        <v>767</v>
      </c>
      <c r="G579" s="82">
        <v>310</v>
      </c>
      <c r="H579" s="83">
        <v>13.541175182139224</v>
      </c>
      <c r="I579" s="83">
        <v>2743.343879578726</v>
      </c>
      <c r="J579" s="83">
        <v>22.726457838260771</v>
      </c>
    </row>
    <row r="580" spans="1:10" ht="16">
      <c r="A580" s="79" t="s">
        <v>720</v>
      </c>
      <c r="B580" s="79" t="s">
        <v>661</v>
      </c>
      <c r="C580" s="80" t="s">
        <v>126</v>
      </c>
      <c r="D580" s="81" t="s">
        <v>101</v>
      </c>
      <c r="E580" s="82">
        <v>22892</v>
      </c>
      <c r="F580" s="82">
        <v>3094</v>
      </c>
      <c r="G580" s="82">
        <v>2518</v>
      </c>
      <c r="H580" s="83">
        <v>49.857886670190204</v>
      </c>
      <c r="I580" s="83">
        <v>16958.235037997991</v>
      </c>
      <c r="J580" s="83">
        <v>51.88388366109308</v>
      </c>
    </row>
    <row r="581" spans="1:10" ht="16">
      <c r="A581" s="79" t="s">
        <v>532</v>
      </c>
      <c r="B581" s="79" t="s">
        <v>493</v>
      </c>
      <c r="C581" s="80" t="s">
        <v>126</v>
      </c>
      <c r="D581" s="81" t="s">
        <v>96</v>
      </c>
      <c r="E581" s="82">
        <v>12454</v>
      </c>
      <c r="F581" s="82">
        <v>700</v>
      </c>
      <c r="G581" s="82">
        <v>249</v>
      </c>
      <c r="H581" s="83">
        <v>10.32254284694066</v>
      </c>
      <c r="I581" s="83">
        <v>3238.1833962240062</v>
      </c>
      <c r="J581" s="83">
        <v>36.949546333657779</v>
      </c>
    </row>
    <row r="582" spans="1:10" ht="16">
      <c r="A582" s="79" t="s">
        <v>1244</v>
      </c>
      <c r="B582" s="79" t="s">
        <v>1209</v>
      </c>
      <c r="C582" s="80" t="s">
        <v>95</v>
      </c>
      <c r="D582" s="81" t="s">
        <v>96</v>
      </c>
      <c r="E582" s="82">
        <v>13915</v>
      </c>
      <c r="F582" s="82">
        <v>859</v>
      </c>
      <c r="G582" s="82">
        <v>3896</v>
      </c>
      <c r="H582" s="83">
        <v>24.329144072979112</v>
      </c>
      <c r="I582" s="83">
        <v>9008.2955851518527</v>
      </c>
      <c r="J582" s="83">
        <v>29.129155612674968</v>
      </c>
    </row>
    <row r="583" spans="1:10" ht="16">
      <c r="A583" s="79" t="s">
        <v>1187</v>
      </c>
      <c r="B583" s="79" t="s">
        <v>1161</v>
      </c>
      <c r="C583" s="80" t="s">
        <v>95</v>
      </c>
      <c r="D583" s="81" t="s">
        <v>99</v>
      </c>
      <c r="E583" s="82">
        <v>47035</v>
      </c>
      <c r="F583" s="82">
        <v>2138</v>
      </c>
      <c r="G583" s="82">
        <v>1881</v>
      </c>
      <c r="H583" s="83">
        <v>13.942443115369889</v>
      </c>
      <c r="I583" s="83">
        <v>9298.3871692156317</v>
      </c>
      <c r="J583" s="83">
        <v>28.628587986202188</v>
      </c>
    </row>
    <row r="584" spans="1:10" ht="16">
      <c r="A584" s="79" t="s">
        <v>1188</v>
      </c>
      <c r="B584" s="79" t="s">
        <v>1161</v>
      </c>
      <c r="C584" s="80" t="s">
        <v>126</v>
      </c>
      <c r="D584" s="81" t="s">
        <v>78</v>
      </c>
      <c r="E584" s="82">
        <v>46705</v>
      </c>
      <c r="F584" s="82">
        <v>1698</v>
      </c>
      <c r="G584" s="82">
        <v>1401</v>
      </c>
      <c r="H584" s="83">
        <v>8.7431416047571098</v>
      </c>
      <c r="I584" s="83">
        <v>975.9450400498539</v>
      </c>
      <c r="J584" s="83">
        <v>12.161267179529151</v>
      </c>
    </row>
    <row r="585" spans="1:10" ht="16">
      <c r="A585" s="79" t="s">
        <v>1045</v>
      </c>
      <c r="B585" s="79" t="s">
        <v>1039</v>
      </c>
      <c r="C585" s="80" t="s">
        <v>95</v>
      </c>
      <c r="D585" s="81" t="s">
        <v>111</v>
      </c>
      <c r="E585" s="82">
        <v>12113</v>
      </c>
      <c r="F585" s="82">
        <v>841</v>
      </c>
      <c r="G585" s="82">
        <v>2180</v>
      </c>
      <c r="H585" s="83">
        <v>14.291085782597902</v>
      </c>
      <c r="I585" s="83">
        <v>5976.539555842206</v>
      </c>
      <c r="J585" s="83">
        <v>22.409909128905454</v>
      </c>
    </row>
    <row r="586" spans="1:10" ht="16">
      <c r="A586" s="79" t="s">
        <v>533</v>
      </c>
      <c r="B586" s="79" t="s">
        <v>493</v>
      </c>
      <c r="C586" s="80" t="s">
        <v>126</v>
      </c>
      <c r="D586" s="81" t="s">
        <v>79</v>
      </c>
      <c r="E586" s="82">
        <v>19912</v>
      </c>
      <c r="F586" s="82">
        <v>851</v>
      </c>
      <c r="G586" s="82">
        <v>199</v>
      </c>
      <c r="H586" s="83">
        <v>15.198630967367357</v>
      </c>
      <c r="I586" s="83">
        <v>8175.8473527658844</v>
      </c>
      <c r="J586" s="83">
        <v>27.836142893541432</v>
      </c>
    </row>
    <row r="587" spans="1:10" ht="16">
      <c r="A587" s="79" t="s">
        <v>404</v>
      </c>
      <c r="B587" s="79" t="s">
        <v>396</v>
      </c>
      <c r="C587" s="80" t="s">
        <v>95</v>
      </c>
      <c r="D587" s="81" t="s">
        <v>79</v>
      </c>
      <c r="E587" s="82">
        <v>33434</v>
      </c>
      <c r="F587" s="82">
        <v>921</v>
      </c>
      <c r="G587" s="82">
        <v>5684</v>
      </c>
      <c r="H587" s="83">
        <v>17.519160905468254</v>
      </c>
      <c r="I587" s="83">
        <v>2340.9870927621382</v>
      </c>
      <c r="J587" s="83">
        <v>24.200941396964382</v>
      </c>
    </row>
    <row r="588" spans="1:10" ht="16">
      <c r="A588" s="79" t="s">
        <v>405</v>
      </c>
      <c r="B588" s="79" t="s">
        <v>396</v>
      </c>
      <c r="C588" s="80" t="s">
        <v>95</v>
      </c>
      <c r="D588" s="81" t="s">
        <v>99</v>
      </c>
      <c r="E588" s="82">
        <v>28726</v>
      </c>
      <c r="F588" s="82">
        <v>1981</v>
      </c>
      <c r="G588" s="82">
        <v>4883</v>
      </c>
      <c r="H588" s="83">
        <v>33.204989410402689</v>
      </c>
      <c r="I588" s="83">
        <v>27819.263197099506</v>
      </c>
      <c r="J588" s="83">
        <v>34.607169580285131</v>
      </c>
    </row>
    <row r="589" spans="1:10" ht="16">
      <c r="A589" s="79" t="s">
        <v>286</v>
      </c>
      <c r="B589" s="79" t="s">
        <v>242</v>
      </c>
      <c r="C589" s="80" t="s">
        <v>126</v>
      </c>
      <c r="D589" s="81" t="s">
        <v>103</v>
      </c>
      <c r="E589" s="82">
        <v>39575</v>
      </c>
      <c r="F589" s="82">
        <v>3441</v>
      </c>
      <c r="G589" s="82">
        <v>5936</v>
      </c>
      <c r="H589" s="83">
        <v>90.956420369713413</v>
      </c>
      <c r="I589" s="83">
        <v>65926.341167928505</v>
      </c>
      <c r="J589" s="83">
        <v>89.270708018427527</v>
      </c>
    </row>
    <row r="590" spans="1:10" ht="16">
      <c r="A590" s="79" t="s">
        <v>1373</v>
      </c>
      <c r="B590" s="79" t="s">
        <v>1307</v>
      </c>
      <c r="C590" s="80" t="s">
        <v>126</v>
      </c>
      <c r="D590" s="81" t="s">
        <v>96</v>
      </c>
      <c r="E590" s="82">
        <v>46204</v>
      </c>
      <c r="F590" s="82">
        <v>3020</v>
      </c>
      <c r="G590" s="82">
        <v>7393</v>
      </c>
      <c r="H590" s="83">
        <v>68.037841464356561</v>
      </c>
      <c r="I590" s="83">
        <v>50862.22973799242</v>
      </c>
      <c r="J590" s="83">
        <v>55.23379891075917</v>
      </c>
    </row>
    <row r="591" spans="1:10" ht="16">
      <c r="A591" s="79" t="s">
        <v>958</v>
      </c>
      <c r="B591" s="79" t="s">
        <v>938</v>
      </c>
      <c r="C591" s="80" t="s">
        <v>126</v>
      </c>
      <c r="D591" s="81" t="s">
        <v>79</v>
      </c>
      <c r="E591" s="82">
        <v>8922</v>
      </c>
      <c r="F591" s="82">
        <v>991</v>
      </c>
      <c r="G591" s="82">
        <v>625</v>
      </c>
      <c r="H591" s="83">
        <v>11.182380959496712</v>
      </c>
      <c r="I591" s="83">
        <v>221.80648453000319</v>
      </c>
      <c r="J591" s="83">
        <v>19.480964741964502</v>
      </c>
    </row>
    <row r="592" spans="1:10" ht="16">
      <c r="A592" s="79" t="s">
        <v>959</v>
      </c>
      <c r="B592" s="79" t="s">
        <v>938</v>
      </c>
      <c r="C592" s="80" t="s">
        <v>95</v>
      </c>
      <c r="D592" s="81" t="s">
        <v>96</v>
      </c>
      <c r="E592" s="82">
        <v>9252</v>
      </c>
      <c r="F592" s="82">
        <v>881</v>
      </c>
      <c r="G592" s="82">
        <v>93</v>
      </c>
      <c r="H592" s="83">
        <v>10.576719764837817</v>
      </c>
      <c r="I592" s="83">
        <v>321.58886065753944</v>
      </c>
      <c r="J592" s="83">
        <v>18.817012399530608</v>
      </c>
    </row>
    <row r="593" spans="1:10" ht="16">
      <c r="A593" s="79" t="s">
        <v>960</v>
      </c>
      <c r="B593" s="79" t="s">
        <v>938</v>
      </c>
      <c r="C593" s="80" t="s">
        <v>126</v>
      </c>
      <c r="D593" s="81" t="s">
        <v>77</v>
      </c>
      <c r="E593" s="82">
        <v>18251</v>
      </c>
      <c r="F593" s="82">
        <v>2028</v>
      </c>
      <c r="G593" s="82">
        <v>5110</v>
      </c>
      <c r="H593" s="83">
        <v>16.524908479510394</v>
      </c>
      <c r="I593" s="83">
        <v>9832.4070057165245</v>
      </c>
      <c r="J593" s="83">
        <v>26.610312244876809</v>
      </c>
    </row>
    <row r="594" spans="1:10" ht="16">
      <c r="A594" s="79" t="s">
        <v>961</v>
      </c>
      <c r="B594" s="79" t="s">
        <v>938</v>
      </c>
      <c r="C594" s="80" t="s">
        <v>95</v>
      </c>
      <c r="D594" s="81" t="s">
        <v>103</v>
      </c>
      <c r="E594" s="82">
        <v>8078</v>
      </c>
      <c r="F594" s="82">
        <v>1282</v>
      </c>
      <c r="G594" s="82">
        <v>485</v>
      </c>
      <c r="H594" s="83">
        <v>10.256764303905863</v>
      </c>
      <c r="I594" s="83">
        <v>333.2213584031345</v>
      </c>
      <c r="J594" s="83">
        <v>23.77005640539705</v>
      </c>
    </row>
    <row r="595" spans="1:10" ht="16">
      <c r="A595" s="79" t="s">
        <v>883</v>
      </c>
      <c r="B595" s="79" t="s">
        <v>877</v>
      </c>
      <c r="C595" s="80" t="s">
        <v>126</v>
      </c>
      <c r="D595" s="81" t="s">
        <v>101</v>
      </c>
      <c r="E595" s="82">
        <v>12452</v>
      </c>
      <c r="F595" s="82">
        <v>239</v>
      </c>
      <c r="G595" s="82">
        <v>197</v>
      </c>
      <c r="H595" s="83">
        <v>9.3685044013845431</v>
      </c>
      <c r="I595" s="83">
        <v>1686.3774554939507</v>
      </c>
      <c r="J595" s="83">
        <v>13.959987022964148</v>
      </c>
    </row>
    <row r="596" spans="1:10" ht="16">
      <c r="A596" s="79" t="s">
        <v>1025</v>
      </c>
      <c r="B596" s="79" t="s">
        <v>1007</v>
      </c>
      <c r="C596" s="80" t="s">
        <v>126</v>
      </c>
      <c r="D596" s="81" t="s">
        <v>103</v>
      </c>
      <c r="E596" s="82">
        <v>3215</v>
      </c>
      <c r="F596" s="82">
        <v>312</v>
      </c>
      <c r="G596" s="82">
        <v>96</v>
      </c>
      <c r="H596" s="83">
        <v>51.72460916395876</v>
      </c>
      <c r="I596" s="83">
        <v>36800.314726439996</v>
      </c>
      <c r="J596" s="83">
        <v>52.45645043092081</v>
      </c>
    </row>
    <row r="597" spans="1:10" ht="16">
      <c r="A597" s="79" t="s">
        <v>915</v>
      </c>
      <c r="B597" s="79" t="s">
        <v>912</v>
      </c>
      <c r="C597" s="80" t="s">
        <v>126</v>
      </c>
      <c r="D597" s="81" t="s">
        <v>76</v>
      </c>
      <c r="E597" s="82">
        <v>18511</v>
      </c>
      <c r="F597" s="82">
        <v>1083</v>
      </c>
      <c r="G597" s="82">
        <v>1111</v>
      </c>
      <c r="H597" s="83">
        <v>9.6416592115678004</v>
      </c>
      <c r="I597" s="83">
        <v>4250.2297260693622</v>
      </c>
      <c r="J597" s="83">
        <v>14.38069174350894</v>
      </c>
    </row>
    <row r="598" spans="1:10" ht="16">
      <c r="A598" s="79" t="s">
        <v>621</v>
      </c>
      <c r="B598" s="79" t="s">
        <v>617</v>
      </c>
      <c r="C598" s="80" t="s">
        <v>126</v>
      </c>
      <c r="D598" s="81" t="s">
        <v>75</v>
      </c>
      <c r="E598" s="82">
        <v>6122</v>
      </c>
      <c r="F598" s="82">
        <v>251</v>
      </c>
      <c r="G598" s="82">
        <v>61</v>
      </c>
      <c r="H598" s="83">
        <v>22.102879293779658</v>
      </c>
      <c r="I598" s="83">
        <v>18624.259801426571</v>
      </c>
      <c r="J598" s="83">
        <v>17.888536091672584</v>
      </c>
    </row>
    <row r="599" spans="1:10" ht="16">
      <c r="A599" s="79" t="s">
        <v>932</v>
      </c>
      <c r="B599" s="79" t="s">
        <v>928</v>
      </c>
      <c r="C599" s="80" t="s">
        <v>126</v>
      </c>
      <c r="D599" s="81" t="s">
        <v>101</v>
      </c>
      <c r="E599" s="82">
        <v>29437</v>
      </c>
      <c r="F599" s="82">
        <v>2181</v>
      </c>
      <c r="G599" s="82">
        <v>883</v>
      </c>
      <c r="H599" s="83">
        <v>10.157575545709362</v>
      </c>
      <c r="I599" s="83">
        <v>1301.1505661660321</v>
      </c>
      <c r="J599" s="83">
        <v>17.781943524705461</v>
      </c>
    </row>
    <row r="600" spans="1:10" ht="16">
      <c r="A600" s="79" t="s">
        <v>1046</v>
      </c>
      <c r="B600" s="79" t="s">
        <v>1039</v>
      </c>
      <c r="C600" s="80" t="s">
        <v>126</v>
      </c>
      <c r="D600" s="81" t="s">
        <v>149</v>
      </c>
      <c r="E600" s="82">
        <v>4749</v>
      </c>
      <c r="F600" s="82">
        <v>448</v>
      </c>
      <c r="G600" s="82">
        <v>285</v>
      </c>
      <c r="H600" s="83">
        <v>12.099973093601353</v>
      </c>
      <c r="I600" s="83">
        <v>2587.3107079041383</v>
      </c>
      <c r="J600" s="83">
        <v>22.765352910605753</v>
      </c>
    </row>
    <row r="601" spans="1:10" ht="16">
      <c r="A601" s="79" t="s">
        <v>1047</v>
      </c>
      <c r="B601" s="79" t="s">
        <v>1039</v>
      </c>
      <c r="C601" s="80" t="s">
        <v>126</v>
      </c>
      <c r="D601" s="81" t="s">
        <v>76</v>
      </c>
      <c r="E601" s="82">
        <v>25484</v>
      </c>
      <c r="F601" s="82">
        <v>2404</v>
      </c>
      <c r="G601" s="82">
        <v>4077</v>
      </c>
      <c r="H601" s="83">
        <v>17.921222656248165</v>
      </c>
      <c r="I601" s="83">
        <v>9787.7675617903569</v>
      </c>
      <c r="J601" s="83">
        <v>24.671547760619205</v>
      </c>
    </row>
    <row r="602" spans="1:10" ht="16">
      <c r="A602" s="79" t="s">
        <v>622</v>
      </c>
      <c r="B602" s="79" t="s">
        <v>617</v>
      </c>
      <c r="C602" s="80" t="s">
        <v>126</v>
      </c>
      <c r="D602" s="81" t="s">
        <v>78</v>
      </c>
      <c r="E602" s="82">
        <v>35184</v>
      </c>
      <c r="F602" s="82">
        <v>1407</v>
      </c>
      <c r="G602" s="82">
        <v>5981</v>
      </c>
      <c r="H602" s="83">
        <v>35.672377550465519</v>
      </c>
      <c r="I602" s="83">
        <v>21018.826193826979</v>
      </c>
      <c r="J602" s="83">
        <v>33.986318226006475</v>
      </c>
    </row>
    <row r="603" spans="1:10" ht="16">
      <c r="A603" s="79" t="s">
        <v>933</v>
      </c>
      <c r="B603" s="79" t="s">
        <v>928</v>
      </c>
      <c r="C603" s="80" t="s">
        <v>126</v>
      </c>
      <c r="D603" s="81" t="s">
        <v>75</v>
      </c>
      <c r="E603" s="82">
        <v>12646</v>
      </c>
      <c r="F603" s="82">
        <v>620</v>
      </c>
      <c r="G603" s="82">
        <v>379</v>
      </c>
      <c r="H603" s="83">
        <v>8.7434235228152914</v>
      </c>
      <c r="I603" s="83">
        <v>1415.5088196893428</v>
      </c>
      <c r="J603" s="83">
        <v>14.787942965669387</v>
      </c>
    </row>
    <row r="604" spans="1:10" ht="16">
      <c r="A604" s="79" t="s">
        <v>623</v>
      </c>
      <c r="B604" s="79" t="s">
        <v>617</v>
      </c>
      <c r="C604" s="80" t="s">
        <v>126</v>
      </c>
      <c r="D604" s="81" t="s">
        <v>76</v>
      </c>
      <c r="E604" s="82">
        <v>31425</v>
      </c>
      <c r="F604" s="82">
        <v>878</v>
      </c>
      <c r="G604" s="82">
        <v>4085</v>
      </c>
      <c r="H604" s="83">
        <v>26.354629053762864</v>
      </c>
      <c r="I604" s="83">
        <v>14056.46654123669</v>
      </c>
      <c r="J604" s="83">
        <v>26.428661347257492</v>
      </c>
    </row>
    <row r="605" spans="1:10" ht="16">
      <c r="A605" s="79" t="s">
        <v>1048</v>
      </c>
      <c r="B605" s="79" t="s">
        <v>1039</v>
      </c>
      <c r="C605" s="80" t="s">
        <v>126</v>
      </c>
      <c r="D605" s="81" t="s">
        <v>99</v>
      </c>
      <c r="E605" s="82">
        <v>21119</v>
      </c>
      <c r="F605" s="82">
        <v>2112</v>
      </c>
      <c r="G605" s="82">
        <v>2957</v>
      </c>
      <c r="H605" s="83">
        <v>12.519410623991844</v>
      </c>
      <c r="I605" s="83">
        <v>4915.5611892151055</v>
      </c>
      <c r="J605" s="83">
        <v>22.349307768026478</v>
      </c>
    </row>
    <row r="606" spans="1:10" ht="16">
      <c r="A606" s="79" t="s">
        <v>1049</v>
      </c>
      <c r="B606" s="79" t="s">
        <v>1039</v>
      </c>
      <c r="C606" s="80" t="s">
        <v>95</v>
      </c>
      <c r="D606" s="81" t="s">
        <v>77</v>
      </c>
      <c r="E606" s="82">
        <v>11636</v>
      </c>
      <c r="F606" s="82">
        <v>539</v>
      </c>
      <c r="G606" s="82">
        <v>1513</v>
      </c>
      <c r="H606" s="83">
        <v>40.354172994101368</v>
      </c>
      <c r="I606" s="83">
        <v>37917.648636291429</v>
      </c>
      <c r="J606" s="83">
        <v>37.950049615827396</v>
      </c>
    </row>
    <row r="607" spans="1:10" ht="16">
      <c r="A607" s="79" t="s">
        <v>534</v>
      </c>
      <c r="B607" s="79" t="s">
        <v>493</v>
      </c>
      <c r="C607" s="80" t="s">
        <v>126</v>
      </c>
      <c r="D607" s="81" t="s">
        <v>101</v>
      </c>
      <c r="E607" s="82">
        <v>6107</v>
      </c>
      <c r="F607" s="82">
        <v>355</v>
      </c>
      <c r="G607" s="82">
        <v>61</v>
      </c>
      <c r="H607" s="83">
        <v>19.957235262143449</v>
      </c>
      <c r="I607" s="83">
        <v>3532.361759134601</v>
      </c>
      <c r="J607" s="83">
        <v>36.862538679262613</v>
      </c>
    </row>
    <row r="608" spans="1:10" ht="16">
      <c r="A608" s="79" t="s">
        <v>234</v>
      </c>
      <c r="B608" s="79" t="s">
        <v>231</v>
      </c>
      <c r="C608" s="80" t="s">
        <v>95</v>
      </c>
      <c r="D608" s="81" t="s">
        <v>77</v>
      </c>
      <c r="E608" s="82">
        <v>28541</v>
      </c>
      <c r="F608" s="82">
        <v>1903</v>
      </c>
      <c r="G608" s="82">
        <v>1998</v>
      </c>
      <c r="H608" s="83">
        <v>29.114067516853375</v>
      </c>
      <c r="I608" s="83">
        <v>13790.600202520292</v>
      </c>
      <c r="J608" s="83">
        <v>24.473696516451561</v>
      </c>
    </row>
    <row r="609" spans="1:10" ht="16">
      <c r="A609" s="79" t="s">
        <v>187</v>
      </c>
      <c r="B609" s="79" t="s">
        <v>169</v>
      </c>
      <c r="C609" s="80" t="s">
        <v>95</v>
      </c>
      <c r="D609" s="81" t="s">
        <v>78</v>
      </c>
      <c r="E609" s="82">
        <v>34101</v>
      </c>
      <c r="F609" s="82">
        <v>1601</v>
      </c>
      <c r="G609" s="82">
        <v>1705</v>
      </c>
      <c r="H609" s="83">
        <v>8.3519130885114414</v>
      </c>
      <c r="I609" s="83">
        <v>521.73647795268812</v>
      </c>
      <c r="J609" s="83">
        <v>15.989020622168333</v>
      </c>
    </row>
    <row r="610" spans="1:10" ht="16">
      <c r="A610" s="79" t="s">
        <v>891</v>
      </c>
      <c r="B610" s="79" t="s">
        <v>892</v>
      </c>
      <c r="C610" s="80" t="s">
        <v>126</v>
      </c>
      <c r="D610" s="81" t="s">
        <v>78</v>
      </c>
      <c r="E610" s="82">
        <v>24984</v>
      </c>
      <c r="F610" s="82">
        <v>3331</v>
      </c>
      <c r="G610" s="82">
        <v>750</v>
      </c>
      <c r="H610" s="83">
        <v>9.5527492619682626</v>
      </c>
      <c r="I610" s="83">
        <v>2916.2882014685451</v>
      </c>
      <c r="J610" s="83">
        <v>19.96683237464655</v>
      </c>
    </row>
    <row r="611" spans="1:10" ht="16">
      <c r="A611" s="79" t="s">
        <v>188</v>
      </c>
      <c r="B611" s="79" t="s">
        <v>169</v>
      </c>
      <c r="C611" s="80" t="s">
        <v>95</v>
      </c>
      <c r="D611" s="81" t="s">
        <v>76</v>
      </c>
      <c r="E611" s="82">
        <v>15581</v>
      </c>
      <c r="F611" s="82">
        <v>711</v>
      </c>
      <c r="G611" s="82">
        <v>779</v>
      </c>
      <c r="H611" s="83">
        <v>26.318156516492685</v>
      </c>
      <c r="I611" s="83">
        <v>7160.9388801463192</v>
      </c>
      <c r="J611" s="83">
        <v>27.70475297620662</v>
      </c>
    </row>
    <row r="612" spans="1:10" ht="16">
      <c r="A612" s="79" t="s">
        <v>189</v>
      </c>
      <c r="B612" s="79" t="s">
        <v>169</v>
      </c>
      <c r="C612" s="80" t="s">
        <v>126</v>
      </c>
      <c r="D612" s="81" t="s">
        <v>76</v>
      </c>
      <c r="E612" s="82">
        <v>16750</v>
      </c>
      <c r="F612" s="82">
        <v>735</v>
      </c>
      <c r="G612" s="82">
        <v>1153</v>
      </c>
      <c r="H612" s="83">
        <v>14.103833774698701</v>
      </c>
      <c r="I612" s="83">
        <v>5556.4762215854189</v>
      </c>
      <c r="J612" s="83">
        <v>19.018190853231271</v>
      </c>
    </row>
    <row r="613" spans="1:10" ht="16">
      <c r="A613" s="79" t="s">
        <v>326</v>
      </c>
      <c r="B613" s="79" t="s">
        <v>323</v>
      </c>
      <c r="C613" s="80" t="s">
        <v>95</v>
      </c>
      <c r="D613" s="81" t="s">
        <v>103</v>
      </c>
      <c r="E613" s="82">
        <v>30048</v>
      </c>
      <c r="F613" s="82">
        <v>1951</v>
      </c>
      <c r="G613" s="82">
        <v>300</v>
      </c>
      <c r="H613" s="83">
        <v>9.3227497849631025</v>
      </c>
      <c r="I613" s="83">
        <v>8867.4601146486802</v>
      </c>
      <c r="J613" s="83">
        <v>15.669281953893352</v>
      </c>
    </row>
    <row r="614" spans="1:10" ht="16">
      <c r="A614" s="79" t="s">
        <v>1374</v>
      </c>
      <c r="B614" s="79" t="s">
        <v>1307</v>
      </c>
      <c r="C614" s="80" t="s">
        <v>95</v>
      </c>
      <c r="D614" s="81" t="s">
        <v>99</v>
      </c>
      <c r="E614" s="82">
        <v>20219</v>
      </c>
      <c r="F614" s="82">
        <v>1099</v>
      </c>
      <c r="G614" s="82">
        <v>1820</v>
      </c>
      <c r="H614" s="83">
        <v>19.044641883453505</v>
      </c>
      <c r="I614" s="83">
        <v>8219.4534074983912</v>
      </c>
      <c r="J614" s="83">
        <v>21.89132788739515</v>
      </c>
    </row>
    <row r="615" spans="1:10" ht="16">
      <c r="A615" s="79" t="s">
        <v>1148</v>
      </c>
      <c r="B615" s="79" t="s">
        <v>1139</v>
      </c>
      <c r="C615" s="80" t="s">
        <v>95</v>
      </c>
      <c r="D615" s="81" t="s">
        <v>99</v>
      </c>
      <c r="E615" s="82">
        <v>39257</v>
      </c>
      <c r="F615" s="82">
        <v>2485</v>
      </c>
      <c r="G615" s="82">
        <v>785</v>
      </c>
      <c r="H615" s="83">
        <v>10.468774758901269</v>
      </c>
      <c r="I615" s="83">
        <v>1786.820817480477</v>
      </c>
      <c r="J615" s="83">
        <v>18.614990410330773</v>
      </c>
    </row>
    <row r="616" spans="1:10" ht="16">
      <c r="A616" s="79" t="s">
        <v>1375</v>
      </c>
      <c r="B616" s="79" t="s">
        <v>1307</v>
      </c>
      <c r="C616" s="80" t="s">
        <v>126</v>
      </c>
      <c r="D616" s="81" t="s">
        <v>99</v>
      </c>
      <c r="E616" s="82">
        <v>7983</v>
      </c>
      <c r="F616" s="82">
        <v>986</v>
      </c>
      <c r="G616" s="82">
        <v>1996</v>
      </c>
      <c r="H616" s="83">
        <v>96.603713796341495</v>
      </c>
      <c r="I616" s="83">
        <v>95232.053900721439</v>
      </c>
      <c r="J616" s="83">
        <v>91.138437765082813</v>
      </c>
    </row>
    <row r="617" spans="1:10" ht="16">
      <c r="A617" s="79" t="s">
        <v>535</v>
      </c>
      <c r="B617" s="79" t="s">
        <v>493</v>
      </c>
      <c r="C617" s="80" t="s">
        <v>126</v>
      </c>
      <c r="D617" s="81" t="s">
        <v>75</v>
      </c>
      <c r="E617" s="82">
        <v>8325</v>
      </c>
      <c r="F617" s="82">
        <v>570</v>
      </c>
      <c r="G617" s="82">
        <v>186</v>
      </c>
      <c r="H617" s="83">
        <v>10.464468279131578</v>
      </c>
      <c r="I617" s="83">
        <v>1226.4641775825396</v>
      </c>
      <c r="J617" s="83">
        <v>20.5558198987734</v>
      </c>
    </row>
    <row r="618" spans="1:10" ht="16">
      <c r="A618" s="79" t="s">
        <v>1376</v>
      </c>
      <c r="B618" s="79" t="s">
        <v>1307</v>
      </c>
      <c r="C618" s="80" t="s">
        <v>126</v>
      </c>
      <c r="D618" s="81" t="s">
        <v>103</v>
      </c>
      <c r="E618" s="82">
        <v>40451</v>
      </c>
      <c r="F618" s="82">
        <v>2576</v>
      </c>
      <c r="G618" s="82">
        <v>9304</v>
      </c>
      <c r="H618" s="83">
        <v>66.636777996035335</v>
      </c>
      <c r="I618" s="83">
        <v>41874.565497221854</v>
      </c>
      <c r="J618" s="83">
        <v>58.047626637853725</v>
      </c>
    </row>
    <row r="619" spans="1:10" ht="16">
      <c r="A619" s="79" t="s">
        <v>1026</v>
      </c>
      <c r="B619" s="79" t="s">
        <v>1007</v>
      </c>
      <c r="C619" s="80" t="s">
        <v>126</v>
      </c>
      <c r="D619" s="81" t="s">
        <v>78</v>
      </c>
      <c r="E619" s="82">
        <v>24331</v>
      </c>
      <c r="F619" s="82">
        <v>1330</v>
      </c>
      <c r="G619" s="82">
        <v>2676</v>
      </c>
      <c r="H619" s="83">
        <v>30.483081960446373</v>
      </c>
      <c r="I619" s="83">
        <v>7492.5668759100645</v>
      </c>
      <c r="J619" s="83">
        <v>27.221330032390586</v>
      </c>
    </row>
    <row r="620" spans="1:10" ht="16">
      <c r="A620" s="79" t="s">
        <v>925</v>
      </c>
      <c r="B620" s="79" t="s">
        <v>926</v>
      </c>
      <c r="C620" s="80" t="s">
        <v>95</v>
      </c>
      <c r="D620" s="81" t="s">
        <v>101</v>
      </c>
      <c r="E620" s="82">
        <v>15585</v>
      </c>
      <c r="F620" s="82">
        <v>901</v>
      </c>
      <c r="G620" s="82">
        <v>5922</v>
      </c>
      <c r="H620" s="83">
        <v>27.218502861317219</v>
      </c>
      <c r="I620" s="83">
        <v>17641.489134645737</v>
      </c>
      <c r="J620" s="83">
        <v>20.284053371183298</v>
      </c>
    </row>
    <row r="621" spans="1:10" ht="16">
      <c r="A621" s="79" t="s">
        <v>884</v>
      </c>
      <c r="B621" s="79" t="s">
        <v>877</v>
      </c>
      <c r="C621" s="80" t="s">
        <v>95</v>
      </c>
      <c r="D621" s="81" t="s">
        <v>101</v>
      </c>
      <c r="E621" s="82">
        <v>14694</v>
      </c>
      <c r="F621" s="82">
        <v>593</v>
      </c>
      <c r="G621" s="82">
        <v>147</v>
      </c>
      <c r="H621" s="83">
        <v>19.063543814413013</v>
      </c>
      <c r="I621" s="83">
        <v>15239.554637768724</v>
      </c>
      <c r="J621" s="83">
        <v>21.085243777275835</v>
      </c>
    </row>
    <row r="622" spans="1:10" ht="16">
      <c r="A622" s="79" t="s">
        <v>1245</v>
      </c>
      <c r="B622" s="79" t="s">
        <v>1209</v>
      </c>
      <c r="C622" s="80" t="s">
        <v>95</v>
      </c>
      <c r="D622" s="81" t="s">
        <v>78</v>
      </c>
      <c r="E622" s="82">
        <v>17799</v>
      </c>
      <c r="F622" s="82">
        <v>1262</v>
      </c>
      <c r="G622" s="82">
        <v>7654</v>
      </c>
      <c r="H622" s="83">
        <v>43.458262845678611</v>
      </c>
      <c r="I622" s="83">
        <v>42256.534974144444</v>
      </c>
      <c r="J622" s="83">
        <v>35.827962195657925</v>
      </c>
    </row>
    <row r="623" spans="1:10" ht="16">
      <c r="A623" s="79" t="s">
        <v>124</v>
      </c>
      <c r="B623" s="79" t="s">
        <v>108</v>
      </c>
      <c r="C623" s="80" t="s">
        <v>95</v>
      </c>
      <c r="D623" s="81" t="s">
        <v>111</v>
      </c>
      <c r="E623" s="82">
        <v>34871</v>
      </c>
      <c r="F623" s="82">
        <v>913</v>
      </c>
      <c r="G623" s="82">
        <v>5579</v>
      </c>
      <c r="H623" s="83">
        <v>40.624434600780383</v>
      </c>
      <c r="I623" s="83">
        <v>34884.72980322146</v>
      </c>
      <c r="J623" s="83">
        <v>32.673627740970261</v>
      </c>
    </row>
    <row r="624" spans="1:10" ht="16">
      <c r="A624" s="79" t="s">
        <v>844</v>
      </c>
      <c r="B624" s="79" t="s">
        <v>839</v>
      </c>
      <c r="C624" s="80" t="s">
        <v>95</v>
      </c>
      <c r="D624" s="81" t="s">
        <v>149</v>
      </c>
      <c r="E624" s="82">
        <v>20024</v>
      </c>
      <c r="F624" s="82">
        <v>1144</v>
      </c>
      <c r="G624" s="82">
        <v>2803</v>
      </c>
      <c r="H624" s="83">
        <v>50.210440224950815</v>
      </c>
      <c r="I624" s="83">
        <v>44044.18868479276</v>
      </c>
      <c r="J624" s="83">
        <v>36.679066728480528</v>
      </c>
    </row>
    <row r="625" spans="1:10" ht="16">
      <c r="A625" s="79" t="s">
        <v>287</v>
      </c>
      <c r="B625" s="79" t="s">
        <v>242</v>
      </c>
      <c r="C625" s="80" t="s">
        <v>95</v>
      </c>
      <c r="D625" s="81" t="s">
        <v>79</v>
      </c>
      <c r="E625" s="82">
        <v>25590</v>
      </c>
      <c r="F625" s="82">
        <v>2047</v>
      </c>
      <c r="G625" s="82">
        <v>1535</v>
      </c>
      <c r="H625" s="83">
        <v>21.638118181905703</v>
      </c>
      <c r="I625" s="83">
        <v>10050.914970217753</v>
      </c>
      <c r="J625" s="83">
        <v>43.006846173647212</v>
      </c>
    </row>
    <row r="626" spans="1:10" ht="16">
      <c r="A626" s="79" t="s">
        <v>1377</v>
      </c>
      <c r="B626" s="79" t="s">
        <v>1307</v>
      </c>
      <c r="C626" s="80" t="s">
        <v>126</v>
      </c>
      <c r="D626" s="81" t="s">
        <v>149</v>
      </c>
      <c r="E626" s="82">
        <v>7798</v>
      </c>
      <c r="F626" s="82">
        <v>500</v>
      </c>
      <c r="G626" s="82">
        <v>1560</v>
      </c>
      <c r="H626" s="83">
        <v>29.539828216510948</v>
      </c>
      <c r="I626" s="83">
        <v>16942.563135855613</v>
      </c>
      <c r="J626" s="83">
        <v>30.022929061814374</v>
      </c>
    </row>
    <row r="627" spans="1:10" ht="16">
      <c r="A627" s="79" t="s">
        <v>1378</v>
      </c>
      <c r="B627" s="79" t="s">
        <v>1307</v>
      </c>
      <c r="C627" s="80" t="s">
        <v>126</v>
      </c>
      <c r="D627" s="81" t="s">
        <v>101</v>
      </c>
      <c r="E627" s="82">
        <v>6667</v>
      </c>
      <c r="F627" s="82">
        <v>749</v>
      </c>
      <c r="G627" s="82">
        <v>1867</v>
      </c>
      <c r="H627" s="83">
        <v>39.766853236420381</v>
      </c>
      <c r="I627" s="83">
        <v>37224.737731832574</v>
      </c>
      <c r="J627" s="83">
        <v>49.475734339415396</v>
      </c>
    </row>
    <row r="628" spans="1:10" ht="16">
      <c r="A628" s="79" t="s">
        <v>786</v>
      </c>
      <c r="B628" s="79" t="s">
        <v>785</v>
      </c>
      <c r="C628" s="80" t="s">
        <v>126</v>
      </c>
      <c r="D628" s="81" t="s">
        <v>96</v>
      </c>
      <c r="E628" s="82">
        <v>10805</v>
      </c>
      <c r="F628" s="82">
        <v>363</v>
      </c>
      <c r="G628" s="82">
        <v>1189</v>
      </c>
      <c r="H628" s="83">
        <v>18.285668041393677</v>
      </c>
      <c r="I628" s="83">
        <v>3525.5223716926712</v>
      </c>
      <c r="J628" s="83">
        <v>19.589803341867604</v>
      </c>
    </row>
    <row r="629" spans="1:10" ht="16">
      <c r="A629" s="79" t="s">
        <v>721</v>
      </c>
      <c r="B629" s="79" t="s">
        <v>661</v>
      </c>
      <c r="C629" s="80" t="s">
        <v>95</v>
      </c>
      <c r="D629" s="81" t="s">
        <v>76</v>
      </c>
      <c r="E629" s="82">
        <v>20183</v>
      </c>
      <c r="F629" s="82">
        <v>1431</v>
      </c>
      <c r="G629" s="82">
        <v>807</v>
      </c>
      <c r="H629" s="83">
        <v>9.3757455532086915</v>
      </c>
      <c r="I629" s="83">
        <v>4251.2363997810007</v>
      </c>
      <c r="J629" s="83">
        <v>17.146660188945908</v>
      </c>
    </row>
    <row r="630" spans="1:10" ht="16">
      <c r="A630" s="79" t="s">
        <v>190</v>
      </c>
      <c r="B630" s="79" t="s">
        <v>169</v>
      </c>
      <c r="C630" s="80" t="s">
        <v>95</v>
      </c>
      <c r="D630" s="81" t="s">
        <v>99</v>
      </c>
      <c r="E630" s="82">
        <v>22879</v>
      </c>
      <c r="F630" s="82">
        <v>2571</v>
      </c>
      <c r="G630" s="82">
        <v>1144</v>
      </c>
      <c r="H630" s="83">
        <v>11.534690711038724</v>
      </c>
      <c r="I630" s="83">
        <v>1669.9013240195943</v>
      </c>
      <c r="J630" s="83">
        <v>24.296970259476851</v>
      </c>
    </row>
    <row r="631" spans="1:10" ht="16">
      <c r="A631" s="79" t="s">
        <v>722</v>
      </c>
      <c r="B631" s="79" t="s">
        <v>661</v>
      </c>
      <c r="C631" s="80" t="s">
        <v>126</v>
      </c>
      <c r="D631" s="81" t="s">
        <v>75</v>
      </c>
      <c r="E631" s="82">
        <v>34413</v>
      </c>
      <c r="F631" s="82">
        <v>1880</v>
      </c>
      <c r="G631" s="82">
        <v>2065</v>
      </c>
      <c r="H631" s="83">
        <v>14.18310484049409</v>
      </c>
      <c r="I631" s="83">
        <v>2203.2061325836435</v>
      </c>
      <c r="J631" s="83">
        <v>19.966107361612792</v>
      </c>
    </row>
    <row r="632" spans="1:10" ht="16">
      <c r="A632" s="79" t="s">
        <v>125</v>
      </c>
      <c r="B632" s="79" t="s">
        <v>108</v>
      </c>
      <c r="C632" s="80" t="s">
        <v>126</v>
      </c>
      <c r="D632" s="81" t="s">
        <v>77</v>
      </c>
      <c r="E632" s="82">
        <v>33848</v>
      </c>
      <c r="F632" s="82">
        <v>1511</v>
      </c>
      <c r="G632" s="82">
        <v>10154</v>
      </c>
      <c r="H632" s="83">
        <v>26.76212287886279</v>
      </c>
      <c r="I632" s="83">
        <v>16867.006684830871</v>
      </c>
      <c r="J632" s="83">
        <v>26.12123730522131</v>
      </c>
    </row>
    <row r="633" spans="1:10" ht="16">
      <c r="A633" s="79" t="s">
        <v>1246</v>
      </c>
      <c r="B633" s="79" t="s">
        <v>1209</v>
      </c>
      <c r="C633" s="80" t="s">
        <v>95</v>
      </c>
      <c r="D633" s="81" t="s">
        <v>149</v>
      </c>
      <c r="E633" s="82">
        <v>9489</v>
      </c>
      <c r="F633" s="82">
        <v>465</v>
      </c>
      <c r="G633" s="82">
        <v>2088</v>
      </c>
      <c r="H633" s="83">
        <v>11.318733408672999</v>
      </c>
      <c r="I633" s="83">
        <v>2641.1142317135855</v>
      </c>
      <c r="J633" s="83">
        <v>17.173644591434584</v>
      </c>
    </row>
    <row r="634" spans="1:10" ht="16">
      <c r="A634" s="79" t="s">
        <v>1379</v>
      </c>
      <c r="B634" s="79" t="s">
        <v>1307</v>
      </c>
      <c r="C634" s="80" t="s">
        <v>126</v>
      </c>
      <c r="D634" s="81" t="s">
        <v>101</v>
      </c>
      <c r="E634" s="82">
        <v>13996</v>
      </c>
      <c r="F634" s="82">
        <v>891</v>
      </c>
      <c r="G634" s="82">
        <v>2519</v>
      </c>
      <c r="H634" s="83">
        <v>18.464854166363985</v>
      </c>
      <c r="I634" s="83">
        <v>7074.9819624023212</v>
      </c>
      <c r="J634" s="83">
        <v>20.263876241128436</v>
      </c>
    </row>
    <row r="635" spans="1:10" ht="16">
      <c r="A635" s="79" t="s">
        <v>358</v>
      </c>
      <c r="B635" s="79" t="s">
        <v>355</v>
      </c>
      <c r="C635" s="80" t="s">
        <v>95</v>
      </c>
      <c r="D635" s="81" t="s">
        <v>78</v>
      </c>
      <c r="E635" s="82">
        <v>6382</v>
      </c>
      <c r="F635" s="82">
        <v>355</v>
      </c>
      <c r="G635" s="82">
        <v>766</v>
      </c>
      <c r="H635" s="83">
        <v>33.525031337543801</v>
      </c>
      <c r="I635" s="83">
        <v>12385.857629544895</v>
      </c>
      <c r="J635" s="83">
        <v>21.806620560329804</v>
      </c>
    </row>
    <row r="636" spans="1:10" ht="16">
      <c r="A636" s="79" t="s">
        <v>603</v>
      </c>
      <c r="B636" s="79" t="s">
        <v>600</v>
      </c>
      <c r="C636" s="80" t="s">
        <v>95</v>
      </c>
      <c r="D636" s="81" t="s">
        <v>78</v>
      </c>
      <c r="E636" s="82">
        <v>2265</v>
      </c>
      <c r="F636" s="82">
        <v>107</v>
      </c>
      <c r="G636" s="82">
        <v>1472</v>
      </c>
      <c r="H636" s="83">
        <v>27.099480632260484</v>
      </c>
      <c r="I636" s="83">
        <v>24251.644453557645</v>
      </c>
      <c r="J636" s="83">
        <v>30.350341765393598</v>
      </c>
    </row>
    <row r="637" spans="1:10" ht="16">
      <c r="A637" s="79" t="s">
        <v>1247</v>
      </c>
      <c r="B637" s="79" t="s">
        <v>1209</v>
      </c>
      <c r="C637" s="80" t="s">
        <v>95</v>
      </c>
      <c r="D637" s="81" t="s">
        <v>77</v>
      </c>
      <c r="E637" s="82">
        <v>9503</v>
      </c>
      <c r="F637" s="82">
        <v>625</v>
      </c>
      <c r="G637" s="82">
        <v>3421</v>
      </c>
      <c r="H637" s="83">
        <v>30.828997888769489</v>
      </c>
      <c r="I637" s="83">
        <v>22220.146296564395</v>
      </c>
      <c r="J637" s="83">
        <v>31.596128101093193</v>
      </c>
    </row>
    <row r="638" spans="1:10" ht="16">
      <c r="A638" s="79" t="s">
        <v>1248</v>
      </c>
      <c r="B638" s="79" t="s">
        <v>1209</v>
      </c>
      <c r="C638" s="80" t="s">
        <v>95</v>
      </c>
      <c r="D638" s="81" t="s">
        <v>99</v>
      </c>
      <c r="E638" s="82">
        <v>2067</v>
      </c>
      <c r="F638" s="82">
        <v>190</v>
      </c>
      <c r="G638" s="82">
        <v>393</v>
      </c>
      <c r="H638" s="83">
        <v>18.841180281122814</v>
      </c>
      <c r="I638" s="83">
        <v>12672.065809640104</v>
      </c>
      <c r="J638" s="83">
        <v>27.820052002434814</v>
      </c>
    </row>
    <row r="639" spans="1:10" ht="16">
      <c r="A639" s="79" t="s">
        <v>962</v>
      </c>
      <c r="B639" s="79" t="s">
        <v>938</v>
      </c>
      <c r="C639" s="80" t="s">
        <v>95</v>
      </c>
      <c r="D639" s="81" t="s">
        <v>103</v>
      </c>
      <c r="E639" s="82">
        <v>19803</v>
      </c>
      <c r="F639" s="82">
        <v>1707</v>
      </c>
      <c r="G639" s="82">
        <v>5743</v>
      </c>
      <c r="H639" s="83">
        <v>11.415037383347483</v>
      </c>
      <c r="I639" s="83">
        <v>2850.1506725295121</v>
      </c>
      <c r="J639" s="83">
        <v>36.368152482631601</v>
      </c>
    </row>
    <row r="640" spans="1:10" ht="16">
      <c r="A640" s="79" t="s">
        <v>435</v>
      </c>
      <c r="B640" s="79" t="s">
        <v>421</v>
      </c>
      <c r="C640" s="80" t="s">
        <v>126</v>
      </c>
      <c r="D640" s="81" t="s">
        <v>75</v>
      </c>
      <c r="E640" s="82">
        <v>43015</v>
      </c>
      <c r="F640" s="82">
        <v>711</v>
      </c>
      <c r="G640" s="82">
        <v>6022</v>
      </c>
      <c r="H640" s="83">
        <v>45.312740614494615</v>
      </c>
      <c r="I640" s="83">
        <v>26107.308894798505</v>
      </c>
      <c r="J640" s="83">
        <v>40.144735215588291</v>
      </c>
    </row>
    <row r="641" spans="1:10" ht="16">
      <c r="A641" s="79" t="s">
        <v>1380</v>
      </c>
      <c r="B641" s="79" t="s">
        <v>1307</v>
      </c>
      <c r="C641" s="80" t="s">
        <v>95</v>
      </c>
      <c r="D641" s="81" t="s">
        <v>79</v>
      </c>
      <c r="E641" s="82">
        <v>2425</v>
      </c>
      <c r="F641" s="82">
        <v>1213</v>
      </c>
      <c r="G641" s="82">
        <v>24</v>
      </c>
      <c r="H641" s="83">
        <v>13.382882883642537</v>
      </c>
      <c r="I641" s="83">
        <v>11894.293027073008</v>
      </c>
      <c r="J641" s="83">
        <v>38.022216609092808</v>
      </c>
    </row>
    <row r="642" spans="1:10" ht="16">
      <c r="A642" s="79" t="s">
        <v>1381</v>
      </c>
      <c r="B642" s="79" t="s">
        <v>1307</v>
      </c>
      <c r="C642" s="80" t="s">
        <v>95</v>
      </c>
      <c r="D642" s="81" t="s">
        <v>79</v>
      </c>
      <c r="E642" s="82">
        <v>44801</v>
      </c>
      <c r="F642" s="82">
        <v>4000</v>
      </c>
      <c r="G642" s="82">
        <v>7616</v>
      </c>
      <c r="H642" s="83">
        <v>48.568440699183654</v>
      </c>
      <c r="I642" s="83">
        <v>35863.746596471392</v>
      </c>
      <c r="J642" s="83">
        <v>48.372058801440794</v>
      </c>
    </row>
    <row r="643" spans="1:10" ht="16">
      <c r="A643" s="79" t="s">
        <v>436</v>
      </c>
      <c r="B643" s="79" t="s">
        <v>421</v>
      </c>
      <c r="C643" s="80" t="s">
        <v>126</v>
      </c>
      <c r="D643" s="81" t="s">
        <v>77</v>
      </c>
      <c r="E643" s="82">
        <v>45377</v>
      </c>
      <c r="F643" s="82">
        <v>743</v>
      </c>
      <c r="G643" s="82">
        <v>9529</v>
      </c>
      <c r="H643" s="83">
        <v>61.671078990821414</v>
      </c>
      <c r="I643" s="83">
        <v>41407.394033692784</v>
      </c>
      <c r="J643" s="83">
        <v>56.061796657639825</v>
      </c>
    </row>
    <row r="644" spans="1:10" ht="16">
      <c r="A644" s="79" t="s">
        <v>211</v>
      </c>
      <c r="B644" s="79" t="s">
        <v>203</v>
      </c>
      <c r="C644" s="80" t="s">
        <v>95</v>
      </c>
      <c r="D644" s="81" t="s">
        <v>103</v>
      </c>
      <c r="E644" s="82">
        <v>33694</v>
      </c>
      <c r="F644" s="82">
        <v>782</v>
      </c>
      <c r="G644" s="82">
        <v>1348</v>
      </c>
      <c r="H644" s="83">
        <v>26.798748124947103</v>
      </c>
      <c r="I644" s="83">
        <v>10058.674197801107</v>
      </c>
      <c r="J644" s="83">
        <v>19.682943702449862</v>
      </c>
    </row>
    <row r="645" spans="1:10" ht="16">
      <c r="A645" s="79" t="s">
        <v>1189</v>
      </c>
      <c r="B645" s="79" t="s">
        <v>1161</v>
      </c>
      <c r="C645" s="80" t="s">
        <v>126</v>
      </c>
      <c r="D645" s="81" t="s">
        <v>75</v>
      </c>
      <c r="E645" s="82">
        <v>3605</v>
      </c>
      <c r="F645" s="82">
        <v>168</v>
      </c>
      <c r="G645" s="82">
        <v>324</v>
      </c>
      <c r="H645" s="83">
        <v>35.809778327507352</v>
      </c>
      <c r="I645" s="83">
        <v>19747.833626658521</v>
      </c>
      <c r="J645" s="83">
        <v>28.32788817597859</v>
      </c>
    </row>
    <row r="646" spans="1:10" ht="16">
      <c r="A646" s="79" t="s">
        <v>723</v>
      </c>
      <c r="B646" s="79" t="s">
        <v>661</v>
      </c>
      <c r="C646" s="80" t="s">
        <v>126</v>
      </c>
      <c r="D646" s="81" t="s">
        <v>79</v>
      </c>
      <c r="E646" s="82">
        <v>6799</v>
      </c>
      <c r="F646" s="82">
        <v>708</v>
      </c>
      <c r="G646" s="82">
        <v>136</v>
      </c>
      <c r="H646" s="83">
        <v>13.353018571319401</v>
      </c>
      <c r="I646" s="83">
        <v>2335.3484489134853</v>
      </c>
      <c r="J646" s="83">
        <v>22.397366672742507</v>
      </c>
    </row>
    <row r="647" spans="1:10" ht="16">
      <c r="A647" s="79" t="s">
        <v>963</v>
      </c>
      <c r="B647" s="79" t="s">
        <v>938</v>
      </c>
      <c r="C647" s="80" t="s">
        <v>95</v>
      </c>
      <c r="D647" s="81" t="s">
        <v>78</v>
      </c>
      <c r="E647" s="82">
        <v>21489</v>
      </c>
      <c r="F647" s="82">
        <v>2904</v>
      </c>
      <c r="G647" s="82">
        <v>2579</v>
      </c>
      <c r="H647" s="83">
        <v>31.092627305574293</v>
      </c>
      <c r="I647" s="83">
        <v>6115.4394085915092</v>
      </c>
      <c r="J647" s="83">
        <v>46.574581499767447</v>
      </c>
    </row>
    <row r="648" spans="1:10" ht="16">
      <c r="A648" s="79" t="s">
        <v>964</v>
      </c>
      <c r="B648" s="79" t="s">
        <v>938</v>
      </c>
      <c r="C648" s="80" t="s">
        <v>126</v>
      </c>
      <c r="D648" s="81" t="s">
        <v>111</v>
      </c>
      <c r="E648" s="82">
        <v>7298</v>
      </c>
      <c r="F648" s="82">
        <v>657</v>
      </c>
      <c r="G648" s="82">
        <v>803</v>
      </c>
      <c r="H648" s="83">
        <v>10.365492259402657</v>
      </c>
      <c r="I648" s="83">
        <v>5085.3483895993286</v>
      </c>
      <c r="J648" s="83">
        <v>21.070027243043832</v>
      </c>
    </row>
    <row r="649" spans="1:10" ht="16">
      <c r="A649" s="79" t="s">
        <v>724</v>
      </c>
      <c r="B649" s="79" t="s">
        <v>661</v>
      </c>
      <c r="C649" s="80" t="s">
        <v>126</v>
      </c>
      <c r="D649" s="81" t="s">
        <v>111</v>
      </c>
      <c r="E649" s="82">
        <v>1909</v>
      </c>
      <c r="F649" s="82">
        <v>1273</v>
      </c>
      <c r="G649" s="82">
        <v>133</v>
      </c>
      <c r="H649" s="83">
        <v>10.217414160286586</v>
      </c>
      <c r="I649" s="83">
        <v>2713.1290117860262</v>
      </c>
      <c r="J649" s="83">
        <v>23.615167890132881</v>
      </c>
    </row>
    <row r="650" spans="1:10" ht="16">
      <c r="A650" s="79" t="s">
        <v>725</v>
      </c>
      <c r="B650" s="79" t="s">
        <v>661</v>
      </c>
      <c r="C650" s="80" t="s">
        <v>126</v>
      </c>
      <c r="D650" s="81" t="s">
        <v>101</v>
      </c>
      <c r="E650" s="82">
        <v>8579</v>
      </c>
      <c r="F650" s="82">
        <v>600</v>
      </c>
      <c r="G650" s="82">
        <v>429</v>
      </c>
      <c r="H650" s="83">
        <v>13.204471626203894</v>
      </c>
      <c r="I650" s="83">
        <v>2967.5953220821484</v>
      </c>
      <c r="J650" s="83">
        <v>19.462884396134378</v>
      </c>
    </row>
    <row r="651" spans="1:10" ht="16">
      <c r="A651" s="79" t="s">
        <v>965</v>
      </c>
      <c r="B651" s="79" t="s">
        <v>938</v>
      </c>
      <c r="C651" s="80" t="s">
        <v>95</v>
      </c>
      <c r="D651" s="81" t="s">
        <v>101</v>
      </c>
      <c r="E651" s="82">
        <v>9660</v>
      </c>
      <c r="F651" s="82">
        <v>911</v>
      </c>
      <c r="G651" s="82">
        <v>1063</v>
      </c>
      <c r="H651" s="83">
        <v>12.95951923972563</v>
      </c>
      <c r="I651" s="83">
        <v>3868.9019081311644</v>
      </c>
      <c r="J651" s="83">
        <v>18.685276047439245</v>
      </c>
    </row>
    <row r="652" spans="1:10" ht="16">
      <c r="A652" s="79" t="s">
        <v>1382</v>
      </c>
      <c r="B652" s="79" t="s">
        <v>1307</v>
      </c>
      <c r="C652" s="80" t="s">
        <v>95</v>
      </c>
      <c r="D652" s="81" t="s">
        <v>77</v>
      </c>
      <c r="E652" s="82">
        <v>30799</v>
      </c>
      <c r="F652" s="82">
        <v>1010</v>
      </c>
      <c r="G652" s="82">
        <v>2464</v>
      </c>
      <c r="H652" s="83">
        <v>24.841793162931122</v>
      </c>
      <c r="I652" s="83">
        <v>15177.808880097718</v>
      </c>
      <c r="J652" s="83">
        <v>23.746333173836923</v>
      </c>
    </row>
    <row r="653" spans="1:10" ht="16">
      <c r="A653" s="79" t="s">
        <v>191</v>
      </c>
      <c r="B653" s="79" t="s">
        <v>169</v>
      </c>
      <c r="C653" s="80" t="s">
        <v>95</v>
      </c>
      <c r="D653" s="81" t="s">
        <v>78</v>
      </c>
      <c r="E653" s="82">
        <v>12922</v>
      </c>
      <c r="F653" s="82">
        <v>1086</v>
      </c>
      <c r="G653" s="82">
        <v>129</v>
      </c>
      <c r="H653" s="83">
        <v>9.890306242063895</v>
      </c>
      <c r="I653" s="83">
        <v>1825.5115912385832</v>
      </c>
      <c r="J653" s="83">
        <v>18.987992891404708</v>
      </c>
    </row>
    <row r="654" spans="1:10" ht="16">
      <c r="A654" s="79" t="s">
        <v>624</v>
      </c>
      <c r="B654" s="79" t="s">
        <v>617</v>
      </c>
      <c r="C654" s="80" t="s">
        <v>95</v>
      </c>
      <c r="D654" s="81" t="s">
        <v>111</v>
      </c>
      <c r="E654" s="82">
        <v>71318</v>
      </c>
      <c r="F654" s="82">
        <v>3348</v>
      </c>
      <c r="G654" s="82">
        <v>4279</v>
      </c>
      <c r="H654" s="83">
        <v>40.039745986899668</v>
      </c>
      <c r="I654" s="83">
        <v>27943.898713583421</v>
      </c>
      <c r="J654" s="83">
        <v>40.783145562816777</v>
      </c>
    </row>
    <row r="655" spans="1:10" ht="16">
      <c r="A655" s="79" t="s">
        <v>726</v>
      </c>
      <c r="B655" s="79" t="s">
        <v>661</v>
      </c>
      <c r="C655" s="80" t="s">
        <v>126</v>
      </c>
      <c r="D655" s="81" t="s">
        <v>76</v>
      </c>
      <c r="E655" s="82">
        <v>1336</v>
      </c>
      <c r="F655" s="82">
        <v>382</v>
      </c>
      <c r="G655" s="82">
        <v>93</v>
      </c>
      <c r="H655" s="83">
        <v>12.155802744609186</v>
      </c>
      <c r="I655" s="83">
        <v>3808.5592521529966</v>
      </c>
      <c r="J655" s="83">
        <v>29.7945987253506</v>
      </c>
    </row>
    <row r="656" spans="1:10" ht="16">
      <c r="A656" s="79" t="s">
        <v>536</v>
      </c>
      <c r="B656" s="79" t="s">
        <v>493</v>
      </c>
      <c r="C656" s="80" t="s">
        <v>95</v>
      </c>
      <c r="D656" s="81" t="s">
        <v>101</v>
      </c>
      <c r="E656" s="82">
        <v>12234</v>
      </c>
      <c r="F656" s="82">
        <v>844</v>
      </c>
      <c r="G656" s="82">
        <v>274</v>
      </c>
      <c r="H656" s="83">
        <v>12.749988359107411</v>
      </c>
      <c r="I656" s="83">
        <v>3801.7384685180464</v>
      </c>
      <c r="J656" s="83">
        <v>17.755259633698053</v>
      </c>
    </row>
    <row r="657" spans="1:10" ht="16">
      <c r="A657" s="79" t="s">
        <v>537</v>
      </c>
      <c r="B657" s="79" t="s">
        <v>493</v>
      </c>
      <c r="C657" s="80" t="s">
        <v>126</v>
      </c>
      <c r="D657" s="81" t="s">
        <v>111</v>
      </c>
      <c r="E657" s="82">
        <v>14381</v>
      </c>
      <c r="F657" s="82">
        <v>851</v>
      </c>
      <c r="G657" s="82">
        <v>144</v>
      </c>
      <c r="H657" s="83">
        <v>9.4104200090571055</v>
      </c>
      <c r="I657" s="83">
        <v>920.11535572428772</v>
      </c>
      <c r="J657" s="83">
        <v>19.131948944315894</v>
      </c>
    </row>
    <row r="658" spans="1:10" ht="16">
      <c r="A658" s="79" t="s">
        <v>538</v>
      </c>
      <c r="B658" s="79" t="s">
        <v>493</v>
      </c>
      <c r="C658" s="80" t="s">
        <v>95</v>
      </c>
      <c r="D658" s="81" t="s">
        <v>77</v>
      </c>
      <c r="E658" s="82">
        <v>6056</v>
      </c>
      <c r="F658" s="82">
        <v>477</v>
      </c>
      <c r="G658" s="82">
        <v>121</v>
      </c>
      <c r="H658" s="83">
        <v>19.048660785209535</v>
      </c>
      <c r="I658" s="83">
        <v>8653.6860264287407</v>
      </c>
      <c r="J658" s="83">
        <v>39.270156835066416</v>
      </c>
    </row>
    <row r="659" spans="1:10" ht="16">
      <c r="A659" s="79" t="s">
        <v>406</v>
      </c>
      <c r="B659" s="79" t="s">
        <v>396</v>
      </c>
      <c r="C659" s="80" t="s">
        <v>95</v>
      </c>
      <c r="D659" s="81" t="s">
        <v>149</v>
      </c>
      <c r="E659" s="82">
        <v>11915</v>
      </c>
      <c r="F659" s="82">
        <v>264</v>
      </c>
      <c r="G659" s="82">
        <v>4051</v>
      </c>
      <c r="H659" s="83">
        <v>27.453030043131122</v>
      </c>
      <c r="I659" s="83">
        <v>15345.399242828402</v>
      </c>
      <c r="J659" s="83">
        <v>29.988221447024912</v>
      </c>
    </row>
    <row r="660" spans="1:10" ht="16">
      <c r="A660" s="79" t="s">
        <v>625</v>
      </c>
      <c r="B660" s="79" t="s">
        <v>617</v>
      </c>
      <c r="C660" s="80" t="s">
        <v>126</v>
      </c>
      <c r="D660" s="81" t="s">
        <v>149</v>
      </c>
      <c r="E660" s="82">
        <v>558</v>
      </c>
      <c r="F660" s="82">
        <v>82</v>
      </c>
      <c r="G660" s="82">
        <v>61</v>
      </c>
      <c r="H660" s="83">
        <v>38.759405406040941</v>
      </c>
      <c r="I660" s="83">
        <v>30229.30137479378</v>
      </c>
      <c r="J660" s="83">
        <v>57.725080126395973</v>
      </c>
    </row>
    <row r="661" spans="1:10" ht="16">
      <c r="A661" s="79" t="s">
        <v>966</v>
      </c>
      <c r="B661" s="79" t="s">
        <v>938</v>
      </c>
      <c r="C661" s="80" t="s">
        <v>95</v>
      </c>
      <c r="D661" s="81" t="s">
        <v>96</v>
      </c>
      <c r="E661" s="82">
        <v>15354</v>
      </c>
      <c r="F661" s="82">
        <v>1872</v>
      </c>
      <c r="G661" s="82">
        <v>2457</v>
      </c>
      <c r="H661" s="83">
        <v>10.407744488072117</v>
      </c>
      <c r="I661" s="83">
        <v>261.35604738044896</v>
      </c>
      <c r="J661" s="83">
        <v>24.600743746064602</v>
      </c>
    </row>
    <row r="662" spans="1:10" ht="16">
      <c r="A662" s="79" t="s">
        <v>1027</v>
      </c>
      <c r="B662" s="79" t="s">
        <v>1007</v>
      </c>
      <c r="C662" s="80" t="s">
        <v>126</v>
      </c>
      <c r="D662" s="81" t="s">
        <v>77</v>
      </c>
      <c r="E662" s="82">
        <v>12119</v>
      </c>
      <c r="F662" s="82">
        <v>713</v>
      </c>
      <c r="G662" s="82">
        <v>1212</v>
      </c>
      <c r="H662" s="83">
        <v>20.846851522592786</v>
      </c>
      <c r="I662" s="83">
        <v>15710.7637522159</v>
      </c>
      <c r="J662" s="83">
        <v>24.006078081647289</v>
      </c>
    </row>
    <row r="663" spans="1:10" ht="16">
      <c r="A663" s="79" t="s">
        <v>487</v>
      </c>
      <c r="B663" s="79" t="s">
        <v>485</v>
      </c>
      <c r="C663" s="80" t="s">
        <v>95</v>
      </c>
      <c r="D663" s="81" t="s">
        <v>101</v>
      </c>
      <c r="E663" s="82">
        <v>10996</v>
      </c>
      <c r="F663" s="82">
        <v>1122</v>
      </c>
      <c r="G663" s="82">
        <v>3409</v>
      </c>
      <c r="H663" s="83">
        <v>12.995259422846857</v>
      </c>
      <c r="I663" s="83">
        <v>9126.9596002899998</v>
      </c>
      <c r="J663" s="83">
        <v>27.190384225220683</v>
      </c>
    </row>
    <row r="664" spans="1:10" ht="16">
      <c r="A664" s="79" t="s">
        <v>570</v>
      </c>
      <c r="B664" s="79" t="s">
        <v>556</v>
      </c>
      <c r="C664" s="80" t="s">
        <v>126</v>
      </c>
      <c r="D664" s="81" t="s">
        <v>103</v>
      </c>
      <c r="E664" s="82">
        <v>12496</v>
      </c>
      <c r="F664" s="82">
        <v>811</v>
      </c>
      <c r="G664" s="82">
        <v>125</v>
      </c>
      <c r="H664" s="83">
        <v>10.892630812520844</v>
      </c>
      <c r="I664" s="83">
        <v>3925.0049034621966</v>
      </c>
      <c r="J664" s="83">
        <v>16.968605010419235</v>
      </c>
    </row>
    <row r="665" spans="1:10" ht="16">
      <c r="A665" s="79" t="s">
        <v>1028</v>
      </c>
      <c r="B665" s="79" t="s">
        <v>1007</v>
      </c>
      <c r="C665" s="80" t="s">
        <v>126</v>
      </c>
      <c r="D665" s="81" t="s">
        <v>96</v>
      </c>
      <c r="E665" s="82">
        <v>26182</v>
      </c>
      <c r="F665" s="82">
        <v>2111</v>
      </c>
      <c r="G665" s="82">
        <v>3142</v>
      </c>
      <c r="H665" s="83">
        <v>71.740072668325809</v>
      </c>
      <c r="I665" s="83">
        <v>47658.313281554867</v>
      </c>
      <c r="J665" s="83">
        <v>73.188158479298679</v>
      </c>
    </row>
    <row r="666" spans="1:10" ht="16">
      <c r="A666" s="79" t="s">
        <v>1029</v>
      </c>
      <c r="B666" s="79" t="s">
        <v>1007</v>
      </c>
      <c r="C666" s="80" t="s">
        <v>126</v>
      </c>
      <c r="D666" s="81" t="s">
        <v>75</v>
      </c>
      <c r="E666" s="82">
        <v>11912</v>
      </c>
      <c r="F666" s="82">
        <v>693</v>
      </c>
      <c r="G666" s="82">
        <v>476</v>
      </c>
      <c r="H666" s="83">
        <v>13.540044821025614</v>
      </c>
      <c r="I666" s="83">
        <v>2120.0360234935133</v>
      </c>
      <c r="J666" s="83">
        <v>17.726279547715318</v>
      </c>
    </row>
    <row r="667" spans="1:10" ht="16">
      <c r="A667" s="79" t="s">
        <v>551</v>
      </c>
      <c r="B667" s="79" t="s">
        <v>549</v>
      </c>
      <c r="C667" s="80" t="s">
        <v>126</v>
      </c>
      <c r="D667" s="81" t="s">
        <v>76</v>
      </c>
      <c r="E667" s="82">
        <v>14624</v>
      </c>
      <c r="F667" s="82">
        <v>1380</v>
      </c>
      <c r="G667" s="82">
        <v>585</v>
      </c>
      <c r="H667" s="83">
        <v>11.779587905136886</v>
      </c>
      <c r="I667" s="83">
        <v>2607.600936145388</v>
      </c>
      <c r="J667" s="83">
        <v>19.902664365271686</v>
      </c>
    </row>
    <row r="668" spans="1:10" ht="16">
      <c r="A668" s="79" t="s">
        <v>571</v>
      </c>
      <c r="B668" s="79" t="s">
        <v>556</v>
      </c>
      <c r="C668" s="80" t="s">
        <v>95</v>
      </c>
      <c r="D668" s="81" t="s">
        <v>149</v>
      </c>
      <c r="E668" s="82">
        <v>6350</v>
      </c>
      <c r="F668" s="82">
        <v>327</v>
      </c>
      <c r="G668" s="82">
        <v>292</v>
      </c>
      <c r="H668" s="83">
        <v>12.334294388023922</v>
      </c>
      <c r="I668" s="83">
        <v>1231.1865495605525</v>
      </c>
      <c r="J668" s="83">
        <v>20.196418786473131</v>
      </c>
    </row>
    <row r="669" spans="1:10" ht="16">
      <c r="A669" s="79" t="s">
        <v>572</v>
      </c>
      <c r="B669" s="79" t="s">
        <v>556</v>
      </c>
      <c r="C669" s="80" t="s">
        <v>95</v>
      </c>
      <c r="D669" s="81" t="s">
        <v>103</v>
      </c>
      <c r="E669" s="82">
        <v>14998</v>
      </c>
      <c r="F669" s="82">
        <v>638</v>
      </c>
      <c r="G669" s="82">
        <v>689</v>
      </c>
      <c r="H669" s="83">
        <v>14.059129463572464</v>
      </c>
      <c r="I669" s="83">
        <v>2069.3480212597083</v>
      </c>
      <c r="J669" s="83">
        <v>18.484551740047273</v>
      </c>
    </row>
    <row r="670" spans="1:10" ht="16">
      <c r="A670" s="79" t="s">
        <v>573</v>
      </c>
      <c r="B670" s="79" t="s">
        <v>556</v>
      </c>
      <c r="C670" s="80" t="s">
        <v>95</v>
      </c>
      <c r="D670" s="81" t="s">
        <v>75</v>
      </c>
      <c r="E670" s="82">
        <v>18403</v>
      </c>
      <c r="F670" s="82">
        <v>860</v>
      </c>
      <c r="G670" s="82">
        <v>368</v>
      </c>
      <c r="H670" s="83">
        <v>19.046937017156846</v>
      </c>
      <c r="I670" s="83">
        <v>7251.9368231899352</v>
      </c>
      <c r="J670" s="83">
        <v>22.353971937215629</v>
      </c>
    </row>
    <row r="671" spans="1:10" ht="16">
      <c r="A671" s="79" t="s">
        <v>574</v>
      </c>
      <c r="B671" s="79" t="s">
        <v>556</v>
      </c>
      <c r="C671" s="80" t="s">
        <v>95</v>
      </c>
      <c r="D671" s="81" t="s">
        <v>96</v>
      </c>
      <c r="E671" s="82">
        <v>12713</v>
      </c>
      <c r="F671" s="82">
        <v>1397</v>
      </c>
      <c r="G671" s="82">
        <v>254</v>
      </c>
      <c r="H671" s="83">
        <v>15.21162362061629</v>
      </c>
      <c r="I671" s="83">
        <v>5451.1045626340201</v>
      </c>
      <c r="J671" s="83">
        <v>43.844293577020451</v>
      </c>
    </row>
    <row r="672" spans="1:10" ht="16">
      <c r="A672" s="79" t="s">
        <v>575</v>
      </c>
      <c r="B672" s="79" t="s">
        <v>556</v>
      </c>
      <c r="C672" s="80" t="s">
        <v>95</v>
      </c>
      <c r="D672" s="81" t="s">
        <v>75</v>
      </c>
      <c r="E672" s="82">
        <v>12309</v>
      </c>
      <c r="F672" s="82">
        <v>583</v>
      </c>
      <c r="G672" s="82">
        <v>246</v>
      </c>
      <c r="H672" s="83">
        <v>18.989103771952063</v>
      </c>
      <c r="I672" s="83">
        <v>2995.4785085767567</v>
      </c>
      <c r="J672" s="83">
        <v>27.219177779449353</v>
      </c>
    </row>
    <row r="673" spans="1:10" ht="16">
      <c r="A673" s="79" t="s">
        <v>576</v>
      </c>
      <c r="B673" s="79" t="s">
        <v>556</v>
      </c>
      <c r="C673" s="80" t="s">
        <v>95</v>
      </c>
      <c r="D673" s="81" t="s">
        <v>78</v>
      </c>
      <c r="E673" s="82">
        <v>7378</v>
      </c>
      <c r="F673" s="82">
        <v>324</v>
      </c>
      <c r="G673" s="82">
        <v>339</v>
      </c>
      <c r="H673" s="83">
        <v>12.076995582717787</v>
      </c>
      <c r="I673" s="83">
        <v>3960.6627342178153</v>
      </c>
      <c r="J673" s="83">
        <v>16.567167155474717</v>
      </c>
    </row>
    <row r="674" spans="1:10" ht="16">
      <c r="A674" s="79" t="s">
        <v>577</v>
      </c>
      <c r="B674" s="79" t="s">
        <v>556</v>
      </c>
      <c r="C674" s="80" t="s">
        <v>126</v>
      </c>
      <c r="D674" s="81" t="s">
        <v>111</v>
      </c>
      <c r="E674" s="82">
        <v>8448</v>
      </c>
      <c r="F674" s="82">
        <v>343</v>
      </c>
      <c r="G674" s="82">
        <v>588</v>
      </c>
      <c r="H674" s="83">
        <v>14.067872879273777</v>
      </c>
      <c r="I674" s="83">
        <v>3859.3267634073163</v>
      </c>
      <c r="J674" s="83">
        <v>17.930021447955973</v>
      </c>
    </row>
    <row r="675" spans="1:10" ht="16">
      <c r="A675" s="79" t="s">
        <v>288</v>
      </c>
      <c r="B675" s="79" t="s">
        <v>242</v>
      </c>
      <c r="C675" s="80" t="s">
        <v>126</v>
      </c>
      <c r="D675" s="81" t="s">
        <v>103</v>
      </c>
      <c r="E675" s="82">
        <v>45767</v>
      </c>
      <c r="F675" s="82">
        <v>3135</v>
      </c>
      <c r="G675" s="82">
        <v>3204</v>
      </c>
      <c r="H675" s="83">
        <v>29.788520688821997</v>
      </c>
      <c r="I675" s="83">
        <v>10322.913383398905</v>
      </c>
      <c r="J675" s="83">
        <v>33.191025844784157</v>
      </c>
    </row>
    <row r="676" spans="1:10" ht="16">
      <c r="A676" s="79" t="s">
        <v>289</v>
      </c>
      <c r="B676" s="79" t="s">
        <v>242</v>
      </c>
      <c r="C676" s="80" t="s">
        <v>126</v>
      </c>
      <c r="D676" s="81" t="s">
        <v>101</v>
      </c>
      <c r="E676" s="82">
        <v>38853</v>
      </c>
      <c r="F676" s="82">
        <v>3500</v>
      </c>
      <c r="G676" s="82">
        <v>5051</v>
      </c>
      <c r="H676" s="83">
        <v>63.959736779358863</v>
      </c>
      <c r="I676" s="83">
        <v>30223.714138815376</v>
      </c>
      <c r="J676" s="83">
        <v>58.383843944360443</v>
      </c>
    </row>
    <row r="677" spans="1:10" ht="16">
      <c r="A677" s="79" t="s">
        <v>290</v>
      </c>
      <c r="B677" s="79" t="s">
        <v>242</v>
      </c>
      <c r="C677" s="80" t="s">
        <v>126</v>
      </c>
      <c r="D677" s="81" t="s">
        <v>111</v>
      </c>
      <c r="E677" s="82">
        <v>23789</v>
      </c>
      <c r="F677" s="82">
        <v>1329</v>
      </c>
      <c r="G677" s="82">
        <v>714</v>
      </c>
      <c r="H677" s="83">
        <v>10.391180227848604</v>
      </c>
      <c r="I677" s="83">
        <v>3982.7159688620636</v>
      </c>
      <c r="J677" s="83">
        <v>15.289911095249328</v>
      </c>
    </row>
    <row r="678" spans="1:10" ht="16">
      <c r="A678" s="79" t="s">
        <v>291</v>
      </c>
      <c r="B678" s="79" t="s">
        <v>242</v>
      </c>
      <c r="C678" s="80" t="s">
        <v>126</v>
      </c>
      <c r="D678" s="81" t="s">
        <v>96</v>
      </c>
      <c r="E678" s="82">
        <v>36637</v>
      </c>
      <c r="F678" s="82">
        <v>3242</v>
      </c>
      <c r="G678" s="82">
        <v>2198</v>
      </c>
      <c r="H678" s="83">
        <v>25.6670260589549</v>
      </c>
      <c r="I678" s="83">
        <v>7346.1251670339689</v>
      </c>
      <c r="J678" s="83">
        <v>21.20942118078467</v>
      </c>
    </row>
    <row r="679" spans="1:10" ht="16">
      <c r="A679" s="79" t="s">
        <v>292</v>
      </c>
      <c r="B679" s="79" t="s">
        <v>242</v>
      </c>
      <c r="C679" s="80" t="s">
        <v>95</v>
      </c>
      <c r="D679" s="81" t="s">
        <v>149</v>
      </c>
      <c r="E679" s="82">
        <v>15130</v>
      </c>
      <c r="F679" s="82">
        <v>1043</v>
      </c>
      <c r="G679" s="82">
        <v>757</v>
      </c>
      <c r="H679" s="83">
        <v>14.50621017903474</v>
      </c>
      <c r="I679" s="83">
        <v>4637.2081340413697</v>
      </c>
      <c r="J679" s="83">
        <v>28.229503767429296</v>
      </c>
    </row>
    <row r="680" spans="1:10" ht="16">
      <c r="A680" s="79" t="s">
        <v>293</v>
      </c>
      <c r="B680" s="79" t="s">
        <v>242</v>
      </c>
      <c r="C680" s="80" t="s">
        <v>126</v>
      </c>
      <c r="D680" s="81" t="s">
        <v>76</v>
      </c>
      <c r="E680" s="82">
        <v>10305</v>
      </c>
      <c r="F680" s="82">
        <v>881</v>
      </c>
      <c r="G680" s="82">
        <v>103</v>
      </c>
      <c r="H680" s="83">
        <v>14.899816213444003</v>
      </c>
      <c r="I680" s="83">
        <v>5646.0557576454366</v>
      </c>
      <c r="J680" s="83">
        <v>22.818582137288022</v>
      </c>
    </row>
    <row r="681" spans="1:10" ht="16">
      <c r="A681" s="79" t="s">
        <v>578</v>
      </c>
      <c r="B681" s="79" t="s">
        <v>556</v>
      </c>
      <c r="C681" s="80" t="s">
        <v>126</v>
      </c>
      <c r="D681" s="81" t="s">
        <v>77</v>
      </c>
      <c r="E681" s="82">
        <v>9260</v>
      </c>
      <c r="F681" s="82">
        <v>468</v>
      </c>
      <c r="G681" s="82">
        <v>185</v>
      </c>
      <c r="H681" s="83">
        <v>37.184828179075645</v>
      </c>
      <c r="I681" s="83">
        <v>15070.998393914726</v>
      </c>
      <c r="J681" s="83">
        <v>29.582691792977904</v>
      </c>
    </row>
    <row r="682" spans="1:10" ht="16">
      <c r="A682" s="79" t="s">
        <v>1249</v>
      </c>
      <c r="B682" s="79" t="s">
        <v>1209</v>
      </c>
      <c r="C682" s="80" t="s">
        <v>95</v>
      </c>
      <c r="D682" s="81" t="s">
        <v>96</v>
      </c>
      <c r="E682" s="82">
        <v>25119</v>
      </c>
      <c r="F682" s="82">
        <v>1478</v>
      </c>
      <c r="G682" s="82">
        <v>3265</v>
      </c>
      <c r="H682" s="83">
        <v>13.253786542218428</v>
      </c>
      <c r="I682" s="83">
        <v>5491.4076361836842</v>
      </c>
      <c r="J682" s="83">
        <v>17.811268504880822</v>
      </c>
    </row>
    <row r="683" spans="1:10" ht="16">
      <c r="A683" s="79" t="s">
        <v>294</v>
      </c>
      <c r="B683" s="79" t="s">
        <v>242</v>
      </c>
      <c r="C683" s="80" t="s">
        <v>126</v>
      </c>
      <c r="D683" s="81" t="s">
        <v>76</v>
      </c>
      <c r="E683" s="82">
        <v>35171</v>
      </c>
      <c r="F683" s="82">
        <v>2269</v>
      </c>
      <c r="G683" s="82">
        <v>352</v>
      </c>
      <c r="H683" s="83">
        <v>23.021883976837653</v>
      </c>
      <c r="I683" s="83">
        <v>16085.140551187089</v>
      </c>
      <c r="J683" s="83">
        <v>22.603031352340984</v>
      </c>
    </row>
    <row r="684" spans="1:10" ht="16">
      <c r="A684" s="79" t="s">
        <v>727</v>
      </c>
      <c r="B684" s="79" t="s">
        <v>661</v>
      </c>
      <c r="C684" s="80" t="s">
        <v>126</v>
      </c>
      <c r="D684" s="81" t="s">
        <v>75</v>
      </c>
      <c r="E684" s="82">
        <v>7886</v>
      </c>
      <c r="F684" s="82">
        <v>329</v>
      </c>
      <c r="G684" s="82">
        <v>1262</v>
      </c>
      <c r="H684" s="83">
        <v>12.701943596146444</v>
      </c>
      <c r="I684" s="83">
        <v>1258.5998489897727</v>
      </c>
      <c r="J684" s="83">
        <v>17.015759217445044</v>
      </c>
    </row>
    <row r="685" spans="1:10" ht="16">
      <c r="A685" s="79" t="s">
        <v>728</v>
      </c>
      <c r="B685" s="79" t="s">
        <v>661</v>
      </c>
      <c r="C685" s="80" t="s">
        <v>126</v>
      </c>
      <c r="D685" s="81" t="s">
        <v>75</v>
      </c>
      <c r="E685" s="82">
        <v>1164</v>
      </c>
      <c r="F685" s="82">
        <v>375</v>
      </c>
      <c r="G685" s="82">
        <v>23</v>
      </c>
      <c r="H685" s="83">
        <v>10.475855204736636</v>
      </c>
      <c r="I685" s="83">
        <v>2796.258261064675</v>
      </c>
      <c r="J685" s="83">
        <v>26.44516455451727</v>
      </c>
    </row>
    <row r="686" spans="1:10" ht="16">
      <c r="A686" s="79" t="s">
        <v>729</v>
      </c>
      <c r="B686" s="79" t="s">
        <v>661</v>
      </c>
      <c r="C686" s="80" t="s">
        <v>126</v>
      </c>
      <c r="D686" s="81" t="s">
        <v>77</v>
      </c>
      <c r="E686" s="82">
        <v>6086</v>
      </c>
      <c r="F686" s="82">
        <v>801</v>
      </c>
      <c r="G686" s="82">
        <v>122</v>
      </c>
      <c r="H686" s="83">
        <v>11.217363466309692</v>
      </c>
      <c r="I686" s="83">
        <v>1664.1607792203054</v>
      </c>
      <c r="J686" s="83">
        <v>21.502398754323757</v>
      </c>
    </row>
    <row r="687" spans="1:10" ht="16">
      <c r="A687" s="79" t="s">
        <v>730</v>
      </c>
      <c r="B687" s="79" t="s">
        <v>661</v>
      </c>
      <c r="C687" s="80" t="s">
        <v>126</v>
      </c>
      <c r="D687" s="81" t="s">
        <v>103</v>
      </c>
      <c r="E687" s="82">
        <v>10812</v>
      </c>
      <c r="F687" s="82">
        <v>1050</v>
      </c>
      <c r="G687" s="82">
        <v>324</v>
      </c>
      <c r="H687" s="83">
        <v>15.135581587224076</v>
      </c>
      <c r="I687" s="83">
        <v>4037.9141158836633</v>
      </c>
      <c r="J687" s="83">
        <v>22.112854550347468</v>
      </c>
    </row>
    <row r="688" spans="1:10" ht="16">
      <c r="A688" s="79" t="s">
        <v>579</v>
      </c>
      <c r="B688" s="79" t="s">
        <v>556</v>
      </c>
      <c r="C688" s="80" t="s">
        <v>126</v>
      </c>
      <c r="D688" s="81" t="s">
        <v>149</v>
      </c>
      <c r="E688" s="82">
        <v>14286</v>
      </c>
      <c r="F688" s="82">
        <v>693</v>
      </c>
      <c r="G688" s="82">
        <v>657</v>
      </c>
      <c r="H688" s="83">
        <v>25.52914104579915</v>
      </c>
      <c r="I688" s="83">
        <v>6811.1801941673721</v>
      </c>
      <c r="J688" s="83">
        <v>25.382690203364515</v>
      </c>
    </row>
    <row r="689" spans="1:10" ht="16">
      <c r="A689" s="79" t="s">
        <v>580</v>
      </c>
      <c r="B689" s="79" t="s">
        <v>556</v>
      </c>
      <c r="C689" s="80" t="s">
        <v>95</v>
      </c>
      <c r="D689" s="81" t="s">
        <v>149</v>
      </c>
      <c r="E689" s="82">
        <v>10465</v>
      </c>
      <c r="F689" s="82">
        <v>960</v>
      </c>
      <c r="G689" s="82">
        <v>209</v>
      </c>
      <c r="H689" s="83">
        <v>11.548595960976916</v>
      </c>
      <c r="I689" s="83">
        <v>2215.5098369817911</v>
      </c>
      <c r="J689" s="83">
        <v>16.74723922908489</v>
      </c>
    </row>
    <row r="690" spans="1:10" ht="16">
      <c r="A690" s="79" t="s">
        <v>581</v>
      </c>
      <c r="B690" s="79" t="s">
        <v>556</v>
      </c>
      <c r="C690" s="80" t="s">
        <v>126</v>
      </c>
      <c r="D690" s="81" t="s">
        <v>149</v>
      </c>
      <c r="E690" s="82">
        <v>1602</v>
      </c>
      <c r="F690" s="82">
        <v>101</v>
      </c>
      <c r="G690" s="82">
        <v>111</v>
      </c>
      <c r="H690" s="83">
        <v>20.909779839477917</v>
      </c>
      <c r="I690" s="83">
        <v>9478.3871616447159</v>
      </c>
      <c r="J690" s="83">
        <v>24.192849499274832</v>
      </c>
    </row>
    <row r="691" spans="1:10" ht="16">
      <c r="A691" s="79" t="s">
        <v>731</v>
      </c>
      <c r="B691" s="79" t="s">
        <v>661</v>
      </c>
      <c r="C691" s="80" t="s">
        <v>126</v>
      </c>
      <c r="D691" s="81" t="s">
        <v>103</v>
      </c>
      <c r="E691" s="82">
        <v>9956</v>
      </c>
      <c r="F691" s="82">
        <v>732</v>
      </c>
      <c r="G691" s="82">
        <v>299</v>
      </c>
      <c r="H691" s="83">
        <v>14.367467074472277</v>
      </c>
      <c r="I691" s="83">
        <v>1983.3514961565377</v>
      </c>
      <c r="J691" s="83">
        <v>18.377270889208056</v>
      </c>
    </row>
    <row r="692" spans="1:10" ht="16">
      <c r="A692" s="79" t="s">
        <v>732</v>
      </c>
      <c r="B692" s="79" t="s">
        <v>661</v>
      </c>
      <c r="C692" s="80" t="s">
        <v>95</v>
      </c>
      <c r="D692" s="81" t="s">
        <v>101</v>
      </c>
      <c r="E692" s="82">
        <v>3659</v>
      </c>
      <c r="F692" s="82">
        <v>1742</v>
      </c>
      <c r="G692" s="82">
        <v>37</v>
      </c>
      <c r="H692" s="83">
        <v>9.3827266817423762</v>
      </c>
      <c r="I692" s="83">
        <v>1757.8869491891764</v>
      </c>
      <c r="J692" s="83">
        <v>30.880825665333674</v>
      </c>
    </row>
    <row r="693" spans="1:10" ht="16">
      <c r="A693" s="79" t="s">
        <v>967</v>
      </c>
      <c r="B693" s="79" t="s">
        <v>938</v>
      </c>
      <c r="C693" s="80" t="s">
        <v>126</v>
      </c>
      <c r="D693" s="81" t="s">
        <v>111</v>
      </c>
      <c r="E693" s="82">
        <v>23800</v>
      </c>
      <c r="F693" s="82">
        <v>1425</v>
      </c>
      <c r="G693" s="82">
        <v>952</v>
      </c>
      <c r="H693" s="83">
        <v>13.436991866481705</v>
      </c>
      <c r="I693" s="83">
        <v>877.00542883245362</v>
      </c>
      <c r="J693" s="83">
        <v>18.554389076910475</v>
      </c>
    </row>
    <row r="694" spans="1:10" ht="16">
      <c r="A694" s="79" t="s">
        <v>295</v>
      </c>
      <c r="B694" s="79" t="s">
        <v>242</v>
      </c>
      <c r="C694" s="80" t="s">
        <v>126</v>
      </c>
      <c r="D694" s="81" t="s">
        <v>77</v>
      </c>
      <c r="E694" s="82">
        <v>64648</v>
      </c>
      <c r="F694" s="82">
        <v>4685</v>
      </c>
      <c r="G694" s="82">
        <v>2586</v>
      </c>
      <c r="H694" s="83">
        <v>25.547324833664923</v>
      </c>
      <c r="I694" s="83">
        <v>9499.6472826194477</v>
      </c>
      <c r="J694" s="83">
        <v>31.089455180513689</v>
      </c>
    </row>
    <row r="695" spans="1:10" ht="16">
      <c r="A695" s="79" t="s">
        <v>834</v>
      </c>
      <c r="B695" s="79" t="s">
        <v>833</v>
      </c>
      <c r="C695" s="80" t="s">
        <v>126</v>
      </c>
      <c r="D695" s="81" t="s">
        <v>99</v>
      </c>
      <c r="E695" s="82">
        <v>90736</v>
      </c>
      <c r="F695" s="82">
        <v>1589</v>
      </c>
      <c r="G695" s="82">
        <v>1815</v>
      </c>
      <c r="H695" s="83">
        <v>8.0484254601117016</v>
      </c>
      <c r="I695" s="83">
        <v>4065.0267346091437</v>
      </c>
      <c r="J695" s="83">
        <v>25.732910705625081</v>
      </c>
    </row>
    <row r="696" spans="1:10" ht="16">
      <c r="A696" s="79" t="s">
        <v>904</v>
      </c>
      <c r="B696" s="79" t="s">
        <v>898</v>
      </c>
      <c r="C696" s="80" t="s">
        <v>126</v>
      </c>
      <c r="D696" s="81" t="s">
        <v>75</v>
      </c>
      <c r="E696" s="82">
        <v>20646</v>
      </c>
      <c r="F696" s="82">
        <v>1639</v>
      </c>
      <c r="G696" s="82">
        <v>206</v>
      </c>
      <c r="H696" s="83">
        <v>10.116789722649818</v>
      </c>
      <c r="I696" s="83">
        <v>2969.4631765019949</v>
      </c>
      <c r="J696" s="83">
        <v>17.015641299719299</v>
      </c>
    </row>
    <row r="697" spans="1:10" ht="16">
      <c r="A697" s="79" t="s">
        <v>1149</v>
      </c>
      <c r="B697" s="79" t="s">
        <v>1139</v>
      </c>
      <c r="C697" s="80" t="s">
        <v>95</v>
      </c>
      <c r="D697" s="81" t="s">
        <v>75</v>
      </c>
      <c r="E697" s="82">
        <v>24542</v>
      </c>
      <c r="F697" s="82">
        <v>1239</v>
      </c>
      <c r="G697" s="82">
        <v>736</v>
      </c>
      <c r="H697" s="83">
        <v>8.6202252130900447</v>
      </c>
      <c r="I697" s="83">
        <v>1131.4675647146055</v>
      </c>
      <c r="J697" s="83">
        <v>16.093968374107906</v>
      </c>
    </row>
    <row r="698" spans="1:10" ht="16">
      <c r="A698" s="79" t="s">
        <v>212</v>
      </c>
      <c r="B698" s="79" t="s">
        <v>203</v>
      </c>
      <c r="C698" s="80" t="s">
        <v>95</v>
      </c>
      <c r="D698" s="81" t="s">
        <v>78</v>
      </c>
      <c r="E698" s="82">
        <v>26521</v>
      </c>
      <c r="F698" s="82">
        <v>971</v>
      </c>
      <c r="G698" s="82">
        <v>7956</v>
      </c>
      <c r="H698" s="83">
        <v>35.572117296736103</v>
      </c>
      <c r="I698" s="83">
        <v>26747.708697096248</v>
      </c>
      <c r="J698" s="83">
        <v>24.115650833390411</v>
      </c>
    </row>
    <row r="699" spans="1:10" ht="16">
      <c r="A699" s="79" t="s">
        <v>990</v>
      </c>
      <c r="B699" s="79" t="s">
        <v>989</v>
      </c>
      <c r="C699" s="80" t="s">
        <v>95</v>
      </c>
      <c r="D699" s="81" t="s">
        <v>78</v>
      </c>
      <c r="E699" s="82">
        <v>6570</v>
      </c>
      <c r="F699" s="82">
        <v>466</v>
      </c>
      <c r="G699" s="82">
        <v>131</v>
      </c>
      <c r="H699" s="83">
        <v>8.7080623483519037</v>
      </c>
      <c r="I699" s="83">
        <v>817.17276173915559</v>
      </c>
      <c r="J699" s="83">
        <v>18.201586914674071</v>
      </c>
    </row>
    <row r="700" spans="1:10" ht="16">
      <c r="A700" s="79" t="s">
        <v>991</v>
      </c>
      <c r="B700" s="79" t="s">
        <v>989</v>
      </c>
      <c r="C700" s="80" t="s">
        <v>126</v>
      </c>
      <c r="D700" s="81" t="s">
        <v>101</v>
      </c>
      <c r="E700" s="82">
        <v>13108</v>
      </c>
      <c r="F700" s="82">
        <v>986</v>
      </c>
      <c r="G700" s="82">
        <v>393</v>
      </c>
      <c r="H700" s="83">
        <v>12.981409210300036</v>
      </c>
      <c r="I700" s="83">
        <v>1217.0971355065285</v>
      </c>
      <c r="J700" s="83">
        <v>22.606145021353797</v>
      </c>
    </row>
    <row r="701" spans="1:10" ht="16">
      <c r="A701" s="79" t="s">
        <v>1250</v>
      </c>
      <c r="B701" s="79" t="s">
        <v>1209</v>
      </c>
      <c r="C701" s="80" t="s">
        <v>95</v>
      </c>
      <c r="D701" s="81" t="s">
        <v>111</v>
      </c>
      <c r="E701" s="82">
        <v>5194</v>
      </c>
      <c r="F701" s="82">
        <v>429</v>
      </c>
      <c r="G701" s="82">
        <v>2753</v>
      </c>
      <c r="H701" s="83">
        <v>38.647986338921591</v>
      </c>
      <c r="I701" s="83">
        <v>11768.978284579935</v>
      </c>
      <c r="J701" s="83">
        <v>42.482659924133664</v>
      </c>
    </row>
    <row r="702" spans="1:10" ht="16">
      <c r="A702" s="79" t="s">
        <v>200</v>
      </c>
      <c r="B702" s="79" t="s">
        <v>201</v>
      </c>
      <c r="C702" s="80" t="s">
        <v>95</v>
      </c>
      <c r="D702" s="81" t="s">
        <v>78</v>
      </c>
      <c r="E702" s="82">
        <v>21988</v>
      </c>
      <c r="F702" s="82">
        <v>2364</v>
      </c>
      <c r="G702" s="82">
        <v>1319</v>
      </c>
      <c r="H702" s="83">
        <v>10.368813153902122</v>
      </c>
      <c r="I702" s="83">
        <v>1373.4240109035213</v>
      </c>
      <c r="J702" s="83">
        <v>21.321101757647359</v>
      </c>
    </row>
    <row r="703" spans="1:10" ht="16">
      <c r="A703" s="79" t="s">
        <v>1030</v>
      </c>
      <c r="B703" s="79" t="s">
        <v>1007</v>
      </c>
      <c r="C703" s="80" t="s">
        <v>126</v>
      </c>
      <c r="D703" s="81" t="s">
        <v>79</v>
      </c>
      <c r="E703" s="82">
        <v>9559</v>
      </c>
      <c r="F703" s="82">
        <v>417</v>
      </c>
      <c r="G703" s="82">
        <v>1051</v>
      </c>
      <c r="H703" s="83">
        <v>29.053377108646789</v>
      </c>
      <c r="I703" s="83">
        <v>6660.410147472644</v>
      </c>
      <c r="J703" s="83">
        <v>24.627853043627919</v>
      </c>
    </row>
    <row r="704" spans="1:10" ht="16">
      <c r="A704" s="79" t="s">
        <v>378</v>
      </c>
      <c r="B704" s="79" t="s">
        <v>363</v>
      </c>
      <c r="C704" s="80" t="s">
        <v>95</v>
      </c>
      <c r="D704" s="81" t="s">
        <v>96</v>
      </c>
      <c r="E704" s="82">
        <v>52056</v>
      </c>
      <c r="F704" s="82">
        <v>1808</v>
      </c>
      <c r="G704" s="82">
        <v>1165</v>
      </c>
      <c r="H704" s="83">
        <v>8.3902584211147904</v>
      </c>
      <c r="I704" s="83">
        <v>2638.4193246213567</v>
      </c>
      <c r="J704" s="83">
        <v>13.827896563800405</v>
      </c>
    </row>
    <row r="705" spans="1:10" ht="16">
      <c r="A705" s="79" t="s">
        <v>296</v>
      </c>
      <c r="B705" s="79" t="s">
        <v>242</v>
      </c>
      <c r="C705" s="80" t="s">
        <v>95</v>
      </c>
      <c r="D705" s="81" t="s">
        <v>76</v>
      </c>
      <c r="E705" s="82">
        <v>44835</v>
      </c>
      <c r="F705" s="82">
        <v>2734</v>
      </c>
      <c r="G705" s="82">
        <v>3138</v>
      </c>
      <c r="H705" s="83">
        <v>21.735362714631531</v>
      </c>
      <c r="I705" s="83">
        <v>14190.309578422271</v>
      </c>
      <c r="J705" s="83">
        <v>23.677669260777229</v>
      </c>
    </row>
    <row r="706" spans="1:10" ht="16">
      <c r="A706" s="79" t="s">
        <v>1031</v>
      </c>
      <c r="B706" s="79" t="s">
        <v>1007</v>
      </c>
      <c r="C706" s="80" t="s">
        <v>126</v>
      </c>
      <c r="D706" s="81" t="s">
        <v>75</v>
      </c>
      <c r="E706" s="82">
        <v>15516</v>
      </c>
      <c r="F706" s="82">
        <v>848</v>
      </c>
      <c r="G706" s="82">
        <v>931</v>
      </c>
      <c r="H706" s="83">
        <v>11.227709620092071</v>
      </c>
      <c r="I706" s="83">
        <v>1629.5470302894496</v>
      </c>
      <c r="J706" s="83">
        <v>21.241368172339754</v>
      </c>
    </row>
    <row r="707" spans="1:10" ht="16">
      <c r="A707" s="79" t="s">
        <v>733</v>
      </c>
      <c r="B707" s="79" t="s">
        <v>661</v>
      </c>
      <c r="C707" s="80" t="s">
        <v>95</v>
      </c>
      <c r="D707" s="81" t="s">
        <v>96</v>
      </c>
      <c r="E707" s="82">
        <v>13369</v>
      </c>
      <c r="F707" s="82">
        <v>552</v>
      </c>
      <c r="G707" s="82">
        <v>1203</v>
      </c>
      <c r="H707" s="83">
        <v>11.878628472302626</v>
      </c>
      <c r="I707" s="83">
        <v>1664.4430435627794</v>
      </c>
      <c r="J707" s="83">
        <v>22.150915672899604</v>
      </c>
    </row>
    <row r="708" spans="1:10" ht="16">
      <c r="A708" s="79" t="s">
        <v>407</v>
      </c>
      <c r="B708" s="79" t="s">
        <v>396</v>
      </c>
      <c r="C708" s="80" t="s">
        <v>95</v>
      </c>
      <c r="D708" s="81" t="s">
        <v>75</v>
      </c>
      <c r="E708" s="82">
        <v>43076</v>
      </c>
      <c r="F708" s="82">
        <v>3191</v>
      </c>
      <c r="G708" s="82">
        <v>8184</v>
      </c>
      <c r="H708" s="83">
        <v>50.935258814045667</v>
      </c>
      <c r="I708" s="83">
        <v>40505.08928775441</v>
      </c>
      <c r="J708" s="83">
        <v>62.505806500478236</v>
      </c>
    </row>
    <row r="709" spans="1:10" ht="16">
      <c r="A709" s="79" t="s">
        <v>297</v>
      </c>
      <c r="B709" s="79" t="s">
        <v>242</v>
      </c>
      <c r="C709" s="80" t="s">
        <v>126</v>
      </c>
      <c r="D709" s="81" t="s">
        <v>78</v>
      </c>
      <c r="E709" s="82">
        <v>41139</v>
      </c>
      <c r="F709" s="82">
        <v>2960</v>
      </c>
      <c r="G709" s="82">
        <v>2057</v>
      </c>
      <c r="H709" s="83">
        <v>29.273084538868293</v>
      </c>
      <c r="I709" s="83">
        <v>17847.566349475135</v>
      </c>
      <c r="J709" s="83">
        <v>24.639818297425457</v>
      </c>
    </row>
    <row r="710" spans="1:10" ht="16">
      <c r="A710" s="79" t="s">
        <v>968</v>
      </c>
      <c r="B710" s="79" t="s">
        <v>938</v>
      </c>
      <c r="C710" s="80" t="s">
        <v>126</v>
      </c>
      <c r="D710" s="81" t="s">
        <v>79</v>
      </c>
      <c r="E710" s="82">
        <v>28840</v>
      </c>
      <c r="F710" s="82">
        <v>1687</v>
      </c>
      <c r="G710" s="82">
        <v>1442</v>
      </c>
      <c r="H710" s="83">
        <v>10.844213604869704</v>
      </c>
      <c r="I710" s="83">
        <v>2194.8071382159528</v>
      </c>
      <c r="J710" s="83">
        <v>16.440786659951698</v>
      </c>
    </row>
    <row r="711" spans="1:10" ht="16">
      <c r="A711" s="79" t="s">
        <v>379</v>
      </c>
      <c r="B711" s="79" t="s">
        <v>363</v>
      </c>
      <c r="C711" s="80" t="s">
        <v>95</v>
      </c>
      <c r="D711" s="81" t="s">
        <v>78</v>
      </c>
      <c r="E711" s="82">
        <v>47488</v>
      </c>
      <c r="F711" s="82">
        <v>991</v>
      </c>
      <c r="G711" s="82">
        <v>950</v>
      </c>
      <c r="H711" s="83">
        <v>8.834953845932306</v>
      </c>
      <c r="I711" s="83">
        <v>3023.1801218198257</v>
      </c>
      <c r="J711" s="83">
        <v>13.636313074289205</v>
      </c>
    </row>
    <row r="712" spans="1:10" ht="16">
      <c r="A712" s="79" t="s">
        <v>298</v>
      </c>
      <c r="B712" s="79" t="s">
        <v>242</v>
      </c>
      <c r="C712" s="80" t="s">
        <v>126</v>
      </c>
      <c r="D712" s="81" t="s">
        <v>99</v>
      </c>
      <c r="E712" s="82">
        <v>32951</v>
      </c>
      <c r="F712" s="82">
        <v>2841</v>
      </c>
      <c r="G712" s="82">
        <v>1648</v>
      </c>
      <c r="H712" s="83">
        <v>33.912894114257611</v>
      </c>
      <c r="I712" s="83">
        <v>14296.417646943171</v>
      </c>
      <c r="J712" s="83">
        <v>30.53735518570258</v>
      </c>
    </row>
    <row r="713" spans="1:10" ht="16">
      <c r="A713" s="79" t="s">
        <v>127</v>
      </c>
      <c r="B713" s="79" t="s">
        <v>108</v>
      </c>
      <c r="C713" s="80" t="s">
        <v>95</v>
      </c>
      <c r="D713" s="81" t="s">
        <v>96</v>
      </c>
      <c r="E713" s="82">
        <v>9064</v>
      </c>
      <c r="F713" s="82">
        <v>363</v>
      </c>
      <c r="G713" s="82">
        <v>2266</v>
      </c>
      <c r="H713" s="83">
        <v>21.650394393142626</v>
      </c>
      <c r="I713" s="83">
        <v>10699.284399291924</v>
      </c>
      <c r="J713" s="83">
        <v>18.641673122313687</v>
      </c>
    </row>
    <row r="714" spans="1:10" ht="16">
      <c r="A714" s="79" t="s">
        <v>969</v>
      </c>
      <c r="B714" s="79" t="s">
        <v>938</v>
      </c>
      <c r="C714" s="80" t="s">
        <v>95</v>
      </c>
      <c r="D714" s="81" t="s">
        <v>75</v>
      </c>
      <c r="E714" s="82">
        <v>19038</v>
      </c>
      <c r="F714" s="82">
        <v>2092</v>
      </c>
      <c r="G714" s="82">
        <v>1713</v>
      </c>
      <c r="H714" s="83">
        <v>10.212035586839058</v>
      </c>
      <c r="I714" s="83">
        <v>2060.4079484628478</v>
      </c>
      <c r="J714" s="83">
        <v>20.81265598601388</v>
      </c>
    </row>
    <row r="715" spans="1:10" ht="16">
      <c r="A715" s="79" t="s">
        <v>299</v>
      </c>
      <c r="B715" s="79" t="s">
        <v>242</v>
      </c>
      <c r="C715" s="80" t="s">
        <v>95</v>
      </c>
      <c r="D715" s="81" t="s">
        <v>78</v>
      </c>
      <c r="E715" s="82">
        <v>19306</v>
      </c>
      <c r="F715" s="82">
        <v>2925</v>
      </c>
      <c r="G715" s="82">
        <v>1351</v>
      </c>
      <c r="H715" s="83">
        <v>12.544746288987996</v>
      </c>
      <c r="I715" s="83">
        <v>3060.3695414479607</v>
      </c>
      <c r="J715" s="83">
        <v>27.874875416362297</v>
      </c>
    </row>
    <row r="716" spans="1:10" ht="16">
      <c r="A716" s="79" t="s">
        <v>300</v>
      </c>
      <c r="B716" s="79" t="s">
        <v>242</v>
      </c>
      <c r="C716" s="80" t="s">
        <v>126</v>
      </c>
      <c r="D716" s="81" t="s">
        <v>96</v>
      </c>
      <c r="E716" s="82">
        <v>3198</v>
      </c>
      <c r="F716" s="82">
        <v>337</v>
      </c>
      <c r="G716" s="82">
        <v>220</v>
      </c>
      <c r="H716" s="83">
        <v>24.382605564839615</v>
      </c>
      <c r="I716" s="83">
        <v>20118.691488486453</v>
      </c>
      <c r="J716" s="83">
        <v>24.377986931346896</v>
      </c>
    </row>
    <row r="717" spans="1:10" ht="16">
      <c r="A717" s="79" t="s">
        <v>301</v>
      </c>
      <c r="B717" s="79" t="s">
        <v>242</v>
      </c>
      <c r="C717" s="80" t="s">
        <v>126</v>
      </c>
      <c r="D717" s="81" t="s">
        <v>75</v>
      </c>
      <c r="E717" s="82">
        <v>38059</v>
      </c>
      <c r="F717" s="82">
        <v>2394</v>
      </c>
      <c r="G717" s="82">
        <v>761</v>
      </c>
      <c r="H717" s="83">
        <v>17.397765045742261</v>
      </c>
      <c r="I717" s="83">
        <v>3459.8709891402782</v>
      </c>
      <c r="J717" s="83">
        <v>17.977153898687749</v>
      </c>
    </row>
    <row r="718" spans="1:10" ht="16">
      <c r="A718" s="79" t="s">
        <v>302</v>
      </c>
      <c r="B718" s="79" t="s">
        <v>242</v>
      </c>
      <c r="C718" s="80" t="s">
        <v>95</v>
      </c>
      <c r="D718" s="81" t="s">
        <v>96</v>
      </c>
      <c r="E718" s="82">
        <v>22283</v>
      </c>
      <c r="F718" s="82">
        <v>1401</v>
      </c>
      <c r="G718" s="82">
        <v>446</v>
      </c>
      <c r="H718" s="83">
        <v>12.158853653650922</v>
      </c>
      <c r="I718" s="83">
        <v>5613.7140233380842</v>
      </c>
      <c r="J718" s="83">
        <v>18.117929104624139</v>
      </c>
    </row>
    <row r="719" spans="1:10" ht="16">
      <c r="A719" s="79" t="s">
        <v>539</v>
      </c>
      <c r="B719" s="79" t="s">
        <v>493</v>
      </c>
      <c r="C719" s="80" t="s">
        <v>126</v>
      </c>
      <c r="D719" s="81" t="s">
        <v>75</v>
      </c>
      <c r="E719" s="82">
        <v>7832</v>
      </c>
      <c r="F719" s="82">
        <v>505</v>
      </c>
      <c r="G719" s="82">
        <v>175</v>
      </c>
      <c r="H719" s="83">
        <v>10.626372620686992</v>
      </c>
      <c r="I719" s="83">
        <v>3287.1678590061001</v>
      </c>
      <c r="J719" s="83">
        <v>37.985090538163583</v>
      </c>
    </row>
    <row r="720" spans="1:10" ht="16">
      <c r="A720" s="79" t="s">
        <v>1150</v>
      </c>
      <c r="B720" s="79" t="s">
        <v>1139</v>
      </c>
      <c r="C720" s="80" t="s">
        <v>95</v>
      </c>
      <c r="D720" s="81" t="s">
        <v>101</v>
      </c>
      <c r="E720" s="82">
        <v>22247</v>
      </c>
      <c r="F720" s="82">
        <v>1279</v>
      </c>
      <c r="G720" s="82">
        <v>2112</v>
      </c>
      <c r="H720" s="83">
        <v>8.918685809505094</v>
      </c>
      <c r="I720" s="83">
        <v>1068.5433050361869</v>
      </c>
      <c r="J720" s="83">
        <v>20.827746552823026</v>
      </c>
    </row>
    <row r="721" spans="1:10" ht="16">
      <c r="A721" s="79" t="s">
        <v>540</v>
      </c>
      <c r="B721" s="79" t="s">
        <v>493</v>
      </c>
      <c r="C721" s="80" t="s">
        <v>126</v>
      </c>
      <c r="D721" s="81" t="s">
        <v>149</v>
      </c>
      <c r="E721" s="82">
        <v>51031</v>
      </c>
      <c r="F721" s="82">
        <v>3271</v>
      </c>
      <c r="G721" s="82">
        <v>1021</v>
      </c>
      <c r="H721" s="83">
        <v>9.1102816701356986</v>
      </c>
      <c r="I721" s="83">
        <v>1501.9604241157531</v>
      </c>
      <c r="J721" s="83">
        <v>16.981120299003784</v>
      </c>
    </row>
    <row r="722" spans="1:10" ht="16">
      <c r="A722" s="79" t="s">
        <v>734</v>
      </c>
      <c r="B722" s="79" t="s">
        <v>661</v>
      </c>
      <c r="C722" s="80" t="s">
        <v>126</v>
      </c>
      <c r="D722" s="81" t="s">
        <v>77</v>
      </c>
      <c r="E722" s="82">
        <v>846</v>
      </c>
      <c r="F722" s="82">
        <v>846</v>
      </c>
      <c r="G722" s="82">
        <v>8</v>
      </c>
      <c r="H722" s="83">
        <v>8.3976765927786765</v>
      </c>
      <c r="I722" s="83">
        <v>2933.6754137885141</v>
      </c>
      <c r="J722" s="83">
        <v>27.545020461650779</v>
      </c>
    </row>
    <row r="723" spans="1:10" ht="16">
      <c r="A723" s="79" t="s">
        <v>970</v>
      </c>
      <c r="B723" s="79" t="s">
        <v>938</v>
      </c>
      <c r="C723" s="80" t="s">
        <v>126</v>
      </c>
      <c r="D723" s="81" t="s">
        <v>149</v>
      </c>
      <c r="E723" s="82">
        <v>8021</v>
      </c>
      <c r="F723" s="82">
        <v>642</v>
      </c>
      <c r="G723" s="82">
        <v>1444</v>
      </c>
      <c r="H723" s="83">
        <v>13.246526672055703</v>
      </c>
      <c r="I723" s="83">
        <v>2679.7399025632631</v>
      </c>
      <c r="J723" s="83">
        <v>20.674217544818312</v>
      </c>
    </row>
    <row r="724" spans="1:10" ht="16">
      <c r="A724" s="79" t="s">
        <v>1251</v>
      </c>
      <c r="B724" s="79" t="s">
        <v>1209</v>
      </c>
      <c r="C724" s="80" t="s">
        <v>126</v>
      </c>
      <c r="D724" s="81" t="s">
        <v>78</v>
      </c>
      <c r="E724" s="82">
        <v>8558</v>
      </c>
      <c r="F724" s="82">
        <v>578</v>
      </c>
      <c r="G724" s="82">
        <v>1027</v>
      </c>
      <c r="H724" s="83">
        <v>10.334013427260738</v>
      </c>
      <c r="I724" s="83">
        <v>4227.6740997760744</v>
      </c>
      <c r="J724" s="83">
        <v>17.454600628358087</v>
      </c>
    </row>
    <row r="725" spans="1:10" ht="16">
      <c r="A725" s="79" t="s">
        <v>1383</v>
      </c>
      <c r="B725" s="79" t="s">
        <v>1307</v>
      </c>
      <c r="C725" s="80" t="s">
        <v>126</v>
      </c>
      <c r="D725" s="81" t="s">
        <v>101</v>
      </c>
      <c r="E725" s="82">
        <v>16135</v>
      </c>
      <c r="F725" s="82">
        <v>2210</v>
      </c>
      <c r="G725" s="82">
        <v>3711</v>
      </c>
      <c r="H725" s="83">
        <v>96.981127424959823</v>
      </c>
      <c r="I725" s="83">
        <v>96370.532927688153</v>
      </c>
      <c r="J725" s="83">
        <v>93.226920513344268</v>
      </c>
    </row>
    <row r="726" spans="1:10" ht="16">
      <c r="A726" s="79" t="s">
        <v>1384</v>
      </c>
      <c r="B726" s="79" t="s">
        <v>1307</v>
      </c>
      <c r="C726" s="80" t="s">
        <v>95</v>
      </c>
      <c r="D726" s="81" t="s">
        <v>101</v>
      </c>
      <c r="E726" s="82">
        <v>15947</v>
      </c>
      <c r="F726" s="82">
        <v>961</v>
      </c>
      <c r="G726" s="82">
        <v>1595</v>
      </c>
      <c r="H726" s="83">
        <v>35.97810077706572</v>
      </c>
      <c r="I726" s="83">
        <v>25818.593516479294</v>
      </c>
      <c r="J726" s="83">
        <v>24.333275714716205</v>
      </c>
    </row>
    <row r="727" spans="1:10" ht="16">
      <c r="A727" s="79" t="s">
        <v>192</v>
      </c>
      <c r="B727" s="79" t="s">
        <v>169</v>
      </c>
      <c r="C727" s="80" t="s">
        <v>95</v>
      </c>
      <c r="D727" s="81" t="s">
        <v>77</v>
      </c>
      <c r="E727" s="82">
        <v>11911</v>
      </c>
      <c r="F727" s="82">
        <v>953</v>
      </c>
      <c r="G727" s="82">
        <v>820</v>
      </c>
      <c r="H727" s="83">
        <v>9.1420125163856216</v>
      </c>
      <c r="I727" s="83">
        <v>2262.7591656156183</v>
      </c>
      <c r="J727" s="83">
        <v>18.553383407151369</v>
      </c>
    </row>
    <row r="728" spans="1:10" ht="16">
      <c r="A728" s="79" t="s">
        <v>193</v>
      </c>
      <c r="B728" s="79" t="s">
        <v>169</v>
      </c>
      <c r="C728" s="80" t="s">
        <v>95</v>
      </c>
      <c r="D728" s="81" t="s">
        <v>111</v>
      </c>
      <c r="E728" s="82">
        <v>3954</v>
      </c>
      <c r="F728" s="82">
        <v>841</v>
      </c>
      <c r="G728" s="82">
        <v>272</v>
      </c>
      <c r="H728" s="83">
        <v>7.6334975589890739</v>
      </c>
      <c r="I728" s="83">
        <v>648.52259968056364</v>
      </c>
      <c r="J728" s="83">
        <v>27.702587704471171</v>
      </c>
    </row>
    <row r="729" spans="1:10" ht="16">
      <c r="A729" s="79" t="s">
        <v>997</v>
      </c>
      <c r="B729" s="79" t="s">
        <v>996</v>
      </c>
      <c r="C729" s="80" t="s">
        <v>95</v>
      </c>
      <c r="D729" s="81" t="s">
        <v>99</v>
      </c>
      <c r="E729" s="82">
        <v>24308</v>
      </c>
      <c r="F729" s="82">
        <v>931</v>
      </c>
      <c r="G729" s="82">
        <v>1945</v>
      </c>
      <c r="H729" s="83">
        <v>35.541707523587007</v>
      </c>
      <c r="I729" s="83">
        <v>25813.709629425535</v>
      </c>
      <c r="J729" s="83">
        <v>30.421433125470173</v>
      </c>
    </row>
    <row r="730" spans="1:10" ht="16">
      <c r="A730" s="79" t="s">
        <v>1385</v>
      </c>
      <c r="B730" s="79" t="s">
        <v>1307</v>
      </c>
      <c r="C730" s="80" t="s">
        <v>126</v>
      </c>
      <c r="D730" s="81" t="s">
        <v>75</v>
      </c>
      <c r="E730" s="82">
        <v>5943</v>
      </c>
      <c r="F730" s="82">
        <v>356</v>
      </c>
      <c r="G730" s="82">
        <v>2258</v>
      </c>
      <c r="H730" s="83">
        <v>15.978365364628822</v>
      </c>
      <c r="I730" s="83">
        <v>9253.4016859063959</v>
      </c>
      <c r="J730" s="83">
        <v>23.132750161748401</v>
      </c>
    </row>
    <row r="731" spans="1:10" ht="16">
      <c r="A731" s="79" t="s">
        <v>1086</v>
      </c>
      <c r="B731" s="79" t="s">
        <v>1081</v>
      </c>
      <c r="C731" s="80" t="s">
        <v>126</v>
      </c>
      <c r="D731" s="81" t="s">
        <v>75</v>
      </c>
      <c r="E731" s="82">
        <v>27185</v>
      </c>
      <c r="F731" s="82">
        <v>1394</v>
      </c>
      <c r="G731" s="82">
        <v>3806</v>
      </c>
      <c r="H731" s="83">
        <v>46.818370813751017</v>
      </c>
      <c r="I731" s="83">
        <v>39462.439141836061</v>
      </c>
      <c r="J731" s="83">
        <v>30.648948041356736</v>
      </c>
    </row>
    <row r="732" spans="1:10" ht="16">
      <c r="A732" s="79" t="s">
        <v>1386</v>
      </c>
      <c r="B732" s="79" t="s">
        <v>1307</v>
      </c>
      <c r="C732" s="80" t="s">
        <v>126</v>
      </c>
      <c r="D732" s="81" t="s">
        <v>111</v>
      </c>
      <c r="E732" s="82">
        <v>24201</v>
      </c>
      <c r="F732" s="82">
        <v>2305</v>
      </c>
      <c r="G732" s="82">
        <v>5566</v>
      </c>
      <c r="H732" s="83">
        <v>24.484116656513898</v>
      </c>
      <c r="I732" s="83">
        <v>18125.947599591251</v>
      </c>
      <c r="J732" s="83">
        <v>34.981628655483739</v>
      </c>
    </row>
    <row r="733" spans="1:10" ht="16">
      <c r="A733" s="79" t="s">
        <v>380</v>
      </c>
      <c r="B733" s="79" t="s">
        <v>363</v>
      </c>
      <c r="C733" s="80" t="s">
        <v>95</v>
      </c>
      <c r="D733" s="81" t="s">
        <v>77</v>
      </c>
      <c r="E733" s="82">
        <v>35363</v>
      </c>
      <c r="F733" s="82">
        <v>3274</v>
      </c>
      <c r="G733" s="82">
        <v>354</v>
      </c>
      <c r="H733" s="83">
        <v>9.1858994872366679</v>
      </c>
      <c r="I733" s="83">
        <v>7222.8974426286231</v>
      </c>
      <c r="J733" s="83">
        <v>20.598147166696275</v>
      </c>
    </row>
    <row r="734" spans="1:10" ht="16">
      <c r="A734" s="79" t="s">
        <v>874</v>
      </c>
      <c r="B734" s="79" t="s">
        <v>875</v>
      </c>
      <c r="C734" s="80" t="s">
        <v>126</v>
      </c>
      <c r="D734" s="81" t="s">
        <v>103</v>
      </c>
      <c r="E734" s="82">
        <v>6823</v>
      </c>
      <c r="F734" s="82">
        <v>922</v>
      </c>
      <c r="G734" s="82">
        <v>273</v>
      </c>
      <c r="H734" s="83">
        <v>10.719996475816751</v>
      </c>
      <c r="I734" s="83">
        <v>2025.6686720940857</v>
      </c>
      <c r="J734" s="83">
        <v>23.945569917969028</v>
      </c>
    </row>
    <row r="735" spans="1:10" ht="16">
      <c r="A735" s="79" t="s">
        <v>1200</v>
      </c>
      <c r="B735" s="79" t="s">
        <v>1197</v>
      </c>
      <c r="C735" s="80" t="s">
        <v>126</v>
      </c>
      <c r="D735" s="81" t="s">
        <v>75</v>
      </c>
      <c r="E735" s="82">
        <v>9293</v>
      </c>
      <c r="F735" s="82">
        <v>894</v>
      </c>
      <c r="G735" s="82">
        <v>1208</v>
      </c>
      <c r="H735" s="83">
        <v>10.299579088837159</v>
      </c>
      <c r="I735" s="83">
        <v>1337.4615301222418</v>
      </c>
      <c r="J735" s="83">
        <v>19.972322175119416</v>
      </c>
    </row>
    <row r="736" spans="1:10" ht="16">
      <c r="A736" s="79" t="s">
        <v>303</v>
      </c>
      <c r="B736" s="79" t="s">
        <v>242</v>
      </c>
      <c r="C736" s="80" t="s">
        <v>95</v>
      </c>
      <c r="D736" s="81" t="s">
        <v>101</v>
      </c>
      <c r="E736" s="82">
        <v>53603</v>
      </c>
      <c r="F736" s="82">
        <v>3229</v>
      </c>
      <c r="G736" s="82">
        <v>4824</v>
      </c>
      <c r="H736" s="83">
        <v>36.049444509749492</v>
      </c>
      <c r="I736" s="83">
        <v>22780.454876243068</v>
      </c>
      <c r="J736" s="83">
        <v>43.855599920942652</v>
      </c>
    </row>
    <row r="737" spans="1:10" ht="16">
      <c r="A737" s="79" t="s">
        <v>1032</v>
      </c>
      <c r="B737" s="79" t="s">
        <v>1007</v>
      </c>
      <c r="C737" s="80" t="s">
        <v>126</v>
      </c>
      <c r="D737" s="81" t="s">
        <v>101</v>
      </c>
      <c r="E737" s="82">
        <v>23342</v>
      </c>
      <c r="F737" s="82">
        <v>1197</v>
      </c>
      <c r="G737" s="82">
        <v>3501</v>
      </c>
      <c r="H737" s="83">
        <v>61.341278895734497</v>
      </c>
      <c r="I737" s="83">
        <v>43054.288101707964</v>
      </c>
      <c r="J737" s="83">
        <v>58.418160182931857</v>
      </c>
    </row>
    <row r="738" spans="1:10" ht="16">
      <c r="A738" s="79" t="s">
        <v>1151</v>
      </c>
      <c r="B738" s="79" t="s">
        <v>1139</v>
      </c>
      <c r="C738" s="80" t="s">
        <v>95</v>
      </c>
      <c r="D738" s="81" t="s">
        <v>101</v>
      </c>
      <c r="E738" s="82">
        <v>15901</v>
      </c>
      <c r="F738" s="82">
        <v>466</v>
      </c>
      <c r="G738" s="82">
        <v>159</v>
      </c>
      <c r="H738" s="83">
        <v>13.020303793166157</v>
      </c>
      <c r="I738" s="83">
        <v>3336.9976680635209</v>
      </c>
      <c r="J738" s="83">
        <v>20.467749331427918</v>
      </c>
    </row>
    <row r="739" spans="1:10" ht="16">
      <c r="A739" s="79" t="s">
        <v>1252</v>
      </c>
      <c r="B739" s="79" t="s">
        <v>1209</v>
      </c>
      <c r="C739" s="80" t="s">
        <v>126</v>
      </c>
      <c r="D739" s="81" t="s">
        <v>103</v>
      </c>
      <c r="E739" s="82">
        <v>16445</v>
      </c>
      <c r="F739" s="82">
        <v>985</v>
      </c>
      <c r="G739" s="82">
        <v>3782</v>
      </c>
      <c r="H739" s="83">
        <v>24.713942772970288</v>
      </c>
      <c r="I739" s="83">
        <v>22520.566723748278</v>
      </c>
      <c r="J739" s="83">
        <v>22.095863109820741</v>
      </c>
    </row>
    <row r="740" spans="1:10" ht="16">
      <c r="A740" s="79" t="s">
        <v>1087</v>
      </c>
      <c r="B740" s="79" t="s">
        <v>1081</v>
      </c>
      <c r="C740" s="80" t="s">
        <v>95</v>
      </c>
      <c r="D740" s="81" t="s">
        <v>79</v>
      </c>
      <c r="E740" s="82">
        <v>3737</v>
      </c>
      <c r="F740" s="82">
        <v>830</v>
      </c>
      <c r="G740" s="82">
        <v>149</v>
      </c>
      <c r="H740" s="83">
        <v>30.177459832138577</v>
      </c>
      <c r="I740" s="83">
        <v>21713.406290988685</v>
      </c>
      <c r="J740" s="83">
        <v>31.160231205814515</v>
      </c>
    </row>
    <row r="741" spans="1:10" ht="16">
      <c r="A741" s="79" t="s">
        <v>128</v>
      </c>
      <c r="B741" s="79" t="s">
        <v>108</v>
      </c>
      <c r="C741" s="80" t="s">
        <v>126</v>
      </c>
      <c r="D741" s="81" t="s">
        <v>103</v>
      </c>
      <c r="E741" s="82">
        <v>14379</v>
      </c>
      <c r="F741" s="82">
        <v>515</v>
      </c>
      <c r="G741" s="82">
        <v>3882</v>
      </c>
      <c r="H741" s="83">
        <v>29.154219883131329</v>
      </c>
      <c r="I741" s="83">
        <v>19245.412470123003</v>
      </c>
      <c r="J741" s="83">
        <v>25.463722548112198</v>
      </c>
    </row>
    <row r="742" spans="1:10" ht="16">
      <c r="A742" s="79" t="s">
        <v>905</v>
      </c>
      <c r="B742" s="79" t="s">
        <v>898</v>
      </c>
      <c r="C742" s="80" t="s">
        <v>95</v>
      </c>
      <c r="D742" s="81" t="s">
        <v>101</v>
      </c>
      <c r="E742" s="82">
        <v>13561</v>
      </c>
      <c r="F742" s="82">
        <v>384</v>
      </c>
      <c r="G742" s="82">
        <v>1220</v>
      </c>
      <c r="H742" s="83">
        <v>13.169573031061596</v>
      </c>
      <c r="I742" s="83">
        <v>2599.7906116357099</v>
      </c>
      <c r="J742" s="83">
        <v>15.804360016052456</v>
      </c>
    </row>
    <row r="743" spans="1:10" ht="16">
      <c r="A743" s="79" t="s">
        <v>1387</v>
      </c>
      <c r="B743" s="79" t="s">
        <v>1307</v>
      </c>
      <c r="C743" s="80" t="s">
        <v>95</v>
      </c>
      <c r="D743" s="81" t="s">
        <v>101</v>
      </c>
      <c r="E743" s="82">
        <v>20236</v>
      </c>
      <c r="F743" s="82">
        <v>1289</v>
      </c>
      <c r="G743" s="82">
        <v>4047</v>
      </c>
      <c r="H743" s="83">
        <v>29.689127490261811</v>
      </c>
      <c r="I743" s="83">
        <v>23167.078636156559</v>
      </c>
      <c r="J743" s="83">
        <v>35.96401959970207</v>
      </c>
    </row>
    <row r="744" spans="1:10" ht="16">
      <c r="A744" s="79" t="s">
        <v>582</v>
      </c>
      <c r="B744" s="79" t="s">
        <v>556</v>
      </c>
      <c r="C744" s="80" t="s">
        <v>126</v>
      </c>
      <c r="D744" s="81" t="s">
        <v>78</v>
      </c>
      <c r="E744" s="82">
        <v>8047</v>
      </c>
      <c r="F744" s="82">
        <v>847</v>
      </c>
      <c r="G744" s="82">
        <v>370</v>
      </c>
      <c r="H744" s="83">
        <v>12.192006569851824</v>
      </c>
      <c r="I744" s="83">
        <v>4426.3648796047009</v>
      </c>
      <c r="J744" s="83">
        <v>45.514988455145719</v>
      </c>
    </row>
    <row r="745" spans="1:10" ht="16">
      <c r="A745" s="79" t="s">
        <v>1131</v>
      </c>
      <c r="B745" s="79" t="s">
        <v>1100</v>
      </c>
      <c r="C745" s="80" t="s">
        <v>95</v>
      </c>
      <c r="D745" s="81" t="s">
        <v>96</v>
      </c>
      <c r="E745" s="82">
        <v>5973</v>
      </c>
      <c r="F745" s="82">
        <v>586</v>
      </c>
      <c r="G745" s="82">
        <v>597</v>
      </c>
      <c r="H745" s="83">
        <v>31.86940854743273</v>
      </c>
      <c r="I745" s="83">
        <v>21602.448871445828</v>
      </c>
      <c r="J745" s="83">
        <v>29.405520350318561</v>
      </c>
    </row>
    <row r="746" spans="1:10" ht="16">
      <c r="A746" s="79" t="s">
        <v>383</v>
      </c>
      <c r="B746" s="79" t="s">
        <v>384</v>
      </c>
      <c r="C746" s="80" t="s">
        <v>95</v>
      </c>
      <c r="D746" s="81" t="s">
        <v>76</v>
      </c>
      <c r="E746" s="82">
        <v>7681</v>
      </c>
      <c r="F746" s="82">
        <v>282</v>
      </c>
      <c r="G746" s="82">
        <v>922</v>
      </c>
      <c r="H746" s="83">
        <v>20.359110078882111</v>
      </c>
      <c r="I746" s="83">
        <v>5936.8595775743324</v>
      </c>
      <c r="J746" s="83">
        <v>17.21686207613195</v>
      </c>
    </row>
    <row r="747" spans="1:10" ht="16">
      <c r="A747" s="79" t="s">
        <v>385</v>
      </c>
      <c r="B747" s="79" t="s">
        <v>384</v>
      </c>
      <c r="C747" s="80" t="s">
        <v>126</v>
      </c>
      <c r="D747" s="81" t="s">
        <v>101</v>
      </c>
      <c r="E747" s="82">
        <v>9895</v>
      </c>
      <c r="F747" s="82">
        <v>454</v>
      </c>
      <c r="G747" s="82">
        <v>1385</v>
      </c>
      <c r="H747" s="83">
        <v>13.943605636611043</v>
      </c>
      <c r="I747" s="83">
        <v>3674.9755759307609</v>
      </c>
      <c r="J747" s="83">
        <v>17.740898577878976</v>
      </c>
    </row>
    <row r="748" spans="1:10" ht="16">
      <c r="A748" s="79" t="s">
        <v>541</v>
      </c>
      <c r="B748" s="79" t="s">
        <v>493</v>
      </c>
      <c r="C748" s="80" t="s">
        <v>95</v>
      </c>
      <c r="D748" s="81" t="s">
        <v>79</v>
      </c>
      <c r="E748" s="82">
        <v>6279</v>
      </c>
      <c r="F748" s="82">
        <v>826</v>
      </c>
      <c r="G748" s="82">
        <v>141</v>
      </c>
      <c r="H748" s="83">
        <v>9.8318299041717694</v>
      </c>
      <c r="I748" s="83">
        <v>243.23903215340951</v>
      </c>
      <c r="J748" s="83">
        <v>24.017507554400414</v>
      </c>
    </row>
    <row r="749" spans="1:10" ht="16">
      <c r="A749" s="79" t="s">
        <v>1132</v>
      </c>
      <c r="B749" s="79" t="s">
        <v>1100</v>
      </c>
      <c r="C749" s="80" t="s">
        <v>126</v>
      </c>
      <c r="D749" s="81" t="s">
        <v>101</v>
      </c>
      <c r="E749" s="82">
        <v>26032</v>
      </c>
      <c r="F749" s="82">
        <v>1054</v>
      </c>
      <c r="G749" s="82">
        <v>2083</v>
      </c>
      <c r="H749" s="83">
        <v>13.804006173635244</v>
      </c>
      <c r="I749" s="83">
        <v>1666.3745924215818</v>
      </c>
      <c r="J749" s="83">
        <v>16.739425339967212</v>
      </c>
    </row>
    <row r="750" spans="1:10" ht="16">
      <c r="A750" s="79" t="s">
        <v>390</v>
      </c>
      <c r="B750" s="79" t="s">
        <v>388</v>
      </c>
      <c r="C750" s="80" t="s">
        <v>95</v>
      </c>
      <c r="D750" s="81" t="s">
        <v>79</v>
      </c>
      <c r="E750" s="82">
        <v>15149</v>
      </c>
      <c r="F750" s="82">
        <v>695</v>
      </c>
      <c r="G750" s="82">
        <v>909</v>
      </c>
      <c r="H750" s="83">
        <v>35.104264128766779</v>
      </c>
      <c r="I750" s="83">
        <v>28458.180197880818</v>
      </c>
      <c r="J750" s="83">
        <v>27.170956827708522</v>
      </c>
    </row>
    <row r="751" spans="1:10" ht="16">
      <c r="A751" s="79" t="s">
        <v>381</v>
      </c>
      <c r="B751" s="79" t="s">
        <v>363</v>
      </c>
      <c r="C751" s="80" t="s">
        <v>95</v>
      </c>
      <c r="D751" s="81" t="s">
        <v>101</v>
      </c>
      <c r="E751" s="82">
        <v>128995</v>
      </c>
      <c r="F751" s="82">
        <v>5466</v>
      </c>
      <c r="G751" s="82">
        <v>1290</v>
      </c>
      <c r="H751" s="83">
        <v>8.2799719108970073</v>
      </c>
      <c r="I751" s="83">
        <v>2567.7994325457962</v>
      </c>
      <c r="J751" s="83">
        <v>21.226601241320402</v>
      </c>
    </row>
    <row r="752" spans="1:10" ht="16">
      <c r="A752" s="79" t="s">
        <v>1201</v>
      </c>
      <c r="B752" s="79" t="s">
        <v>1197</v>
      </c>
      <c r="C752" s="80" t="s">
        <v>95</v>
      </c>
      <c r="D752" s="81" t="s">
        <v>76</v>
      </c>
      <c r="E752" s="82">
        <v>23229</v>
      </c>
      <c r="F752" s="82">
        <v>2640</v>
      </c>
      <c r="G752" s="82">
        <v>697</v>
      </c>
      <c r="H752" s="83">
        <v>10.210257941266896</v>
      </c>
      <c r="I752" s="83">
        <v>821.94447191987513</v>
      </c>
      <c r="J752" s="83">
        <v>24.070943157665031</v>
      </c>
    </row>
    <row r="753" spans="1:10" ht="16">
      <c r="A753" s="79" t="s">
        <v>437</v>
      </c>
      <c r="B753" s="79" t="s">
        <v>421</v>
      </c>
      <c r="C753" s="80" t="s">
        <v>126</v>
      </c>
      <c r="D753" s="81" t="s">
        <v>101</v>
      </c>
      <c r="E753" s="82">
        <v>22622</v>
      </c>
      <c r="F753" s="82">
        <v>373</v>
      </c>
      <c r="G753" s="82">
        <v>5429</v>
      </c>
      <c r="H753" s="83">
        <v>54.828762775459232</v>
      </c>
      <c r="I753" s="83">
        <v>33640.344806188354</v>
      </c>
      <c r="J753" s="83">
        <v>51.034988279257128</v>
      </c>
    </row>
    <row r="754" spans="1:10" ht="16">
      <c r="A754" s="79" t="s">
        <v>934</v>
      </c>
      <c r="B754" s="79" t="s">
        <v>928</v>
      </c>
      <c r="C754" s="80" t="s">
        <v>126</v>
      </c>
      <c r="D754" s="81" t="s">
        <v>75</v>
      </c>
      <c r="E754" s="82">
        <v>19745</v>
      </c>
      <c r="F754" s="82">
        <v>1103</v>
      </c>
      <c r="G754" s="82">
        <v>197</v>
      </c>
      <c r="H754" s="83">
        <v>9.9100772949956379</v>
      </c>
      <c r="I754" s="83">
        <v>1680.9969104208503</v>
      </c>
      <c r="J754" s="83">
        <v>15.589594302580249</v>
      </c>
    </row>
    <row r="755" spans="1:10" ht="16">
      <c r="A755" s="79" t="s">
        <v>438</v>
      </c>
      <c r="B755" s="79" t="s">
        <v>421</v>
      </c>
      <c r="C755" s="80" t="s">
        <v>126</v>
      </c>
      <c r="D755" s="81" t="s">
        <v>77</v>
      </c>
      <c r="E755" s="82">
        <v>18166</v>
      </c>
      <c r="F755" s="82">
        <v>445</v>
      </c>
      <c r="G755" s="82">
        <v>3088</v>
      </c>
      <c r="H755" s="83">
        <v>44.598478735349765</v>
      </c>
      <c r="I755" s="83">
        <v>22294.659529108369</v>
      </c>
      <c r="J755" s="83">
        <v>43.212520905461005</v>
      </c>
    </row>
    <row r="756" spans="1:10" ht="16">
      <c r="A756" s="79" t="s">
        <v>359</v>
      </c>
      <c r="B756" s="79" t="s">
        <v>355</v>
      </c>
      <c r="C756" s="80" t="s">
        <v>126</v>
      </c>
      <c r="D756" s="81" t="s">
        <v>101</v>
      </c>
      <c r="E756" s="82">
        <v>9265</v>
      </c>
      <c r="F756" s="82">
        <v>1404</v>
      </c>
      <c r="G756" s="82">
        <v>2316</v>
      </c>
      <c r="H756" s="83">
        <v>40.49590139509845</v>
      </c>
      <c r="I756" s="83">
        <v>29720.487446470903</v>
      </c>
      <c r="J756" s="83">
        <v>40.308605161934267</v>
      </c>
    </row>
    <row r="757" spans="1:10" ht="16">
      <c r="A757" s="79" t="s">
        <v>347</v>
      </c>
      <c r="B757" s="79" t="s">
        <v>341</v>
      </c>
      <c r="C757" s="80" t="s">
        <v>95</v>
      </c>
      <c r="D757" s="81" t="s">
        <v>103</v>
      </c>
      <c r="E757" s="82">
        <v>5321</v>
      </c>
      <c r="F757" s="82">
        <v>560</v>
      </c>
      <c r="G757" s="82">
        <v>639</v>
      </c>
      <c r="H757" s="83">
        <v>11.944801476803935</v>
      </c>
      <c r="I757" s="83">
        <v>702.66541622283671</v>
      </c>
      <c r="J757" s="83">
        <v>20.605141657607611</v>
      </c>
    </row>
    <row r="758" spans="1:10" ht="16">
      <c r="A758" s="79" t="s">
        <v>1050</v>
      </c>
      <c r="B758" s="79" t="s">
        <v>1039</v>
      </c>
      <c r="C758" s="80" t="s">
        <v>126</v>
      </c>
      <c r="D758" s="81" t="s">
        <v>103</v>
      </c>
      <c r="E758" s="82">
        <v>40592</v>
      </c>
      <c r="F758" s="82">
        <v>2899</v>
      </c>
      <c r="G758" s="82">
        <v>5277</v>
      </c>
      <c r="H758" s="83">
        <v>15.657062693150019</v>
      </c>
      <c r="I758" s="83">
        <v>5641.3640835296719</v>
      </c>
      <c r="J758" s="83">
        <v>22.785759637618842</v>
      </c>
    </row>
    <row r="759" spans="1:10" ht="16">
      <c r="A759" s="79" t="s">
        <v>439</v>
      </c>
      <c r="B759" s="79" t="s">
        <v>421</v>
      </c>
      <c r="C759" s="80" t="s">
        <v>126</v>
      </c>
      <c r="D759" s="81" t="s">
        <v>101</v>
      </c>
      <c r="E759" s="82">
        <v>40472</v>
      </c>
      <c r="F759" s="82">
        <v>847</v>
      </c>
      <c r="G759" s="82">
        <v>10927</v>
      </c>
      <c r="H759" s="83">
        <v>70.46591781372004</v>
      </c>
      <c r="I759" s="83">
        <v>60212.027758705539</v>
      </c>
      <c r="J759" s="83">
        <v>65.28285010166563</v>
      </c>
    </row>
    <row r="760" spans="1:10" ht="16">
      <c r="A760" s="79" t="s">
        <v>613</v>
      </c>
      <c r="B760" s="79" t="s">
        <v>610</v>
      </c>
      <c r="C760" s="80" t="s">
        <v>126</v>
      </c>
      <c r="D760" s="81" t="s">
        <v>103</v>
      </c>
      <c r="E760" s="82">
        <v>14703</v>
      </c>
      <c r="F760" s="82">
        <v>674</v>
      </c>
      <c r="G760" s="82">
        <v>735</v>
      </c>
      <c r="H760" s="83">
        <v>32.036202461076634</v>
      </c>
      <c r="I760" s="83">
        <v>17930.945205861623</v>
      </c>
      <c r="J760" s="83">
        <v>32.980728880647909</v>
      </c>
    </row>
    <row r="761" spans="1:10" ht="16">
      <c r="A761" s="79" t="s">
        <v>604</v>
      </c>
      <c r="B761" s="79" t="s">
        <v>600</v>
      </c>
      <c r="C761" s="80" t="s">
        <v>126</v>
      </c>
      <c r="D761" s="81" t="s">
        <v>149</v>
      </c>
      <c r="E761" s="82">
        <v>14904</v>
      </c>
      <c r="F761" s="82">
        <v>745</v>
      </c>
      <c r="G761" s="82">
        <v>2981</v>
      </c>
      <c r="H761" s="83">
        <v>14.20251779841014</v>
      </c>
      <c r="I761" s="83">
        <v>4389.6705538726292</v>
      </c>
      <c r="J761" s="83">
        <v>16.560177740197688</v>
      </c>
    </row>
    <row r="762" spans="1:10" ht="16">
      <c r="A762" s="79" t="s">
        <v>1253</v>
      </c>
      <c r="B762" s="79" t="s">
        <v>1209</v>
      </c>
      <c r="C762" s="80" t="s">
        <v>95</v>
      </c>
      <c r="D762" s="81" t="s">
        <v>77</v>
      </c>
      <c r="E762" s="82">
        <v>11919</v>
      </c>
      <c r="F762" s="82">
        <v>651</v>
      </c>
      <c r="G762" s="82">
        <v>1311</v>
      </c>
      <c r="H762" s="83">
        <v>10.667218675330394</v>
      </c>
      <c r="I762" s="83">
        <v>4655.5940344022265</v>
      </c>
      <c r="J762" s="83">
        <v>15.808348925125959</v>
      </c>
    </row>
    <row r="763" spans="1:10" ht="16">
      <c r="A763" s="79" t="s">
        <v>583</v>
      </c>
      <c r="B763" s="79" t="s">
        <v>556</v>
      </c>
      <c r="C763" s="80" t="s">
        <v>95</v>
      </c>
      <c r="D763" s="81" t="s">
        <v>101</v>
      </c>
      <c r="E763" s="82">
        <v>12511</v>
      </c>
      <c r="F763" s="82">
        <v>1813</v>
      </c>
      <c r="G763" s="82">
        <v>876</v>
      </c>
      <c r="H763" s="83">
        <v>16.618571172818516</v>
      </c>
      <c r="I763" s="83">
        <v>7725.6507638109479</v>
      </c>
      <c r="J763" s="83">
        <v>45.07545733190544</v>
      </c>
    </row>
    <row r="764" spans="1:10" ht="16">
      <c r="A764" s="79" t="s">
        <v>735</v>
      </c>
      <c r="B764" s="79" t="s">
        <v>661</v>
      </c>
      <c r="C764" s="80" t="s">
        <v>126</v>
      </c>
      <c r="D764" s="81" t="s">
        <v>101</v>
      </c>
      <c r="E764" s="82">
        <v>22873</v>
      </c>
      <c r="F764" s="82">
        <v>1370</v>
      </c>
      <c r="G764" s="82">
        <v>457</v>
      </c>
      <c r="H764" s="83">
        <v>11.000871000582023</v>
      </c>
      <c r="I764" s="83">
        <v>10411.050948135762</v>
      </c>
      <c r="J764" s="83">
        <v>15.016235365914289</v>
      </c>
    </row>
    <row r="765" spans="1:10" ht="16">
      <c r="A765" s="79" t="s">
        <v>614</v>
      </c>
      <c r="B765" s="79" t="s">
        <v>610</v>
      </c>
      <c r="C765" s="80" t="s">
        <v>95</v>
      </c>
      <c r="D765" s="81" t="s">
        <v>79</v>
      </c>
      <c r="E765" s="82">
        <v>22414</v>
      </c>
      <c r="F765" s="82">
        <v>1005</v>
      </c>
      <c r="G765" s="82">
        <v>1569</v>
      </c>
      <c r="H765" s="83">
        <v>51.759279116960883</v>
      </c>
      <c r="I765" s="83">
        <v>36578.351773092647</v>
      </c>
      <c r="J765" s="83">
        <v>42.279593752462944</v>
      </c>
    </row>
    <row r="766" spans="1:10" ht="16">
      <c r="A766" s="79" t="s">
        <v>1388</v>
      </c>
      <c r="B766" s="79" t="s">
        <v>1307</v>
      </c>
      <c r="C766" s="80" t="s">
        <v>95</v>
      </c>
      <c r="D766" s="81" t="s">
        <v>101</v>
      </c>
      <c r="E766" s="82">
        <v>35814</v>
      </c>
      <c r="F766" s="82">
        <v>2755</v>
      </c>
      <c r="G766" s="82">
        <v>3223</v>
      </c>
      <c r="H766" s="83">
        <v>24.346666911344315</v>
      </c>
      <c r="I766" s="83">
        <v>18684.396529153502</v>
      </c>
      <c r="J766" s="83">
        <v>39.989371720091484</v>
      </c>
    </row>
    <row r="767" spans="1:10" ht="16">
      <c r="A767" s="79" t="s">
        <v>1389</v>
      </c>
      <c r="B767" s="79" t="s">
        <v>1307</v>
      </c>
      <c r="C767" s="80" t="s">
        <v>126</v>
      </c>
      <c r="D767" s="81" t="s">
        <v>103</v>
      </c>
      <c r="E767" s="82">
        <v>60818</v>
      </c>
      <c r="F767" s="82">
        <v>2452</v>
      </c>
      <c r="G767" s="82">
        <v>4865</v>
      </c>
      <c r="H767" s="83">
        <v>54.847323748206335</v>
      </c>
      <c r="I767" s="83">
        <v>34462.486341900221</v>
      </c>
      <c r="J767" s="83">
        <v>50.280084557905397</v>
      </c>
    </row>
    <row r="768" spans="1:10" ht="16">
      <c r="A768" s="79" t="s">
        <v>1390</v>
      </c>
      <c r="B768" s="79" t="s">
        <v>1307</v>
      </c>
      <c r="C768" s="80" t="s">
        <v>95</v>
      </c>
      <c r="D768" s="81" t="s">
        <v>101</v>
      </c>
      <c r="E768" s="82">
        <v>31893</v>
      </c>
      <c r="F768" s="82">
        <v>1670</v>
      </c>
      <c r="G768" s="82">
        <v>319</v>
      </c>
      <c r="H768" s="83">
        <v>14.331369026239868</v>
      </c>
      <c r="I768" s="83">
        <v>3904.0254227278724</v>
      </c>
      <c r="J768" s="83">
        <v>17.439161718130254</v>
      </c>
    </row>
    <row r="769" spans="1:10" ht="16">
      <c r="A769" s="79" t="s">
        <v>1391</v>
      </c>
      <c r="B769" s="79" t="s">
        <v>1307</v>
      </c>
      <c r="C769" s="80" t="s">
        <v>126</v>
      </c>
      <c r="D769" s="81" t="s">
        <v>75</v>
      </c>
      <c r="E769" s="82">
        <v>33015</v>
      </c>
      <c r="F769" s="82">
        <v>1603</v>
      </c>
      <c r="G769" s="82">
        <v>2971</v>
      </c>
      <c r="H769" s="83">
        <v>21.350060345264726</v>
      </c>
      <c r="I769" s="83">
        <v>9729.0279272244697</v>
      </c>
      <c r="J769" s="83">
        <v>31.618328319721478</v>
      </c>
    </row>
    <row r="770" spans="1:10" ht="16">
      <c r="A770" s="79" t="s">
        <v>542</v>
      </c>
      <c r="B770" s="79" t="s">
        <v>493</v>
      </c>
      <c r="C770" s="80" t="s">
        <v>126</v>
      </c>
      <c r="D770" s="81" t="s">
        <v>77</v>
      </c>
      <c r="E770" s="82">
        <v>3904</v>
      </c>
      <c r="F770" s="82">
        <v>279</v>
      </c>
      <c r="G770" s="82">
        <v>39</v>
      </c>
      <c r="H770" s="83">
        <v>13.384249918398329</v>
      </c>
      <c r="I770" s="83">
        <v>3624.6488650397064</v>
      </c>
      <c r="J770" s="83">
        <v>27.063152791639688</v>
      </c>
    </row>
    <row r="771" spans="1:10" ht="16">
      <c r="A771" s="79" t="s">
        <v>1152</v>
      </c>
      <c r="B771" s="79" t="s">
        <v>1139</v>
      </c>
      <c r="C771" s="80" t="s">
        <v>95</v>
      </c>
      <c r="D771" s="81" t="s">
        <v>76</v>
      </c>
      <c r="E771" s="82">
        <v>33506</v>
      </c>
      <c r="F771" s="82">
        <v>2769</v>
      </c>
      <c r="G771" s="82">
        <v>335</v>
      </c>
      <c r="H771" s="83">
        <v>12.499335177738955</v>
      </c>
      <c r="I771" s="83">
        <v>1371.4689161254162</v>
      </c>
      <c r="J771" s="83">
        <v>19.425809869017787</v>
      </c>
    </row>
    <row r="772" spans="1:10" ht="16">
      <c r="A772" s="79" t="s">
        <v>543</v>
      </c>
      <c r="B772" s="79" t="s">
        <v>493</v>
      </c>
      <c r="C772" s="80" t="s">
        <v>126</v>
      </c>
      <c r="D772" s="81" t="s">
        <v>99</v>
      </c>
      <c r="E772" s="82">
        <v>7752</v>
      </c>
      <c r="F772" s="82">
        <v>524</v>
      </c>
      <c r="G772" s="82">
        <v>78</v>
      </c>
      <c r="H772" s="83">
        <v>10.674673712332799</v>
      </c>
      <c r="I772" s="83">
        <v>6488.6714520455625</v>
      </c>
      <c r="J772" s="83">
        <v>20.008960281741217</v>
      </c>
    </row>
    <row r="773" spans="1:10" ht="16">
      <c r="A773" s="79" t="s">
        <v>482</v>
      </c>
      <c r="B773" s="79" t="s">
        <v>478</v>
      </c>
      <c r="C773" s="80" t="s">
        <v>126</v>
      </c>
      <c r="D773" s="81" t="s">
        <v>101</v>
      </c>
      <c r="E773" s="82">
        <v>10125</v>
      </c>
      <c r="F773" s="82">
        <v>454</v>
      </c>
      <c r="G773" s="82">
        <v>3139</v>
      </c>
      <c r="H773" s="83">
        <v>67.099059988378272</v>
      </c>
      <c r="I773" s="83">
        <v>59418.855844918915</v>
      </c>
      <c r="J773" s="83">
        <v>57.592364223334641</v>
      </c>
    </row>
    <row r="774" spans="1:10" ht="16">
      <c r="A774" s="79" t="s">
        <v>1392</v>
      </c>
      <c r="B774" s="79" t="s">
        <v>1307</v>
      </c>
      <c r="C774" s="80" t="s">
        <v>95</v>
      </c>
      <c r="D774" s="81" t="s">
        <v>76</v>
      </c>
      <c r="E774" s="82">
        <v>10434</v>
      </c>
      <c r="F774" s="82">
        <v>1110</v>
      </c>
      <c r="G774" s="82">
        <v>3652</v>
      </c>
      <c r="H774" s="83">
        <v>15.894865451063255</v>
      </c>
      <c r="I774" s="83">
        <v>4604.5391438628967</v>
      </c>
      <c r="J774" s="83">
        <v>23.923945020778987</v>
      </c>
    </row>
    <row r="775" spans="1:10" ht="16">
      <c r="A775" s="79" t="s">
        <v>1254</v>
      </c>
      <c r="B775" s="79" t="s">
        <v>1209</v>
      </c>
      <c r="C775" s="80" t="s">
        <v>95</v>
      </c>
      <c r="D775" s="81" t="s">
        <v>101</v>
      </c>
      <c r="E775" s="82">
        <v>61915</v>
      </c>
      <c r="F775" s="82">
        <v>1917</v>
      </c>
      <c r="G775" s="82">
        <v>4953</v>
      </c>
      <c r="H775" s="83">
        <v>16.618945290256967</v>
      </c>
      <c r="I775" s="83">
        <v>10727.211950791185</v>
      </c>
      <c r="J775" s="83">
        <v>18.31620033692073</v>
      </c>
    </row>
    <row r="776" spans="1:10" ht="16">
      <c r="A776" s="79" t="s">
        <v>736</v>
      </c>
      <c r="B776" s="79" t="s">
        <v>661</v>
      </c>
      <c r="C776" s="80" t="s">
        <v>126</v>
      </c>
      <c r="D776" s="81" t="s">
        <v>149</v>
      </c>
      <c r="E776" s="82">
        <v>1165</v>
      </c>
      <c r="F776" s="82">
        <v>108</v>
      </c>
      <c r="G776" s="82">
        <v>58</v>
      </c>
      <c r="H776" s="83">
        <v>13.487437324111511</v>
      </c>
      <c r="I776" s="83">
        <v>5234.8176164440292</v>
      </c>
      <c r="J776" s="83">
        <v>21.600336832408242</v>
      </c>
    </row>
    <row r="777" spans="1:10" ht="16">
      <c r="A777" s="79" t="s">
        <v>737</v>
      </c>
      <c r="B777" s="79" t="s">
        <v>661</v>
      </c>
      <c r="C777" s="80" t="s">
        <v>126</v>
      </c>
      <c r="D777" s="81" t="s">
        <v>111</v>
      </c>
      <c r="E777" s="82">
        <v>4813</v>
      </c>
      <c r="F777" s="82">
        <v>319</v>
      </c>
      <c r="G777" s="82">
        <v>241</v>
      </c>
      <c r="H777" s="83">
        <v>19.351349130983266</v>
      </c>
      <c r="I777" s="83">
        <v>2630.1728726864812</v>
      </c>
      <c r="J777" s="83">
        <v>20.04331322264408</v>
      </c>
    </row>
    <row r="778" spans="1:10" ht="16">
      <c r="A778" s="79" t="s">
        <v>1393</v>
      </c>
      <c r="B778" s="79" t="s">
        <v>1307</v>
      </c>
      <c r="C778" s="80" t="s">
        <v>95</v>
      </c>
      <c r="D778" s="81" t="s">
        <v>79</v>
      </c>
      <c r="E778" s="82">
        <v>25907</v>
      </c>
      <c r="F778" s="82">
        <v>1542</v>
      </c>
      <c r="G778" s="82">
        <v>1295</v>
      </c>
      <c r="H778" s="83">
        <v>23.476418259864001</v>
      </c>
      <c r="I778" s="83">
        <v>18846.133773385132</v>
      </c>
      <c r="J778" s="83">
        <v>33.013171603512141</v>
      </c>
    </row>
    <row r="779" spans="1:10" ht="16">
      <c r="A779" s="79" t="s">
        <v>658</v>
      </c>
      <c r="B779" s="79" t="s">
        <v>659</v>
      </c>
      <c r="C779" s="80" t="s">
        <v>95</v>
      </c>
      <c r="D779" s="81" t="s">
        <v>111</v>
      </c>
      <c r="E779" s="82">
        <v>23305</v>
      </c>
      <c r="F779" s="82">
        <v>1050</v>
      </c>
      <c r="G779" s="82">
        <v>233</v>
      </c>
      <c r="H779" s="83">
        <v>11.126543790448995</v>
      </c>
      <c r="I779" s="83">
        <v>8167.8575995780966</v>
      </c>
      <c r="J779" s="83">
        <v>18.735865599132701</v>
      </c>
    </row>
    <row r="780" spans="1:10" ht="16">
      <c r="A780" s="79" t="s">
        <v>738</v>
      </c>
      <c r="B780" s="79" t="s">
        <v>661</v>
      </c>
      <c r="C780" s="80" t="s">
        <v>126</v>
      </c>
      <c r="D780" s="81" t="s">
        <v>79</v>
      </c>
      <c r="E780" s="82">
        <v>25913</v>
      </c>
      <c r="F780" s="82">
        <v>2445</v>
      </c>
      <c r="G780" s="82">
        <v>3110</v>
      </c>
      <c r="H780" s="83">
        <v>89.708570607762056</v>
      </c>
      <c r="I780" s="83">
        <v>54430.671434810087</v>
      </c>
      <c r="J780" s="83">
        <v>86.306807158326265</v>
      </c>
    </row>
    <row r="781" spans="1:10" ht="16">
      <c r="A781" s="79" t="s">
        <v>304</v>
      </c>
      <c r="B781" s="79" t="s">
        <v>242</v>
      </c>
      <c r="C781" s="80" t="s">
        <v>95</v>
      </c>
      <c r="D781" s="81" t="s">
        <v>101</v>
      </c>
      <c r="E781" s="82">
        <v>34780</v>
      </c>
      <c r="F781" s="82">
        <v>2484</v>
      </c>
      <c r="G781" s="82">
        <v>2087</v>
      </c>
      <c r="H781" s="83">
        <v>36.046886008105488</v>
      </c>
      <c r="I781" s="83">
        <v>13889.797056005556</v>
      </c>
      <c r="J781" s="83">
        <v>33.331595248809798</v>
      </c>
    </row>
    <row r="782" spans="1:10" ht="16">
      <c r="A782" s="79" t="s">
        <v>845</v>
      </c>
      <c r="B782" s="79" t="s">
        <v>839</v>
      </c>
      <c r="C782" s="80" t="s">
        <v>126</v>
      </c>
      <c r="D782" s="81" t="s">
        <v>76</v>
      </c>
      <c r="E782" s="82">
        <v>8033</v>
      </c>
      <c r="F782" s="82">
        <v>375</v>
      </c>
      <c r="G782" s="82">
        <v>1205</v>
      </c>
      <c r="H782" s="83">
        <v>49.73236144231997</v>
      </c>
      <c r="I782" s="83">
        <v>30305.388865818153</v>
      </c>
      <c r="J782" s="83">
        <v>37.353326932141741</v>
      </c>
    </row>
    <row r="783" spans="1:10" ht="16">
      <c r="A783" s="79" t="s">
        <v>1190</v>
      </c>
      <c r="B783" s="79" t="s">
        <v>1161</v>
      </c>
      <c r="C783" s="80" t="s">
        <v>126</v>
      </c>
      <c r="D783" s="81" t="s">
        <v>76</v>
      </c>
      <c r="E783" s="82">
        <v>5836</v>
      </c>
      <c r="F783" s="82">
        <v>347</v>
      </c>
      <c r="G783" s="82">
        <v>58</v>
      </c>
      <c r="H783" s="83">
        <v>11.437344041463405</v>
      </c>
      <c r="I783" s="83">
        <v>2599.5483446786293</v>
      </c>
      <c r="J783" s="83">
        <v>16.424419259361468</v>
      </c>
    </row>
    <row r="784" spans="1:10" ht="16">
      <c r="A784" s="79" t="s">
        <v>739</v>
      </c>
      <c r="B784" s="79" t="s">
        <v>661</v>
      </c>
      <c r="C784" s="80" t="s">
        <v>126</v>
      </c>
      <c r="D784" s="81" t="s">
        <v>111</v>
      </c>
      <c r="E784" s="82">
        <v>5204</v>
      </c>
      <c r="F784" s="82">
        <v>394</v>
      </c>
      <c r="G784" s="82">
        <v>52</v>
      </c>
      <c r="H784" s="83">
        <v>14.492008707694836</v>
      </c>
      <c r="I784" s="83">
        <v>3501.6974275016196</v>
      </c>
      <c r="J784" s="83">
        <v>22.145726834787155</v>
      </c>
    </row>
    <row r="785" spans="1:10" ht="16">
      <c r="A785" s="79" t="s">
        <v>740</v>
      </c>
      <c r="B785" s="79" t="s">
        <v>661</v>
      </c>
      <c r="C785" s="80" t="s">
        <v>126</v>
      </c>
      <c r="D785" s="81" t="s">
        <v>149</v>
      </c>
      <c r="E785" s="82">
        <v>17735</v>
      </c>
      <c r="F785" s="82">
        <v>2163</v>
      </c>
      <c r="G785" s="82">
        <v>2128</v>
      </c>
      <c r="H785" s="83">
        <v>54.494971288555817</v>
      </c>
      <c r="I785" s="83">
        <v>21678.070170767533</v>
      </c>
      <c r="J785" s="83">
        <v>53.655876183777451</v>
      </c>
    </row>
    <row r="786" spans="1:10" ht="16">
      <c r="A786" s="79" t="s">
        <v>741</v>
      </c>
      <c r="B786" s="79" t="s">
        <v>661</v>
      </c>
      <c r="C786" s="80" t="s">
        <v>126</v>
      </c>
      <c r="D786" s="81" t="s">
        <v>103</v>
      </c>
      <c r="E786" s="82">
        <v>29848</v>
      </c>
      <c r="F786" s="82">
        <v>2296</v>
      </c>
      <c r="G786" s="82">
        <v>597</v>
      </c>
      <c r="H786" s="83">
        <v>10.235417962237323</v>
      </c>
      <c r="I786" s="83">
        <v>2024.7334523939537</v>
      </c>
      <c r="J786" s="83">
        <v>19.743676363304218</v>
      </c>
    </row>
    <row r="787" spans="1:10" ht="16">
      <c r="A787" s="79" t="s">
        <v>1191</v>
      </c>
      <c r="B787" s="79" t="s">
        <v>1161</v>
      </c>
      <c r="C787" s="80" t="s">
        <v>126</v>
      </c>
      <c r="D787" s="81" t="s">
        <v>75</v>
      </c>
      <c r="E787" s="82">
        <v>23679</v>
      </c>
      <c r="F787" s="82">
        <v>1133</v>
      </c>
      <c r="G787" s="82">
        <v>474</v>
      </c>
      <c r="H787" s="83">
        <v>8.6050098403031097</v>
      </c>
      <c r="I787" s="83">
        <v>1385.0902304243539</v>
      </c>
      <c r="J787" s="83">
        <v>13.665320464173334</v>
      </c>
    </row>
    <row r="788" spans="1:10" ht="16">
      <c r="A788" s="79" t="s">
        <v>742</v>
      </c>
      <c r="B788" s="79" t="s">
        <v>661</v>
      </c>
      <c r="C788" s="80" t="s">
        <v>126</v>
      </c>
      <c r="D788" s="81" t="s">
        <v>78</v>
      </c>
      <c r="E788" s="82">
        <v>7553</v>
      </c>
      <c r="F788" s="82">
        <v>868</v>
      </c>
      <c r="G788" s="82">
        <v>227</v>
      </c>
      <c r="H788" s="83">
        <v>19.229871276678931</v>
      </c>
      <c r="I788" s="83">
        <v>2866.7294966996787</v>
      </c>
      <c r="J788" s="83">
        <v>26.76453904352087</v>
      </c>
    </row>
    <row r="789" spans="1:10" ht="16">
      <c r="A789" s="79" t="s">
        <v>743</v>
      </c>
      <c r="B789" s="79" t="s">
        <v>661</v>
      </c>
      <c r="C789" s="80" t="s">
        <v>126</v>
      </c>
      <c r="D789" s="81" t="s">
        <v>79</v>
      </c>
      <c r="E789" s="82">
        <v>7481</v>
      </c>
      <c r="F789" s="82">
        <v>502</v>
      </c>
      <c r="G789" s="82">
        <v>75</v>
      </c>
      <c r="H789" s="83">
        <v>10.770297247877906</v>
      </c>
      <c r="I789" s="83">
        <v>702.62905033635252</v>
      </c>
      <c r="J789" s="83">
        <v>16.92540783315869</v>
      </c>
    </row>
    <row r="790" spans="1:10" ht="16">
      <c r="A790" s="79" t="s">
        <v>744</v>
      </c>
      <c r="B790" s="79" t="s">
        <v>661</v>
      </c>
      <c r="C790" s="80" t="s">
        <v>126</v>
      </c>
      <c r="D790" s="81" t="s">
        <v>76</v>
      </c>
      <c r="E790" s="82">
        <v>9285</v>
      </c>
      <c r="F790" s="82">
        <v>363</v>
      </c>
      <c r="G790" s="82">
        <v>186</v>
      </c>
      <c r="H790" s="83">
        <v>9.5723648177975988</v>
      </c>
      <c r="I790" s="83">
        <v>317.21400937922704</v>
      </c>
      <c r="J790" s="83">
        <v>16.052102096036336</v>
      </c>
    </row>
    <row r="791" spans="1:10" ht="16">
      <c r="A791" s="79" t="s">
        <v>745</v>
      </c>
      <c r="B791" s="79" t="s">
        <v>661</v>
      </c>
      <c r="C791" s="80" t="s">
        <v>126</v>
      </c>
      <c r="D791" s="81" t="s">
        <v>96</v>
      </c>
      <c r="E791" s="82">
        <v>9752</v>
      </c>
      <c r="F791" s="82">
        <v>1266</v>
      </c>
      <c r="G791" s="82">
        <v>1268</v>
      </c>
      <c r="H791" s="83">
        <v>52.332390883146978</v>
      </c>
      <c r="I791" s="83">
        <v>19407.963444726392</v>
      </c>
      <c r="J791" s="83">
        <v>51.778199097397462</v>
      </c>
    </row>
    <row r="792" spans="1:10" ht="16">
      <c r="A792" s="79" t="s">
        <v>746</v>
      </c>
      <c r="B792" s="79" t="s">
        <v>661</v>
      </c>
      <c r="C792" s="80" t="s">
        <v>126</v>
      </c>
      <c r="D792" s="81" t="s">
        <v>103</v>
      </c>
      <c r="E792" s="82">
        <v>2999</v>
      </c>
      <c r="F792" s="82">
        <v>909</v>
      </c>
      <c r="G792" s="82">
        <v>270</v>
      </c>
      <c r="H792" s="83">
        <v>24.491373307948379</v>
      </c>
      <c r="I792" s="83">
        <v>14071.058173632307</v>
      </c>
      <c r="J792" s="83">
        <v>46.105097673556585</v>
      </c>
    </row>
    <row r="793" spans="1:10" ht="16">
      <c r="A793" s="79" t="s">
        <v>747</v>
      </c>
      <c r="B793" s="79" t="s">
        <v>661</v>
      </c>
      <c r="C793" s="80" t="s">
        <v>95</v>
      </c>
      <c r="D793" s="81" t="s">
        <v>77</v>
      </c>
      <c r="E793" s="82">
        <v>1350</v>
      </c>
      <c r="F793" s="82">
        <v>844</v>
      </c>
      <c r="G793" s="82">
        <v>14</v>
      </c>
      <c r="H793" s="83">
        <v>11.0970620160638</v>
      </c>
      <c r="I793" s="83">
        <v>3762.3841604137901</v>
      </c>
      <c r="J793" s="83">
        <v>30.312822747624363</v>
      </c>
    </row>
    <row r="794" spans="1:10" ht="16">
      <c r="A794" s="79" t="s">
        <v>748</v>
      </c>
      <c r="B794" s="79" t="s">
        <v>661</v>
      </c>
      <c r="C794" s="80" t="s">
        <v>126</v>
      </c>
      <c r="D794" s="81" t="s">
        <v>99</v>
      </c>
      <c r="E794" s="82">
        <v>9160</v>
      </c>
      <c r="F794" s="82">
        <v>674</v>
      </c>
      <c r="G794" s="82">
        <v>458</v>
      </c>
      <c r="H794" s="83">
        <v>17.510218584105512</v>
      </c>
      <c r="I794" s="83">
        <v>9424.2991155717336</v>
      </c>
      <c r="J794" s="83">
        <v>25.894725061521292</v>
      </c>
    </row>
    <row r="795" spans="1:10" ht="16">
      <c r="A795" s="79" t="s">
        <v>749</v>
      </c>
      <c r="B795" s="79" t="s">
        <v>661</v>
      </c>
      <c r="C795" s="80" t="s">
        <v>126</v>
      </c>
      <c r="D795" s="81" t="s">
        <v>78</v>
      </c>
      <c r="E795" s="82">
        <v>12221</v>
      </c>
      <c r="F795" s="82">
        <v>361</v>
      </c>
      <c r="G795" s="82">
        <v>244</v>
      </c>
      <c r="H795" s="83">
        <v>9.8250952856998968</v>
      </c>
      <c r="I795" s="83">
        <v>1034.4119215606138</v>
      </c>
      <c r="J795" s="83">
        <v>16.603906042993437</v>
      </c>
    </row>
    <row r="796" spans="1:10" ht="16">
      <c r="A796" s="79" t="s">
        <v>750</v>
      </c>
      <c r="B796" s="79" t="s">
        <v>661</v>
      </c>
      <c r="C796" s="80" t="s">
        <v>126</v>
      </c>
      <c r="D796" s="81" t="s">
        <v>76</v>
      </c>
      <c r="E796" s="82">
        <v>5766</v>
      </c>
      <c r="F796" s="82">
        <v>390</v>
      </c>
      <c r="G796" s="82">
        <v>346</v>
      </c>
      <c r="H796" s="83">
        <v>23.467953270305056</v>
      </c>
      <c r="I796" s="83">
        <v>4190.3210047180773</v>
      </c>
      <c r="J796" s="83">
        <v>24.869791810722724</v>
      </c>
    </row>
    <row r="797" spans="1:10" ht="16">
      <c r="A797" s="79" t="s">
        <v>751</v>
      </c>
      <c r="B797" s="79" t="s">
        <v>661</v>
      </c>
      <c r="C797" s="80" t="s">
        <v>126</v>
      </c>
      <c r="D797" s="81" t="s">
        <v>103</v>
      </c>
      <c r="E797" s="82">
        <v>2654</v>
      </c>
      <c r="F797" s="82">
        <v>248</v>
      </c>
      <c r="G797" s="82">
        <v>186</v>
      </c>
      <c r="H797" s="83">
        <v>14.79152131771948</v>
      </c>
      <c r="I797" s="83">
        <v>1448.6445674772681</v>
      </c>
      <c r="J797" s="83">
        <v>25.091969976317216</v>
      </c>
    </row>
    <row r="798" spans="1:10" ht="16">
      <c r="A798" s="79" t="s">
        <v>752</v>
      </c>
      <c r="B798" s="79" t="s">
        <v>661</v>
      </c>
      <c r="C798" s="80" t="s">
        <v>126</v>
      </c>
      <c r="D798" s="81" t="s">
        <v>99</v>
      </c>
      <c r="E798" s="82">
        <v>18490</v>
      </c>
      <c r="F798" s="82">
        <v>758</v>
      </c>
      <c r="G798" s="82">
        <v>370</v>
      </c>
      <c r="H798" s="83">
        <v>24.324881888322441</v>
      </c>
      <c r="I798" s="83">
        <v>4652.556405570921</v>
      </c>
      <c r="J798" s="83">
        <v>21.957755425697322</v>
      </c>
    </row>
    <row r="799" spans="1:10" ht="16">
      <c r="A799" s="79" t="s">
        <v>971</v>
      </c>
      <c r="B799" s="79" t="s">
        <v>938</v>
      </c>
      <c r="C799" s="80" t="s">
        <v>126</v>
      </c>
      <c r="D799" s="81" t="s">
        <v>75</v>
      </c>
      <c r="E799" s="82">
        <v>9121</v>
      </c>
      <c r="F799" s="82">
        <v>1048</v>
      </c>
      <c r="G799" s="82">
        <v>2554</v>
      </c>
      <c r="H799" s="83">
        <v>20.665138108696567</v>
      </c>
      <c r="I799" s="83">
        <v>7368.9715497724756</v>
      </c>
      <c r="J799" s="83">
        <v>27.231928604379636</v>
      </c>
    </row>
    <row r="800" spans="1:10" ht="16">
      <c r="A800" s="79" t="s">
        <v>972</v>
      </c>
      <c r="B800" s="79" t="s">
        <v>938</v>
      </c>
      <c r="C800" s="80" t="s">
        <v>126</v>
      </c>
      <c r="D800" s="81" t="s">
        <v>77</v>
      </c>
      <c r="E800" s="82">
        <v>7655</v>
      </c>
      <c r="F800" s="82">
        <v>643</v>
      </c>
      <c r="G800" s="82">
        <v>2220</v>
      </c>
      <c r="H800" s="83">
        <v>34.057930806170212</v>
      </c>
      <c r="I800" s="83">
        <v>7896.4086018457901</v>
      </c>
      <c r="J800" s="83">
        <v>41.611136131265667</v>
      </c>
    </row>
    <row r="801" spans="1:10" ht="16">
      <c r="A801" s="79" t="s">
        <v>305</v>
      </c>
      <c r="B801" s="79" t="s">
        <v>242</v>
      </c>
      <c r="C801" s="80" t="s">
        <v>126</v>
      </c>
      <c r="D801" s="81" t="s">
        <v>76</v>
      </c>
      <c r="E801" s="82">
        <v>35690</v>
      </c>
      <c r="F801" s="82">
        <v>2724</v>
      </c>
      <c r="G801" s="82">
        <v>4640</v>
      </c>
      <c r="H801" s="83">
        <v>44.521429250733007</v>
      </c>
      <c r="I801" s="83">
        <v>15092.201027091594</v>
      </c>
      <c r="J801" s="83">
        <v>35.988330537475406</v>
      </c>
    </row>
    <row r="802" spans="1:10" ht="16">
      <c r="A802" s="79" t="s">
        <v>753</v>
      </c>
      <c r="B802" s="79" t="s">
        <v>661</v>
      </c>
      <c r="C802" s="80" t="s">
        <v>126</v>
      </c>
      <c r="D802" s="81" t="s">
        <v>111</v>
      </c>
      <c r="E802" s="82">
        <v>6096</v>
      </c>
      <c r="F802" s="82">
        <v>813</v>
      </c>
      <c r="G802" s="82">
        <v>122</v>
      </c>
      <c r="H802" s="83">
        <v>11.393452179564926</v>
      </c>
      <c r="I802" s="83">
        <v>1345.0111037910574</v>
      </c>
      <c r="J802" s="83">
        <v>22.203329206027309</v>
      </c>
    </row>
    <row r="803" spans="1:10" ht="16">
      <c r="A803" s="79" t="s">
        <v>754</v>
      </c>
      <c r="B803" s="79" t="s">
        <v>661</v>
      </c>
      <c r="C803" s="80" t="s">
        <v>126</v>
      </c>
      <c r="D803" s="81" t="s">
        <v>101</v>
      </c>
      <c r="E803" s="82">
        <v>32404</v>
      </c>
      <c r="F803" s="82">
        <v>1062</v>
      </c>
      <c r="G803" s="82">
        <v>1620</v>
      </c>
      <c r="H803" s="83">
        <v>9.2697506435586821</v>
      </c>
      <c r="I803" s="83">
        <v>577.41012365677682</v>
      </c>
      <c r="J803" s="83">
        <v>15.433967357966567</v>
      </c>
    </row>
    <row r="804" spans="1:10" ht="16">
      <c r="A804" s="79" t="s">
        <v>755</v>
      </c>
      <c r="B804" s="79" t="s">
        <v>661</v>
      </c>
      <c r="C804" s="80" t="s">
        <v>126</v>
      </c>
      <c r="D804" s="81" t="s">
        <v>96</v>
      </c>
      <c r="E804" s="82">
        <v>2135</v>
      </c>
      <c r="F804" s="82">
        <v>243</v>
      </c>
      <c r="G804" s="82">
        <v>149</v>
      </c>
      <c r="H804" s="83">
        <v>17.163532423226084</v>
      </c>
      <c r="I804" s="83">
        <v>2722.5773093917996</v>
      </c>
      <c r="J804" s="83">
        <v>22.162376066792802</v>
      </c>
    </row>
    <row r="805" spans="1:10" ht="16">
      <c r="A805" s="79" t="s">
        <v>836</v>
      </c>
      <c r="B805" s="79" t="s">
        <v>837</v>
      </c>
      <c r="C805" s="80" t="s">
        <v>126</v>
      </c>
      <c r="D805" s="81" t="s">
        <v>101</v>
      </c>
      <c r="E805" s="82">
        <v>418053</v>
      </c>
      <c r="F805" s="82">
        <v>11613</v>
      </c>
      <c r="G805" s="82">
        <v>29090</v>
      </c>
      <c r="H805" s="83">
        <v>7.4779057457305065</v>
      </c>
      <c r="I805" s="83">
        <v>2126.7757678857047</v>
      </c>
      <c r="J805" s="83">
        <v>11.777241046658586</v>
      </c>
    </row>
    <row r="806" spans="1:10" ht="16">
      <c r="A806" s="79" t="s">
        <v>605</v>
      </c>
      <c r="B806" s="79" t="s">
        <v>600</v>
      </c>
      <c r="C806" s="80" t="s">
        <v>95</v>
      </c>
      <c r="D806" s="81" t="s">
        <v>101</v>
      </c>
      <c r="E806" s="82">
        <v>16853</v>
      </c>
      <c r="F806" s="82">
        <v>770</v>
      </c>
      <c r="G806" s="82">
        <v>5056</v>
      </c>
      <c r="H806" s="83">
        <v>44.133484736387096</v>
      </c>
      <c r="I806" s="83">
        <v>33114.269696852163</v>
      </c>
      <c r="J806" s="83">
        <v>41.847689899205101</v>
      </c>
    </row>
    <row r="807" spans="1:10" ht="16">
      <c r="A807" s="79" t="s">
        <v>998</v>
      </c>
      <c r="B807" s="79" t="s">
        <v>996</v>
      </c>
      <c r="C807" s="80" t="s">
        <v>95</v>
      </c>
      <c r="D807" s="81" t="s">
        <v>99</v>
      </c>
      <c r="E807" s="82">
        <v>45992</v>
      </c>
      <c r="F807" s="82">
        <v>1167</v>
      </c>
      <c r="G807" s="82">
        <v>920</v>
      </c>
      <c r="H807" s="83">
        <v>7.4138795479163342</v>
      </c>
      <c r="I807" s="83">
        <v>3014.8034294135687</v>
      </c>
      <c r="J807" s="83">
        <v>14.643152351733658</v>
      </c>
    </row>
    <row r="808" spans="1:10" ht="16">
      <c r="A808" s="79" t="s">
        <v>306</v>
      </c>
      <c r="B808" s="79" t="s">
        <v>242</v>
      </c>
      <c r="C808" s="80" t="s">
        <v>126</v>
      </c>
      <c r="D808" s="81" t="s">
        <v>111</v>
      </c>
      <c r="E808" s="82">
        <v>38783</v>
      </c>
      <c r="F808" s="82">
        <v>3232</v>
      </c>
      <c r="G808" s="82">
        <v>4266</v>
      </c>
      <c r="H808" s="83">
        <v>94.738110865792009</v>
      </c>
      <c r="I808" s="83">
        <v>70131.280967082348</v>
      </c>
      <c r="J808" s="83">
        <v>87.117064834156963</v>
      </c>
    </row>
    <row r="809" spans="1:10" ht="16">
      <c r="A809" s="79" t="s">
        <v>440</v>
      </c>
      <c r="B809" s="79" t="s">
        <v>421</v>
      </c>
      <c r="C809" s="80" t="s">
        <v>126</v>
      </c>
      <c r="D809" s="81" t="s">
        <v>101</v>
      </c>
      <c r="E809" s="82">
        <v>20020</v>
      </c>
      <c r="F809" s="82">
        <v>1925</v>
      </c>
      <c r="G809" s="82">
        <v>2803</v>
      </c>
      <c r="H809" s="83">
        <v>16.39245939666683</v>
      </c>
      <c r="I809" s="83">
        <v>7851.9654125835496</v>
      </c>
      <c r="J809" s="83">
        <v>25.990822787315185</v>
      </c>
    </row>
    <row r="810" spans="1:10" ht="16">
      <c r="A810" s="79" t="s">
        <v>441</v>
      </c>
      <c r="B810" s="79" t="s">
        <v>421</v>
      </c>
      <c r="C810" s="80" t="s">
        <v>126</v>
      </c>
      <c r="D810" s="81" t="s">
        <v>78</v>
      </c>
      <c r="E810" s="82">
        <v>34267</v>
      </c>
      <c r="F810" s="82">
        <v>315</v>
      </c>
      <c r="G810" s="82">
        <v>3427</v>
      </c>
      <c r="H810" s="83">
        <v>42.201795082242953</v>
      </c>
      <c r="I810" s="83">
        <v>22439.823079681515</v>
      </c>
      <c r="J810" s="83">
        <v>37.916866125242464</v>
      </c>
    </row>
    <row r="811" spans="1:10" ht="16">
      <c r="A811" s="79" t="s">
        <v>442</v>
      </c>
      <c r="B811" s="79" t="s">
        <v>421</v>
      </c>
      <c r="C811" s="80" t="s">
        <v>126</v>
      </c>
      <c r="D811" s="81" t="s">
        <v>75</v>
      </c>
      <c r="E811" s="82">
        <v>32309</v>
      </c>
      <c r="F811" s="82">
        <v>945</v>
      </c>
      <c r="G811" s="82">
        <v>4523</v>
      </c>
      <c r="H811" s="83">
        <v>49.470191675041647</v>
      </c>
      <c r="I811" s="83">
        <v>35434.59476799953</v>
      </c>
      <c r="J811" s="83">
        <v>46.857488682126203</v>
      </c>
    </row>
    <row r="812" spans="1:10" ht="16">
      <c r="A812" s="79" t="s">
        <v>1394</v>
      </c>
      <c r="B812" s="79" t="s">
        <v>1307</v>
      </c>
      <c r="C812" s="80" t="s">
        <v>95</v>
      </c>
      <c r="D812" s="81" t="s">
        <v>111</v>
      </c>
      <c r="E812" s="82">
        <v>11017</v>
      </c>
      <c r="F812" s="82">
        <v>1124</v>
      </c>
      <c r="G812" s="82">
        <v>1763</v>
      </c>
      <c r="H812" s="83">
        <v>34.307926910011744</v>
      </c>
      <c r="I812" s="83">
        <v>32297.784887250411</v>
      </c>
      <c r="J812" s="83">
        <v>49.90072502635666</v>
      </c>
    </row>
    <row r="813" spans="1:10" ht="16">
      <c r="A813" s="79" t="s">
        <v>1395</v>
      </c>
      <c r="B813" s="79" t="s">
        <v>1307</v>
      </c>
      <c r="C813" s="80" t="s">
        <v>95</v>
      </c>
      <c r="D813" s="81" t="s">
        <v>77</v>
      </c>
      <c r="E813" s="82">
        <v>11185</v>
      </c>
      <c r="F813" s="82">
        <v>1141</v>
      </c>
      <c r="G813" s="82">
        <v>1230</v>
      </c>
      <c r="H813" s="83">
        <v>24.761680032891583</v>
      </c>
      <c r="I813" s="83">
        <v>17528.812969063521</v>
      </c>
      <c r="J813" s="83">
        <v>42.446783380146421</v>
      </c>
    </row>
    <row r="814" spans="1:10" ht="16">
      <c r="A814" s="79" t="s">
        <v>1133</v>
      </c>
      <c r="B814" s="79" t="s">
        <v>1100</v>
      </c>
      <c r="C814" s="80" t="s">
        <v>95</v>
      </c>
      <c r="D814" s="81" t="s">
        <v>76</v>
      </c>
      <c r="E814" s="82">
        <v>15704</v>
      </c>
      <c r="F814" s="82">
        <v>586</v>
      </c>
      <c r="G814" s="82">
        <v>1570</v>
      </c>
      <c r="H814" s="83">
        <v>13.358157840608476</v>
      </c>
      <c r="I814" s="83">
        <v>1345.1755074376504</v>
      </c>
      <c r="J814" s="83">
        <v>15.966666502409121</v>
      </c>
    </row>
    <row r="815" spans="1:10" ht="16">
      <c r="A815" s="79" t="s">
        <v>1134</v>
      </c>
      <c r="B815" s="79" t="s">
        <v>1100</v>
      </c>
      <c r="C815" s="80" t="s">
        <v>95</v>
      </c>
      <c r="D815" s="81" t="s">
        <v>101</v>
      </c>
      <c r="E815" s="82">
        <v>3492</v>
      </c>
      <c r="F815" s="82">
        <v>346</v>
      </c>
      <c r="G815" s="82">
        <v>175</v>
      </c>
      <c r="H815" s="83">
        <v>15.027302375459426</v>
      </c>
      <c r="I815" s="83">
        <v>2135.926789764992</v>
      </c>
      <c r="J815" s="83">
        <v>20.430112088108562</v>
      </c>
    </row>
    <row r="816" spans="1:10" ht="16">
      <c r="A816" s="79" t="s">
        <v>1255</v>
      </c>
      <c r="B816" s="79" t="s">
        <v>1209</v>
      </c>
      <c r="C816" s="80" t="s">
        <v>95</v>
      </c>
      <c r="D816" s="81" t="s">
        <v>96</v>
      </c>
      <c r="E816" s="82">
        <v>32665</v>
      </c>
      <c r="F816" s="82">
        <v>3082</v>
      </c>
      <c r="G816" s="82">
        <v>16986</v>
      </c>
      <c r="H816" s="83">
        <v>88.908482723402543</v>
      </c>
      <c r="I816" s="83">
        <v>85285.872948215241</v>
      </c>
      <c r="J816" s="83">
        <v>78.096268941168091</v>
      </c>
    </row>
    <row r="817" spans="1:10" ht="16">
      <c r="A817" s="79" t="s">
        <v>973</v>
      </c>
      <c r="B817" s="79" t="s">
        <v>938</v>
      </c>
      <c r="C817" s="80" t="s">
        <v>126</v>
      </c>
      <c r="D817" s="81" t="s">
        <v>101</v>
      </c>
      <c r="E817" s="82">
        <v>14111</v>
      </c>
      <c r="F817" s="82">
        <v>2520</v>
      </c>
      <c r="G817" s="82">
        <v>141</v>
      </c>
      <c r="H817" s="83">
        <v>8.3644381646291635</v>
      </c>
      <c r="I817" s="83">
        <v>803.87894837455019</v>
      </c>
      <c r="J817" s="83">
        <v>21.344187262236726</v>
      </c>
    </row>
    <row r="818" spans="1:10" ht="16">
      <c r="A818" s="79" t="s">
        <v>871</v>
      </c>
      <c r="B818" s="79" t="s">
        <v>869</v>
      </c>
      <c r="C818" s="80" t="s">
        <v>95</v>
      </c>
      <c r="D818" s="81" t="s">
        <v>103</v>
      </c>
      <c r="E818" s="82">
        <v>16475</v>
      </c>
      <c r="F818" s="82">
        <v>1267</v>
      </c>
      <c r="G818" s="82">
        <v>1648</v>
      </c>
      <c r="H818" s="83">
        <v>18.690086478273258</v>
      </c>
      <c r="I818" s="83">
        <v>14423.443422885892</v>
      </c>
      <c r="J818" s="83">
        <v>22.402075376953483</v>
      </c>
    </row>
    <row r="819" spans="1:10" ht="16">
      <c r="A819" s="79" t="s">
        <v>443</v>
      </c>
      <c r="B819" s="79" t="s">
        <v>421</v>
      </c>
      <c r="C819" s="80" t="s">
        <v>126</v>
      </c>
      <c r="D819" s="81" t="s">
        <v>111</v>
      </c>
      <c r="E819" s="82">
        <v>10629</v>
      </c>
      <c r="F819" s="82">
        <v>384</v>
      </c>
      <c r="G819" s="82">
        <v>1382</v>
      </c>
      <c r="H819" s="83">
        <v>37.282091885746567</v>
      </c>
      <c r="I819" s="83">
        <v>34769.234346339617</v>
      </c>
      <c r="J819" s="83">
        <v>40.820035498533372</v>
      </c>
    </row>
    <row r="820" spans="1:10" ht="16">
      <c r="A820" s="79" t="s">
        <v>1033</v>
      </c>
      <c r="B820" s="79" t="s">
        <v>1007</v>
      </c>
      <c r="C820" s="80" t="s">
        <v>126</v>
      </c>
      <c r="D820" s="81" t="s">
        <v>101</v>
      </c>
      <c r="E820" s="82">
        <v>4127</v>
      </c>
      <c r="F820" s="82">
        <v>297</v>
      </c>
      <c r="G820" s="82">
        <v>330</v>
      </c>
      <c r="H820" s="83">
        <v>38.807046513897482</v>
      </c>
      <c r="I820" s="83">
        <v>35254.662956887478</v>
      </c>
      <c r="J820" s="83">
        <v>28.702953095341584</v>
      </c>
    </row>
    <row r="821" spans="1:10" ht="16">
      <c r="A821" s="79" t="s">
        <v>1256</v>
      </c>
      <c r="B821" s="79" t="s">
        <v>1209</v>
      </c>
      <c r="C821" s="80" t="s">
        <v>95</v>
      </c>
      <c r="D821" s="81" t="s">
        <v>103</v>
      </c>
      <c r="E821" s="82">
        <v>17817</v>
      </c>
      <c r="F821" s="82">
        <v>1042</v>
      </c>
      <c r="G821" s="82">
        <v>1425</v>
      </c>
      <c r="H821" s="83">
        <v>18.684842034618608</v>
      </c>
      <c r="I821" s="83">
        <v>7402.4619719435959</v>
      </c>
      <c r="J821" s="83">
        <v>21.963960288239509</v>
      </c>
    </row>
    <row r="822" spans="1:10" ht="16">
      <c r="A822" s="79" t="s">
        <v>1206</v>
      </c>
      <c r="B822" s="79" t="s">
        <v>1204</v>
      </c>
      <c r="C822" s="80" t="s">
        <v>95</v>
      </c>
      <c r="D822" s="81" t="s">
        <v>149</v>
      </c>
      <c r="E822" s="82">
        <v>7523</v>
      </c>
      <c r="F822" s="82">
        <v>818</v>
      </c>
      <c r="G822" s="82">
        <v>1580</v>
      </c>
      <c r="H822" s="83">
        <v>19.681415815856131</v>
      </c>
      <c r="I822" s="83">
        <v>16246.514959360391</v>
      </c>
      <c r="J822" s="83">
        <v>24.303662556115146</v>
      </c>
    </row>
    <row r="823" spans="1:10" ht="16">
      <c r="A823" s="79" t="s">
        <v>893</v>
      </c>
      <c r="B823" s="79" t="s">
        <v>892</v>
      </c>
      <c r="C823" s="80" t="s">
        <v>95</v>
      </c>
      <c r="D823" s="81" t="s">
        <v>111</v>
      </c>
      <c r="E823" s="82">
        <v>6236</v>
      </c>
      <c r="F823" s="82">
        <v>588</v>
      </c>
      <c r="G823" s="82">
        <v>99</v>
      </c>
      <c r="H823" s="83">
        <v>11.621139884772862</v>
      </c>
      <c r="I823" s="83">
        <v>9428.904618284394</v>
      </c>
      <c r="J823" s="83">
        <v>17.342454618999152</v>
      </c>
    </row>
    <row r="824" spans="1:10" ht="16">
      <c r="A824" s="79" t="s">
        <v>552</v>
      </c>
      <c r="B824" s="79" t="s">
        <v>549</v>
      </c>
      <c r="C824" s="80" t="s">
        <v>95</v>
      </c>
      <c r="D824" s="81" t="s">
        <v>111</v>
      </c>
      <c r="E824" s="82">
        <v>38310</v>
      </c>
      <c r="F824" s="82">
        <v>4455</v>
      </c>
      <c r="G824" s="82">
        <v>766</v>
      </c>
      <c r="H824" s="83">
        <v>11.875324010673143</v>
      </c>
      <c r="I824" s="83">
        <v>1733.2476131043873</v>
      </c>
      <c r="J824" s="83">
        <v>23.536007161470277</v>
      </c>
    </row>
    <row r="825" spans="1:10" ht="16">
      <c r="A825" s="79" t="s">
        <v>198</v>
      </c>
      <c r="B825" s="79" t="s">
        <v>199</v>
      </c>
      <c r="C825" s="80" t="s">
        <v>95</v>
      </c>
      <c r="D825" s="81" t="s">
        <v>149</v>
      </c>
      <c r="E825" s="82">
        <v>3830</v>
      </c>
      <c r="F825" s="82">
        <v>351</v>
      </c>
      <c r="G825" s="82">
        <v>575</v>
      </c>
      <c r="H825" s="83">
        <v>19.919117406675234</v>
      </c>
      <c r="I825" s="83">
        <v>14385.137193242021</v>
      </c>
      <c r="J825" s="83">
        <v>23.989746372236478</v>
      </c>
    </row>
    <row r="826" spans="1:10" ht="16">
      <c r="A826" s="79" t="s">
        <v>802</v>
      </c>
      <c r="B826" s="79" t="s">
        <v>801</v>
      </c>
      <c r="C826" s="80" t="s">
        <v>95</v>
      </c>
      <c r="D826" s="81" t="s">
        <v>79</v>
      </c>
      <c r="E826" s="82">
        <v>17180</v>
      </c>
      <c r="F826" s="82">
        <v>1701</v>
      </c>
      <c r="G826" s="82">
        <v>2577</v>
      </c>
      <c r="H826" s="83">
        <v>19.801418307150815</v>
      </c>
      <c r="I826" s="83">
        <v>6360.2995556183423</v>
      </c>
      <c r="J826" s="83">
        <v>34.527516980006681</v>
      </c>
    </row>
    <row r="827" spans="1:10" ht="16">
      <c r="A827" s="79" t="s">
        <v>803</v>
      </c>
      <c r="B827" s="79" t="s">
        <v>801</v>
      </c>
      <c r="C827" s="80" t="s">
        <v>126</v>
      </c>
      <c r="D827" s="81" t="s">
        <v>111</v>
      </c>
      <c r="E827" s="82">
        <v>12154</v>
      </c>
      <c r="F827" s="82">
        <v>711</v>
      </c>
      <c r="G827" s="82">
        <v>608</v>
      </c>
      <c r="H827" s="83">
        <v>12.755143300710277</v>
      </c>
      <c r="I827" s="83">
        <v>7550.5211380643859</v>
      </c>
      <c r="J827" s="83">
        <v>16.854357889601211</v>
      </c>
    </row>
    <row r="828" spans="1:10" ht="16">
      <c r="A828" s="79" t="s">
        <v>804</v>
      </c>
      <c r="B828" s="79" t="s">
        <v>801</v>
      </c>
      <c r="C828" s="80" t="s">
        <v>95</v>
      </c>
      <c r="D828" s="81" t="s">
        <v>103</v>
      </c>
      <c r="E828" s="82">
        <v>15973</v>
      </c>
      <c r="F828" s="82">
        <v>850</v>
      </c>
      <c r="G828" s="82">
        <v>958</v>
      </c>
      <c r="H828" s="83">
        <v>8.7180928729573601</v>
      </c>
      <c r="I828" s="83">
        <v>871.49433585590361</v>
      </c>
      <c r="J828" s="83">
        <v>18.159487398681538</v>
      </c>
    </row>
    <row r="829" spans="1:10" ht="16">
      <c r="A829" s="79" t="s">
        <v>805</v>
      </c>
      <c r="B829" s="79" t="s">
        <v>801</v>
      </c>
      <c r="C829" s="80" t="s">
        <v>95</v>
      </c>
      <c r="D829" s="81" t="s">
        <v>99</v>
      </c>
      <c r="E829" s="82">
        <v>20018</v>
      </c>
      <c r="F829" s="82">
        <v>1654</v>
      </c>
      <c r="G829" s="82">
        <v>4604</v>
      </c>
      <c r="H829" s="83">
        <v>31.481232127627749</v>
      </c>
      <c r="I829" s="83">
        <v>6006.2896871286257</v>
      </c>
      <c r="J829" s="83">
        <v>32.289396035497965</v>
      </c>
    </row>
    <row r="830" spans="1:10" ht="16">
      <c r="A830" s="79" t="s">
        <v>806</v>
      </c>
      <c r="B830" s="79" t="s">
        <v>801</v>
      </c>
      <c r="C830" s="80" t="s">
        <v>95</v>
      </c>
      <c r="D830" s="81" t="s">
        <v>101</v>
      </c>
      <c r="E830" s="82">
        <v>20908</v>
      </c>
      <c r="F830" s="82">
        <v>1954</v>
      </c>
      <c r="G830" s="82">
        <v>3136</v>
      </c>
      <c r="H830" s="83">
        <v>23.251527332881121</v>
      </c>
      <c r="I830" s="83">
        <v>6063.5548498570442</v>
      </c>
      <c r="J830" s="83">
        <v>36.371774510621485</v>
      </c>
    </row>
    <row r="831" spans="1:10" ht="16">
      <c r="A831" s="79" t="s">
        <v>807</v>
      </c>
      <c r="B831" s="79" t="s">
        <v>801</v>
      </c>
      <c r="C831" s="80" t="s">
        <v>95</v>
      </c>
      <c r="D831" s="81" t="s">
        <v>78</v>
      </c>
      <c r="E831" s="82">
        <v>19087</v>
      </c>
      <c r="F831" s="82">
        <v>1704</v>
      </c>
      <c r="G831" s="82">
        <v>2672</v>
      </c>
      <c r="H831" s="83">
        <v>25.339655530138494</v>
      </c>
      <c r="I831" s="83">
        <v>7382.1193523213606</v>
      </c>
      <c r="J831" s="83">
        <v>36.951400555510489</v>
      </c>
    </row>
    <row r="832" spans="1:10" ht="16">
      <c r="A832" s="79" t="s">
        <v>808</v>
      </c>
      <c r="B832" s="79" t="s">
        <v>801</v>
      </c>
      <c r="C832" s="80" t="s">
        <v>95</v>
      </c>
      <c r="D832" s="81" t="s">
        <v>77</v>
      </c>
      <c r="E832" s="82">
        <v>54483</v>
      </c>
      <c r="F832" s="82">
        <v>3186</v>
      </c>
      <c r="G832" s="82">
        <v>3791</v>
      </c>
      <c r="H832" s="83">
        <v>13.064428703820427</v>
      </c>
      <c r="I832" s="83">
        <v>1398.310950472993</v>
      </c>
      <c r="J832" s="83">
        <v>18.153390386161021</v>
      </c>
    </row>
    <row r="833" spans="1:10" ht="16">
      <c r="A833" s="79" t="s">
        <v>809</v>
      </c>
      <c r="B833" s="79" t="s">
        <v>801</v>
      </c>
      <c r="C833" s="80" t="s">
        <v>126</v>
      </c>
      <c r="D833" s="81" t="s">
        <v>149</v>
      </c>
      <c r="E833" s="82">
        <v>6212</v>
      </c>
      <c r="F833" s="82">
        <v>391</v>
      </c>
      <c r="G833" s="82">
        <v>1056</v>
      </c>
      <c r="H833" s="83">
        <v>30.22628800063892</v>
      </c>
      <c r="I833" s="83">
        <v>8089.6196103749926</v>
      </c>
      <c r="J833" s="83">
        <v>27.494707394280187</v>
      </c>
    </row>
    <row r="834" spans="1:10" ht="16">
      <c r="A834" s="79" t="s">
        <v>810</v>
      </c>
      <c r="B834" s="79" t="s">
        <v>801</v>
      </c>
      <c r="C834" s="80" t="s">
        <v>126</v>
      </c>
      <c r="D834" s="81" t="s">
        <v>79</v>
      </c>
      <c r="E834" s="82">
        <v>6780</v>
      </c>
      <c r="F834" s="82">
        <v>421</v>
      </c>
      <c r="G834" s="82">
        <v>407</v>
      </c>
      <c r="H834" s="83">
        <v>14.521070616726496</v>
      </c>
      <c r="I834" s="83">
        <v>4686.8695476059111</v>
      </c>
      <c r="J834" s="83">
        <v>18.260151822872938</v>
      </c>
    </row>
    <row r="835" spans="1:10" ht="16">
      <c r="A835" s="79" t="s">
        <v>811</v>
      </c>
      <c r="B835" s="79" t="s">
        <v>801</v>
      </c>
      <c r="C835" s="80" t="s">
        <v>95</v>
      </c>
      <c r="D835" s="81" t="s">
        <v>99</v>
      </c>
      <c r="E835" s="82">
        <v>18763</v>
      </c>
      <c r="F835" s="82">
        <v>1165</v>
      </c>
      <c r="G835" s="82">
        <v>375</v>
      </c>
      <c r="H835" s="83">
        <v>12.900612575167512</v>
      </c>
      <c r="I835" s="83">
        <v>9987.84777902526</v>
      </c>
      <c r="J835" s="83">
        <v>15.298933876353995</v>
      </c>
    </row>
    <row r="836" spans="1:10" ht="16">
      <c r="A836" s="79" t="s">
        <v>812</v>
      </c>
      <c r="B836" s="79" t="s">
        <v>801</v>
      </c>
      <c r="C836" s="80" t="s">
        <v>95</v>
      </c>
      <c r="D836" s="81" t="s">
        <v>75</v>
      </c>
      <c r="E836" s="82">
        <v>12871</v>
      </c>
      <c r="F836" s="82">
        <v>1100</v>
      </c>
      <c r="G836" s="82">
        <v>3218</v>
      </c>
      <c r="H836" s="83">
        <v>21.686787718858806</v>
      </c>
      <c r="I836" s="83">
        <v>1940.8342736409231</v>
      </c>
      <c r="J836" s="83">
        <v>31.605187133104863</v>
      </c>
    </row>
    <row r="837" spans="1:10" ht="16">
      <c r="A837" s="79" t="s">
        <v>1396</v>
      </c>
      <c r="B837" s="79" t="s">
        <v>1307</v>
      </c>
      <c r="C837" s="80" t="s">
        <v>126</v>
      </c>
      <c r="D837" s="81" t="s">
        <v>103</v>
      </c>
      <c r="E837" s="82">
        <v>25849</v>
      </c>
      <c r="F837" s="82">
        <v>1486</v>
      </c>
      <c r="G837" s="82">
        <v>4394</v>
      </c>
      <c r="H837" s="83">
        <v>33.40899933475356</v>
      </c>
      <c r="I837" s="83">
        <v>24149.642340589009</v>
      </c>
      <c r="J837" s="83">
        <v>37.480986884412602</v>
      </c>
    </row>
    <row r="838" spans="1:10" ht="16">
      <c r="A838" s="79" t="s">
        <v>606</v>
      </c>
      <c r="B838" s="79" t="s">
        <v>600</v>
      </c>
      <c r="C838" s="80" t="s">
        <v>95</v>
      </c>
      <c r="D838" s="81" t="s">
        <v>76</v>
      </c>
      <c r="E838" s="82">
        <v>16861</v>
      </c>
      <c r="F838" s="82">
        <v>937</v>
      </c>
      <c r="G838" s="82">
        <v>3035</v>
      </c>
      <c r="H838" s="83">
        <v>23.401317477125218</v>
      </c>
      <c r="I838" s="83">
        <v>17913.017790931903</v>
      </c>
      <c r="J838" s="83">
        <v>24.967334246093646</v>
      </c>
    </row>
    <row r="839" spans="1:10" ht="16">
      <c r="A839" s="79" t="s">
        <v>607</v>
      </c>
      <c r="B839" s="79" t="s">
        <v>600</v>
      </c>
      <c r="C839" s="80" t="s">
        <v>95</v>
      </c>
      <c r="D839" s="81" t="s">
        <v>79</v>
      </c>
      <c r="E839" s="82">
        <v>22541</v>
      </c>
      <c r="F839" s="82">
        <v>976</v>
      </c>
      <c r="G839" s="82">
        <v>6537</v>
      </c>
      <c r="H839" s="83">
        <v>37.239875543246782</v>
      </c>
      <c r="I839" s="83">
        <v>26912.118067653297</v>
      </c>
      <c r="J839" s="83">
        <v>31.509812364350022</v>
      </c>
    </row>
    <row r="840" spans="1:10" ht="16">
      <c r="A840" s="79" t="s">
        <v>1257</v>
      </c>
      <c r="B840" s="79" t="s">
        <v>1209</v>
      </c>
      <c r="C840" s="80" t="s">
        <v>95</v>
      </c>
      <c r="D840" s="81" t="s">
        <v>103</v>
      </c>
      <c r="E840" s="82">
        <v>12399</v>
      </c>
      <c r="F840" s="82">
        <v>790</v>
      </c>
      <c r="G840" s="82">
        <v>4836</v>
      </c>
      <c r="H840" s="83">
        <v>34.10399022232594</v>
      </c>
      <c r="I840" s="83">
        <v>31767.78358189806</v>
      </c>
      <c r="J840" s="83">
        <v>30.820830885192485</v>
      </c>
    </row>
    <row r="841" spans="1:10" ht="16">
      <c r="A841" s="79" t="s">
        <v>129</v>
      </c>
      <c r="B841" s="79" t="s">
        <v>108</v>
      </c>
      <c r="C841" s="80" t="s">
        <v>126</v>
      </c>
      <c r="D841" s="81" t="s">
        <v>79</v>
      </c>
      <c r="E841" s="82">
        <v>21093</v>
      </c>
      <c r="F841" s="82">
        <v>705</v>
      </c>
      <c r="G841" s="82">
        <v>6117</v>
      </c>
      <c r="H841" s="83">
        <v>42.418189127163664</v>
      </c>
      <c r="I841" s="83">
        <v>39730.992027332897</v>
      </c>
      <c r="J841" s="83">
        <v>34.740828480762495</v>
      </c>
    </row>
    <row r="842" spans="1:10" ht="16">
      <c r="A842" s="79" t="s">
        <v>885</v>
      </c>
      <c r="B842" s="79" t="s">
        <v>877</v>
      </c>
      <c r="C842" s="80" t="s">
        <v>126</v>
      </c>
      <c r="D842" s="81" t="s">
        <v>76</v>
      </c>
      <c r="E842" s="82">
        <v>24440</v>
      </c>
      <c r="F842" s="82">
        <v>690</v>
      </c>
      <c r="G842" s="82">
        <v>1701</v>
      </c>
      <c r="H842" s="83">
        <v>17.080161135050272</v>
      </c>
      <c r="I842" s="83">
        <v>4724.0907455157339</v>
      </c>
      <c r="J842" s="83">
        <v>18.431809271220263</v>
      </c>
    </row>
    <row r="843" spans="1:10" ht="16">
      <c r="A843" s="79" t="s">
        <v>1397</v>
      </c>
      <c r="B843" s="79" t="s">
        <v>1307</v>
      </c>
      <c r="C843" s="80" t="s">
        <v>95</v>
      </c>
      <c r="D843" s="81" t="s">
        <v>79</v>
      </c>
      <c r="E843" s="82">
        <v>35120</v>
      </c>
      <c r="F843" s="82">
        <v>1561</v>
      </c>
      <c r="G843" s="82">
        <v>1405</v>
      </c>
      <c r="H843" s="83">
        <v>23.097324193056046</v>
      </c>
      <c r="I843" s="83">
        <v>17388.626329377279</v>
      </c>
      <c r="J843" s="83">
        <v>27.720684281450215</v>
      </c>
    </row>
    <row r="844" spans="1:10" ht="16">
      <c r="A844" s="79" t="s">
        <v>1398</v>
      </c>
      <c r="B844" s="79" t="s">
        <v>1307</v>
      </c>
      <c r="C844" s="80" t="s">
        <v>95</v>
      </c>
      <c r="D844" s="81" t="s">
        <v>79</v>
      </c>
      <c r="E844" s="82">
        <v>16927</v>
      </c>
      <c r="F844" s="82">
        <v>1014</v>
      </c>
      <c r="G844" s="82">
        <v>1016</v>
      </c>
      <c r="H844" s="83">
        <v>34.401314630781627</v>
      </c>
      <c r="I844" s="83">
        <v>32783.927214237716</v>
      </c>
      <c r="J844" s="83">
        <v>40.049216272092593</v>
      </c>
    </row>
    <row r="845" spans="1:10" ht="16">
      <c r="A845" s="79" t="s">
        <v>1399</v>
      </c>
      <c r="B845" s="79" t="s">
        <v>1307</v>
      </c>
      <c r="C845" s="80" t="s">
        <v>126</v>
      </c>
      <c r="D845" s="81" t="s">
        <v>101</v>
      </c>
      <c r="E845" s="82">
        <v>6729</v>
      </c>
      <c r="F845" s="82">
        <v>413</v>
      </c>
      <c r="G845" s="82">
        <v>538</v>
      </c>
      <c r="H845" s="83">
        <v>22.612615674250382</v>
      </c>
      <c r="I845" s="83">
        <v>13043.547063196924</v>
      </c>
      <c r="J845" s="83">
        <v>22.293193937414848</v>
      </c>
    </row>
    <row r="846" spans="1:10" ht="16">
      <c r="A846" s="79" t="s">
        <v>1400</v>
      </c>
      <c r="B846" s="79" t="s">
        <v>1307</v>
      </c>
      <c r="C846" s="80" t="s">
        <v>95</v>
      </c>
      <c r="D846" s="81" t="s">
        <v>149</v>
      </c>
      <c r="E846" s="82">
        <v>3593</v>
      </c>
      <c r="F846" s="82">
        <v>413</v>
      </c>
      <c r="G846" s="82">
        <v>180</v>
      </c>
      <c r="H846" s="83">
        <v>25.02240859259847</v>
      </c>
      <c r="I846" s="83">
        <v>18189.078210503016</v>
      </c>
      <c r="J846" s="83">
        <v>28.33379180510132</v>
      </c>
    </row>
    <row r="847" spans="1:10" ht="16">
      <c r="A847" s="79" t="s">
        <v>213</v>
      </c>
      <c r="B847" s="79" t="s">
        <v>203</v>
      </c>
      <c r="C847" s="80" t="s">
        <v>95</v>
      </c>
      <c r="D847" s="81" t="s">
        <v>77</v>
      </c>
      <c r="E847" s="82">
        <v>31919</v>
      </c>
      <c r="F847" s="82">
        <v>1520</v>
      </c>
      <c r="G847" s="82">
        <v>8299</v>
      </c>
      <c r="H847" s="83">
        <v>48.874377983838336</v>
      </c>
      <c r="I847" s="83">
        <v>34311.668022452592</v>
      </c>
      <c r="J847" s="83">
        <v>48.150263354081993</v>
      </c>
    </row>
    <row r="848" spans="1:10" ht="16">
      <c r="A848" s="79" t="s">
        <v>916</v>
      </c>
      <c r="B848" s="79" t="s">
        <v>912</v>
      </c>
      <c r="C848" s="80" t="s">
        <v>95</v>
      </c>
      <c r="D848" s="81" t="s">
        <v>75</v>
      </c>
      <c r="E848" s="82">
        <v>7780</v>
      </c>
      <c r="F848" s="82">
        <v>603</v>
      </c>
      <c r="G848" s="82">
        <v>1245</v>
      </c>
      <c r="H848" s="83">
        <v>14.032105139143436</v>
      </c>
      <c r="I848" s="83">
        <v>5456.2942862512318</v>
      </c>
      <c r="J848" s="83">
        <v>17.66022871526776</v>
      </c>
    </row>
    <row r="849" spans="1:10" ht="16">
      <c r="A849" s="79" t="s">
        <v>1051</v>
      </c>
      <c r="B849" s="79" t="s">
        <v>1039</v>
      </c>
      <c r="C849" s="80" t="s">
        <v>95</v>
      </c>
      <c r="D849" s="81" t="s">
        <v>149</v>
      </c>
      <c r="E849" s="82">
        <v>27207</v>
      </c>
      <c r="F849" s="82">
        <v>1479</v>
      </c>
      <c r="G849" s="82">
        <v>2449</v>
      </c>
      <c r="H849" s="83">
        <v>15.086846738460423</v>
      </c>
      <c r="I849" s="83">
        <v>4267.2080275408089</v>
      </c>
      <c r="J849" s="83">
        <v>20.480969219176526</v>
      </c>
    </row>
    <row r="850" spans="1:10" ht="16">
      <c r="A850" s="79" t="s">
        <v>846</v>
      </c>
      <c r="B850" s="79" t="s">
        <v>839</v>
      </c>
      <c r="C850" s="80" t="s">
        <v>95</v>
      </c>
      <c r="D850" s="81" t="s">
        <v>77</v>
      </c>
      <c r="E850" s="82">
        <v>26723</v>
      </c>
      <c r="F850" s="82">
        <v>1979</v>
      </c>
      <c r="G850" s="82">
        <v>4810</v>
      </c>
      <c r="H850" s="83">
        <v>63.460065534553628</v>
      </c>
      <c r="I850" s="83">
        <v>57876.018213247022</v>
      </c>
      <c r="J850" s="83">
        <v>48.788136256314338</v>
      </c>
    </row>
    <row r="851" spans="1:10" ht="16">
      <c r="A851" s="79" t="s">
        <v>327</v>
      </c>
      <c r="B851" s="79" t="s">
        <v>323</v>
      </c>
      <c r="C851" s="80" t="s">
        <v>95</v>
      </c>
      <c r="D851" s="81" t="s">
        <v>79</v>
      </c>
      <c r="E851" s="82">
        <v>41389</v>
      </c>
      <c r="F851" s="82">
        <v>1725</v>
      </c>
      <c r="G851" s="82">
        <v>2850</v>
      </c>
      <c r="H851" s="83">
        <v>17.507318680966893</v>
      </c>
      <c r="I851" s="83">
        <v>2932.9125011041733</v>
      </c>
      <c r="J851" s="83">
        <v>17.513111849778596</v>
      </c>
    </row>
    <row r="852" spans="1:10" ht="16">
      <c r="A852" s="79" t="s">
        <v>166</v>
      </c>
      <c r="B852" s="79" t="s">
        <v>163</v>
      </c>
      <c r="C852" s="80" t="s">
        <v>95</v>
      </c>
      <c r="D852" s="81" t="s">
        <v>149</v>
      </c>
      <c r="E852" s="82">
        <v>15166</v>
      </c>
      <c r="F852" s="82">
        <v>518</v>
      </c>
      <c r="G852" s="82">
        <v>2578</v>
      </c>
      <c r="H852" s="83">
        <v>45.382966722958642</v>
      </c>
      <c r="I852" s="83">
        <v>33787.339660102167</v>
      </c>
      <c r="J852" s="83">
        <v>36.400129009183544</v>
      </c>
    </row>
    <row r="853" spans="1:10" ht="16">
      <c r="A853" s="79" t="s">
        <v>1401</v>
      </c>
      <c r="B853" s="79" t="s">
        <v>1307</v>
      </c>
      <c r="C853" s="80" t="s">
        <v>95</v>
      </c>
      <c r="D853" s="81" t="s">
        <v>101</v>
      </c>
      <c r="E853" s="82">
        <v>39124</v>
      </c>
      <c r="F853" s="82">
        <v>2126</v>
      </c>
      <c r="G853" s="82">
        <v>3912</v>
      </c>
      <c r="H853" s="83">
        <v>53.94640398634872</v>
      </c>
      <c r="I853" s="83">
        <v>45862.405892183793</v>
      </c>
      <c r="J853" s="83">
        <v>53.5521387608201</v>
      </c>
    </row>
    <row r="854" spans="1:10" ht="16">
      <c r="A854" s="79" t="s">
        <v>1402</v>
      </c>
      <c r="B854" s="79" t="s">
        <v>1307</v>
      </c>
      <c r="C854" s="80" t="s">
        <v>95</v>
      </c>
      <c r="D854" s="81" t="s">
        <v>111</v>
      </c>
      <c r="E854" s="82">
        <v>24754</v>
      </c>
      <c r="F854" s="82">
        <v>1250</v>
      </c>
      <c r="G854" s="82">
        <v>1238</v>
      </c>
      <c r="H854" s="83">
        <v>23.512656494168308</v>
      </c>
      <c r="I854" s="83">
        <v>8534.4253860447679</v>
      </c>
      <c r="J854" s="83">
        <v>27.429801674091646</v>
      </c>
    </row>
    <row r="855" spans="1:10" ht="16">
      <c r="A855" s="79" t="s">
        <v>856</v>
      </c>
      <c r="B855" s="79" t="s">
        <v>853</v>
      </c>
      <c r="C855" s="80" t="s">
        <v>95</v>
      </c>
      <c r="D855" s="81" t="s">
        <v>149</v>
      </c>
      <c r="E855" s="82">
        <v>32821</v>
      </c>
      <c r="F855" s="82">
        <v>1485</v>
      </c>
      <c r="G855" s="82">
        <v>10503</v>
      </c>
      <c r="H855" s="83">
        <v>44.08485450880216</v>
      </c>
      <c r="I855" s="83">
        <v>35216.546479222605</v>
      </c>
      <c r="J855" s="83">
        <v>31.86370159429282</v>
      </c>
    </row>
    <row r="856" spans="1:10" ht="16">
      <c r="A856" s="79" t="s">
        <v>917</v>
      </c>
      <c r="B856" s="79" t="s">
        <v>912</v>
      </c>
      <c r="C856" s="80" t="s">
        <v>95</v>
      </c>
      <c r="D856" s="81" t="s">
        <v>78</v>
      </c>
      <c r="E856" s="82">
        <v>9774</v>
      </c>
      <c r="F856" s="82">
        <v>592</v>
      </c>
      <c r="G856" s="82">
        <v>1173</v>
      </c>
      <c r="H856" s="83">
        <v>25.648550644060585</v>
      </c>
      <c r="I856" s="83">
        <v>10389.584317349721</v>
      </c>
      <c r="J856" s="83">
        <v>25.660496836682814</v>
      </c>
    </row>
    <row r="857" spans="1:10" ht="16">
      <c r="A857" s="79" t="s">
        <v>596</v>
      </c>
      <c r="B857" s="79" t="s">
        <v>597</v>
      </c>
      <c r="C857" s="80" t="s">
        <v>95</v>
      </c>
      <c r="D857" s="81" t="s">
        <v>79</v>
      </c>
      <c r="E857" s="82">
        <v>66399</v>
      </c>
      <c r="F857" s="82">
        <v>6385</v>
      </c>
      <c r="G857" s="82">
        <v>4620</v>
      </c>
      <c r="H857" s="83">
        <v>8.3113376231156781</v>
      </c>
      <c r="I857" s="83">
        <v>3446.3465372068822</v>
      </c>
      <c r="J857" s="83">
        <v>20.177668112955416</v>
      </c>
    </row>
    <row r="858" spans="1:10" ht="16">
      <c r="A858" s="79" t="s">
        <v>1052</v>
      </c>
      <c r="B858" s="79" t="s">
        <v>1039</v>
      </c>
      <c r="C858" s="80" t="s">
        <v>95</v>
      </c>
      <c r="D858" s="81" t="s">
        <v>99</v>
      </c>
      <c r="E858" s="82">
        <v>46214</v>
      </c>
      <c r="F858" s="82">
        <v>3916</v>
      </c>
      <c r="G858" s="82">
        <v>4621</v>
      </c>
      <c r="H858" s="83">
        <v>32.766732018916343</v>
      </c>
      <c r="I858" s="83">
        <v>28518.957586563822</v>
      </c>
      <c r="J858" s="83">
        <v>37.364434524443737</v>
      </c>
    </row>
    <row r="859" spans="1:10" ht="16">
      <c r="A859" s="79" t="s">
        <v>626</v>
      </c>
      <c r="B859" s="79" t="s">
        <v>617</v>
      </c>
      <c r="C859" s="80" t="s">
        <v>95</v>
      </c>
      <c r="D859" s="81" t="s">
        <v>76</v>
      </c>
      <c r="E859" s="82">
        <v>29564</v>
      </c>
      <c r="F859" s="82">
        <v>1442</v>
      </c>
      <c r="G859" s="82">
        <v>296</v>
      </c>
      <c r="H859" s="83">
        <v>17.731488354236287</v>
      </c>
      <c r="I859" s="83">
        <v>14947.252267531909</v>
      </c>
      <c r="J859" s="83">
        <v>16.841409328051419</v>
      </c>
    </row>
    <row r="860" spans="1:10" ht="16">
      <c r="A860" s="79" t="s">
        <v>1092</v>
      </c>
      <c r="B860" s="79" t="s">
        <v>1091</v>
      </c>
      <c r="C860" s="80" t="s">
        <v>95</v>
      </c>
      <c r="D860" s="81" t="s">
        <v>76</v>
      </c>
      <c r="E860" s="82">
        <v>11518</v>
      </c>
      <c r="F860" s="82">
        <v>729</v>
      </c>
      <c r="G860" s="82">
        <v>3110</v>
      </c>
      <c r="H860" s="83">
        <v>41.327842750664033</v>
      </c>
      <c r="I860" s="83">
        <v>37664.302015195877</v>
      </c>
      <c r="J860" s="83">
        <v>43.772140795299457</v>
      </c>
    </row>
    <row r="861" spans="1:10" ht="16">
      <c r="A861" s="79" t="s">
        <v>1258</v>
      </c>
      <c r="B861" s="79" t="s">
        <v>1209</v>
      </c>
      <c r="C861" s="80" t="s">
        <v>126</v>
      </c>
      <c r="D861" s="81" t="s">
        <v>79</v>
      </c>
      <c r="E861" s="82">
        <v>13825</v>
      </c>
      <c r="F861" s="82">
        <v>843</v>
      </c>
      <c r="G861" s="82">
        <v>4424</v>
      </c>
      <c r="H861" s="83">
        <v>31.50847846622149</v>
      </c>
      <c r="I861" s="83">
        <v>23616.499684975566</v>
      </c>
      <c r="J861" s="83">
        <v>29.463373990396825</v>
      </c>
    </row>
    <row r="862" spans="1:10" ht="16">
      <c r="A862" s="79" t="s">
        <v>444</v>
      </c>
      <c r="B862" s="79" t="s">
        <v>421</v>
      </c>
      <c r="C862" s="80" t="s">
        <v>126</v>
      </c>
      <c r="D862" s="81" t="s">
        <v>79</v>
      </c>
      <c r="E862" s="82">
        <v>9255</v>
      </c>
      <c r="F862" s="82">
        <v>312</v>
      </c>
      <c r="G862" s="82">
        <v>926</v>
      </c>
      <c r="H862" s="83">
        <v>34.879245357067099</v>
      </c>
      <c r="I862" s="83">
        <v>19253.005885822906</v>
      </c>
      <c r="J862" s="83">
        <v>35.215891485721897</v>
      </c>
    </row>
    <row r="863" spans="1:10" ht="16">
      <c r="A863" s="79" t="s">
        <v>1259</v>
      </c>
      <c r="B863" s="79" t="s">
        <v>1209</v>
      </c>
      <c r="C863" s="80" t="s">
        <v>95</v>
      </c>
      <c r="D863" s="81" t="s">
        <v>79</v>
      </c>
      <c r="E863" s="82">
        <v>10808</v>
      </c>
      <c r="F863" s="82">
        <v>540</v>
      </c>
      <c r="G863" s="82">
        <v>3675</v>
      </c>
      <c r="H863" s="83">
        <v>14.475673660028646</v>
      </c>
      <c r="I863" s="83">
        <v>3996.4137652240529</v>
      </c>
      <c r="J863" s="83">
        <v>17.465872277115608</v>
      </c>
    </row>
    <row r="864" spans="1:10" ht="16">
      <c r="A864" s="79" t="s">
        <v>918</v>
      </c>
      <c r="B864" s="79" t="s">
        <v>912</v>
      </c>
      <c r="C864" s="80" t="s">
        <v>95</v>
      </c>
      <c r="D864" s="81" t="s">
        <v>76</v>
      </c>
      <c r="E864" s="82">
        <v>7022</v>
      </c>
      <c r="F864" s="82">
        <v>447</v>
      </c>
      <c r="G864" s="82">
        <v>983</v>
      </c>
      <c r="H864" s="83">
        <v>17.277416865091823</v>
      </c>
      <c r="I864" s="83">
        <v>8064.6035398937984</v>
      </c>
      <c r="J864" s="83">
        <v>18.218802417472244</v>
      </c>
    </row>
    <row r="865" spans="1:10" ht="16">
      <c r="A865" s="79" t="s">
        <v>627</v>
      </c>
      <c r="B865" s="79" t="s">
        <v>617</v>
      </c>
      <c r="C865" s="80" t="s">
        <v>95</v>
      </c>
      <c r="D865" s="81" t="s">
        <v>79</v>
      </c>
      <c r="E865" s="82">
        <v>19022</v>
      </c>
      <c r="F865" s="82">
        <v>334</v>
      </c>
      <c r="G865" s="82">
        <v>1332</v>
      </c>
      <c r="H865" s="83">
        <v>21.674694003927019</v>
      </c>
      <c r="I865" s="83">
        <v>12483.112910366966</v>
      </c>
      <c r="J865" s="83">
        <v>19.62535964210457</v>
      </c>
    </row>
    <row r="866" spans="1:10" ht="16">
      <c r="A866" s="79" t="s">
        <v>872</v>
      </c>
      <c r="B866" s="79" t="s">
        <v>869</v>
      </c>
      <c r="C866" s="80" t="s">
        <v>95</v>
      </c>
      <c r="D866" s="81" t="s">
        <v>101</v>
      </c>
      <c r="E866" s="82">
        <v>14007</v>
      </c>
      <c r="F866" s="82">
        <v>1121</v>
      </c>
      <c r="G866" s="82">
        <v>1961</v>
      </c>
      <c r="H866" s="83">
        <v>29.562561783628418</v>
      </c>
      <c r="I866" s="83">
        <v>27696.650888413384</v>
      </c>
      <c r="J866" s="83">
        <v>29.823790938454309</v>
      </c>
    </row>
    <row r="867" spans="1:10" ht="16">
      <c r="A867" s="79" t="s">
        <v>1093</v>
      </c>
      <c r="B867" s="79" t="s">
        <v>1091</v>
      </c>
      <c r="C867" s="80" t="s">
        <v>95</v>
      </c>
      <c r="D867" s="81" t="s">
        <v>96</v>
      </c>
      <c r="E867" s="82">
        <v>11090</v>
      </c>
      <c r="F867" s="82">
        <v>672</v>
      </c>
      <c r="G867" s="82">
        <v>1774</v>
      </c>
      <c r="H867" s="83">
        <v>41.938855650369248</v>
      </c>
      <c r="I867" s="83">
        <v>35740.327572363574</v>
      </c>
      <c r="J867" s="83">
        <v>44.799776528171016</v>
      </c>
    </row>
    <row r="868" spans="1:10" ht="16">
      <c r="A868" s="79" t="s">
        <v>584</v>
      </c>
      <c r="B868" s="79" t="s">
        <v>556</v>
      </c>
      <c r="C868" s="80" t="s">
        <v>95</v>
      </c>
      <c r="D868" s="81" t="s">
        <v>75</v>
      </c>
      <c r="E868" s="82">
        <v>11000</v>
      </c>
      <c r="F868" s="82">
        <v>451</v>
      </c>
      <c r="G868" s="82">
        <v>110</v>
      </c>
      <c r="H868" s="83">
        <v>8.5740174771204973</v>
      </c>
      <c r="I868" s="83">
        <v>694.14297898491293</v>
      </c>
      <c r="J868" s="83">
        <v>16.771172611285063</v>
      </c>
    </row>
    <row r="869" spans="1:10" ht="16">
      <c r="A869" s="79" t="s">
        <v>1260</v>
      </c>
      <c r="B869" s="79" t="s">
        <v>1209</v>
      </c>
      <c r="C869" s="80" t="s">
        <v>95</v>
      </c>
      <c r="D869" s="81" t="s">
        <v>75</v>
      </c>
      <c r="E869" s="82">
        <v>29542</v>
      </c>
      <c r="F869" s="82">
        <v>1906</v>
      </c>
      <c r="G869" s="82">
        <v>8567</v>
      </c>
      <c r="H869" s="83">
        <v>45.657705227905936</v>
      </c>
      <c r="I869" s="83">
        <v>42081.64382574417</v>
      </c>
      <c r="J869" s="83">
        <v>39.612745522011743</v>
      </c>
    </row>
    <row r="870" spans="1:10" ht="16">
      <c r="A870" s="79" t="s">
        <v>93</v>
      </c>
      <c r="B870" s="79" t="s">
        <v>94</v>
      </c>
      <c r="C870" s="80" t="s">
        <v>95</v>
      </c>
      <c r="D870" s="81" t="s">
        <v>96</v>
      </c>
      <c r="E870" s="82">
        <v>34037</v>
      </c>
      <c r="F870" s="82">
        <v>1389</v>
      </c>
      <c r="G870" s="82">
        <v>340</v>
      </c>
      <c r="H870" s="83">
        <v>7.7404428125747264</v>
      </c>
      <c r="I870" s="83">
        <v>1033.2256992965133</v>
      </c>
      <c r="J870" s="83">
        <v>16.660871446298707</v>
      </c>
    </row>
    <row r="871" spans="1:10" ht="16">
      <c r="A871" s="79" t="s">
        <v>628</v>
      </c>
      <c r="B871" s="79" t="s">
        <v>617</v>
      </c>
      <c r="C871" s="80" t="s">
        <v>95</v>
      </c>
      <c r="D871" s="81" t="s">
        <v>101</v>
      </c>
      <c r="E871" s="82">
        <v>65819</v>
      </c>
      <c r="F871" s="82">
        <v>2742</v>
      </c>
      <c r="G871" s="82">
        <v>7898</v>
      </c>
      <c r="H871" s="83">
        <v>35.325810952614709</v>
      </c>
      <c r="I871" s="83">
        <v>29183.459330886293</v>
      </c>
      <c r="J871" s="83">
        <v>51.941031819794155</v>
      </c>
    </row>
    <row r="872" spans="1:10" ht="16">
      <c r="A872" s="79" t="s">
        <v>445</v>
      </c>
      <c r="B872" s="79" t="s">
        <v>421</v>
      </c>
      <c r="C872" s="80" t="s">
        <v>95</v>
      </c>
      <c r="D872" s="81" t="s">
        <v>101</v>
      </c>
      <c r="E872" s="82">
        <v>36352</v>
      </c>
      <c r="F872" s="82">
        <v>537</v>
      </c>
      <c r="G872" s="82">
        <v>4726</v>
      </c>
      <c r="H872" s="83">
        <v>47.219547883396906</v>
      </c>
      <c r="I872" s="83">
        <v>41403.265715353344</v>
      </c>
      <c r="J872" s="83">
        <v>47.708172688560936</v>
      </c>
    </row>
    <row r="873" spans="1:10" ht="16">
      <c r="A873" s="79" t="s">
        <v>408</v>
      </c>
      <c r="B873" s="79" t="s">
        <v>396</v>
      </c>
      <c r="C873" s="80" t="s">
        <v>95</v>
      </c>
      <c r="D873" s="81" t="s">
        <v>103</v>
      </c>
      <c r="E873" s="82">
        <v>54965</v>
      </c>
      <c r="F873" s="82">
        <v>2545</v>
      </c>
      <c r="G873" s="82">
        <v>7145</v>
      </c>
      <c r="H873" s="83">
        <v>23.531387718130194</v>
      </c>
      <c r="I873" s="83">
        <v>15226.752106235552</v>
      </c>
      <c r="J873" s="83">
        <v>30.971458929859971</v>
      </c>
    </row>
    <row r="874" spans="1:10" ht="16">
      <c r="A874" s="79" t="s">
        <v>1261</v>
      </c>
      <c r="B874" s="79" t="s">
        <v>1209</v>
      </c>
      <c r="C874" s="80" t="s">
        <v>95</v>
      </c>
      <c r="D874" s="81" t="s">
        <v>99</v>
      </c>
      <c r="E874" s="82">
        <v>8917</v>
      </c>
      <c r="F874" s="82">
        <v>504</v>
      </c>
      <c r="G874" s="82">
        <v>2497</v>
      </c>
      <c r="H874" s="83">
        <v>16.617552795091665</v>
      </c>
      <c r="I874" s="83">
        <v>5443.052469673984</v>
      </c>
      <c r="J874" s="83">
        <v>19.826325932171486</v>
      </c>
    </row>
    <row r="875" spans="1:10" ht="16">
      <c r="A875" s="79" t="s">
        <v>553</v>
      </c>
      <c r="B875" s="79" t="s">
        <v>549</v>
      </c>
      <c r="C875" s="80" t="s">
        <v>95</v>
      </c>
      <c r="D875" s="81" t="s">
        <v>77</v>
      </c>
      <c r="E875" s="82">
        <v>52975</v>
      </c>
      <c r="F875" s="82">
        <v>2803</v>
      </c>
      <c r="G875" s="82">
        <v>530</v>
      </c>
      <c r="H875" s="83">
        <v>8.7601242610006498</v>
      </c>
      <c r="I875" s="83">
        <v>707.17957039797204</v>
      </c>
      <c r="J875" s="83">
        <v>16.375205691511397</v>
      </c>
    </row>
    <row r="876" spans="1:10" ht="16">
      <c r="A876" s="79" t="s">
        <v>446</v>
      </c>
      <c r="B876" s="79" t="s">
        <v>421</v>
      </c>
      <c r="C876" s="80" t="s">
        <v>95</v>
      </c>
      <c r="D876" s="81" t="s">
        <v>149</v>
      </c>
      <c r="E876" s="82">
        <v>18915</v>
      </c>
      <c r="F876" s="82">
        <v>593</v>
      </c>
      <c r="G876" s="82">
        <v>2270</v>
      </c>
      <c r="H876" s="83">
        <v>36.204218184108868</v>
      </c>
      <c r="I876" s="83">
        <v>20248.711656024214</v>
      </c>
      <c r="J876" s="83">
        <v>37.780445802324621</v>
      </c>
    </row>
    <row r="877" spans="1:10" ht="16">
      <c r="A877" s="79" t="s">
        <v>629</v>
      </c>
      <c r="B877" s="79" t="s">
        <v>617</v>
      </c>
      <c r="C877" s="80" t="s">
        <v>126</v>
      </c>
      <c r="D877" s="81" t="s">
        <v>101</v>
      </c>
      <c r="E877" s="82">
        <v>14206</v>
      </c>
      <c r="F877" s="82">
        <v>522</v>
      </c>
      <c r="G877" s="82">
        <v>994</v>
      </c>
      <c r="H877" s="83">
        <v>17.720727886216803</v>
      </c>
      <c r="I877" s="83">
        <v>12149.493060665565</v>
      </c>
      <c r="J877" s="83">
        <v>15.888189474343786</v>
      </c>
    </row>
    <row r="878" spans="1:10" ht="16">
      <c r="A878" s="79" t="s">
        <v>1262</v>
      </c>
      <c r="B878" s="79" t="s">
        <v>1209</v>
      </c>
      <c r="C878" s="80" t="s">
        <v>95</v>
      </c>
      <c r="D878" s="81" t="s">
        <v>103</v>
      </c>
      <c r="E878" s="82">
        <v>17155</v>
      </c>
      <c r="F878" s="82">
        <v>953</v>
      </c>
      <c r="G878" s="82">
        <v>3603</v>
      </c>
      <c r="H878" s="83">
        <v>14.653048934005755</v>
      </c>
      <c r="I878" s="83">
        <v>6200.2572170157118</v>
      </c>
      <c r="J878" s="83">
        <v>17.895533071479715</v>
      </c>
    </row>
    <row r="879" spans="1:10" ht="16">
      <c r="A879" s="79" t="s">
        <v>1263</v>
      </c>
      <c r="B879" s="79" t="s">
        <v>1209</v>
      </c>
      <c r="C879" s="80" t="s">
        <v>95</v>
      </c>
      <c r="D879" s="81" t="s">
        <v>76</v>
      </c>
      <c r="E879" s="82">
        <v>21783</v>
      </c>
      <c r="F879" s="82">
        <v>1602</v>
      </c>
      <c r="G879" s="82">
        <v>5881</v>
      </c>
      <c r="H879" s="83">
        <v>48.898821289517777</v>
      </c>
      <c r="I879" s="83">
        <v>46304.823634490349</v>
      </c>
      <c r="J879" s="83">
        <v>42.05548601772233</v>
      </c>
    </row>
    <row r="880" spans="1:10" ht="16">
      <c r="A880" s="79" t="s">
        <v>214</v>
      </c>
      <c r="B880" s="79" t="s">
        <v>203</v>
      </c>
      <c r="C880" s="80" t="s">
        <v>95</v>
      </c>
      <c r="D880" s="81" t="s">
        <v>103</v>
      </c>
      <c r="E880" s="82">
        <v>52108</v>
      </c>
      <c r="F880" s="82">
        <v>2879</v>
      </c>
      <c r="G880" s="82">
        <v>16675</v>
      </c>
      <c r="H880" s="83">
        <v>74.017064460518512</v>
      </c>
      <c r="I880" s="83">
        <v>67761.949663990978</v>
      </c>
      <c r="J880" s="83">
        <v>62.165802075723477</v>
      </c>
    </row>
    <row r="881" spans="1:10" ht="16">
      <c r="A881" s="79" t="s">
        <v>935</v>
      </c>
      <c r="B881" s="79" t="s">
        <v>928</v>
      </c>
      <c r="C881" s="80" t="s">
        <v>95</v>
      </c>
      <c r="D881" s="81" t="s">
        <v>76</v>
      </c>
      <c r="E881" s="82">
        <v>30192</v>
      </c>
      <c r="F881" s="82">
        <v>1725</v>
      </c>
      <c r="G881" s="82">
        <v>604</v>
      </c>
      <c r="H881" s="83">
        <v>10.895038727699417</v>
      </c>
      <c r="I881" s="83">
        <v>1615.3293284409317</v>
      </c>
      <c r="J881" s="83">
        <v>18.494994188285396</v>
      </c>
    </row>
    <row r="882" spans="1:10" ht="16">
      <c r="A882" s="79" t="s">
        <v>1053</v>
      </c>
      <c r="B882" s="79" t="s">
        <v>1039</v>
      </c>
      <c r="C882" s="80" t="s">
        <v>95</v>
      </c>
      <c r="D882" s="81" t="s">
        <v>78</v>
      </c>
      <c r="E882" s="82">
        <v>7369</v>
      </c>
      <c r="F882" s="82">
        <v>550</v>
      </c>
      <c r="G882" s="82">
        <v>221</v>
      </c>
      <c r="H882" s="83">
        <v>12.254614476279487</v>
      </c>
      <c r="I882" s="83">
        <v>3105.7207946427861</v>
      </c>
      <c r="J882" s="83">
        <v>21.465477947358213</v>
      </c>
    </row>
    <row r="883" spans="1:10" ht="16">
      <c r="A883" s="79" t="s">
        <v>1054</v>
      </c>
      <c r="B883" s="79" t="s">
        <v>1039</v>
      </c>
      <c r="C883" s="80" t="s">
        <v>95</v>
      </c>
      <c r="D883" s="81" t="s">
        <v>149</v>
      </c>
      <c r="E883" s="82">
        <v>19288</v>
      </c>
      <c r="F883" s="82">
        <v>1010</v>
      </c>
      <c r="G883" s="82">
        <v>1543</v>
      </c>
      <c r="H883" s="83">
        <v>14.846872290605834</v>
      </c>
      <c r="I883" s="83">
        <v>4261.4097956596188</v>
      </c>
      <c r="J883" s="83">
        <v>27.335477808490626</v>
      </c>
    </row>
    <row r="884" spans="1:10" ht="16">
      <c r="A884" s="79" t="s">
        <v>630</v>
      </c>
      <c r="B884" s="79" t="s">
        <v>617</v>
      </c>
      <c r="C884" s="80" t="s">
        <v>95</v>
      </c>
      <c r="D884" s="81" t="s">
        <v>149</v>
      </c>
      <c r="E884" s="82">
        <v>27403</v>
      </c>
      <c r="F884" s="82">
        <v>830</v>
      </c>
      <c r="G884" s="82">
        <v>548</v>
      </c>
      <c r="H884" s="83">
        <v>18.211732078711446</v>
      </c>
      <c r="I884" s="83">
        <v>10467.072628147136</v>
      </c>
      <c r="J884" s="83">
        <v>18.408395557575997</v>
      </c>
    </row>
    <row r="885" spans="1:10" ht="16">
      <c r="A885" s="79" t="s">
        <v>215</v>
      </c>
      <c r="B885" s="79" t="s">
        <v>203</v>
      </c>
      <c r="C885" s="80" t="s">
        <v>95</v>
      </c>
      <c r="D885" s="81" t="s">
        <v>75</v>
      </c>
      <c r="E885" s="82">
        <v>28560</v>
      </c>
      <c r="F885" s="82">
        <v>1785</v>
      </c>
      <c r="G885" s="82">
        <v>5426</v>
      </c>
      <c r="H885" s="83">
        <v>35.017876168663918</v>
      </c>
      <c r="I885" s="83">
        <v>29006.143172415668</v>
      </c>
      <c r="J885" s="83">
        <v>33.936242236409832</v>
      </c>
    </row>
    <row r="886" spans="1:10" ht="16">
      <c r="A886" s="79" t="s">
        <v>1403</v>
      </c>
      <c r="B886" s="79" t="s">
        <v>1307</v>
      </c>
      <c r="C886" s="80" t="s">
        <v>126</v>
      </c>
      <c r="D886" s="81" t="s">
        <v>79</v>
      </c>
      <c r="E886" s="82">
        <v>41081</v>
      </c>
      <c r="F886" s="82">
        <v>2999</v>
      </c>
      <c r="G886" s="82">
        <v>6984</v>
      </c>
      <c r="H886" s="83">
        <v>91.571787055024231</v>
      </c>
      <c r="I886" s="83">
        <v>89952.944554223897</v>
      </c>
      <c r="J886" s="83">
        <v>83.322173717138071</v>
      </c>
    </row>
    <row r="887" spans="1:10" ht="16">
      <c r="A887" s="79" t="s">
        <v>1404</v>
      </c>
      <c r="B887" s="79" t="s">
        <v>1307</v>
      </c>
      <c r="C887" s="80" t="s">
        <v>95</v>
      </c>
      <c r="D887" s="81" t="s">
        <v>78</v>
      </c>
      <c r="E887" s="82">
        <v>39164</v>
      </c>
      <c r="F887" s="82">
        <v>3264</v>
      </c>
      <c r="G887" s="82">
        <v>5483</v>
      </c>
      <c r="H887" s="83">
        <v>67.10396214896322</v>
      </c>
      <c r="I887" s="83">
        <v>55690.963608791521</v>
      </c>
      <c r="J887" s="83">
        <v>63.314010171186212</v>
      </c>
    </row>
    <row r="888" spans="1:10" ht="16">
      <c r="A888" s="79" t="s">
        <v>1405</v>
      </c>
      <c r="B888" s="79" t="s">
        <v>1307</v>
      </c>
      <c r="C888" s="80" t="s">
        <v>95</v>
      </c>
      <c r="D888" s="81" t="s">
        <v>99</v>
      </c>
      <c r="E888" s="82">
        <v>32706</v>
      </c>
      <c r="F888" s="82">
        <v>1982</v>
      </c>
      <c r="G888" s="82">
        <v>8504</v>
      </c>
      <c r="H888" s="83">
        <v>46.978362569451264</v>
      </c>
      <c r="I888" s="83">
        <v>44164.412525016203</v>
      </c>
      <c r="J888" s="83">
        <v>43.839844592814821</v>
      </c>
    </row>
    <row r="889" spans="1:10" ht="16">
      <c r="A889" s="79" t="s">
        <v>1406</v>
      </c>
      <c r="B889" s="79" t="s">
        <v>1307</v>
      </c>
      <c r="C889" s="80" t="s">
        <v>95</v>
      </c>
      <c r="D889" s="81" t="s">
        <v>101</v>
      </c>
      <c r="E889" s="82">
        <v>41066</v>
      </c>
      <c r="F889" s="82">
        <v>4369</v>
      </c>
      <c r="G889" s="82">
        <v>6981</v>
      </c>
      <c r="H889" s="83">
        <v>89.328227423878275</v>
      </c>
      <c r="I889" s="83">
        <v>86286.728513672817</v>
      </c>
      <c r="J889" s="83">
        <v>83.964964245673414</v>
      </c>
    </row>
    <row r="890" spans="1:10" ht="16">
      <c r="A890" s="79" t="s">
        <v>1407</v>
      </c>
      <c r="B890" s="79" t="s">
        <v>1307</v>
      </c>
      <c r="C890" s="80" t="s">
        <v>95</v>
      </c>
      <c r="D890" s="81" t="s">
        <v>75</v>
      </c>
      <c r="E890" s="82">
        <v>7324</v>
      </c>
      <c r="F890" s="82">
        <v>350</v>
      </c>
      <c r="G890" s="82">
        <v>586</v>
      </c>
      <c r="H890" s="83">
        <v>22.41598102545084</v>
      </c>
      <c r="I890" s="83">
        <v>20678.912355630368</v>
      </c>
      <c r="J890" s="83">
        <v>17.667590952882879</v>
      </c>
    </row>
    <row r="891" spans="1:10" ht="16">
      <c r="A891" s="79" t="s">
        <v>1408</v>
      </c>
      <c r="B891" s="79" t="s">
        <v>1307</v>
      </c>
      <c r="C891" s="80" t="s">
        <v>95</v>
      </c>
      <c r="D891" s="81" t="s">
        <v>76</v>
      </c>
      <c r="E891" s="82">
        <v>22272</v>
      </c>
      <c r="F891" s="82">
        <v>1237</v>
      </c>
      <c r="G891" s="82">
        <v>3118</v>
      </c>
      <c r="H891" s="83">
        <v>30.473184575286087</v>
      </c>
      <c r="I891" s="83">
        <v>26110.790657035188</v>
      </c>
      <c r="J891" s="83">
        <v>31.540280273878562</v>
      </c>
    </row>
    <row r="892" spans="1:10" ht="16">
      <c r="A892" s="79" t="s">
        <v>1409</v>
      </c>
      <c r="B892" s="79" t="s">
        <v>1307</v>
      </c>
      <c r="C892" s="80" t="s">
        <v>126</v>
      </c>
      <c r="D892" s="81" t="s">
        <v>76</v>
      </c>
      <c r="E892" s="82">
        <v>33579</v>
      </c>
      <c r="F892" s="82">
        <v>2583</v>
      </c>
      <c r="G892" s="82">
        <v>7723</v>
      </c>
      <c r="H892" s="83">
        <v>79.352463653566744</v>
      </c>
      <c r="I892" s="83">
        <v>77175.551682273624</v>
      </c>
      <c r="J892" s="83">
        <v>63.300862960041698</v>
      </c>
    </row>
    <row r="893" spans="1:10" ht="16">
      <c r="A893" s="79" t="s">
        <v>1410</v>
      </c>
      <c r="B893" s="79" t="s">
        <v>1307</v>
      </c>
      <c r="C893" s="80" t="s">
        <v>95</v>
      </c>
      <c r="D893" s="81" t="s">
        <v>101</v>
      </c>
      <c r="E893" s="82">
        <v>24089</v>
      </c>
      <c r="F893" s="82">
        <v>873</v>
      </c>
      <c r="G893" s="82">
        <v>3854</v>
      </c>
      <c r="H893" s="83">
        <v>64.274293768086849</v>
      </c>
      <c r="I893" s="83">
        <v>61342.845305647897</v>
      </c>
      <c r="J893" s="83">
        <v>48.823312548643642</v>
      </c>
    </row>
    <row r="894" spans="1:10" ht="16">
      <c r="A894" s="79" t="s">
        <v>1411</v>
      </c>
      <c r="B894" s="79" t="s">
        <v>1307</v>
      </c>
      <c r="C894" s="80" t="s">
        <v>126</v>
      </c>
      <c r="D894" s="81" t="s">
        <v>78</v>
      </c>
      <c r="E894" s="82">
        <v>18783</v>
      </c>
      <c r="F894" s="82">
        <v>817</v>
      </c>
      <c r="G894" s="82">
        <v>1878</v>
      </c>
      <c r="H894" s="83">
        <v>35.423308683513682</v>
      </c>
      <c r="I894" s="83">
        <v>34102.787546752043</v>
      </c>
      <c r="J894" s="83">
        <v>33.202896579226902</v>
      </c>
    </row>
    <row r="895" spans="1:10" ht="16">
      <c r="A895" s="79" t="s">
        <v>1264</v>
      </c>
      <c r="B895" s="79" t="s">
        <v>1209</v>
      </c>
      <c r="C895" s="80" t="s">
        <v>126</v>
      </c>
      <c r="D895" s="81" t="s">
        <v>149</v>
      </c>
      <c r="E895" s="82">
        <v>18978</v>
      </c>
      <c r="F895" s="82">
        <v>1741</v>
      </c>
      <c r="G895" s="82">
        <v>7022</v>
      </c>
      <c r="H895" s="83">
        <v>99.597593468736505</v>
      </c>
      <c r="I895" s="83">
        <v>94640.05678740736</v>
      </c>
      <c r="J895" s="83">
        <v>92.048274250135108</v>
      </c>
    </row>
    <row r="896" spans="1:10" ht="16">
      <c r="A896" s="79" t="s">
        <v>194</v>
      </c>
      <c r="B896" s="79" t="s">
        <v>169</v>
      </c>
      <c r="C896" s="80" t="s">
        <v>126</v>
      </c>
      <c r="D896" s="81" t="s">
        <v>101</v>
      </c>
      <c r="E896" s="82">
        <v>28795</v>
      </c>
      <c r="F896" s="82">
        <v>1907</v>
      </c>
      <c r="G896" s="82">
        <v>864</v>
      </c>
      <c r="H896" s="83">
        <v>38.040398575180468</v>
      </c>
      <c r="I896" s="83">
        <v>13233.928135875101</v>
      </c>
      <c r="J896" s="83">
        <v>45.301107112590138</v>
      </c>
    </row>
    <row r="897" spans="1:10" ht="16">
      <c r="A897" s="79" t="s">
        <v>130</v>
      </c>
      <c r="B897" s="79" t="s">
        <v>108</v>
      </c>
      <c r="C897" s="80" t="s">
        <v>95</v>
      </c>
      <c r="D897" s="81" t="s">
        <v>78</v>
      </c>
      <c r="E897" s="82">
        <v>10823</v>
      </c>
      <c r="F897" s="82">
        <v>299</v>
      </c>
      <c r="G897" s="82">
        <v>3463</v>
      </c>
      <c r="H897" s="83">
        <v>31.968271735405537</v>
      </c>
      <c r="I897" s="83">
        <v>30932.798303729236</v>
      </c>
      <c r="J897" s="83">
        <v>25.553155634084657</v>
      </c>
    </row>
    <row r="898" spans="1:10" ht="16">
      <c r="A898" s="79" t="s">
        <v>857</v>
      </c>
      <c r="B898" s="79" t="s">
        <v>853</v>
      </c>
      <c r="C898" s="80" t="s">
        <v>126</v>
      </c>
      <c r="D898" s="81" t="s">
        <v>103</v>
      </c>
      <c r="E898" s="82">
        <v>13089</v>
      </c>
      <c r="F898" s="82">
        <v>727</v>
      </c>
      <c r="G898" s="82">
        <v>3141</v>
      </c>
      <c r="H898" s="83">
        <v>27.896825938896956</v>
      </c>
      <c r="I898" s="83">
        <v>19792.879446203064</v>
      </c>
      <c r="J898" s="83">
        <v>24.908334999446268</v>
      </c>
    </row>
    <row r="899" spans="1:10" ht="16">
      <c r="A899" s="79" t="s">
        <v>999</v>
      </c>
      <c r="B899" s="79" t="s">
        <v>996</v>
      </c>
      <c r="C899" s="80" t="s">
        <v>95</v>
      </c>
      <c r="D899" s="81" t="s">
        <v>79</v>
      </c>
      <c r="E899" s="82">
        <v>21812</v>
      </c>
      <c r="F899" s="82">
        <v>1833</v>
      </c>
      <c r="G899" s="82">
        <v>3708</v>
      </c>
      <c r="H899" s="83">
        <v>43.792584815907126</v>
      </c>
      <c r="I899" s="83">
        <v>38668.619428942809</v>
      </c>
      <c r="J899" s="83">
        <v>33.586286519390711</v>
      </c>
    </row>
    <row r="900" spans="1:10" ht="16">
      <c r="A900" s="79" t="s">
        <v>1153</v>
      </c>
      <c r="B900" s="79" t="s">
        <v>1154</v>
      </c>
      <c r="C900" s="80" t="s">
        <v>95</v>
      </c>
      <c r="D900" s="81" t="s">
        <v>149</v>
      </c>
      <c r="E900" s="82">
        <v>32088</v>
      </c>
      <c r="F900" s="82">
        <v>3177</v>
      </c>
      <c r="G900" s="82">
        <v>321</v>
      </c>
      <c r="H900" s="83">
        <v>8.5080626305267426</v>
      </c>
      <c r="I900" s="83">
        <v>1628.5205050374357</v>
      </c>
      <c r="J900" s="83">
        <v>19.988067563582884</v>
      </c>
    </row>
    <row r="901" spans="1:10" ht="16">
      <c r="A901" s="79" t="s">
        <v>1055</v>
      </c>
      <c r="B901" s="79" t="s">
        <v>1039</v>
      </c>
      <c r="C901" s="80" t="s">
        <v>95</v>
      </c>
      <c r="D901" s="81" t="s">
        <v>149</v>
      </c>
      <c r="E901" s="82">
        <v>23530</v>
      </c>
      <c r="F901" s="82">
        <v>1705</v>
      </c>
      <c r="G901" s="82">
        <v>1412</v>
      </c>
      <c r="H901" s="83">
        <v>12.739684363530721</v>
      </c>
      <c r="I901" s="83">
        <v>4106.0803437001032</v>
      </c>
      <c r="J901" s="83">
        <v>17.256734217728379</v>
      </c>
    </row>
    <row r="902" spans="1:10" ht="16">
      <c r="A902" s="79" t="s">
        <v>631</v>
      </c>
      <c r="B902" s="79" t="s">
        <v>617</v>
      </c>
      <c r="C902" s="80" t="s">
        <v>95</v>
      </c>
      <c r="D902" s="81" t="s">
        <v>149</v>
      </c>
      <c r="E902" s="82">
        <v>25392</v>
      </c>
      <c r="F902" s="82">
        <v>1245</v>
      </c>
      <c r="G902" s="82">
        <v>508</v>
      </c>
      <c r="H902" s="83">
        <v>18.505822648500136</v>
      </c>
      <c r="I902" s="83">
        <v>12001.149178395264</v>
      </c>
      <c r="J902" s="83">
        <v>33.892108330563318</v>
      </c>
    </row>
    <row r="903" spans="1:10" ht="16">
      <c r="A903" s="79" t="s">
        <v>195</v>
      </c>
      <c r="B903" s="79" t="s">
        <v>169</v>
      </c>
      <c r="C903" s="80" t="s">
        <v>95</v>
      </c>
      <c r="D903" s="81" t="s">
        <v>75</v>
      </c>
      <c r="E903" s="82">
        <v>17101</v>
      </c>
      <c r="F903" s="82">
        <v>687</v>
      </c>
      <c r="G903" s="82">
        <v>855</v>
      </c>
      <c r="H903" s="83">
        <v>8.47500463502762</v>
      </c>
      <c r="I903" s="83">
        <v>599.28187474525225</v>
      </c>
      <c r="J903" s="83">
        <v>14.246076335817875</v>
      </c>
    </row>
    <row r="904" spans="1:10" ht="16">
      <c r="A904" s="79" t="s">
        <v>1412</v>
      </c>
      <c r="B904" s="79" t="s">
        <v>1307</v>
      </c>
      <c r="C904" s="80" t="s">
        <v>95</v>
      </c>
      <c r="D904" s="81" t="s">
        <v>99</v>
      </c>
      <c r="E904" s="82">
        <v>56228</v>
      </c>
      <c r="F904" s="82">
        <v>1593</v>
      </c>
      <c r="G904" s="82">
        <v>2249</v>
      </c>
      <c r="H904" s="83">
        <v>29.218828003193174</v>
      </c>
      <c r="I904" s="83">
        <v>14308.220202538801</v>
      </c>
      <c r="J904" s="83">
        <v>27.173083621953619</v>
      </c>
    </row>
    <row r="905" spans="1:10" ht="16">
      <c r="A905" s="79" t="s">
        <v>1265</v>
      </c>
      <c r="B905" s="79" t="s">
        <v>1209</v>
      </c>
      <c r="C905" s="80" t="s">
        <v>95</v>
      </c>
      <c r="D905" s="81" t="s">
        <v>96</v>
      </c>
      <c r="E905" s="82">
        <v>18824</v>
      </c>
      <c r="F905" s="82">
        <v>1141</v>
      </c>
      <c r="G905" s="82">
        <v>3388</v>
      </c>
      <c r="H905" s="83">
        <v>13.655150838892327</v>
      </c>
      <c r="I905" s="83">
        <v>5065.3045496632603</v>
      </c>
      <c r="J905" s="83">
        <v>15.972111518542613</v>
      </c>
    </row>
    <row r="906" spans="1:10" ht="16">
      <c r="A906" s="79" t="s">
        <v>409</v>
      </c>
      <c r="B906" s="79" t="s">
        <v>396</v>
      </c>
      <c r="C906" s="80" t="s">
        <v>95</v>
      </c>
      <c r="D906" s="81" t="s">
        <v>111</v>
      </c>
      <c r="E906" s="82">
        <v>14867</v>
      </c>
      <c r="F906" s="82">
        <v>912</v>
      </c>
      <c r="G906" s="82">
        <v>2379</v>
      </c>
      <c r="H906" s="83">
        <v>13.716263817787539</v>
      </c>
      <c r="I906" s="83">
        <v>3224.3181451370579</v>
      </c>
      <c r="J906" s="83">
        <v>16.320965798431764</v>
      </c>
    </row>
    <row r="907" spans="1:10" ht="16">
      <c r="A907" s="79" t="s">
        <v>348</v>
      </c>
      <c r="B907" s="79" t="s">
        <v>341</v>
      </c>
      <c r="C907" s="80" t="s">
        <v>95</v>
      </c>
      <c r="D907" s="81" t="s">
        <v>75</v>
      </c>
      <c r="E907" s="82">
        <v>4285</v>
      </c>
      <c r="F907" s="82">
        <v>437</v>
      </c>
      <c r="G907" s="82">
        <v>857</v>
      </c>
      <c r="H907" s="83">
        <v>15.063670301962798</v>
      </c>
      <c r="I907" s="83">
        <v>2600.5321352116662</v>
      </c>
      <c r="J907" s="83">
        <v>25.18711480819298</v>
      </c>
    </row>
    <row r="908" spans="1:10" ht="16">
      <c r="A908" s="79" t="s">
        <v>1266</v>
      </c>
      <c r="B908" s="79" t="s">
        <v>1209</v>
      </c>
      <c r="C908" s="80" t="s">
        <v>95</v>
      </c>
      <c r="D908" s="81" t="s">
        <v>76</v>
      </c>
      <c r="E908" s="82">
        <v>10915</v>
      </c>
      <c r="F908" s="82">
        <v>560</v>
      </c>
      <c r="G908" s="82">
        <v>1201</v>
      </c>
      <c r="H908" s="83">
        <v>13.067994730180001</v>
      </c>
      <c r="I908" s="83">
        <v>3162.1384880764467</v>
      </c>
      <c r="J908" s="83">
        <v>16.509551631467328</v>
      </c>
    </row>
    <row r="909" spans="1:10" ht="16">
      <c r="A909" s="79" t="s">
        <v>1413</v>
      </c>
      <c r="B909" s="79" t="s">
        <v>1307</v>
      </c>
      <c r="C909" s="80" t="s">
        <v>126</v>
      </c>
      <c r="D909" s="81" t="s">
        <v>76</v>
      </c>
      <c r="E909" s="82">
        <v>13833</v>
      </c>
      <c r="F909" s="82">
        <v>2427</v>
      </c>
      <c r="G909" s="82">
        <v>3873</v>
      </c>
      <c r="H909" s="83">
        <v>92.11910892566884</v>
      </c>
      <c r="I909" s="83">
        <v>88412.434862513823</v>
      </c>
      <c r="J909" s="83">
        <v>89.637753938104424</v>
      </c>
    </row>
    <row r="910" spans="1:10" ht="16">
      <c r="A910" s="79" t="s">
        <v>235</v>
      </c>
      <c r="B910" s="79" t="s">
        <v>231</v>
      </c>
      <c r="C910" s="80" t="s">
        <v>126</v>
      </c>
      <c r="D910" s="81" t="s">
        <v>76</v>
      </c>
      <c r="E910" s="82">
        <v>35447</v>
      </c>
      <c r="F910" s="82">
        <v>2363</v>
      </c>
      <c r="G910" s="82">
        <v>2127</v>
      </c>
      <c r="H910" s="83">
        <v>17.381995300428251</v>
      </c>
      <c r="I910" s="83">
        <v>5829.9753721185316</v>
      </c>
      <c r="J910" s="83">
        <v>23.646269089007223</v>
      </c>
    </row>
    <row r="911" spans="1:10" ht="16">
      <c r="A911" s="79" t="s">
        <v>1414</v>
      </c>
      <c r="B911" s="79" t="s">
        <v>1307</v>
      </c>
      <c r="C911" s="80" t="s">
        <v>95</v>
      </c>
      <c r="D911" s="81" t="s">
        <v>77</v>
      </c>
      <c r="E911" s="82">
        <v>28434</v>
      </c>
      <c r="F911" s="82">
        <v>1394</v>
      </c>
      <c r="G911" s="82">
        <v>2559</v>
      </c>
      <c r="H911" s="83">
        <v>31.40023946516834</v>
      </c>
      <c r="I911" s="83">
        <v>25923.318904155825</v>
      </c>
      <c r="J911" s="83">
        <v>35.887797017677286</v>
      </c>
    </row>
    <row r="912" spans="1:10" ht="16">
      <c r="A912" s="79" t="s">
        <v>410</v>
      </c>
      <c r="B912" s="79" t="s">
        <v>396</v>
      </c>
      <c r="C912" s="80" t="s">
        <v>95</v>
      </c>
      <c r="D912" s="81" t="s">
        <v>103</v>
      </c>
      <c r="E912" s="82">
        <v>34644</v>
      </c>
      <c r="F912" s="82">
        <v>1843</v>
      </c>
      <c r="G912" s="82">
        <v>4504</v>
      </c>
      <c r="H912" s="83">
        <v>10.405118485180674</v>
      </c>
      <c r="I912" s="83">
        <v>5714.1693923067951</v>
      </c>
      <c r="J912" s="83">
        <v>20.143537396661873</v>
      </c>
    </row>
    <row r="913" spans="1:10" ht="16">
      <c r="A913" s="79" t="s">
        <v>919</v>
      </c>
      <c r="B913" s="79" t="s">
        <v>912</v>
      </c>
      <c r="C913" s="80" t="s">
        <v>95</v>
      </c>
      <c r="D913" s="81" t="s">
        <v>99</v>
      </c>
      <c r="E913" s="82">
        <v>21404</v>
      </c>
      <c r="F913" s="82">
        <v>1216</v>
      </c>
      <c r="G913" s="82">
        <v>4067</v>
      </c>
      <c r="H913" s="83">
        <v>28.447755755407961</v>
      </c>
      <c r="I913" s="83">
        <v>13340.578155679264</v>
      </c>
      <c r="J913" s="83">
        <v>23.996438541368587</v>
      </c>
    </row>
    <row r="914" spans="1:10" ht="16">
      <c r="A914" s="79" t="s">
        <v>447</v>
      </c>
      <c r="B914" s="79" t="s">
        <v>421</v>
      </c>
      <c r="C914" s="80" t="s">
        <v>95</v>
      </c>
      <c r="D914" s="81" t="s">
        <v>96</v>
      </c>
      <c r="E914" s="82">
        <v>36965</v>
      </c>
      <c r="F914" s="82">
        <v>1013</v>
      </c>
      <c r="G914" s="82">
        <v>5914</v>
      </c>
      <c r="H914" s="83">
        <v>43.635906282903584</v>
      </c>
      <c r="I914" s="83">
        <v>35005.299045587009</v>
      </c>
      <c r="J914" s="83">
        <v>44.137406615495273</v>
      </c>
    </row>
    <row r="915" spans="1:10" ht="16">
      <c r="A915" s="79" t="s">
        <v>1077</v>
      </c>
      <c r="B915" s="79" t="s">
        <v>1078</v>
      </c>
      <c r="C915" s="80" t="s">
        <v>95</v>
      </c>
      <c r="D915" s="81" t="s">
        <v>76</v>
      </c>
      <c r="E915" s="82">
        <v>22322</v>
      </c>
      <c r="F915" s="82">
        <v>754</v>
      </c>
      <c r="G915" s="82">
        <v>223</v>
      </c>
      <c r="H915" s="83">
        <v>8.7558434050451925</v>
      </c>
      <c r="I915" s="83">
        <v>1112.8750375717468</v>
      </c>
      <c r="J915" s="83">
        <v>14.282397003439113</v>
      </c>
    </row>
    <row r="916" spans="1:10" ht="16">
      <c r="A916" s="79" t="s">
        <v>1415</v>
      </c>
      <c r="B916" s="79" t="s">
        <v>1307</v>
      </c>
      <c r="C916" s="80" t="s">
        <v>126</v>
      </c>
      <c r="D916" s="81" t="s">
        <v>77</v>
      </c>
      <c r="E916" s="82">
        <v>33186</v>
      </c>
      <c r="F916" s="82">
        <v>2036</v>
      </c>
      <c r="G916" s="82">
        <v>3650</v>
      </c>
      <c r="H916" s="83">
        <v>46.515870418004013</v>
      </c>
      <c r="I916" s="83">
        <v>42456.362098201142</v>
      </c>
      <c r="J916" s="83">
        <v>45.489755499334898</v>
      </c>
    </row>
    <row r="917" spans="1:10" ht="16">
      <c r="A917" s="79" t="s">
        <v>1416</v>
      </c>
      <c r="B917" s="79" t="s">
        <v>1307</v>
      </c>
      <c r="C917" s="80" t="s">
        <v>95</v>
      </c>
      <c r="D917" s="81" t="s">
        <v>111</v>
      </c>
      <c r="E917" s="82">
        <v>32446</v>
      </c>
      <c r="F917" s="82">
        <v>2135</v>
      </c>
      <c r="G917" s="82">
        <v>2920</v>
      </c>
      <c r="H917" s="83">
        <v>29.815384661901678</v>
      </c>
      <c r="I917" s="83">
        <v>18017.132283366656</v>
      </c>
      <c r="J917" s="83">
        <v>37.340003483306049</v>
      </c>
    </row>
    <row r="918" spans="1:10" ht="16">
      <c r="A918" s="79" t="s">
        <v>97</v>
      </c>
      <c r="B918" s="79" t="s">
        <v>94</v>
      </c>
      <c r="C918" s="80" t="s">
        <v>95</v>
      </c>
      <c r="D918" s="81" t="s">
        <v>78</v>
      </c>
      <c r="E918" s="82">
        <v>35382</v>
      </c>
      <c r="F918" s="82">
        <v>1726</v>
      </c>
      <c r="G918" s="82">
        <v>1769</v>
      </c>
      <c r="H918" s="83">
        <v>7.5098579968893313</v>
      </c>
      <c r="I918" s="83">
        <v>598.61168544470638</v>
      </c>
      <c r="J918" s="83">
        <v>20.374503304580948</v>
      </c>
    </row>
    <row r="919" spans="1:10" ht="16">
      <c r="A919" s="79" t="s">
        <v>360</v>
      </c>
      <c r="B919" s="79" t="s">
        <v>355</v>
      </c>
      <c r="C919" s="80" t="s">
        <v>95</v>
      </c>
      <c r="D919" s="81" t="s">
        <v>79</v>
      </c>
      <c r="E919" s="82">
        <v>31219</v>
      </c>
      <c r="F919" s="82">
        <v>7260</v>
      </c>
      <c r="G919" s="82">
        <v>5307</v>
      </c>
      <c r="H919" s="83">
        <v>44.25245214150555</v>
      </c>
      <c r="I919" s="83">
        <v>39552.05727235449</v>
      </c>
      <c r="J919" s="83">
        <v>48.685858417271504</v>
      </c>
    </row>
    <row r="920" spans="1:10" ht="16">
      <c r="A920" s="79" t="s">
        <v>330</v>
      </c>
      <c r="B920" s="79" t="s">
        <v>331</v>
      </c>
      <c r="C920" s="80" t="s">
        <v>95</v>
      </c>
      <c r="D920" s="81" t="s">
        <v>96</v>
      </c>
      <c r="E920" s="82">
        <v>33900</v>
      </c>
      <c r="F920" s="82">
        <v>2245</v>
      </c>
      <c r="G920" s="82">
        <v>678</v>
      </c>
      <c r="H920" s="83">
        <v>8.4331698695264823</v>
      </c>
      <c r="I920" s="83">
        <v>6128.2955413892214</v>
      </c>
      <c r="J920" s="83">
        <v>16.783297839916631</v>
      </c>
    </row>
    <row r="921" spans="1:10" ht="16">
      <c r="A921" s="79" t="s">
        <v>472</v>
      </c>
      <c r="B921" s="79" t="s">
        <v>467</v>
      </c>
      <c r="C921" s="80" t="s">
        <v>95</v>
      </c>
      <c r="D921" s="81" t="s">
        <v>111</v>
      </c>
      <c r="E921" s="82">
        <v>13321</v>
      </c>
      <c r="F921" s="82">
        <v>569</v>
      </c>
      <c r="G921" s="82">
        <v>533</v>
      </c>
      <c r="H921" s="83">
        <v>21.047736480379562</v>
      </c>
      <c r="I921" s="83">
        <v>18376.501072524377</v>
      </c>
      <c r="J921" s="83">
        <v>18.022405901356599</v>
      </c>
    </row>
    <row r="922" spans="1:10" ht="16">
      <c r="A922" s="79" t="s">
        <v>339</v>
      </c>
      <c r="B922" s="79" t="s">
        <v>338</v>
      </c>
      <c r="C922" s="80" t="s">
        <v>95</v>
      </c>
      <c r="D922" s="81" t="s">
        <v>111</v>
      </c>
      <c r="E922" s="82">
        <v>6635</v>
      </c>
      <c r="F922" s="82">
        <v>302</v>
      </c>
      <c r="G922" s="82">
        <v>730</v>
      </c>
      <c r="H922" s="83">
        <v>25.572925141924905</v>
      </c>
      <c r="I922" s="83">
        <v>15331.943392699661</v>
      </c>
      <c r="J922" s="83">
        <v>24.412910439942983</v>
      </c>
    </row>
    <row r="923" spans="1:10" ht="16">
      <c r="A923" s="79" t="s">
        <v>1136</v>
      </c>
      <c r="B923" s="79" t="s">
        <v>1137</v>
      </c>
      <c r="C923" s="80" t="s">
        <v>126</v>
      </c>
      <c r="D923" s="81" t="s">
        <v>79</v>
      </c>
      <c r="E923" s="82">
        <v>30139</v>
      </c>
      <c r="F923" s="82">
        <v>1578</v>
      </c>
      <c r="G923" s="82">
        <v>478</v>
      </c>
      <c r="H923" s="83">
        <v>8.0791251167513991</v>
      </c>
      <c r="I923" s="83">
        <v>1495.8822089922769</v>
      </c>
      <c r="J923" s="83">
        <v>14.44681463392738</v>
      </c>
    </row>
    <row r="924" spans="1:10" ht="16">
      <c r="A924" s="79" t="s">
        <v>488</v>
      </c>
      <c r="B924" s="79" t="s">
        <v>485</v>
      </c>
      <c r="C924" s="80" t="s">
        <v>95</v>
      </c>
      <c r="D924" s="81" t="s">
        <v>149</v>
      </c>
      <c r="E924" s="82">
        <v>26771</v>
      </c>
      <c r="F924" s="82">
        <v>2250</v>
      </c>
      <c r="G924" s="82">
        <v>4819</v>
      </c>
      <c r="H924" s="83">
        <v>11.20439598259941</v>
      </c>
      <c r="I924" s="83">
        <v>2992.6133041435883</v>
      </c>
      <c r="J924" s="83">
        <v>20.803034115362752</v>
      </c>
    </row>
    <row r="925" spans="1:10" ht="16">
      <c r="A925" s="79" t="s">
        <v>1417</v>
      </c>
      <c r="B925" s="79" t="s">
        <v>1307</v>
      </c>
      <c r="C925" s="80" t="s">
        <v>95</v>
      </c>
      <c r="D925" s="81" t="s">
        <v>76</v>
      </c>
      <c r="E925" s="82">
        <v>20566</v>
      </c>
      <c r="F925" s="82">
        <v>1210</v>
      </c>
      <c r="G925" s="82">
        <v>2057</v>
      </c>
      <c r="H925" s="83">
        <v>39.134597161296263</v>
      </c>
      <c r="I925" s="83">
        <v>27374.045108891802</v>
      </c>
      <c r="J925" s="83">
        <v>29.363129937328385</v>
      </c>
    </row>
    <row r="926" spans="1:10" ht="16">
      <c r="A926" s="79" t="s">
        <v>544</v>
      </c>
      <c r="B926" s="79" t="s">
        <v>493</v>
      </c>
      <c r="C926" s="80" t="s">
        <v>126</v>
      </c>
      <c r="D926" s="81" t="s">
        <v>101</v>
      </c>
      <c r="E926" s="82">
        <v>24547</v>
      </c>
      <c r="F926" s="82">
        <v>1067</v>
      </c>
      <c r="G926" s="82">
        <v>245</v>
      </c>
      <c r="H926" s="83">
        <v>18.596562524245467</v>
      </c>
      <c r="I926" s="83">
        <v>7620.3048517265788</v>
      </c>
      <c r="J926" s="83">
        <v>38.174210640644425</v>
      </c>
    </row>
    <row r="927" spans="1:10" ht="16">
      <c r="A927" s="79" t="s">
        <v>1418</v>
      </c>
      <c r="B927" s="79" t="s">
        <v>1307</v>
      </c>
      <c r="C927" s="80" t="s">
        <v>95</v>
      </c>
      <c r="D927" s="81" t="s">
        <v>76</v>
      </c>
      <c r="E927" s="82">
        <v>9535</v>
      </c>
      <c r="F927" s="82">
        <v>733</v>
      </c>
      <c r="G927" s="82">
        <v>858</v>
      </c>
      <c r="H927" s="83">
        <v>23.188956015112502</v>
      </c>
      <c r="I927" s="83">
        <v>16875.744405044374</v>
      </c>
      <c r="J927" s="83">
        <v>40.631833278112055</v>
      </c>
    </row>
    <row r="928" spans="1:10" ht="16">
      <c r="A928" s="79" t="s">
        <v>1267</v>
      </c>
      <c r="B928" s="79" t="s">
        <v>1209</v>
      </c>
      <c r="C928" s="80" t="s">
        <v>95</v>
      </c>
      <c r="D928" s="81" t="s">
        <v>101</v>
      </c>
      <c r="E928" s="82">
        <v>13502</v>
      </c>
      <c r="F928" s="82">
        <v>888</v>
      </c>
      <c r="G928" s="82">
        <v>1755</v>
      </c>
      <c r="H928" s="83">
        <v>11.054831543450408</v>
      </c>
      <c r="I928" s="83">
        <v>3304.5104617755792</v>
      </c>
      <c r="J928" s="83">
        <v>16.919996361287634</v>
      </c>
    </row>
    <row r="929" spans="1:10" ht="16">
      <c r="A929" s="79" t="s">
        <v>236</v>
      </c>
      <c r="B929" s="79" t="s">
        <v>231</v>
      </c>
      <c r="C929" s="80" t="s">
        <v>95</v>
      </c>
      <c r="D929" s="81" t="s">
        <v>79</v>
      </c>
      <c r="E929" s="82">
        <v>15384</v>
      </c>
      <c r="F929" s="82">
        <v>810</v>
      </c>
      <c r="G929" s="82">
        <v>615</v>
      </c>
      <c r="H929" s="83">
        <v>9.7236633321362138</v>
      </c>
      <c r="I929" s="83">
        <v>8778.0176017259255</v>
      </c>
      <c r="J929" s="83">
        <v>13.735818785283723</v>
      </c>
    </row>
    <row r="930" spans="1:10" ht="16">
      <c r="A930" s="79" t="s">
        <v>1056</v>
      </c>
      <c r="B930" s="79" t="s">
        <v>1039</v>
      </c>
      <c r="C930" s="80" t="s">
        <v>95</v>
      </c>
      <c r="D930" s="81" t="s">
        <v>75</v>
      </c>
      <c r="E930" s="82">
        <v>9209</v>
      </c>
      <c r="F930" s="82">
        <v>422</v>
      </c>
      <c r="G930" s="82">
        <v>1013</v>
      </c>
      <c r="H930" s="83">
        <v>18.170788159186912</v>
      </c>
      <c r="I930" s="83">
        <v>6984.3617547996819</v>
      </c>
      <c r="J930" s="83">
        <v>21.544289468256981</v>
      </c>
    </row>
    <row r="931" spans="1:10" ht="16">
      <c r="A931" s="79" t="s">
        <v>158</v>
      </c>
      <c r="B931" s="79" t="s">
        <v>159</v>
      </c>
      <c r="C931" s="80" t="s">
        <v>126</v>
      </c>
      <c r="D931" s="81" t="s">
        <v>99</v>
      </c>
      <c r="E931" s="82">
        <v>34108</v>
      </c>
      <c r="F931" s="82">
        <v>2186</v>
      </c>
      <c r="G931" s="82">
        <v>1705</v>
      </c>
      <c r="H931" s="83">
        <v>8.9217119204519442</v>
      </c>
      <c r="I931" s="83">
        <v>1453.6876330201026</v>
      </c>
      <c r="J931" s="83">
        <v>16.183697065788415</v>
      </c>
    </row>
    <row r="932" spans="1:10" ht="16">
      <c r="A932" s="79" t="s">
        <v>448</v>
      </c>
      <c r="B932" s="79" t="s">
        <v>421</v>
      </c>
      <c r="C932" s="80" t="s">
        <v>126</v>
      </c>
      <c r="D932" s="81" t="s">
        <v>96</v>
      </c>
      <c r="E932" s="82">
        <v>42698</v>
      </c>
      <c r="F932" s="82">
        <v>806</v>
      </c>
      <c r="G932" s="82">
        <v>8113</v>
      </c>
      <c r="H932" s="83">
        <v>33.795770267008471</v>
      </c>
      <c r="I932" s="83">
        <v>30150.004783174725</v>
      </c>
      <c r="J932" s="83">
        <v>35.136175499529777</v>
      </c>
    </row>
    <row r="933" spans="1:10" ht="16">
      <c r="A933" s="79" t="s">
        <v>1268</v>
      </c>
      <c r="B933" s="79" t="s">
        <v>1209</v>
      </c>
      <c r="C933" s="80" t="s">
        <v>95</v>
      </c>
      <c r="D933" s="81" t="s">
        <v>111</v>
      </c>
      <c r="E933" s="82">
        <v>12122</v>
      </c>
      <c r="F933" s="82">
        <v>689</v>
      </c>
      <c r="G933" s="82">
        <v>2667</v>
      </c>
      <c r="H933" s="83">
        <v>31.469560782936444</v>
      </c>
      <c r="I933" s="83">
        <v>28326.77260147882</v>
      </c>
      <c r="J933" s="83">
        <v>24.803726516330276</v>
      </c>
    </row>
    <row r="934" spans="1:10" ht="16">
      <c r="A934" s="79" t="s">
        <v>1269</v>
      </c>
      <c r="B934" s="79" t="s">
        <v>1209</v>
      </c>
      <c r="C934" s="80" t="s">
        <v>95</v>
      </c>
      <c r="D934" s="81" t="s">
        <v>78</v>
      </c>
      <c r="E934" s="82">
        <v>15195</v>
      </c>
      <c r="F934" s="82">
        <v>1093</v>
      </c>
      <c r="G934" s="82">
        <v>4255</v>
      </c>
      <c r="H934" s="83">
        <v>30.145760800842123</v>
      </c>
      <c r="I934" s="83">
        <v>29327.889330964183</v>
      </c>
      <c r="J934" s="83">
        <v>28.772465184124091</v>
      </c>
    </row>
    <row r="935" spans="1:10" ht="16">
      <c r="A935" s="79" t="s">
        <v>1270</v>
      </c>
      <c r="B935" s="79" t="s">
        <v>1209</v>
      </c>
      <c r="C935" s="80" t="s">
        <v>95</v>
      </c>
      <c r="D935" s="81" t="s">
        <v>78</v>
      </c>
      <c r="E935" s="82">
        <v>10302</v>
      </c>
      <c r="F935" s="82">
        <v>599</v>
      </c>
      <c r="G935" s="82">
        <v>3091</v>
      </c>
      <c r="H935" s="83">
        <v>14.932270441735989</v>
      </c>
      <c r="I935" s="83">
        <v>4787.6889261731103</v>
      </c>
      <c r="J935" s="83">
        <v>20.842702867073687</v>
      </c>
    </row>
    <row r="936" spans="1:10" ht="16">
      <c r="A936" s="79" t="s">
        <v>391</v>
      </c>
      <c r="B936" s="79" t="s">
        <v>388</v>
      </c>
      <c r="C936" s="80" t="s">
        <v>95</v>
      </c>
      <c r="D936" s="81" t="s">
        <v>149</v>
      </c>
      <c r="E936" s="82">
        <v>11630</v>
      </c>
      <c r="F936" s="82">
        <v>629</v>
      </c>
      <c r="G936" s="82">
        <v>698</v>
      </c>
      <c r="H936" s="83">
        <v>28.55342183430232</v>
      </c>
      <c r="I936" s="83">
        <v>19736.06710903675</v>
      </c>
      <c r="J936" s="83">
        <v>24.959967688374135</v>
      </c>
    </row>
    <row r="937" spans="1:10" ht="16">
      <c r="A937" s="79" t="s">
        <v>349</v>
      </c>
      <c r="B937" s="79" t="s">
        <v>341</v>
      </c>
      <c r="C937" s="80" t="s">
        <v>95</v>
      </c>
      <c r="D937" s="81" t="s">
        <v>149</v>
      </c>
      <c r="E937" s="82">
        <v>14011</v>
      </c>
      <c r="F937" s="82">
        <v>499</v>
      </c>
      <c r="G937" s="82">
        <v>3223</v>
      </c>
      <c r="H937" s="83">
        <v>13.613179437449194</v>
      </c>
      <c r="I937" s="83">
        <v>734.021684972343</v>
      </c>
      <c r="J937" s="83">
        <v>19.631153664538409</v>
      </c>
    </row>
    <row r="938" spans="1:10" ht="16">
      <c r="A938" s="79" t="s">
        <v>1271</v>
      </c>
      <c r="B938" s="79" t="s">
        <v>1209</v>
      </c>
      <c r="C938" s="80" t="s">
        <v>95</v>
      </c>
      <c r="D938" s="81" t="s">
        <v>76</v>
      </c>
      <c r="E938" s="82">
        <v>29433</v>
      </c>
      <c r="F938" s="82">
        <v>2299</v>
      </c>
      <c r="G938" s="82">
        <v>12068</v>
      </c>
      <c r="H938" s="83">
        <v>74.555309917340665</v>
      </c>
      <c r="I938" s="83">
        <v>71453.520372603263</v>
      </c>
      <c r="J938" s="83">
        <v>67.941246261526217</v>
      </c>
    </row>
    <row r="939" spans="1:10" ht="16">
      <c r="A939" s="79" t="s">
        <v>307</v>
      </c>
      <c r="B939" s="79" t="s">
        <v>242</v>
      </c>
      <c r="C939" s="80" t="s">
        <v>126</v>
      </c>
      <c r="D939" s="81" t="s">
        <v>103</v>
      </c>
      <c r="E939" s="82">
        <v>33242</v>
      </c>
      <c r="F939" s="82">
        <v>2027</v>
      </c>
      <c r="G939" s="82">
        <v>1330</v>
      </c>
      <c r="H939" s="83">
        <v>22.371061233670449</v>
      </c>
      <c r="I939" s="83">
        <v>12238.692708077897</v>
      </c>
      <c r="J939" s="83">
        <v>24.21834502704095</v>
      </c>
    </row>
    <row r="940" spans="1:10" ht="16">
      <c r="A940" s="79" t="s">
        <v>886</v>
      </c>
      <c r="B940" s="79" t="s">
        <v>877</v>
      </c>
      <c r="C940" s="80" t="s">
        <v>126</v>
      </c>
      <c r="D940" s="81" t="s">
        <v>103</v>
      </c>
      <c r="E940" s="82">
        <v>14654</v>
      </c>
      <c r="F940" s="82">
        <v>1011</v>
      </c>
      <c r="G940" s="82">
        <v>293</v>
      </c>
      <c r="H940" s="83">
        <v>9.8056154571138112</v>
      </c>
      <c r="I940" s="83">
        <v>1791.6746267682718</v>
      </c>
      <c r="J940" s="83">
        <v>15.552586031521159</v>
      </c>
    </row>
    <row r="941" spans="1:10" ht="16">
      <c r="A941" s="79" t="s">
        <v>449</v>
      </c>
      <c r="B941" s="79" t="s">
        <v>421</v>
      </c>
      <c r="C941" s="80" t="s">
        <v>126</v>
      </c>
      <c r="D941" s="81" t="s">
        <v>78</v>
      </c>
      <c r="E941" s="82">
        <v>38111</v>
      </c>
      <c r="F941" s="82">
        <v>669</v>
      </c>
      <c r="G941" s="82">
        <v>4573</v>
      </c>
      <c r="H941" s="83">
        <v>46.785131199947372</v>
      </c>
      <c r="I941" s="83">
        <v>34447.794508931038</v>
      </c>
      <c r="J941" s="83">
        <v>41.523545753957748</v>
      </c>
    </row>
    <row r="942" spans="1:10" ht="16">
      <c r="A942" s="79" t="s">
        <v>1272</v>
      </c>
      <c r="B942" s="79" t="s">
        <v>1209</v>
      </c>
      <c r="C942" s="80" t="s">
        <v>95</v>
      </c>
      <c r="D942" s="81" t="s">
        <v>77</v>
      </c>
      <c r="E942" s="82">
        <v>11923</v>
      </c>
      <c r="F942" s="82">
        <v>741</v>
      </c>
      <c r="G942" s="82">
        <v>4650</v>
      </c>
      <c r="H942" s="83">
        <v>34.977462926758498</v>
      </c>
      <c r="I942" s="83">
        <v>23546.042959171155</v>
      </c>
      <c r="J942" s="83">
        <v>31.695735709448101</v>
      </c>
    </row>
    <row r="943" spans="1:10" ht="16">
      <c r="A943" s="79" t="s">
        <v>1273</v>
      </c>
      <c r="B943" s="79" t="s">
        <v>1209</v>
      </c>
      <c r="C943" s="80" t="s">
        <v>95</v>
      </c>
      <c r="D943" s="81" t="s">
        <v>149</v>
      </c>
      <c r="E943" s="82">
        <v>21451</v>
      </c>
      <c r="F943" s="82">
        <v>1219</v>
      </c>
      <c r="G943" s="82">
        <v>6006</v>
      </c>
      <c r="H943" s="83">
        <v>39.253871967851744</v>
      </c>
      <c r="I943" s="83">
        <v>35949.483471883126</v>
      </c>
      <c r="J943" s="83">
        <v>34.5271807774064</v>
      </c>
    </row>
    <row r="944" spans="1:10" ht="16">
      <c r="A944" s="79" t="s">
        <v>632</v>
      </c>
      <c r="B944" s="79" t="s">
        <v>617</v>
      </c>
      <c r="C944" s="80" t="s">
        <v>95</v>
      </c>
      <c r="D944" s="81" t="s">
        <v>149</v>
      </c>
      <c r="E944" s="82">
        <v>14644</v>
      </c>
      <c r="F944" s="82">
        <v>581</v>
      </c>
      <c r="G944" s="82">
        <v>1025</v>
      </c>
      <c r="H944" s="83">
        <v>20.46216021249473</v>
      </c>
      <c r="I944" s="83">
        <v>15171.055543031598</v>
      </c>
      <c r="J944" s="83">
        <v>21.506519950479284</v>
      </c>
    </row>
    <row r="945" spans="1:10" ht="16">
      <c r="A945" s="79" t="s">
        <v>633</v>
      </c>
      <c r="B945" s="79" t="s">
        <v>617</v>
      </c>
      <c r="C945" s="80" t="s">
        <v>95</v>
      </c>
      <c r="D945" s="81" t="s">
        <v>99</v>
      </c>
      <c r="E945" s="82">
        <v>34686</v>
      </c>
      <c r="F945" s="82">
        <v>1700</v>
      </c>
      <c r="G945" s="82">
        <v>3815</v>
      </c>
      <c r="H945" s="83">
        <v>26.052325746870519</v>
      </c>
      <c r="I945" s="83">
        <v>16546.505015559935</v>
      </c>
      <c r="J945" s="83">
        <v>38.368268539276713</v>
      </c>
    </row>
    <row r="946" spans="1:10" ht="16">
      <c r="A946" s="79" t="s">
        <v>1419</v>
      </c>
      <c r="B946" s="79" t="s">
        <v>1307</v>
      </c>
      <c r="C946" s="80" t="s">
        <v>95</v>
      </c>
      <c r="D946" s="81" t="s">
        <v>75</v>
      </c>
      <c r="E946" s="82">
        <v>46642</v>
      </c>
      <c r="F946" s="82">
        <v>2776</v>
      </c>
      <c r="G946" s="82">
        <v>4664</v>
      </c>
      <c r="H946" s="83">
        <v>54.300151386868492</v>
      </c>
      <c r="I946" s="83">
        <v>33307.143228487505</v>
      </c>
      <c r="J946" s="83">
        <v>54.930983922483975</v>
      </c>
    </row>
    <row r="947" spans="1:10" ht="16">
      <c r="A947" s="79" t="s">
        <v>196</v>
      </c>
      <c r="B947" s="79" t="s">
        <v>169</v>
      </c>
      <c r="C947" s="80" t="s">
        <v>126</v>
      </c>
      <c r="D947" s="81" t="s">
        <v>78</v>
      </c>
      <c r="E947" s="82">
        <v>23923</v>
      </c>
      <c r="F947" s="82">
        <v>1574</v>
      </c>
      <c r="G947" s="82">
        <v>1647</v>
      </c>
      <c r="H947" s="83">
        <v>7.366423969324071</v>
      </c>
      <c r="I947" s="83">
        <v>3033.6703301801604</v>
      </c>
      <c r="J947" s="83">
        <v>15.335544883721543</v>
      </c>
    </row>
    <row r="948" spans="1:10" ht="16">
      <c r="A948" s="79" t="s">
        <v>450</v>
      </c>
      <c r="B948" s="79" t="s">
        <v>421</v>
      </c>
      <c r="C948" s="80" t="s">
        <v>95</v>
      </c>
      <c r="D948" s="81" t="s">
        <v>79</v>
      </c>
      <c r="E948" s="82">
        <v>21475</v>
      </c>
      <c r="F948" s="82">
        <v>502</v>
      </c>
      <c r="G948" s="82">
        <v>4939</v>
      </c>
      <c r="H948" s="83">
        <v>52.425433513302735</v>
      </c>
      <c r="I948" s="83">
        <v>42948.318184685362</v>
      </c>
      <c r="J948" s="83">
        <v>50.083292990127177</v>
      </c>
    </row>
    <row r="949" spans="1:10" ht="16">
      <c r="A949" s="79" t="s">
        <v>1094</v>
      </c>
      <c r="B949" s="79" t="s">
        <v>1091</v>
      </c>
      <c r="C949" s="80" t="s">
        <v>95</v>
      </c>
      <c r="D949" s="81" t="s">
        <v>111</v>
      </c>
      <c r="E949" s="82">
        <v>10887</v>
      </c>
      <c r="F949" s="82">
        <v>337</v>
      </c>
      <c r="G949" s="82">
        <v>1960</v>
      </c>
      <c r="H949" s="83">
        <v>32.945690567704929</v>
      </c>
      <c r="I949" s="83">
        <v>20967.000736546353</v>
      </c>
      <c r="J949" s="83">
        <v>32.157538355608054</v>
      </c>
    </row>
    <row r="950" spans="1:10" ht="16">
      <c r="A950" s="79" t="s">
        <v>756</v>
      </c>
      <c r="B950" s="79" t="s">
        <v>661</v>
      </c>
      <c r="C950" s="80" t="s">
        <v>126</v>
      </c>
      <c r="D950" s="81" t="s">
        <v>101</v>
      </c>
      <c r="E950" s="82">
        <v>5020</v>
      </c>
      <c r="F950" s="82">
        <v>540</v>
      </c>
      <c r="G950" s="82">
        <v>201</v>
      </c>
      <c r="H950" s="83">
        <v>10.868357682127849</v>
      </c>
      <c r="I950" s="83">
        <v>1046.0554185507674</v>
      </c>
      <c r="J950" s="83">
        <v>20.650600904212453</v>
      </c>
    </row>
    <row r="951" spans="1:10" ht="16">
      <c r="A951" s="79" t="s">
        <v>906</v>
      </c>
      <c r="B951" s="79" t="s">
        <v>898</v>
      </c>
      <c r="C951" s="80" t="s">
        <v>95</v>
      </c>
      <c r="D951" s="81" t="s">
        <v>149</v>
      </c>
      <c r="E951" s="82">
        <v>27859</v>
      </c>
      <c r="F951" s="82">
        <v>1629</v>
      </c>
      <c r="G951" s="82">
        <v>557</v>
      </c>
      <c r="H951" s="83">
        <v>11.327608206409904</v>
      </c>
      <c r="I951" s="83">
        <v>2105.7665426420613</v>
      </c>
      <c r="J951" s="83">
        <v>15.75946136262643</v>
      </c>
    </row>
    <row r="952" spans="1:10" ht="16">
      <c r="A952" s="79" t="s">
        <v>1095</v>
      </c>
      <c r="B952" s="79" t="s">
        <v>1091</v>
      </c>
      <c r="C952" s="80" t="s">
        <v>95</v>
      </c>
      <c r="D952" s="81" t="s">
        <v>79</v>
      </c>
      <c r="E952" s="82">
        <v>16935</v>
      </c>
      <c r="F952" s="82">
        <v>1086</v>
      </c>
      <c r="G952" s="82">
        <v>6605</v>
      </c>
      <c r="H952" s="83">
        <v>43.884144577020557</v>
      </c>
      <c r="I952" s="83">
        <v>35198.522985118121</v>
      </c>
      <c r="J952" s="83">
        <v>38.203219252699817</v>
      </c>
    </row>
    <row r="953" spans="1:10" ht="16">
      <c r="A953" s="79" t="s">
        <v>634</v>
      </c>
      <c r="B953" s="79" t="s">
        <v>617</v>
      </c>
      <c r="C953" s="80" t="s">
        <v>95</v>
      </c>
      <c r="D953" s="81" t="s">
        <v>99</v>
      </c>
      <c r="E953" s="82">
        <v>23977</v>
      </c>
      <c r="F953" s="82">
        <v>1230</v>
      </c>
      <c r="G953" s="82">
        <v>2158</v>
      </c>
      <c r="H953" s="83">
        <v>23.450844601663711</v>
      </c>
      <c r="I953" s="83">
        <v>14775.607163224555</v>
      </c>
      <c r="J953" s="83">
        <v>32.808362531191399</v>
      </c>
    </row>
    <row r="954" spans="1:10" ht="16">
      <c r="A954" s="79" t="s">
        <v>1420</v>
      </c>
      <c r="B954" s="79" t="s">
        <v>1307</v>
      </c>
      <c r="C954" s="80" t="s">
        <v>95</v>
      </c>
      <c r="D954" s="81" t="s">
        <v>78</v>
      </c>
      <c r="E954" s="82">
        <v>35164</v>
      </c>
      <c r="F954" s="82">
        <v>2157</v>
      </c>
      <c r="G954" s="82">
        <v>2461</v>
      </c>
      <c r="H954" s="83">
        <v>36.133809844746303</v>
      </c>
      <c r="I954" s="83">
        <v>19979.457486558851</v>
      </c>
      <c r="J954" s="83">
        <v>35.833073717176639</v>
      </c>
    </row>
    <row r="955" spans="1:10" ht="16">
      <c r="A955" s="79" t="s">
        <v>464</v>
      </c>
      <c r="B955" s="79" t="s">
        <v>465</v>
      </c>
      <c r="C955" s="80" t="s">
        <v>126</v>
      </c>
      <c r="D955" s="81" t="s">
        <v>96</v>
      </c>
      <c r="E955" s="82">
        <v>36819</v>
      </c>
      <c r="F955" s="82">
        <v>1283</v>
      </c>
      <c r="G955" s="82">
        <v>368</v>
      </c>
      <c r="H955" s="83">
        <v>15.692818902375574</v>
      </c>
      <c r="I955" s="83">
        <v>4362.6484780012461</v>
      </c>
      <c r="J955" s="83">
        <v>16.400977617601278</v>
      </c>
    </row>
    <row r="956" spans="1:10" ht="16">
      <c r="A956" s="79" t="s">
        <v>1057</v>
      </c>
      <c r="B956" s="79" t="s">
        <v>1039</v>
      </c>
      <c r="C956" s="80" t="s">
        <v>95</v>
      </c>
      <c r="D956" s="81" t="s">
        <v>149</v>
      </c>
      <c r="E956" s="82">
        <v>13906</v>
      </c>
      <c r="F956" s="82">
        <v>732</v>
      </c>
      <c r="G956" s="82">
        <v>1947</v>
      </c>
      <c r="H956" s="83">
        <v>18.847703197162598</v>
      </c>
      <c r="I956" s="83">
        <v>10526.290556912563</v>
      </c>
      <c r="J956" s="83">
        <v>18.948715905032721</v>
      </c>
    </row>
    <row r="957" spans="1:10" ht="16">
      <c r="A957" s="79" t="s">
        <v>1274</v>
      </c>
      <c r="B957" s="79" t="s">
        <v>1209</v>
      </c>
      <c r="C957" s="80" t="s">
        <v>95</v>
      </c>
      <c r="D957" s="81" t="s">
        <v>111</v>
      </c>
      <c r="E957" s="82">
        <v>25357</v>
      </c>
      <c r="F957" s="82">
        <v>1647</v>
      </c>
      <c r="G957" s="82">
        <v>9382</v>
      </c>
      <c r="H957" s="83">
        <v>48.500453388616023</v>
      </c>
      <c r="I957" s="83">
        <v>44025.262322438604</v>
      </c>
      <c r="J957" s="83">
        <v>41.69054143448367</v>
      </c>
    </row>
    <row r="958" spans="1:10" ht="16">
      <c r="A958" s="79" t="s">
        <v>1088</v>
      </c>
      <c r="B958" s="79" t="s">
        <v>1081</v>
      </c>
      <c r="C958" s="80" t="s">
        <v>126</v>
      </c>
      <c r="D958" s="81" t="s">
        <v>79</v>
      </c>
      <c r="E958" s="82">
        <v>19677</v>
      </c>
      <c r="F958" s="82">
        <v>1929</v>
      </c>
      <c r="G958" s="82">
        <v>2558</v>
      </c>
      <c r="H958" s="83">
        <v>41.576231324762226</v>
      </c>
      <c r="I958" s="83">
        <v>38824.406916882283</v>
      </c>
      <c r="J958" s="83">
        <v>27.512916702640876</v>
      </c>
    </row>
    <row r="959" spans="1:10" ht="16">
      <c r="A959" s="79" t="s">
        <v>1058</v>
      </c>
      <c r="B959" s="79" t="s">
        <v>1039</v>
      </c>
      <c r="C959" s="80" t="s">
        <v>95</v>
      </c>
      <c r="D959" s="81" t="s">
        <v>79</v>
      </c>
      <c r="E959" s="82">
        <v>56044</v>
      </c>
      <c r="F959" s="82">
        <v>3639</v>
      </c>
      <c r="G959" s="82">
        <v>5604</v>
      </c>
      <c r="H959" s="83">
        <v>21.197350688499881</v>
      </c>
      <c r="I959" s="83">
        <v>10879.169646398219</v>
      </c>
      <c r="J959" s="83">
        <v>20.053668551699054</v>
      </c>
    </row>
    <row r="960" spans="1:10" ht="16">
      <c r="A960" s="79" t="s">
        <v>152</v>
      </c>
      <c r="B960" s="79" t="s">
        <v>146</v>
      </c>
      <c r="C960" s="80" t="s">
        <v>95</v>
      </c>
      <c r="D960" s="81" t="s">
        <v>78</v>
      </c>
      <c r="E960" s="82">
        <v>20312</v>
      </c>
      <c r="F960" s="82">
        <v>927</v>
      </c>
      <c r="G960" s="82">
        <v>2641</v>
      </c>
      <c r="H960" s="83">
        <v>18.943162118223267</v>
      </c>
      <c r="I960" s="83">
        <v>10271.344448569933</v>
      </c>
      <c r="J960" s="83">
        <v>22.957253017061834</v>
      </c>
    </row>
    <row r="961" spans="1:10" ht="16">
      <c r="A961" s="79" t="s">
        <v>1275</v>
      </c>
      <c r="B961" s="79" t="s">
        <v>1209</v>
      </c>
      <c r="C961" s="80" t="s">
        <v>95</v>
      </c>
      <c r="D961" s="81" t="s">
        <v>79</v>
      </c>
      <c r="E961" s="82">
        <v>14477</v>
      </c>
      <c r="F961" s="82">
        <v>804</v>
      </c>
      <c r="G961" s="82">
        <v>5212</v>
      </c>
      <c r="H961" s="83">
        <v>15.571083710575371</v>
      </c>
      <c r="I961" s="83">
        <v>6013.1265767981467</v>
      </c>
      <c r="J961" s="83">
        <v>17.767170610764538</v>
      </c>
    </row>
    <row r="962" spans="1:10" ht="16">
      <c r="A962" s="79" t="s">
        <v>451</v>
      </c>
      <c r="B962" s="79" t="s">
        <v>421</v>
      </c>
      <c r="C962" s="80" t="s">
        <v>95</v>
      </c>
      <c r="D962" s="81" t="s">
        <v>101</v>
      </c>
      <c r="E962" s="82">
        <v>10247</v>
      </c>
      <c r="F962" s="82">
        <v>486</v>
      </c>
      <c r="G962" s="82">
        <v>717</v>
      </c>
      <c r="H962" s="83">
        <v>23.058026889840487</v>
      </c>
      <c r="I962" s="83">
        <v>13538.173788398124</v>
      </c>
      <c r="J962" s="83">
        <v>30.996698780301355</v>
      </c>
    </row>
    <row r="963" spans="1:10" ht="16">
      <c r="A963" s="79" t="s">
        <v>847</v>
      </c>
      <c r="B963" s="79" t="s">
        <v>839</v>
      </c>
      <c r="C963" s="80" t="s">
        <v>95</v>
      </c>
      <c r="D963" s="81" t="s">
        <v>76</v>
      </c>
      <c r="E963" s="82">
        <v>27228</v>
      </c>
      <c r="F963" s="82">
        <v>1144</v>
      </c>
      <c r="G963" s="82">
        <v>5718</v>
      </c>
      <c r="H963" s="83">
        <v>56.246463585202783</v>
      </c>
      <c r="I963" s="83">
        <v>50932.844052996981</v>
      </c>
      <c r="J963" s="83">
        <v>42.581616642645407</v>
      </c>
    </row>
    <row r="964" spans="1:10" ht="16">
      <c r="A964" s="79" t="s">
        <v>827</v>
      </c>
      <c r="B964" s="79" t="s">
        <v>817</v>
      </c>
      <c r="C964" s="80" t="s">
        <v>95</v>
      </c>
      <c r="D964" s="81" t="s">
        <v>101</v>
      </c>
      <c r="E964" s="82">
        <v>123932</v>
      </c>
      <c r="F964" s="82">
        <v>2229</v>
      </c>
      <c r="G964" s="82">
        <v>8624</v>
      </c>
      <c r="H964" s="83">
        <v>8.2013036282488994</v>
      </c>
      <c r="I964" s="83">
        <v>787.71058011180276</v>
      </c>
      <c r="J964" s="83">
        <v>16.067627496156959</v>
      </c>
    </row>
    <row r="965" spans="1:10" ht="16">
      <c r="A965" s="79" t="s">
        <v>828</v>
      </c>
      <c r="B965" s="79" t="s">
        <v>817</v>
      </c>
      <c r="C965" s="80" t="s">
        <v>95</v>
      </c>
      <c r="D965" s="81" t="s">
        <v>76</v>
      </c>
      <c r="E965" s="82">
        <v>26034</v>
      </c>
      <c r="F965" s="82">
        <v>1315</v>
      </c>
      <c r="G965" s="82">
        <v>781</v>
      </c>
      <c r="H965" s="83">
        <v>9.1963374056031046</v>
      </c>
      <c r="I965" s="83">
        <v>1185.3496350899898</v>
      </c>
      <c r="J965" s="83">
        <v>17.076417455398467</v>
      </c>
    </row>
    <row r="966" spans="1:10" ht="16">
      <c r="A966" s="79" t="s">
        <v>216</v>
      </c>
      <c r="B966" s="79" t="s">
        <v>203</v>
      </c>
      <c r="C966" s="80" t="s">
        <v>95</v>
      </c>
      <c r="D966" s="81" t="s">
        <v>79</v>
      </c>
      <c r="E966" s="82">
        <v>22165</v>
      </c>
      <c r="F966" s="82">
        <v>762</v>
      </c>
      <c r="G966" s="82">
        <v>1995</v>
      </c>
      <c r="H966" s="83">
        <v>30.388039213102765</v>
      </c>
      <c r="I966" s="83">
        <v>13964.941314741915</v>
      </c>
      <c r="J966" s="83">
        <v>26.883228232781345</v>
      </c>
    </row>
    <row r="967" spans="1:10" ht="16">
      <c r="A967" s="79" t="s">
        <v>585</v>
      </c>
      <c r="B967" s="79" t="s">
        <v>556</v>
      </c>
      <c r="C967" s="80" t="s">
        <v>95</v>
      </c>
      <c r="D967" s="81" t="s">
        <v>77</v>
      </c>
      <c r="E967" s="82">
        <v>16240</v>
      </c>
      <c r="F967" s="82">
        <v>576</v>
      </c>
      <c r="G967" s="82">
        <v>746</v>
      </c>
      <c r="H967" s="83">
        <v>14.563261434857347</v>
      </c>
      <c r="I967" s="83">
        <v>4026.9355350625419</v>
      </c>
      <c r="J967" s="83">
        <v>21.144030922681033</v>
      </c>
    </row>
    <row r="968" spans="1:10" ht="16">
      <c r="A968" s="79" t="s">
        <v>615</v>
      </c>
      <c r="B968" s="79" t="s">
        <v>610</v>
      </c>
      <c r="C968" s="80" t="s">
        <v>95</v>
      </c>
      <c r="D968" s="81" t="s">
        <v>77</v>
      </c>
      <c r="E968" s="82">
        <v>16164</v>
      </c>
      <c r="F968" s="82">
        <v>770</v>
      </c>
      <c r="G968" s="82">
        <v>323</v>
      </c>
      <c r="H968" s="83">
        <v>32.417473331376982</v>
      </c>
      <c r="I968" s="83">
        <v>16875.449565917228</v>
      </c>
      <c r="J968" s="83">
        <v>27.382633239152746</v>
      </c>
    </row>
    <row r="969" spans="1:10" ht="16">
      <c r="A969" s="79" t="s">
        <v>452</v>
      </c>
      <c r="B969" s="79" t="s">
        <v>421</v>
      </c>
      <c r="C969" s="80" t="s">
        <v>95</v>
      </c>
      <c r="D969" s="81" t="s">
        <v>99</v>
      </c>
      <c r="E969" s="82">
        <v>30375</v>
      </c>
      <c r="F969" s="82">
        <v>512</v>
      </c>
      <c r="G969" s="82">
        <v>3645</v>
      </c>
      <c r="H969" s="83">
        <v>49.932966144261989</v>
      </c>
      <c r="I969" s="83">
        <v>36881.513380356737</v>
      </c>
      <c r="J969" s="83">
        <v>45.019663108672916</v>
      </c>
    </row>
    <row r="970" spans="1:10" ht="16">
      <c r="A970" s="79" t="s">
        <v>335</v>
      </c>
      <c r="B970" s="79" t="s">
        <v>336</v>
      </c>
      <c r="C970" s="80" t="s">
        <v>95</v>
      </c>
      <c r="D970" s="81" t="s">
        <v>78</v>
      </c>
      <c r="E970" s="82">
        <v>14856</v>
      </c>
      <c r="F970" s="82">
        <v>1516</v>
      </c>
      <c r="G970" s="82">
        <v>1040</v>
      </c>
      <c r="H970" s="83">
        <v>9.6280866219378485</v>
      </c>
      <c r="I970" s="83">
        <v>860.38667482909671</v>
      </c>
      <c r="J970" s="83">
        <v>21.9614350178169</v>
      </c>
    </row>
    <row r="971" spans="1:10" ht="16">
      <c r="A971" s="79" t="s">
        <v>392</v>
      </c>
      <c r="B971" s="79" t="s">
        <v>388</v>
      </c>
      <c r="C971" s="80" t="s">
        <v>95</v>
      </c>
      <c r="D971" s="81" t="s">
        <v>77</v>
      </c>
      <c r="E971" s="82">
        <v>22072</v>
      </c>
      <c r="F971" s="82">
        <v>1330</v>
      </c>
      <c r="G971" s="82">
        <v>1104</v>
      </c>
      <c r="H971" s="83">
        <v>59.808507803636516</v>
      </c>
      <c r="I971" s="83">
        <v>52290.348802911256</v>
      </c>
      <c r="J971" s="83">
        <v>44.168563214316393</v>
      </c>
    </row>
    <row r="972" spans="1:10" ht="16">
      <c r="A972" s="79" t="s">
        <v>1276</v>
      </c>
      <c r="B972" s="79" t="s">
        <v>1209</v>
      </c>
      <c r="C972" s="80" t="s">
        <v>95</v>
      </c>
      <c r="D972" s="81" t="s">
        <v>76</v>
      </c>
      <c r="E972" s="82">
        <v>17584</v>
      </c>
      <c r="F972" s="82">
        <v>1005</v>
      </c>
      <c r="G972" s="82">
        <v>4924</v>
      </c>
      <c r="H972" s="83">
        <v>13.636041353082183</v>
      </c>
      <c r="I972" s="83">
        <v>5557.6269319197891</v>
      </c>
      <c r="J972" s="83">
        <v>18.348652247317503</v>
      </c>
    </row>
    <row r="973" spans="1:10" ht="16">
      <c r="A973" s="79" t="s">
        <v>453</v>
      </c>
      <c r="B973" s="79" t="s">
        <v>421</v>
      </c>
      <c r="C973" s="80" t="s">
        <v>95</v>
      </c>
      <c r="D973" s="81" t="s">
        <v>77</v>
      </c>
      <c r="E973" s="82">
        <v>9234</v>
      </c>
      <c r="F973" s="82">
        <v>244</v>
      </c>
      <c r="G973" s="82">
        <v>1385</v>
      </c>
      <c r="H973" s="83">
        <v>31.032323575045027</v>
      </c>
      <c r="I973" s="83">
        <v>28607.139003845325</v>
      </c>
      <c r="J973" s="83">
        <v>35.375280706602283</v>
      </c>
    </row>
    <row r="974" spans="1:10" ht="16">
      <c r="A974" s="79" t="s">
        <v>483</v>
      </c>
      <c r="B974" s="79" t="s">
        <v>478</v>
      </c>
      <c r="C974" s="80" t="s">
        <v>95</v>
      </c>
      <c r="D974" s="81" t="s">
        <v>76</v>
      </c>
      <c r="E974" s="82">
        <v>18260</v>
      </c>
      <c r="F974" s="82">
        <v>1003</v>
      </c>
      <c r="G974" s="82">
        <v>8034</v>
      </c>
      <c r="H974" s="83">
        <v>77.887149553002246</v>
      </c>
      <c r="I974" s="83">
        <v>59186.240031800568</v>
      </c>
      <c r="J974" s="83">
        <v>69.938805164349006</v>
      </c>
    </row>
    <row r="975" spans="1:10" ht="16">
      <c r="A975" s="79" t="s">
        <v>1421</v>
      </c>
      <c r="B975" s="79" t="s">
        <v>1307</v>
      </c>
      <c r="C975" s="80" t="s">
        <v>126</v>
      </c>
      <c r="D975" s="81" t="s">
        <v>77</v>
      </c>
      <c r="E975" s="82">
        <v>44128</v>
      </c>
      <c r="F975" s="82">
        <v>1717</v>
      </c>
      <c r="G975" s="82">
        <v>3972</v>
      </c>
      <c r="H975" s="83">
        <v>26.709978947477705</v>
      </c>
      <c r="I975" s="83">
        <v>15050.205870292855</v>
      </c>
      <c r="J975" s="83">
        <v>34.012890889070171</v>
      </c>
    </row>
    <row r="976" spans="1:10" ht="16">
      <c r="A976" s="79" t="s">
        <v>1277</v>
      </c>
      <c r="B976" s="79" t="s">
        <v>1209</v>
      </c>
      <c r="C976" s="80" t="s">
        <v>95</v>
      </c>
      <c r="D976" s="81" t="s">
        <v>79</v>
      </c>
      <c r="E976" s="82">
        <v>14483</v>
      </c>
      <c r="F976" s="82">
        <v>700</v>
      </c>
      <c r="G976" s="82">
        <v>3476</v>
      </c>
      <c r="H976" s="83">
        <v>20.804094441186749</v>
      </c>
      <c r="I976" s="83">
        <v>8990.968511958019</v>
      </c>
      <c r="J976" s="83">
        <v>22.807717189081732</v>
      </c>
    </row>
    <row r="977" spans="1:10" ht="16">
      <c r="A977" s="79" t="s">
        <v>1278</v>
      </c>
      <c r="B977" s="79" t="s">
        <v>1209</v>
      </c>
      <c r="C977" s="80" t="s">
        <v>95</v>
      </c>
      <c r="D977" s="81" t="s">
        <v>79</v>
      </c>
      <c r="E977" s="82">
        <v>14047</v>
      </c>
      <c r="F977" s="82">
        <v>772</v>
      </c>
      <c r="G977" s="82">
        <v>2669</v>
      </c>
      <c r="H977" s="83">
        <v>23.474763254359651</v>
      </c>
      <c r="I977" s="83">
        <v>12917.872936903748</v>
      </c>
      <c r="J977" s="83">
        <v>22.362594492062229</v>
      </c>
    </row>
    <row r="978" spans="1:10" ht="16">
      <c r="A978" s="79" t="s">
        <v>757</v>
      </c>
      <c r="B978" s="79" t="s">
        <v>661</v>
      </c>
      <c r="C978" s="80" t="s">
        <v>126</v>
      </c>
      <c r="D978" s="81" t="s">
        <v>77</v>
      </c>
      <c r="E978" s="82">
        <v>6566</v>
      </c>
      <c r="F978" s="82">
        <v>513</v>
      </c>
      <c r="G978" s="82">
        <v>197</v>
      </c>
      <c r="H978" s="83">
        <v>12.289217042858349</v>
      </c>
      <c r="I978" s="83">
        <v>1262.9611823767068</v>
      </c>
      <c r="J978" s="83">
        <v>17.10447047566829</v>
      </c>
    </row>
    <row r="979" spans="1:10" ht="16">
      <c r="A979" s="79" t="s">
        <v>863</v>
      </c>
      <c r="B979" s="79" t="s">
        <v>862</v>
      </c>
      <c r="C979" s="80" t="s">
        <v>126</v>
      </c>
      <c r="D979" s="81" t="s">
        <v>99</v>
      </c>
      <c r="E979" s="82">
        <v>26648</v>
      </c>
      <c r="F979" s="82">
        <v>1625</v>
      </c>
      <c r="G979" s="82">
        <v>266</v>
      </c>
      <c r="H979" s="83">
        <v>12.997670209455121</v>
      </c>
      <c r="I979" s="83">
        <v>9417.8004032979825</v>
      </c>
      <c r="J979" s="83">
        <v>24.181346693998332</v>
      </c>
    </row>
    <row r="980" spans="1:10" ht="16">
      <c r="A980" s="79" t="s">
        <v>490</v>
      </c>
      <c r="B980" s="79" t="s">
        <v>491</v>
      </c>
      <c r="C980" s="80" t="s">
        <v>95</v>
      </c>
      <c r="D980" s="81" t="s">
        <v>76</v>
      </c>
      <c r="E980" s="82">
        <v>8135</v>
      </c>
      <c r="F980" s="82">
        <v>585</v>
      </c>
      <c r="G980" s="82">
        <v>976</v>
      </c>
      <c r="H980" s="83">
        <v>30.414547999455891</v>
      </c>
      <c r="I980" s="83">
        <v>22537.946072290557</v>
      </c>
      <c r="J980" s="83">
        <v>20.190306152531758</v>
      </c>
    </row>
    <row r="981" spans="1:10" ht="16">
      <c r="A981" s="79" t="s">
        <v>1422</v>
      </c>
      <c r="B981" s="79" t="s">
        <v>1307</v>
      </c>
      <c r="C981" s="80" t="s">
        <v>126</v>
      </c>
      <c r="D981" s="81" t="s">
        <v>79</v>
      </c>
      <c r="E981" s="82">
        <v>9694</v>
      </c>
      <c r="F981" s="82">
        <v>570</v>
      </c>
      <c r="G981" s="82">
        <v>776</v>
      </c>
      <c r="H981" s="83">
        <v>21.136901637725625</v>
      </c>
      <c r="I981" s="83">
        <v>11270.459543212412</v>
      </c>
      <c r="J981" s="83">
        <v>33.631619252377092</v>
      </c>
    </row>
    <row r="982" spans="1:10" ht="16">
      <c r="A982" s="79" t="s">
        <v>1423</v>
      </c>
      <c r="B982" s="79" t="s">
        <v>1307</v>
      </c>
      <c r="C982" s="80" t="s">
        <v>95</v>
      </c>
      <c r="D982" s="81" t="s">
        <v>111</v>
      </c>
      <c r="E982" s="82">
        <v>27031</v>
      </c>
      <c r="F982" s="82">
        <v>2351</v>
      </c>
      <c r="G982" s="82">
        <v>5406</v>
      </c>
      <c r="H982" s="83">
        <v>33.645559344730465</v>
      </c>
      <c r="I982" s="83">
        <v>23321.50174407645</v>
      </c>
      <c r="J982" s="83">
        <v>45.830695897866846</v>
      </c>
    </row>
    <row r="983" spans="1:10" ht="16">
      <c r="A983" s="79" t="s">
        <v>1424</v>
      </c>
      <c r="B983" s="79" t="s">
        <v>1307</v>
      </c>
      <c r="C983" s="80" t="s">
        <v>126</v>
      </c>
      <c r="D983" s="81" t="s">
        <v>75</v>
      </c>
      <c r="E983" s="82">
        <v>44916</v>
      </c>
      <c r="F983" s="82">
        <v>2509</v>
      </c>
      <c r="G983" s="82">
        <v>10780</v>
      </c>
      <c r="H983" s="83">
        <v>78.906942316046184</v>
      </c>
      <c r="I983" s="83">
        <v>65895.804164012559</v>
      </c>
      <c r="J983" s="83">
        <v>63.493396883992624</v>
      </c>
    </row>
    <row r="984" spans="1:10" ht="16">
      <c r="A984" s="79" t="s">
        <v>554</v>
      </c>
      <c r="B984" s="79" t="s">
        <v>549</v>
      </c>
      <c r="C984" s="80" t="s">
        <v>95</v>
      </c>
      <c r="D984" s="81" t="s">
        <v>111</v>
      </c>
      <c r="E984" s="82">
        <v>41170</v>
      </c>
      <c r="F984" s="82">
        <v>4159</v>
      </c>
      <c r="G984" s="82">
        <v>4529</v>
      </c>
      <c r="H984" s="83">
        <v>19.212869527073028</v>
      </c>
      <c r="I984" s="83">
        <v>3211.6969862760106</v>
      </c>
      <c r="J984" s="83">
        <v>38.751791121405901</v>
      </c>
    </row>
    <row r="985" spans="1:10" ht="16">
      <c r="A985" s="79" t="s">
        <v>153</v>
      </c>
      <c r="B985" s="79" t="s">
        <v>146</v>
      </c>
      <c r="C985" s="80" t="s">
        <v>95</v>
      </c>
      <c r="D985" s="81" t="s">
        <v>76</v>
      </c>
      <c r="E985" s="82">
        <v>14128</v>
      </c>
      <c r="F985" s="82">
        <v>1121</v>
      </c>
      <c r="G985" s="82">
        <v>5651</v>
      </c>
      <c r="H985" s="83">
        <v>21.917938267352731</v>
      </c>
      <c r="I985" s="83">
        <v>13561.042574118832</v>
      </c>
      <c r="J985" s="83">
        <v>27.864935759590551</v>
      </c>
    </row>
    <row r="986" spans="1:10" ht="16">
      <c r="A986" s="79" t="s">
        <v>635</v>
      </c>
      <c r="B986" s="79" t="s">
        <v>617</v>
      </c>
      <c r="C986" s="80" t="s">
        <v>95</v>
      </c>
      <c r="D986" s="81" t="s">
        <v>149</v>
      </c>
      <c r="E986" s="82">
        <v>7646</v>
      </c>
      <c r="F986" s="82">
        <v>346</v>
      </c>
      <c r="G986" s="82">
        <v>459</v>
      </c>
      <c r="H986" s="83">
        <v>19.868516268183473</v>
      </c>
      <c r="I986" s="83">
        <v>14106.701672781553</v>
      </c>
      <c r="J986" s="83">
        <v>19.04925354187602</v>
      </c>
    </row>
    <row r="987" spans="1:10" ht="16">
      <c r="A987" s="79" t="s">
        <v>308</v>
      </c>
      <c r="B987" s="79" t="s">
        <v>242</v>
      </c>
      <c r="C987" s="80" t="s">
        <v>95</v>
      </c>
      <c r="D987" s="81" t="s">
        <v>75</v>
      </c>
      <c r="E987" s="82">
        <v>15775</v>
      </c>
      <c r="F987" s="82">
        <v>907</v>
      </c>
      <c r="G987" s="82">
        <v>2840</v>
      </c>
      <c r="H987" s="83">
        <v>16.91098334334837</v>
      </c>
      <c r="I987" s="83">
        <v>5686.3492574108404</v>
      </c>
      <c r="J987" s="83">
        <v>25.56766297500975</v>
      </c>
    </row>
    <row r="988" spans="1:10" ht="16">
      <c r="A988" s="79" t="s">
        <v>473</v>
      </c>
      <c r="B988" s="79" t="s">
        <v>467</v>
      </c>
      <c r="C988" s="80" t="s">
        <v>126</v>
      </c>
      <c r="D988" s="81" t="s">
        <v>111</v>
      </c>
      <c r="E988" s="82">
        <v>21902</v>
      </c>
      <c r="F988" s="82">
        <v>494</v>
      </c>
      <c r="G988" s="82">
        <v>657</v>
      </c>
      <c r="H988" s="83">
        <v>14.841445757991332</v>
      </c>
      <c r="I988" s="83">
        <v>8884.7438665077807</v>
      </c>
      <c r="J988" s="83">
        <v>17.418834335561371</v>
      </c>
    </row>
    <row r="989" spans="1:10" ht="16">
      <c r="A989" s="79" t="s">
        <v>1425</v>
      </c>
      <c r="B989" s="79" t="s">
        <v>1307</v>
      </c>
      <c r="C989" s="80" t="s">
        <v>95</v>
      </c>
      <c r="D989" s="81" t="s">
        <v>78</v>
      </c>
      <c r="E989" s="82">
        <v>28945</v>
      </c>
      <c r="F989" s="82">
        <v>2495</v>
      </c>
      <c r="G989" s="82">
        <v>3473</v>
      </c>
      <c r="H989" s="83">
        <v>29.813644847479491</v>
      </c>
      <c r="I989" s="83">
        <v>24347.745931116278</v>
      </c>
      <c r="J989" s="83">
        <v>43.637284846224745</v>
      </c>
    </row>
    <row r="990" spans="1:10" ht="16">
      <c r="A990" s="79" t="s">
        <v>586</v>
      </c>
      <c r="B990" s="79" t="s">
        <v>556</v>
      </c>
      <c r="C990" s="80" t="s">
        <v>95</v>
      </c>
      <c r="D990" s="81" t="s">
        <v>111</v>
      </c>
      <c r="E990" s="82">
        <v>13782</v>
      </c>
      <c r="F990" s="82">
        <v>659</v>
      </c>
      <c r="G990" s="82">
        <v>138</v>
      </c>
      <c r="H990" s="83">
        <v>23.195892592746876</v>
      </c>
      <c r="I990" s="83">
        <v>3035.6584233063681</v>
      </c>
      <c r="J990" s="83">
        <v>31.680411633508395</v>
      </c>
    </row>
    <row r="991" spans="1:10" ht="16">
      <c r="A991" s="79" t="s">
        <v>1000</v>
      </c>
      <c r="B991" s="79" t="s">
        <v>996</v>
      </c>
      <c r="C991" s="80" t="s">
        <v>95</v>
      </c>
      <c r="D991" s="81" t="s">
        <v>79</v>
      </c>
      <c r="E991" s="82">
        <v>26445</v>
      </c>
      <c r="F991" s="82">
        <v>1106</v>
      </c>
      <c r="G991" s="82">
        <v>3967</v>
      </c>
      <c r="H991" s="83">
        <v>26.339003610575745</v>
      </c>
      <c r="I991" s="83">
        <v>10971.966128432563</v>
      </c>
      <c r="J991" s="83">
        <v>20.108787805245711</v>
      </c>
    </row>
    <row r="992" spans="1:10" ht="16">
      <c r="A992" s="79" t="s">
        <v>775</v>
      </c>
      <c r="B992" s="79" t="s">
        <v>772</v>
      </c>
      <c r="C992" s="80" t="s">
        <v>95</v>
      </c>
      <c r="D992" s="81" t="s">
        <v>76</v>
      </c>
      <c r="E992" s="82">
        <v>30495</v>
      </c>
      <c r="F992" s="82">
        <v>1804</v>
      </c>
      <c r="G992" s="82">
        <v>4879</v>
      </c>
      <c r="H992" s="83">
        <v>10.310476728973319</v>
      </c>
      <c r="I992" s="83">
        <v>2984.0935305761641</v>
      </c>
      <c r="J992" s="83">
        <v>25.584640563424333</v>
      </c>
    </row>
    <row r="993" spans="1:10" ht="16">
      <c r="A993" s="79" t="s">
        <v>454</v>
      </c>
      <c r="B993" s="79" t="s">
        <v>421</v>
      </c>
      <c r="C993" s="80" t="s">
        <v>126</v>
      </c>
      <c r="D993" s="81" t="s">
        <v>96</v>
      </c>
      <c r="E993" s="82">
        <v>14869</v>
      </c>
      <c r="F993" s="82">
        <v>288</v>
      </c>
      <c r="G993" s="82">
        <v>2676</v>
      </c>
      <c r="H993" s="83">
        <v>24.40753841525191</v>
      </c>
      <c r="I993" s="83">
        <v>9961.7642836204614</v>
      </c>
      <c r="J993" s="83">
        <v>33.959715025478168</v>
      </c>
    </row>
    <row r="994" spans="1:10" ht="16">
      <c r="A994" s="79" t="s">
        <v>1426</v>
      </c>
      <c r="B994" s="79" t="s">
        <v>1307</v>
      </c>
      <c r="C994" s="80" t="s">
        <v>95</v>
      </c>
      <c r="D994" s="81" t="s">
        <v>99</v>
      </c>
      <c r="E994" s="82">
        <v>24526</v>
      </c>
      <c r="F994" s="82">
        <v>2477</v>
      </c>
      <c r="G994" s="82">
        <v>2207</v>
      </c>
      <c r="H994" s="83">
        <v>22.732682542188087</v>
      </c>
      <c r="I994" s="83">
        <v>15473.413071854924</v>
      </c>
      <c r="J994" s="83">
        <v>37.735259137787594</v>
      </c>
    </row>
    <row r="995" spans="1:10" ht="16">
      <c r="A995" s="79" t="s">
        <v>587</v>
      </c>
      <c r="B995" s="79" t="s">
        <v>556</v>
      </c>
      <c r="C995" s="80" t="s">
        <v>95</v>
      </c>
      <c r="D995" s="81" t="s">
        <v>78</v>
      </c>
      <c r="E995" s="82">
        <v>8438</v>
      </c>
      <c r="F995" s="82">
        <v>308</v>
      </c>
      <c r="G995" s="82">
        <v>253</v>
      </c>
      <c r="H995" s="83">
        <v>19.065912695759074</v>
      </c>
      <c r="I995" s="83">
        <v>13755.779831706195</v>
      </c>
      <c r="J995" s="83">
        <v>20.069889288055265</v>
      </c>
    </row>
    <row r="996" spans="1:10" ht="16">
      <c r="A996" s="79" t="s">
        <v>1279</v>
      </c>
      <c r="B996" s="79" t="s">
        <v>1209</v>
      </c>
      <c r="C996" s="80" t="s">
        <v>95</v>
      </c>
      <c r="D996" s="81" t="s">
        <v>103</v>
      </c>
      <c r="E996" s="82">
        <v>17754</v>
      </c>
      <c r="F996" s="82">
        <v>888</v>
      </c>
      <c r="G996" s="82">
        <v>5504</v>
      </c>
      <c r="H996" s="83">
        <v>28.863220848978699</v>
      </c>
      <c r="I996" s="83">
        <v>19291.045417961606</v>
      </c>
      <c r="J996" s="83">
        <v>24.161337467030773</v>
      </c>
    </row>
    <row r="997" spans="1:10" ht="16">
      <c r="A997" s="79" t="s">
        <v>1427</v>
      </c>
      <c r="B997" s="79" t="s">
        <v>1307</v>
      </c>
      <c r="C997" s="80" t="s">
        <v>95</v>
      </c>
      <c r="D997" s="81" t="s">
        <v>149</v>
      </c>
      <c r="E997" s="82">
        <v>27078</v>
      </c>
      <c r="F997" s="82">
        <v>2184</v>
      </c>
      <c r="G997" s="82">
        <v>1083</v>
      </c>
      <c r="H997" s="83">
        <v>25.636166615904894</v>
      </c>
      <c r="I997" s="83">
        <v>13839.456256384283</v>
      </c>
      <c r="J997" s="83">
        <v>37.921553744226564</v>
      </c>
    </row>
    <row r="998" spans="1:10" ht="16">
      <c r="A998" s="79" t="s">
        <v>455</v>
      </c>
      <c r="B998" s="79" t="s">
        <v>421</v>
      </c>
      <c r="C998" s="80" t="s">
        <v>95</v>
      </c>
      <c r="D998" s="81" t="s">
        <v>149</v>
      </c>
      <c r="E998" s="82">
        <v>26412</v>
      </c>
      <c r="F998" s="82">
        <v>1190</v>
      </c>
      <c r="G998" s="82">
        <v>2113</v>
      </c>
      <c r="H998" s="83">
        <v>27.977274600620742</v>
      </c>
      <c r="I998" s="83">
        <v>23946.97185109738</v>
      </c>
      <c r="J998" s="83">
        <v>31.285834911147326</v>
      </c>
    </row>
    <row r="999" spans="1:10" ht="16">
      <c r="A999" s="79" t="s">
        <v>154</v>
      </c>
      <c r="B999" s="79" t="s">
        <v>146</v>
      </c>
      <c r="C999" s="80" t="s">
        <v>95</v>
      </c>
      <c r="D999" s="81" t="s">
        <v>99</v>
      </c>
      <c r="E999" s="82">
        <v>3639</v>
      </c>
      <c r="F999" s="82">
        <v>337</v>
      </c>
      <c r="G999" s="82">
        <v>801</v>
      </c>
      <c r="H999" s="83">
        <v>16.51835309178459</v>
      </c>
      <c r="I999" s="83">
        <v>14327.46091208795</v>
      </c>
      <c r="J999" s="83">
        <v>26.059234083902702</v>
      </c>
    </row>
    <row r="1000" spans="1:10" ht="16">
      <c r="A1000" s="79" t="s">
        <v>456</v>
      </c>
      <c r="B1000" s="79" t="s">
        <v>421</v>
      </c>
      <c r="C1000" s="80" t="s">
        <v>95</v>
      </c>
      <c r="D1000" s="81" t="s">
        <v>103</v>
      </c>
      <c r="E1000" s="82">
        <v>11387</v>
      </c>
      <c r="F1000" s="82">
        <v>203</v>
      </c>
      <c r="G1000" s="82">
        <v>1480</v>
      </c>
      <c r="H1000" s="83">
        <v>45.010564439293844</v>
      </c>
      <c r="I1000" s="83">
        <v>29396.108130050652</v>
      </c>
      <c r="J1000" s="83">
        <v>39.116200010272166</v>
      </c>
    </row>
    <row r="1001" spans="1:10" ht="16">
      <c r="A1001" s="79" t="s">
        <v>588</v>
      </c>
      <c r="B1001" s="79" t="s">
        <v>556</v>
      </c>
      <c r="C1001" s="80" t="s">
        <v>95</v>
      </c>
      <c r="D1001" s="81" t="s">
        <v>101</v>
      </c>
      <c r="E1001" s="82">
        <v>9441</v>
      </c>
      <c r="F1001" s="82">
        <v>327</v>
      </c>
      <c r="G1001" s="82">
        <v>94</v>
      </c>
      <c r="H1001" s="83">
        <v>13.169118637641114</v>
      </c>
      <c r="I1001" s="83">
        <v>6127.8261814911893</v>
      </c>
      <c r="J1001" s="83">
        <v>14.888897586911794</v>
      </c>
    </row>
    <row r="1002" spans="1:10" ht="16">
      <c r="A1002" s="79" t="s">
        <v>1001</v>
      </c>
      <c r="B1002" s="79" t="s">
        <v>996</v>
      </c>
      <c r="C1002" s="80" t="s">
        <v>95</v>
      </c>
      <c r="D1002" s="81" t="s">
        <v>79</v>
      </c>
      <c r="E1002" s="82">
        <v>36660</v>
      </c>
      <c r="F1002" s="82">
        <v>1255</v>
      </c>
      <c r="G1002" s="82">
        <v>1466</v>
      </c>
      <c r="H1002" s="83">
        <v>29.583136529418066</v>
      </c>
      <c r="I1002" s="83">
        <v>20188.728485515785</v>
      </c>
      <c r="J1002" s="83">
        <v>26.008693293606619</v>
      </c>
    </row>
    <row r="1003" spans="1:10" ht="16">
      <c r="A1003" s="79" t="s">
        <v>237</v>
      </c>
      <c r="B1003" s="79" t="s">
        <v>231</v>
      </c>
      <c r="C1003" s="80" t="s">
        <v>126</v>
      </c>
      <c r="D1003" s="81" t="s">
        <v>75</v>
      </c>
      <c r="E1003" s="82">
        <v>10437</v>
      </c>
      <c r="F1003" s="82">
        <v>424</v>
      </c>
      <c r="G1003" s="82">
        <v>104</v>
      </c>
      <c r="H1003" s="83">
        <v>16.457898964064594</v>
      </c>
      <c r="I1003" s="83">
        <v>5451.4967039855937</v>
      </c>
      <c r="J1003" s="83">
        <v>15.262285843228419</v>
      </c>
    </row>
    <row r="1004" spans="1:10" ht="16">
      <c r="A1004" s="79" t="s">
        <v>1059</v>
      </c>
      <c r="B1004" s="79" t="s">
        <v>1039</v>
      </c>
      <c r="C1004" s="80" t="s">
        <v>95</v>
      </c>
      <c r="D1004" s="81" t="s">
        <v>101</v>
      </c>
      <c r="E1004" s="82">
        <v>18336</v>
      </c>
      <c r="F1004" s="82">
        <v>1421</v>
      </c>
      <c r="G1004" s="82">
        <v>733</v>
      </c>
      <c r="H1004" s="83">
        <v>12.452734070681164</v>
      </c>
      <c r="I1004" s="83">
        <v>7845.7555617151475</v>
      </c>
      <c r="J1004" s="83">
        <v>20.041333916957729</v>
      </c>
    </row>
    <row r="1005" spans="1:10" ht="16">
      <c r="A1005" s="79" t="s">
        <v>864</v>
      </c>
      <c r="B1005" s="79" t="s">
        <v>862</v>
      </c>
      <c r="C1005" s="80" t="s">
        <v>126</v>
      </c>
      <c r="D1005" s="81" t="s">
        <v>101</v>
      </c>
      <c r="E1005" s="82">
        <v>34056</v>
      </c>
      <c r="F1005" s="82">
        <v>1678</v>
      </c>
      <c r="G1005" s="82">
        <v>2370</v>
      </c>
      <c r="H1005" s="83">
        <v>9.1675722760911</v>
      </c>
      <c r="I1005" s="83">
        <v>5309.8148710644236</v>
      </c>
      <c r="J1005" s="83">
        <v>16.364442415408064</v>
      </c>
    </row>
    <row r="1006" spans="1:10" ht="16">
      <c r="A1006" s="79" t="s">
        <v>1060</v>
      </c>
      <c r="B1006" s="79" t="s">
        <v>1039</v>
      </c>
      <c r="C1006" s="80" t="s">
        <v>95</v>
      </c>
      <c r="D1006" s="81" t="s">
        <v>77</v>
      </c>
      <c r="E1006" s="82">
        <v>18714</v>
      </c>
      <c r="F1006" s="82">
        <v>1094</v>
      </c>
      <c r="G1006" s="82">
        <v>1310</v>
      </c>
      <c r="H1006" s="83">
        <v>11.918839049602651</v>
      </c>
      <c r="I1006" s="83">
        <v>5304.0903492187581</v>
      </c>
      <c r="J1006" s="83">
        <v>18.262429609897641</v>
      </c>
    </row>
    <row r="1007" spans="1:10" ht="16">
      <c r="A1007" s="79" t="s">
        <v>787</v>
      </c>
      <c r="B1007" s="79" t="s">
        <v>785</v>
      </c>
      <c r="C1007" s="80" t="s">
        <v>95</v>
      </c>
      <c r="D1007" s="81" t="s">
        <v>99</v>
      </c>
      <c r="E1007" s="82">
        <v>12367</v>
      </c>
      <c r="F1007" s="82">
        <v>374</v>
      </c>
      <c r="G1007" s="82">
        <v>742</v>
      </c>
      <c r="H1007" s="83">
        <v>20.08420973065105</v>
      </c>
      <c r="I1007" s="83">
        <v>4733.8954913796078</v>
      </c>
      <c r="J1007" s="83">
        <v>17.806502407758146</v>
      </c>
    </row>
    <row r="1008" spans="1:10" ht="16">
      <c r="A1008" s="79" t="s">
        <v>1096</v>
      </c>
      <c r="B1008" s="79" t="s">
        <v>1091</v>
      </c>
      <c r="C1008" s="80" t="s">
        <v>95</v>
      </c>
      <c r="D1008" s="81" t="s">
        <v>78</v>
      </c>
      <c r="E1008" s="82">
        <v>12197</v>
      </c>
      <c r="F1008" s="82">
        <v>1271</v>
      </c>
      <c r="G1008" s="82">
        <v>2927</v>
      </c>
      <c r="H1008" s="83">
        <v>45.178054908665878</v>
      </c>
      <c r="I1008" s="83">
        <v>32471.208665319558</v>
      </c>
      <c r="J1008" s="83">
        <v>33.255487022820333</v>
      </c>
    </row>
    <row r="1009" spans="1:10" ht="16">
      <c r="A1009" s="79" t="s">
        <v>1280</v>
      </c>
      <c r="B1009" s="79" t="s">
        <v>1209</v>
      </c>
      <c r="C1009" s="80" t="s">
        <v>95</v>
      </c>
      <c r="D1009" s="81" t="s">
        <v>96</v>
      </c>
      <c r="E1009" s="82">
        <v>30236</v>
      </c>
      <c r="F1009" s="82">
        <v>2129</v>
      </c>
      <c r="G1009" s="82">
        <v>8768</v>
      </c>
      <c r="H1009" s="83">
        <v>46.566377710182309</v>
      </c>
      <c r="I1009" s="83">
        <v>35873.510728111149</v>
      </c>
      <c r="J1009" s="83">
        <v>41.251382903169151</v>
      </c>
    </row>
    <row r="1010" spans="1:10" ht="16">
      <c r="A1010" s="79" t="s">
        <v>1281</v>
      </c>
      <c r="B1010" s="79" t="s">
        <v>1209</v>
      </c>
      <c r="C1010" s="80" t="s">
        <v>95</v>
      </c>
      <c r="D1010" s="81" t="s">
        <v>77</v>
      </c>
      <c r="E1010" s="82">
        <v>14645</v>
      </c>
      <c r="F1010" s="82">
        <v>1024</v>
      </c>
      <c r="G1010" s="82">
        <v>4686</v>
      </c>
      <c r="H1010" s="83">
        <v>34.831281358802137</v>
      </c>
      <c r="I1010" s="83">
        <v>33481.864321466244</v>
      </c>
      <c r="J1010" s="83">
        <v>30.246714869573253</v>
      </c>
    </row>
    <row r="1011" spans="1:10" ht="16">
      <c r="A1011" s="79" t="s">
        <v>155</v>
      </c>
      <c r="B1011" s="79" t="s">
        <v>146</v>
      </c>
      <c r="C1011" s="80" t="s">
        <v>126</v>
      </c>
      <c r="D1011" s="81" t="s">
        <v>78</v>
      </c>
      <c r="E1011" s="82">
        <v>3074</v>
      </c>
      <c r="F1011" s="82">
        <v>521</v>
      </c>
      <c r="G1011" s="82">
        <v>461</v>
      </c>
      <c r="H1011" s="83">
        <v>11.745082113438714</v>
      </c>
      <c r="I1011" s="83">
        <v>4010.1623653197694</v>
      </c>
      <c r="J1011" s="83">
        <v>29.022247371660683</v>
      </c>
    </row>
    <row r="1012" spans="1:10" ht="16">
      <c r="A1012" s="79" t="s">
        <v>217</v>
      </c>
      <c r="B1012" s="79" t="s">
        <v>203</v>
      </c>
      <c r="C1012" s="80" t="s">
        <v>95</v>
      </c>
      <c r="D1012" s="81" t="s">
        <v>103</v>
      </c>
      <c r="E1012" s="82">
        <v>6996</v>
      </c>
      <c r="F1012" s="82">
        <v>542</v>
      </c>
      <c r="G1012" s="82">
        <v>840</v>
      </c>
      <c r="H1012" s="83">
        <v>13.231434816170063</v>
      </c>
      <c r="I1012" s="83">
        <v>2779.4131526016517</v>
      </c>
      <c r="J1012" s="83">
        <v>17.227212118088445</v>
      </c>
    </row>
    <row r="1013" spans="1:10" ht="16">
      <c r="A1013" s="79" t="s">
        <v>411</v>
      </c>
      <c r="B1013" s="79" t="s">
        <v>396</v>
      </c>
      <c r="C1013" s="80" t="s">
        <v>95</v>
      </c>
      <c r="D1013" s="81" t="s">
        <v>96</v>
      </c>
      <c r="E1013" s="82">
        <v>69287</v>
      </c>
      <c r="F1013" s="82">
        <v>2389</v>
      </c>
      <c r="G1013" s="82">
        <v>9007</v>
      </c>
      <c r="H1013" s="83">
        <v>17.512644214002737</v>
      </c>
      <c r="I1013" s="83">
        <v>9211.3401866567492</v>
      </c>
      <c r="J1013" s="83">
        <v>20.419922796501439</v>
      </c>
    </row>
    <row r="1014" spans="1:10" ht="16">
      <c r="A1014" s="79" t="s">
        <v>608</v>
      </c>
      <c r="B1014" s="79" t="s">
        <v>600</v>
      </c>
      <c r="C1014" s="80" t="s">
        <v>126</v>
      </c>
      <c r="D1014" s="81" t="s">
        <v>103</v>
      </c>
      <c r="E1014" s="82">
        <v>14221</v>
      </c>
      <c r="F1014" s="82">
        <v>655</v>
      </c>
      <c r="G1014" s="82">
        <v>2418</v>
      </c>
      <c r="H1014" s="83">
        <v>24.017475362424481</v>
      </c>
      <c r="I1014" s="83">
        <v>12862.023591906102</v>
      </c>
      <c r="J1014" s="83">
        <v>20.182407124586817</v>
      </c>
    </row>
    <row r="1015" spans="1:10" ht="16">
      <c r="A1015" s="79" t="s">
        <v>1282</v>
      </c>
      <c r="B1015" s="79" t="s">
        <v>1209</v>
      </c>
      <c r="C1015" s="80" t="s">
        <v>95</v>
      </c>
      <c r="D1015" s="81" t="s">
        <v>96</v>
      </c>
      <c r="E1015" s="82">
        <v>12060</v>
      </c>
      <c r="F1015" s="82">
        <v>799</v>
      </c>
      <c r="G1015" s="82">
        <v>1568</v>
      </c>
      <c r="H1015" s="83">
        <v>14.683321327527873</v>
      </c>
      <c r="I1015" s="83">
        <v>9104.7093537418659</v>
      </c>
      <c r="J1015" s="83">
        <v>17.167373123033197</v>
      </c>
    </row>
    <row r="1016" spans="1:10" ht="16">
      <c r="A1016" s="79" t="s">
        <v>920</v>
      </c>
      <c r="B1016" s="79" t="s">
        <v>912</v>
      </c>
      <c r="C1016" s="80" t="s">
        <v>95</v>
      </c>
      <c r="D1016" s="81" t="s">
        <v>111</v>
      </c>
      <c r="E1016" s="82">
        <v>47886</v>
      </c>
      <c r="F1016" s="82">
        <v>2705</v>
      </c>
      <c r="G1016" s="82">
        <v>5746</v>
      </c>
      <c r="H1016" s="83">
        <v>30.742681058521217</v>
      </c>
      <c r="I1016" s="83">
        <v>15713.849417645073</v>
      </c>
      <c r="J1016" s="83">
        <v>26.001599951752969</v>
      </c>
    </row>
    <row r="1017" spans="1:10" ht="16">
      <c r="A1017" s="79" t="s">
        <v>1283</v>
      </c>
      <c r="B1017" s="79" t="s">
        <v>1209</v>
      </c>
      <c r="C1017" s="80" t="s">
        <v>95</v>
      </c>
      <c r="D1017" s="81" t="s">
        <v>103</v>
      </c>
      <c r="E1017" s="82">
        <v>23057</v>
      </c>
      <c r="F1017" s="82">
        <v>1671</v>
      </c>
      <c r="G1017" s="82">
        <v>7609</v>
      </c>
      <c r="H1017" s="83">
        <v>37.849835297458789</v>
      </c>
      <c r="I1017" s="83">
        <v>33329.536776820729</v>
      </c>
      <c r="J1017" s="83">
        <v>35.417922225882471</v>
      </c>
    </row>
    <row r="1018" spans="1:10" ht="16">
      <c r="A1018" s="79" t="s">
        <v>992</v>
      </c>
      <c r="B1018" s="79" t="s">
        <v>993</v>
      </c>
      <c r="C1018" s="80" t="s">
        <v>95</v>
      </c>
      <c r="D1018" s="81" t="s">
        <v>103</v>
      </c>
      <c r="E1018" s="82">
        <v>40110</v>
      </c>
      <c r="F1018" s="82">
        <v>2729</v>
      </c>
      <c r="G1018" s="82">
        <v>2407</v>
      </c>
      <c r="H1018" s="83">
        <v>19.115734865638217</v>
      </c>
      <c r="I1018" s="83">
        <v>8412.6473409799946</v>
      </c>
      <c r="J1018" s="83">
        <v>21.82613529921699</v>
      </c>
    </row>
    <row r="1019" spans="1:10" ht="16">
      <c r="A1019" s="79" t="s">
        <v>1061</v>
      </c>
      <c r="B1019" s="79" t="s">
        <v>1039</v>
      </c>
      <c r="C1019" s="80" t="s">
        <v>95</v>
      </c>
      <c r="D1019" s="81" t="s">
        <v>96</v>
      </c>
      <c r="E1019" s="82">
        <v>8595</v>
      </c>
      <c r="F1019" s="82">
        <v>585</v>
      </c>
      <c r="G1019" s="82">
        <v>688</v>
      </c>
      <c r="H1019" s="83">
        <v>15.895319110471558</v>
      </c>
      <c r="I1019" s="83">
        <v>7461.7262750251721</v>
      </c>
      <c r="J1019" s="83">
        <v>23.750797273414186</v>
      </c>
    </row>
    <row r="1020" spans="1:10" ht="16">
      <c r="A1020" s="79" t="s">
        <v>412</v>
      </c>
      <c r="B1020" s="79" t="s">
        <v>396</v>
      </c>
      <c r="C1020" s="80" t="s">
        <v>95</v>
      </c>
      <c r="D1020" s="81" t="s">
        <v>99</v>
      </c>
      <c r="E1020" s="82">
        <v>58678</v>
      </c>
      <c r="F1020" s="82">
        <v>3056</v>
      </c>
      <c r="G1020" s="82">
        <v>9388</v>
      </c>
      <c r="H1020" s="83">
        <v>13.937057746279381</v>
      </c>
      <c r="I1020" s="83">
        <v>8312.5773757281331</v>
      </c>
      <c r="J1020" s="83">
        <v>21.828888483814371</v>
      </c>
    </row>
    <row r="1021" spans="1:10" ht="16">
      <c r="A1021" s="79" t="s">
        <v>795</v>
      </c>
      <c r="B1021" s="79" t="s">
        <v>796</v>
      </c>
      <c r="C1021" s="80" t="s">
        <v>95</v>
      </c>
      <c r="D1021" s="81" t="s">
        <v>79</v>
      </c>
      <c r="E1021" s="82">
        <v>4654</v>
      </c>
      <c r="F1021" s="82">
        <v>249</v>
      </c>
      <c r="G1021" s="82">
        <v>2280</v>
      </c>
      <c r="H1021" s="83">
        <v>36.58634393444737</v>
      </c>
      <c r="I1021" s="83">
        <v>27738.472925995738</v>
      </c>
      <c r="J1021" s="83">
        <v>38.281642821656511</v>
      </c>
    </row>
    <row r="1022" spans="1:10" ht="16">
      <c r="A1022" s="79" t="s">
        <v>799</v>
      </c>
      <c r="B1022" s="79" t="s">
        <v>798</v>
      </c>
      <c r="C1022" s="80" t="s">
        <v>95</v>
      </c>
      <c r="D1022" s="81" t="s">
        <v>76</v>
      </c>
      <c r="E1022" s="82">
        <v>9340</v>
      </c>
      <c r="F1022" s="82">
        <v>649</v>
      </c>
      <c r="G1022" s="82">
        <v>3456</v>
      </c>
      <c r="H1022" s="83">
        <v>32.86992224559836</v>
      </c>
      <c r="I1022" s="83">
        <v>20233.746404933077</v>
      </c>
      <c r="J1022" s="83">
        <v>32.644800963379424</v>
      </c>
    </row>
    <row r="1023" spans="1:10" ht="16">
      <c r="A1023" s="79" t="s">
        <v>1062</v>
      </c>
      <c r="B1023" s="79" t="s">
        <v>1039</v>
      </c>
      <c r="C1023" s="80" t="s">
        <v>95</v>
      </c>
      <c r="D1023" s="81" t="s">
        <v>103</v>
      </c>
      <c r="E1023" s="82">
        <v>35654</v>
      </c>
      <c r="F1023" s="82">
        <v>2764</v>
      </c>
      <c r="G1023" s="82">
        <v>3209</v>
      </c>
      <c r="H1023" s="83">
        <v>12.053113459213815</v>
      </c>
      <c r="I1023" s="83">
        <v>3813.9412269339737</v>
      </c>
      <c r="J1023" s="83">
        <v>20.594130785125287</v>
      </c>
    </row>
    <row r="1024" spans="1:10" ht="16">
      <c r="A1024" s="79" t="s">
        <v>813</v>
      </c>
      <c r="B1024" s="79" t="s">
        <v>801</v>
      </c>
      <c r="C1024" s="80" t="s">
        <v>95</v>
      </c>
      <c r="D1024" s="81" t="s">
        <v>79</v>
      </c>
      <c r="E1024" s="82">
        <v>15140</v>
      </c>
      <c r="F1024" s="82">
        <v>1893</v>
      </c>
      <c r="G1024" s="82">
        <v>3028</v>
      </c>
      <c r="H1024" s="83">
        <v>30.734481703752184</v>
      </c>
      <c r="I1024" s="83">
        <v>17285.978993573754</v>
      </c>
      <c r="J1024" s="83">
        <v>41.655551574343193</v>
      </c>
    </row>
    <row r="1025" spans="1:10" ht="16">
      <c r="A1025" s="79" t="s">
        <v>814</v>
      </c>
      <c r="B1025" s="79" t="s">
        <v>815</v>
      </c>
      <c r="C1025" s="80" t="s">
        <v>95</v>
      </c>
      <c r="D1025" s="81" t="s">
        <v>99</v>
      </c>
      <c r="E1025" s="82">
        <v>11772</v>
      </c>
      <c r="F1025" s="82">
        <v>906</v>
      </c>
      <c r="G1025" s="82">
        <v>1059</v>
      </c>
      <c r="H1025" s="83">
        <v>14.21933813280925</v>
      </c>
      <c r="I1025" s="83">
        <v>6609.3646280108323</v>
      </c>
      <c r="J1025" s="83">
        <v>17.00087549638971</v>
      </c>
    </row>
    <row r="1026" spans="1:10" ht="16">
      <c r="A1026" s="79" t="s">
        <v>1284</v>
      </c>
      <c r="B1026" s="79" t="s">
        <v>1209</v>
      </c>
      <c r="C1026" s="80" t="s">
        <v>95</v>
      </c>
      <c r="D1026" s="81" t="s">
        <v>99</v>
      </c>
      <c r="E1026" s="82">
        <v>37038</v>
      </c>
      <c r="F1026" s="82">
        <v>2572</v>
      </c>
      <c r="G1026" s="82">
        <v>14815</v>
      </c>
      <c r="H1026" s="83">
        <v>64.354684364993076</v>
      </c>
      <c r="I1026" s="83">
        <v>54431.717277929005</v>
      </c>
      <c r="J1026" s="83">
        <v>57.448797550994797</v>
      </c>
    </row>
    <row r="1027" spans="1:10" ht="16">
      <c r="A1027" s="79" t="s">
        <v>218</v>
      </c>
      <c r="B1027" s="79" t="s">
        <v>203</v>
      </c>
      <c r="C1027" s="80" t="s">
        <v>95</v>
      </c>
      <c r="D1027" s="81" t="s">
        <v>75</v>
      </c>
      <c r="E1027" s="82">
        <v>29311</v>
      </c>
      <c r="F1027" s="82">
        <v>997</v>
      </c>
      <c r="G1027" s="82">
        <v>4983</v>
      </c>
      <c r="H1027" s="83">
        <v>31.546695263053756</v>
      </c>
      <c r="I1027" s="83">
        <v>21561.296281841118</v>
      </c>
      <c r="J1027" s="83">
        <v>28.418844359098816</v>
      </c>
    </row>
    <row r="1028" spans="1:10" ht="16">
      <c r="A1028" s="79" t="s">
        <v>457</v>
      </c>
      <c r="B1028" s="79" t="s">
        <v>421</v>
      </c>
      <c r="C1028" s="80" t="s">
        <v>95</v>
      </c>
      <c r="D1028" s="81" t="s">
        <v>101</v>
      </c>
      <c r="E1028" s="82">
        <v>10730</v>
      </c>
      <c r="F1028" s="82">
        <v>134</v>
      </c>
      <c r="G1028" s="82">
        <v>1931</v>
      </c>
      <c r="H1028" s="83">
        <v>50.554430145795202</v>
      </c>
      <c r="I1028" s="83">
        <v>39155.499946508236</v>
      </c>
      <c r="J1028" s="83">
        <v>42.812984229436644</v>
      </c>
    </row>
    <row r="1029" spans="1:10" ht="16">
      <c r="A1029" s="79" t="s">
        <v>1155</v>
      </c>
      <c r="B1029" s="79" t="s">
        <v>1154</v>
      </c>
      <c r="C1029" s="80" t="s">
        <v>95</v>
      </c>
      <c r="D1029" s="81" t="s">
        <v>96</v>
      </c>
      <c r="E1029" s="82">
        <v>18361</v>
      </c>
      <c r="F1029" s="82">
        <v>1360</v>
      </c>
      <c r="G1029" s="82">
        <v>184</v>
      </c>
      <c r="H1029" s="83">
        <v>8.4808431057604672</v>
      </c>
      <c r="I1029" s="83">
        <v>1904.7299515906916</v>
      </c>
      <c r="J1029" s="83">
        <v>19.6348153164741</v>
      </c>
    </row>
    <row r="1030" spans="1:10" ht="16">
      <c r="A1030" s="79" t="s">
        <v>458</v>
      </c>
      <c r="B1030" s="79" t="s">
        <v>421</v>
      </c>
      <c r="C1030" s="80" t="s">
        <v>95</v>
      </c>
      <c r="D1030" s="81" t="s">
        <v>101</v>
      </c>
      <c r="E1030" s="82">
        <v>25541</v>
      </c>
      <c r="F1030" s="82">
        <v>736</v>
      </c>
      <c r="G1030" s="82">
        <v>3065</v>
      </c>
      <c r="H1030" s="83">
        <v>29.576532497118222</v>
      </c>
      <c r="I1030" s="83">
        <v>21363.612338921263</v>
      </c>
      <c r="J1030" s="83">
        <v>34.552551916380004</v>
      </c>
    </row>
    <row r="1031" spans="1:10" ht="16">
      <c r="A1031" s="79" t="s">
        <v>994</v>
      </c>
      <c r="B1031" s="79" t="s">
        <v>993</v>
      </c>
      <c r="C1031" s="80" t="s">
        <v>95</v>
      </c>
      <c r="D1031" s="81" t="s">
        <v>76</v>
      </c>
      <c r="E1031" s="82">
        <v>12124</v>
      </c>
      <c r="F1031" s="82">
        <v>891</v>
      </c>
      <c r="G1031" s="82">
        <v>606</v>
      </c>
      <c r="H1031" s="83">
        <v>15.976971847824279</v>
      </c>
      <c r="I1031" s="83">
        <v>4908.0610944085702</v>
      </c>
      <c r="J1031" s="83">
        <v>17.903183606149817</v>
      </c>
    </row>
    <row r="1032" spans="1:10" ht="16">
      <c r="A1032" s="79" t="s">
        <v>835</v>
      </c>
      <c r="B1032" s="79" t="s">
        <v>833</v>
      </c>
      <c r="C1032" s="80" t="s">
        <v>95</v>
      </c>
      <c r="D1032" s="81" t="s">
        <v>101</v>
      </c>
      <c r="E1032" s="82">
        <v>102000</v>
      </c>
      <c r="F1032" s="82">
        <v>1553</v>
      </c>
      <c r="G1032" s="82">
        <v>1020</v>
      </c>
      <c r="H1032" s="83">
        <v>8.7882801946446918</v>
      </c>
      <c r="I1032" s="83">
        <v>1952.0604138406447</v>
      </c>
      <c r="J1032" s="83">
        <v>18.855749135335923</v>
      </c>
    </row>
    <row r="1033" spans="1:10" ht="16">
      <c r="A1033" s="79" t="s">
        <v>1428</v>
      </c>
      <c r="B1033" s="79" t="s">
        <v>1307</v>
      </c>
      <c r="C1033" s="80" t="s">
        <v>126</v>
      </c>
      <c r="D1033" s="81" t="s">
        <v>96</v>
      </c>
      <c r="E1033" s="82">
        <v>11667</v>
      </c>
      <c r="F1033" s="82">
        <v>645</v>
      </c>
      <c r="G1033" s="82">
        <v>933</v>
      </c>
      <c r="H1033" s="83">
        <v>17.898032242848515</v>
      </c>
      <c r="I1033" s="83">
        <v>10107.219499345023</v>
      </c>
      <c r="J1033" s="83">
        <v>23.424151956767854</v>
      </c>
    </row>
    <row r="1034" spans="1:10" ht="16">
      <c r="A1034" s="79" t="s">
        <v>1429</v>
      </c>
      <c r="B1034" s="79" t="s">
        <v>1307</v>
      </c>
      <c r="C1034" s="80" t="s">
        <v>126</v>
      </c>
      <c r="D1034" s="81" t="s">
        <v>99</v>
      </c>
      <c r="E1034" s="82">
        <v>33108</v>
      </c>
      <c r="F1034" s="82">
        <v>1994</v>
      </c>
      <c r="G1034" s="82">
        <v>3642</v>
      </c>
      <c r="H1034" s="83">
        <v>59.253433490679605</v>
      </c>
      <c r="I1034" s="83">
        <v>53015.032769265687</v>
      </c>
      <c r="J1034" s="83">
        <v>47.022856891684903</v>
      </c>
    </row>
    <row r="1035" spans="1:10" ht="16">
      <c r="A1035" s="79" t="s">
        <v>1430</v>
      </c>
      <c r="B1035" s="79" t="s">
        <v>1307</v>
      </c>
      <c r="C1035" s="80" t="s">
        <v>126</v>
      </c>
      <c r="D1035" s="81" t="s">
        <v>149</v>
      </c>
      <c r="E1035" s="82">
        <v>61204</v>
      </c>
      <c r="F1035" s="82">
        <v>4708</v>
      </c>
      <c r="G1035" s="82">
        <v>9181</v>
      </c>
      <c r="H1035" s="83">
        <v>31.562744188124132</v>
      </c>
      <c r="I1035" s="83">
        <v>27105.701637865364</v>
      </c>
      <c r="J1035" s="83">
        <v>38.664090566096611</v>
      </c>
    </row>
    <row r="1036" spans="1:10" ht="16">
      <c r="A1036" s="79" t="s">
        <v>589</v>
      </c>
      <c r="B1036" s="79" t="s">
        <v>556</v>
      </c>
      <c r="C1036" s="80" t="s">
        <v>95</v>
      </c>
      <c r="D1036" s="81" t="s">
        <v>103</v>
      </c>
      <c r="E1036" s="82">
        <v>12942</v>
      </c>
      <c r="F1036" s="82">
        <v>384</v>
      </c>
      <c r="G1036" s="82">
        <v>259</v>
      </c>
      <c r="H1036" s="83">
        <v>12.306834216638842</v>
      </c>
      <c r="I1036" s="83">
        <v>3841.0946032715347</v>
      </c>
      <c r="J1036" s="83">
        <v>28.807466539625906</v>
      </c>
    </row>
    <row r="1037" spans="1:10" ht="16">
      <c r="A1037" s="79" t="s">
        <v>131</v>
      </c>
      <c r="B1037" s="79" t="s">
        <v>108</v>
      </c>
      <c r="C1037" s="80" t="s">
        <v>95</v>
      </c>
      <c r="D1037" s="81" t="s">
        <v>96</v>
      </c>
      <c r="E1037" s="82">
        <v>47385</v>
      </c>
      <c r="F1037" s="82">
        <v>1802</v>
      </c>
      <c r="G1037" s="82">
        <v>21797</v>
      </c>
      <c r="H1037" s="83">
        <v>75.02926865940465</v>
      </c>
      <c r="I1037" s="83">
        <v>66560.961491521797</v>
      </c>
      <c r="J1037" s="83">
        <v>66.23099758739427</v>
      </c>
    </row>
    <row r="1038" spans="1:10" ht="16">
      <c r="A1038" s="79" t="s">
        <v>1431</v>
      </c>
      <c r="B1038" s="79" t="s">
        <v>1307</v>
      </c>
      <c r="C1038" s="80" t="s">
        <v>95</v>
      </c>
      <c r="D1038" s="81" t="s">
        <v>103</v>
      </c>
      <c r="E1038" s="82">
        <v>15971</v>
      </c>
      <c r="F1038" s="82">
        <v>2535</v>
      </c>
      <c r="G1038" s="82">
        <v>2555</v>
      </c>
      <c r="H1038" s="83">
        <v>25.57615392421798</v>
      </c>
      <c r="I1038" s="83">
        <v>20995.437864541404</v>
      </c>
      <c r="J1038" s="83">
        <v>44.68577222995529</v>
      </c>
    </row>
    <row r="1039" spans="1:10" ht="16">
      <c r="A1039" s="79" t="s">
        <v>1432</v>
      </c>
      <c r="B1039" s="79" t="s">
        <v>1307</v>
      </c>
      <c r="C1039" s="80" t="s">
        <v>126</v>
      </c>
      <c r="D1039" s="81" t="s">
        <v>75</v>
      </c>
      <c r="E1039" s="82">
        <v>42982</v>
      </c>
      <c r="F1039" s="82">
        <v>5179</v>
      </c>
      <c r="G1039" s="82">
        <v>7307</v>
      </c>
      <c r="H1039" s="83">
        <v>86.869523145434627</v>
      </c>
      <c r="I1039" s="83">
        <v>81794.649455962164</v>
      </c>
      <c r="J1039" s="83">
        <v>79.994156419389043</v>
      </c>
    </row>
    <row r="1040" spans="1:10" ht="16">
      <c r="A1040" s="79" t="s">
        <v>636</v>
      </c>
      <c r="B1040" s="79" t="s">
        <v>617</v>
      </c>
      <c r="C1040" s="80" t="s">
        <v>95</v>
      </c>
      <c r="D1040" s="81" t="s">
        <v>103</v>
      </c>
      <c r="E1040" s="82">
        <v>45451</v>
      </c>
      <c r="F1040" s="82">
        <v>2124</v>
      </c>
      <c r="G1040" s="82">
        <v>2727</v>
      </c>
      <c r="H1040" s="83">
        <v>29.370905296582109</v>
      </c>
      <c r="I1040" s="83">
        <v>20918.985500065533</v>
      </c>
      <c r="J1040" s="83">
        <v>36.664671653095695</v>
      </c>
    </row>
    <row r="1041" spans="1:10" ht="16">
      <c r="A1041" s="79" t="s">
        <v>637</v>
      </c>
      <c r="B1041" s="79" t="s">
        <v>617</v>
      </c>
      <c r="C1041" s="80" t="s">
        <v>95</v>
      </c>
      <c r="D1041" s="81" t="s">
        <v>79</v>
      </c>
      <c r="E1041" s="82">
        <v>26509</v>
      </c>
      <c r="F1041" s="82">
        <v>917</v>
      </c>
      <c r="G1041" s="82">
        <v>1591</v>
      </c>
      <c r="H1041" s="83">
        <v>21.037803504072876</v>
      </c>
      <c r="I1041" s="83">
        <v>16355.496755677179</v>
      </c>
      <c r="J1041" s="83">
        <v>24.34390115699253</v>
      </c>
    </row>
    <row r="1042" spans="1:10" ht="16">
      <c r="A1042" s="79" t="s">
        <v>921</v>
      </c>
      <c r="B1042" s="79" t="s">
        <v>912</v>
      </c>
      <c r="C1042" s="80" t="s">
        <v>95</v>
      </c>
      <c r="D1042" s="81" t="s">
        <v>75</v>
      </c>
      <c r="E1042" s="82">
        <v>18066</v>
      </c>
      <c r="F1042" s="82">
        <v>1009</v>
      </c>
      <c r="G1042" s="82">
        <v>1807</v>
      </c>
      <c r="H1042" s="83">
        <v>19.925439258291842</v>
      </c>
      <c r="I1042" s="83">
        <v>6716.7058670431852</v>
      </c>
      <c r="J1042" s="83">
        <v>22.641687985487835</v>
      </c>
    </row>
    <row r="1043" spans="1:10" ht="16">
      <c r="A1043" s="79" t="s">
        <v>1433</v>
      </c>
      <c r="B1043" s="79" t="s">
        <v>1307</v>
      </c>
      <c r="C1043" s="80" t="s">
        <v>95</v>
      </c>
      <c r="D1043" s="81" t="s">
        <v>149</v>
      </c>
      <c r="E1043" s="82">
        <v>61120</v>
      </c>
      <c r="F1043" s="82">
        <v>4929</v>
      </c>
      <c r="G1043" s="82">
        <v>6723</v>
      </c>
      <c r="H1043" s="83">
        <v>59.665063594529819</v>
      </c>
      <c r="I1043" s="83">
        <v>49076.791706378019</v>
      </c>
      <c r="J1043" s="83">
        <v>56.096514667919784</v>
      </c>
    </row>
    <row r="1044" spans="1:10" ht="16">
      <c r="A1044" s="79" t="s">
        <v>1434</v>
      </c>
      <c r="B1044" s="79" t="s">
        <v>1307</v>
      </c>
      <c r="C1044" s="80" t="s">
        <v>95</v>
      </c>
      <c r="D1044" s="81" t="s">
        <v>77</v>
      </c>
      <c r="E1044" s="82">
        <v>28513</v>
      </c>
      <c r="F1044" s="82">
        <v>2144</v>
      </c>
      <c r="G1044" s="82">
        <v>1711</v>
      </c>
      <c r="H1044" s="83">
        <v>24.714550567537071</v>
      </c>
      <c r="I1044" s="83">
        <v>15951.25097186387</v>
      </c>
      <c r="J1044" s="83">
        <v>35.20078771026364</v>
      </c>
    </row>
    <row r="1045" spans="1:10" ht="16">
      <c r="A1045" s="79" t="s">
        <v>1435</v>
      </c>
      <c r="B1045" s="79" t="s">
        <v>1307</v>
      </c>
      <c r="C1045" s="80" t="s">
        <v>95</v>
      </c>
      <c r="D1045" s="81" t="s">
        <v>101</v>
      </c>
      <c r="E1045" s="82">
        <v>7019</v>
      </c>
      <c r="F1045" s="82">
        <v>439</v>
      </c>
      <c r="G1045" s="82">
        <v>421</v>
      </c>
      <c r="H1045" s="83">
        <v>24.884000289430009</v>
      </c>
      <c r="I1045" s="83">
        <v>17410.925691822558</v>
      </c>
      <c r="J1045" s="83">
        <v>30.975045916633366</v>
      </c>
    </row>
    <row r="1046" spans="1:10" ht="16">
      <c r="A1046" s="79" t="s">
        <v>758</v>
      </c>
      <c r="B1046" s="79" t="s">
        <v>661</v>
      </c>
      <c r="C1046" s="80" t="s">
        <v>126</v>
      </c>
      <c r="D1046" s="81" t="s">
        <v>99</v>
      </c>
      <c r="E1046" s="82">
        <v>5488</v>
      </c>
      <c r="F1046" s="82">
        <v>695</v>
      </c>
      <c r="G1046" s="82">
        <v>165</v>
      </c>
      <c r="H1046" s="83">
        <v>10.403261574256829</v>
      </c>
      <c r="I1046" s="83">
        <v>2106.1069195572909</v>
      </c>
      <c r="J1046" s="83">
        <v>21.066848395077976</v>
      </c>
    </row>
    <row r="1047" spans="1:10" ht="16">
      <c r="A1047" s="79" t="s">
        <v>638</v>
      </c>
      <c r="B1047" s="79" t="s">
        <v>617</v>
      </c>
      <c r="C1047" s="80" t="s">
        <v>95</v>
      </c>
      <c r="D1047" s="81" t="s">
        <v>78</v>
      </c>
      <c r="E1047" s="82">
        <v>17432</v>
      </c>
      <c r="F1047" s="82">
        <v>703</v>
      </c>
      <c r="G1047" s="82">
        <v>1046</v>
      </c>
      <c r="H1047" s="83">
        <v>19.701786827618527</v>
      </c>
      <c r="I1047" s="83">
        <v>13692.832733365782</v>
      </c>
      <c r="J1047" s="83">
        <v>32.539173480237949</v>
      </c>
    </row>
    <row r="1048" spans="1:10" ht="16">
      <c r="A1048" s="79" t="s">
        <v>1156</v>
      </c>
      <c r="B1048" s="79" t="s">
        <v>1154</v>
      </c>
      <c r="C1048" s="80" t="s">
        <v>95</v>
      </c>
      <c r="D1048" s="81" t="s">
        <v>99</v>
      </c>
      <c r="E1048" s="82">
        <v>19973</v>
      </c>
      <c r="F1048" s="82">
        <v>2059</v>
      </c>
      <c r="G1048" s="82">
        <v>200</v>
      </c>
      <c r="H1048" s="83">
        <v>9.6138334699248151</v>
      </c>
      <c r="I1048" s="83">
        <v>1121.6868972945226</v>
      </c>
      <c r="J1048" s="83">
        <v>20.916551367841347</v>
      </c>
    </row>
    <row r="1049" spans="1:10" ht="16">
      <c r="A1049" s="79" t="s">
        <v>830</v>
      </c>
      <c r="B1049" s="79" t="s">
        <v>831</v>
      </c>
      <c r="C1049" s="80" t="s">
        <v>95</v>
      </c>
      <c r="D1049" s="81" t="s">
        <v>149</v>
      </c>
      <c r="E1049" s="82">
        <v>19171</v>
      </c>
      <c r="F1049" s="82">
        <v>702</v>
      </c>
      <c r="G1049" s="82">
        <v>383</v>
      </c>
      <c r="H1049" s="83">
        <v>10.664669498702306</v>
      </c>
      <c r="I1049" s="83">
        <v>1476.7714816831326</v>
      </c>
      <c r="J1049" s="83">
        <v>13.422079299613893</v>
      </c>
    </row>
    <row r="1050" spans="1:10" ht="16">
      <c r="A1050" s="79" t="s">
        <v>219</v>
      </c>
      <c r="B1050" s="79" t="s">
        <v>203</v>
      </c>
      <c r="C1050" s="80" t="s">
        <v>126</v>
      </c>
      <c r="D1050" s="81" t="s">
        <v>111</v>
      </c>
      <c r="E1050" s="82">
        <v>36794</v>
      </c>
      <c r="F1050" s="82">
        <v>1821</v>
      </c>
      <c r="G1050" s="82">
        <v>8095</v>
      </c>
      <c r="H1050" s="83">
        <v>49.926812749503341</v>
      </c>
      <c r="I1050" s="83">
        <v>43003.318697533898</v>
      </c>
      <c r="J1050" s="83">
        <v>48.752704464958803</v>
      </c>
    </row>
    <row r="1051" spans="1:10" ht="16">
      <c r="A1051" s="79" t="s">
        <v>545</v>
      </c>
      <c r="B1051" s="79" t="s">
        <v>493</v>
      </c>
      <c r="C1051" s="80" t="s">
        <v>126</v>
      </c>
      <c r="D1051" s="81" t="s">
        <v>79</v>
      </c>
      <c r="E1051" s="82">
        <v>7874</v>
      </c>
      <c r="F1051" s="82">
        <v>435</v>
      </c>
      <c r="G1051" s="82">
        <v>176</v>
      </c>
      <c r="H1051" s="83">
        <v>10.911584151622252</v>
      </c>
      <c r="I1051" s="83">
        <v>1770.393351782029</v>
      </c>
      <c r="J1051" s="83">
        <v>31.729750182631829</v>
      </c>
    </row>
    <row r="1052" spans="1:10" ht="16">
      <c r="A1052" s="79" t="s">
        <v>1063</v>
      </c>
      <c r="B1052" s="79" t="s">
        <v>1039</v>
      </c>
      <c r="C1052" s="80" t="s">
        <v>95</v>
      </c>
      <c r="D1052" s="81" t="s">
        <v>76</v>
      </c>
      <c r="E1052" s="82">
        <v>27662</v>
      </c>
      <c r="F1052" s="82">
        <v>1697</v>
      </c>
      <c r="G1052" s="82">
        <v>1936</v>
      </c>
      <c r="H1052" s="83">
        <v>13.986879377719223</v>
      </c>
      <c r="I1052" s="83">
        <v>4511.4203801575959</v>
      </c>
      <c r="J1052" s="83">
        <v>22.570089827107161</v>
      </c>
    </row>
    <row r="1053" spans="1:10" ht="16">
      <c r="A1053" s="79" t="s">
        <v>546</v>
      </c>
      <c r="B1053" s="79" t="s">
        <v>493</v>
      </c>
      <c r="C1053" s="80" t="s">
        <v>126</v>
      </c>
      <c r="D1053" s="81" t="s">
        <v>79</v>
      </c>
      <c r="E1053" s="82">
        <v>7810</v>
      </c>
      <c r="F1053" s="82">
        <v>367</v>
      </c>
      <c r="G1053" s="82">
        <v>781</v>
      </c>
      <c r="H1053" s="83">
        <v>8.6052422880475756</v>
      </c>
      <c r="I1053" s="83">
        <v>694.25550960570376</v>
      </c>
      <c r="J1053" s="83">
        <v>32.077165282657518</v>
      </c>
    </row>
    <row r="1054" spans="1:10" ht="16">
      <c r="A1054" s="79" t="s">
        <v>780</v>
      </c>
      <c r="B1054" s="79" t="s">
        <v>781</v>
      </c>
      <c r="C1054" s="80" t="s">
        <v>126</v>
      </c>
      <c r="D1054" s="81" t="s">
        <v>76</v>
      </c>
      <c r="E1054" s="82">
        <v>69456</v>
      </c>
      <c r="F1054" s="82">
        <v>1767</v>
      </c>
      <c r="G1054" s="82">
        <v>695</v>
      </c>
      <c r="H1054" s="83">
        <v>10.33347579918744</v>
      </c>
      <c r="I1054" s="83">
        <v>4933.5210915079897</v>
      </c>
      <c r="J1054" s="83">
        <v>15.341349917768879</v>
      </c>
    </row>
    <row r="1055" spans="1:10" ht="16">
      <c r="A1055" s="79" t="s">
        <v>413</v>
      </c>
      <c r="B1055" s="79" t="s">
        <v>396</v>
      </c>
      <c r="C1055" s="80" t="s">
        <v>95</v>
      </c>
      <c r="D1055" s="81" t="s">
        <v>111</v>
      </c>
      <c r="E1055" s="82">
        <v>37078</v>
      </c>
      <c r="F1055" s="82">
        <v>1501</v>
      </c>
      <c r="G1055" s="82">
        <v>4079</v>
      </c>
      <c r="H1055" s="83">
        <v>21.780363646735175</v>
      </c>
      <c r="I1055" s="83">
        <v>12076.492727707016</v>
      </c>
      <c r="J1055" s="83">
        <v>20.100941996443474</v>
      </c>
    </row>
    <row r="1056" spans="1:10" ht="16">
      <c r="A1056" s="79" t="s">
        <v>639</v>
      </c>
      <c r="B1056" s="79" t="s">
        <v>617</v>
      </c>
      <c r="C1056" s="80" t="s">
        <v>95</v>
      </c>
      <c r="D1056" s="81" t="s">
        <v>111</v>
      </c>
      <c r="E1056" s="82">
        <v>49604</v>
      </c>
      <c r="F1056" s="82">
        <v>2531</v>
      </c>
      <c r="G1056" s="82">
        <v>992</v>
      </c>
      <c r="H1056" s="83">
        <v>24.266722435856749</v>
      </c>
      <c r="I1056" s="83">
        <v>16861.186309438854</v>
      </c>
      <c r="J1056" s="83">
        <v>35.798253970009291</v>
      </c>
    </row>
    <row r="1057" spans="1:10" ht="16">
      <c r="A1057" s="79" t="s">
        <v>1064</v>
      </c>
      <c r="B1057" s="79" t="s">
        <v>1039</v>
      </c>
      <c r="C1057" s="80" t="s">
        <v>95</v>
      </c>
      <c r="D1057" s="81" t="s">
        <v>77</v>
      </c>
      <c r="E1057" s="82">
        <v>10833</v>
      </c>
      <c r="F1057" s="82">
        <v>833</v>
      </c>
      <c r="G1057" s="82">
        <v>2383</v>
      </c>
      <c r="H1057" s="83">
        <v>28.700396112981451</v>
      </c>
      <c r="I1057" s="83">
        <v>22446.003988479351</v>
      </c>
      <c r="J1057" s="83">
        <v>30.848843227722973</v>
      </c>
    </row>
    <row r="1058" spans="1:10" ht="16">
      <c r="A1058" s="79" t="s">
        <v>1436</v>
      </c>
      <c r="B1058" s="79" t="s">
        <v>1307</v>
      </c>
      <c r="C1058" s="80" t="s">
        <v>95</v>
      </c>
      <c r="D1058" s="81" t="s">
        <v>78</v>
      </c>
      <c r="E1058" s="82">
        <v>3041</v>
      </c>
      <c r="F1058" s="82">
        <v>1322</v>
      </c>
      <c r="G1058" s="82">
        <v>213</v>
      </c>
      <c r="H1058" s="83">
        <v>12.593080491482679</v>
      </c>
      <c r="I1058" s="83">
        <v>6985.7482266565003</v>
      </c>
      <c r="J1058" s="83">
        <v>36.562382367071088</v>
      </c>
    </row>
    <row r="1059" spans="1:10" ht="16">
      <c r="A1059" s="79" t="s">
        <v>1437</v>
      </c>
      <c r="B1059" s="79" t="s">
        <v>1307</v>
      </c>
      <c r="C1059" s="80" t="s">
        <v>126</v>
      </c>
      <c r="D1059" s="81" t="s">
        <v>77</v>
      </c>
      <c r="E1059" s="82">
        <v>24610</v>
      </c>
      <c r="F1059" s="82">
        <v>1431</v>
      </c>
      <c r="G1059" s="82">
        <v>2707</v>
      </c>
      <c r="H1059" s="83">
        <v>28.604014458422569</v>
      </c>
      <c r="I1059" s="83">
        <v>17701.609076779689</v>
      </c>
      <c r="J1059" s="83">
        <v>30.508173289966273</v>
      </c>
    </row>
    <row r="1060" spans="1:10" ht="16">
      <c r="A1060" s="79" t="s">
        <v>1438</v>
      </c>
      <c r="B1060" s="79" t="s">
        <v>1307</v>
      </c>
      <c r="C1060" s="80" t="s">
        <v>95</v>
      </c>
      <c r="D1060" s="81" t="s">
        <v>99</v>
      </c>
      <c r="E1060" s="82">
        <v>24982</v>
      </c>
      <c r="F1060" s="82">
        <v>1101</v>
      </c>
      <c r="G1060" s="82">
        <v>1249</v>
      </c>
      <c r="H1060" s="83">
        <v>22.901386368182397</v>
      </c>
      <c r="I1060" s="83">
        <v>9369.2325086320889</v>
      </c>
      <c r="J1060" s="83">
        <v>28.757816514218412</v>
      </c>
    </row>
    <row r="1061" spans="1:10" ht="16">
      <c r="A1061" s="79" t="s">
        <v>1439</v>
      </c>
      <c r="B1061" s="79" t="s">
        <v>1307</v>
      </c>
      <c r="C1061" s="80" t="s">
        <v>95</v>
      </c>
      <c r="D1061" s="81" t="s">
        <v>111</v>
      </c>
      <c r="E1061" s="82">
        <v>19382</v>
      </c>
      <c r="F1061" s="82">
        <v>1133</v>
      </c>
      <c r="G1061" s="82">
        <v>969</v>
      </c>
      <c r="H1061" s="83">
        <v>32.40890284189728</v>
      </c>
      <c r="I1061" s="83">
        <v>26631.633654676054</v>
      </c>
      <c r="J1061" s="83">
        <v>29.35424840733414</v>
      </c>
    </row>
    <row r="1062" spans="1:10" ht="16">
      <c r="A1062" s="79" t="s">
        <v>132</v>
      </c>
      <c r="B1062" s="79" t="s">
        <v>108</v>
      </c>
      <c r="C1062" s="80" t="s">
        <v>95</v>
      </c>
      <c r="D1062" s="81" t="s">
        <v>96</v>
      </c>
      <c r="E1062" s="82">
        <v>22100</v>
      </c>
      <c r="F1062" s="82">
        <v>1068</v>
      </c>
      <c r="G1062" s="82">
        <v>3978</v>
      </c>
      <c r="H1062" s="83">
        <v>28.621145282518142</v>
      </c>
      <c r="I1062" s="83">
        <v>21702.447522681312</v>
      </c>
      <c r="J1062" s="83">
        <v>25.469185964867645</v>
      </c>
    </row>
    <row r="1063" spans="1:10" ht="16">
      <c r="A1063" s="79" t="s">
        <v>865</v>
      </c>
      <c r="B1063" s="79" t="s">
        <v>862</v>
      </c>
      <c r="C1063" s="80" t="s">
        <v>95</v>
      </c>
      <c r="D1063" s="81" t="s">
        <v>111</v>
      </c>
      <c r="E1063" s="82">
        <v>34227</v>
      </c>
      <c r="F1063" s="82">
        <v>2593</v>
      </c>
      <c r="G1063" s="82">
        <v>342</v>
      </c>
      <c r="H1063" s="83">
        <v>9.2543864811372387</v>
      </c>
      <c r="I1063" s="83">
        <v>1601.7282063546031</v>
      </c>
      <c r="J1063" s="83">
        <v>23.639353674618935</v>
      </c>
    </row>
    <row r="1064" spans="1:10" ht="16">
      <c r="A1064" s="79" t="s">
        <v>1440</v>
      </c>
      <c r="B1064" s="79" t="s">
        <v>1307</v>
      </c>
      <c r="C1064" s="80" t="s">
        <v>95</v>
      </c>
      <c r="D1064" s="81" t="s">
        <v>77</v>
      </c>
      <c r="E1064" s="82">
        <v>35419</v>
      </c>
      <c r="F1064" s="82">
        <v>3768</v>
      </c>
      <c r="G1064" s="82">
        <v>2834</v>
      </c>
      <c r="H1064" s="83">
        <v>63.941768435361787</v>
      </c>
      <c r="I1064" s="83">
        <v>61280.042767064857</v>
      </c>
      <c r="J1064" s="83">
        <v>60.480073710897742</v>
      </c>
    </row>
    <row r="1065" spans="1:10" ht="16">
      <c r="A1065" s="79" t="s">
        <v>1441</v>
      </c>
      <c r="B1065" s="79" t="s">
        <v>1307</v>
      </c>
      <c r="C1065" s="80" t="s">
        <v>95</v>
      </c>
      <c r="D1065" s="81" t="s">
        <v>77</v>
      </c>
      <c r="E1065" s="82">
        <v>18999</v>
      </c>
      <c r="F1065" s="82">
        <v>856</v>
      </c>
      <c r="G1065" s="82">
        <v>760</v>
      </c>
      <c r="H1065" s="83">
        <v>19.505645723354395</v>
      </c>
      <c r="I1065" s="83">
        <v>9669.3600461133246</v>
      </c>
      <c r="J1065" s="83">
        <v>21.103131670656158</v>
      </c>
    </row>
    <row r="1066" spans="1:10" ht="16">
      <c r="A1066" s="79" t="s">
        <v>1442</v>
      </c>
      <c r="B1066" s="79" t="s">
        <v>1307</v>
      </c>
      <c r="C1066" s="80" t="s">
        <v>95</v>
      </c>
      <c r="D1066" s="81" t="s">
        <v>75</v>
      </c>
      <c r="E1066" s="82">
        <v>14791</v>
      </c>
      <c r="F1066" s="82">
        <v>755</v>
      </c>
      <c r="G1066" s="82">
        <v>296</v>
      </c>
      <c r="H1066" s="83">
        <v>7.7054792362314188</v>
      </c>
      <c r="I1066" s="83">
        <v>1805.3258716725302</v>
      </c>
      <c r="J1066" s="83">
        <v>16.263953563719785</v>
      </c>
    </row>
    <row r="1067" spans="1:10" ht="16">
      <c r="A1067" s="79" t="s">
        <v>1443</v>
      </c>
      <c r="B1067" s="79" t="s">
        <v>1307</v>
      </c>
      <c r="C1067" s="80" t="s">
        <v>95</v>
      </c>
      <c r="D1067" s="81" t="s">
        <v>77</v>
      </c>
      <c r="E1067" s="82">
        <v>12132</v>
      </c>
      <c r="F1067" s="82">
        <v>685</v>
      </c>
      <c r="G1067" s="82">
        <v>243</v>
      </c>
      <c r="H1067" s="83">
        <v>11.324060658394711</v>
      </c>
      <c r="I1067" s="83">
        <v>2720.2378997247656</v>
      </c>
      <c r="J1067" s="83">
        <v>25.733862573263838</v>
      </c>
    </row>
    <row r="1068" spans="1:10" ht="16">
      <c r="A1068" s="79" t="s">
        <v>220</v>
      </c>
      <c r="B1068" s="79" t="s">
        <v>203</v>
      </c>
      <c r="C1068" s="80" t="s">
        <v>95</v>
      </c>
      <c r="D1068" s="81" t="s">
        <v>101</v>
      </c>
      <c r="E1068" s="82">
        <v>2733</v>
      </c>
      <c r="F1068" s="82">
        <v>195</v>
      </c>
      <c r="G1068" s="82">
        <v>219</v>
      </c>
      <c r="H1068" s="83">
        <v>19.330053596231185</v>
      </c>
      <c r="I1068" s="83">
        <v>7803.733173649428</v>
      </c>
      <c r="J1068" s="83">
        <v>19.370001121839312</v>
      </c>
    </row>
    <row r="1069" spans="1:10" ht="16">
      <c r="A1069" s="79" t="s">
        <v>1444</v>
      </c>
      <c r="B1069" s="79" t="s">
        <v>1307</v>
      </c>
      <c r="C1069" s="80" t="s">
        <v>126</v>
      </c>
      <c r="D1069" s="81" t="s">
        <v>76</v>
      </c>
      <c r="E1069" s="82">
        <v>12104</v>
      </c>
      <c r="F1069" s="82">
        <v>884</v>
      </c>
      <c r="G1069" s="82">
        <v>1452</v>
      </c>
      <c r="H1069" s="83">
        <v>46.615855447659072</v>
      </c>
      <c r="I1069" s="83">
        <v>33999.368701742889</v>
      </c>
      <c r="J1069" s="83">
        <v>53.372611198793813</v>
      </c>
    </row>
    <row r="1070" spans="1:10" ht="16">
      <c r="A1070" s="79" t="s">
        <v>1285</v>
      </c>
      <c r="B1070" s="79" t="s">
        <v>1209</v>
      </c>
      <c r="C1070" s="80" t="s">
        <v>95</v>
      </c>
      <c r="D1070" s="81" t="s">
        <v>103</v>
      </c>
      <c r="E1070" s="82">
        <v>29699</v>
      </c>
      <c r="F1070" s="82">
        <v>2034</v>
      </c>
      <c r="G1070" s="82">
        <v>8613</v>
      </c>
      <c r="H1070" s="83">
        <v>42.688662927956166</v>
      </c>
      <c r="I1070" s="83">
        <v>34252.465958010478</v>
      </c>
      <c r="J1070" s="83">
        <v>43.28714440538463</v>
      </c>
    </row>
    <row r="1071" spans="1:10" ht="16">
      <c r="A1071" s="79" t="s">
        <v>759</v>
      </c>
      <c r="B1071" s="79" t="s">
        <v>661</v>
      </c>
      <c r="C1071" s="80" t="s">
        <v>95</v>
      </c>
      <c r="D1071" s="81" t="s">
        <v>99</v>
      </c>
      <c r="E1071" s="82">
        <v>1142</v>
      </c>
      <c r="F1071" s="82">
        <v>439</v>
      </c>
      <c r="G1071" s="82">
        <v>11</v>
      </c>
      <c r="H1071" s="83">
        <v>10.475645300482144</v>
      </c>
      <c r="I1071" s="83">
        <v>9659.2525933421912</v>
      </c>
      <c r="J1071" s="83">
        <v>27.281922141540971</v>
      </c>
    </row>
    <row r="1072" spans="1:10" ht="16">
      <c r="A1072" s="79" t="s">
        <v>1445</v>
      </c>
      <c r="B1072" s="79" t="s">
        <v>1307</v>
      </c>
      <c r="C1072" s="80" t="s">
        <v>95</v>
      </c>
      <c r="D1072" s="81" t="s">
        <v>103</v>
      </c>
      <c r="E1072" s="82">
        <v>22143</v>
      </c>
      <c r="F1072" s="82">
        <v>2050</v>
      </c>
      <c r="G1072" s="82">
        <v>2657</v>
      </c>
      <c r="H1072" s="83">
        <v>29.344996385574596</v>
      </c>
      <c r="I1072" s="83">
        <v>24586.818153843498</v>
      </c>
      <c r="J1072" s="83">
        <v>34.210009362017061</v>
      </c>
    </row>
    <row r="1073" spans="1:10" ht="16">
      <c r="A1073" s="79" t="s">
        <v>873</v>
      </c>
      <c r="B1073" s="79" t="s">
        <v>869</v>
      </c>
      <c r="C1073" s="80" t="s">
        <v>95</v>
      </c>
      <c r="D1073" s="81" t="s">
        <v>78</v>
      </c>
      <c r="E1073" s="82">
        <v>20783</v>
      </c>
      <c r="F1073" s="82">
        <v>1649</v>
      </c>
      <c r="G1073" s="82">
        <v>3533</v>
      </c>
      <c r="H1073" s="83">
        <v>44.432563011130341</v>
      </c>
      <c r="I1073" s="83">
        <v>39480.820035150085</v>
      </c>
      <c r="J1073" s="83">
        <v>40.323299558339869</v>
      </c>
    </row>
    <row r="1074" spans="1:10" ht="16">
      <c r="A1074" s="79" t="s">
        <v>350</v>
      </c>
      <c r="B1074" s="79" t="s">
        <v>341</v>
      </c>
      <c r="C1074" s="80" t="s">
        <v>95</v>
      </c>
      <c r="D1074" s="81" t="s">
        <v>75</v>
      </c>
      <c r="E1074" s="82">
        <v>8872</v>
      </c>
      <c r="F1074" s="82">
        <v>485</v>
      </c>
      <c r="G1074" s="82">
        <v>798</v>
      </c>
      <c r="H1074" s="83">
        <v>14.057014227188166</v>
      </c>
      <c r="I1074" s="83">
        <v>3953.8243029207742</v>
      </c>
      <c r="J1074" s="83">
        <v>17.424685686282274</v>
      </c>
    </row>
    <row r="1075" spans="1:10" ht="16">
      <c r="A1075" s="79" t="s">
        <v>858</v>
      </c>
      <c r="B1075" s="79" t="s">
        <v>853</v>
      </c>
      <c r="C1075" s="80" t="s">
        <v>95</v>
      </c>
      <c r="D1075" s="81" t="s">
        <v>103</v>
      </c>
      <c r="E1075" s="82">
        <v>18196</v>
      </c>
      <c r="F1075" s="82">
        <v>910</v>
      </c>
      <c r="G1075" s="82">
        <v>3821</v>
      </c>
      <c r="H1075" s="83">
        <v>32.133588736002309</v>
      </c>
      <c r="I1075" s="83">
        <v>27196.126024710855</v>
      </c>
      <c r="J1075" s="83">
        <v>30.897061534399725</v>
      </c>
    </row>
    <row r="1076" spans="1:10" ht="16">
      <c r="A1076" s="79" t="s">
        <v>221</v>
      </c>
      <c r="B1076" s="79" t="s">
        <v>203</v>
      </c>
      <c r="C1076" s="80" t="s">
        <v>95</v>
      </c>
      <c r="D1076" s="81" t="s">
        <v>77</v>
      </c>
      <c r="E1076" s="82">
        <v>35365</v>
      </c>
      <c r="F1076" s="82">
        <v>1432</v>
      </c>
      <c r="G1076" s="82">
        <v>6719</v>
      </c>
      <c r="H1076" s="83">
        <v>42.372729201216764</v>
      </c>
      <c r="I1076" s="83">
        <v>36279.477670229142</v>
      </c>
      <c r="J1076" s="83">
        <v>42.0762004594757</v>
      </c>
    </row>
    <row r="1077" spans="1:10" ht="16">
      <c r="A1077" s="79" t="s">
        <v>393</v>
      </c>
      <c r="B1077" s="79" t="s">
        <v>388</v>
      </c>
      <c r="C1077" s="80" t="s">
        <v>95</v>
      </c>
      <c r="D1077" s="81" t="s">
        <v>75</v>
      </c>
      <c r="E1077" s="82">
        <v>10086</v>
      </c>
      <c r="F1077" s="82">
        <v>336</v>
      </c>
      <c r="G1077" s="82">
        <v>605</v>
      </c>
      <c r="H1077" s="83">
        <v>34.732375254141282</v>
      </c>
      <c r="I1077" s="83">
        <v>26334.354747365302</v>
      </c>
      <c r="J1077" s="83">
        <v>30.771248574635226</v>
      </c>
    </row>
    <row r="1078" spans="1:10" ht="16">
      <c r="A1078" s="79" t="s">
        <v>1065</v>
      </c>
      <c r="B1078" s="79" t="s">
        <v>1039</v>
      </c>
      <c r="C1078" s="80" t="s">
        <v>95</v>
      </c>
      <c r="D1078" s="81" t="s">
        <v>75</v>
      </c>
      <c r="E1078" s="82">
        <v>21663</v>
      </c>
      <c r="F1078" s="82">
        <v>1706</v>
      </c>
      <c r="G1078" s="82">
        <v>650</v>
      </c>
      <c r="H1078" s="83">
        <v>15.287703660097531</v>
      </c>
      <c r="I1078" s="83">
        <v>8369.1768561065601</v>
      </c>
      <c r="J1078" s="83">
        <v>17.510153388086056</v>
      </c>
    </row>
    <row r="1079" spans="1:10" ht="16">
      <c r="A1079" s="79" t="s">
        <v>1286</v>
      </c>
      <c r="B1079" s="79" t="s">
        <v>1209</v>
      </c>
      <c r="C1079" s="80" t="s">
        <v>126</v>
      </c>
      <c r="D1079" s="81" t="s">
        <v>75</v>
      </c>
      <c r="E1079" s="82">
        <v>20664</v>
      </c>
      <c r="F1079" s="82">
        <v>1845</v>
      </c>
      <c r="G1079" s="82">
        <v>8472</v>
      </c>
      <c r="H1079" s="83">
        <v>100.40442258718376</v>
      </c>
      <c r="I1079" s="83">
        <v>98092.327423954644</v>
      </c>
      <c r="J1079" s="83">
        <v>91.053855274356224</v>
      </c>
    </row>
    <row r="1080" spans="1:10" ht="16">
      <c r="A1080" s="79" t="s">
        <v>640</v>
      </c>
      <c r="B1080" s="79" t="s">
        <v>617</v>
      </c>
      <c r="C1080" s="80" t="s">
        <v>95</v>
      </c>
      <c r="D1080" s="81" t="s">
        <v>79</v>
      </c>
      <c r="E1080" s="82">
        <v>45169</v>
      </c>
      <c r="F1080" s="82">
        <v>2121</v>
      </c>
      <c r="G1080" s="82">
        <v>1807</v>
      </c>
      <c r="H1080" s="83">
        <v>31.827784091683814</v>
      </c>
      <c r="I1080" s="83">
        <v>24844.087321651066</v>
      </c>
      <c r="J1080" s="83">
        <v>43.342783261347513</v>
      </c>
    </row>
    <row r="1081" spans="1:10" ht="16">
      <c r="A1081" s="79" t="s">
        <v>641</v>
      </c>
      <c r="B1081" s="79" t="s">
        <v>617</v>
      </c>
      <c r="C1081" s="80" t="s">
        <v>95</v>
      </c>
      <c r="D1081" s="81" t="s">
        <v>96</v>
      </c>
      <c r="E1081" s="82">
        <v>29437</v>
      </c>
      <c r="F1081" s="82">
        <v>1436</v>
      </c>
      <c r="G1081" s="82">
        <v>294</v>
      </c>
      <c r="H1081" s="83">
        <v>18.493121474450092</v>
      </c>
      <c r="I1081" s="83">
        <v>11334.435303335027</v>
      </c>
      <c r="J1081" s="83">
        <v>21.62630224999269</v>
      </c>
    </row>
    <row r="1082" spans="1:10" ht="16">
      <c r="A1082" s="79" t="s">
        <v>351</v>
      </c>
      <c r="B1082" s="79" t="s">
        <v>341</v>
      </c>
      <c r="C1082" s="80" t="s">
        <v>95</v>
      </c>
      <c r="D1082" s="81" t="s">
        <v>149</v>
      </c>
      <c r="E1082" s="82">
        <v>7266</v>
      </c>
      <c r="F1082" s="82">
        <v>530</v>
      </c>
      <c r="G1082" s="82">
        <v>509</v>
      </c>
      <c r="H1082" s="83">
        <v>16.383172417402076</v>
      </c>
      <c r="I1082" s="83">
        <v>1596.85750176991</v>
      </c>
      <c r="J1082" s="83">
        <v>18.038253769077606</v>
      </c>
    </row>
    <row r="1083" spans="1:10" ht="16">
      <c r="A1083" s="79" t="s">
        <v>414</v>
      </c>
      <c r="B1083" s="79" t="s">
        <v>396</v>
      </c>
      <c r="C1083" s="80" t="s">
        <v>95</v>
      </c>
      <c r="D1083" s="81" t="s">
        <v>77</v>
      </c>
      <c r="E1083" s="82">
        <v>61390</v>
      </c>
      <c r="F1083" s="82">
        <v>3961</v>
      </c>
      <c r="G1083" s="82">
        <v>10436</v>
      </c>
      <c r="H1083" s="83">
        <v>36.664831534518001</v>
      </c>
      <c r="I1083" s="83">
        <v>31940.515412015411</v>
      </c>
      <c r="J1083" s="83">
        <v>52.303853380192272</v>
      </c>
    </row>
    <row r="1084" spans="1:10" ht="16">
      <c r="A1084" s="79" t="s">
        <v>642</v>
      </c>
      <c r="B1084" s="79" t="s">
        <v>617</v>
      </c>
      <c r="C1084" s="80" t="s">
        <v>95</v>
      </c>
      <c r="D1084" s="81" t="s">
        <v>78</v>
      </c>
      <c r="E1084" s="82">
        <v>25140</v>
      </c>
      <c r="F1084" s="82">
        <v>918</v>
      </c>
      <c r="G1084" s="82">
        <v>1508</v>
      </c>
      <c r="H1084" s="83">
        <v>19.760119965822884</v>
      </c>
      <c r="I1084" s="83">
        <v>12459.687048782105</v>
      </c>
      <c r="J1084" s="83">
        <v>18.469975163518662</v>
      </c>
    </row>
    <row r="1085" spans="1:10" ht="16">
      <c r="A1085" s="79" t="s">
        <v>459</v>
      </c>
      <c r="B1085" s="79" t="s">
        <v>421</v>
      </c>
      <c r="C1085" s="80" t="s">
        <v>95</v>
      </c>
      <c r="D1085" s="81" t="s">
        <v>96</v>
      </c>
      <c r="E1085" s="82">
        <v>11387</v>
      </c>
      <c r="F1085" s="82">
        <v>131</v>
      </c>
      <c r="G1085" s="82">
        <v>1366</v>
      </c>
      <c r="H1085" s="83">
        <v>39.567618189480555</v>
      </c>
      <c r="I1085" s="83">
        <v>29716.7836378297</v>
      </c>
      <c r="J1085" s="83">
        <v>33.019632873792752</v>
      </c>
    </row>
    <row r="1086" spans="1:10" ht="16">
      <c r="A1086" s="79" t="s">
        <v>474</v>
      </c>
      <c r="B1086" s="79" t="s">
        <v>467</v>
      </c>
      <c r="C1086" s="80" t="s">
        <v>126</v>
      </c>
      <c r="D1086" s="81" t="s">
        <v>96</v>
      </c>
      <c r="E1086" s="82">
        <v>25580</v>
      </c>
      <c r="F1086" s="82">
        <v>927</v>
      </c>
      <c r="G1086" s="82">
        <v>1279</v>
      </c>
      <c r="H1086" s="83">
        <v>11.652368525472465</v>
      </c>
      <c r="I1086" s="83">
        <v>4570.0195587023454</v>
      </c>
      <c r="J1086" s="83">
        <v>17.047542186025257</v>
      </c>
    </row>
    <row r="1087" spans="1:10" ht="16">
      <c r="A1087" s="79" t="s">
        <v>643</v>
      </c>
      <c r="B1087" s="79" t="s">
        <v>617</v>
      </c>
      <c r="C1087" s="80" t="s">
        <v>95</v>
      </c>
      <c r="D1087" s="81" t="s">
        <v>76</v>
      </c>
      <c r="E1087" s="82">
        <v>24623</v>
      </c>
      <c r="F1087" s="82">
        <v>593</v>
      </c>
      <c r="G1087" s="82">
        <v>1970</v>
      </c>
      <c r="H1087" s="83">
        <v>25.790906836808745</v>
      </c>
      <c r="I1087" s="83">
        <v>16834.384195846153</v>
      </c>
      <c r="J1087" s="83">
        <v>25.230263993542522</v>
      </c>
    </row>
    <row r="1088" spans="1:10" ht="16">
      <c r="A1088" s="79" t="s">
        <v>1446</v>
      </c>
      <c r="B1088" s="79" t="s">
        <v>1307</v>
      </c>
      <c r="C1088" s="80" t="s">
        <v>95</v>
      </c>
      <c r="D1088" s="81" t="s">
        <v>103</v>
      </c>
      <c r="E1088" s="82">
        <v>20578</v>
      </c>
      <c r="F1088" s="82">
        <v>3166</v>
      </c>
      <c r="G1088" s="82">
        <v>4321</v>
      </c>
      <c r="H1088" s="83">
        <v>91.208574321505097</v>
      </c>
      <c r="I1088" s="83">
        <v>88839.355026617559</v>
      </c>
      <c r="J1088" s="83">
        <v>88.172249758400909</v>
      </c>
    </row>
    <row r="1089" spans="1:10" ht="16">
      <c r="A1089" s="79" t="s">
        <v>1079</v>
      </c>
      <c r="B1089" s="79" t="s">
        <v>1078</v>
      </c>
      <c r="C1089" s="80" t="s">
        <v>95</v>
      </c>
      <c r="D1089" s="81" t="s">
        <v>79</v>
      </c>
      <c r="E1089" s="82">
        <v>17482</v>
      </c>
      <c r="F1089" s="82">
        <v>1619</v>
      </c>
      <c r="G1089" s="82">
        <v>175</v>
      </c>
      <c r="H1089" s="83">
        <v>8.0020252897064292</v>
      </c>
      <c r="I1089" s="83">
        <v>7629.9147294470704</v>
      </c>
      <c r="J1089" s="83">
        <v>16.863913559718746</v>
      </c>
    </row>
    <row r="1090" spans="1:10" ht="16">
      <c r="A1090" s="79" t="s">
        <v>644</v>
      </c>
      <c r="B1090" s="79" t="s">
        <v>617</v>
      </c>
      <c r="C1090" s="80" t="s">
        <v>95</v>
      </c>
      <c r="D1090" s="81" t="s">
        <v>111</v>
      </c>
      <c r="E1090" s="82">
        <v>24830</v>
      </c>
      <c r="F1090" s="82">
        <v>769</v>
      </c>
      <c r="G1090" s="82">
        <v>1490</v>
      </c>
      <c r="H1090" s="83">
        <v>22.927561088537121</v>
      </c>
      <c r="I1090" s="83">
        <v>19996.253350665411</v>
      </c>
      <c r="J1090" s="83">
        <v>18.74432810563664</v>
      </c>
    </row>
    <row r="1091" spans="1:10" ht="16">
      <c r="A1091" s="79" t="s">
        <v>887</v>
      </c>
      <c r="B1091" s="79" t="s">
        <v>877</v>
      </c>
      <c r="C1091" s="80" t="s">
        <v>126</v>
      </c>
      <c r="D1091" s="81" t="s">
        <v>76</v>
      </c>
      <c r="E1091" s="82">
        <v>5647</v>
      </c>
      <c r="F1091" s="82">
        <v>528</v>
      </c>
      <c r="G1091" s="82">
        <v>113</v>
      </c>
      <c r="H1091" s="83">
        <v>11.570562231556991</v>
      </c>
      <c r="I1091" s="83">
        <v>1606.2242364489407</v>
      </c>
      <c r="J1091" s="83">
        <v>26.03297768121605</v>
      </c>
    </row>
    <row r="1092" spans="1:10" ht="16">
      <c r="A1092" s="79" t="s">
        <v>645</v>
      </c>
      <c r="B1092" s="79" t="s">
        <v>617</v>
      </c>
      <c r="C1092" s="80" t="s">
        <v>95</v>
      </c>
      <c r="D1092" s="81" t="s">
        <v>96</v>
      </c>
      <c r="E1092" s="82">
        <v>33726</v>
      </c>
      <c r="F1092" s="82">
        <v>1506</v>
      </c>
      <c r="G1092" s="82">
        <v>2024</v>
      </c>
      <c r="H1092" s="83">
        <v>27.439060653504519</v>
      </c>
      <c r="I1092" s="83">
        <v>19745.306450148622</v>
      </c>
      <c r="J1092" s="83">
        <v>32.140108300332081</v>
      </c>
    </row>
    <row r="1093" spans="1:10" ht="16">
      <c r="A1093" s="79" t="s">
        <v>1447</v>
      </c>
      <c r="B1093" s="79" t="s">
        <v>1307</v>
      </c>
      <c r="C1093" s="80" t="s">
        <v>95</v>
      </c>
      <c r="D1093" s="81" t="s">
        <v>75</v>
      </c>
      <c r="E1093" s="82">
        <v>26652</v>
      </c>
      <c r="F1093" s="82">
        <v>4595</v>
      </c>
      <c r="G1093" s="82">
        <v>2932</v>
      </c>
      <c r="H1093" s="83">
        <v>45.926047566030427</v>
      </c>
      <c r="I1093" s="83">
        <v>43343.066181156639</v>
      </c>
      <c r="J1093" s="83">
        <v>48.173893078303273</v>
      </c>
    </row>
    <row r="1094" spans="1:10" ht="16">
      <c r="A1094" s="79" t="s">
        <v>1287</v>
      </c>
      <c r="B1094" s="79" t="s">
        <v>1209</v>
      </c>
      <c r="C1094" s="80" t="s">
        <v>95</v>
      </c>
      <c r="D1094" s="81" t="s">
        <v>101</v>
      </c>
      <c r="E1094" s="82">
        <v>17667</v>
      </c>
      <c r="F1094" s="82">
        <v>1027</v>
      </c>
      <c r="G1094" s="82">
        <v>2650</v>
      </c>
      <c r="H1094" s="83">
        <v>19.53899171747797</v>
      </c>
      <c r="I1094" s="83">
        <v>13030.592899528539</v>
      </c>
      <c r="J1094" s="83">
        <v>21.272309140470519</v>
      </c>
    </row>
    <row r="1095" spans="1:10" ht="16">
      <c r="A1095" s="79" t="s">
        <v>922</v>
      </c>
      <c r="B1095" s="79" t="s">
        <v>912</v>
      </c>
      <c r="C1095" s="80" t="s">
        <v>95</v>
      </c>
      <c r="D1095" s="81" t="s">
        <v>78</v>
      </c>
      <c r="E1095" s="82">
        <v>32020</v>
      </c>
      <c r="F1095" s="82">
        <v>1712</v>
      </c>
      <c r="G1095" s="82">
        <v>4803</v>
      </c>
      <c r="H1095" s="83">
        <v>28.620642254977998</v>
      </c>
      <c r="I1095" s="83">
        <v>17370.971557361798</v>
      </c>
      <c r="J1095" s="83">
        <v>27.993793306175071</v>
      </c>
    </row>
    <row r="1096" spans="1:10" ht="16">
      <c r="A1096" s="79" t="s">
        <v>1288</v>
      </c>
      <c r="B1096" s="79" t="s">
        <v>1209</v>
      </c>
      <c r="C1096" s="80" t="s">
        <v>126</v>
      </c>
      <c r="D1096" s="81" t="s">
        <v>111</v>
      </c>
      <c r="E1096" s="82">
        <v>20186</v>
      </c>
      <c r="F1096" s="82">
        <v>1311</v>
      </c>
      <c r="G1096" s="82">
        <v>5248</v>
      </c>
      <c r="H1096" s="83">
        <v>16.722304562994104</v>
      </c>
      <c r="I1096" s="83">
        <v>11533.158364175297</v>
      </c>
      <c r="J1096" s="83">
        <v>18.362289063599196</v>
      </c>
    </row>
    <row r="1097" spans="1:10" ht="16">
      <c r="A1097" s="79" t="s">
        <v>460</v>
      </c>
      <c r="B1097" s="79" t="s">
        <v>421</v>
      </c>
      <c r="C1097" s="80" t="s">
        <v>95</v>
      </c>
      <c r="D1097" s="81" t="s">
        <v>149</v>
      </c>
      <c r="E1097" s="82">
        <v>20063</v>
      </c>
      <c r="F1097" s="82">
        <v>372</v>
      </c>
      <c r="G1097" s="82">
        <v>2207</v>
      </c>
      <c r="H1097" s="83">
        <v>41.485570361857448</v>
      </c>
      <c r="I1097" s="83">
        <v>26627.554582891902</v>
      </c>
      <c r="J1097" s="83">
        <v>37.585365819303242</v>
      </c>
    </row>
    <row r="1098" spans="1:10" ht="16">
      <c r="A1098" s="79" t="s">
        <v>1002</v>
      </c>
      <c r="B1098" s="79" t="s">
        <v>996</v>
      </c>
      <c r="C1098" s="80" t="s">
        <v>95</v>
      </c>
      <c r="D1098" s="81" t="s">
        <v>111</v>
      </c>
      <c r="E1098" s="82">
        <v>35086</v>
      </c>
      <c r="F1098" s="82">
        <v>1595</v>
      </c>
      <c r="G1098" s="82">
        <v>2807</v>
      </c>
      <c r="H1098" s="83">
        <v>30.826812143309553</v>
      </c>
      <c r="I1098" s="83">
        <v>9953.1653621964397</v>
      </c>
      <c r="J1098" s="83">
        <v>25.853562833553578</v>
      </c>
    </row>
    <row r="1099" spans="1:10" ht="16">
      <c r="A1099" s="79" t="s">
        <v>923</v>
      </c>
      <c r="B1099" s="79" t="s">
        <v>924</v>
      </c>
      <c r="C1099" s="80" t="s">
        <v>95</v>
      </c>
      <c r="D1099" s="81" t="s">
        <v>77</v>
      </c>
      <c r="E1099" s="82">
        <v>49713</v>
      </c>
      <c r="F1099" s="82">
        <v>3576</v>
      </c>
      <c r="G1099" s="82">
        <v>497</v>
      </c>
      <c r="H1099" s="83">
        <v>9.3947163545299173</v>
      </c>
      <c r="I1099" s="83">
        <v>3757.1574031781356</v>
      </c>
      <c r="J1099" s="83">
        <v>18.119512813897952</v>
      </c>
    </row>
    <row r="1100" spans="1:10" ht="16">
      <c r="A1100" s="79" t="s">
        <v>133</v>
      </c>
      <c r="B1100" s="79" t="s">
        <v>108</v>
      </c>
      <c r="C1100" s="80" t="s">
        <v>95</v>
      </c>
      <c r="D1100" s="81" t="s">
        <v>101</v>
      </c>
      <c r="E1100" s="82">
        <v>39144</v>
      </c>
      <c r="F1100" s="82">
        <v>1096</v>
      </c>
      <c r="G1100" s="82">
        <v>13309</v>
      </c>
      <c r="H1100" s="83">
        <v>58.982662133942164</v>
      </c>
      <c r="I1100" s="83">
        <v>51011.727937906551</v>
      </c>
      <c r="J1100" s="83">
        <v>49.488936515535762</v>
      </c>
    </row>
    <row r="1101" spans="1:10" ht="16">
      <c r="A1101" s="79" t="s">
        <v>1289</v>
      </c>
      <c r="B1101" s="79" t="s">
        <v>1209</v>
      </c>
      <c r="C1101" s="80" t="s">
        <v>95</v>
      </c>
      <c r="D1101" s="81" t="s">
        <v>75</v>
      </c>
      <c r="E1101" s="82">
        <v>14107</v>
      </c>
      <c r="F1101" s="82">
        <v>947</v>
      </c>
      <c r="G1101" s="82">
        <v>4373</v>
      </c>
      <c r="H1101" s="83">
        <v>36.031434269457534</v>
      </c>
      <c r="I1101" s="83">
        <v>27111.636710590021</v>
      </c>
      <c r="J1101" s="83">
        <v>32.492473490634239</v>
      </c>
    </row>
    <row r="1102" spans="1:10" ht="16">
      <c r="A1102" s="79" t="s">
        <v>222</v>
      </c>
      <c r="B1102" s="79" t="s">
        <v>203</v>
      </c>
      <c r="C1102" s="80" t="s">
        <v>95</v>
      </c>
      <c r="D1102" s="81" t="s">
        <v>77</v>
      </c>
      <c r="E1102" s="82">
        <v>12935</v>
      </c>
      <c r="F1102" s="82">
        <v>553</v>
      </c>
      <c r="G1102" s="82">
        <v>2846</v>
      </c>
      <c r="H1102" s="83">
        <v>16.107905971779505</v>
      </c>
      <c r="I1102" s="83">
        <v>7068.3116392149122</v>
      </c>
      <c r="J1102" s="83">
        <v>16.802982815724906</v>
      </c>
    </row>
    <row r="1103" spans="1:10" ht="16">
      <c r="A1103" s="79" t="s">
        <v>415</v>
      </c>
      <c r="B1103" s="79" t="s">
        <v>396</v>
      </c>
      <c r="C1103" s="80" t="s">
        <v>95</v>
      </c>
      <c r="D1103" s="81" t="s">
        <v>77</v>
      </c>
      <c r="E1103" s="82">
        <v>28351</v>
      </c>
      <c r="F1103" s="82">
        <v>1575</v>
      </c>
      <c r="G1103" s="82">
        <v>3402</v>
      </c>
      <c r="H1103" s="83">
        <v>15.830054690647572</v>
      </c>
      <c r="I1103" s="83">
        <v>7921.521968551313</v>
      </c>
      <c r="J1103" s="83">
        <v>21.369148552091257</v>
      </c>
    </row>
    <row r="1104" spans="1:10" ht="16">
      <c r="A1104" s="79" t="s">
        <v>1448</v>
      </c>
      <c r="B1104" s="79" t="s">
        <v>1307</v>
      </c>
      <c r="C1104" s="80" t="s">
        <v>95</v>
      </c>
      <c r="D1104" s="81" t="s">
        <v>149</v>
      </c>
      <c r="E1104" s="82">
        <v>16569</v>
      </c>
      <c r="F1104" s="82">
        <v>858</v>
      </c>
      <c r="G1104" s="82">
        <v>497</v>
      </c>
      <c r="H1104" s="83">
        <v>18.440868464228998</v>
      </c>
      <c r="I1104" s="83">
        <v>11693.607468075357</v>
      </c>
      <c r="J1104" s="83">
        <v>24.568816464404271</v>
      </c>
    </row>
    <row r="1105" spans="1:10" ht="16">
      <c r="A1105" s="79" t="s">
        <v>1449</v>
      </c>
      <c r="B1105" s="79" t="s">
        <v>1307</v>
      </c>
      <c r="C1105" s="80" t="s">
        <v>126</v>
      </c>
      <c r="D1105" s="81" t="s">
        <v>99</v>
      </c>
      <c r="E1105" s="82">
        <v>9824</v>
      </c>
      <c r="F1105" s="82">
        <v>2339</v>
      </c>
      <c r="G1105" s="82">
        <v>3045</v>
      </c>
      <c r="H1105" s="83">
        <v>30.819803784959358</v>
      </c>
      <c r="I1105" s="83">
        <v>27781.104880966748</v>
      </c>
      <c r="J1105" s="83">
        <v>44.139895103586134</v>
      </c>
    </row>
    <row r="1106" spans="1:10" ht="16">
      <c r="A1106" s="79" t="s">
        <v>1290</v>
      </c>
      <c r="B1106" s="79" t="s">
        <v>1209</v>
      </c>
      <c r="C1106" s="80" t="s">
        <v>95</v>
      </c>
      <c r="D1106" s="81" t="s">
        <v>111</v>
      </c>
      <c r="E1106" s="82">
        <v>7665</v>
      </c>
      <c r="F1106" s="82">
        <v>470</v>
      </c>
      <c r="G1106" s="82">
        <v>2146</v>
      </c>
      <c r="H1106" s="83">
        <v>20.661449683390273</v>
      </c>
      <c r="I1106" s="83">
        <v>6239.06375334515</v>
      </c>
      <c r="J1106" s="83">
        <v>19.678334556073711</v>
      </c>
    </row>
    <row r="1107" spans="1:10" ht="16">
      <c r="A1107" s="79" t="s">
        <v>646</v>
      </c>
      <c r="B1107" s="79" t="s">
        <v>617</v>
      </c>
      <c r="C1107" s="80" t="s">
        <v>95</v>
      </c>
      <c r="D1107" s="81" t="s">
        <v>79</v>
      </c>
      <c r="E1107" s="82">
        <v>31696</v>
      </c>
      <c r="F1107" s="82">
        <v>633</v>
      </c>
      <c r="G1107" s="82">
        <v>1585</v>
      </c>
      <c r="H1107" s="83">
        <v>22.993594041676381</v>
      </c>
      <c r="I1107" s="83">
        <v>13924.052621769653</v>
      </c>
      <c r="J1107" s="83">
        <v>24.31398548560858</v>
      </c>
    </row>
    <row r="1108" spans="1:10" ht="16">
      <c r="A1108" s="79" t="s">
        <v>1066</v>
      </c>
      <c r="B1108" s="79" t="s">
        <v>1039</v>
      </c>
      <c r="C1108" s="80" t="s">
        <v>95</v>
      </c>
      <c r="D1108" s="81" t="s">
        <v>78</v>
      </c>
      <c r="E1108" s="82">
        <v>12411</v>
      </c>
      <c r="F1108" s="82">
        <v>1009</v>
      </c>
      <c r="G1108" s="82">
        <v>1365</v>
      </c>
      <c r="H1108" s="83">
        <v>21.11416903155407</v>
      </c>
      <c r="I1108" s="83">
        <v>14232.431842329695</v>
      </c>
      <c r="J1108" s="83">
        <v>24.277836534930895</v>
      </c>
    </row>
    <row r="1109" spans="1:10" ht="16">
      <c r="A1109" s="79" t="s">
        <v>1067</v>
      </c>
      <c r="B1109" s="79" t="s">
        <v>1039</v>
      </c>
      <c r="C1109" s="80" t="s">
        <v>95</v>
      </c>
      <c r="D1109" s="81" t="s">
        <v>101</v>
      </c>
      <c r="E1109" s="82">
        <v>28673</v>
      </c>
      <c r="F1109" s="82">
        <v>1629</v>
      </c>
      <c r="G1109" s="82">
        <v>4588</v>
      </c>
      <c r="H1109" s="83">
        <v>18.491161317167265</v>
      </c>
      <c r="I1109" s="83">
        <v>6642.2858721125658</v>
      </c>
      <c r="J1109" s="83">
        <v>26.677964106160932</v>
      </c>
    </row>
    <row r="1110" spans="1:10" ht="16">
      <c r="A1110" s="79" t="s">
        <v>647</v>
      </c>
      <c r="B1110" s="79" t="s">
        <v>617</v>
      </c>
      <c r="C1110" s="80" t="s">
        <v>95</v>
      </c>
      <c r="D1110" s="81" t="s">
        <v>96</v>
      </c>
      <c r="E1110" s="82">
        <v>12040</v>
      </c>
      <c r="F1110" s="82">
        <v>405</v>
      </c>
      <c r="G1110" s="82">
        <v>120</v>
      </c>
      <c r="H1110" s="83">
        <v>21.081840858076767</v>
      </c>
      <c r="I1110" s="83">
        <v>11864.470728871003</v>
      </c>
      <c r="J1110" s="83">
        <v>28.126266296145666</v>
      </c>
    </row>
    <row r="1111" spans="1:10" ht="16">
      <c r="A1111" s="79" t="s">
        <v>648</v>
      </c>
      <c r="B1111" s="79" t="s">
        <v>617</v>
      </c>
      <c r="C1111" s="80" t="s">
        <v>95</v>
      </c>
      <c r="D1111" s="81" t="s">
        <v>103</v>
      </c>
      <c r="E1111" s="82">
        <v>24290</v>
      </c>
      <c r="F1111" s="82">
        <v>941</v>
      </c>
      <c r="G1111" s="82">
        <v>486</v>
      </c>
      <c r="H1111" s="83">
        <v>19.570873566441406</v>
      </c>
      <c r="I1111" s="83">
        <v>18346.237026992902</v>
      </c>
      <c r="J1111" s="83">
        <v>20.27890157240418</v>
      </c>
    </row>
    <row r="1112" spans="1:10" ht="16">
      <c r="A1112" s="79" t="s">
        <v>1291</v>
      </c>
      <c r="B1112" s="79" t="s">
        <v>1209</v>
      </c>
      <c r="C1112" s="80" t="s">
        <v>95</v>
      </c>
      <c r="D1112" s="81" t="s">
        <v>101</v>
      </c>
      <c r="E1112" s="82">
        <v>15356</v>
      </c>
      <c r="F1112" s="82">
        <v>903</v>
      </c>
      <c r="G1112" s="82">
        <v>3378</v>
      </c>
      <c r="H1112" s="83">
        <v>15.113916123740324</v>
      </c>
      <c r="I1112" s="83">
        <v>5735.586075807023</v>
      </c>
      <c r="J1112" s="83">
        <v>18.790304015757563</v>
      </c>
    </row>
    <row r="1113" spans="1:10" ht="16">
      <c r="A1113" s="79" t="s">
        <v>1068</v>
      </c>
      <c r="B1113" s="79" t="s">
        <v>1039</v>
      </c>
      <c r="C1113" s="80" t="s">
        <v>95</v>
      </c>
      <c r="D1113" s="81" t="s">
        <v>78</v>
      </c>
      <c r="E1113" s="82">
        <v>25455</v>
      </c>
      <c r="F1113" s="82">
        <v>1675</v>
      </c>
      <c r="G1113" s="82">
        <v>2036</v>
      </c>
      <c r="H1113" s="83">
        <v>17.15568961739308</v>
      </c>
      <c r="I1113" s="83">
        <v>7806.7140748743805</v>
      </c>
      <c r="J1113" s="83">
        <v>22.332688546746134</v>
      </c>
    </row>
    <row r="1114" spans="1:10" ht="16">
      <c r="A1114" s="79" t="s">
        <v>238</v>
      </c>
      <c r="B1114" s="79" t="s">
        <v>231</v>
      </c>
      <c r="C1114" s="80" t="s">
        <v>126</v>
      </c>
      <c r="D1114" s="81" t="s">
        <v>101</v>
      </c>
      <c r="E1114" s="82">
        <v>22818</v>
      </c>
      <c r="F1114" s="82">
        <v>939</v>
      </c>
      <c r="G1114" s="82">
        <v>456</v>
      </c>
      <c r="H1114" s="83">
        <v>14.518121615607168</v>
      </c>
      <c r="I1114" s="83">
        <v>1726.49336324614</v>
      </c>
      <c r="J1114" s="83">
        <v>16.976231605664008</v>
      </c>
    </row>
    <row r="1115" spans="1:10" ht="16">
      <c r="A1115" s="79" t="s">
        <v>888</v>
      </c>
      <c r="B1115" s="79" t="s">
        <v>877</v>
      </c>
      <c r="C1115" s="80" t="s">
        <v>95</v>
      </c>
      <c r="D1115" s="81" t="s">
        <v>101</v>
      </c>
      <c r="E1115" s="82">
        <v>26206</v>
      </c>
      <c r="F1115" s="82">
        <v>771</v>
      </c>
      <c r="G1115" s="82">
        <v>1824</v>
      </c>
      <c r="H1115" s="83">
        <v>9.1671809759957732</v>
      </c>
      <c r="I1115" s="83">
        <v>875.82907576392222</v>
      </c>
      <c r="J1115" s="83">
        <v>11.805437146596823</v>
      </c>
    </row>
    <row r="1116" spans="1:10" ht="16">
      <c r="A1116" s="79" t="s">
        <v>223</v>
      </c>
      <c r="B1116" s="79" t="s">
        <v>203</v>
      </c>
      <c r="C1116" s="80" t="s">
        <v>95</v>
      </c>
      <c r="D1116" s="81" t="s">
        <v>78</v>
      </c>
      <c r="E1116" s="82">
        <v>17194</v>
      </c>
      <c r="F1116" s="82">
        <v>971</v>
      </c>
      <c r="G1116" s="82">
        <v>3439</v>
      </c>
      <c r="H1116" s="83">
        <v>27.571065464916089</v>
      </c>
      <c r="I1116" s="83">
        <v>12981.485001882298</v>
      </c>
      <c r="J1116" s="83">
        <v>36.401690500744991</v>
      </c>
    </row>
    <row r="1117" spans="1:10" ht="16">
      <c r="A1117" s="79" t="s">
        <v>649</v>
      </c>
      <c r="B1117" s="79" t="s">
        <v>617</v>
      </c>
      <c r="C1117" s="80" t="s">
        <v>95</v>
      </c>
      <c r="D1117" s="81" t="s">
        <v>78</v>
      </c>
      <c r="E1117" s="82">
        <v>12993</v>
      </c>
      <c r="F1117" s="82">
        <v>539</v>
      </c>
      <c r="G1117" s="82">
        <v>260</v>
      </c>
      <c r="H1117" s="83">
        <v>17.815622977645699</v>
      </c>
      <c r="I1117" s="83">
        <v>8250.9074170427702</v>
      </c>
      <c r="J1117" s="83">
        <v>22.733058338733855</v>
      </c>
    </row>
    <row r="1118" spans="1:10" ht="16">
      <c r="A1118" s="79" t="s">
        <v>309</v>
      </c>
      <c r="B1118" s="79" t="s">
        <v>242</v>
      </c>
      <c r="C1118" s="80" t="s">
        <v>126</v>
      </c>
      <c r="D1118" s="81" t="s">
        <v>79</v>
      </c>
      <c r="E1118" s="82">
        <v>24232</v>
      </c>
      <c r="F1118" s="82">
        <v>1648</v>
      </c>
      <c r="G1118" s="82">
        <v>969</v>
      </c>
      <c r="H1118" s="83">
        <v>25.367809628278614</v>
      </c>
      <c r="I1118" s="83">
        <v>7457.3114384933815</v>
      </c>
      <c r="J1118" s="83">
        <v>27.497716012832921</v>
      </c>
    </row>
    <row r="1119" spans="1:10" ht="16">
      <c r="A1119" s="79" t="s">
        <v>310</v>
      </c>
      <c r="B1119" s="79" t="s">
        <v>242</v>
      </c>
      <c r="C1119" s="80" t="s">
        <v>126</v>
      </c>
      <c r="D1119" s="81" t="s">
        <v>111</v>
      </c>
      <c r="E1119" s="82">
        <v>16245</v>
      </c>
      <c r="F1119" s="82">
        <v>2110</v>
      </c>
      <c r="G1119" s="82">
        <v>650</v>
      </c>
      <c r="H1119" s="83">
        <v>59.763027144939372</v>
      </c>
      <c r="I1119" s="83">
        <v>44506.497773383722</v>
      </c>
      <c r="J1119" s="83">
        <v>64.922810686517607</v>
      </c>
    </row>
    <row r="1120" spans="1:10" ht="16">
      <c r="A1120" s="79" t="s">
        <v>98</v>
      </c>
      <c r="B1120" s="79" t="s">
        <v>94</v>
      </c>
      <c r="C1120" s="80" t="s">
        <v>95</v>
      </c>
      <c r="D1120" s="81" t="s">
        <v>99</v>
      </c>
      <c r="E1120" s="82">
        <v>22049</v>
      </c>
      <c r="F1120" s="82">
        <v>1885</v>
      </c>
      <c r="G1120" s="82">
        <v>441</v>
      </c>
      <c r="H1120" s="83">
        <v>7.3511050703012462</v>
      </c>
      <c r="I1120" s="83">
        <v>507.51435483258575</v>
      </c>
      <c r="J1120" s="83">
        <v>19.507406503244926</v>
      </c>
    </row>
    <row r="1121" spans="1:10" ht="16">
      <c r="A1121" s="79" t="s">
        <v>100</v>
      </c>
      <c r="B1121" s="79" t="s">
        <v>94</v>
      </c>
      <c r="C1121" s="80" t="s">
        <v>95</v>
      </c>
      <c r="D1121" s="81" t="s">
        <v>101</v>
      </c>
      <c r="E1121" s="82">
        <v>41865</v>
      </c>
      <c r="F1121" s="82">
        <v>1861</v>
      </c>
      <c r="G1121" s="82">
        <v>419</v>
      </c>
      <c r="H1121" s="83">
        <v>7.8062439640206192</v>
      </c>
      <c r="I1121" s="83">
        <v>614.16594835770422</v>
      </c>
      <c r="J1121" s="83">
        <v>16.604621918849467</v>
      </c>
    </row>
    <row r="1122" spans="1:10" ht="16">
      <c r="A1122" s="79" t="s">
        <v>1034</v>
      </c>
      <c r="B1122" s="79" t="s">
        <v>1007</v>
      </c>
      <c r="C1122" s="80" t="s">
        <v>95</v>
      </c>
      <c r="D1122" s="81" t="s">
        <v>77</v>
      </c>
      <c r="E1122" s="82">
        <v>8807</v>
      </c>
      <c r="F1122" s="82">
        <v>531</v>
      </c>
      <c r="G1122" s="82">
        <v>440</v>
      </c>
      <c r="H1122" s="83">
        <v>18.362533864451198</v>
      </c>
      <c r="I1122" s="83">
        <v>4502.3254103066774</v>
      </c>
      <c r="J1122" s="83">
        <v>22.609332585045724</v>
      </c>
    </row>
    <row r="1123" spans="1:10" ht="16">
      <c r="A1123" s="79" t="s">
        <v>1069</v>
      </c>
      <c r="B1123" s="79" t="s">
        <v>1039</v>
      </c>
      <c r="C1123" s="80" t="s">
        <v>95</v>
      </c>
      <c r="D1123" s="81" t="s">
        <v>101</v>
      </c>
      <c r="E1123" s="82">
        <v>62811</v>
      </c>
      <c r="F1123" s="82">
        <v>3049</v>
      </c>
      <c r="G1123" s="82">
        <v>3769</v>
      </c>
      <c r="H1123" s="83">
        <v>18.793050134555209</v>
      </c>
      <c r="I1123" s="83">
        <v>6846.5949108345185</v>
      </c>
      <c r="J1123" s="83">
        <v>26.280239058511299</v>
      </c>
    </row>
    <row r="1124" spans="1:10" ht="16">
      <c r="A1124" s="79" t="s">
        <v>1157</v>
      </c>
      <c r="B1124" s="79" t="s">
        <v>1154</v>
      </c>
      <c r="C1124" s="80" t="s">
        <v>95</v>
      </c>
      <c r="D1124" s="81" t="s">
        <v>149</v>
      </c>
      <c r="E1124" s="82">
        <v>32178</v>
      </c>
      <c r="F1124" s="82">
        <v>2384</v>
      </c>
      <c r="G1124" s="82">
        <v>322</v>
      </c>
      <c r="H1124" s="83">
        <v>10.88069256552156</v>
      </c>
      <c r="I1124" s="83">
        <v>1806.6433548803031</v>
      </c>
      <c r="J1124" s="83">
        <v>29.720889736063103</v>
      </c>
    </row>
    <row r="1125" spans="1:10" ht="16">
      <c r="A1125" s="79" t="s">
        <v>1207</v>
      </c>
      <c r="B1125" s="79" t="s">
        <v>1204</v>
      </c>
      <c r="C1125" s="80" t="s">
        <v>95</v>
      </c>
      <c r="D1125" s="81" t="s">
        <v>101</v>
      </c>
      <c r="E1125" s="82">
        <v>14286</v>
      </c>
      <c r="F1125" s="82">
        <v>687</v>
      </c>
      <c r="G1125" s="82">
        <v>8572</v>
      </c>
      <c r="H1125" s="83">
        <v>11.990804997845393</v>
      </c>
      <c r="I1125" s="83">
        <v>4610.9908030845963</v>
      </c>
      <c r="J1125" s="83">
        <v>19.616742188042718</v>
      </c>
    </row>
    <row r="1126" spans="1:10" ht="16">
      <c r="A1126" s="79" t="s">
        <v>1292</v>
      </c>
      <c r="B1126" s="79" t="s">
        <v>1209</v>
      </c>
      <c r="C1126" s="80" t="s">
        <v>126</v>
      </c>
      <c r="D1126" s="81" t="s">
        <v>79</v>
      </c>
      <c r="E1126" s="82">
        <v>26218</v>
      </c>
      <c r="F1126" s="82">
        <v>1748</v>
      </c>
      <c r="G1126" s="82">
        <v>8914</v>
      </c>
      <c r="H1126" s="83">
        <v>46.685667201332812</v>
      </c>
      <c r="I1126" s="83">
        <v>38542.755032796398</v>
      </c>
      <c r="J1126" s="83">
        <v>45.880961965290524</v>
      </c>
    </row>
    <row r="1127" spans="1:10" ht="16">
      <c r="A1127" s="79" t="s">
        <v>760</v>
      </c>
      <c r="B1127" s="79" t="s">
        <v>661</v>
      </c>
      <c r="C1127" s="80" t="s">
        <v>95</v>
      </c>
      <c r="D1127" s="81" t="s">
        <v>103</v>
      </c>
      <c r="E1127" s="82">
        <v>3002</v>
      </c>
      <c r="F1127" s="82">
        <v>259</v>
      </c>
      <c r="G1127" s="82">
        <v>90</v>
      </c>
      <c r="H1127" s="83">
        <v>12.049813109690446</v>
      </c>
      <c r="I1127" s="83">
        <v>1617.548673397624</v>
      </c>
      <c r="J1127" s="83">
        <v>21.762012103221668</v>
      </c>
    </row>
    <row r="1128" spans="1:10" ht="16">
      <c r="A1128" s="79" t="s">
        <v>461</v>
      </c>
      <c r="B1128" s="79" t="s">
        <v>421</v>
      </c>
      <c r="C1128" s="80" t="s">
        <v>126</v>
      </c>
      <c r="D1128" s="81" t="s">
        <v>101</v>
      </c>
      <c r="E1128" s="82">
        <v>19268</v>
      </c>
      <c r="F1128" s="82">
        <v>456</v>
      </c>
      <c r="G1128" s="82">
        <v>2312</v>
      </c>
      <c r="H1128" s="83">
        <v>25.696504641808218</v>
      </c>
      <c r="I1128" s="83">
        <v>14486.94939727864</v>
      </c>
      <c r="J1128" s="83">
        <v>21.767992401142717</v>
      </c>
    </row>
    <row r="1129" spans="1:10" ht="16">
      <c r="A1129" s="79" t="s">
        <v>650</v>
      </c>
      <c r="B1129" s="79" t="s">
        <v>617</v>
      </c>
      <c r="C1129" s="80" t="s">
        <v>95</v>
      </c>
      <c r="D1129" s="81" t="s">
        <v>101</v>
      </c>
      <c r="E1129" s="82">
        <v>12636</v>
      </c>
      <c r="F1129" s="82">
        <v>854</v>
      </c>
      <c r="G1129" s="82">
        <v>1011</v>
      </c>
      <c r="H1129" s="83">
        <v>21.862972236846325</v>
      </c>
      <c r="I1129" s="83">
        <v>14668.036098544493</v>
      </c>
      <c r="J1129" s="83">
        <v>38.777336929860418</v>
      </c>
    </row>
    <row r="1130" spans="1:10" ht="16">
      <c r="A1130" s="79" t="s">
        <v>907</v>
      </c>
      <c r="B1130" s="79" t="s">
        <v>898</v>
      </c>
      <c r="C1130" s="80" t="s">
        <v>95</v>
      </c>
      <c r="D1130" s="81" t="s">
        <v>78</v>
      </c>
      <c r="E1130" s="82">
        <v>24174</v>
      </c>
      <c r="F1130" s="82">
        <v>1889</v>
      </c>
      <c r="G1130" s="82">
        <v>725</v>
      </c>
      <c r="H1130" s="83">
        <v>9.3822128485960299</v>
      </c>
      <c r="I1130" s="83">
        <v>1669.9285845851346</v>
      </c>
      <c r="J1130" s="83">
        <v>18.211813213164959</v>
      </c>
    </row>
    <row r="1131" spans="1:10" ht="16">
      <c r="A1131" s="79" t="s">
        <v>829</v>
      </c>
      <c r="B1131" s="79" t="s">
        <v>817</v>
      </c>
      <c r="C1131" s="80" t="s">
        <v>95</v>
      </c>
      <c r="D1131" s="81" t="s">
        <v>103</v>
      </c>
      <c r="E1131" s="82">
        <v>29921</v>
      </c>
      <c r="F1131" s="82">
        <v>1432</v>
      </c>
      <c r="G1131" s="82">
        <v>299</v>
      </c>
      <c r="H1131" s="83">
        <v>7.525037118922695</v>
      </c>
      <c r="I1131" s="83">
        <v>683.62552687010759</v>
      </c>
      <c r="J1131" s="83">
        <v>14.466179793119188</v>
      </c>
    </row>
    <row r="1132" spans="1:10" ht="16">
      <c r="A1132" s="79" t="s">
        <v>1158</v>
      </c>
      <c r="B1132" s="79" t="s">
        <v>1154</v>
      </c>
      <c r="C1132" s="80" t="s">
        <v>95</v>
      </c>
      <c r="D1132" s="81" t="s">
        <v>103</v>
      </c>
      <c r="E1132" s="82">
        <v>25335</v>
      </c>
      <c r="F1132" s="82">
        <v>2282</v>
      </c>
      <c r="G1132" s="82">
        <v>253</v>
      </c>
      <c r="H1132" s="83">
        <v>8.7839635250207149</v>
      </c>
      <c r="I1132" s="83">
        <v>1062.7793992047962</v>
      </c>
      <c r="J1132" s="83">
        <v>23.224567951152423</v>
      </c>
    </row>
    <row r="1133" spans="1:10" ht="16">
      <c r="A1133" s="79" t="s">
        <v>1003</v>
      </c>
      <c r="B1133" s="79" t="s">
        <v>996</v>
      </c>
      <c r="C1133" s="80" t="s">
        <v>95</v>
      </c>
      <c r="D1133" s="81" t="s">
        <v>77</v>
      </c>
      <c r="E1133" s="82">
        <v>193874</v>
      </c>
      <c r="F1133" s="82">
        <v>1249</v>
      </c>
      <c r="G1133" s="82">
        <v>13571</v>
      </c>
      <c r="H1133" s="83">
        <v>19.949071218124125</v>
      </c>
      <c r="I1133" s="83">
        <v>2867.8343040058649</v>
      </c>
      <c r="J1133" s="83">
        <v>22.684777930457933</v>
      </c>
    </row>
    <row r="1134" spans="1:10" ht="16">
      <c r="A1134" s="79" t="s">
        <v>134</v>
      </c>
      <c r="B1134" s="79" t="s">
        <v>108</v>
      </c>
      <c r="C1134" s="80" t="s">
        <v>95</v>
      </c>
      <c r="D1134" s="81" t="s">
        <v>76</v>
      </c>
      <c r="E1134" s="82">
        <v>20268</v>
      </c>
      <c r="F1134" s="82">
        <v>665</v>
      </c>
      <c r="G1134" s="82">
        <v>5067</v>
      </c>
      <c r="H1134" s="83">
        <v>40.028997696838353</v>
      </c>
      <c r="I1134" s="83">
        <v>25959.669880020367</v>
      </c>
      <c r="J1134" s="83">
        <v>32.045070162332216</v>
      </c>
    </row>
    <row r="1135" spans="1:10" ht="16">
      <c r="A1135" s="79" t="s">
        <v>1450</v>
      </c>
      <c r="B1135" s="79" t="s">
        <v>1307</v>
      </c>
      <c r="C1135" s="80" t="s">
        <v>95</v>
      </c>
      <c r="D1135" s="81" t="s">
        <v>77</v>
      </c>
      <c r="E1135" s="82">
        <v>32291</v>
      </c>
      <c r="F1135" s="82">
        <v>1993</v>
      </c>
      <c r="G1135" s="82">
        <v>1615</v>
      </c>
      <c r="H1135" s="83">
        <v>26.00881096929918</v>
      </c>
      <c r="I1135" s="83">
        <v>16300.098893303415</v>
      </c>
      <c r="J1135" s="83">
        <v>33.22090603967343</v>
      </c>
    </row>
    <row r="1136" spans="1:10" ht="16">
      <c r="A1136" s="79" t="s">
        <v>311</v>
      </c>
      <c r="B1136" s="79" t="s">
        <v>242</v>
      </c>
      <c r="C1136" s="80" t="s">
        <v>95</v>
      </c>
      <c r="D1136" s="81" t="s">
        <v>103</v>
      </c>
      <c r="E1136" s="82">
        <v>21401</v>
      </c>
      <c r="F1136" s="82">
        <v>2140</v>
      </c>
      <c r="G1136" s="82">
        <v>1473</v>
      </c>
      <c r="H1136" s="83">
        <v>10.560630981295175</v>
      </c>
      <c r="I1136" s="83">
        <v>1065.4936702829825</v>
      </c>
      <c r="J1136" s="83">
        <v>20.130168103124973</v>
      </c>
    </row>
    <row r="1137" spans="1:10" ht="16">
      <c r="A1137" s="79" t="s">
        <v>1451</v>
      </c>
      <c r="B1137" s="79" t="s">
        <v>1307</v>
      </c>
      <c r="C1137" s="80" t="s">
        <v>95</v>
      </c>
      <c r="D1137" s="81" t="s">
        <v>103</v>
      </c>
      <c r="E1137" s="82">
        <v>14542</v>
      </c>
      <c r="F1137" s="82">
        <v>414</v>
      </c>
      <c r="G1137" s="82">
        <v>436</v>
      </c>
      <c r="H1137" s="83">
        <v>15.752699748825195</v>
      </c>
      <c r="I1137" s="83">
        <v>7335.3458130103891</v>
      </c>
      <c r="J1137" s="83">
        <v>31.508886410769176</v>
      </c>
    </row>
    <row r="1138" spans="1:10" ht="16">
      <c r="A1138" s="79" t="s">
        <v>1452</v>
      </c>
      <c r="B1138" s="79" t="s">
        <v>1307</v>
      </c>
      <c r="C1138" s="80" t="s">
        <v>95</v>
      </c>
      <c r="D1138" s="81" t="s">
        <v>78</v>
      </c>
      <c r="E1138" s="82">
        <v>33885</v>
      </c>
      <c r="F1138" s="82">
        <v>1793</v>
      </c>
      <c r="G1138" s="82">
        <v>4744</v>
      </c>
      <c r="H1138" s="83">
        <v>34.278085198634805</v>
      </c>
      <c r="I1138" s="83">
        <v>29940.315440814426</v>
      </c>
      <c r="J1138" s="83">
        <v>30.611513420383012</v>
      </c>
    </row>
    <row r="1139" spans="1:10" ht="16">
      <c r="A1139" s="79" t="s">
        <v>1293</v>
      </c>
      <c r="B1139" s="79" t="s">
        <v>1209</v>
      </c>
      <c r="C1139" s="80" t="s">
        <v>95</v>
      </c>
      <c r="D1139" s="81" t="s">
        <v>99</v>
      </c>
      <c r="E1139" s="82">
        <v>15664</v>
      </c>
      <c r="F1139" s="82">
        <v>1058</v>
      </c>
      <c r="G1139" s="82">
        <v>2976</v>
      </c>
      <c r="H1139" s="83">
        <v>10.152782816167171</v>
      </c>
      <c r="I1139" s="83">
        <v>2579.8174343651681</v>
      </c>
      <c r="J1139" s="83">
        <v>16.549939313991651</v>
      </c>
    </row>
    <row r="1140" spans="1:10" ht="16">
      <c r="A1140" s="79" t="s">
        <v>1294</v>
      </c>
      <c r="B1140" s="79" t="s">
        <v>1209</v>
      </c>
      <c r="C1140" s="80" t="s">
        <v>95</v>
      </c>
      <c r="D1140" s="81" t="s">
        <v>76</v>
      </c>
      <c r="E1140" s="82">
        <v>23863</v>
      </c>
      <c r="F1140" s="82">
        <v>1742</v>
      </c>
      <c r="G1140" s="82">
        <v>8113</v>
      </c>
      <c r="H1140" s="83">
        <v>44.400867584557631</v>
      </c>
      <c r="I1140" s="83">
        <v>39052.019123039761</v>
      </c>
      <c r="J1140" s="83">
        <v>40.780392125090046</v>
      </c>
    </row>
    <row r="1141" spans="1:10" ht="16">
      <c r="A1141" s="79" t="s">
        <v>1453</v>
      </c>
      <c r="B1141" s="79" t="s">
        <v>1307</v>
      </c>
      <c r="C1141" s="80" t="s">
        <v>95</v>
      </c>
      <c r="D1141" s="81" t="s">
        <v>101</v>
      </c>
      <c r="E1141" s="82">
        <v>36929</v>
      </c>
      <c r="F1141" s="82">
        <v>3156</v>
      </c>
      <c r="G1141" s="82">
        <v>9232</v>
      </c>
      <c r="H1141" s="83">
        <v>59.465876649409466</v>
      </c>
      <c r="I1141" s="83">
        <v>55209.87489193763</v>
      </c>
      <c r="J1141" s="83">
        <v>55.308672746896086</v>
      </c>
    </row>
    <row r="1142" spans="1:10" ht="16">
      <c r="A1142" s="79" t="s">
        <v>361</v>
      </c>
      <c r="B1142" s="79" t="s">
        <v>355</v>
      </c>
      <c r="C1142" s="80" t="s">
        <v>95</v>
      </c>
      <c r="D1142" s="81" t="s">
        <v>79</v>
      </c>
      <c r="E1142" s="82">
        <v>21281</v>
      </c>
      <c r="F1142" s="82">
        <v>1759</v>
      </c>
      <c r="G1142" s="82">
        <v>3618</v>
      </c>
      <c r="H1142" s="83">
        <v>28.44656093899901</v>
      </c>
      <c r="I1142" s="83">
        <v>23993.885899182642</v>
      </c>
      <c r="J1142" s="83">
        <v>21.502717875102086</v>
      </c>
    </row>
    <row r="1143" spans="1:10" ht="16">
      <c r="A1143" s="79" t="s">
        <v>135</v>
      </c>
      <c r="B1143" s="79" t="s">
        <v>108</v>
      </c>
      <c r="C1143" s="80" t="s">
        <v>95</v>
      </c>
      <c r="D1143" s="81" t="s">
        <v>79</v>
      </c>
      <c r="E1143" s="82">
        <v>12405</v>
      </c>
      <c r="F1143" s="82">
        <v>481</v>
      </c>
      <c r="G1143" s="82">
        <v>1861</v>
      </c>
      <c r="H1143" s="83">
        <v>20.71581250676569</v>
      </c>
      <c r="I1143" s="83">
        <v>10922.108191159647</v>
      </c>
      <c r="J1143" s="83">
        <v>19.485380517875345</v>
      </c>
    </row>
    <row r="1144" spans="1:10" ht="16">
      <c r="A1144" s="79" t="s">
        <v>332</v>
      </c>
      <c r="B1144" s="79" t="s">
        <v>333</v>
      </c>
      <c r="C1144" s="80" t="s">
        <v>126</v>
      </c>
      <c r="D1144" s="81" t="s">
        <v>76</v>
      </c>
      <c r="E1144" s="82">
        <v>20043</v>
      </c>
      <c r="F1144" s="82">
        <v>891</v>
      </c>
      <c r="G1144" s="82">
        <v>401</v>
      </c>
      <c r="H1144" s="83">
        <v>12.808662074394705</v>
      </c>
      <c r="I1144" s="83">
        <v>7022.7846987810144</v>
      </c>
      <c r="J1144" s="83">
        <v>16.14227728845913</v>
      </c>
    </row>
    <row r="1145" spans="1:10" ht="16">
      <c r="A1145" s="79" t="s">
        <v>1295</v>
      </c>
      <c r="B1145" s="79" t="s">
        <v>1209</v>
      </c>
      <c r="C1145" s="80" t="s">
        <v>95</v>
      </c>
      <c r="D1145" s="81" t="s">
        <v>101</v>
      </c>
      <c r="E1145" s="82">
        <v>9213</v>
      </c>
      <c r="F1145" s="82">
        <v>725</v>
      </c>
      <c r="G1145" s="82">
        <v>4238</v>
      </c>
      <c r="H1145" s="83">
        <v>41.836230752636965</v>
      </c>
      <c r="I1145" s="83">
        <v>28372.981073298884</v>
      </c>
      <c r="J1145" s="83">
        <v>42.348638286017909</v>
      </c>
    </row>
    <row r="1146" spans="1:10" ht="16">
      <c r="A1146" s="79" t="s">
        <v>1097</v>
      </c>
      <c r="B1146" s="79" t="s">
        <v>1091</v>
      </c>
      <c r="C1146" s="80" t="s">
        <v>126</v>
      </c>
      <c r="D1146" s="81" t="s">
        <v>149</v>
      </c>
      <c r="E1146" s="82">
        <v>7579</v>
      </c>
      <c r="F1146" s="82">
        <v>642</v>
      </c>
      <c r="G1146" s="82">
        <v>2577</v>
      </c>
      <c r="H1146" s="83">
        <v>19.90342631316156</v>
      </c>
      <c r="I1146" s="83">
        <v>11601.429599943553</v>
      </c>
      <c r="J1146" s="83">
        <v>31.093008424321592</v>
      </c>
    </row>
    <row r="1147" spans="1:10" ht="16">
      <c r="A1147" s="79" t="s">
        <v>1296</v>
      </c>
      <c r="B1147" s="79" t="s">
        <v>1209</v>
      </c>
      <c r="C1147" s="80" t="s">
        <v>95</v>
      </c>
      <c r="D1147" s="81" t="s">
        <v>78</v>
      </c>
      <c r="E1147" s="82">
        <v>9250</v>
      </c>
      <c r="F1147" s="82">
        <v>585</v>
      </c>
      <c r="G1147" s="82">
        <v>2128</v>
      </c>
      <c r="H1147" s="83">
        <v>26.191495958007735</v>
      </c>
      <c r="I1147" s="83">
        <v>19109.659296906804</v>
      </c>
      <c r="J1147" s="83">
        <v>24.563504445212999</v>
      </c>
    </row>
    <row r="1148" spans="1:10" ht="16">
      <c r="A1148" s="79" t="s">
        <v>416</v>
      </c>
      <c r="B1148" s="79" t="s">
        <v>396</v>
      </c>
      <c r="C1148" s="80" t="s">
        <v>95</v>
      </c>
      <c r="D1148" s="81" t="s">
        <v>99</v>
      </c>
      <c r="E1148" s="82">
        <v>46898</v>
      </c>
      <c r="F1148" s="82">
        <v>2495</v>
      </c>
      <c r="G1148" s="82">
        <v>9380</v>
      </c>
      <c r="H1148" s="83">
        <v>21.31047234492533</v>
      </c>
      <c r="I1148" s="83">
        <v>13168.863350737258</v>
      </c>
      <c r="J1148" s="83">
        <v>28.966555009099491</v>
      </c>
    </row>
    <row r="1149" spans="1:10" ht="16">
      <c r="A1149" s="79" t="s">
        <v>1297</v>
      </c>
      <c r="B1149" s="79" t="s">
        <v>1209</v>
      </c>
      <c r="C1149" s="80" t="s">
        <v>126</v>
      </c>
      <c r="D1149" s="81" t="s">
        <v>99</v>
      </c>
      <c r="E1149" s="82">
        <v>18517</v>
      </c>
      <c r="F1149" s="82">
        <v>975</v>
      </c>
      <c r="G1149" s="82">
        <v>5000</v>
      </c>
      <c r="H1149" s="83">
        <v>32.039255426378979</v>
      </c>
      <c r="I1149" s="83">
        <v>16403.800873961685</v>
      </c>
      <c r="J1149" s="83">
        <v>28.479655988739331</v>
      </c>
    </row>
    <row r="1150" spans="1:10" ht="16">
      <c r="A1150" s="79" t="s">
        <v>462</v>
      </c>
      <c r="B1150" s="79" t="s">
        <v>421</v>
      </c>
      <c r="C1150" s="80" t="s">
        <v>126</v>
      </c>
      <c r="D1150" s="81" t="s">
        <v>96</v>
      </c>
      <c r="E1150" s="82">
        <v>26004</v>
      </c>
      <c r="F1150" s="82">
        <v>568</v>
      </c>
      <c r="G1150" s="82">
        <v>5201</v>
      </c>
      <c r="H1150" s="83">
        <v>46.122341761031308</v>
      </c>
      <c r="I1150" s="83">
        <v>23793.156919597153</v>
      </c>
      <c r="J1150" s="83">
        <v>42.297025554076747</v>
      </c>
    </row>
    <row r="1151" spans="1:10" ht="16">
      <c r="A1151" s="79" t="s">
        <v>1298</v>
      </c>
      <c r="B1151" s="79" t="s">
        <v>1209</v>
      </c>
      <c r="C1151" s="80" t="s">
        <v>95</v>
      </c>
      <c r="D1151" s="81" t="s">
        <v>96</v>
      </c>
      <c r="E1151" s="82">
        <v>13125</v>
      </c>
      <c r="F1151" s="82">
        <v>820</v>
      </c>
      <c r="G1151" s="82">
        <v>4856</v>
      </c>
      <c r="H1151" s="83">
        <v>34.513748856855003</v>
      </c>
      <c r="I1151" s="83">
        <v>24679.703816878784</v>
      </c>
      <c r="J1151" s="83">
        <v>30.6510215427665</v>
      </c>
    </row>
    <row r="1152" spans="1:10" ht="16">
      <c r="A1152" s="79" t="s">
        <v>1299</v>
      </c>
      <c r="B1152" s="79" t="s">
        <v>1209</v>
      </c>
      <c r="C1152" s="80" t="s">
        <v>95</v>
      </c>
      <c r="D1152" s="81" t="s">
        <v>79</v>
      </c>
      <c r="E1152" s="82">
        <v>14978</v>
      </c>
      <c r="F1152" s="82">
        <v>930</v>
      </c>
      <c r="G1152" s="82">
        <v>5841</v>
      </c>
      <c r="H1152" s="83">
        <v>38.754845617617349</v>
      </c>
      <c r="I1152" s="83">
        <v>34810.040402240178</v>
      </c>
      <c r="J1152" s="83">
        <v>36.131966346911149</v>
      </c>
    </row>
    <row r="1153" spans="1:10" ht="16">
      <c r="A1153" s="79" t="s">
        <v>136</v>
      </c>
      <c r="B1153" s="79" t="s">
        <v>108</v>
      </c>
      <c r="C1153" s="80" t="s">
        <v>95</v>
      </c>
      <c r="D1153" s="81" t="s">
        <v>77</v>
      </c>
      <c r="E1153" s="82">
        <v>45111</v>
      </c>
      <c r="F1153" s="82">
        <v>2244</v>
      </c>
      <c r="G1153" s="82">
        <v>17593</v>
      </c>
      <c r="H1153" s="83">
        <v>62.116882469216492</v>
      </c>
      <c r="I1153" s="83">
        <v>55827.642521069574</v>
      </c>
      <c r="J1153" s="83">
        <v>51.898505468339884</v>
      </c>
    </row>
    <row r="1154" spans="1:10" ht="16">
      <c r="A1154" s="79" t="s">
        <v>489</v>
      </c>
      <c r="B1154" s="79" t="s">
        <v>485</v>
      </c>
      <c r="C1154" s="80" t="s">
        <v>95</v>
      </c>
      <c r="D1154" s="81" t="s">
        <v>99</v>
      </c>
      <c r="E1154" s="82">
        <v>19700</v>
      </c>
      <c r="F1154" s="82">
        <v>1576</v>
      </c>
      <c r="G1154" s="82">
        <v>3152</v>
      </c>
      <c r="H1154" s="83">
        <v>12.895937013038624</v>
      </c>
      <c r="I1154" s="83">
        <v>4549.8291341347131</v>
      </c>
      <c r="J1154" s="83">
        <v>22.788323762000203</v>
      </c>
    </row>
    <row r="1155" spans="1:10" ht="16">
      <c r="A1155" s="79" t="s">
        <v>590</v>
      </c>
      <c r="B1155" s="79" t="s">
        <v>556</v>
      </c>
      <c r="C1155" s="80" t="s">
        <v>126</v>
      </c>
      <c r="D1155" s="81" t="s">
        <v>103</v>
      </c>
      <c r="E1155" s="82">
        <v>20360</v>
      </c>
      <c r="F1155" s="82">
        <v>771</v>
      </c>
      <c r="G1155" s="82">
        <v>936</v>
      </c>
      <c r="H1155" s="83">
        <v>20.245287830477213</v>
      </c>
      <c r="I1155" s="83">
        <v>8401.9169072593995</v>
      </c>
      <c r="J1155" s="83">
        <v>28.755523350848229</v>
      </c>
    </row>
    <row r="1156" spans="1:10" ht="16">
      <c r="A1156" s="79" t="s">
        <v>239</v>
      </c>
      <c r="B1156" s="79" t="s">
        <v>231</v>
      </c>
      <c r="C1156" s="80" t="s">
        <v>126</v>
      </c>
      <c r="D1156" s="81" t="s">
        <v>96</v>
      </c>
      <c r="E1156" s="82">
        <v>10795</v>
      </c>
      <c r="F1156" s="82">
        <v>670</v>
      </c>
      <c r="G1156" s="82">
        <v>108</v>
      </c>
      <c r="H1156" s="83">
        <v>11.537174748206677</v>
      </c>
      <c r="I1156" s="83">
        <v>3087.4289071696403</v>
      </c>
      <c r="J1156" s="83">
        <v>15.755170109475143</v>
      </c>
    </row>
    <row r="1157" spans="1:10" ht="16">
      <c r="A1157" s="79" t="s">
        <v>386</v>
      </c>
      <c r="B1157" s="79" t="s">
        <v>384</v>
      </c>
      <c r="C1157" s="80" t="s">
        <v>95</v>
      </c>
      <c r="D1157" s="81" t="s">
        <v>149</v>
      </c>
      <c r="E1157" s="82">
        <v>8532</v>
      </c>
      <c r="F1157" s="82">
        <v>736</v>
      </c>
      <c r="G1157" s="82">
        <v>683</v>
      </c>
      <c r="H1157" s="83">
        <v>27.90586147939711</v>
      </c>
      <c r="I1157" s="83">
        <v>22405.953467608651</v>
      </c>
      <c r="J1157" s="83">
        <v>27.517187890803669</v>
      </c>
    </row>
    <row r="1158" spans="1:10" ht="16">
      <c r="A1158" s="79" t="s">
        <v>137</v>
      </c>
      <c r="B1158" s="79" t="s">
        <v>108</v>
      </c>
      <c r="C1158" s="80" t="s">
        <v>95</v>
      </c>
      <c r="D1158" s="81" t="s">
        <v>78</v>
      </c>
      <c r="E1158" s="82">
        <v>18219</v>
      </c>
      <c r="F1158" s="82">
        <v>732</v>
      </c>
      <c r="G1158" s="82">
        <v>5466</v>
      </c>
      <c r="H1158" s="83">
        <v>34.265045577091541</v>
      </c>
      <c r="I1158" s="83">
        <v>21280.567877664005</v>
      </c>
      <c r="J1158" s="83">
        <v>26.941906344230052</v>
      </c>
    </row>
    <row r="1159" spans="1:10" ht="16">
      <c r="A1159" s="79" t="s">
        <v>138</v>
      </c>
      <c r="B1159" s="79" t="s">
        <v>108</v>
      </c>
      <c r="C1159" s="80" t="s">
        <v>95</v>
      </c>
      <c r="D1159" s="81" t="s">
        <v>75</v>
      </c>
      <c r="E1159" s="82">
        <v>26385</v>
      </c>
      <c r="F1159" s="82">
        <v>608</v>
      </c>
      <c r="G1159" s="82">
        <v>8971</v>
      </c>
      <c r="H1159" s="83">
        <v>42.916317179302901</v>
      </c>
      <c r="I1159" s="83">
        <v>32323.482993779999</v>
      </c>
      <c r="J1159" s="83">
        <v>34.084689068164998</v>
      </c>
    </row>
    <row r="1160" spans="1:10" ht="16">
      <c r="A1160" s="79" t="s">
        <v>598</v>
      </c>
      <c r="B1160" s="79" t="s">
        <v>597</v>
      </c>
      <c r="C1160" s="80" t="s">
        <v>95</v>
      </c>
      <c r="D1160" s="81" t="s">
        <v>76</v>
      </c>
      <c r="E1160" s="82">
        <v>10450</v>
      </c>
      <c r="F1160" s="82">
        <v>1659</v>
      </c>
      <c r="G1160" s="82">
        <v>727</v>
      </c>
      <c r="H1160" s="83">
        <v>7.4358467628039913</v>
      </c>
      <c r="I1160" s="83">
        <v>1421.3654592214889</v>
      </c>
      <c r="J1160" s="83">
        <v>20.826724988810341</v>
      </c>
    </row>
    <row r="1161" spans="1:10" ht="16">
      <c r="A1161" s="79" t="s">
        <v>591</v>
      </c>
      <c r="B1161" s="79" t="s">
        <v>556</v>
      </c>
      <c r="C1161" s="80" t="s">
        <v>126</v>
      </c>
      <c r="D1161" s="81" t="s">
        <v>101</v>
      </c>
      <c r="E1161" s="82">
        <v>53614</v>
      </c>
      <c r="F1161" s="82">
        <v>2188</v>
      </c>
      <c r="G1161" s="82">
        <v>1072</v>
      </c>
      <c r="H1161" s="83">
        <v>24.272128644069806</v>
      </c>
      <c r="I1161" s="83">
        <v>9114.0406049995017</v>
      </c>
      <c r="J1161" s="83">
        <v>36.855103692245045</v>
      </c>
    </row>
    <row r="1162" spans="1:10" ht="16">
      <c r="A1162" s="79" t="s">
        <v>1454</v>
      </c>
      <c r="B1162" s="79" t="s">
        <v>1307</v>
      </c>
      <c r="C1162" s="80" t="s">
        <v>95</v>
      </c>
      <c r="D1162" s="81" t="s">
        <v>101</v>
      </c>
      <c r="E1162" s="82">
        <v>28835</v>
      </c>
      <c r="F1162" s="82">
        <v>1144</v>
      </c>
      <c r="G1162" s="82">
        <v>4325</v>
      </c>
      <c r="H1162" s="83">
        <v>18.334230550557724</v>
      </c>
      <c r="I1162" s="83">
        <v>9196.4777834413908</v>
      </c>
      <c r="J1162" s="83">
        <v>21.558780798758288</v>
      </c>
    </row>
    <row r="1163" spans="1:10" ht="16">
      <c r="A1163" s="79" t="s">
        <v>1455</v>
      </c>
      <c r="B1163" s="79" t="s">
        <v>1307</v>
      </c>
      <c r="C1163" s="80" t="s">
        <v>95</v>
      </c>
      <c r="D1163" s="81" t="s">
        <v>77</v>
      </c>
      <c r="E1163" s="82">
        <v>49165</v>
      </c>
      <c r="F1163" s="82">
        <v>2858</v>
      </c>
      <c r="G1163" s="82">
        <v>4917</v>
      </c>
      <c r="H1163" s="83">
        <v>76.472910607979543</v>
      </c>
      <c r="I1163" s="83">
        <v>71058.073476229954</v>
      </c>
      <c r="J1163" s="83">
        <v>68.958510770528633</v>
      </c>
    </row>
    <row r="1164" spans="1:10" ht="16">
      <c r="A1164" s="79" t="s">
        <v>1456</v>
      </c>
      <c r="B1164" s="79" t="s">
        <v>1307</v>
      </c>
      <c r="C1164" s="80" t="s">
        <v>126</v>
      </c>
      <c r="D1164" s="81" t="s">
        <v>111</v>
      </c>
      <c r="E1164" s="82">
        <v>22757</v>
      </c>
      <c r="F1164" s="82">
        <v>1054</v>
      </c>
      <c r="G1164" s="82">
        <v>5689</v>
      </c>
      <c r="H1164" s="83">
        <v>29.622025914420103</v>
      </c>
      <c r="I1164" s="83">
        <v>24074.607814765084</v>
      </c>
      <c r="J1164" s="83">
        <v>24.607706058262455</v>
      </c>
    </row>
    <row r="1165" spans="1:10" ht="16">
      <c r="A1165" s="79" t="s">
        <v>1457</v>
      </c>
      <c r="B1165" s="79" t="s">
        <v>1307</v>
      </c>
      <c r="C1165" s="80" t="s">
        <v>95</v>
      </c>
      <c r="D1165" s="81" t="s">
        <v>96</v>
      </c>
      <c r="E1165" s="82">
        <v>17089</v>
      </c>
      <c r="F1165" s="82">
        <v>737</v>
      </c>
      <c r="G1165" s="82">
        <v>1367</v>
      </c>
      <c r="H1165" s="83">
        <v>23.195605001854489</v>
      </c>
      <c r="I1165" s="83">
        <v>8345.663055106068</v>
      </c>
      <c r="J1165" s="83">
        <v>21.628837739284013</v>
      </c>
    </row>
    <row r="1166" spans="1:10" ht="16">
      <c r="A1166" s="79" t="s">
        <v>1458</v>
      </c>
      <c r="B1166" s="79" t="s">
        <v>1307</v>
      </c>
      <c r="C1166" s="80" t="s">
        <v>95</v>
      </c>
      <c r="D1166" s="81" t="s">
        <v>99</v>
      </c>
      <c r="E1166" s="82">
        <v>24435</v>
      </c>
      <c r="F1166" s="82">
        <v>997</v>
      </c>
      <c r="G1166" s="82">
        <v>977</v>
      </c>
      <c r="H1166" s="83">
        <v>21.866036153998532</v>
      </c>
      <c r="I1166" s="83">
        <v>16482.368882030933</v>
      </c>
      <c r="J1166" s="83">
        <v>19.029895534930308</v>
      </c>
    </row>
    <row r="1167" spans="1:10" ht="16">
      <c r="A1167" s="79" t="s">
        <v>475</v>
      </c>
      <c r="B1167" s="79" t="s">
        <v>467</v>
      </c>
      <c r="C1167" s="80" t="s">
        <v>95</v>
      </c>
      <c r="D1167" s="81" t="s">
        <v>149</v>
      </c>
      <c r="E1167" s="82">
        <v>13040</v>
      </c>
      <c r="F1167" s="82">
        <v>316</v>
      </c>
      <c r="G1167" s="82">
        <v>130</v>
      </c>
      <c r="H1167" s="83">
        <v>17.804867402351018</v>
      </c>
      <c r="I1167" s="83">
        <v>7895.8736892288271</v>
      </c>
      <c r="J1167" s="83">
        <v>18.975282360840204</v>
      </c>
    </row>
    <row r="1168" spans="1:10" ht="16">
      <c r="A1168" s="79" t="s">
        <v>240</v>
      </c>
      <c r="B1168" s="79" t="s">
        <v>231</v>
      </c>
      <c r="C1168" s="80" t="s">
        <v>95</v>
      </c>
      <c r="D1168" s="81" t="s">
        <v>101</v>
      </c>
      <c r="E1168" s="82">
        <v>8402</v>
      </c>
      <c r="F1168" s="82">
        <v>583</v>
      </c>
      <c r="G1168" s="82">
        <v>168</v>
      </c>
      <c r="H1168" s="83">
        <v>10.619487011675702</v>
      </c>
      <c r="I1168" s="83">
        <v>1648.8836047425821</v>
      </c>
      <c r="J1168" s="83">
        <v>16.738820238924291</v>
      </c>
    </row>
    <row r="1169" spans="1:10" ht="16">
      <c r="A1169" s="79" t="s">
        <v>328</v>
      </c>
      <c r="B1169" s="79" t="s">
        <v>323</v>
      </c>
      <c r="C1169" s="80" t="s">
        <v>126</v>
      </c>
      <c r="D1169" s="81" t="s">
        <v>77</v>
      </c>
      <c r="E1169" s="82">
        <v>15521</v>
      </c>
      <c r="F1169" s="82">
        <v>1176</v>
      </c>
      <c r="G1169" s="82">
        <v>310</v>
      </c>
      <c r="H1169" s="83">
        <v>16.066978091787462</v>
      </c>
      <c r="I1169" s="83">
        <v>7175.7848391895322</v>
      </c>
      <c r="J1169" s="83">
        <v>21.355135458754308</v>
      </c>
    </row>
    <row r="1170" spans="1:10" ht="16">
      <c r="A1170" s="79" t="s">
        <v>1477</v>
      </c>
      <c r="B1170" s="79" t="s">
        <v>1478</v>
      </c>
      <c r="C1170" s="80" t="s">
        <v>95</v>
      </c>
      <c r="D1170" s="81" t="s">
        <v>103</v>
      </c>
      <c r="E1170" s="82">
        <v>42198</v>
      </c>
      <c r="F1170" s="82">
        <v>2512</v>
      </c>
      <c r="G1170" s="82">
        <v>4007</v>
      </c>
      <c r="H1170" s="83">
        <v>8.380391665347144</v>
      </c>
      <c r="I1170" s="83">
        <v>719.03513312496739</v>
      </c>
      <c r="J1170" s="83">
        <v>15.076359718175427</v>
      </c>
    </row>
    <row r="1171" spans="1:10" ht="16">
      <c r="A1171" s="79" t="s">
        <v>1070</v>
      </c>
      <c r="B1171" s="79" t="s">
        <v>1039</v>
      </c>
      <c r="C1171" s="80" t="s">
        <v>95</v>
      </c>
      <c r="D1171" s="81" t="s">
        <v>77</v>
      </c>
      <c r="E1171" s="82">
        <v>11277</v>
      </c>
      <c r="F1171" s="82">
        <v>881</v>
      </c>
      <c r="G1171" s="82">
        <v>789</v>
      </c>
      <c r="H1171" s="83">
        <v>14.477585414831122</v>
      </c>
      <c r="I1171" s="83">
        <v>8044.1753284829892</v>
      </c>
      <c r="J1171" s="83">
        <v>20.825658476477045</v>
      </c>
    </row>
    <row r="1172" spans="1:10" ht="16">
      <c r="A1172" s="79" t="s">
        <v>1071</v>
      </c>
      <c r="B1172" s="79" t="s">
        <v>1039</v>
      </c>
      <c r="C1172" s="80" t="s">
        <v>95</v>
      </c>
      <c r="D1172" s="81" t="s">
        <v>101</v>
      </c>
      <c r="E1172" s="82">
        <v>42485</v>
      </c>
      <c r="F1172" s="82">
        <v>2871</v>
      </c>
      <c r="G1172" s="82">
        <v>1699</v>
      </c>
      <c r="H1172" s="83">
        <v>17.267363132449631</v>
      </c>
      <c r="I1172" s="83">
        <v>8110.3579097210741</v>
      </c>
      <c r="J1172" s="83">
        <v>22.18304631162507</v>
      </c>
    </row>
    <row r="1173" spans="1:10" ht="16">
      <c r="A1173" s="79" t="s">
        <v>329</v>
      </c>
      <c r="B1173" s="79" t="s">
        <v>323</v>
      </c>
      <c r="C1173" s="80" t="s">
        <v>95</v>
      </c>
      <c r="D1173" s="81" t="s">
        <v>79</v>
      </c>
      <c r="E1173" s="82">
        <v>14228</v>
      </c>
      <c r="F1173" s="82">
        <v>694</v>
      </c>
      <c r="G1173" s="82">
        <v>427</v>
      </c>
      <c r="H1173" s="83">
        <v>11.726196197484443</v>
      </c>
      <c r="I1173" s="83">
        <v>1255.7690046807718</v>
      </c>
      <c r="J1173" s="83">
        <v>15.506824603484905</v>
      </c>
    </row>
    <row r="1174" spans="1:10" ht="16">
      <c r="A1174" s="79" t="s">
        <v>896</v>
      </c>
      <c r="B1174" s="79" t="s">
        <v>895</v>
      </c>
      <c r="C1174" s="80" t="s">
        <v>95</v>
      </c>
      <c r="D1174" s="81" t="s">
        <v>78</v>
      </c>
      <c r="E1174" s="82">
        <v>39877</v>
      </c>
      <c r="F1174" s="82">
        <v>4747</v>
      </c>
      <c r="G1174" s="82">
        <v>399</v>
      </c>
      <c r="H1174" s="83">
        <v>18.013760098708005</v>
      </c>
      <c r="I1174" s="83">
        <v>14999.57363284143</v>
      </c>
      <c r="J1174" s="83">
        <v>24.458875171554993</v>
      </c>
    </row>
    <row r="1175" spans="1:10" ht="16">
      <c r="A1175" s="79" t="s">
        <v>889</v>
      </c>
      <c r="B1175" s="79" t="s">
        <v>877</v>
      </c>
      <c r="C1175" s="80" t="s">
        <v>95</v>
      </c>
      <c r="D1175" s="81" t="s">
        <v>101</v>
      </c>
      <c r="E1175" s="82">
        <v>27907</v>
      </c>
      <c r="F1175" s="82">
        <v>1037</v>
      </c>
      <c r="G1175" s="82">
        <v>1942</v>
      </c>
      <c r="H1175" s="83">
        <v>11.384363668450183</v>
      </c>
      <c r="I1175" s="83">
        <v>3552.8694532481854</v>
      </c>
      <c r="J1175" s="83">
        <v>20.341381375442015</v>
      </c>
    </row>
    <row r="1176" spans="1:10" ht="16">
      <c r="A1176" s="79" t="s">
        <v>761</v>
      </c>
      <c r="B1176" s="79" t="s">
        <v>661</v>
      </c>
      <c r="C1176" s="80" t="s">
        <v>126</v>
      </c>
      <c r="D1176" s="81" t="s">
        <v>76</v>
      </c>
      <c r="E1176" s="82">
        <v>8222</v>
      </c>
      <c r="F1176" s="82">
        <v>754</v>
      </c>
      <c r="G1176" s="82">
        <v>164</v>
      </c>
      <c r="H1176" s="83">
        <v>11.839334345816207</v>
      </c>
      <c r="I1176" s="83">
        <v>1786.7497440826373</v>
      </c>
      <c r="J1176" s="83">
        <v>19.667864817492053</v>
      </c>
    </row>
    <row r="1177" spans="1:10" ht="16">
      <c r="A1177" s="79" t="s">
        <v>197</v>
      </c>
      <c r="B1177" s="79" t="s">
        <v>169</v>
      </c>
      <c r="C1177" s="80" t="s">
        <v>95</v>
      </c>
      <c r="D1177" s="81" t="s">
        <v>149</v>
      </c>
      <c r="E1177" s="82">
        <v>21715</v>
      </c>
      <c r="F1177" s="82">
        <v>916</v>
      </c>
      <c r="G1177" s="82">
        <v>1495</v>
      </c>
      <c r="H1177" s="83">
        <v>10.990310061311801</v>
      </c>
      <c r="I1177" s="83">
        <v>2150.8296310485066</v>
      </c>
      <c r="J1177" s="83">
        <v>18.631573685561452</v>
      </c>
    </row>
    <row r="1178" spans="1:10" ht="16">
      <c r="A1178" s="79" t="s">
        <v>139</v>
      </c>
      <c r="B1178" s="79" t="s">
        <v>108</v>
      </c>
      <c r="C1178" s="80" t="s">
        <v>95</v>
      </c>
      <c r="D1178" s="81" t="s">
        <v>103</v>
      </c>
      <c r="E1178" s="82">
        <v>9720</v>
      </c>
      <c r="F1178" s="82">
        <v>311</v>
      </c>
      <c r="G1178" s="82">
        <v>1652</v>
      </c>
      <c r="H1178" s="83">
        <v>24.423414203398377</v>
      </c>
      <c r="I1178" s="83">
        <v>10854.439251270913</v>
      </c>
      <c r="J1178" s="83">
        <v>17.544897911497898</v>
      </c>
    </row>
    <row r="1179" spans="1:10" ht="16">
      <c r="A1179" s="79" t="s">
        <v>1300</v>
      </c>
      <c r="B1179" s="79" t="s">
        <v>1209</v>
      </c>
      <c r="C1179" s="80" t="s">
        <v>95</v>
      </c>
      <c r="D1179" s="81" t="s">
        <v>103</v>
      </c>
      <c r="E1179" s="82">
        <v>21737</v>
      </c>
      <c r="F1179" s="82">
        <v>1188</v>
      </c>
      <c r="G1179" s="82">
        <v>4565</v>
      </c>
      <c r="H1179" s="83">
        <v>15.504768697477777</v>
      </c>
      <c r="I1179" s="83">
        <v>7400.1583815116292</v>
      </c>
      <c r="J1179" s="83">
        <v>17.847854578506002</v>
      </c>
    </row>
    <row r="1180" spans="1:10" ht="16">
      <c r="A1180" s="79" t="s">
        <v>1301</v>
      </c>
      <c r="B1180" s="79" t="s">
        <v>1209</v>
      </c>
      <c r="C1180" s="80" t="s">
        <v>95</v>
      </c>
      <c r="D1180" s="81" t="s">
        <v>99</v>
      </c>
      <c r="E1180" s="82">
        <v>11730</v>
      </c>
      <c r="F1180" s="82">
        <v>524</v>
      </c>
      <c r="G1180" s="82">
        <v>2463</v>
      </c>
      <c r="H1180" s="83">
        <v>14.272284107806483</v>
      </c>
      <c r="I1180" s="83">
        <v>10728.8347338525</v>
      </c>
      <c r="J1180" s="83">
        <v>14.235193490397906</v>
      </c>
    </row>
    <row r="1181" spans="1:10" ht="16">
      <c r="A1181" s="79" t="s">
        <v>1004</v>
      </c>
      <c r="B1181" s="79" t="s">
        <v>996</v>
      </c>
      <c r="C1181" s="80" t="s">
        <v>95</v>
      </c>
      <c r="D1181" s="81" t="s">
        <v>99</v>
      </c>
      <c r="E1181" s="82">
        <v>21999</v>
      </c>
      <c r="F1181" s="82">
        <v>721</v>
      </c>
      <c r="G1181" s="82">
        <v>1760</v>
      </c>
      <c r="H1181" s="83">
        <v>20.864674029168629</v>
      </c>
      <c r="I1181" s="83">
        <v>12066.095845667149</v>
      </c>
      <c r="J1181" s="83">
        <v>19.137050365101206</v>
      </c>
    </row>
    <row r="1182" spans="1:10" ht="16">
      <c r="A1182" s="79" t="s">
        <v>1005</v>
      </c>
      <c r="B1182" s="79" t="s">
        <v>996</v>
      </c>
      <c r="C1182" s="80" t="s">
        <v>95</v>
      </c>
      <c r="D1182" s="81" t="s">
        <v>75</v>
      </c>
      <c r="E1182" s="82">
        <v>28521</v>
      </c>
      <c r="F1182" s="82">
        <v>1084</v>
      </c>
      <c r="G1182" s="82">
        <v>2282</v>
      </c>
      <c r="H1182" s="83">
        <v>43.750051077040581</v>
      </c>
      <c r="I1182" s="83">
        <v>34051.615387387341</v>
      </c>
      <c r="J1182" s="83">
        <v>31.862089232638631</v>
      </c>
    </row>
    <row r="1183" spans="1:10" ht="16">
      <c r="A1183" s="79" t="s">
        <v>476</v>
      </c>
      <c r="B1183" s="79" t="s">
        <v>467</v>
      </c>
      <c r="C1183" s="80" t="s">
        <v>95</v>
      </c>
      <c r="D1183" s="81" t="s">
        <v>75</v>
      </c>
      <c r="E1183" s="82">
        <v>17004</v>
      </c>
      <c r="F1183" s="82">
        <v>437</v>
      </c>
      <c r="G1183" s="82">
        <v>680</v>
      </c>
      <c r="H1183" s="83">
        <v>20.41225258207292</v>
      </c>
      <c r="I1183" s="83">
        <v>9864.9500900420553</v>
      </c>
      <c r="J1183" s="83">
        <v>15.780478975557564</v>
      </c>
    </row>
    <row r="1184" spans="1:10" ht="16">
      <c r="A1184" s="79" t="s">
        <v>102</v>
      </c>
      <c r="B1184" s="79" t="s">
        <v>94</v>
      </c>
      <c r="C1184" s="80" t="s">
        <v>95</v>
      </c>
      <c r="D1184" s="81" t="s">
        <v>103</v>
      </c>
      <c r="E1184" s="82">
        <v>43446</v>
      </c>
      <c r="F1184" s="82">
        <v>1773</v>
      </c>
      <c r="G1184" s="82">
        <v>434</v>
      </c>
      <c r="H1184" s="83">
        <v>9.2592947608457106</v>
      </c>
      <c r="I1184" s="83">
        <v>496.45008232903371</v>
      </c>
      <c r="J1184" s="83">
        <v>29.967466511877845</v>
      </c>
    </row>
    <row r="1185" spans="1:10" ht="16">
      <c r="A1185" s="79" t="s">
        <v>1459</v>
      </c>
      <c r="B1185" s="79" t="s">
        <v>1307</v>
      </c>
      <c r="C1185" s="80" t="s">
        <v>95</v>
      </c>
      <c r="D1185" s="81" t="s">
        <v>77</v>
      </c>
      <c r="E1185" s="82">
        <v>18587</v>
      </c>
      <c r="F1185" s="82">
        <v>1199</v>
      </c>
      <c r="G1185" s="82">
        <v>2045</v>
      </c>
      <c r="H1185" s="83">
        <v>14.074556973434861</v>
      </c>
      <c r="I1185" s="83">
        <v>6807.5195209054791</v>
      </c>
      <c r="J1185" s="83">
        <v>34.052943761878744</v>
      </c>
    </row>
    <row r="1186" spans="1:10" ht="16">
      <c r="A1186" s="79" t="s">
        <v>224</v>
      </c>
      <c r="B1186" s="79" t="s">
        <v>203</v>
      </c>
      <c r="C1186" s="80" t="s">
        <v>95</v>
      </c>
      <c r="D1186" s="81" t="s">
        <v>78</v>
      </c>
      <c r="E1186" s="82">
        <v>73370</v>
      </c>
      <c r="F1186" s="82">
        <v>3650</v>
      </c>
      <c r="G1186" s="82">
        <v>15408</v>
      </c>
      <c r="H1186" s="83">
        <v>90.326383481366761</v>
      </c>
      <c r="I1186" s="83">
        <v>83830.557221755167</v>
      </c>
      <c r="J1186" s="83">
        <v>76.96701093240253</v>
      </c>
    </row>
    <row r="1187" spans="1:10" ht="16">
      <c r="A1187" s="79" t="s">
        <v>417</v>
      </c>
      <c r="B1187" s="79" t="s">
        <v>396</v>
      </c>
      <c r="C1187" s="80" t="s">
        <v>95</v>
      </c>
      <c r="D1187" s="81" t="s">
        <v>75</v>
      </c>
      <c r="E1187" s="82">
        <v>27285</v>
      </c>
      <c r="F1187" s="82">
        <v>1287</v>
      </c>
      <c r="G1187" s="82">
        <v>3001</v>
      </c>
      <c r="H1187" s="83">
        <v>13.418586488279136</v>
      </c>
      <c r="I1187" s="83">
        <v>6091.9962723473072</v>
      </c>
      <c r="J1187" s="83">
        <v>30.968075776038177</v>
      </c>
    </row>
    <row r="1188" spans="1:10" ht="16">
      <c r="A1188" s="79" t="s">
        <v>762</v>
      </c>
      <c r="B1188" s="79" t="s">
        <v>661</v>
      </c>
      <c r="C1188" s="80" t="s">
        <v>126</v>
      </c>
      <c r="D1188" s="81" t="s">
        <v>76</v>
      </c>
      <c r="E1188" s="82">
        <v>9133</v>
      </c>
      <c r="F1188" s="82">
        <v>761</v>
      </c>
      <c r="G1188" s="82">
        <v>274</v>
      </c>
      <c r="H1188" s="83">
        <v>13.326395264283223</v>
      </c>
      <c r="I1188" s="83">
        <v>2647.6674262507322</v>
      </c>
      <c r="J1188" s="83">
        <v>21.254912921782058</v>
      </c>
    </row>
    <row r="1189" spans="1:10" ht="16">
      <c r="A1189" s="79" t="s">
        <v>651</v>
      </c>
      <c r="B1189" s="79" t="s">
        <v>617</v>
      </c>
      <c r="C1189" s="80" t="s">
        <v>95</v>
      </c>
      <c r="D1189" s="81" t="s">
        <v>76</v>
      </c>
      <c r="E1189" s="82">
        <v>12920</v>
      </c>
      <c r="F1189" s="82">
        <v>663</v>
      </c>
      <c r="G1189" s="82">
        <v>904</v>
      </c>
      <c r="H1189" s="83">
        <v>31.849281674461864</v>
      </c>
      <c r="I1189" s="83">
        <v>24731.068854102527</v>
      </c>
      <c r="J1189" s="83">
        <v>27.713753387175981</v>
      </c>
    </row>
    <row r="1190" spans="1:10" ht="16">
      <c r="A1190" s="79" t="s">
        <v>652</v>
      </c>
      <c r="B1190" s="79" t="s">
        <v>617</v>
      </c>
      <c r="C1190" s="80" t="s">
        <v>95</v>
      </c>
      <c r="D1190" s="81" t="s">
        <v>76</v>
      </c>
      <c r="E1190" s="82">
        <v>15933</v>
      </c>
      <c r="F1190" s="82">
        <v>678</v>
      </c>
      <c r="G1190" s="82">
        <v>1275</v>
      </c>
      <c r="H1190" s="83">
        <v>22.762834058662698</v>
      </c>
      <c r="I1190" s="83">
        <v>15196.821517000588</v>
      </c>
      <c r="J1190" s="83">
        <v>30.713098015559474</v>
      </c>
    </row>
    <row r="1191" spans="1:10" ht="16">
      <c r="A1191" s="79" t="s">
        <v>763</v>
      </c>
      <c r="B1191" s="79" t="s">
        <v>661</v>
      </c>
      <c r="C1191" s="80" t="s">
        <v>126</v>
      </c>
      <c r="D1191" s="81" t="s">
        <v>149</v>
      </c>
      <c r="E1191" s="82">
        <v>16844</v>
      </c>
      <c r="F1191" s="82">
        <v>1239</v>
      </c>
      <c r="G1191" s="82">
        <v>3537</v>
      </c>
      <c r="H1191" s="83">
        <v>37.320134054685006</v>
      </c>
      <c r="I1191" s="83">
        <v>12811.066622841625</v>
      </c>
      <c r="J1191" s="83">
        <v>43.606175456539454</v>
      </c>
    </row>
    <row r="1192" spans="1:10" ht="16">
      <c r="A1192" s="79" t="s">
        <v>1460</v>
      </c>
      <c r="B1192" s="79" t="s">
        <v>1307</v>
      </c>
      <c r="C1192" s="80" t="s">
        <v>126</v>
      </c>
      <c r="D1192" s="81" t="s">
        <v>76</v>
      </c>
      <c r="E1192" s="82">
        <v>5067</v>
      </c>
      <c r="F1192" s="82">
        <v>409</v>
      </c>
      <c r="G1192" s="82">
        <v>811</v>
      </c>
      <c r="H1192" s="83">
        <v>17.086169606850966</v>
      </c>
      <c r="I1192" s="83">
        <v>11187.829603396167</v>
      </c>
      <c r="J1192" s="83">
        <v>34.160574847253521</v>
      </c>
    </row>
    <row r="1193" spans="1:10" ht="16">
      <c r="A1193" s="79" t="s">
        <v>1159</v>
      </c>
      <c r="B1193" s="79" t="s">
        <v>1154</v>
      </c>
      <c r="C1193" s="80" t="s">
        <v>95</v>
      </c>
      <c r="D1193" s="81" t="s">
        <v>96</v>
      </c>
      <c r="E1193" s="82">
        <v>33923</v>
      </c>
      <c r="F1193" s="82">
        <v>3359</v>
      </c>
      <c r="G1193" s="82">
        <v>339</v>
      </c>
      <c r="H1193" s="83">
        <v>10.862341651506435</v>
      </c>
      <c r="I1193" s="83">
        <v>1826.4695495085109</v>
      </c>
      <c r="J1193" s="83">
        <v>26.435856622523829</v>
      </c>
    </row>
    <row r="1194" spans="1:10" ht="16">
      <c r="A1194" s="79" t="s">
        <v>653</v>
      </c>
      <c r="B1194" s="79" t="s">
        <v>617</v>
      </c>
      <c r="C1194" s="80" t="s">
        <v>95</v>
      </c>
      <c r="D1194" s="81" t="s">
        <v>103</v>
      </c>
      <c r="E1194" s="82">
        <v>55957</v>
      </c>
      <c r="F1194" s="82">
        <v>1890</v>
      </c>
      <c r="G1194" s="82">
        <v>4477</v>
      </c>
      <c r="H1194" s="83">
        <v>28.231671131604607</v>
      </c>
      <c r="I1194" s="83">
        <v>20565.750211963004</v>
      </c>
      <c r="J1194" s="83">
        <v>23.520114012837219</v>
      </c>
    </row>
    <row r="1195" spans="1:10" ht="16">
      <c r="A1195" s="79" t="s">
        <v>394</v>
      </c>
      <c r="B1195" s="79" t="s">
        <v>388</v>
      </c>
      <c r="C1195" s="80" t="s">
        <v>95</v>
      </c>
      <c r="D1195" s="81" t="s">
        <v>103</v>
      </c>
      <c r="E1195" s="82">
        <v>12785</v>
      </c>
      <c r="F1195" s="82">
        <v>784</v>
      </c>
      <c r="G1195" s="82">
        <v>767</v>
      </c>
      <c r="H1195" s="83">
        <v>31.027965287941168</v>
      </c>
      <c r="I1195" s="83">
        <v>22701.785282221656</v>
      </c>
      <c r="J1195" s="83">
        <v>27.947208047382297</v>
      </c>
    </row>
    <row r="1196" spans="1:10" ht="16">
      <c r="A1196" s="79" t="s">
        <v>848</v>
      </c>
      <c r="B1196" s="79" t="s">
        <v>839</v>
      </c>
      <c r="C1196" s="80" t="s">
        <v>126</v>
      </c>
      <c r="D1196" s="81" t="s">
        <v>75</v>
      </c>
      <c r="E1196" s="82">
        <v>7584</v>
      </c>
      <c r="F1196" s="82">
        <v>546</v>
      </c>
      <c r="G1196" s="82">
        <v>2427</v>
      </c>
      <c r="H1196" s="83">
        <v>47.751744630719088</v>
      </c>
      <c r="I1196" s="83">
        <v>26044.547212043624</v>
      </c>
      <c r="J1196" s="83">
        <v>35.244898844453886</v>
      </c>
    </row>
    <row r="1197" spans="1:10" ht="16">
      <c r="A1197" s="79" t="s">
        <v>654</v>
      </c>
      <c r="B1197" s="79" t="s">
        <v>617</v>
      </c>
      <c r="C1197" s="80" t="s">
        <v>95</v>
      </c>
      <c r="D1197" s="81" t="s">
        <v>79</v>
      </c>
      <c r="E1197" s="82">
        <v>11793</v>
      </c>
      <c r="F1197" s="82">
        <v>663</v>
      </c>
      <c r="G1197" s="82">
        <v>826</v>
      </c>
      <c r="H1197" s="83">
        <v>16.814073103988385</v>
      </c>
      <c r="I1197" s="83">
        <v>11105.260744935276</v>
      </c>
      <c r="J1197" s="83">
        <v>26.840227901665585</v>
      </c>
    </row>
    <row r="1198" spans="1:10" ht="16">
      <c r="A1198" s="79" t="s">
        <v>1035</v>
      </c>
      <c r="B1198" s="79" t="s">
        <v>1007</v>
      </c>
      <c r="C1198" s="80" t="s">
        <v>126</v>
      </c>
      <c r="D1198" s="81" t="s">
        <v>77</v>
      </c>
      <c r="E1198" s="82">
        <v>12730</v>
      </c>
      <c r="F1198" s="82">
        <v>1107</v>
      </c>
      <c r="G1198" s="82">
        <v>382</v>
      </c>
      <c r="H1198" s="83">
        <v>24.074016171622969</v>
      </c>
      <c r="I1198" s="83">
        <v>14475.287332143893</v>
      </c>
      <c r="J1198" s="83">
        <v>21.254496596831601</v>
      </c>
    </row>
    <row r="1199" spans="1:10" ht="16">
      <c r="A1199" s="79" t="s">
        <v>655</v>
      </c>
      <c r="B1199" s="79" t="s">
        <v>617</v>
      </c>
      <c r="C1199" s="80" t="s">
        <v>95</v>
      </c>
      <c r="D1199" s="81" t="s">
        <v>78</v>
      </c>
      <c r="E1199" s="82">
        <v>14278</v>
      </c>
      <c r="F1199" s="82">
        <v>361</v>
      </c>
      <c r="G1199" s="82">
        <v>857</v>
      </c>
      <c r="H1199" s="83">
        <v>15.333801952595074</v>
      </c>
      <c r="I1199" s="83">
        <v>12950.696153379</v>
      </c>
      <c r="J1199" s="83">
        <v>17.347335410400131</v>
      </c>
    </row>
    <row r="1200" spans="1:10" ht="16">
      <c r="A1200" s="79" t="s">
        <v>1461</v>
      </c>
      <c r="B1200" s="79" t="s">
        <v>1307</v>
      </c>
      <c r="C1200" s="80" t="s">
        <v>126</v>
      </c>
      <c r="D1200" s="81" t="s">
        <v>79</v>
      </c>
      <c r="E1200" s="82">
        <v>30365</v>
      </c>
      <c r="F1200" s="82">
        <v>2138</v>
      </c>
      <c r="G1200" s="82">
        <v>2429</v>
      </c>
      <c r="H1200" s="83">
        <v>35.14763184602328</v>
      </c>
      <c r="I1200" s="83">
        <v>30057.166831181348</v>
      </c>
      <c r="J1200" s="83">
        <v>39.074958917213024</v>
      </c>
    </row>
    <row r="1201" spans="1:10" ht="16">
      <c r="A1201" s="79" t="s">
        <v>1072</v>
      </c>
      <c r="B1201" s="79" t="s">
        <v>1039</v>
      </c>
      <c r="C1201" s="80" t="s">
        <v>95</v>
      </c>
      <c r="D1201" s="81" t="s">
        <v>77</v>
      </c>
      <c r="E1201" s="82">
        <v>50311</v>
      </c>
      <c r="F1201" s="82">
        <v>3377</v>
      </c>
      <c r="G1201" s="82">
        <v>6037</v>
      </c>
      <c r="H1201" s="83">
        <v>21.315455264077269</v>
      </c>
      <c r="I1201" s="83">
        <v>14742.317036150105</v>
      </c>
      <c r="J1201" s="83">
        <v>25.118143418936846</v>
      </c>
    </row>
    <row r="1202" spans="1:10" ht="16">
      <c r="A1202" s="79" t="s">
        <v>1073</v>
      </c>
      <c r="B1202" s="79" t="s">
        <v>1039</v>
      </c>
      <c r="C1202" s="80" t="s">
        <v>95</v>
      </c>
      <c r="D1202" s="81" t="s">
        <v>99</v>
      </c>
      <c r="E1202" s="82">
        <v>23232</v>
      </c>
      <c r="F1202" s="82">
        <v>1889</v>
      </c>
      <c r="G1202" s="82">
        <v>1394</v>
      </c>
      <c r="H1202" s="83">
        <v>12.549528438133338</v>
      </c>
      <c r="I1202" s="83">
        <v>2737.1919373971587</v>
      </c>
      <c r="J1202" s="83">
        <v>22.272919844216247</v>
      </c>
    </row>
    <row r="1203" spans="1:10" ht="16">
      <c r="A1203" s="79" t="s">
        <v>890</v>
      </c>
      <c r="B1203" s="79" t="s">
        <v>877</v>
      </c>
      <c r="C1203" s="80" t="s">
        <v>126</v>
      </c>
      <c r="D1203" s="81" t="s">
        <v>111</v>
      </c>
      <c r="E1203" s="82">
        <v>5794</v>
      </c>
      <c r="F1203" s="82">
        <v>203</v>
      </c>
      <c r="G1203" s="82">
        <v>58</v>
      </c>
      <c r="H1203" s="83">
        <v>10.585576264110221</v>
      </c>
      <c r="I1203" s="83">
        <v>883.80464571505536</v>
      </c>
      <c r="J1203" s="83">
        <v>15.370046572657058</v>
      </c>
    </row>
    <row r="1204" spans="1:10" ht="16">
      <c r="A1204" s="79" t="s">
        <v>225</v>
      </c>
      <c r="B1204" s="79" t="s">
        <v>203</v>
      </c>
      <c r="C1204" s="80" t="s">
        <v>95</v>
      </c>
      <c r="D1204" s="81" t="s">
        <v>79</v>
      </c>
      <c r="E1204" s="82">
        <v>21169</v>
      </c>
      <c r="F1204" s="82">
        <v>824</v>
      </c>
      <c r="G1204" s="82">
        <v>4234</v>
      </c>
      <c r="H1204" s="83">
        <v>16.460311067309441</v>
      </c>
      <c r="I1204" s="83">
        <v>11215.473900373918</v>
      </c>
      <c r="J1204" s="83">
        <v>24.046080132877414</v>
      </c>
    </row>
    <row r="1205" spans="1:10" ht="16">
      <c r="A1205" s="79" t="s">
        <v>156</v>
      </c>
      <c r="B1205" s="79" t="s">
        <v>146</v>
      </c>
      <c r="C1205" s="80" t="s">
        <v>95</v>
      </c>
      <c r="D1205" s="81" t="s">
        <v>96</v>
      </c>
      <c r="E1205" s="82">
        <v>33547</v>
      </c>
      <c r="F1205" s="82">
        <v>835</v>
      </c>
      <c r="G1205" s="82">
        <v>9058</v>
      </c>
      <c r="H1205" s="83">
        <v>55.326528831317717</v>
      </c>
      <c r="I1205" s="83">
        <v>35727.812620397366</v>
      </c>
      <c r="J1205" s="83">
        <v>48.722045778860405</v>
      </c>
    </row>
    <row r="1206" spans="1:10" ht="16">
      <c r="A1206" s="79" t="s">
        <v>1074</v>
      </c>
      <c r="B1206" s="79" t="s">
        <v>1039</v>
      </c>
      <c r="C1206" s="80" t="s">
        <v>126</v>
      </c>
      <c r="D1206" s="81" t="s">
        <v>96</v>
      </c>
      <c r="E1206" s="82">
        <v>18652</v>
      </c>
      <c r="F1206" s="82">
        <v>1137</v>
      </c>
      <c r="G1206" s="82">
        <v>933</v>
      </c>
      <c r="H1206" s="83">
        <v>14.900531942726369</v>
      </c>
      <c r="I1206" s="83">
        <v>5783.1561526073083</v>
      </c>
      <c r="J1206" s="83">
        <v>18.627066241771153</v>
      </c>
    </row>
    <row r="1207" spans="1:10" ht="16">
      <c r="A1207" s="79" t="s">
        <v>1462</v>
      </c>
      <c r="B1207" s="79" t="s">
        <v>1307</v>
      </c>
      <c r="C1207" s="80" t="s">
        <v>95</v>
      </c>
      <c r="D1207" s="81" t="s">
        <v>149</v>
      </c>
      <c r="E1207" s="82">
        <v>23116</v>
      </c>
      <c r="F1207" s="82">
        <v>2688</v>
      </c>
      <c r="G1207" s="82">
        <v>2774</v>
      </c>
      <c r="H1207" s="83">
        <v>44.026874506590538</v>
      </c>
      <c r="I1207" s="83">
        <v>39788.680470352847</v>
      </c>
      <c r="J1207" s="83">
        <v>55.360696838134324</v>
      </c>
    </row>
    <row r="1208" spans="1:10" ht="16">
      <c r="A1208" s="79" t="s">
        <v>859</v>
      </c>
      <c r="B1208" s="79" t="s">
        <v>853</v>
      </c>
      <c r="C1208" s="80" t="s">
        <v>95</v>
      </c>
      <c r="D1208" s="81" t="s">
        <v>149</v>
      </c>
      <c r="E1208" s="82">
        <v>9892</v>
      </c>
      <c r="F1208" s="82">
        <v>547</v>
      </c>
      <c r="G1208" s="82">
        <v>1879</v>
      </c>
      <c r="H1208" s="83">
        <v>26.844894634080177</v>
      </c>
      <c r="I1208" s="83">
        <v>12880.806044768675</v>
      </c>
      <c r="J1208" s="83">
        <v>20.876793018655579</v>
      </c>
    </row>
    <row r="1209" spans="1:10" ht="16">
      <c r="A1209" s="79" t="s">
        <v>908</v>
      </c>
      <c r="B1209" s="79" t="s">
        <v>898</v>
      </c>
      <c r="C1209" s="80" t="s">
        <v>95</v>
      </c>
      <c r="D1209" s="81" t="s">
        <v>103</v>
      </c>
      <c r="E1209" s="82">
        <v>50484</v>
      </c>
      <c r="F1209" s="82">
        <v>3606</v>
      </c>
      <c r="G1209" s="82">
        <v>5048</v>
      </c>
      <c r="H1209" s="83">
        <v>22.454978396306924</v>
      </c>
      <c r="I1209" s="83">
        <v>8918.765142830287</v>
      </c>
      <c r="J1209" s="83">
        <v>25.879721751273362</v>
      </c>
    </row>
    <row r="1210" spans="1:10" ht="16">
      <c r="A1210" s="79" t="s">
        <v>1302</v>
      </c>
      <c r="B1210" s="79" t="s">
        <v>1209</v>
      </c>
      <c r="C1210" s="80" t="s">
        <v>126</v>
      </c>
      <c r="D1210" s="81" t="s">
        <v>101</v>
      </c>
      <c r="E1210" s="82">
        <v>20599</v>
      </c>
      <c r="F1210" s="82">
        <v>1561</v>
      </c>
      <c r="G1210" s="82">
        <v>8446</v>
      </c>
      <c r="H1210" s="83">
        <v>52.792041460903732</v>
      </c>
      <c r="I1210" s="83">
        <v>46877.823662564908</v>
      </c>
      <c r="J1210" s="83">
        <v>47.256028025090444</v>
      </c>
    </row>
    <row r="1211" spans="1:10" ht="16">
      <c r="A1211" s="79" t="s">
        <v>1463</v>
      </c>
      <c r="B1211" s="79" t="s">
        <v>1307</v>
      </c>
      <c r="C1211" s="80" t="s">
        <v>95</v>
      </c>
      <c r="D1211" s="81" t="s">
        <v>77</v>
      </c>
      <c r="E1211" s="82">
        <v>45692</v>
      </c>
      <c r="F1211" s="82">
        <v>4116</v>
      </c>
      <c r="G1211" s="82">
        <v>7311</v>
      </c>
      <c r="H1211" s="83">
        <v>82.871200140001164</v>
      </c>
      <c r="I1211" s="83">
        <v>81094.930758705217</v>
      </c>
      <c r="J1211" s="83">
        <v>72.428135883547256</v>
      </c>
    </row>
    <row r="1212" spans="1:10" ht="16">
      <c r="A1212" s="79" t="s">
        <v>226</v>
      </c>
      <c r="B1212" s="79" t="s">
        <v>203</v>
      </c>
      <c r="C1212" s="80" t="s">
        <v>126</v>
      </c>
      <c r="D1212" s="81" t="s">
        <v>101</v>
      </c>
      <c r="E1212" s="82">
        <v>33519</v>
      </c>
      <c r="F1212" s="82">
        <v>1420</v>
      </c>
      <c r="G1212" s="82">
        <v>6704</v>
      </c>
      <c r="H1212" s="83">
        <v>42.91061261073073</v>
      </c>
      <c r="I1212" s="83">
        <v>27935.120607898367</v>
      </c>
      <c r="J1212" s="83">
        <v>35.614815517764413</v>
      </c>
    </row>
    <row r="1213" spans="1:10" ht="16">
      <c r="A1213" s="79" t="s">
        <v>352</v>
      </c>
      <c r="B1213" s="79" t="s">
        <v>341</v>
      </c>
      <c r="C1213" s="80" t="s">
        <v>95</v>
      </c>
      <c r="D1213" s="81" t="s">
        <v>77</v>
      </c>
      <c r="E1213" s="82">
        <v>10540</v>
      </c>
      <c r="F1213" s="82">
        <v>693</v>
      </c>
      <c r="G1213" s="82">
        <v>527</v>
      </c>
      <c r="H1213" s="83">
        <v>16.19100620793105</v>
      </c>
      <c r="I1213" s="83">
        <v>2633.3269685946225</v>
      </c>
      <c r="J1213" s="83">
        <v>18.579796555303108</v>
      </c>
    </row>
    <row r="1214" spans="1:10" ht="16">
      <c r="A1214" s="79" t="s">
        <v>140</v>
      </c>
      <c r="B1214" s="79" t="s">
        <v>108</v>
      </c>
      <c r="C1214" s="80" t="s">
        <v>126</v>
      </c>
      <c r="D1214" s="81" t="s">
        <v>76</v>
      </c>
      <c r="E1214" s="82">
        <v>18400</v>
      </c>
      <c r="F1214" s="82">
        <v>793</v>
      </c>
      <c r="G1214" s="82">
        <v>5336</v>
      </c>
      <c r="H1214" s="83">
        <v>44.713226241114796</v>
      </c>
      <c r="I1214" s="83">
        <v>40025.242929848755</v>
      </c>
      <c r="J1214" s="83">
        <v>32.707539769097821</v>
      </c>
    </row>
    <row r="1215" spans="1:10" ht="16">
      <c r="A1215" s="79" t="s">
        <v>1303</v>
      </c>
      <c r="B1215" s="79" t="s">
        <v>1209</v>
      </c>
      <c r="C1215" s="80" t="s">
        <v>95</v>
      </c>
      <c r="D1215" s="81" t="s">
        <v>75</v>
      </c>
      <c r="E1215" s="82">
        <v>16401</v>
      </c>
      <c r="F1215" s="82">
        <v>943</v>
      </c>
      <c r="G1215" s="82">
        <v>7544</v>
      </c>
      <c r="H1215" s="83">
        <v>16.339760651645324</v>
      </c>
      <c r="I1215" s="83">
        <v>5972.1724640097791</v>
      </c>
      <c r="J1215" s="83">
        <v>18.458912249193837</v>
      </c>
    </row>
    <row r="1216" spans="1:10" ht="16">
      <c r="A1216" s="79" t="s">
        <v>227</v>
      </c>
      <c r="B1216" s="79" t="s">
        <v>203</v>
      </c>
      <c r="C1216" s="80" t="s">
        <v>95</v>
      </c>
      <c r="D1216" s="81" t="s">
        <v>99</v>
      </c>
      <c r="E1216" s="82">
        <v>13140</v>
      </c>
      <c r="F1216" s="82">
        <v>453</v>
      </c>
      <c r="G1216" s="82">
        <v>3022</v>
      </c>
      <c r="H1216" s="83">
        <v>27.219993383050792</v>
      </c>
      <c r="I1216" s="83">
        <v>8936.1687303469935</v>
      </c>
      <c r="J1216" s="83">
        <v>34.104562258881359</v>
      </c>
    </row>
    <row r="1217" spans="1:10" ht="16">
      <c r="A1217" s="79" t="s">
        <v>1464</v>
      </c>
      <c r="B1217" s="79" t="s">
        <v>1307</v>
      </c>
      <c r="C1217" s="80" t="s">
        <v>126</v>
      </c>
      <c r="D1217" s="81" t="s">
        <v>111</v>
      </c>
      <c r="E1217" s="82">
        <v>39154</v>
      </c>
      <c r="F1217" s="82">
        <v>3915</v>
      </c>
      <c r="G1217" s="82">
        <v>5090</v>
      </c>
      <c r="H1217" s="83">
        <v>70.431681163034611</v>
      </c>
      <c r="I1217" s="83">
        <v>59991.147716805499</v>
      </c>
      <c r="J1217" s="83">
        <v>69.058473139018872</v>
      </c>
    </row>
    <row r="1218" spans="1:10" ht="16">
      <c r="A1218" s="79" t="s">
        <v>1465</v>
      </c>
      <c r="B1218" s="79" t="s">
        <v>1307</v>
      </c>
      <c r="C1218" s="80" t="s">
        <v>95</v>
      </c>
      <c r="D1218" s="81" t="s">
        <v>96</v>
      </c>
      <c r="E1218" s="82">
        <v>20874</v>
      </c>
      <c r="F1218" s="82">
        <v>1082</v>
      </c>
      <c r="G1218" s="82">
        <v>1252</v>
      </c>
      <c r="H1218" s="83">
        <v>23.348966417183682</v>
      </c>
      <c r="I1218" s="83">
        <v>15251.867781727085</v>
      </c>
      <c r="J1218" s="83">
        <v>22.650501707087816</v>
      </c>
    </row>
    <row r="1219" spans="1:10" ht="16">
      <c r="A1219" s="79" t="s">
        <v>141</v>
      </c>
      <c r="B1219" s="79" t="s">
        <v>108</v>
      </c>
      <c r="C1219" s="80" t="s">
        <v>95</v>
      </c>
      <c r="D1219" s="81" t="s">
        <v>79</v>
      </c>
      <c r="E1219" s="82">
        <v>18642</v>
      </c>
      <c r="F1219" s="82">
        <v>592</v>
      </c>
      <c r="G1219" s="82">
        <v>5406</v>
      </c>
      <c r="H1219" s="83">
        <v>35.888824082518688</v>
      </c>
      <c r="I1219" s="83">
        <v>26490.652638260701</v>
      </c>
      <c r="J1219" s="83">
        <v>30.834202609881583</v>
      </c>
    </row>
    <row r="1220" spans="1:10" ht="16">
      <c r="A1220" s="79" t="s">
        <v>1304</v>
      </c>
      <c r="B1220" s="79" t="s">
        <v>1209</v>
      </c>
      <c r="C1220" s="80" t="s">
        <v>95</v>
      </c>
      <c r="D1220" s="81" t="s">
        <v>149</v>
      </c>
      <c r="E1220" s="82">
        <v>15687</v>
      </c>
      <c r="F1220" s="82">
        <v>769</v>
      </c>
      <c r="G1220" s="82">
        <v>3294</v>
      </c>
      <c r="H1220" s="83">
        <v>14.176098552121328</v>
      </c>
      <c r="I1220" s="83">
        <v>4658.8845368377179</v>
      </c>
      <c r="J1220" s="83">
        <v>15.834698640182262</v>
      </c>
    </row>
    <row r="1221" spans="1:10" ht="16">
      <c r="A1221" s="79" t="s">
        <v>463</v>
      </c>
      <c r="B1221" s="79" t="s">
        <v>421</v>
      </c>
      <c r="C1221" s="80" t="s">
        <v>95</v>
      </c>
      <c r="D1221" s="81" t="s">
        <v>77</v>
      </c>
      <c r="E1221" s="82">
        <v>23343</v>
      </c>
      <c r="F1221" s="82">
        <v>418</v>
      </c>
      <c r="G1221" s="82">
        <v>2568</v>
      </c>
      <c r="H1221" s="83">
        <v>18.177697832682519</v>
      </c>
      <c r="I1221" s="83">
        <v>10796.052440038346</v>
      </c>
      <c r="J1221" s="83">
        <v>25.626792621542474</v>
      </c>
    </row>
    <row r="1222" spans="1:10" ht="16">
      <c r="A1222" s="79" t="s">
        <v>764</v>
      </c>
      <c r="B1222" s="79" t="s">
        <v>661</v>
      </c>
      <c r="C1222" s="80" t="s">
        <v>126</v>
      </c>
      <c r="D1222" s="81" t="s">
        <v>76</v>
      </c>
      <c r="E1222" s="82">
        <v>4659</v>
      </c>
      <c r="F1222" s="82">
        <v>740</v>
      </c>
      <c r="G1222" s="82">
        <v>186</v>
      </c>
      <c r="H1222" s="83">
        <v>11.415602755711669</v>
      </c>
      <c r="I1222" s="83">
        <v>2758.4509546096665</v>
      </c>
      <c r="J1222" s="83">
        <v>24.31748321199969</v>
      </c>
    </row>
    <row r="1223" spans="1:10" ht="16">
      <c r="A1223" s="79" t="s">
        <v>1305</v>
      </c>
      <c r="B1223" s="79" t="s">
        <v>1209</v>
      </c>
      <c r="C1223" s="80" t="s">
        <v>95</v>
      </c>
      <c r="D1223" s="81" t="s">
        <v>79</v>
      </c>
      <c r="E1223" s="82">
        <v>16058</v>
      </c>
      <c r="F1223" s="82">
        <v>1078</v>
      </c>
      <c r="G1223" s="82">
        <v>3854</v>
      </c>
      <c r="H1223" s="83">
        <v>46.88314515799587</v>
      </c>
      <c r="I1223" s="83">
        <v>39665.72904295654</v>
      </c>
      <c r="J1223" s="83">
        <v>40.715384767468741</v>
      </c>
    </row>
    <row r="1224" spans="1:10" ht="16">
      <c r="A1224" s="79" t="s">
        <v>334</v>
      </c>
      <c r="B1224" s="79" t="s">
        <v>333</v>
      </c>
      <c r="C1224" s="80" t="s">
        <v>95</v>
      </c>
      <c r="D1224" s="81" t="s">
        <v>79</v>
      </c>
      <c r="E1224" s="82">
        <v>68216</v>
      </c>
      <c r="F1224" s="82">
        <v>3609</v>
      </c>
      <c r="G1224" s="82">
        <v>2046</v>
      </c>
      <c r="H1224" s="83">
        <v>13.553569939608199</v>
      </c>
      <c r="I1224" s="83">
        <v>3277.8112085518492</v>
      </c>
      <c r="J1224" s="83">
        <v>18.198923539176167</v>
      </c>
    </row>
    <row r="1225" spans="1:10" ht="16">
      <c r="A1225" s="79" t="s">
        <v>592</v>
      </c>
      <c r="B1225" s="79" t="s">
        <v>556</v>
      </c>
      <c r="C1225" s="80" t="s">
        <v>95</v>
      </c>
      <c r="D1225" s="81" t="s">
        <v>77</v>
      </c>
      <c r="E1225" s="82">
        <v>9980</v>
      </c>
      <c r="F1225" s="82">
        <v>398</v>
      </c>
      <c r="G1225" s="82">
        <v>459</v>
      </c>
      <c r="H1225" s="83">
        <v>12.544056046439877</v>
      </c>
      <c r="I1225" s="83">
        <v>3515.8852001877062</v>
      </c>
      <c r="J1225" s="83">
        <v>17.087696923010622</v>
      </c>
    </row>
    <row r="1226" spans="1:10" ht="16">
      <c r="A1226" s="79" t="s">
        <v>1075</v>
      </c>
      <c r="B1226" s="79" t="s">
        <v>1039</v>
      </c>
      <c r="C1226" s="80" t="s">
        <v>95</v>
      </c>
      <c r="D1226" s="81" t="s">
        <v>75</v>
      </c>
      <c r="E1226" s="82">
        <v>28211</v>
      </c>
      <c r="F1226" s="82">
        <v>2739</v>
      </c>
      <c r="G1226" s="82">
        <v>1693</v>
      </c>
      <c r="H1226" s="83">
        <v>13.467050290392075</v>
      </c>
      <c r="I1226" s="83">
        <v>5911.5467297360401</v>
      </c>
      <c r="J1226" s="83">
        <v>22.20795473797552</v>
      </c>
    </row>
    <row r="1227" spans="1:10" ht="16">
      <c r="A1227" s="79" t="s">
        <v>1098</v>
      </c>
      <c r="B1227" s="79" t="s">
        <v>1091</v>
      </c>
      <c r="C1227" s="80" t="s">
        <v>95</v>
      </c>
      <c r="D1227" s="81" t="s">
        <v>75</v>
      </c>
      <c r="E1227" s="82">
        <v>22609</v>
      </c>
      <c r="F1227" s="82">
        <v>1838</v>
      </c>
      <c r="G1227" s="82">
        <v>4748</v>
      </c>
      <c r="H1227" s="83">
        <v>47.296403264681594</v>
      </c>
      <c r="I1227" s="83">
        <v>41266.813227374623</v>
      </c>
      <c r="J1227" s="83">
        <v>47.476031369798633</v>
      </c>
    </row>
    <row r="1228" spans="1:10" ht="16">
      <c r="A1228" s="79" t="s">
        <v>1076</v>
      </c>
      <c r="B1228" s="79" t="s">
        <v>1039</v>
      </c>
      <c r="C1228" s="80" t="s">
        <v>95</v>
      </c>
      <c r="D1228" s="81" t="s">
        <v>77</v>
      </c>
      <c r="E1228" s="82">
        <v>42079</v>
      </c>
      <c r="F1228" s="82">
        <v>1670</v>
      </c>
      <c r="G1228" s="82">
        <v>4629</v>
      </c>
      <c r="H1228" s="83">
        <v>11.498697073933227</v>
      </c>
      <c r="I1228" s="83">
        <v>4419.70919127458</v>
      </c>
      <c r="J1228" s="83">
        <v>19.598734561040459</v>
      </c>
    </row>
    <row r="1229" spans="1:10" ht="16">
      <c r="A1229" s="79" t="s">
        <v>142</v>
      </c>
      <c r="B1229" s="79" t="s">
        <v>108</v>
      </c>
      <c r="C1229" s="80" t="s">
        <v>126</v>
      </c>
      <c r="D1229" s="81" t="s">
        <v>99</v>
      </c>
      <c r="E1229" s="82">
        <v>44336</v>
      </c>
      <c r="F1229" s="82">
        <v>1242</v>
      </c>
      <c r="G1229" s="82">
        <v>18178</v>
      </c>
      <c r="H1229" s="83">
        <v>58.215454345098237</v>
      </c>
      <c r="I1229" s="83">
        <v>48253.365563292849</v>
      </c>
      <c r="J1229" s="83">
        <v>50.861733151154418</v>
      </c>
    </row>
    <row r="1230" spans="1:10" ht="16">
      <c r="A1230" s="79" t="s">
        <v>1089</v>
      </c>
      <c r="B1230" s="79" t="s">
        <v>1081</v>
      </c>
      <c r="C1230" s="80" t="s">
        <v>95</v>
      </c>
      <c r="D1230" s="81" t="s">
        <v>111</v>
      </c>
      <c r="E1230" s="82">
        <v>25438</v>
      </c>
      <c r="F1230" s="82">
        <v>1523</v>
      </c>
      <c r="G1230" s="82">
        <v>3816</v>
      </c>
      <c r="H1230" s="83">
        <v>56.624095977560366</v>
      </c>
      <c r="I1230" s="83">
        <v>47945.162990132259</v>
      </c>
      <c r="J1230" s="83">
        <v>42.066019568967342</v>
      </c>
    </row>
    <row r="1231" spans="1:10" ht="16">
      <c r="A1231" s="79" t="s">
        <v>974</v>
      </c>
      <c r="B1231" s="79" t="s">
        <v>938</v>
      </c>
      <c r="C1231" s="80" t="s">
        <v>126</v>
      </c>
      <c r="D1231" s="81" t="s">
        <v>101</v>
      </c>
      <c r="E1231" s="82">
        <v>25000</v>
      </c>
      <c r="F1231" s="82">
        <v>2155</v>
      </c>
      <c r="G1231" s="82">
        <v>2750</v>
      </c>
      <c r="H1231" s="83">
        <v>17.115641227185442</v>
      </c>
      <c r="I1231" s="83">
        <v>2129.2978946170151</v>
      </c>
      <c r="J1231" s="83">
        <v>24.205821747044002</v>
      </c>
    </row>
    <row r="1232" spans="1:10" ht="16">
      <c r="A1232" s="79" t="s">
        <v>593</v>
      </c>
      <c r="B1232" s="79" t="s">
        <v>556</v>
      </c>
      <c r="C1232" s="80" t="s">
        <v>126</v>
      </c>
      <c r="D1232" s="81" t="s">
        <v>78</v>
      </c>
      <c r="E1232" s="82">
        <v>13500</v>
      </c>
      <c r="F1232" s="82">
        <v>472</v>
      </c>
      <c r="G1232" s="82">
        <v>620</v>
      </c>
      <c r="H1232" s="83">
        <v>13.799867972337214</v>
      </c>
      <c r="I1232" s="83">
        <v>2365.316122532337</v>
      </c>
      <c r="J1232" s="83">
        <v>20.511692960169121</v>
      </c>
    </row>
    <row r="1233" spans="1:10" ht="16">
      <c r="A1233" s="79" t="s">
        <v>849</v>
      </c>
      <c r="B1233" s="79" t="s">
        <v>839</v>
      </c>
      <c r="C1233" s="80" t="s">
        <v>95</v>
      </c>
      <c r="D1233" s="81" t="s">
        <v>96</v>
      </c>
      <c r="E1233" s="82">
        <v>31833</v>
      </c>
      <c r="F1233" s="82">
        <v>2242</v>
      </c>
      <c r="G1233" s="82">
        <v>2865</v>
      </c>
      <c r="H1233" s="83">
        <v>62.062603811051673</v>
      </c>
      <c r="I1233" s="83">
        <v>54154.435129422069</v>
      </c>
      <c r="J1233" s="83">
        <v>44.302990762039634</v>
      </c>
    </row>
    <row r="1234" spans="1:10" ht="16">
      <c r="A1234" s="79" t="s">
        <v>765</v>
      </c>
      <c r="B1234" s="79" t="s">
        <v>661</v>
      </c>
      <c r="C1234" s="80" t="s">
        <v>126</v>
      </c>
      <c r="D1234" s="81" t="s">
        <v>96</v>
      </c>
      <c r="E1234" s="82">
        <v>4872</v>
      </c>
      <c r="F1234" s="82">
        <v>364</v>
      </c>
      <c r="G1234" s="82">
        <v>195</v>
      </c>
      <c r="H1234" s="83">
        <v>10.893719448577114</v>
      </c>
      <c r="I1234" s="83">
        <v>620.61907957308824</v>
      </c>
      <c r="J1234" s="83">
        <v>18.666621116171697</v>
      </c>
    </row>
    <row r="1235" spans="1:10" ht="16">
      <c r="A1235" s="79" t="s">
        <v>1202</v>
      </c>
      <c r="B1235" s="79" t="s">
        <v>1197</v>
      </c>
      <c r="C1235" s="80" t="s">
        <v>126</v>
      </c>
      <c r="D1235" s="81" t="s">
        <v>99</v>
      </c>
      <c r="E1235" s="82">
        <v>17109</v>
      </c>
      <c r="F1235" s="82">
        <v>1880</v>
      </c>
      <c r="G1235" s="82">
        <v>4277</v>
      </c>
      <c r="H1235" s="83">
        <v>9.3246579577472204</v>
      </c>
      <c r="I1235" s="83">
        <v>840.32319500295591</v>
      </c>
      <c r="J1235" s="83">
        <v>21.463774041991119</v>
      </c>
    </row>
    <row r="1236" spans="1:10" ht="16">
      <c r="A1236" s="79" t="s">
        <v>1466</v>
      </c>
      <c r="B1236" s="79" t="s">
        <v>1307</v>
      </c>
      <c r="C1236" s="80" t="s">
        <v>95</v>
      </c>
      <c r="D1236" s="81" t="s">
        <v>77</v>
      </c>
      <c r="E1236" s="82">
        <v>12006</v>
      </c>
      <c r="F1236" s="82">
        <v>4002</v>
      </c>
      <c r="G1236" s="82">
        <v>1681</v>
      </c>
      <c r="H1236" s="83">
        <v>42.412864161419179</v>
      </c>
      <c r="I1236" s="83">
        <v>40251.457903656832</v>
      </c>
      <c r="J1236" s="83">
        <v>49.083758245400723</v>
      </c>
    </row>
    <row r="1237" spans="1:10" ht="16">
      <c r="A1237" s="79" t="s">
        <v>656</v>
      </c>
      <c r="B1237" s="79" t="s">
        <v>617</v>
      </c>
      <c r="C1237" s="80" t="s">
        <v>95</v>
      </c>
      <c r="D1237" s="81" t="s">
        <v>75</v>
      </c>
      <c r="E1237" s="82">
        <v>19873</v>
      </c>
      <c r="F1237" s="82">
        <v>723</v>
      </c>
      <c r="G1237" s="82">
        <v>994</v>
      </c>
      <c r="H1237" s="83">
        <v>21.203478754092728</v>
      </c>
      <c r="I1237" s="83">
        <v>12975.049790729807</v>
      </c>
      <c r="J1237" s="83">
        <v>32.411869857652654</v>
      </c>
    </row>
    <row r="1238" spans="1:10" ht="16">
      <c r="A1238" s="79" t="s">
        <v>143</v>
      </c>
      <c r="B1238" s="79" t="s">
        <v>108</v>
      </c>
      <c r="C1238" s="80" t="s">
        <v>95</v>
      </c>
      <c r="D1238" s="81" t="s">
        <v>75</v>
      </c>
      <c r="E1238" s="82">
        <v>14815</v>
      </c>
      <c r="F1238" s="82">
        <v>460</v>
      </c>
      <c r="G1238" s="82">
        <v>3407</v>
      </c>
      <c r="H1238" s="83">
        <v>26.067389576876785</v>
      </c>
      <c r="I1238" s="83">
        <v>19611.802766332628</v>
      </c>
      <c r="J1238" s="83">
        <v>24.647320682784507</v>
      </c>
    </row>
    <row r="1239" spans="1:10" ht="16">
      <c r="A1239" s="79" t="s">
        <v>860</v>
      </c>
      <c r="B1239" s="79" t="s">
        <v>853</v>
      </c>
      <c r="C1239" s="80" t="s">
        <v>95</v>
      </c>
      <c r="D1239" s="81" t="s">
        <v>99</v>
      </c>
      <c r="E1239" s="82">
        <v>17442</v>
      </c>
      <c r="F1239" s="82">
        <v>923</v>
      </c>
      <c r="G1239" s="82">
        <v>3663</v>
      </c>
      <c r="H1239" s="83">
        <v>32.415151142156937</v>
      </c>
      <c r="I1239" s="83">
        <v>14506.347270814293</v>
      </c>
      <c r="J1239" s="83">
        <v>23.483839859082831</v>
      </c>
    </row>
    <row r="1240" spans="1:10" ht="16">
      <c r="A1240" s="79" t="s">
        <v>157</v>
      </c>
      <c r="B1240" s="79" t="s">
        <v>146</v>
      </c>
      <c r="C1240" s="80" t="s">
        <v>126</v>
      </c>
      <c r="D1240" s="81" t="s">
        <v>75</v>
      </c>
      <c r="E1240" s="82">
        <v>10464</v>
      </c>
      <c r="F1240" s="82">
        <v>526</v>
      </c>
      <c r="G1240" s="82">
        <v>3035</v>
      </c>
      <c r="H1240" s="83">
        <v>37.090693954881928</v>
      </c>
      <c r="I1240" s="83">
        <v>16788.508533014356</v>
      </c>
      <c r="J1240" s="83">
        <v>39.289727401561173</v>
      </c>
    </row>
    <row r="1241" spans="1:10" ht="16">
      <c r="A1241" s="79" t="s">
        <v>1481</v>
      </c>
      <c r="B1241" s="79" t="s">
        <v>1480</v>
      </c>
      <c r="C1241" s="80" t="s">
        <v>95</v>
      </c>
      <c r="D1241" s="81" t="s">
        <v>103</v>
      </c>
      <c r="E1241" s="82">
        <v>63479</v>
      </c>
      <c r="F1241" s="82">
        <v>2925</v>
      </c>
      <c r="G1241" s="82">
        <v>635</v>
      </c>
      <c r="H1241" s="83">
        <v>9.1606919838750009</v>
      </c>
      <c r="I1241" s="83">
        <v>1402.5925882077604</v>
      </c>
      <c r="J1241" s="83">
        <v>14.237519160576861</v>
      </c>
    </row>
    <row r="1242" spans="1:10" ht="16">
      <c r="A1242" s="79" t="s">
        <v>1482</v>
      </c>
      <c r="B1242" s="79" t="s">
        <v>1480</v>
      </c>
      <c r="C1242" s="80" t="s">
        <v>95</v>
      </c>
      <c r="D1242" s="81" t="s">
        <v>96</v>
      </c>
      <c r="E1242" s="82">
        <v>32944</v>
      </c>
      <c r="F1242" s="82">
        <v>2459</v>
      </c>
      <c r="G1242" s="82">
        <v>329</v>
      </c>
      <c r="H1242" s="83">
        <v>9.9101493513306966</v>
      </c>
      <c r="I1242" s="83">
        <v>3537.8835020084571</v>
      </c>
      <c r="J1242" s="83">
        <v>22.272126091759972</v>
      </c>
    </row>
    <row r="1243" spans="1:10" ht="16">
      <c r="A1243" s="79" t="s">
        <v>793</v>
      </c>
      <c r="B1243" s="79" t="s">
        <v>792</v>
      </c>
      <c r="C1243" s="80" t="s">
        <v>126</v>
      </c>
      <c r="D1243" s="81" t="s">
        <v>111</v>
      </c>
      <c r="E1243" s="82">
        <v>9551</v>
      </c>
      <c r="F1243" s="82">
        <v>677</v>
      </c>
      <c r="G1243" s="82">
        <v>955</v>
      </c>
      <c r="H1243" s="83">
        <v>13.116599780270464</v>
      </c>
      <c r="I1243" s="83">
        <v>3959.4455739323021</v>
      </c>
      <c r="J1243" s="83">
        <v>17.094879461291974</v>
      </c>
    </row>
    <row r="1244" spans="1:10" ht="16">
      <c r="A1244" s="79" t="s">
        <v>794</v>
      </c>
      <c r="B1244" s="79" t="s">
        <v>792</v>
      </c>
      <c r="C1244" s="80" t="s">
        <v>95</v>
      </c>
      <c r="D1244" s="81" t="s">
        <v>76</v>
      </c>
      <c r="E1244" s="82">
        <v>16216</v>
      </c>
      <c r="F1244" s="82">
        <v>1501</v>
      </c>
      <c r="G1244" s="82">
        <v>1459</v>
      </c>
      <c r="H1244" s="83">
        <v>15.18176062705502</v>
      </c>
      <c r="I1244" s="83">
        <v>5308.4065509845441</v>
      </c>
      <c r="J1244" s="83">
        <v>19.955286364117121</v>
      </c>
    </row>
    <row r="1245" spans="1:10" ht="16">
      <c r="A1245" s="79" t="s">
        <v>1467</v>
      </c>
      <c r="B1245" s="79" t="s">
        <v>1307</v>
      </c>
      <c r="C1245" s="80" t="s">
        <v>126</v>
      </c>
      <c r="D1245" s="81" t="s">
        <v>75</v>
      </c>
      <c r="E1245" s="82">
        <v>32838</v>
      </c>
      <c r="F1245" s="82">
        <v>1794</v>
      </c>
      <c r="G1245" s="82">
        <v>4597</v>
      </c>
      <c r="H1245" s="83">
        <v>42.360293898158659</v>
      </c>
      <c r="I1245" s="83">
        <v>30035.862514290457</v>
      </c>
      <c r="J1245" s="83">
        <v>37.513839363706772</v>
      </c>
    </row>
    <row r="1246" spans="1:10" ht="16">
      <c r="A1246" s="79" t="s">
        <v>547</v>
      </c>
      <c r="B1246" s="79" t="s">
        <v>493</v>
      </c>
      <c r="C1246" s="80" t="s">
        <v>126</v>
      </c>
      <c r="D1246" s="81" t="s">
        <v>75</v>
      </c>
      <c r="E1246" s="82">
        <v>33380</v>
      </c>
      <c r="F1246" s="82">
        <v>1677</v>
      </c>
      <c r="G1246" s="82">
        <v>334</v>
      </c>
      <c r="H1246" s="83">
        <v>12.939965622098892</v>
      </c>
      <c r="I1246" s="83">
        <v>5575.7811285819425</v>
      </c>
      <c r="J1246" s="83">
        <v>20.800167184185234</v>
      </c>
    </row>
    <row r="1247" spans="1:10" ht="16">
      <c r="A1247" s="79" t="s">
        <v>657</v>
      </c>
      <c r="B1247" s="79" t="s">
        <v>617</v>
      </c>
      <c r="C1247" s="80" t="s">
        <v>95</v>
      </c>
      <c r="D1247" s="81" t="s">
        <v>99</v>
      </c>
      <c r="E1247" s="82">
        <v>2610</v>
      </c>
      <c r="F1247" s="82">
        <v>244</v>
      </c>
      <c r="G1247" s="82">
        <v>78</v>
      </c>
      <c r="H1247" s="83">
        <v>23.006270146558656</v>
      </c>
      <c r="I1247" s="83">
        <v>21876.541571515732</v>
      </c>
      <c r="J1247" s="83">
        <v>38.929621748575258</v>
      </c>
    </row>
    <row r="1248" spans="1:10" ht="16">
      <c r="A1248" s="79" t="s">
        <v>975</v>
      </c>
      <c r="B1248" s="79" t="s">
        <v>938</v>
      </c>
      <c r="C1248" s="80" t="s">
        <v>126</v>
      </c>
      <c r="D1248" s="81" t="s">
        <v>96</v>
      </c>
      <c r="E1248" s="82">
        <v>14764</v>
      </c>
      <c r="F1248" s="82">
        <v>984</v>
      </c>
      <c r="G1248" s="82">
        <v>1033</v>
      </c>
      <c r="H1248" s="83">
        <v>10.163807695817107</v>
      </c>
      <c r="I1248" s="83">
        <v>2027.5821207102019</v>
      </c>
      <c r="J1248" s="83">
        <v>15.724676477504497</v>
      </c>
    </row>
    <row r="1249" spans="1:10" ht="16">
      <c r="A1249" s="79" t="s">
        <v>976</v>
      </c>
      <c r="B1249" s="79" t="s">
        <v>938</v>
      </c>
      <c r="C1249" s="80" t="s">
        <v>95</v>
      </c>
      <c r="D1249" s="81" t="s">
        <v>96</v>
      </c>
      <c r="E1249" s="82">
        <v>15246</v>
      </c>
      <c r="F1249" s="82">
        <v>1386</v>
      </c>
      <c r="G1249" s="82">
        <v>1525</v>
      </c>
      <c r="H1249" s="83">
        <v>9.0664947648346406</v>
      </c>
      <c r="I1249" s="83">
        <v>368.16639661262838</v>
      </c>
      <c r="J1249" s="83">
        <v>21.559038263249995</v>
      </c>
    </row>
    <row r="1250" spans="1:10" ht="16">
      <c r="A1250" s="79" t="s">
        <v>850</v>
      </c>
      <c r="B1250" s="79" t="s">
        <v>839</v>
      </c>
      <c r="C1250" s="80" t="s">
        <v>95</v>
      </c>
      <c r="D1250" s="81" t="s">
        <v>79</v>
      </c>
      <c r="E1250" s="82">
        <v>23025</v>
      </c>
      <c r="F1250" s="82">
        <v>1395</v>
      </c>
      <c r="G1250" s="82">
        <v>2303</v>
      </c>
      <c r="H1250" s="83">
        <v>48.523201892410377</v>
      </c>
      <c r="I1250" s="83">
        <v>42521.187314764611</v>
      </c>
      <c r="J1250" s="83">
        <v>36.105517447313098</v>
      </c>
    </row>
    <row r="1251" spans="1:10" ht="16">
      <c r="A1251" s="79" t="s">
        <v>167</v>
      </c>
      <c r="B1251" s="79" t="s">
        <v>163</v>
      </c>
      <c r="C1251" s="80" t="s">
        <v>95</v>
      </c>
      <c r="D1251" s="81" t="s">
        <v>149</v>
      </c>
      <c r="E1251" s="82">
        <v>11371</v>
      </c>
      <c r="F1251" s="82">
        <v>400</v>
      </c>
      <c r="G1251" s="82">
        <v>2502</v>
      </c>
      <c r="H1251" s="83">
        <v>42.643255617401834</v>
      </c>
      <c r="I1251" s="83">
        <v>26544.719623605815</v>
      </c>
      <c r="J1251" s="83">
        <v>38.326609628269132</v>
      </c>
    </row>
    <row r="1252" spans="1:10" ht="16">
      <c r="A1252" s="79" t="s">
        <v>353</v>
      </c>
      <c r="B1252" s="79" t="s">
        <v>341</v>
      </c>
      <c r="C1252" s="80" t="s">
        <v>126</v>
      </c>
      <c r="D1252" s="81" t="s">
        <v>76</v>
      </c>
      <c r="E1252" s="82">
        <v>13381</v>
      </c>
      <c r="F1252" s="82">
        <v>910</v>
      </c>
      <c r="G1252" s="82">
        <v>1740</v>
      </c>
      <c r="H1252" s="83">
        <v>13.290339155033283</v>
      </c>
      <c r="I1252" s="83">
        <v>1334.3078460045858</v>
      </c>
      <c r="J1252" s="83">
        <v>19.30444962792507</v>
      </c>
    </row>
    <row r="1253" spans="1:10" ht="16">
      <c r="A1253" s="79" t="s">
        <v>851</v>
      </c>
      <c r="B1253" s="79" t="s">
        <v>839</v>
      </c>
      <c r="C1253" s="80" t="s">
        <v>95</v>
      </c>
      <c r="D1253" s="81" t="s">
        <v>99</v>
      </c>
      <c r="E1253" s="82">
        <v>13914</v>
      </c>
      <c r="F1253" s="82">
        <v>653</v>
      </c>
      <c r="G1253" s="82">
        <v>3757</v>
      </c>
      <c r="H1253" s="83">
        <v>57.990972486704145</v>
      </c>
      <c r="I1253" s="83">
        <v>54885.812086545491</v>
      </c>
      <c r="J1253" s="83">
        <v>49.659202702313202</v>
      </c>
    </row>
    <row r="1254" spans="1:10" ht="16">
      <c r="A1254" s="79" t="s">
        <v>1468</v>
      </c>
      <c r="B1254" s="79" t="s">
        <v>1307</v>
      </c>
      <c r="C1254" s="80" t="s">
        <v>95</v>
      </c>
      <c r="D1254" s="81" t="s">
        <v>79</v>
      </c>
      <c r="E1254" s="82">
        <v>7675</v>
      </c>
      <c r="F1254" s="82">
        <v>1919</v>
      </c>
      <c r="G1254" s="82">
        <v>691</v>
      </c>
      <c r="H1254" s="83">
        <v>19.628118927489414</v>
      </c>
      <c r="I1254" s="83">
        <v>17702.50839007604</v>
      </c>
      <c r="J1254" s="83">
        <v>43.290893434910636</v>
      </c>
    </row>
    <row r="1255" spans="1:10" ht="16">
      <c r="A1255" s="79" t="s">
        <v>909</v>
      </c>
      <c r="B1255" s="79" t="s">
        <v>898</v>
      </c>
      <c r="C1255" s="80" t="s">
        <v>126</v>
      </c>
      <c r="D1255" s="81" t="s">
        <v>78</v>
      </c>
      <c r="E1255" s="82">
        <v>29709</v>
      </c>
      <c r="F1255" s="82">
        <v>2303</v>
      </c>
      <c r="G1255" s="82">
        <v>1783</v>
      </c>
      <c r="H1255" s="83">
        <v>11.982689949918345</v>
      </c>
      <c r="I1255" s="83">
        <v>3635.7790594902244</v>
      </c>
      <c r="J1255" s="83">
        <v>20.039376795484841</v>
      </c>
    </row>
    <row r="1256" spans="1:10" ht="16">
      <c r="A1256" s="79" t="s">
        <v>766</v>
      </c>
      <c r="B1256" s="79" t="s">
        <v>661</v>
      </c>
      <c r="C1256" s="80" t="s">
        <v>126</v>
      </c>
      <c r="D1256" s="81" t="s">
        <v>101</v>
      </c>
      <c r="E1256" s="82">
        <v>48839</v>
      </c>
      <c r="F1256" s="82">
        <v>3464</v>
      </c>
      <c r="G1256" s="82">
        <v>4884</v>
      </c>
      <c r="H1256" s="83">
        <v>23.667176786013407</v>
      </c>
      <c r="I1256" s="83">
        <v>6438.6478781444184</v>
      </c>
      <c r="J1256" s="83">
        <v>31.4556219041277</v>
      </c>
    </row>
    <row r="1257" spans="1:10" ht="16">
      <c r="A1257" s="79" t="s">
        <v>1469</v>
      </c>
      <c r="B1257" s="79" t="s">
        <v>1307</v>
      </c>
      <c r="C1257" s="80" t="s">
        <v>95</v>
      </c>
      <c r="D1257" s="81" t="s">
        <v>101</v>
      </c>
      <c r="E1257" s="82">
        <v>27957</v>
      </c>
      <c r="F1257" s="82">
        <v>1545</v>
      </c>
      <c r="G1257" s="82">
        <v>1957</v>
      </c>
      <c r="H1257" s="83">
        <v>29.547626860314086</v>
      </c>
      <c r="I1257" s="83">
        <v>20535.238633354002</v>
      </c>
      <c r="J1257" s="83">
        <v>30.951086136346508</v>
      </c>
    </row>
    <row r="1258" spans="1:10" ht="16">
      <c r="A1258" s="79" t="s">
        <v>1470</v>
      </c>
      <c r="B1258" s="79" t="s">
        <v>1307</v>
      </c>
      <c r="C1258" s="80" t="s">
        <v>126</v>
      </c>
      <c r="D1258" s="81" t="s">
        <v>75</v>
      </c>
      <c r="E1258" s="82">
        <v>13401</v>
      </c>
      <c r="F1258" s="82">
        <v>1787</v>
      </c>
      <c r="G1258" s="82">
        <v>2680</v>
      </c>
      <c r="H1258" s="83">
        <v>57.52550897095368</v>
      </c>
      <c r="I1258" s="83">
        <v>56865.696369848971</v>
      </c>
      <c r="J1258" s="83">
        <v>64.389019387886918</v>
      </c>
    </row>
    <row r="1259" spans="1:10" ht="16">
      <c r="A1259" s="79" t="s">
        <v>1471</v>
      </c>
      <c r="B1259" s="79" t="s">
        <v>1307</v>
      </c>
      <c r="C1259" s="80" t="s">
        <v>95</v>
      </c>
      <c r="D1259" s="81" t="s">
        <v>111</v>
      </c>
      <c r="E1259" s="82">
        <v>22295</v>
      </c>
      <c r="F1259" s="82">
        <v>1973</v>
      </c>
      <c r="G1259" s="82">
        <v>2007</v>
      </c>
      <c r="H1259" s="83">
        <v>18.53686007391121</v>
      </c>
      <c r="I1259" s="83">
        <v>15100.713551029454</v>
      </c>
      <c r="J1259" s="83">
        <v>34.092410573027486</v>
      </c>
    </row>
    <row r="1260" spans="1:10" ht="16">
      <c r="A1260" s="79" t="s">
        <v>312</v>
      </c>
      <c r="B1260" s="79" t="s">
        <v>242</v>
      </c>
      <c r="C1260" s="80" t="s">
        <v>95</v>
      </c>
      <c r="D1260" s="81" t="s">
        <v>101</v>
      </c>
      <c r="E1260" s="82">
        <v>15971</v>
      </c>
      <c r="F1260" s="82">
        <v>1365</v>
      </c>
      <c r="G1260" s="82">
        <v>799</v>
      </c>
      <c r="H1260" s="83">
        <v>12.881258107677052</v>
      </c>
      <c r="I1260" s="83">
        <v>3565.1904611573873</v>
      </c>
      <c r="J1260" s="83">
        <v>17.204374346325942</v>
      </c>
    </row>
    <row r="1261" spans="1:10" ht="16">
      <c r="A1261" s="79" t="s">
        <v>936</v>
      </c>
      <c r="B1261" s="79" t="s">
        <v>928</v>
      </c>
      <c r="C1261" s="80" t="s">
        <v>95</v>
      </c>
      <c r="D1261" s="81" t="s">
        <v>76</v>
      </c>
      <c r="E1261" s="82">
        <v>13550</v>
      </c>
      <c r="F1261" s="82">
        <v>753</v>
      </c>
      <c r="G1261" s="82">
        <v>542</v>
      </c>
      <c r="H1261" s="83">
        <v>10.127270699116147</v>
      </c>
      <c r="I1261" s="83">
        <v>1100.3907383922694</v>
      </c>
      <c r="J1261" s="83">
        <v>18.059013023573947</v>
      </c>
    </row>
    <row r="1262" spans="1:10" ht="16">
      <c r="A1262" s="79" t="s">
        <v>1472</v>
      </c>
      <c r="B1262" s="79" t="s">
        <v>1307</v>
      </c>
      <c r="C1262" s="80" t="s">
        <v>126</v>
      </c>
      <c r="D1262" s="81" t="s">
        <v>75</v>
      </c>
      <c r="E1262" s="82">
        <v>25966</v>
      </c>
      <c r="F1262" s="82">
        <v>1404</v>
      </c>
      <c r="G1262" s="82">
        <v>2077</v>
      </c>
      <c r="H1262" s="83">
        <v>17.653126120076958</v>
      </c>
      <c r="I1262" s="83">
        <v>10147.638444109441</v>
      </c>
      <c r="J1262" s="83">
        <v>28.24500606045229</v>
      </c>
    </row>
    <row r="1263" spans="1:10" ht="16">
      <c r="A1263" s="79" t="s">
        <v>144</v>
      </c>
      <c r="B1263" s="79" t="s">
        <v>108</v>
      </c>
      <c r="C1263" s="80" t="s">
        <v>95</v>
      </c>
      <c r="D1263" s="81" t="s">
        <v>79</v>
      </c>
      <c r="E1263" s="82">
        <v>32259</v>
      </c>
      <c r="F1263" s="82">
        <v>904</v>
      </c>
      <c r="G1263" s="82">
        <v>5484</v>
      </c>
      <c r="H1263" s="83">
        <v>30.016332275485492</v>
      </c>
      <c r="I1263" s="83">
        <v>24132.982926140725</v>
      </c>
      <c r="J1263" s="83">
        <v>24.141431365394538</v>
      </c>
    </row>
    <row r="1264" spans="1:10" ht="16">
      <c r="A1264" s="79" t="s">
        <v>228</v>
      </c>
      <c r="B1264" s="79" t="s">
        <v>203</v>
      </c>
      <c r="C1264" s="80" t="s">
        <v>95</v>
      </c>
      <c r="D1264" s="81" t="s">
        <v>78</v>
      </c>
      <c r="E1264" s="82">
        <v>29865</v>
      </c>
      <c r="F1264" s="82">
        <v>1293</v>
      </c>
      <c r="G1264" s="82">
        <v>5376</v>
      </c>
      <c r="H1264" s="83">
        <v>35.903626296226442</v>
      </c>
      <c r="I1264" s="83">
        <v>27279.364081262236</v>
      </c>
      <c r="J1264" s="83">
        <v>40.348413847824617</v>
      </c>
    </row>
    <row r="1265" spans="1:10" ht="16">
      <c r="A1265" s="79" t="s">
        <v>1473</v>
      </c>
      <c r="B1265" s="79" t="s">
        <v>1307</v>
      </c>
      <c r="C1265" s="80" t="s">
        <v>95</v>
      </c>
      <c r="D1265" s="81" t="s">
        <v>77</v>
      </c>
      <c r="E1265" s="82">
        <v>13726</v>
      </c>
      <c r="F1265" s="82">
        <v>775</v>
      </c>
      <c r="G1265" s="82">
        <v>137</v>
      </c>
      <c r="H1265" s="83">
        <v>11.578022948551208</v>
      </c>
      <c r="I1265" s="83">
        <v>6653.9154790927068</v>
      </c>
      <c r="J1265" s="83">
        <v>16.545491128934767</v>
      </c>
    </row>
    <row r="1266" spans="1:10" ht="16">
      <c r="A1266" s="79" t="s">
        <v>1474</v>
      </c>
      <c r="B1266" s="79" t="s">
        <v>1307</v>
      </c>
      <c r="C1266" s="80" t="s">
        <v>95</v>
      </c>
      <c r="D1266" s="81" t="s">
        <v>101</v>
      </c>
      <c r="E1266" s="82">
        <v>8235</v>
      </c>
      <c r="F1266" s="82">
        <v>722</v>
      </c>
      <c r="G1266" s="82">
        <v>741</v>
      </c>
      <c r="H1266" s="83">
        <v>21.836526218859134</v>
      </c>
      <c r="I1266" s="83">
        <v>18488.780354303213</v>
      </c>
      <c r="J1266" s="83">
        <v>48.246351754889446</v>
      </c>
    </row>
    <row r="1267" spans="1:10" ht="16">
      <c r="A1267" s="79" t="s">
        <v>1475</v>
      </c>
      <c r="B1267" s="79" t="s">
        <v>1307</v>
      </c>
      <c r="C1267" s="80" t="s">
        <v>126</v>
      </c>
      <c r="D1267" s="81" t="s">
        <v>101</v>
      </c>
      <c r="E1267" s="82">
        <v>5733</v>
      </c>
      <c r="F1267" s="82">
        <v>451</v>
      </c>
      <c r="G1267" s="82">
        <v>1261</v>
      </c>
      <c r="H1267" s="83">
        <v>18.465972672048135</v>
      </c>
      <c r="I1267" s="83">
        <v>10469.704845635802</v>
      </c>
      <c r="J1267" s="83">
        <v>20.344295995356333</v>
      </c>
    </row>
    <row r="1268" spans="1:10" ht="16">
      <c r="A1268" s="79" t="s">
        <v>910</v>
      </c>
      <c r="B1268" s="79" t="s">
        <v>898</v>
      </c>
      <c r="C1268" s="80" t="s">
        <v>126</v>
      </c>
      <c r="D1268" s="81" t="s">
        <v>78</v>
      </c>
      <c r="E1268" s="82">
        <v>28329</v>
      </c>
      <c r="F1268" s="82">
        <v>1914</v>
      </c>
      <c r="G1268" s="82">
        <v>850</v>
      </c>
      <c r="H1268" s="83">
        <v>11.70068825531675</v>
      </c>
      <c r="I1268" s="83">
        <v>2302.8459481003929</v>
      </c>
      <c r="J1268" s="83">
        <v>16.823685669364256</v>
      </c>
    </row>
    <row r="1269" spans="1:10" ht="16">
      <c r="A1269" s="79" t="s">
        <v>313</v>
      </c>
      <c r="B1269" s="79" t="s">
        <v>242</v>
      </c>
      <c r="C1269" s="80" t="s">
        <v>95</v>
      </c>
      <c r="D1269" s="81" t="s">
        <v>103</v>
      </c>
      <c r="E1269" s="82">
        <v>52502</v>
      </c>
      <c r="F1269" s="82">
        <v>3596</v>
      </c>
      <c r="G1269" s="82">
        <v>3675</v>
      </c>
      <c r="H1269" s="83">
        <v>34.104725954199353</v>
      </c>
      <c r="I1269" s="83">
        <v>17855.088294993355</v>
      </c>
      <c r="J1269" s="83">
        <v>44.594895427858859</v>
      </c>
    </row>
    <row r="1270" spans="1:10" ht="16">
      <c r="A1270" s="79" t="s">
        <v>314</v>
      </c>
      <c r="B1270" s="79" t="s">
        <v>242</v>
      </c>
      <c r="C1270" s="80" t="s">
        <v>126</v>
      </c>
      <c r="D1270" s="81" t="s">
        <v>75</v>
      </c>
      <c r="E1270" s="82">
        <v>51684</v>
      </c>
      <c r="F1270" s="82">
        <v>3692</v>
      </c>
      <c r="G1270" s="82">
        <v>1551</v>
      </c>
      <c r="H1270" s="83">
        <v>13.955662361785864</v>
      </c>
      <c r="I1270" s="83">
        <v>5483.5456785233528</v>
      </c>
      <c r="J1270" s="83">
        <v>19.003806938379089</v>
      </c>
    </row>
    <row r="1271" spans="1:10" ht="16">
      <c r="A1271" s="79" t="s">
        <v>315</v>
      </c>
      <c r="B1271" s="79" t="s">
        <v>242</v>
      </c>
      <c r="C1271" s="80" t="s">
        <v>126</v>
      </c>
      <c r="D1271" s="81" t="s">
        <v>99</v>
      </c>
      <c r="E1271" s="82">
        <v>40841</v>
      </c>
      <c r="F1271" s="82">
        <v>2797</v>
      </c>
      <c r="G1271" s="82">
        <v>1634</v>
      </c>
      <c r="H1271" s="83">
        <v>23.861396616223185</v>
      </c>
      <c r="I1271" s="83">
        <v>13086.142516827395</v>
      </c>
      <c r="J1271" s="83">
        <v>27.766722937950917</v>
      </c>
    </row>
    <row r="1272" spans="1:10" ht="16">
      <c r="A1272" s="79" t="s">
        <v>316</v>
      </c>
      <c r="B1272" s="79" t="s">
        <v>242</v>
      </c>
      <c r="C1272" s="80" t="s">
        <v>95</v>
      </c>
      <c r="D1272" s="81" t="s">
        <v>111</v>
      </c>
      <c r="E1272" s="82">
        <v>31340</v>
      </c>
      <c r="F1272" s="82">
        <v>1478</v>
      </c>
      <c r="G1272" s="82">
        <v>313</v>
      </c>
      <c r="H1272" s="83">
        <v>12.307132245628974</v>
      </c>
      <c r="I1272" s="83">
        <v>5542.103546527419</v>
      </c>
      <c r="J1272" s="83">
        <v>14.955258530684654</v>
      </c>
    </row>
    <row r="1273" spans="1:10" ht="16">
      <c r="A1273" s="79" t="s">
        <v>317</v>
      </c>
      <c r="B1273" s="79" t="s">
        <v>242</v>
      </c>
      <c r="C1273" s="80" t="s">
        <v>126</v>
      </c>
      <c r="D1273" s="81" t="s">
        <v>101</v>
      </c>
      <c r="E1273" s="82">
        <v>34140</v>
      </c>
      <c r="F1273" s="82">
        <v>1996</v>
      </c>
      <c r="G1273" s="82">
        <v>1024</v>
      </c>
      <c r="H1273" s="83">
        <v>17.996829916275459</v>
      </c>
      <c r="I1273" s="83">
        <v>5669.8640807513175</v>
      </c>
      <c r="J1273" s="83">
        <v>21.858420406090517</v>
      </c>
    </row>
    <row r="1274" spans="1:10" ht="16">
      <c r="A1274" s="79" t="s">
        <v>1476</v>
      </c>
      <c r="B1274" s="79" t="s">
        <v>1307</v>
      </c>
      <c r="C1274" s="80" t="s">
        <v>126</v>
      </c>
      <c r="D1274" s="81" t="s">
        <v>99</v>
      </c>
      <c r="E1274" s="82">
        <v>12402</v>
      </c>
      <c r="F1274" s="82">
        <v>2297</v>
      </c>
      <c r="G1274" s="82">
        <v>2480</v>
      </c>
      <c r="H1274" s="83">
        <v>95.753802794669014</v>
      </c>
      <c r="I1274" s="83">
        <v>92298.192848884035</v>
      </c>
      <c r="J1274" s="83">
        <v>92.335516306691872</v>
      </c>
    </row>
    <row r="1275" spans="1:10" ht="16">
      <c r="A1275" s="79" t="s">
        <v>767</v>
      </c>
      <c r="B1275" s="79" t="s">
        <v>661</v>
      </c>
      <c r="C1275" s="80" t="s">
        <v>126</v>
      </c>
      <c r="D1275" s="81" t="s">
        <v>76</v>
      </c>
      <c r="E1275" s="82">
        <v>8913</v>
      </c>
      <c r="F1275" s="82">
        <v>1024</v>
      </c>
      <c r="G1275" s="82">
        <v>178</v>
      </c>
      <c r="H1275" s="83">
        <v>13.017027651410972</v>
      </c>
      <c r="I1275" s="83">
        <v>2161.1199331693069</v>
      </c>
      <c r="J1275" s="83">
        <v>22.146360022711704</v>
      </c>
    </row>
    <row r="1276" spans="1:10" ht="16">
      <c r="A1276" s="79" t="s">
        <v>768</v>
      </c>
      <c r="B1276" s="79" t="s">
        <v>661</v>
      </c>
      <c r="C1276" s="80" t="s">
        <v>126</v>
      </c>
      <c r="D1276" s="81" t="s">
        <v>75</v>
      </c>
      <c r="E1276" s="82">
        <v>10580</v>
      </c>
      <c r="F1276" s="82">
        <v>980</v>
      </c>
      <c r="G1276" s="82">
        <v>529</v>
      </c>
      <c r="H1276" s="83">
        <v>13.221317604282762</v>
      </c>
      <c r="I1276" s="83">
        <v>1876.6994886360119</v>
      </c>
      <c r="J1276" s="83">
        <v>21.319600754042881</v>
      </c>
    </row>
    <row r="1277" spans="1:10" ht="16">
      <c r="A1277" s="79" t="s">
        <v>318</v>
      </c>
      <c r="B1277" s="79" t="s">
        <v>242</v>
      </c>
      <c r="C1277" s="80" t="s">
        <v>95</v>
      </c>
      <c r="D1277" s="81" t="s">
        <v>149</v>
      </c>
      <c r="E1277" s="82">
        <v>36880</v>
      </c>
      <c r="F1277" s="82">
        <v>2442</v>
      </c>
      <c r="G1277" s="82">
        <v>1106</v>
      </c>
      <c r="H1277" s="83">
        <v>10.867089727047858</v>
      </c>
      <c r="I1277" s="83">
        <v>4399.4341605233512</v>
      </c>
      <c r="J1277" s="83">
        <v>15.374382011241819</v>
      </c>
    </row>
    <row r="1278" spans="1:10" ht="16">
      <c r="A1278" s="79" t="s">
        <v>319</v>
      </c>
      <c r="B1278" s="79" t="s">
        <v>242</v>
      </c>
      <c r="C1278" s="80" t="s">
        <v>126</v>
      </c>
      <c r="D1278" s="81" t="s">
        <v>77</v>
      </c>
      <c r="E1278" s="82">
        <v>32748</v>
      </c>
      <c r="F1278" s="82">
        <v>2140</v>
      </c>
      <c r="G1278" s="82">
        <v>327</v>
      </c>
      <c r="H1278" s="83">
        <v>11.920881054217027</v>
      </c>
      <c r="I1278" s="83">
        <v>1672.9416916993432</v>
      </c>
      <c r="J1278" s="83">
        <v>18.098877058173908</v>
      </c>
    </row>
    <row r="1279" spans="1:10" ht="16">
      <c r="A1279" s="79" t="s">
        <v>776</v>
      </c>
      <c r="B1279" s="79" t="s">
        <v>772</v>
      </c>
      <c r="C1279" s="80" t="s">
        <v>95</v>
      </c>
      <c r="D1279" s="81" t="s">
        <v>149</v>
      </c>
      <c r="E1279" s="82">
        <v>35353</v>
      </c>
      <c r="F1279" s="82">
        <v>1163</v>
      </c>
      <c r="G1279" s="82">
        <v>3182</v>
      </c>
      <c r="H1279" s="83">
        <v>8.4522770150986961</v>
      </c>
      <c r="I1279" s="83">
        <v>589.16459043931877</v>
      </c>
      <c r="J1279" s="83">
        <v>20.041170810801013</v>
      </c>
    </row>
    <row r="1280" spans="1:10" ht="16">
      <c r="A1280" s="79" t="s">
        <v>594</v>
      </c>
      <c r="B1280" s="79" t="s">
        <v>556</v>
      </c>
      <c r="C1280" s="80" t="s">
        <v>126</v>
      </c>
      <c r="D1280" s="81" t="s">
        <v>101</v>
      </c>
      <c r="E1280" s="82">
        <v>6332</v>
      </c>
      <c r="F1280" s="82">
        <v>230</v>
      </c>
      <c r="G1280" s="82">
        <v>441</v>
      </c>
      <c r="H1280" s="83">
        <v>15.577158707973823</v>
      </c>
      <c r="I1280" s="83">
        <v>14232.029288756414</v>
      </c>
      <c r="J1280" s="83">
        <v>16.023496533608199</v>
      </c>
    </row>
    <row r="1281" spans="1:10" ht="16">
      <c r="A1281" s="79" t="s">
        <v>595</v>
      </c>
      <c r="B1281" s="79" t="s">
        <v>556</v>
      </c>
      <c r="C1281" s="80" t="s">
        <v>95</v>
      </c>
      <c r="D1281" s="81" t="s">
        <v>96</v>
      </c>
      <c r="E1281" s="82">
        <v>13745</v>
      </c>
      <c r="F1281" s="82">
        <v>455</v>
      </c>
      <c r="G1281" s="82">
        <v>137</v>
      </c>
      <c r="H1281" s="83">
        <v>14.508745921706616</v>
      </c>
      <c r="I1281" s="83">
        <v>2331.4561395431861</v>
      </c>
      <c r="J1281" s="83">
        <v>17.073060438599079</v>
      </c>
    </row>
    <row r="1282" spans="1:10" ht="16">
      <c r="A1282" s="79" t="s">
        <v>1192</v>
      </c>
      <c r="B1282" s="79" t="s">
        <v>1161</v>
      </c>
      <c r="C1282" s="80" t="s">
        <v>95</v>
      </c>
      <c r="D1282" s="81" t="s">
        <v>149</v>
      </c>
      <c r="E1282" s="82">
        <v>19508</v>
      </c>
      <c r="F1282" s="82">
        <v>522</v>
      </c>
      <c r="G1282" s="82">
        <v>390</v>
      </c>
      <c r="H1282" s="83">
        <v>12.525286096617732</v>
      </c>
      <c r="I1282" s="83">
        <v>1452.7563391360864</v>
      </c>
      <c r="J1282" s="83">
        <v>19.254613271619721</v>
      </c>
    </row>
    <row r="1283" spans="1:10" ht="16">
      <c r="A1283" s="79" t="s">
        <v>1036</v>
      </c>
      <c r="B1283" s="79" t="s">
        <v>1007</v>
      </c>
      <c r="C1283" s="80" t="s">
        <v>126</v>
      </c>
      <c r="D1283" s="81" t="s">
        <v>101</v>
      </c>
      <c r="E1283" s="82">
        <v>20135</v>
      </c>
      <c r="F1283" s="82">
        <v>1360</v>
      </c>
      <c r="G1283" s="82">
        <v>1007</v>
      </c>
      <c r="H1283" s="83">
        <v>12.93907148870365</v>
      </c>
      <c r="I1283" s="83">
        <v>5854.4860763530514</v>
      </c>
      <c r="J1283" s="83">
        <v>19.280561044185763</v>
      </c>
    </row>
    <row r="1284" spans="1:10" ht="16">
      <c r="A1284" s="79" t="s">
        <v>1193</v>
      </c>
      <c r="B1284" s="79" t="s">
        <v>1161</v>
      </c>
      <c r="C1284" s="80" t="s">
        <v>126</v>
      </c>
      <c r="D1284" s="81" t="s">
        <v>99</v>
      </c>
      <c r="E1284" s="82">
        <v>36946</v>
      </c>
      <c r="F1284" s="82">
        <v>1103</v>
      </c>
      <c r="G1284" s="82">
        <v>1478</v>
      </c>
      <c r="H1284" s="83">
        <v>13.631813302193626</v>
      </c>
      <c r="I1284" s="83">
        <v>2982.8004457156258</v>
      </c>
      <c r="J1284" s="83">
        <v>16.106570347245185</v>
      </c>
    </row>
    <row r="1285" spans="1:10" ht="16">
      <c r="A1285" s="79" t="s">
        <v>769</v>
      </c>
      <c r="B1285" s="79" t="s">
        <v>661</v>
      </c>
      <c r="C1285" s="80" t="s">
        <v>95</v>
      </c>
      <c r="D1285" s="81" t="s">
        <v>149</v>
      </c>
      <c r="E1285" s="82">
        <v>4910</v>
      </c>
      <c r="F1285" s="82">
        <v>1091</v>
      </c>
      <c r="G1285" s="82">
        <v>98</v>
      </c>
      <c r="H1285" s="83">
        <v>9.3943264707398395</v>
      </c>
      <c r="I1285" s="83">
        <v>7408.7991474778919</v>
      </c>
      <c r="J1285" s="83">
        <v>26.156927430269818</v>
      </c>
    </row>
    <row r="1286" spans="1:10" ht="16">
      <c r="A1286" s="79" t="s">
        <v>770</v>
      </c>
      <c r="B1286" s="79" t="s">
        <v>661</v>
      </c>
      <c r="C1286" s="80" t="s">
        <v>126</v>
      </c>
      <c r="D1286" s="81" t="s">
        <v>77</v>
      </c>
      <c r="E1286" s="82">
        <v>9889</v>
      </c>
      <c r="F1286" s="82">
        <v>791</v>
      </c>
      <c r="G1286" s="82">
        <v>692</v>
      </c>
      <c r="H1286" s="83">
        <v>16.506945846770257</v>
      </c>
      <c r="I1286" s="83">
        <v>2680.3785876546258</v>
      </c>
      <c r="J1286" s="83">
        <v>23.038530568736356</v>
      </c>
    </row>
    <row r="1287" spans="1:10" ht="16">
      <c r="A1287" s="79" t="s">
        <v>1037</v>
      </c>
      <c r="B1287" s="79" t="s">
        <v>1007</v>
      </c>
      <c r="C1287" s="80" t="s">
        <v>126</v>
      </c>
      <c r="D1287" s="81" t="s">
        <v>103</v>
      </c>
      <c r="E1287" s="82">
        <v>17744</v>
      </c>
      <c r="F1287" s="82">
        <v>1215</v>
      </c>
      <c r="G1287" s="82">
        <v>3904</v>
      </c>
      <c r="H1287" s="83">
        <v>53.209920088465964</v>
      </c>
      <c r="I1287" s="83">
        <v>27878.65565542542</v>
      </c>
      <c r="J1287" s="83">
        <v>51.31523782399794</v>
      </c>
    </row>
    <row r="1288" spans="1:10" ht="16">
      <c r="A1288" s="79" t="s">
        <v>229</v>
      </c>
      <c r="B1288" s="79" t="s">
        <v>203</v>
      </c>
      <c r="C1288" s="80" t="s">
        <v>95</v>
      </c>
      <c r="D1288" s="81" t="s">
        <v>103</v>
      </c>
      <c r="E1288" s="82">
        <v>46683</v>
      </c>
      <c r="F1288" s="82">
        <v>1319</v>
      </c>
      <c r="G1288" s="82">
        <v>11204</v>
      </c>
      <c r="H1288" s="83">
        <v>37.808355605500282</v>
      </c>
      <c r="I1288" s="83">
        <v>19084.785823991591</v>
      </c>
      <c r="J1288" s="83">
        <v>28.369759113717265</v>
      </c>
    </row>
    <row r="1289" spans="1:10" ht="16">
      <c r="A1289" s="79" t="s">
        <v>1135</v>
      </c>
      <c r="B1289" s="79" t="s">
        <v>1100</v>
      </c>
      <c r="C1289" s="80" t="s">
        <v>126</v>
      </c>
      <c r="D1289" s="81" t="s">
        <v>96</v>
      </c>
      <c r="E1289" s="82">
        <v>8356</v>
      </c>
      <c r="F1289" s="82">
        <v>429</v>
      </c>
      <c r="G1289" s="82">
        <v>668</v>
      </c>
      <c r="H1289" s="83">
        <v>14.086116561508694</v>
      </c>
      <c r="I1289" s="83">
        <v>2156.6731456492753</v>
      </c>
      <c r="J1289" s="83">
        <v>17.755745144699183</v>
      </c>
    </row>
    <row r="1290" spans="1:10" ht="16">
      <c r="A1290" s="79" t="s">
        <v>382</v>
      </c>
      <c r="B1290" s="79" t="s">
        <v>363</v>
      </c>
      <c r="C1290" s="80" t="s">
        <v>95</v>
      </c>
      <c r="D1290" s="81" t="s">
        <v>96</v>
      </c>
      <c r="E1290" s="82">
        <v>156419</v>
      </c>
      <c r="F1290" s="82">
        <v>6517</v>
      </c>
      <c r="G1290" s="82">
        <v>1564</v>
      </c>
      <c r="H1290" s="83">
        <v>8.3893119404066372</v>
      </c>
      <c r="I1290" s="83">
        <v>2303.9445643925492</v>
      </c>
      <c r="J1290" s="83">
        <v>14.107500986081657</v>
      </c>
    </row>
    <row r="1291" spans="1:10" ht="16">
      <c r="A1291" s="79" t="s">
        <v>320</v>
      </c>
      <c r="B1291" s="79" t="s">
        <v>242</v>
      </c>
      <c r="C1291" s="80" t="s">
        <v>126</v>
      </c>
      <c r="D1291" s="81" t="s">
        <v>101</v>
      </c>
      <c r="E1291" s="82">
        <v>33427</v>
      </c>
      <c r="F1291" s="82">
        <v>3124</v>
      </c>
      <c r="G1291" s="82">
        <v>7354</v>
      </c>
      <c r="H1291" s="83">
        <v>65.033414368918471</v>
      </c>
      <c r="I1291" s="83">
        <v>32767.987237565296</v>
      </c>
      <c r="J1291" s="83">
        <v>66.610976478846254</v>
      </c>
    </row>
    <row r="1292" spans="1:10" ht="16">
      <c r="A1292" s="79" t="s">
        <v>321</v>
      </c>
      <c r="B1292" s="79" t="s">
        <v>242</v>
      </c>
      <c r="C1292" s="80" t="s">
        <v>95</v>
      </c>
      <c r="D1292" s="81" t="s">
        <v>79</v>
      </c>
      <c r="E1292" s="82">
        <v>31228</v>
      </c>
      <c r="F1292" s="82">
        <v>2124</v>
      </c>
      <c r="G1292" s="82">
        <v>2498</v>
      </c>
      <c r="H1292" s="83">
        <v>14.896891655304398</v>
      </c>
      <c r="I1292" s="83">
        <v>4616.9576886027626</v>
      </c>
      <c r="J1292" s="83">
        <v>17.2438474483512</v>
      </c>
    </row>
  </sheetData>
  <phoneticPr fontId="4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2:AB101"/>
  <sheetViews>
    <sheetView zoomScale="115" zoomScaleNormal="100" zoomScalePageLayoutView="85" workbookViewId="0">
      <selection activeCell="D24" sqref="D24"/>
    </sheetView>
  </sheetViews>
  <sheetFormatPr baseColWidth="10" defaultColWidth="8.83203125" defaultRowHeight="15"/>
  <cols>
    <col min="1" max="1" width="11" bestFit="1" customWidth="1"/>
    <col min="2" max="2" width="11.33203125" customWidth="1"/>
    <col min="3" max="4" width="16.5" customWidth="1"/>
    <col min="5" max="5" width="13.6640625" customWidth="1"/>
    <col min="6" max="6" width="8.83203125" customWidth="1"/>
    <col min="7" max="7" width="10" customWidth="1"/>
    <col min="8" max="10" width="8.83203125" customWidth="1"/>
    <col min="11" max="11" width="12.1640625" bestFit="1" customWidth="1"/>
    <col min="12" max="12" width="12.33203125" bestFit="1" customWidth="1"/>
    <col min="13" max="13" width="28.33203125" bestFit="1" customWidth="1"/>
    <col min="14" max="15" width="8.5" bestFit="1" customWidth="1"/>
    <col min="16" max="16" width="10" bestFit="1" customWidth="1"/>
    <col min="17" max="17" width="8.5" bestFit="1" customWidth="1"/>
    <col min="18" max="18" width="25.6640625" bestFit="1" customWidth="1"/>
    <col min="19" max="19" width="10.83203125" bestFit="1" customWidth="1"/>
    <col min="20" max="251" width="8.83203125" customWidth="1"/>
  </cols>
  <sheetData>
    <row r="2" spans="2:19">
      <c r="B2" s="2"/>
      <c r="C2" s="2"/>
      <c r="D2" s="11"/>
      <c r="E2" s="2"/>
      <c r="F2" s="2"/>
      <c r="G2" s="28" t="s">
        <v>29</v>
      </c>
      <c r="H2" s="28" t="s">
        <v>4</v>
      </c>
      <c r="I2" s="24"/>
      <c r="J2" s="24"/>
    </row>
    <row r="3" spans="2:19">
      <c r="B3" s="2" t="s">
        <v>17</v>
      </c>
      <c r="C3" s="2">
        <f>C6</f>
        <v>0</v>
      </c>
      <c r="D3" s="2"/>
      <c r="E3" s="2"/>
      <c r="F3" s="2"/>
      <c r="G3" s="2" t="s">
        <v>6</v>
      </c>
      <c r="H3" s="2">
        <f>Answers!F4</f>
        <v>0</v>
      </c>
      <c r="I3" s="2" t="str">
        <f>CLEAN(H3)</f>
        <v>0</v>
      </c>
      <c r="J3" s="24"/>
    </row>
    <row r="4" spans="2:19">
      <c r="B4" s="2" t="s">
        <v>54</v>
      </c>
      <c r="C4" s="76" t="s">
        <v>1493</v>
      </c>
      <c r="D4" s="89">
        <f>VALUE(RIGHT(C4,LEN(C4)-1))</f>
        <v>1</v>
      </c>
      <c r="E4" s="2"/>
      <c r="F4" s="2"/>
      <c r="G4" s="2" t="s">
        <v>3</v>
      </c>
      <c r="H4" s="2">
        <f>Answers!F5</f>
        <v>0</v>
      </c>
      <c r="I4" s="2" t="str">
        <f t="shared" ref="I4:I20" si="0">CLEAN(H4)</f>
        <v>0</v>
      </c>
      <c r="J4" s="24"/>
    </row>
    <row r="5" spans="2:19">
      <c r="B5" s="2" t="s">
        <v>7</v>
      </c>
      <c r="C5" s="9">
        <v>2020</v>
      </c>
      <c r="D5" s="9" t="s">
        <v>53</v>
      </c>
      <c r="E5" s="2"/>
      <c r="F5" s="2"/>
      <c r="G5" s="2" t="s">
        <v>2</v>
      </c>
      <c r="H5" s="2">
        <f>Answers!F6</f>
        <v>0</v>
      </c>
      <c r="I5" s="2" t="str">
        <f t="shared" si="0"/>
        <v>0</v>
      </c>
      <c r="J5" s="24"/>
    </row>
    <row r="6" spans="2:19">
      <c r="B6" s="2"/>
      <c r="C6" s="2"/>
      <c r="D6" s="2"/>
      <c r="E6" s="9"/>
      <c r="F6" s="2"/>
      <c r="G6" s="2" t="s">
        <v>33</v>
      </c>
      <c r="H6" s="2">
        <f>Answers!F7</f>
        <v>0</v>
      </c>
      <c r="I6" s="2" t="str">
        <f t="shared" si="0"/>
        <v>0</v>
      </c>
      <c r="J6" s="24"/>
    </row>
    <row r="7" spans="2:19">
      <c r="B7" s="2"/>
      <c r="C7" s="10"/>
      <c r="D7" s="2"/>
      <c r="E7" s="9"/>
      <c r="F7" s="2"/>
      <c r="G7" s="2" t="s">
        <v>34</v>
      </c>
      <c r="H7" s="2" t="str">
        <f>Answers!F8</f>
        <v>$$DV_KEY!L17:L21</v>
      </c>
      <c r="I7" s="2" t="str">
        <f t="shared" si="0"/>
        <v>$$DV_KEY!L17:L21</v>
      </c>
      <c r="J7" s="24"/>
      <c r="K7" s="26"/>
      <c r="L7" s="26"/>
      <c r="M7" s="26"/>
      <c r="N7" s="26"/>
      <c r="O7" s="26"/>
      <c r="P7" s="26"/>
    </row>
    <row r="8" spans="2:19">
      <c r="B8" s="2"/>
      <c r="C8" s="2"/>
      <c r="D8" s="2"/>
      <c r="E8" s="2"/>
      <c r="F8" s="2"/>
      <c r="G8" s="2" t="s">
        <v>9</v>
      </c>
      <c r="H8" s="2" t="str">
        <f>Answers!F10</f>
        <v>$$DV_KEY!N17:N21</v>
      </c>
      <c r="I8" s="2" t="str">
        <f t="shared" si="0"/>
        <v>$$DV_KEY!N17:N21</v>
      </c>
      <c r="J8" s="24"/>
    </row>
    <row r="9" spans="2:19">
      <c r="B9" s="2"/>
      <c r="C9" s="7"/>
      <c r="D9" s="7"/>
      <c r="E9" s="2"/>
      <c r="F9" s="2"/>
      <c r="G9" s="2" t="s">
        <v>10</v>
      </c>
      <c r="H9" s="2">
        <f>Answers!F11</f>
        <v>0</v>
      </c>
      <c r="I9" s="2" t="str">
        <f t="shared" si="0"/>
        <v>0</v>
      </c>
      <c r="J9" s="24"/>
    </row>
    <row r="10" spans="2:19" ht="16">
      <c r="B10" s="2"/>
      <c r="C10" s="7"/>
      <c r="D10" s="2"/>
      <c r="E10" s="2"/>
      <c r="F10" s="2"/>
      <c r="G10" s="2" t="s">
        <v>11</v>
      </c>
      <c r="H10" s="2">
        <f>Answers!F12</f>
        <v>0</v>
      </c>
      <c r="I10" s="2" t="str">
        <f t="shared" si="0"/>
        <v>0</v>
      </c>
      <c r="J10" s="24"/>
      <c r="M10" s="90"/>
    </row>
    <row r="11" spans="2:19">
      <c r="B11" s="2" t="s">
        <v>40</v>
      </c>
      <c r="C11" s="7">
        <f>M32</f>
        <v>0</v>
      </c>
      <c r="D11" s="2"/>
      <c r="E11" s="2"/>
      <c r="F11" s="2"/>
      <c r="G11" s="2" t="s">
        <v>35</v>
      </c>
      <c r="H11" s="2">
        <f>Answers!F13</f>
        <v>0</v>
      </c>
      <c r="I11" s="2" t="str">
        <f t="shared" si="0"/>
        <v>0</v>
      </c>
      <c r="J11" s="24"/>
    </row>
    <row r="12" spans="2:19" s="26" customFormat="1">
      <c r="B12" s="2"/>
      <c r="C12" s="7"/>
      <c r="D12" s="2"/>
      <c r="E12" s="2"/>
      <c r="F12" s="2"/>
      <c r="G12" s="22" t="s">
        <v>36</v>
      </c>
      <c r="H12" s="2" t="str">
        <f>Answers!F14</f>
        <v>$$DV_KEY!O17:O19</v>
      </c>
      <c r="I12" s="2" t="str">
        <f t="shared" si="0"/>
        <v>$$DV_KEY!O17:O19</v>
      </c>
      <c r="J12" s="24"/>
      <c r="K12"/>
      <c r="L12"/>
      <c r="M12"/>
      <c r="N12"/>
      <c r="O12"/>
      <c r="P12"/>
    </row>
    <row r="13" spans="2:19">
      <c r="B13" s="130" t="s">
        <v>1485</v>
      </c>
      <c r="C13" s="130"/>
      <c r="D13" s="2"/>
      <c r="E13" s="2"/>
      <c r="F13" s="2"/>
      <c r="G13" s="2" t="s">
        <v>14</v>
      </c>
      <c r="H13" s="26">
        <f>Answers!F16</f>
        <v>0</v>
      </c>
      <c r="I13" s="2" t="str">
        <f t="shared" si="0"/>
        <v>0</v>
      </c>
      <c r="J13" s="24"/>
      <c r="K13" s="24"/>
      <c r="L13" s="24"/>
      <c r="M13" s="24"/>
      <c r="N13" s="24"/>
      <c r="O13" s="24"/>
      <c r="P13" s="24"/>
    </row>
    <row r="14" spans="2:19">
      <c r="B14" s="26" t="s">
        <v>10</v>
      </c>
      <c r="C14" s="2">
        <f>M33</f>
        <v>72</v>
      </c>
      <c r="D14" s="2"/>
      <c r="E14" s="2"/>
      <c r="F14" s="2"/>
      <c r="G14" s="2" t="s">
        <v>15</v>
      </c>
      <c r="H14" s="26">
        <f>Answers!F17</f>
        <v>0</v>
      </c>
      <c r="I14" s="2" t="str">
        <f t="shared" si="0"/>
        <v>0</v>
      </c>
      <c r="J14" s="24"/>
      <c r="K14" s="24"/>
      <c r="L14" s="24"/>
      <c r="M14" s="24"/>
      <c r="N14" s="24"/>
      <c r="O14" s="24"/>
      <c r="P14" s="24"/>
    </row>
    <row r="15" spans="2:19" ht="16">
      <c r="B15" s="26" t="s">
        <v>11</v>
      </c>
      <c r="C15" s="2">
        <f t="shared" ref="C15:C21" si="1">M34</f>
        <v>49</v>
      </c>
      <c r="D15" s="2"/>
      <c r="E15" s="2"/>
      <c r="F15" s="2"/>
      <c r="G15" s="2" t="s">
        <v>27</v>
      </c>
      <c r="H15" s="26" t="str">
        <f>Answers!F18</f>
        <v>$$DV_KEY!P17:P22</v>
      </c>
      <c r="I15" s="2" t="str">
        <f t="shared" si="0"/>
        <v>$$DV_KEY!P17:P22</v>
      </c>
      <c r="J15" s="24"/>
      <c r="K15" s="24"/>
      <c r="L15" s="24"/>
      <c r="M15" s="24"/>
      <c r="N15" s="24"/>
      <c r="O15" s="24"/>
      <c r="P15" s="24"/>
      <c r="S15" s="90"/>
    </row>
    <row r="16" spans="2:19" ht="16">
      <c r="B16" s="52" t="s">
        <v>1483</v>
      </c>
      <c r="C16" s="2">
        <f t="shared" si="1"/>
        <v>9968</v>
      </c>
      <c r="D16" s="2"/>
      <c r="E16" s="8"/>
      <c r="F16" s="2"/>
      <c r="G16" s="7" t="s">
        <v>12</v>
      </c>
      <c r="H16" s="26">
        <f>Answers!F20</f>
        <v>0</v>
      </c>
      <c r="I16" s="2" t="str">
        <f t="shared" si="0"/>
        <v>0</v>
      </c>
      <c r="J16" s="24"/>
      <c r="K16" s="131" t="s">
        <v>28</v>
      </c>
      <c r="L16" s="131"/>
      <c r="M16" s="131"/>
      <c r="N16" s="131"/>
      <c r="O16" s="131"/>
      <c r="P16" s="131"/>
      <c r="Q16" s="131"/>
      <c r="R16" s="131"/>
      <c r="S16" s="131"/>
    </row>
    <row r="17" spans="1:28" ht="16">
      <c r="B17" s="34" t="s">
        <v>1484</v>
      </c>
      <c r="C17" s="2">
        <f t="shared" si="1"/>
        <v>1190</v>
      </c>
      <c r="D17" s="2"/>
      <c r="E17" s="2"/>
      <c r="F17" s="2"/>
      <c r="G17" s="2" t="s">
        <v>13</v>
      </c>
      <c r="H17" s="26">
        <f>Answers!F21</f>
        <v>0</v>
      </c>
      <c r="I17" s="2" t="str">
        <f t="shared" si="0"/>
        <v>0</v>
      </c>
      <c r="J17" s="24"/>
      <c r="K17" s="31">
        <v>1</v>
      </c>
      <c r="L17" s="53" t="s">
        <v>18</v>
      </c>
      <c r="M17" s="31" t="s">
        <v>18</v>
      </c>
      <c r="N17" s="31" t="s">
        <v>18</v>
      </c>
      <c r="O17" s="31" t="s">
        <v>18</v>
      </c>
      <c r="P17" s="31" t="s">
        <v>18</v>
      </c>
      <c r="Q17" s="31" t="s">
        <v>18</v>
      </c>
      <c r="R17" s="31" t="s">
        <v>18</v>
      </c>
      <c r="S17" s="31" t="s">
        <v>18</v>
      </c>
    </row>
    <row r="18" spans="1:28" ht="16">
      <c r="B18" s="34">
        <v>3</v>
      </c>
      <c r="C18" s="2" t="str">
        <f t="shared" si="1"/>
        <v>United States</v>
      </c>
      <c r="D18" s="2"/>
      <c r="E18" s="2"/>
      <c r="F18" s="2"/>
      <c r="G18" s="2" t="s">
        <v>45</v>
      </c>
      <c r="H18" s="26">
        <f>Answers!F22</f>
        <v>0</v>
      </c>
      <c r="I18" s="2" t="str">
        <f t="shared" si="0"/>
        <v>0</v>
      </c>
      <c r="J18" s="24"/>
      <c r="K18" s="31">
        <v>2</v>
      </c>
      <c r="L18" s="85" t="s">
        <v>242</v>
      </c>
      <c r="M18" s="91" t="s">
        <v>1332</v>
      </c>
      <c r="N18" s="91" t="s">
        <v>1497</v>
      </c>
      <c r="O18" s="91" t="s">
        <v>1500</v>
      </c>
      <c r="P18" s="34" t="s">
        <v>1161</v>
      </c>
      <c r="Q18" s="91" t="s">
        <v>1502</v>
      </c>
      <c r="R18" s="93" t="s">
        <v>506</v>
      </c>
      <c r="S18" s="92" t="s">
        <v>163</v>
      </c>
    </row>
    <row r="19" spans="1:28" ht="16">
      <c r="B19" s="26" t="s">
        <v>14</v>
      </c>
      <c r="C19" s="2">
        <f t="shared" si="1"/>
        <v>1139</v>
      </c>
      <c r="D19" s="2"/>
      <c r="E19" s="2"/>
      <c r="F19" s="2"/>
      <c r="G19" s="22" t="s">
        <v>46</v>
      </c>
      <c r="H19" s="26">
        <f>Answers!F23</f>
        <v>0</v>
      </c>
      <c r="I19" s="2" t="str">
        <f t="shared" si="0"/>
        <v>0</v>
      </c>
      <c r="J19" s="24"/>
      <c r="K19" s="31">
        <v>3</v>
      </c>
      <c r="L19" s="85" t="s">
        <v>203</v>
      </c>
      <c r="M19" s="91" t="s">
        <v>1494</v>
      </c>
      <c r="N19" s="91" t="s">
        <v>1496</v>
      </c>
      <c r="O19" s="91" t="s">
        <v>1501</v>
      </c>
      <c r="P19" s="34" t="s">
        <v>203</v>
      </c>
      <c r="Q19" s="91" t="s">
        <v>1503</v>
      </c>
      <c r="R19" s="93" t="s">
        <v>1508</v>
      </c>
      <c r="S19" s="92" t="s">
        <v>478</v>
      </c>
    </row>
    <row r="20" spans="1:28" ht="16">
      <c r="B20" s="50" t="s">
        <v>15</v>
      </c>
      <c r="C20" s="2">
        <f t="shared" si="1"/>
        <v>14</v>
      </c>
      <c r="D20" s="2"/>
      <c r="E20" s="2"/>
      <c r="F20" s="2"/>
      <c r="G20" s="22" t="s">
        <v>47</v>
      </c>
      <c r="H20" s="26">
        <f>Answers!F24</f>
        <v>0</v>
      </c>
      <c r="I20" s="2" t="str">
        <f t="shared" si="0"/>
        <v>0</v>
      </c>
      <c r="J20" s="24"/>
      <c r="K20" s="31">
        <v>4</v>
      </c>
      <c r="L20" s="85" t="s">
        <v>1307</v>
      </c>
      <c r="M20" s="91" t="s">
        <v>1495</v>
      </c>
      <c r="N20" s="91" t="s">
        <v>1499</v>
      </c>
      <c r="O20" s="51"/>
      <c r="P20" s="34" t="s">
        <v>1091</v>
      </c>
      <c r="R20" s="26" t="s">
        <v>524</v>
      </c>
      <c r="S20" s="92" t="s">
        <v>1091</v>
      </c>
    </row>
    <row r="21" spans="1:28" ht="16">
      <c r="B21" s="50" t="s">
        <v>13</v>
      </c>
      <c r="C21" s="2">
        <f t="shared" si="1"/>
        <v>78</v>
      </c>
      <c r="D21" s="2"/>
      <c r="E21" s="2"/>
      <c r="F21" s="2"/>
      <c r="G21" s="22" t="s">
        <v>20</v>
      </c>
      <c r="H21" s="22" t="str">
        <f>Answers!F26</f>
        <v>$$DV_KEY!R17:R22</v>
      </c>
      <c r="I21" s="2" t="str">
        <f t="shared" ref="I21:I28" si="2">CLEAN(H21)</f>
        <v>$$DV_KEY!R17:R22</v>
      </c>
      <c r="J21" s="24"/>
      <c r="K21" s="31">
        <v>5</v>
      </c>
      <c r="L21" s="85" t="s">
        <v>493</v>
      </c>
      <c r="M21" s="91" t="s">
        <v>1055</v>
      </c>
      <c r="N21" s="91" t="s">
        <v>1498</v>
      </c>
      <c r="O21" s="51"/>
      <c r="P21" s="34" t="s">
        <v>421</v>
      </c>
      <c r="R21" s="26" t="s">
        <v>533</v>
      </c>
      <c r="S21" s="92" t="s">
        <v>869</v>
      </c>
    </row>
    <row r="22" spans="1:28" ht="16">
      <c r="B22" s="24"/>
      <c r="C22" s="2"/>
      <c r="D22" s="2"/>
      <c r="E22" s="2"/>
      <c r="F22" s="2"/>
      <c r="G22" s="22" t="s">
        <v>48</v>
      </c>
      <c r="H22" s="22" t="str">
        <f>Answers!F28</f>
        <v>$$DV_KEY!S17:S22</v>
      </c>
      <c r="I22" s="2" t="str">
        <f t="shared" si="2"/>
        <v>$$DV_KEY!S17:S22</v>
      </c>
      <c r="K22" s="31">
        <v>6</v>
      </c>
      <c r="L22" s="75"/>
      <c r="M22" s="91" t="s">
        <v>1191</v>
      </c>
      <c r="N22" s="51"/>
      <c r="O22" s="51"/>
      <c r="P22" s="34" t="s">
        <v>1039</v>
      </c>
      <c r="R22" s="26" t="s">
        <v>532</v>
      </c>
      <c r="S22" s="92" t="s">
        <v>986</v>
      </c>
      <c r="AB22" s="31"/>
    </row>
    <row r="23" spans="1:28" ht="16">
      <c r="A23" s="26"/>
      <c r="B23" s="39" t="s">
        <v>37</v>
      </c>
      <c r="C23" s="39" t="s">
        <v>30</v>
      </c>
      <c r="D23" s="39" t="s">
        <v>31</v>
      </c>
      <c r="E23" s="39" t="s">
        <v>41</v>
      </c>
      <c r="F23" s="2"/>
      <c r="G23" s="22" t="s">
        <v>49</v>
      </c>
      <c r="H23" s="22" t="str">
        <f>Answers!F29</f>
        <v>$$DV_KEY!S17:S22</v>
      </c>
      <c r="I23" s="2" t="str">
        <f t="shared" si="2"/>
        <v>$$DV_KEY!S17:S22</v>
      </c>
      <c r="K23" s="31">
        <v>7</v>
      </c>
      <c r="L23" s="75"/>
      <c r="M23" s="91"/>
      <c r="N23" s="51"/>
      <c r="O23" s="51"/>
      <c r="P23" s="34"/>
      <c r="AB23" s="92"/>
    </row>
    <row r="24" spans="1:28" ht="16">
      <c r="A24" s="24"/>
      <c r="B24" s="2"/>
      <c r="C24" s="23"/>
      <c r="D24" s="23">
        <v>44154.855119097221</v>
      </c>
      <c r="E24" s="2"/>
      <c r="F24" s="2"/>
      <c r="G24" s="22" t="s">
        <v>50</v>
      </c>
      <c r="H24" s="22" t="str">
        <f>Answers!F30</f>
        <v>$$DV_KEY!S17:S22</v>
      </c>
      <c r="I24" s="2" t="str">
        <f t="shared" si="2"/>
        <v>$$DV_KEY!S17:S22</v>
      </c>
      <c r="J24" s="24"/>
      <c r="K24" s="31">
        <v>8</v>
      </c>
      <c r="L24" s="74"/>
      <c r="M24" s="73"/>
      <c r="N24" s="51"/>
      <c r="O24" s="62"/>
      <c r="P24" s="34"/>
      <c r="AB24" s="92"/>
    </row>
    <row r="25" spans="1:28" ht="16">
      <c r="A25" s="24"/>
      <c r="B25" s="2"/>
      <c r="C25" s="23"/>
      <c r="D25" s="23"/>
      <c r="E25" s="2"/>
      <c r="F25" s="2"/>
      <c r="G25" s="22" t="s">
        <v>51</v>
      </c>
      <c r="H25" s="22" t="str">
        <f>Answers!F31</f>
        <v>$$DV_KEY!S17:S22</v>
      </c>
      <c r="I25" s="2" t="str">
        <f t="shared" si="2"/>
        <v>$$DV_KEY!S17:S22</v>
      </c>
      <c r="J25" s="24"/>
      <c r="K25" s="31">
        <v>9</v>
      </c>
      <c r="L25" s="31"/>
      <c r="M25" s="51"/>
      <c r="N25" s="51"/>
      <c r="O25" s="62"/>
      <c r="P25" s="34"/>
      <c r="AB25" s="92"/>
    </row>
    <row r="26" spans="1:28" ht="16">
      <c r="A26" s="24"/>
      <c r="B26" s="2"/>
      <c r="C26" s="23"/>
      <c r="D26" s="23"/>
      <c r="E26" s="2"/>
      <c r="F26" s="2"/>
      <c r="G26" s="22" t="s">
        <v>52</v>
      </c>
      <c r="H26" s="22" t="str">
        <f>Answers!F32</f>
        <v>$$DV_KEY!S17:S22</v>
      </c>
      <c r="I26" s="2" t="str">
        <f t="shared" si="2"/>
        <v>$$DV_KEY!S17:S22</v>
      </c>
      <c r="J26" s="24"/>
      <c r="K26" s="31">
        <v>10</v>
      </c>
      <c r="L26" s="31"/>
      <c r="M26" s="30"/>
      <c r="N26" s="32"/>
      <c r="O26" s="62"/>
      <c r="P26" s="24"/>
      <c r="AB26" s="92"/>
    </row>
    <row r="27" spans="1:28" ht="16">
      <c r="A27" s="24"/>
      <c r="B27" s="2"/>
      <c r="C27" s="23"/>
      <c r="D27" s="23"/>
      <c r="E27" s="2"/>
      <c r="F27" s="2"/>
      <c r="G27" s="22" t="s">
        <v>38</v>
      </c>
      <c r="H27" s="26">
        <f>Answers!F34</f>
        <v>0</v>
      </c>
      <c r="I27" s="2" t="str">
        <f t="shared" si="2"/>
        <v>0</v>
      </c>
      <c r="J27" s="24"/>
      <c r="K27" s="24"/>
      <c r="L27" s="24"/>
      <c r="M27" s="24"/>
      <c r="N27" s="24"/>
      <c r="O27" s="34"/>
      <c r="P27" s="24"/>
      <c r="AB27" s="92"/>
    </row>
    <row r="28" spans="1:28" ht="16">
      <c r="A28" s="24"/>
      <c r="B28" s="2"/>
      <c r="C28" s="23"/>
      <c r="D28" s="23"/>
      <c r="E28" s="2"/>
      <c r="F28" s="2"/>
      <c r="G28" s="22" t="s">
        <v>39</v>
      </c>
      <c r="H28" s="26" t="str">
        <f>Answers!F35</f>
        <v>$$DV_KEY!S17:S22</v>
      </c>
      <c r="I28" s="2" t="str">
        <f t="shared" si="2"/>
        <v>$$DV_KEY!S17:S22</v>
      </c>
      <c r="J28" s="24"/>
      <c r="K28" s="63"/>
      <c r="L28" s="24"/>
    </row>
    <row r="29" spans="1:28">
      <c r="A29" s="24"/>
      <c r="B29" s="2"/>
      <c r="C29" s="23"/>
      <c r="D29" s="23"/>
      <c r="E29" s="2"/>
      <c r="F29" s="2"/>
      <c r="G29" s="2"/>
      <c r="H29" s="26"/>
      <c r="I29" s="2"/>
      <c r="K29" s="24"/>
      <c r="M29" s="24"/>
    </row>
    <row r="30" spans="1:28">
      <c r="A30" s="24"/>
      <c r="B30" s="2"/>
      <c r="C30" s="23"/>
      <c r="D30" s="23"/>
      <c r="E30" s="2"/>
      <c r="F30" s="2"/>
      <c r="G30" s="2"/>
      <c r="H30" s="26"/>
      <c r="I30" s="2"/>
      <c r="K30" s="24"/>
      <c r="M30" s="24"/>
    </row>
    <row r="31" spans="1:28">
      <c r="A31" s="24"/>
      <c r="B31" s="2"/>
      <c r="C31" s="23"/>
      <c r="D31" s="23"/>
      <c r="E31" s="2"/>
      <c r="F31" s="2"/>
      <c r="J31" s="87">
        <f>MOD(48271*$D$4,2^31-1)</f>
        <v>48271</v>
      </c>
      <c r="K31" s="88">
        <f>J31/(2^31-1)</f>
        <v>2.2477936010098986E-5</v>
      </c>
      <c r="L31" s="129" t="s">
        <v>1485</v>
      </c>
      <c r="M31" s="129"/>
    </row>
    <row r="32" spans="1:28">
      <c r="A32" s="24"/>
      <c r="B32" s="2"/>
      <c r="C32" s="23"/>
      <c r="D32" s="23"/>
      <c r="E32" s="2"/>
      <c r="F32" s="2"/>
      <c r="G32" s="22"/>
      <c r="H32" s="22"/>
      <c r="I32" s="2"/>
      <c r="J32" s="87">
        <f>MOD(48271*J31,2^31-1)</f>
        <v>182605794</v>
      </c>
      <c r="K32" s="88">
        <f t="shared" ref="K32:K38" si="3">J32/(2^31-1)</f>
        <v>8.5032449143488176E-2</v>
      </c>
      <c r="L32" t="s">
        <v>55</v>
      </c>
      <c r="M32" s="24" cm="1">
        <f t="array" ref="M32">ROUNDDOWN(TO_RANGE(K32,0,4), 0)</f>
        <v>0</v>
      </c>
    </row>
    <row r="33" spans="1:16">
      <c r="A33" s="24"/>
      <c r="B33" s="2"/>
      <c r="C33" s="23"/>
      <c r="D33" s="23"/>
      <c r="E33" s="2"/>
      <c r="F33" s="2"/>
      <c r="J33" s="87">
        <f t="shared" ref="J33:J40" si="4">MOD(48271*J32,2^31-1)</f>
        <v>1291394886</v>
      </c>
      <c r="K33" s="88">
        <f t="shared" si="3"/>
        <v>0.60135260531741785</v>
      </c>
      <c r="L33" t="s">
        <v>10</v>
      </c>
      <c r="M33" cm="1">
        <f t="array" ref="M33">ROUND(TO_RANGE(K33,60,80),0)</f>
        <v>72</v>
      </c>
    </row>
    <row r="34" spans="1:16">
      <c r="A34" s="24"/>
      <c r="B34" s="2"/>
      <c r="C34" s="23"/>
      <c r="D34" s="23"/>
      <c r="E34" s="2"/>
      <c r="F34" s="2"/>
      <c r="J34" s="87">
        <f t="shared" si="4"/>
        <v>1914720637</v>
      </c>
      <c r="K34" s="88">
        <f t="shared" si="3"/>
        <v>0.89161127707530341</v>
      </c>
      <c r="L34" t="s">
        <v>11</v>
      </c>
      <c r="M34" s="26" cm="1">
        <f t="array" ref="M34">ROUND(TO_RANGE(K34,40,50),0)</f>
        <v>49</v>
      </c>
    </row>
    <row r="35" spans="1:16">
      <c r="A35" s="24"/>
      <c r="B35" s="2"/>
      <c r="C35" s="23"/>
      <c r="D35" s="23"/>
      <c r="E35" s="2"/>
      <c r="F35" s="2"/>
      <c r="J35" s="87">
        <f t="shared" si="4"/>
        <v>2078669041</v>
      </c>
      <c r="K35" s="88">
        <f t="shared" si="3"/>
        <v>0.96795570196954328</v>
      </c>
      <c r="L35" s="52" t="s">
        <v>1483</v>
      </c>
      <c r="M35" s="26" cm="1">
        <f t="array" ref="M35">ROUND(TO_RANGE(K35,9000,10000),0)</f>
        <v>9968</v>
      </c>
    </row>
    <row r="36" spans="1:16">
      <c r="A36" s="24"/>
      <c r="B36" s="2"/>
      <c r="C36" s="23"/>
      <c r="D36" s="23"/>
      <c r="E36" s="2"/>
      <c r="F36" s="2"/>
      <c r="J36" s="87">
        <f t="shared" si="4"/>
        <v>407355683</v>
      </c>
      <c r="K36" s="88">
        <f t="shared" si="3"/>
        <v>0.18968977182623453</v>
      </c>
      <c r="L36" s="34" t="s">
        <v>1484</v>
      </c>
      <c r="M36" s="26" cm="1">
        <f t="array" ref="M36">ROUND(TO_RANGE(K36,1000,2000),0)</f>
        <v>1190</v>
      </c>
    </row>
    <row r="37" spans="1:16">
      <c r="A37" s="24"/>
      <c r="B37" s="2"/>
      <c r="C37" s="23"/>
      <c r="D37" s="23"/>
      <c r="E37" s="2"/>
      <c r="F37" s="2"/>
      <c r="G37" s="2"/>
      <c r="J37" s="87">
        <f t="shared" si="4"/>
        <v>1105902161</v>
      </c>
      <c r="K37" s="88">
        <f t="shared" si="3"/>
        <v>0.514975824167475</v>
      </c>
      <c r="L37" s="34">
        <v>3</v>
      </c>
      <c r="M37" s="86" t="str">
        <f>VLOOKUP(N37,K18:$L$21,2,FALSE)</f>
        <v>United States</v>
      </c>
      <c r="N37" s="34" cm="1">
        <f t="array" ref="N37">ROUNDDOWN(TO_RANGE(K37,2,6),0)</f>
        <v>4</v>
      </c>
    </row>
    <row r="38" spans="1:16">
      <c r="A38" s="24"/>
      <c r="B38" s="2"/>
      <c r="C38" s="23"/>
      <c r="D38" s="23"/>
      <c r="E38" s="2"/>
      <c r="F38" s="2"/>
      <c r="G38" s="2"/>
      <c r="J38" s="87">
        <f t="shared" si="4"/>
        <v>854716505</v>
      </c>
      <c r="K38" s="88">
        <f t="shared" si="3"/>
        <v>0.39800838818680884</v>
      </c>
      <c r="L38" s="26" t="s">
        <v>14</v>
      </c>
      <c r="M38" s="26" cm="1">
        <f t="array" ref="M38">ROUND(TO_RANGE(K38,900,1500),0)</f>
        <v>1139</v>
      </c>
      <c r="O38" s="26"/>
    </row>
    <row r="39" spans="1:16">
      <c r="A39" s="24"/>
      <c r="B39" s="24"/>
      <c r="C39" s="27"/>
      <c r="D39" s="27"/>
      <c r="E39" s="24"/>
      <c r="F39" s="24"/>
      <c r="J39" s="87">
        <f t="shared" si="4"/>
        <v>564586691</v>
      </c>
      <c r="K39" s="88">
        <f>J39/(2^31-1)</f>
        <v>0.26290616545030204</v>
      </c>
      <c r="L39" s="50" t="s">
        <v>15</v>
      </c>
      <c r="M39" s="26" cm="1">
        <f t="array" ref="M39">ROUND(TO_RANGE(K39,12,18),0)</f>
        <v>14</v>
      </c>
      <c r="N39" s="25"/>
      <c r="O39" s="25"/>
      <c r="P39" s="25"/>
    </row>
    <row r="40" spans="1:16">
      <c r="A40" s="24"/>
      <c r="B40" s="24"/>
      <c r="C40" s="27"/>
      <c r="D40" s="27"/>
      <c r="E40" s="24"/>
      <c r="F40" s="24"/>
      <c r="J40" s="87">
        <f t="shared" si="4"/>
        <v>1596680831</v>
      </c>
      <c r="K40" s="88">
        <f>J40/(2^31-1)</f>
        <v>0.74351245152927581</v>
      </c>
      <c r="L40" s="50" t="s">
        <v>13</v>
      </c>
      <c r="M40" s="26" cm="1">
        <f t="array" ref="M40">ROUND(TO_RANGE(K40,75,79),0)</f>
        <v>78</v>
      </c>
    </row>
    <row r="41" spans="1:16">
      <c r="A41" s="24"/>
      <c r="B41" s="24"/>
      <c r="C41" s="27"/>
      <c r="D41" s="27"/>
      <c r="E41" s="24"/>
      <c r="F41" s="24"/>
    </row>
    <row r="42" spans="1:16">
      <c r="A42" s="24"/>
      <c r="B42" s="24"/>
      <c r="C42" s="27"/>
      <c r="D42" s="27"/>
      <c r="E42" s="24"/>
      <c r="F42" s="24"/>
    </row>
    <row r="43" spans="1:16">
      <c r="A43" s="24"/>
      <c r="B43" s="24"/>
      <c r="C43" s="27"/>
      <c r="D43" s="27"/>
      <c r="E43" s="24"/>
      <c r="F43" s="24"/>
    </row>
    <row r="44" spans="1:16">
      <c r="A44" s="24"/>
      <c r="B44" s="24"/>
      <c r="C44" s="24"/>
      <c r="D44" s="27"/>
      <c r="E44" s="24"/>
      <c r="F44" s="24"/>
    </row>
    <row r="45" spans="1:16">
      <c r="A45" s="24"/>
      <c r="B45" s="24"/>
      <c r="C45" s="24"/>
      <c r="D45" s="24"/>
      <c r="E45" s="24"/>
      <c r="F45" s="24"/>
    </row>
    <row r="46" spans="1:16">
      <c r="A46" s="24"/>
      <c r="B46" s="24"/>
      <c r="C46" s="24"/>
      <c r="D46" s="24"/>
      <c r="E46" s="24"/>
      <c r="F46" s="24"/>
    </row>
    <row r="47" spans="1:16">
      <c r="A47" s="24"/>
      <c r="B47" s="24"/>
      <c r="C47" s="24"/>
      <c r="D47" s="24"/>
      <c r="E47" s="24"/>
      <c r="F47" s="24"/>
    </row>
    <row r="48" spans="1:16">
      <c r="A48" s="24"/>
      <c r="B48" s="24"/>
      <c r="C48" s="24"/>
      <c r="D48" s="24"/>
      <c r="E48" s="24"/>
      <c r="F48" s="24"/>
    </row>
    <row r="49" spans="1:6">
      <c r="A49" s="24"/>
      <c r="B49" s="24"/>
      <c r="C49" s="24"/>
      <c r="D49" s="24"/>
      <c r="E49" s="24"/>
      <c r="F49" s="24"/>
    </row>
    <row r="50" spans="1:6">
      <c r="A50" s="24"/>
      <c r="B50" s="24"/>
      <c r="C50" s="24"/>
      <c r="D50" s="24"/>
      <c r="E50" s="24"/>
      <c r="F50" s="24"/>
    </row>
    <row r="51" spans="1:6">
      <c r="A51" s="24"/>
      <c r="B51" s="24"/>
      <c r="C51" s="24"/>
      <c r="D51" s="24"/>
      <c r="E51" s="24"/>
      <c r="F51" s="24"/>
    </row>
    <row r="52" spans="1:6">
      <c r="A52" s="24"/>
      <c r="B52" s="24"/>
      <c r="C52" s="24"/>
      <c r="D52" s="24"/>
      <c r="E52" s="24"/>
      <c r="F52" s="24"/>
    </row>
    <row r="53" spans="1:6">
      <c r="A53" s="24"/>
      <c r="B53" s="24"/>
      <c r="C53" s="24"/>
      <c r="D53" s="24"/>
      <c r="E53" s="24"/>
      <c r="F53" s="24"/>
    </row>
    <row r="54" spans="1:6">
      <c r="A54" s="24"/>
      <c r="B54" s="24"/>
      <c r="C54" s="24"/>
      <c r="D54" s="24"/>
      <c r="E54" s="24"/>
      <c r="F54" s="24"/>
    </row>
    <row r="55" spans="1:6">
      <c r="A55" s="24"/>
      <c r="B55" s="24"/>
      <c r="C55" s="24"/>
      <c r="D55" s="24"/>
      <c r="E55" s="24"/>
      <c r="F55" s="24"/>
    </row>
    <row r="56" spans="1:6">
      <c r="A56" s="24"/>
      <c r="B56" s="24"/>
      <c r="C56" s="24"/>
      <c r="D56" s="24"/>
      <c r="E56" s="24"/>
      <c r="F56" s="24"/>
    </row>
    <row r="57" spans="1:6">
      <c r="A57" s="24"/>
      <c r="B57" s="24"/>
      <c r="C57" s="24"/>
      <c r="D57" s="24"/>
      <c r="E57" s="24"/>
      <c r="F57" s="24"/>
    </row>
    <row r="58" spans="1:6">
      <c r="A58" s="24"/>
      <c r="B58" s="24"/>
      <c r="C58" s="24"/>
      <c r="D58" s="24"/>
      <c r="E58" s="24"/>
      <c r="F58" s="24"/>
    </row>
    <row r="59" spans="1:6">
      <c r="A59" s="24"/>
      <c r="B59" s="24"/>
      <c r="C59" s="24"/>
      <c r="D59" s="24"/>
      <c r="E59" s="24"/>
      <c r="F59" s="24"/>
    </row>
    <row r="60" spans="1:6">
      <c r="A60" s="24"/>
      <c r="B60" s="24"/>
      <c r="C60" s="24"/>
      <c r="D60" s="24"/>
      <c r="E60" s="24"/>
      <c r="F60" s="24"/>
    </row>
    <row r="61" spans="1:6">
      <c r="A61" s="24"/>
      <c r="B61" s="24"/>
      <c r="C61" s="24"/>
      <c r="D61" s="24"/>
      <c r="E61" s="24"/>
      <c r="F61" s="24"/>
    </row>
    <row r="62" spans="1:6">
      <c r="A62" s="24"/>
      <c r="B62" s="24"/>
      <c r="C62" s="24"/>
      <c r="D62" s="24"/>
      <c r="E62" s="24"/>
      <c r="F62" s="24"/>
    </row>
    <row r="63" spans="1:6">
      <c r="A63" s="24"/>
      <c r="B63" s="24"/>
      <c r="C63" s="24"/>
      <c r="D63" s="24"/>
      <c r="E63" s="24"/>
      <c r="F63" s="24"/>
    </row>
    <row r="64" spans="1:6">
      <c r="A64" s="24"/>
      <c r="B64" s="24"/>
      <c r="C64" s="24"/>
      <c r="D64" s="24"/>
      <c r="E64" s="24"/>
      <c r="F64" s="24"/>
    </row>
    <row r="65" spans="1:6">
      <c r="A65" s="24"/>
      <c r="B65" s="24"/>
      <c r="C65" s="24"/>
      <c r="D65" s="24"/>
      <c r="E65" s="24"/>
      <c r="F65" s="24"/>
    </row>
    <row r="66" spans="1:6">
      <c r="A66" s="24"/>
      <c r="B66" s="24"/>
      <c r="C66" s="24"/>
      <c r="D66" s="24"/>
      <c r="E66" s="24"/>
      <c r="F66" s="24"/>
    </row>
    <row r="67" spans="1:6">
      <c r="A67" s="24"/>
      <c r="B67" s="24"/>
      <c r="C67" s="24"/>
      <c r="D67" s="24"/>
      <c r="E67" s="24"/>
      <c r="F67" s="24"/>
    </row>
    <row r="68" spans="1:6">
      <c r="A68" s="24"/>
      <c r="B68" s="24"/>
      <c r="C68" s="24"/>
      <c r="D68" s="24"/>
      <c r="E68" s="24"/>
      <c r="F68" s="24"/>
    </row>
    <row r="69" spans="1:6">
      <c r="A69" s="24"/>
      <c r="B69" s="24"/>
      <c r="C69" s="24"/>
      <c r="D69" s="24"/>
      <c r="E69" s="24"/>
      <c r="F69" s="24"/>
    </row>
    <row r="70" spans="1:6">
      <c r="A70" s="24"/>
      <c r="B70" s="24"/>
      <c r="C70" s="24"/>
      <c r="D70" s="24"/>
      <c r="E70" s="24"/>
      <c r="F70" s="24"/>
    </row>
    <row r="71" spans="1:6">
      <c r="A71" s="24"/>
      <c r="B71" s="24"/>
      <c r="C71" s="24"/>
      <c r="D71" s="24"/>
      <c r="E71" s="24"/>
      <c r="F71" s="24"/>
    </row>
    <row r="72" spans="1:6">
      <c r="A72" s="24"/>
      <c r="B72" s="24"/>
      <c r="C72" s="24"/>
      <c r="D72" s="24"/>
      <c r="E72" s="24"/>
      <c r="F72" s="24"/>
    </row>
    <row r="73" spans="1:6">
      <c r="A73" s="24"/>
      <c r="B73" s="24"/>
      <c r="C73" s="24"/>
      <c r="D73" s="24"/>
      <c r="E73" s="24"/>
      <c r="F73" s="24"/>
    </row>
    <row r="74" spans="1:6">
      <c r="A74" s="24"/>
      <c r="B74" s="24"/>
      <c r="C74" s="24"/>
      <c r="D74" s="24"/>
      <c r="E74" s="24"/>
      <c r="F74" s="24"/>
    </row>
    <row r="75" spans="1:6">
      <c r="A75" s="24"/>
      <c r="B75" s="24"/>
      <c r="C75" s="24"/>
      <c r="D75" s="24"/>
      <c r="E75" s="24"/>
      <c r="F75" s="24"/>
    </row>
    <row r="76" spans="1:6">
      <c r="A76" s="24"/>
      <c r="B76" s="24"/>
      <c r="C76" s="24"/>
      <c r="D76" s="24"/>
      <c r="E76" s="24"/>
      <c r="F76" s="24"/>
    </row>
    <row r="77" spans="1:6">
      <c r="A77" s="24"/>
      <c r="B77" s="24"/>
      <c r="C77" s="24"/>
      <c r="D77" s="24"/>
      <c r="E77" s="24"/>
      <c r="F77" s="24"/>
    </row>
    <row r="78" spans="1:6">
      <c r="A78" s="24"/>
      <c r="B78" s="24"/>
      <c r="C78" s="24"/>
      <c r="D78" s="24"/>
      <c r="E78" s="24"/>
      <c r="F78" s="24"/>
    </row>
    <row r="79" spans="1:6">
      <c r="A79" s="24"/>
      <c r="B79" s="24"/>
      <c r="C79" s="24"/>
      <c r="D79" s="24"/>
      <c r="E79" s="24"/>
      <c r="F79" s="24"/>
    </row>
    <row r="80" spans="1:6">
      <c r="A80" s="24"/>
      <c r="B80" s="24"/>
      <c r="C80" s="24"/>
      <c r="D80" s="24"/>
      <c r="E80" s="24"/>
      <c r="F80" s="24"/>
    </row>
    <row r="81" spans="1:6">
      <c r="A81" s="24"/>
      <c r="B81" s="24"/>
      <c r="C81" s="24"/>
      <c r="D81" s="24"/>
      <c r="E81" s="24"/>
      <c r="F81" s="24"/>
    </row>
    <row r="82" spans="1:6">
      <c r="A82" s="24"/>
      <c r="B82" s="24"/>
      <c r="C82" s="24"/>
      <c r="D82" s="24"/>
      <c r="E82" s="24"/>
      <c r="F82" s="24"/>
    </row>
    <row r="83" spans="1:6">
      <c r="A83" s="24"/>
      <c r="B83" s="24"/>
      <c r="C83" s="24"/>
      <c r="D83" s="24"/>
      <c r="E83" s="24"/>
      <c r="F83" s="24"/>
    </row>
    <row r="84" spans="1:6">
      <c r="A84" s="24"/>
      <c r="B84" s="24"/>
      <c r="C84" s="24"/>
      <c r="D84" s="24"/>
      <c r="E84" s="24"/>
      <c r="F84" s="24"/>
    </row>
    <row r="85" spans="1:6">
      <c r="A85" s="24"/>
      <c r="B85" s="24"/>
      <c r="C85" s="24"/>
      <c r="D85" s="24"/>
      <c r="E85" s="24"/>
      <c r="F85" s="24"/>
    </row>
    <row r="86" spans="1:6">
      <c r="A86" s="24"/>
      <c r="B86" s="24"/>
      <c r="C86" s="24"/>
      <c r="D86" s="24"/>
      <c r="E86" s="24"/>
      <c r="F86" s="24"/>
    </row>
    <row r="87" spans="1:6">
      <c r="A87" s="24"/>
      <c r="B87" s="24"/>
      <c r="C87" s="24"/>
      <c r="D87" s="24"/>
      <c r="E87" s="24"/>
      <c r="F87" s="24"/>
    </row>
    <row r="88" spans="1:6">
      <c r="A88" s="24"/>
      <c r="B88" s="24"/>
      <c r="C88" s="24"/>
      <c r="D88" s="24"/>
      <c r="E88" s="24"/>
      <c r="F88" s="24"/>
    </row>
    <row r="89" spans="1:6">
      <c r="A89" s="24"/>
      <c r="B89" s="24"/>
      <c r="C89" s="24"/>
      <c r="D89" s="24"/>
      <c r="E89" s="24"/>
      <c r="F89" s="24"/>
    </row>
    <row r="90" spans="1:6">
      <c r="A90" s="24"/>
      <c r="B90" s="24"/>
      <c r="C90" s="24"/>
      <c r="D90" s="24"/>
      <c r="E90" s="24"/>
      <c r="F90" s="24"/>
    </row>
    <row r="91" spans="1:6">
      <c r="A91" s="24"/>
      <c r="B91" s="24"/>
      <c r="C91" s="24"/>
      <c r="D91" s="24"/>
      <c r="E91" s="24"/>
      <c r="F91" s="24"/>
    </row>
    <row r="92" spans="1:6">
      <c r="A92" s="24"/>
      <c r="B92" s="24"/>
      <c r="C92" s="24"/>
      <c r="D92" s="24"/>
      <c r="E92" s="24"/>
      <c r="F92" s="24"/>
    </row>
    <row r="93" spans="1:6">
      <c r="A93" s="24"/>
      <c r="B93" s="24"/>
      <c r="C93" s="24"/>
      <c r="D93" s="24"/>
      <c r="E93" s="24"/>
      <c r="F93" s="24"/>
    </row>
    <row r="94" spans="1:6">
      <c r="A94" s="24"/>
      <c r="B94" s="24"/>
      <c r="C94" s="24"/>
      <c r="D94" s="24"/>
      <c r="E94" s="24"/>
      <c r="F94" s="24"/>
    </row>
    <row r="95" spans="1:6">
      <c r="A95" s="24"/>
      <c r="B95" s="24"/>
      <c r="C95" s="24"/>
      <c r="D95" s="24"/>
      <c r="E95" s="24"/>
      <c r="F95" s="24"/>
    </row>
    <row r="96" spans="1:6">
      <c r="A96" s="24"/>
      <c r="B96" s="24"/>
      <c r="C96" s="24"/>
      <c r="D96" s="24"/>
      <c r="E96" s="24"/>
      <c r="F96" s="24"/>
    </row>
    <row r="97" spans="1:6">
      <c r="A97" s="24"/>
      <c r="B97" s="24"/>
      <c r="C97" s="24"/>
      <c r="D97" s="24"/>
      <c r="E97" s="24"/>
      <c r="F97" s="24"/>
    </row>
    <row r="98" spans="1:6">
      <c r="A98" s="24"/>
      <c r="B98" s="24"/>
      <c r="C98" s="24"/>
      <c r="D98" s="24"/>
      <c r="E98" s="24"/>
      <c r="F98" s="24"/>
    </row>
    <row r="99" spans="1:6">
      <c r="A99" s="24"/>
      <c r="B99" s="24"/>
      <c r="C99" s="24"/>
      <c r="D99" s="24"/>
      <c r="E99" s="24"/>
      <c r="F99" s="24"/>
    </row>
    <row r="100" spans="1:6">
      <c r="A100" s="24"/>
      <c r="B100" s="24"/>
      <c r="C100" s="24"/>
      <c r="D100" s="24"/>
      <c r="E100" s="24"/>
      <c r="F100" s="24"/>
    </row>
    <row r="101" spans="1:6">
      <c r="B101" s="24"/>
      <c r="C101" s="24"/>
      <c r="D101" s="24"/>
      <c r="E101" s="24"/>
      <c r="F101" s="24"/>
    </row>
  </sheetData>
  <mergeCells count="3">
    <mergeCell ref="L31:M31"/>
    <mergeCell ref="B13:C13"/>
    <mergeCell ref="K16:S16"/>
  </mergeCells>
  <phoneticPr fontId="41" type="noConversion"/>
  <pageMargins left="0.7" right="0.7" top="0.75" bottom="0.75" header="0.3" footer="0.3"/>
  <pageSetup paperSize="9" orientation="portrait" horizontalDpi="4294967292" verticalDpi="4294967292"/>
  <ignoredErrors>
    <ignoredError sqref="J31 J32:J40 B3:C3 B5:C21 B4" unlockedFormula="1"/>
  </ignoredError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Data0</vt:lpstr>
      <vt:lpstr>Data1</vt:lpstr>
      <vt:lpstr>Data2</vt:lpstr>
      <vt:lpstr>Data3</vt:lpstr>
      <vt:lpstr>KEY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Deniz Ugur</dc:creator>
  <cp:keywords/>
  <dc:description/>
  <cp:lastModifiedBy>Deniz Ugur</cp:lastModifiedBy>
  <dcterms:created xsi:type="dcterms:W3CDTF">2008-09-27T09:46:15Z</dcterms:created>
  <dcterms:modified xsi:type="dcterms:W3CDTF">2020-11-19T17:31:22Z</dcterms:modified>
  <cp:category/>
</cp:coreProperties>
</file>