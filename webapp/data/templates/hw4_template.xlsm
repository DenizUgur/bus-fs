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autoCompressPictures="0" defaultThemeVersion="124226"/>
  <mc:AlternateContent xmlns:mc="http://schemas.openxmlformats.org/markup-compatibility/2006">
    <mc:Choice Requires="x15">
      <x15ac:absPath xmlns:x15ac="http://schemas.microsoft.com/office/spreadsheetml/2010/11/ac" url="/Users/deniz/Desktop/HW4/"/>
    </mc:Choice>
  </mc:AlternateContent>
  <xr:revisionPtr revIDLastSave="0" documentId="13_ncr:1_{A0CD7844-9EA3-9140-BE48-68B30A412E98}" xr6:coauthVersionLast="45" xr6:coauthVersionMax="45" xr10:uidLastSave="{00000000-0000-0000-0000-000000000000}"/>
  <bookViews>
    <workbookView xWindow="16800" yWindow="460" windowWidth="16800" windowHeight="20540" xr2:uid="{00000000-000D-0000-FFFF-FFFF00000000}"/>
  </bookViews>
  <sheets>
    <sheet name="Instructions" sheetId="9" r:id="rId1"/>
    <sheet name="Answers" sheetId="20" r:id="rId2"/>
    <sheet name="Data0" sheetId="23" state="hidden" r:id="rId3"/>
    <sheet name="Data1" sheetId="24" state="hidden" r:id="rId4"/>
    <sheet name="Data2" sheetId="26" state="hidden" r:id="rId5"/>
    <sheet name="Data3" sheetId="27" state="hidden" r:id="rId6"/>
    <sheet name="KEY" sheetId="15"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15" i="15" l="1"/>
  <c r="C16" i="15"/>
  <c r="C17" i="15"/>
  <c r="C18" i="15"/>
  <c r="C19" i="15"/>
  <c r="C20" i="15"/>
  <c r="C14" i="15"/>
  <c r="J36" i="15"/>
  <c r="D4" i="15" l="1"/>
  <c r="J31" i="15" s="1"/>
  <c r="J32" i="15" l="1"/>
  <c r="K31" i="15"/>
  <c r="H9" i="15"/>
  <c r="H8" i="15"/>
  <c r="H7" i="15"/>
  <c r="H6" i="15"/>
  <c r="H5" i="15"/>
  <c r="H4" i="15"/>
  <c r="H3" i="15"/>
  <c r="H28" i="15"/>
  <c r="H27" i="15"/>
  <c r="H26" i="15"/>
  <c r="H25" i="15"/>
  <c r="H24" i="15"/>
  <c r="H23" i="15"/>
  <c r="H22" i="15"/>
  <c r="H21" i="15"/>
  <c r="H20" i="15"/>
  <c r="H19" i="15"/>
  <c r="H18" i="15"/>
  <c r="H17" i="15"/>
  <c r="H16" i="15"/>
  <c r="H15" i="15"/>
  <c r="H14" i="15"/>
  <c r="H13" i="15"/>
  <c r="H12" i="15"/>
  <c r="H11" i="15"/>
  <c r="H10" i="15"/>
  <c r="A36" i="20"/>
  <c r="A3" i="20" s="1"/>
  <c r="K32" i="15" l="1"/>
  <c r="J33" i="15"/>
  <c r="M32" i="15" a="1"/>
  <c r="M32" i="15" l="1"/>
  <c r="C11" i="15" s="1"/>
  <c r="K33" i="15"/>
  <c r="J34" i="15"/>
  <c r="M33" i="15" a="1"/>
  <c r="M33" i="15" l="1"/>
  <c r="J35" i="15"/>
  <c r="K34" i="15"/>
  <c r="M34" i="15" a="1"/>
  <c r="M34" i="15" l="1"/>
  <c r="K35" i="15"/>
  <c r="M35" i="15" a="1"/>
  <c r="M35" i="15" l="1"/>
  <c r="J37" i="15"/>
  <c r="J38" i="15" s="1"/>
  <c r="J39" i="15" l="1"/>
  <c r="K39" i="15" s="1"/>
  <c r="K38" i="15"/>
  <c r="K37" i="15"/>
  <c r="K36" i="15"/>
  <c r="C3" i="15"/>
  <c r="I11" i="15"/>
  <c r="I28" i="15"/>
  <c r="I27" i="15"/>
  <c r="I23" i="15"/>
  <c r="I24" i="15"/>
  <c r="I25" i="15"/>
  <c r="I26" i="15"/>
  <c r="I22" i="15"/>
  <c r="I21" i="15"/>
  <c r="I17" i="15"/>
  <c r="I18" i="15"/>
  <c r="I19" i="15"/>
  <c r="I20" i="15"/>
  <c r="I16" i="15"/>
  <c r="I14" i="15"/>
  <c r="I15" i="15"/>
  <c r="I13" i="15"/>
  <c r="I9" i="15"/>
  <c r="I10" i="15"/>
  <c r="I12" i="15"/>
  <c r="I8" i="15"/>
  <c r="I4" i="15"/>
  <c r="I5" i="15"/>
  <c r="I6" i="15"/>
  <c r="I7" i="15"/>
  <c r="I3" i="15"/>
  <c r="IN2204" i="9"/>
  <c r="IM2204" i="9"/>
  <c r="IL2204" i="9"/>
  <c r="M37" i="15" a="1"/>
  <c r="M38" i="15" a="1"/>
  <c r="M39" i="15" a="1"/>
  <c r="N36" i="15" a="1"/>
  <c r="M39" i="15" l="1"/>
  <c r="M38" i="15"/>
  <c r="N36" i="15"/>
  <c r="M36" i="15" s="1"/>
  <c r="M37"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<sst xmlns="http://schemas.openxmlformats.org/spreadsheetml/2006/main" count="20878" uniqueCount="1518">
  <si>
    <t>Part 1</t>
  </si>
  <si>
    <t>Part 2</t>
  </si>
  <si>
    <t>1c</t>
  </si>
  <si>
    <t>1b</t>
  </si>
  <si>
    <t>Answer</t>
  </si>
  <si>
    <t>.</t>
  </si>
  <si>
    <t>1a</t>
  </si>
  <si>
    <t>YEAR:</t>
  </si>
  <si>
    <t>Part 3</t>
  </si>
  <si>
    <t>2a</t>
  </si>
  <si>
    <t>2b</t>
  </si>
  <si>
    <t>2c</t>
  </si>
  <si>
    <t>4a</t>
  </si>
  <si>
    <t>4b</t>
  </si>
  <si>
    <t>3a</t>
  </si>
  <si>
    <t>3b</t>
  </si>
  <si>
    <t>Part 4</t>
  </si>
  <si>
    <t>Username:</t>
  </si>
  <si>
    <t>Left Click</t>
  </si>
  <si>
    <t>Part 5</t>
  </si>
  <si>
    <t>5a</t>
  </si>
  <si>
    <t>a</t>
  </si>
  <si>
    <t>b</t>
  </si>
  <si>
    <t>c</t>
  </si>
  <si>
    <t>d</t>
  </si>
  <si>
    <t>e</t>
  </si>
  <si>
    <t>Part 6</t>
  </si>
  <si>
    <t>3c</t>
  </si>
  <si>
    <t>DATA VALIDATION</t>
  </si>
  <si>
    <t>Q Number</t>
  </si>
  <si>
    <t>Opening Time</t>
  </si>
  <si>
    <t>Closing Time</t>
  </si>
  <si>
    <t>Answers</t>
  </si>
  <si>
    <t>1d</t>
  </si>
  <si>
    <t>1e</t>
  </si>
  <si>
    <t>2d</t>
  </si>
  <si>
    <t>2e</t>
  </si>
  <si>
    <t>User</t>
  </si>
  <si>
    <t>6a</t>
  </si>
  <si>
    <t>6b</t>
  </si>
  <si>
    <t>Data Number</t>
  </si>
  <si>
    <t>Last Author</t>
  </si>
  <si>
    <t>HW4 - Business Statistics</t>
  </si>
  <si>
    <t>HW4</t>
  </si>
  <si>
    <t>Business Statistics</t>
  </si>
  <si>
    <t>4c</t>
  </si>
  <si>
    <t>4d</t>
  </si>
  <si>
    <t>4e</t>
  </si>
  <si>
    <t>5b-1</t>
  </si>
  <si>
    <t>5b-2</t>
  </si>
  <si>
    <t>5b-3</t>
  </si>
  <si>
    <t>5b-4</t>
  </si>
  <si>
    <t>5b-5</t>
  </si>
  <si>
    <t>Fall</t>
  </si>
  <si>
    <t>StudentID</t>
  </si>
  <si>
    <t>data</t>
  </si>
  <si>
    <t>Does teaching score distribution has a positive or negative skew?</t>
  </si>
  <si>
    <t>Report the correlation coefficient.</t>
  </si>
  <si>
    <r>
      <rPr>
        <b/>
        <sz val="13"/>
        <color theme="0"/>
        <rFont val="Calibri"/>
        <family val="2"/>
        <scheme val="minor"/>
      </rPr>
      <t xml:space="preserve">In order to answer the questions below, please </t>
    </r>
    <r>
      <rPr>
        <b/>
        <u/>
        <sz val="13"/>
        <color theme="0"/>
        <rFont val="Calibri (Body)"/>
      </rPr>
      <t>use all of the data</t>
    </r>
    <r>
      <rPr>
        <b/>
        <sz val="13"/>
        <color theme="0"/>
        <rFont val="Calibri"/>
        <family val="2"/>
        <scheme val="minor"/>
      </rPr>
      <t>.</t>
    </r>
  </si>
  <si>
    <t>Robotics</t>
  </si>
  <si>
    <t>Computer Vision</t>
  </si>
  <si>
    <t>Economics</t>
  </si>
  <si>
    <t>Arts</t>
  </si>
  <si>
    <t>Geography</t>
  </si>
  <si>
    <r>
      <rPr>
        <b/>
        <sz val="13"/>
        <color theme="0"/>
        <rFont val="Calibri"/>
        <family val="2"/>
        <scheme val="minor"/>
      </rPr>
      <t xml:space="preserve">For the following questions, do not forget to apply the given criteria and consider each question as </t>
    </r>
    <r>
      <rPr>
        <b/>
        <u/>
        <sz val="13"/>
        <color theme="0"/>
        <rFont val="Calibri (Body)"/>
      </rPr>
      <t>INDEPENDENT</t>
    </r>
    <r>
      <rPr>
        <b/>
        <sz val="13"/>
        <color theme="0"/>
        <rFont val="Calibri"/>
        <family val="2"/>
        <scheme val="minor"/>
      </rPr>
      <t xml:space="preserve"> from each other.</t>
    </r>
  </si>
  <si>
    <t>University Name</t>
  </si>
  <si>
    <t>Country</t>
  </si>
  <si>
    <t>Dominant Gender</t>
  </si>
  <si>
    <t>Dominant Research Topic</t>
  </si>
  <si>
    <t>Number of Staff</t>
  </si>
  <si>
    <t>Number of International Students</t>
  </si>
  <si>
    <t>Research Score</t>
  </si>
  <si>
    <t>Number of Citations</t>
  </si>
  <si>
    <t>Teaching Score</t>
  </si>
  <si>
    <t>University of Biskra</t>
  </si>
  <si>
    <t>Algeria</t>
  </si>
  <si>
    <t>Female</t>
  </si>
  <si>
    <t>Social Sciences</t>
  </si>
  <si>
    <t>University of Constantine 1</t>
  </si>
  <si>
    <t>University of Science and Technology of Oran Mohamed-Boudiaf</t>
  </si>
  <si>
    <t>Psychology</t>
  </si>
  <si>
    <t>University of Sciences and Technology Houari Boumediene</t>
  </si>
  <si>
    <t>Law</t>
  </si>
  <si>
    <t>University of Tlemcen</t>
  </si>
  <si>
    <t>Artificial Intelligence</t>
  </si>
  <si>
    <t>National University of Cuyo</t>
  </si>
  <si>
    <t>Argentina</t>
  </si>
  <si>
    <t>National University of the South</t>
  </si>
  <si>
    <t>Australian Catholic University</t>
  </si>
  <si>
    <t>Australia</t>
  </si>
  <si>
    <t>Australian National University</t>
  </si>
  <si>
    <t>Bond University</t>
  </si>
  <si>
    <t>Linguistics</t>
  </si>
  <si>
    <t>Central Queensland University</t>
  </si>
  <si>
    <t>Charles Darwin University</t>
  </si>
  <si>
    <t>Curtin University</t>
  </si>
  <si>
    <t>Deakin University</t>
  </si>
  <si>
    <t>Edith Cowan University</t>
  </si>
  <si>
    <t>Flinders University</t>
  </si>
  <si>
    <t>Griffith University</t>
  </si>
  <si>
    <t>James Cook University</t>
  </si>
  <si>
    <t>La Trobe University</t>
  </si>
  <si>
    <t>Macquarie University</t>
  </si>
  <si>
    <t>Monash University</t>
  </si>
  <si>
    <t>Murdoch University</t>
  </si>
  <si>
    <t>Queensland University of Technology</t>
  </si>
  <si>
    <t>RMIT University</t>
  </si>
  <si>
    <t>Male</t>
  </si>
  <si>
    <t>Southern Cross University</t>
  </si>
  <si>
    <t>Swinburne University of Technology</t>
  </si>
  <si>
    <t>University of Adelaide</t>
  </si>
  <si>
    <t>University of Canberra</t>
  </si>
  <si>
    <t>University of Melbourne</t>
  </si>
  <si>
    <t>University of Newcastle</t>
  </si>
  <si>
    <t>University of Queensland</t>
  </si>
  <si>
    <t>University of South Australia</t>
  </si>
  <si>
    <t>University of Southern Queensland</t>
  </si>
  <si>
    <t>University of Sydney</t>
  </si>
  <si>
    <t>University of Tasmania</t>
  </si>
  <si>
    <t>University of Technology Sydney</t>
  </si>
  <si>
    <t>University of the Sunshine Coast</t>
  </si>
  <si>
    <t>University of Western Australia</t>
  </si>
  <si>
    <t>University of Wollongong</t>
  </si>
  <si>
    <t>UNSW Sydney</t>
  </si>
  <si>
    <t>Victoria University</t>
  </si>
  <si>
    <t>Western Sydney University</t>
  </si>
  <si>
    <t>Graz University of Technology</t>
  </si>
  <si>
    <t>Austria</t>
  </si>
  <si>
    <t>Johannes Kepler University of Linz</t>
  </si>
  <si>
    <t>Medical University of Graz</t>
  </si>
  <si>
    <t>Earth Sciences</t>
  </si>
  <si>
    <t>Medical University of Innsbruck</t>
  </si>
  <si>
    <t>Medical University of Vienna</t>
  </si>
  <si>
    <t>University of Graz</t>
  </si>
  <si>
    <t>University of Innsbruck</t>
  </si>
  <si>
    <t>University of Klagenfurt</t>
  </si>
  <si>
    <t>University of Leoben</t>
  </si>
  <si>
    <t>University of Vienna</t>
  </si>
  <si>
    <t>Vienna University of Technology</t>
  </si>
  <si>
    <t>University of Dhaka</t>
  </si>
  <si>
    <t>Bangladesh</t>
  </si>
  <si>
    <t>Belarusian State University</t>
  </si>
  <si>
    <t>Belarus</t>
  </si>
  <si>
    <t>Ghent University</t>
  </si>
  <si>
    <t>Belgium</t>
  </si>
  <si>
    <t>Hasselt University</t>
  </si>
  <si>
    <t>KU Leuven</t>
  </si>
  <si>
    <t>University of Antwerp</t>
  </si>
  <si>
    <t>Vrije Universiteit Brussel</t>
  </si>
  <si>
    <t>Federal Rural University of the Semi-Arid Region</t>
  </si>
  <si>
    <t>Brazil</t>
  </si>
  <si>
    <t>Federal University of ABC (UFABC)</t>
  </si>
  <si>
    <t>Federal University of Alagoas</t>
  </si>
  <si>
    <t>Federal University of Bahia</t>
  </si>
  <si>
    <t>Federal University of Health Sciences of Porto Alegre (UFCSPA)</t>
  </si>
  <si>
    <t>Federal University of Lavras</t>
  </si>
  <si>
    <t>Federal University of Mato Grosso do Sul</t>
  </si>
  <si>
    <t>Federal University of Minas Gerais</t>
  </si>
  <si>
    <t>Federal University of Ouro Preto</t>
  </si>
  <si>
    <t>Federal University of Pelotas</t>
  </si>
  <si>
    <t>Federal University of Pernambuco</t>
  </si>
  <si>
    <t>Federal University of Rio de Janeiro</t>
  </si>
  <si>
    <t>Federal University of Rio Grande do Norte (UFRN)</t>
  </si>
  <si>
    <t>Federal University of Rio Grande do Sul</t>
  </si>
  <si>
    <t>Federal University of Santa Catarina</t>
  </si>
  <si>
    <t>Federal University of Santa Maria</t>
  </si>
  <si>
    <t>Fluminense Federal University</t>
  </si>
  <si>
    <t>Londrina State University</t>
  </si>
  <si>
    <t>Pontifical Catholic University of Minas Gerais</t>
  </si>
  <si>
    <t>Pontifical Catholic University of Rio de Janeiro (PUC-Rio)</t>
  </si>
  <si>
    <t>Pontifical Catholic University of Rio Grande do Sul (PUCRS)</t>
  </si>
  <si>
    <t>Rio de Janeiro State University (UERJ)</t>
  </si>
  <si>
    <t>Santa Catarina State University</t>
  </si>
  <si>
    <t>State University of Ponta Grossa</t>
  </si>
  <si>
    <t>State University of Santa Cruz</t>
  </si>
  <si>
    <t>University of Campinas</t>
  </si>
  <si>
    <t>University of Caxias do Sul</t>
  </si>
  <si>
    <t>University of Fortaleza (UNIFOR)</t>
  </si>
  <si>
    <t>University of the Sinos Valley</t>
  </si>
  <si>
    <t>Universiti Brunei Darussalam</t>
  </si>
  <si>
    <t>Brunei Darussalam</t>
  </si>
  <si>
    <t>Sofia University</t>
  </si>
  <si>
    <t>Bulgaria</t>
  </si>
  <si>
    <t>Carleton University</t>
  </si>
  <si>
    <t>Canada</t>
  </si>
  <si>
    <t>Concordia University</t>
  </si>
  <si>
    <t>Dalhousie University</t>
  </si>
  <si>
    <t>Lakehead University</t>
  </si>
  <si>
    <t>Laval University</t>
  </si>
  <si>
    <t>McGill University</t>
  </si>
  <si>
    <t>McMaster University</t>
  </si>
  <si>
    <t>Memorial University of Newfoundland</t>
  </si>
  <si>
    <t>Ryerson University</t>
  </si>
  <si>
    <t>Simon Fraser University</t>
  </si>
  <si>
    <t>University of Alberta</t>
  </si>
  <si>
    <t>University of British Columbia</t>
  </si>
  <si>
    <t>University of Calgary</t>
  </si>
  <si>
    <t>University of Guelph</t>
  </si>
  <si>
    <t>University of Lethbridge</t>
  </si>
  <si>
    <t>University of Manitoba</t>
  </si>
  <si>
    <t>University of Montreal</t>
  </si>
  <si>
    <t>University of Northern British Columbia (UNBC)</t>
  </si>
  <si>
    <t>University of Ottawa</t>
  </si>
  <si>
    <t>University of Regina</t>
  </si>
  <si>
    <t>University of Saskatchewan</t>
  </si>
  <si>
    <t>University of Toronto</t>
  </si>
  <si>
    <t>University of Victoria</t>
  </si>
  <si>
    <t>University of Waterloo</t>
  </si>
  <si>
    <t>University of Windsor</t>
  </si>
  <si>
    <t>Western University</t>
  </si>
  <si>
    <t>York University</t>
  </si>
  <si>
    <t>Austral University of Chile</t>
  </si>
  <si>
    <t>Chile</t>
  </si>
  <si>
    <t>Catholic University of the North</t>
  </si>
  <si>
    <t>Diego Portales University</t>
  </si>
  <si>
    <t>Pontifical Catholic University of Chile</t>
  </si>
  <si>
    <t>University of Chile</t>
  </si>
  <si>
    <t>University of Desarrollo</t>
  </si>
  <si>
    <t>University of La Frontera</t>
  </si>
  <si>
    <t>University of Santiago, Chile (USACH)</t>
  </si>
  <si>
    <t>University of Talca</t>
  </si>
  <si>
    <t>University of the Andes, Chile</t>
  </si>
  <si>
    <t>Beihang University</t>
  </si>
  <si>
    <t>China</t>
  </si>
  <si>
    <t>Beijing Institute of Technology</t>
  </si>
  <si>
    <t>Beijing Jiaotong University</t>
  </si>
  <si>
    <t>Beijing Normal University</t>
  </si>
  <si>
    <t>Capital Medical University</t>
  </si>
  <si>
    <t>Central South University</t>
  </si>
  <si>
    <t>China Agricultural University</t>
  </si>
  <si>
    <t>China Pharmaceutical University</t>
  </si>
  <si>
    <t>China University of Geosciences, Beijing</t>
  </si>
  <si>
    <t>China University of Geosciences, Wuhan</t>
  </si>
  <si>
    <t>China University of Mining and Technology</t>
  </si>
  <si>
    <t>China University of Petroleum, Beijing</t>
  </si>
  <si>
    <t>Chongqing University</t>
  </si>
  <si>
    <t>Dalian University of Technology</t>
  </si>
  <si>
    <t>East China Normal University</t>
  </si>
  <si>
    <t>East China University of Science and Technology</t>
  </si>
  <si>
    <t>Fudan University</t>
  </si>
  <si>
    <t>Fuzhou University</t>
  </si>
  <si>
    <t>Guangdong University of Technology</t>
  </si>
  <si>
    <t>Guangxi University</t>
  </si>
  <si>
    <t>Harbin Institute of Technology</t>
  </si>
  <si>
    <t>Huaqiao University</t>
  </si>
  <si>
    <t>Huazhong Agricultural University</t>
  </si>
  <si>
    <t>Huazhong University of Science and Technology</t>
  </si>
  <si>
    <t>Hunan University</t>
  </si>
  <si>
    <t>Jiangsu Normal University</t>
  </si>
  <si>
    <t>Jiangsu University</t>
  </si>
  <si>
    <t>Jilin University</t>
  </si>
  <si>
    <t>Jinan University</t>
  </si>
  <si>
    <t>Nanjing Agricultural University</t>
  </si>
  <si>
    <t>Nanjing Medical University</t>
  </si>
  <si>
    <t>Nanjing Normal University</t>
  </si>
  <si>
    <t>Nanjing Tech University</t>
  </si>
  <si>
    <t>Nanjing University</t>
  </si>
  <si>
    <t>Nanjing University of Aeronautics and Astronautics</t>
  </si>
  <si>
    <t>Nanjing University of Information Science and Technology</t>
  </si>
  <si>
    <t>Nankai University</t>
  </si>
  <si>
    <t>North China Electric Power University</t>
  </si>
  <si>
    <t>Northeast Normal University</t>
  </si>
  <si>
    <t>Northeastern University</t>
  </si>
  <si>
    <t>NorthWest A&amp;F University</t>
  </si>
  <si>
    <t>Northwest University</t>
  </si>
  <si>
    <t>Northwestern Polytechnical University</t>
  </si>
  <si>
    <t>Ocean University of China</t>
  </si>
  <si>
    <t>Peking University</t>
  </si>
  <si>
    <t>Renmin University of China</t>
  </si>
  <si>
    <t>Shandong University</t>
  </si>
  <si>
    <t>Shanghai Jiao Tong University</t>
  </si>
  <si>
    <t>Shanghai Maritime University</t>
  </si>
  <si>
    <t>Shanghai University</t>
  </si>
  <si>
    <t>Shanghai University of Finance and Economics (SUFE)</t>
  </si>
  <si>
    <t>Shantou University</t>
  </si>
  <si>
    <t>Shenzhen University</t>
  </si>
  <si>
    <t>Sichuan University</t>
  </si>
  <si>
    <t>Soochow University</t>
  </si>
  <si>
    <t>South China University of Technology</t>
  </si>
  <si>
    <t>Southeast University</t>
  </si>
  <si>
    <t>Southern Medical University</t>
  </si>
  <si>
    <t>Southern University of Science and Technology (SUSTech)</t>
  </si>
  <si>
    <t>Southwest Jiaotong University</t>
  </si>
  <si>
    <t>Southwestern University of Finance and Economics</t>
  </si>
  <si>
    <t>Sun Yat-sen University</t>
  </si>
  <si>
    <t>Tianjin University</t>
  </si>
  <si>
    <t>Tongji University</t>
  </si>
  <si>
    <t>Tsinghua University</t>
  </si>
  <si>
    <t>University of Electronic Science and Technology of China</t>
  </si>
  <si>
    <t>University of International Business and Economics</t>
  </si>
  <si>
    <t>University of Science and Technology Beijing</t>
  </si>
  <si>
    <t>University of Science and Technology of China</t>
  </si>
  <si>
    <t>University of South China</t>
  </si>
  <si>
    <t>Wenzhou Medical University</t>
  </si>
  <si>
    <t>Wuhan University</t>
  </si>
  <si>
    <t>Wuhan University of Technology</t>
  </si>
  <si>
    <t>Xiamen University</t>
  </si>
  <si>
    <t>Xiangtan University</t>
  </si>
  <si>
    <t>Xidian University</t>
  </si>
  <si>
    <t>Yangzhou University</t>
  </si>
  <si>
    <t>Yanshan University</t>
  </si>
  <si>
    <t>Zhejiang University</t>
  </si>
  <si>
    <t>Zhejiang University of Technology</t>
  </si>
  <si>
    <t>Del Rosario University</t>
  </si>
  <si>
    <t>Colombia</t>
  </si>
  <si>
    <t>Industrial University of Santander (UIS)</t>
  </si>
  <si>
    <t>National University of Colombia</t>
  </si>
  <si>
    <t>Pontifical Javeriana University</t>
  </si>
  <si>
    <t>University of Antioquia</t>
  </si>
  <si>
    <t>University of the Andes, Colombia</t>
  </si>
  <si>
    <t>University of the North, Colombia</t>
  </si>
  <si>
    <t>University of Costa Rica</t>
  </si>
  <si>
    <t>Costa Rica</t>
  </si>
  <si>
    <t>University of Split</t>
  </si>
  <si>
    <t>Croatia</t>
  </si>
  <si>
    <t>University of Zagreb</t>
  </si>
  <si>
    <t>University of Havana</t>
  </si>
  <si>
    <t>Cuba</t>
  </si>
  <si>
    <t>Cyprus University of Technology</t>
  </si>
  <si>
    <t>Cyprus</t>
  </si>
  <si>
    <t>University of Cyprus</t>
  </si>
  <si>
    <t>Brno University of Technology</t>
  </si>
  <si>
    <t>Czech Republic</t>
  </si>
  <si>
    <t>Charles University in Prague</t>
  </si>
  <si>
    <t>Czech Technical University in Prague</t>
  </si>
  <si>
    <t>Czech University of Life Sciences Prague (CULS)</t>
  </si>
  <si>
    <t>Masaryk University</t>
  </si>
  <si>
    <t>Mendel University in Brno</t>
  </si>
  <si>
    <t>Technical University of Liberec</t>
  </si>
  <si>
    <t>University of Chemistry and Technology, Prague</t>
  </si>
  <si>
    <t>University of Economics, Prague</t>
  </si>
  <si>
    <t>University of Ostrava</t>
  </si>
  <si>
    <t>University of Pardubice</t>
  </si>
  <si>
    <t>University of West Bohemia</t>
  </si>
  <si>
    <t>VSB - Technical University of Ostrava</t>
  </si>
  <si>
    <t>Aalborg University</t>
  </si>
  <si>
    <t>Denmark</t>
  </si>
  <si>
    <t>Aarhus University</t>
  </si>
  <si>
    <t>Copenhagen Business School</t>
  </si>
  <si>
    <t>Roskilde University</t>
  </si>
  <si>
    <t>Technical University of Denmark</t>
  </si>
  <si>
    <t>University of Copenhagen</t>
  </si>
  <si>
    <t>University of Southern Denmark</t>
  </si>
  <si>
    <t>Ain Shams University</t>
  </si>
  <si>
    <t>Egypt</t>
  </si>
  <si>
    <t>Al-Azhar University</t>
  </si>
  <si>
    <t>Alexandria University</t>
  </si>
  <si>
    <t>American University in Cairo</t>
  </si>
  <si>
    <t>Assiut University</t>
  </si>
  <si>
    <t>Aswan University</t>
  </si>
  <si>
    <t>Benha University</t>
  </si>
  <si>
    <t>Beni-Suef University</t>
  </si>
  <si>
    <t>Cairo University</t>
  </si>
  <si>
    <t>Fayoum University</t>
  </si>
  <si>
    <t>Helwan University</t>
  </si>
  <si>
    <t>Kafrelsheikh University</t>
  </si>
  <si>
    <t>Mansoura University</t>
  </si>
  <si>
    <t>Menoufia University</t>
  </si>
  <si>
    <t>Minia University</t>
  </si>
  <si>
    <t>Sohag University</t>
  </si>
  <si>
    <t>South Valley University</t>
  </si>
  <si>
    <t>Suez Canal University</t>
  </si>
  <si>
    <t>Tanta University</t>
  </si>
  <si>
    <t>Zagazig University</t>
  </si>
  <si>
    <t>Tallinn University</t>
  </si>
  <si>
    <t>Estonia</t>
  </si>
  <si>
    <t>Tallinn University of Technology</t>
  </si>
  <si>
    <t>University of Tartu</t>
  </si>
  <si>
    <t>Aalto University</t>
  </si>
  <si>
    <t>Finland</t>
  </si>
  <si>
    <t>Lappeenranta-Lahti University of Technology LUT</t>
  </si>
  <si>
    <t>Tampere University</t>
  </si>
  <si>
    <t>University of Eastern Finland</t>
  </si>
  <si>
    <t>University of Helsinki</t>
  </si>
  <si>
    <t>University of Oulu</t>
  </si>
  <si>
    <t>University of Turku</t>
  </si>
  <si>
    <t>Aix-Marseille University</t>
  </si>
  <si>
    <t>France</t>
  </si>
  <si>
    <t>Centrale Nantes</t>
  </si>
  <si>
    <t>Claude Bernard University Lyon 1</t>
  </si>
  <si>
    <t>Grenoble Alpes University</t>
  </si>
  <si>
    <t>IMT Atlantique</t>
  </si>
  <si>
    <t>Montpellier University</t>
  </si>
  <si>
    <t>National Institute of Applied Sciences of Lyon (INSA Lyon)</t>
  </si>
  <si>
    <t>Normandy University</t>
  </si>
  <si>
    <t>Paris Nanterre University</t>
  </si>
  <si>
    <t>Paris-Sud University</t>
  </si>
  <si>
    <t>Sciences Po</t>
  </si>
  <si>
    <t>Sorbonne University</t>
  </si>
  <si>
    <t>University of Bordeaux</t>
  </si>
  <si>
    <t>University of Cergy-Pontoise</t>
  </si>
  <si>
    <t>University of Clermont Auvergne</t>
  </si>
  <si>
    <t>University of Lille</t>
  </si>
  <si>
    <t>University of Lorraine</t>
  </si>
  <si>
    <t>University of Nantes</t>
  </si>
  <si>
    <t>University of Paris</t>
  </si>
  <si>
    <t>University of Rennes 1</t>
  </si>
  <si>
    <t>University of Strasbourg</t>
  </si>
  <si>
    <t>University of Tours</t>
  </si>
  <si>
    <t>Ivane Javakhishvili Tbilisi State University</t>
  </si>
  <si>
    <t>Georgia</t>
  </si>
  <si>
    <t>Bielefeld University</t>
  </si>
  <si>
    <t>Germany</t>
  </si>
  <si>
    <t>Chemnitz University of Technology</t>
  </si>
  <si>
    <t>Free University of Berlin</t>
  </si>
  <si>
    <t>Goethe University Frankfurt</t>
  </si>
  <si>
    <t>Hamburg University of Technology</t>
  </si>
  <si>
    <t>Heidelberg University</t>
  </si>
  <si>
    <t>Humboldt University of Berlin</t>
  </si>
  <si>
    <t>Ilmenau University of Technology</t>
  </si>
  <si>
    <t>Jacobs University</t>
  </si>
  <si>
    <t>Johannes Gutenberg University of Mainz</t>
  </si>
  <si>
    <t>Justus Liebig University Giessen</t>
  </si>
  <si>
    <t>Karlsruhe Institute of Technology</t>
  </si>
  <si>
    <t>Leibniz University Hanover</t>
  </si>
  <si>
    <t>LMU Munich</t>
  </si>
  <si>
    <t>Ruhr University Bochum</t>
  </si>
  <si>
    <t>RWTH Aachen University</t>
  </si>
  <si>
    <t>Technical University of Berlin</t>
  </si>
  <si>
    <t>Technical University of Darmstadt</t>
  </si>
  <si>
    <t>Technical University of Munich</t>
  </si>
  <si>
    <t>TU Braunschweig</t>
  </si>
  <si>
    <t>TU Dortmund University</t>
  </si>
  <si>
    <t>TU Dresden</t>
  </si>
  <si>
    <t>Ulm University</t>
  </si>
  <si>
    <t>University of Bayreuth</t>
  </si>
  <si>
    <t>University of Bonn</t>
  </si>
  <si>
    <t>University of Bremen</t>
  </si>
  <si>
    <t>University of Cologne</t>
  </si>
  <si>
    <t>University of Duisburg-Essen</t>
  </si>
  <si>
    <t>University of Erlangen-Nuremberg</t>
  </si>
  <si>
    <t>University of Freiburg</t>
  </si>
  <si>
    <t>University of Greifswald</t>
  </si>
  <si>
    <t>University of Hamburg</t>
  </si>
  <si>
    <t>University of Hohenheim</t>
  </si>
  <si>
    <t>University of Kaiserslautern</t>
  </si>
  <si>
    <t>University of Kiel</t>
  </si>
  <si>
    <t>University of Konstanz</t>
  </si>
  <si>
    <t>University of Mannheim</t>
  </si>
  <si>
    <t>University of Marburg</t>
  </si>
  <si>
    <t>University of Passau</t>
  </si>
  <si>
    <t>University of Potsdam</t>
  </si>
  <si>
    <t>University of Siegen</t>
  </si>
  <si>
    <t>University of Stuttgart</t>
  </si>
  <si>
    <t>University of Wuppertal</t>
  </si>
  <si>
    <t>University of Ghana</t>
  </si>
  <si>
    <t>Ghana</t>
  </si>
  <si>
    <t>Aristotle University of Thessaloniki</t>
  </si>
  <si>
    <t>Greece</t>
  </si>
  <si>
    <t>Athens University of Economics and Business</t>
  </si>
  <si>
    <t>Democritus University of Thrace</t>
  </si>
  <si>
    <t>National and Kapodistrian University of Athens</t>
  </si>
  <si>
    <t>National Technical University of Athens</t>
  </si>
  <si>
    <t>University of Crete</t>
  </si>
  <si>
    <t>University of Ioannina</t>
  </si>
  <si>
    <t>University of Patras</t>
  </si>
  <si>
    <t>University of the Aegean</t>
  </si>
  <si>
    <t>University of Thessaly</t>
  </si>
  <si>
    <t>Chinese University of Hong Kong</t>
  </si>
  <si>
    <t>Hong Kong</t>
  </si>
  <si>
    <t>City University of Hong Kong</t>
  </si>
  <si>
    <t>Hong Kong Baptist University</t>
  </si>
  <si>
    <t>Hong Kong Polytechnic University</t>
  </si>
  <si>
    <t>The Hong Kong University of Science and Technology</t>
  </si>
  <si>
    <t>University of Hong Kong</t>
  </si>
  <si>
    <t>Budapest University of Technology and Economics</t>
  </si>
  <si>
    <t>Hungary</t>
  </si>
  <si>
    <t>Corvinus University of Budapest</t>
  </si>
  <si>
    <t>Semmelweis University</t>
  </si>
  <si>
    <t>University of Debrecen</t>
  </si>
  <si>
    <t>University of Szeged</t>
  </si>
  <si>
    <t>University of Iceland</t>
  </si>
  <si>
    <t>Iceland</t>
  </si>
  <si>
    <t>Acharya Nagarjuna University</t>
  </si>
  <si>
    <t>India</t>
  </si>
  <si>
    <t>Aligarh Muslim University</t>
  </si>
  <si>
    <t>Amity University</t>
  </si>
  <si>
    <t>Amrita Vishwa Vidyapeetham</t>
  </si>
  <si>
    <t>Andhra University</t>
  </si>
  <si>
    <t>Anna University</t>
  </si>
  <si>
    <t>Annamalai University</t>
  </si>
  <si>
    <t>Banaras Hindu University</t>
  </si>
  <si>
    <t>Banasthali University</t>
  </si>
  <si>
    <t>Birla Institute of Technology and Science, Pilani</t>
  </si>
  <si>
    <t>Cochin University of Science and Technology</t>
  </si>
  <si>
    <t>Delhi Technological University</t>
  </si>
  <si>
    <t>GITAM University</t>
  </si>
  <si>
    <t>Indian Institute of Science</t>
  </si>
  <si>
    <t>Indian Institute of Science Education and Research Kolkata</t>
  </si>
  <si>
    <t>Indian Institute of Science Education and Research, Pune</t>
  </si>
  <si>
    <t>Indian Institute of Technology (Indian School of Mines) Dhanbad</t>
  </si>
  <si>
    <t>Indian Institute of Technology Bhubaneswar</t>
  </si>
  <si>
    <t>Indian Institute of Technology Bombay</t>
  </si>
  <si>
    <t>Indian Institute of Technology Delhi</t>
  </si>
  <si>
    <t>Indian Institute of Technology Gandhinagar</t>
  </si>
  <si>
    <t>Indian Institute of Technology Guwahati</t>
  </si>
  <si>
    <t>Indian Institute of Technology Hyderabad</t>
  </si>
  <si>
    <t>Indian Institute of Technology Indore</t>
  </si>
  <si>
    <t>Indian Institute of Technology Kanpur</t>
  </si>
  <si>
    <t>Indian Institute of Technology Kharagpur</t>
  </si>
  <si>
    <t>Indian Institute of Technology Madras</t>
  </si>
  <si>
    <t>Indian Institute of Technology Patna</t>
  </si>
  <si>
    <t>Indian Institute of Technology Roorkee</t>
  </si>
  <si>
    <t>Indian Institute of Technology Ropar</t>
  </si>
  <si>
    <t>Institute of Chemical Technology</t>
  </si>
  <si>
    <t>Jadavpur University</t>
  </si>
  <si>
    <t>Jamia Millia Islamia</t>
  </si>
  <si>
    <t>Jawaharlal Nehru University</t>
  </si>
  <si>
    <t>KIIT University</t>
  </si>
  <si>
    <t>Maharaja Sayajirao University of Baroda</t>
  </si>
  <si>
    <t>Manipal Academy of Higher Education</t>
  </si>
  <si>
    <t>National Institute of Technology Rourkela</t>
  </si>
  <si>
    <t>National Institute of Technology, Tiruchirappalli</t>
  </si>
  <si>
    <t>Osmania University</t>
  </si>
  <si>
    <t>Panjab University</t>
  </si>
  <si>
    <t>Pondicherry University</t>
  </si>
  <si>
    <t>PSG College of Technology</t>
  </si>
  <si>
    <t>SASTRA University</t>
  </si>
  <si>
    <t>Sathyabama Institute of Science and Technology</t>
  </si>
  <si>
    <t>Savitribai Phule Pune University</t>
  </si>
  <si>
    <t>Sri Venkateswara University</t>
  </si>
  <si>
    <t>SRM Institute of Science and Technology</t>
  </si>
  <si>
    <t>Tamil Nadu Agricultural University</t>
  </si>
  <si>
    <t>Tezpur University</t>
  </si>
  <si>
    <t>Thapar University</t>
  </si>
  <si>
    <t>University of Delhi</t>
  </si>
  <si>
    <t>University of Mumbai</t>
  </si>
  <si>
    <t>University of Mysore</t>
  </si>
  <si>
    <t>VIT University</t>
  </si>
  <si>
    <t>Bandung Institute of Technology (ITB)</t>
  </si>
  <si>
    <t>Indonesia</t>
  </si>
  <si>
    <t>Bogor Agricultural University</t>
  </si>
  <si>
    <t>Sepuluh Nopember Institute of Technology</t>
  </si>
  <si>
    <t>Universitas Gadjah Mada</t>
  </si>
  <si>
    <t>University of Brawijaya</t>
  </si>
  <si>
    <t>University of Indonesia</t>
  </si>
  <si>
    <t>Alzahra University</t>
  </si>
  <si>
    <t>Iran</t>
  </si>
  <si>
    <t>Amirkabir University of Technology</t>
  </si>
  <si>
    <t>Azarbaijan Shahid Madani University</t>
  </si>
  <si>
    <t>Babol Noshirvani University of Technology</t>
  </si>
  <si>
    <t>Bu-Ali Sina University</t>
  </si>
  <si>
    <t>Ferdowsi University of Mashhad</t>
  </si>
  <si>
    <t>Imam Khomeini International University</t>
  </si>
  <si>
    <t>Iran University of Medical Sciences</t>
  </si>
  <si>
    <t>Iran University of Science and Technology</t>
  </si>
  <si>
    <t>Isfahan University of Medical Sciences</t>
  </si>
  <si>
    <t>Isfahan University of Technology</t>
  </si>
  <si>
    <t>K.N. Toosi University of Technology</t>
  </si>
  <si>
    <t>Kharazmi University</t>
  </si>
  <si>
    <t>Mashhad University of Medical Sciences</t>
  </si>
  <si>
    <t>Semnan University</t>
  </si>
  <si>
    <t>Shahed University</t>
  </si>
  <si>
    <t>Shahid Bahonar University of Kerman</t>
  </si>
  <si>
    <t>Shahid Beheshti University</t>
  </si>
  <si>
    <t>Shahid Beheshti University of Medical Sciences</t>
  </si>
  <si>
    <t>Shahid Chamran University of Ahvaz</t>
  </si>
  <si>
    <t>Shahrekord University</t>
  </si>
  <si>
    <t>Shahrood University of Technology</t>
  </si>
  <si>
    <t>Sharif University of Technology</t>
  </si>
  <si>
    <t>Shiraz University</t>
  </si>
  <si>
    <t>Shiraz University of Medical Sciences</t>
  </si>
  <si>
    <t>Shiraz University of Technology</t>
  </si>
  <si>
    <t>Tabriz University of Medical Sciences</t>
  </si>
  <si>
    <t>Tehran University of Medical Sciences</t>
  </si>
  <si>
    <t>University of Birjand</t>
  </si>
  <si>
    <t>University of Guilan</t>
  </si>
  <si>
    <t>University of Isfahan</t>
  </si>
  <si>
    <t>University of Kashan</t>
  </si>
  <si>
    <t>University of Kurdistan</t>
  </si>
  <si>
    <t>University of Mazandaran</t>
  </si>
  <si>
    <t>University of Tabriz</t>
  </si>
  <si>
    <t>University of Tehran</t>
  </si>
  <si>
    <t>University of Zanjan</t>
  </si>
  <si>
    <t>Urmia University</t>
  </si>
  <si>
    <t>Yasouj University</t>
  </si>
  <si>
    <t>Yazd University</t>
  </si>
  <si>
    <t>University of Baghdad</t>
  </si>
  <si>
    <t>Iraq</t>
  </si>
  <si>
    <t>University of Technology, Iraq</t>
  </si>
  <si>
    <t>Dublin City University</t>
  </si>
  <si>
    <t>Ireland</t>
  </si>
  <si>
    <t>Maynooth University</t>
  </si>
  <si>
    <t>National University of Ireland, Galway</t>
  </si>
  <si>
    <t>Royal College of Surgeons in Ireland (RCSI)</t>
  </si>
  <si>
    <t>Technological University Dublin</t>
  </si>
  <si>
    <t>Trinity College Dublin</t>
  </si>
  <si>
    <t>University College Cork</t>
  </si>
  <si>
    <t>University College Dublin</t>
  </si>
  <si>
    <t>University of Limerick</t>
  </si>
  <si>
    <t>Bar-Ilan University</t>
  </si>
  <si>
    <t>Israel</t>
  </si>
  <si>
    <t>Hebrew University of Jerusalem</t>
  </si>
  <si>
    <t>IDC Herzliya</t>
  </si>
  <si>
    <t>Technion Israel Institute of Technology</t>
  </si>
  <si>
    <t>Tel Aviv University</t>
  </si>
  <si>
    <t>University of Haifa</t>
  </si>
  <si>
    <t>Amedeo Avogadro University of Eastern Piedmont</t>
  </si>
  <si>
    <t>Italy</t>
  </si>
  <si>
    <t>Catholic University of the Sacred Heart</t>
  </si>
  <si>
    <t>Free University of Bozen-Bolzano</t>
  </si>
  <si>
    <t>Marche Polytechnic University</t>
  </si>
  <si>
    <t>Polytechnic University of Bari</t>
  </si>
  <si>
    <t>Polytechnic University of Milan</t>
  </si>
  <si>
    <t>Polytechnic University of Turin</t>
  </si>
  <si>
    <t>Sapienza University of Rome</t>
  </si>
  <si>
    <t>Scuola Normale Superiore di Pisa</t>
  </si>
  <si>
    <t>University of Bari Aldo Moro</t>
  </si>
  <si>
    <t>University of Bergamo</t>
  </si>
  <si>
    <t>University of Bologna</t>
  </si>
  <si>
    <t>University of Brescia</t>
  </si>
  <si>
    <t>University of Calabria</t>
  </si>
  <si>
    <t>University of Catania</t>
  </si>
  <si>
    <t>University of Ferrara</t>
  </si>
  <si>
    <t>University of Florence</t>
  </si>
  <si>
    <t>University of Genoa</t>
  </si>
  <si>
    <t>University of Insubria</t>
  </si>
  <si>
    <t>University of Milan</t>
  </si>
  <si>
    <t>University of Milan-Bicocca</t>
  </si>
  <si>
    <t>University of Modena and Reggio Emilia</t>
  </si>
  <si>
    <t>University of Naples Federico II</t>
  </si>
  <si>
    <t>University of Padua</t>
  </si>
  <si>
    <t>University of Palermo</t>
  </si>
  <si>
    <t>University of Parma</t>
  </si>
  <si>
    <t>University of Pavia</t>
  </si>
  <si>
    <t>University of Perugia</t>
  </si>
  <si>
    <t>University of Pisa</t>
  </si>
  <si>
    <t>University of Rome III</t>
  </si>
  <si>
    <t>University of Salento</t>
  </si>
  <si>
    <t>University of Salerno</t>
  </si>
  <si>
    <t>University of Sassari</t>
  </si>
  <si>
    <t>University of Siena</t>
  </si>
  <si>
    <t>University of Trento</t>
  </si>
  <si>
    <t>University of Trieste</t>
  </si>
  <si>
    <t>University of Turin</t>
  </si>
  <si>
    <t>University of Udine</t>
  </si>
  <si>
    <t>University of Urbino Carlo Bo</t>
  </si>
  <si>
    <t>Verona University</t>
  </si>
  <si>
    <t>Vita-Salute San Raffaele University</t>
  </si>
  <si>
    <t>The University of the West Indies</t>
  </si>
  <si>
    <t>Jamaica</t>
  </si>
  <si>
    <t>Aichi Medical University</t>
  </si>
  <si>
    <t>Japan</t>
  </si>
  <si>
    <t>Akita University</t>
  </si>
  <si>
    <t>Aoyama Gakuin University</t>
  </si>
  <si>
    <t>Chiba Institute of Technology</t>
  </si>
  <si>
    <t>Chiba University</t>
  </si>
  <si>
    <t>Chubu University</t>
  </si>
  <si>
    <t>Chuo University</t>
  </si>
  <si>
    <t>Doshisha University</t>
  </si>
  <si>
    <t>Ehime University</t>
  </si>
  <si>
    <t>Fujita Health University</t>
  </si>
  <si>
    <t>Gifu University</t>
  </si>
  <si>
    <t>Gunma University</t>
  </si>
  <si>
    <t>Hamamatsu University School of Medicine</t>
  </si>
  <si>
    <t>Hiroshima University</t>
  </si>
  <si>
    <t>Hokkaido University</t>
  </si>
  <si>
    <t>Hosei University</t>
  </si>
  <si>
    <t>Hyogo College of Medicine</t>
  </si>
  <si>
    <t>Ibaraki University</t>
  </si>
  <si>
    <t>Iwate University</t>
  </si>
  <si>
    <t>Jikei University School of Medicine</t>
  </si>
  <si>
    <t>Juntendo University</t>
  </si>
  <si>
    <t>Kagawa University</t>
  </si>
  <si>
    <t>Kagoshima University</t>
  </si>
  <si>
    <t>Kanagawa University</t>
  </si>
  <si>
    <t>Kanazawa University</t>
  </si>
  <si>
    <t>Kansai Medical University</t>
  </si>
  <si>
    <t>Kansai University</t>
  </si>
  <si>
    <t>Keio University</t>
  </si>
  <si>
    <t>Kindai University</t>
  </si>
  <si>
    <t>Kitasato University</t>
  </si>
  <si>
    <t>Kobe University</t>
  </si>
  <si>
    <t>Kochi University</t>
  </si>
  <si>
    <t>Kogakuin University</t>
  </si>
  <si>
    <t>Kumamoto University</t>
  </si>
  <si>
    <t>Kurume University</t>
  </si>
  <si>
    <t>Kwansei Gakuin University</t>
  </si>
  <si>
    <t>Kyoto Institute of Technology</t>
  </si>
  <si>
    <t>Kyoto Prefectural University of Medicine</t>
  </si>
  <si>
    <t>Kyoto University</t>
  </si>
  <si>
    <t>Kyushu Institute of Technology (Kyutech)</t>
  </si>
  <si>
    <t>Kyushu University</t>
  </si>
  <si>
    <t>Meiji University</t>
  </si>
  <si>
    <t>Meijo University</t>
  </si>
  <si>
    <t>Mie University</t>
  </si>
  <si>
    <t>Muroran Institute of Technology</t>
  </si>
  <si>
    <t>Nagaoka University of Technology</t>
  </si>
  <si>
    <t>Nagasaki University</t>
  </si>
  <si>
    <t>Nagoya City University</t>
  </si>
  <si>
    <t>Nagoya Institute of Technology</t>
  </si>
  <si>
    <t>Nagoya University</t>
  </si>
  <si>
    <t>Nara Medical University</t>
  </si>
  <si>
    <t>Niigata University</t>
  </si>
  <si>
    <t>Nippon Medical School</t>
  </si>
  <si>
    <t>Ochanomizu University</t>
  </si>
  <si>
    <t>Oita University</t>
  </si>
  <si>
    <t>Okayama University</t>
  </si>
  <si>
    <t>Osaka City University</t>
  </si>
  <si>
    <t>Osaka Medical College</t>
  </si>
  <si>
    <t>Osaka Prefecture University</t>
  </si>
  <si>
    <t>Osaka University</t>
  </si>
  <si>
    <t>Rikkyo University</t>
  </si>
  <si>
    <t>Ritsumeikan University</t>
  </si>
  <si>
    <t>Saga University</t>
  </si>
  <si>
    <t>Saitama Medical University</t>
  </si>
  <si>
    <t>Saitama University</t>
  </si>
  <si>
    <t>Sapporo Medical University</t>
  </si>
  <si>
    <t>Shibaura Institute of Technology Tokyo</t>
  </si>
  <si>
    <t>Shiga University of Medical Science</t>
  </si>
  <si>
    <t>Shimane University</t>
  </si>
  <si>
    <t>Shinshu University</t>
  </si>
  <si>
    <t>Shizuoka University</t>
  </si>
  <si>
    <t>Showa University</t>
  </si>
  <si>
    <t>Sophia University</t>
  </si>
  <si>
    <t>St Marianna University School of Medicine</t>
  </si>
  <si>
    <t>Teikyo University</t>
  </si>
  <si>
    <t>The University of Aizu</t>
  </si>
  <si>
    <t>The University of Electro-Communications</t>
  </si>
  <si>
    <t>The University of Tokyo</t>
  </si>
  <si>
    <t>Toho University</t>
  </si>
  <si>
    <t>Tohoku University</t>
  </si>
  <si>
    <t>Tokai University</t>
  </si>
  <si>
    <t>Tokushima University</t>
  </si>
  <si>
    <t>Tokyo City University</t>
  </si>
  <si>
    <t>Tokyo Denki University</t>
  </si>
  <si>
    <t>Tokyo Institute of Technology</t>
  </si>
  <si>
    <t>Tokyo Medical and Dental University (TMDU)</t>
  </si>
  <si>
    <t>Tokyo Medical University</t>
  </si>
  <si>
    <t>Tokyo Metropolitan University</t>
  </si>
  <si>
    <t>Tokyo University of Agriculture</t>
  </si>
  <si>
    <t>Tokyo University of Agriculture and Technology</t>
  </si>
  <si>
    <t>Tokyo University of Marine Science and Technology</t>
  </si>
  <si>
    <t>Tokyo University of Science</t>
  </si>
  <si>
    <t>Tottori University</t>
  </si>
  <si>
    <t>Toyo University</t>
  </si>
  <si>
    <t>Toyohashi University of Technology (TUT)</t>
  </si>
  <si>
    <t>University of Fukui</t>
  </si>
  <si>
    <t>University of Hyogo</t>
  </si>
  <si>
    <t>University of Miyazaki</t>
  </si>
  <si>
    <t>University of Occupational and Environmental Health, Japan</t>
  </si>
  <si>
    <t>University of Shizuoka</t>
  </si>
  <si>
    <t>University of the Ryukyus</t>
  </si>
  <si>
    <t>University of Toyama</t>
  </si>
  <si>
    <t>University of Tsukuba</t>
  </si>
  <si>
    <t>University of Yamanashi</t>
  </si>
  <si>
    <t>Utsunomiya University</t>
  </si>
  <si>
    <t>Waseda University</t>
  </si>
  <si>
    <t>Yamagata University</t>
  </si>
  <si>
    <t>Yamaguchi University</t>
  </si>
  <si>
    <t>Yokohama City University</t>
  </si>
  <si>
    <t>Yokohama National University</t>
  </si>
  <si>
    <t>Al-Balqa Applied University</t>
  </si>
  <si>
    <t>Jordan</t>
  </si>
  <si>
    <t>Hashemite University</t>
  </si>
  <si>
    <t>Jordan University of Science and Technology</t>
  </si>
  <si>
    <t>University of Jordan</t>
  </si>
  <si>
    <t>Yarmouk University</t>
  </si>
  <si>
    <t>Al-Farabi Kazakh National University</t>
  </si>
  <si>
    <t>Kazakhstan</t>
  </si>
  <si>
    <t>L.N. Gumilyov Eurasian National University</t>
  </si>
  <si>
    <t>University of Nairobi</t>
  </si>
  <si>
    <t>Kenya</t>
  </si>
  <si>
    <t>Kuwait University</t>
  </si>
  <si>
    <t>Kuwait</t>
  </si>
  <si>
    <t>Latvia University of Life Sciences and Technologies</t>
  </si>
  <si>
    <t>Latvia</t>
  </si>
  <si>
    <t>Riga Technical University</t>
  </si>
  <si>
    <t>University of Latvia</t>
  </si>
  <si>
    <t>American University of Beirut</t>
  </si>
  <si>
    <t>Lebanon</t>
  </si>
  <si>
    <t>Lebanese American University</t>
  </si>
  <si>
    <t>Kaunas University of Technology</t>
  </si>
  <si>
    <t>Lithuania</t>
  </si>
  <si>
    <t>Vilnius Gediminas Technical University</t>
  </si>
  <si>
    <t>Vilnius University</t>
  </si>
  <si>
    <t>University of Luxembourg</t>
  </si>
  <si>
    <t>Luxembourg</t>
  </si>
  <si>
    <t>Macau University of Science and Technology</t>
  </si>
  <si>
    <t>Macao</t>
  </si>
  <si>
    <t>University of Macau</t>
  </si>
  <si>
    <t>Multimedia University</t>
  </si>
  <si>
    <t>Malaysia</t>
  </si>
  <si>
    <t>Universiti Kebangsaan Malaysia</t>
  </si>
  <si>
    <t>Universiti Malaysia Perlis</t>
  </si>
  <si>
    <t>Universiti Malaysia Sarawak (UNIMAS)</t>
  </si>
  <si>
    <t>Universiti Putra Malaysia</t>
  </si>
  <si>
    <t>Universiti Sains Malaysia</t>
  </si>
  <si>
    <t>Universiti Teknologi Malaysia</t>
  </si>
  <si>
    <t>Universiti Teknologi MARA</t>
  </si>
  <si>
    <t>Universiti Teknologi Petronas</t>
  </si>
  <si>
    <t>Universiti Tenaga Nasional (UNITEN)</t>
  </si>
  <si>
    <t>Universiti Tunku Abdul Rahman (UTAR)</t>
  </si>
  <si>
    <t>Universiti Utara Malaysia</t>
  </si>
  <si>
    <t>University of Malaya</t>
  </si>
  <si>
    <t>University of Malta</t>
  </si>
  <si>
    <t>Malta</t>
  </si>
  <si>
    <t>Autonomous University of Baja California</t>
  </si>
  <si>
    <t>Mexico</t>
  </si>
  <si>
    <t>Autonomous University of Hidalgo State (UAEH)</t>
  </si>
  <si>
    <t>Autonomous University of Puebla</t>
  </si>
  <si>
    <t>Autonomous University of San Luis Potosi</t>
  </si>
  <si>
    <t>Autonomous University of Sinaloa</t>
  </si>
  <si>
    <t>Autonomous University of the State of Mexico</t>
  </si>
  <si>
    <t>Metropolitan Autonomous University</t>
  </si>
  <si>
    <t>Monterrey Institute of Technology</t>
  </si>
  <si>
    <t>National Autonomous University of Mexico</t>
  </si>
  <si>
    <t>National Polytechnic University (IPN)</t>
  </si>
  <si>
    <t>University of Guadalajara</t>
  </si>
  <si>
    <t>University of Guanajuato</t>
  </si>
  <si>
    <t>University of Sonora</t>
  </si>
  <si>
    <t>University of Montenegro</t>
  </si>
  <si>
    <t>Montenegro</t>
  </si>
  <si>
    <t>Mohammed V University of Rabat</t>
  </si>
  <si>
    <t>Morocco</t>
  </si>
  <si>
    <t>Sidi Mohamed Ben Abdellah University</t>
  </si>
  <si>
    <t>University of Marrakech Cadi Ayyad</t>
  </si>
  <si>
    <t>Tribhuvan University</t>
  </si>
  <si>
    <t>Nepal</t>
  </si>
  <si>
    <t>Delft University of Technology</t>
  </si>
  <si>
    <t>Netherlands</t>
  </si>
  <si>
    <t>Eindhoven University of Technology</t>
  </si>
  <si>
    <t>Erasmus University Rotterdam</t>
  </si>
  <si>
    <t>Leiden University</t>
  </si>
  <si>
    <t>Maastricht University</t>
  </si>
  <si>
    <t>Radboud University Nijmegen</t>
  </si>
  <si>
    <t>Tilburg University</t>
  </si>
  <si>
    <t>University of Amsterdam</t>
  </si>
  <si>
    <t>University of Groningen</t>
  </si>
  <si>
    <t>University of Twente</t>
  </si>
  <si>
    <t>Utrecht University</t>
  </si>
  <si>
    <t>Vrije Universiteit Amsterdam</t>
  </si>
  <si>
    <t>Wageningen University &amp; Research</t>
  </si>
  <si>
    <t>Auckland University of Technology</t>
  </si>
  <si>
    <t>New Zealand</t>
  </si>
  <si>
    <t>Lincoln University</t>
  </si>
  <si>
    <t>Massey University</t>
  </si>
  <si>
    <t>University of Auckland</t>
  </si>
  <si>
    <t>University of Canterbury</t>
  </si>
  <si>
    <t>University of Otago</t>
  </si>
  <si>
    <t>University of Waikato</t>
  </si>
  <si>
    <t>Victoria University of Wellington</t>
  </si>
  <si>
    <t>Covenant University</t>
  </si>
  <si>
    <t>Nigeria</t>
  </si>
  <si>
    <t>University of Ibadan</t>
  </si>
  <si>
    <t>University of Lagos</t>
  </si>
  <si>
    <t>University of Nigeria Nsukka</t>
  </si>
  <si>
    <t>Eastern Mediterranean University</t>
  </si>
  <si>
    <t>Northern Cyprus</t>
  </si>
  <si>
    <t>Norwegian University of Life Sciences</t>
  </si>
  <si>
    <t>Norway</t>
  </si>
  <si>
    <t>Norwegian University of Science and Technology</t>
  </si>
  <si>
    <t>UiT The Arctic University of Norway</t>
  </si>
  <si>
    <t>University of Bergen</t>
  </si>
  <si>
    <t>University of Oslo</t>
  </si>
  <si>
    <t>Sultan Qaboos University</t>
  </si>
  <si>
    <t>Oman</t>
  </si>
  <si>
    <t>Bahauddin Zakariya University</t>
  </si>
  <si>
    <t>Pakistan</t>
  </si>
  <si>
    <t>COMSATS University Islamabad</t>
  </si>
  <si>
    <t>Government College University Lahore</t>
  </si>
  <si>
    <t>International Islamic University, Islamabad</t>
  </si>
  <si>
    <t>Lahore University of Management Sciences</t>
  </si>
  <si>
    <t>National University of Sciences and Technology</t>
  </si>
  <si>
    <t>PMAS Arid Agriculture University Rawalpindi</t>
  </si>
  <si>
    <t>Quaid-i-azam University</t>
  </si>
  <si>
    <t>University of Agriculture, Faisalabad</t>
  </si>
  <si>
    <t>University of Engineering &amp; Technology (UET) Lahore</t>
  </si>
  <si>
    <t>University of Peshawar</t>
  </si>
  <si>
    <t>University of Sargodha</t>
  </si>
  <si>
    <t>University of the Punjab</t>
  </si>
  <si>
    <t>University of Veterinary and Animal Sciences, Lahore</t>
  </si>
  <si>
    <t>Pontifical Catholic University of Peru</t>
  </si>
  <si>
    <t>Peru</t>
  </si>
  <si>
    <t>Universidad Peruana Cayetano Heredia</t>
  </si>
  <si>
    <t>De La Salle University</t>
  </si>
  <si>
    <t>Philippines</t>
  </si>
  <si>
    <t>University of the Philippines</t>
  </si>
  <si>
    <t>Adam Mickiewicz University, Pozna?</t>
  </si>
  <si>
    <t>Poland</t>
  </si>
  <si>
    <t>AGH University of Science and Technology</t>
  </si>
  <si>
    <t>Gda?sk University of Technology</t>
  </si>
  <si>
    <t>Jagiellonian University</t>
  </si>
  <si>
    <t>Lodz University of Technology</t>
  </si>
  <si>
    <t>Nicolaus Copernicus University in Toru?</t>
  </si>
  <si>
    <t>Silesian University of Technology</t>
  </si>
  <si>
    <t>SWPS University of Social Sciences and Humanities</t>
  </si>
  <si>
    <t>University of Gda?sk</t>
  </si>
  <si>
    <t>University of Silesia in Katowice</t>
  </si>
  <si>
    <t>University of Warsaw</t>
  </si>
  <si>
    <t>Warsaw University of Technology</t>
  </si>
  <si>
    <t>Wroc?aw University of Science and Technology</t>
  </si>
  <si>
    <t>Catholic University of Portugal</t>
  </si>
  <si>
    <t>Portugal</t>
  </si>
  <si>
    <t>ISCTE-University Institute of Lisbon</t>
  </si>
  <si>
    <t>NOVA University of Lisbon</t>
  </si>
  <si>
    <t>Polytechnic Institute of Porto</t>
  </si>
  <si>
    <t>University of Algarve</t>
  </si>
  <si>
    <t>University of Aveiro</t>
  </si>
  <si>
    <t>University of Beira Interior</t>
  </si>
  <si>
    <t>University of Coimbra</t>
  </si>
  <si>
    <t>University of Lisbon</t>
  </si>
  <si>
    <t>University of Minho</t>
  </si>
  <si>
    <t>University of Porto</t>
  </si>
  <si>
    <t>University of Puerto Rico</t>
  </si>
  <si>
    <t>Puerto Rico</t>
  </si>
  <si>
    <t>Qatar University</t>
  </si>
  <si>
    <t>Qatar</t>
  </si>
  <si>
    <t>Alexandru Ioan Cuza University</t>
  </si>
  <si>
    <t>Romania</t>
  </si>
  <si>
    <t>Babe?-Bolyai University</t>
  </si>
  <si>
    <t>Bucharest University of Economic Studies</t>
  </si>
  <si>
    <t>Grigore T. Popa University of Medicine and Pharmacy</t>
  </si>
  <si>
    <t>Polytechnic University of Bucharest</t>
  </si>
  <si>
    <t>Polytechnic University of Timi?oara</t>
  </si>
  <si>
    <t>Technical University of Cluj-Napoca</t>
  </si>
  <si>
    <t>University of Bucharest</t>
  </si>
  <si>
    <t>West University of Timi?oara</t>
  </si>
  <si>
    <t>Bashkir State University</t>
  </si>
  <si>
    <t>Russian Federation</t>
  </si>
  <si>
    <t>Bauman Moscow State Technical University</t>
  </si>
  <si>
    <t>Belgorod State National Research University</t>
  </si>
  <si>
    <t>Far Eastern Federal University</t>
  </si>
  <si>
    <t>Gubkin Russian State University of Oil and Gas</t>
  </si>
  <si>
    <t>Higher School of Economics</t>
  </si>
  <si>
    <t>ITMO University</t>
  </si>
  <si>
    <t>Kazan Federal University</t>
  </si>
  <si>
    <t>Kazan National Research Technological University</t>
  </si>
  <si>
    <t>Lobachevsky State University of Nizhni Novgorod</t>
  </si>
  <si>
    <t>Lomonosov Moscow State University</t>
  </si>
  <si>
    <t>MIREA - Russian Technological University</t>
  </si>
  <si>
    <t>Moscow Aviation Institute</t>
  </si>
  <si>
    <t>Moscow Institute of Physics and Technology</t>
  </si>
  <si>
    <t>Moscow Power Engineering Institute</t>
  </si>
  <si>
    <t>National Research Nuclear University MEPhI</t>
  </si>
  <si>
    <t>National Research Saratov State University</t>
  </si>
  <si>
    <t>National University of Science and Technology (MISiS)</t>
  </si>
  <si>
    <t>Novosibirsk State Technical University</t>
  </si>
  <si>
    <t>Novosibirsk State University</t>
  </si>
  <si>
    <t>Perm National Research Polytechnic University</t>
  </si>
  <si>
    <t>Perm State University</t>
  </si>
  <si>
    <t>Peter the Great St Petersburg Polytechnic University</t>
  </si>
  <si>
    <t>Pirogov Russian National Research Medical University</t>
  </si>
  <si>
    <t>RUDN University</t>
  </si>
  <si>
    <t>Saint Petersburg State University</t>
  </si>
  <si>
    <t>Saint-Petersburg Mining University</t>
  </si>
  <si>
    <t>Samara University</t>
  </si>
  <si>
    <t>Sechenov University</t>
  </si>
  <si>
    <t>Siberian Federal University</t>
  </si>
  <si>
    <t>South Ural State University</t>
  </si>
  <si>
    <t>Southern Federal University</t>
  </si>
  <si>
    <t>St Petersburg Electrotechnical University (LETI)</t>
  </si>
  <si>
    <t>Tomsk Polytechnic University</t>
  </si>
  <si>
    <t>Tomsk State University</t>
  </si>
  <si>
    <t>Ufa State Aviation Technical University</t>
  </si>
  <si>
    <t>Ural Federal University</t>
  </si>
  <si>
    <t>Volgograd State Technical University</t>
  </si>
  <si>
    <t>Voronezh State University</t>
  </si>
  <si>
    <t>Alfaisal University</t>
  </si>
  <si>
    <t>Saudi Arabia</t>
  </si>
  <si>
    <t>Imam Abdulrahman Bin Faisal University</t>
  </si>
  <si>
    <t>King Abdulaziz University</t>
  </si>
  <si>
    <t>King Fahd University of Petroleum and Minerals</t>
  </si>
  <si>
    <t>King Khalid University</t>
  </si>
  <si>
    <t>King Saud bin Abdulaziz University for Health Sciences</t>
  </si>
  <si>
    <t>King Saud University</t>
  </si>
  <si>
    <t>Nanyang Technological University, Singapore</t>
  </si>
  <si>
    <t>Singapore</t>
  </si>
  <si>
    <t>National University of Singapore</t>
  </si>
  <si>
    <t>Comenius University in Bratislava</t>
  </si>
  <si>
    <t>Slovakia</t>
  </si>
  <si>
    <t>Slovak University of Agriculture in Nitra</t>
  </si>
  <si>
    <t>Slovak University of Technology in Bratislava</t>
  </si>
  <si>
    <t>University of Ljubljana</t>
  </si>
  <si>
    <t>Slovenia</t>
  </si>
  <si>
    <t>University of Maribor</t>
  </si>
  <si>
    <t>North-West University</t>
  </si>
  <si>
    <t>South Africa</t>
  </si>
  <si>
    <t>Stellenbosch University</t>
  </si>
  <si>
    <t>Tshwane University of Technology</t>
  </si>
  <si>
    <t>University of Cape Town</t>
  </si>
  <si>
    <t>University of Johannesburg</t>
  </si>
  <si>
    <t>University of KwaZulu-Natal</t>
  </si>
  <si>
    <t>University of Pretoria</t>
  </si>
  <si>
    <t>University of South Africa</t>
  </si>
  <si>
    <t>University of the Western Cape</t>
  </si>
  <si>
    <t>University of the Witwatersrand</t>
  </si>
  <si>
    <t>Ajou University</t>
  </si>
  <si>
    <t>South Korea</t>
  </si>
  <si>
    <t>Chonbuk National University</t>
  </si>
  <si>
    <t>Chonnam National University</t>
  </si>
  <si>
    <t>Chung-Ang University</t>
  </si>
  <si>
    <t>Chungnam National University</t>
  </si>
  <si>
    <t>Ewha Womans University</t>
  </si>
  <si>
    <t>Gwangju Institute of Science and Technology</t>
  </si>
  <si>
    <t>Hallym University</t>
  </si>
  <si>
    <t>Hanyang University</t>
  </si>
  <si>
    <t>Incheon National University</t>
  </si>
  <si>
    <t>Inha University</t>
  </si>
  <si>
    <t>Kangwon National University</t>
  </si>
  <si>
    <t>Konkuk University</t>
  </si>
  <si>
    <t>Kookmin University</t>
  </si>
  <si>
    <t>Korea Advanced Institute of Science and Technology (KAIST)</t>
  </si>
  <si>
    <t>Korea University</t>
  </si>
  <si>
    <t>Kyung Hee University</t>
  </si>
  <si>
    <t>Kyungpook National University</t>
  </si>
  <si>
    <t>Pohang University of Science and Technology (POSTECH)</t>
  </si>
  <si>
    <t>Pusan National University</t>
  </si>
  <si>
    <t>Sejong University</t>
  </si>
  <si>
    <t>Seoul National University</t>
  </si>
  <si>
    <t>Seoul National University of Science and Technology (SeoulTech)</t>
  </si>
  <si>
    <t>Sogang University</t>
  </si>
  <si>
    <t>Soongsil University</t>
  </si>
  <si>
    <t>Sungkyunkwan University (SKKU)</t>
  </si>
  <si>
    <t>Ulsan National Institute of Science and Technology (UNIST)</t>
  </si>
  <si>
    <t>University of Seoul</t>
  </si>
  <si>
    <t>University of Ulsan</t>
  </si>
  <si>
    <t>Yeungnam University</t>
  </si>
  <si>
    <t>Yonsei University (Seoul campus)</t>
  </si>
  <si>
    <t>Autonomous University of Barcelona</t>
  </si>
  <si>
    <t>Spain</t>
  </si>
  <si>
    <t>Autonomous University of Madrid</t>
  </si>
  <si>
    <t>Carlos III University of Madrid</t>
  </si>
  <si>
    <t>Complutense University of Madrid</t>
  </si>
  <si>
    <t>Jaume I University</t>
  </si>
  <si>
    <t>Open University of Catalonia</t>
  </si>
  <si>
    <t>Pablo de Olavide University</t>
  </si>
  <si>
    <t>Polytechnic University of Cartagena</t>
  </si>
  <si>
    <t>Polytechnic University of Catalonia</t>
  </si>
  <si>
    <t>Polytechnic University of Valencia</t>
  </si>
  <si>
    <t>Pompeu Fabra University</t>
  </si>
  <si>
    <t>Technical University of Madrid</t>
  </si>
  <si>
    <t>University of Alicante</t>
  </si>
  <si>
    <t>University of Barcelona</t>
  </si>
  <si>
    <t>University of Burgos</t>
  </si>
  <si>
    <t>University of Cadiz</t>
  </si>
  <si>
    <t>University of Castilla-La Mancha</t>
  </si>
  <si>
    <t>University of Deusto</t>
  </si>
  <si>
    <t>University of Girona</t>
  </si>
  <si>
    <t>University of Granada</t>
  </si>
  <si>
    <t>University of La Laguna</t>
  </si>
  <si>
    <t>University of Las Palmas de Gran Canaria</t>
  </si>
  <si>
    <t>University of Lleida</t>
  </si>
  <si>
    <t>University of Malaga</t>
  </si>
  <si>
    <t>University of Murcia</t>
  </si>
  <si>
    <t>University of Navarra</t>
  </si>
  <si>
    <t>University of Oviedo</t>
  </si>
  <si>
    <t>University of Rovira i Virgili</t>
  </si>
  <si>
    <t>University of Salamanca</t>
  </si>
  <si>
    <t>University of Santiago de Compostela</t>
  </si>
  <si>
    <t>University of Seville</t>
  </si>
  <si>
    <t>University of the Balearic Islands</t>
  </si>
  <si>
    <t>University of the Basque Country</t>
  </si>
  <si>
    <t>University of Valencia</t>
  </si>
  <si>
    <t>University of Valladolid</t>
  </si>
  <si>
    <t>University of Vigo</t>
  </si>
  <si>
    <t>University of Zaragoza</t>
  </si>
  <si>
    <t>University Rey Juan Carlos</t>
  </si>
  <si>
    <t>University of Colombo</t>
  </si>
  <si>
    <t>Sri Lanka</t>
  </si>
  <si>
    <t>University of Peradeniya</t>
  </si>
  <si>
    <t>Chalmers University of Technology</t>
  </si>
  <si>
    <t>Sweden</t>
  </si>
  <si>
    <t>Karlstad University</t>
  </si>
  <si>
    <t>Karolinska Institute</t>
  </si>
  <si>
    <t>KTH Royal Institute of Technology</t>
  </si>
  <si>
    <t>Lund University</t>
  </si>
  <si>
    <t>Stockholm University</t>
  </si>
  <si>
    <t>Swedish University of Agricultural Sciences</t>
  </si>
  <si>
    <t>University of Gothenburg</t>
  </si>
  <si>
    <t>Uppsala University</t>
  </si>
  <si>
    <t>ETH Zurich</t>
  </si>
  <si>
    <t>Switzerland</t>
  </si>
  <si>
    <t>University of Basel</t>
  </si>
  <si>
    <t>University of Bern</t>
  </si>
  <si>
    <t>University of Fribourg</t>
  </si>
  <si>
    <t>University of Geneva</t>
  </si>
  <si>
    <t>University of Lausanne</t>
  </si>
  <si>
    <t>University of St Gallen</t>
  </si>
  <si>
    <t>University of Zurich</t>
  </si>
  <si>
    <t>Asia University, Taiwan</t>
  </si>
  <si>
    <t>Taiwan</t>
  </si>
  <si>
    <t>Chang Gung University</t>
  </si>
  <si>
    <t>Chaoyang University of Technology</t>
  </si>
  <si>
    <t>China Medical University, Taiwan</t>
  </si>
  <si>
    <t>Chung Yuan Christian University</t>
  </si>
  <si>
    <t>Feng Chia University</t>
  </si>
  <si>
    <t>Fu Jen Catholic University</t>
  </si>
  <si>
    <t>I-Shou University</t>
  </si>
  <si>
    <t>Kaohsiung Medical University</t>
  </si>
  <si>
    <t>Ming Chuan University</t>
  </si>
  <si>
    <t>National Central University</t>
  </si>
  <si>
    <t>National Changhua University of Education</t>
  </si>
  <si>
    <t>National Cheng Kung University (NCKU)</t>
  </si>
  <si>
    <t>National Chengchi University</t>
  </si>
  <si>
    <t>National Chiao Tung University</t>
  </si>
  <si>
    <t>National Chiayi University</t>
  </si>
  <si>
    <t>National Chin-Yi University of Technology</t>
  </si>
  <si>
    <t>National Chung Cheng University</t>
  </si>
  <si>
    <t>National Chung Hsing University</t>
  </si>
  <si>
    <t>National Dong Hwa University</t>
  </si>
  <si>
    <t>National Sun Yat-Sen University</t>
  </si>
  <si>
    <t>National Taipei University</t>
  </si>
  <si>
    <t>National Taipei University of Technology</t>
  </si>
  <si>
    <t>National Taiwan Normal University</t>
  </si>
  <si>
    <t>National Taiwan Ocean University</t>
  </si>
  <si>
    <t>National Taiwan University</t>
  </si>
  <si>
    <t>National Taiwan University of Science and Technology (Taiwan Tech)</t>
  </si>
  <si>
    <t>National Tsing Hua University</t>
  </si>
  <si>
    <t>National University of Kaohsiung</t>
  </si>
  <si>
    <t>National Yang-Ming University</t>
  </si>
  <si>
    <t>National Yunlin University of Science and Technology</t>
  </si>
  <si>
    <t>Taipei Medical University</t>
  </si>
  <si>
    <t>Tamkang University</t>
  </si>
  <si>
    <t>Tunghai University</t>
  </si>
  <si>
    <t>Tzu Chi University</t>
  </si>
  <si>
    <t>Yuan Ze University</t>
  </si>
  <si>
    <t>University of Dar es Salaam</t>
  </si>
  <si>
    <t>Tanzania</t>
  </si>
  <si>
    <t>Chiang Mai University</t>
  </si>
  <si>
    <t>Thailand</t>
  </si>
  <si>
    <t>Chulalongkorn University</t>
  </si>
  <si>
    <t>Kasetsart University</t>
  </si>
  <si>
    <t>Khon Kaen University</t>
  </si>
  <si>
    <t>King Mongkut's University of Technology North Bangkok</t>
  </si>
  <si>
    <t>Mae Fah Luang University</t>
  </si>
  <si>
    <t>Mahasarakham University</t>
  </si>
  <si>
    <t>Mahidol University</t>
  </si>
  <si>
    <t>Naresuan University</t>
  </si>
  <si>
    <t>Prince of Songkla University</t>
  </si>
  <si>
    <t>Silpakorn University</t>
  </si>
  <si>
    <t>Srinakharinwirot University</t>
  </si>
  <si>
    <t>Suranaree University of Technology</t>
  </si>
  <si>
    <t>Thammasat University</t>
  </si>
  <si>
    <t>University of Carthage</t>
  </si>
  <si>
    <t>Tunisia</t>
  </si>
  <si>
    <t>University of Manouba</t>
  </si>
  <si>
    <t>University of Monastir</t>
  </si>
  <si>
    <t>University of Sfax</t>
  </si>
  <si>
    <t>University of Sousse</t>
  </si>
  <si>
    <t>University of Tunis El Manar</t>
  </si>
  <si>
    <t>Acibadem University</t>
  </si>
  <si>
    <t>Turkey</t>
  </si>
  <si>
    <t>Akdeniz University</t>
  </si>
  <si>
    <t>Anadolu University</t>
  </si>
  <si>
    <t>Ankara University</t>
  </si>
  <si>
    <t>Atilim University</t>
  </si>
  <si>
    <t>Bahcesehir University</t>
  </si>
  <si>
    <t>Baskent University</t>
  </si>
  <si>
    <t>Bilkent University</t>
  </si>
  <si>
    <t>Bogazici University</t>
  </si>
  <si>
    <t>Cankaya University</t>
  </si>
  <si>
    <t>Cukurova University</t>
  </si>
  <si>
    <t>Dokuz Eylul University</t>
  </si>
  <si>
    <t>Ege University</t>
  </si>
  <si>
    <t>Erciyes University</t>
  </si>
  <si>
    <t>Gazi University</t>
  </si>
  <si>
    <t>Gaziantep University</t>
  </si>
  <si>
    <t>Gebze Technical University</t>
  </si>
  <si>
    <t>Haccettepe University</t>
  </si>
  <si>
    <t>Istanbul Medipol University</t>
  </si>
  <si>
    <t>Istanbul Technical University</t>
  </si>
  <si>
    <t>Istanbul University</t>
  </si>
  <si>
    <t>Izmir Institute of Technology</t>
  </si>
  <si>
    <t>Koc University</t>
  </si>
  <si>
    <t>Marmara University</t>
  </si>
  <si>
    <t>Middle East Technical University</t>
  </si>
  <si>
    <t>Ondokuz Mayis University</t>
  </si>
  <si>
    <t>Ozyegin University</t>
  </si>
  <si>
    <t>Ozyegin Universty</t>
  </si>
  <si>
    <t>Sabanci University</t>
  </si>
  <si>
    <t>TOBB University of Economics and Technology</t>
  </si>
  <si>
    <t>Tokat Gaziosmanpasa University</t>
  </si>
  <si>
    <t>Yeditepe University</t>
  </si>
  <si>
    <t>Yildiz Technical University</t>
  </si>
  <si>
    <t>Makerere University</t>
  </si>
  <si>
    <t>Uganda</t>
  </si>
  <si>
    <t>Ivan Franko National University of Lviv</t>
  </si>
  <si>
    <t>Ukraine</t>
  </si>
  <si>
    <t>Lviv Polytechnic National University</t>
  </si>
  <si>
    <t>National Technical University Kharkiv Polytechnic Institute</t>
  </si>
  <si>
    <t>Sumy State University</t>
  </si>
  <si>
    <t>Taras Shevchenko National University of Kyiv</t>
  </si>
  <si>
    <t>V.N. Karazin Kharkiv National University</t>
  </si>
  <si>
    <t>American University of Sharjah</t>
  </si>
  <si>
    <t>United Arab Emirates</t>
  </si>
  <si>
    <t>Khalifa University</t>
  </si>
  <si>
    <t>United Arab Emirates University</t>
  </si>
  <si>
    <t>University of Sharjah</t>
  </si>
  <si>
    <t>Aberystwyth University</t>
  </si>
  <si>
    <t>United Kingdom</t>
  </si>
  <si>
    <t>Anglia Ruskin University</t>
  </si>
  <si>
    <t>Aston University</t>
  </si>
  <si>
    <t>Bangor University</t>
  </si>
  <si>
    <t>Birkbeck, University of London</t>
  </si>
  <si>
    <t>Birmingham City University</t>
  </si>
  <si>
    <t>Bournemouth University</t>
  </si>
  <si>
    <t>Brighton and Sussex Medical School</t>
  </si>
  <si>
    <t>Brunel University London</t>
  </si>
  <si>
    <t>Canterbury Christ Church University</t>
  </si>
  <si>
    <t>Cardiff Metropolitan University</t>
  </si>
  <si>
    <t>Cardiff University</t>
  </si>
  <si>
    <t>City, University of London</t>
  </si>
  <si>
    <t>Coventry University</t>
  </si>
  <si>
    <t>De Montfort University</t>
  </si>
  <si>
    <t>Durham University</t>
  </si>
  <si>
    <t>Edge Hill University</t>
  </si>
  <si>
    <t>Edinburgh Napier University</t>
  </si>
  <si>
    <t>Glasgow Caledonian University</t>
  </si>
  <si>
    <t>Goldsmiths, University of London</t>
  </si>
  <si>
    <t>Heriot-Watt University</t>
  </si>
  <si>
    <t>Imperial College London</t>
  </si>
  <si>
    <t>Keele University</t>
  </si>
  <si>
    <t>Kingston University</t>
  </si>
  <si>
    <t>Lancaster University</t>
  </si>
  <si>
    <t>Leeds Beckett University</t>
  </si>
  <si>
    <t>Liverpool John Moores University</t>
  </si>
  <si>
    <t>London School of Economics and Political Science</t>
  </si>
  <si>
    <t>London South Bank University</t>
  </si>
  <si>
    <t>Loughborough University</t>
  </si>
  <si>
    <t>Manchester Metropolitan University</t>
  </si>
  <si>
    <t>Middlesex University</t>
  </si>
  <si>
    <t>Newcastle University</t>
  </si>
  <si>
    <t>Northumbria University</t>
  </si>
  <si>
    <t>Nottingham Trent University</t>
  </si>
  <si>
    <t>Oxford Brookes University</t>
  </si>
  <si>
    <t>Queen Mary University of London</t>
  </si>
  <si>
    <t>Robert Gordon University</t>
  </si>
  <si>
    <t>Royal Holloway, University of London</t>
  </si>
  <si>
    <t>Royal Veterinary College</t>
  </si>
  <si>
    <t>Sheffield Hallam University</t>
  </si>
  <si>
    <t>SOAS University of London</t>
  </si>
  <si>
    <t>Staffordshire University</t>
  </si>
  <si>
    <t>Swansea University</t>
  </si>
  <si>
    <t>Teesside University</t>
  </si>
  <si>
    <t>The Open University</t>
  </si>
  <si>
    <t>UCL</t>
  </si>
  <si>
    <t>Ulster University</t>
  </si>
  <si>
    <t>University of Aberdeen</t>
  </si>
  <si>
    <t>University of Bath</t>
  </si>
  <si>
    <t>University of Bedfordshire</t>
  </si>
  <si>
    <t>University of Birmingham</t>
  </si>
  <si>
    <t>University of Bradford</t>
  </si>
  <si>
    <t>University of Brighton</t>
  </si>
  <si>
    <t>University of Bristol</t>
  </si>
  <si>
    <t>University of Cambridge</t>
  </si>
  <si>
    <t>University of Central Lancashire</t>
  </si>
  <si>
    <t>University of Chester</t>
  </si>
  <si>
    <t>University of Derby</t>
  </si>
  <si>
    <t>University of Dundee</t>
  </si>
  <si>
    <t>University of East Anglia</t>
  </si>
  <si>
    <t>University of East London</t>
  </si>
  <si>
    <t>University of Edinburgh</t>
  </si>
  <si>
    <t>University of Essex</t>
  </si>
  <si>
    <t>University of Exeter</t>
  </si>
  <si>
    <t>University of Glasgow</t>
  </si>
  <si>
    <t>University of Greenwich</t>
  </si>
  <si>
    <t>University of Hertfordshire</t>
  </si>
  <si>
    <t>University of Huddersfield</t>
  </si>
  <si>
    <t>University of Hull</t>
  </si>
  <si>
    <t>University of Kent</t>
  </si>
  <si>
    <t>University of Leeds</t>
  </si>
  <si>
    <t>University of Leicester</t>
  </si>
  <si>
    <t>University of Lincoln</t>
  </si>
  <si>
    <t>University of Liverpool</t>
  </si>
  <si>
    <t>University of Manchester</t>
  </si>
  <si>
    <t>University of Nottingham</t>
  </si>
  <si>
    <t>University of Oxford</t>
  </si>
  <si>
    <t>University of Plymouth</t>
  </si>
  <si>
    <t>University of Portsmouth</t>
  </si>
  <si>
    <t>University of Reading</t>
  </si>
  <si>
    <t>University of Roehampton</t>
  </si>
  <si>
    <t>University of Salford</t>
  </si>
  <si>
    <t>University of Sheffield</t>
  </si>
  <si>
    <t>University of South Wales</t>
  </si>
  <si>
    <t>University of Southampton</t>
  </si>
  <si>
    <t>University of St Andrews</t>
  </si>
  <si>
    <t>University of Stirling</t>
  </si>
  <si>
    <t>University of Strathclyde</t>
  </si>
  <si>
    <t>University of Surrey</t>
  </si>
  <si>
    <t>University of Sussex</t>
  </si>
  <si>
    <t>University of the West of England</t>
  </si>
  <si>
    <t>University of the West of Scotland</t>
  </si>
  <si>
    <t>University of Warwick</t>
  </si>
  <si>
    <t>University of Westminster</t>
  </si>
  <si>
    <t>University of Wolverhampton</t>
  </si>
  <si>
    <t>University of York</t>
  </si>
  <si>
    <t>American University</t>
  </si>
  <si>
    <t>United States</t>
  </si>
  <si>
    <t>Arizona State University (Tempe)</t>
  </si>
  <si>
    <t>Auburn University</t>
  </si>
  <si>
    <t>Baylor University</t>
  </si>
  <si>
    <t>Binghamton University, State University of New York</t>
  </si>
  <si>
    <t>Boston College</t>
  </si>
  <si>
    <t>Boston University</t>
  </si>
  <si>
    <t>Brandeis University</t>
  </si>
  <si>
    <t>Brown University</t>
  </si>
  <si>
    <t>California Institute of Technology</t>
  </si>
  <si>
    <t>California State University, Long Beach</t>
  </si>
  <si>
    <t>Carnegie Mellon University</t>
  </si>
  <si>
    <t>Case Western Reserve University</t>
  </si>
  <si>
    <t>Clark University</t>
  </si>
  <si>
    <t>Clemson University</t>
  </si>
  <si>
    <t>Colorado School of Mines</t>
  </si>
  <si>
    <t>Colorado State University, Fort Collins</t>
  </si>
  <si>
    <t>Columbia University</t>
  </si>
  <si>
    <t>Cornell University</t>
  </si>
  <si>
    <t>Creighton University</t>
  </si>
  <si>
    <t>Dartmouth College</t>
  </si>
  <si>
    <t>Drexel University</t>
  </si>
  <si>
    <t>Duke University</t>
  </si>
  <si>
    <t>Embry-Riddle Aeronautical University</t>
  </si>
  <si>
    <t>Emory University</t>
  </si>
  <si>
    <t>Florida Atlantic University</t>
  </si>
  <si>
    <t>Florida Institute of Technology</t>
  </si>
  <si>
    <t>Florida International University</t>
  </si>
  <si>
    <t>Florida State University</t>
  </si>
  <si>
    <t>George Mason University</t>
  </si>
  <si>
    <t>George Washington University</t>
  </si>
  <si>
    <t>Georgetown University</t>
  </si>
  <si>
    <t>Georgia Institute of Technology</t>
  </si>
  <si>
    <t>Georgia State University</t>
  </si>
  <si>
    <t>Harvard University</t>
  </si>
  <si>
    <t>Hofstra University</t>
  </si>
  <si>
    <t>Howard University</t>
  </si>
  <si>
    <t>Indiana University</t>
  </si>
  <si>
    <t>Iowa State University</t>
  </si>
  <si>
    <t>Johns Hopkins University</t>
  </si>
  <si>
    <t>Kansas State University</t>
  </si>
  <si>
    <t>Kent State University</t>
  </si>
  <si>
    <t>Lehigh University</t>
  </si>
  <si>
    <t>Louisiana State University</t>
  </si>
  <si>
    <t>Louisiana Tech University</t>
  </si>
  <si>
    <t>Marquette University</t>
  </si>
  <si>
    <t>Massachusetts Institute of Technology</t>
  </si>
  <si>
    <t>Michigan State University</t>
  </si>
  <si>
    <t>Mississippi State University</t>
  </si>
  <si>
    <t>Missouri University of Science and Technology</t>
  </si>
  <si>
    <t>Montana State University</t>
  </si>
  <si>
    <t>New Jersey Institute of Technology</t>
  </si>
  <si>
    <t>New Mexico Institute of Mining and Technology</t>
  </si>
  <si>
    <t>New Mexico State University (Main campus)</t>
  </si>
  <si>
    <t>New York University</t>
  </si>
  <si>
    <t>North Carolina State University</t>
  </si>
  <si>
    <t>Northern Arizona University</t>
  </si>
  <si>
    <t>Northwestern University</t>
  </si>
  <si>
    <t>Nova Southeastern University</t>
  </si>
  <si>
    <t>Oakland University</t>
  </si>
  <si>
    <t>Ohio State University (Main campus)</t>
  </si>
  <si>
    <t>Ohio University (Main campus)</t>
  </si>
  <si>
    <t>Oklahoma State University</t>
  </si>
  <si>
    <t>Old Dominion University</t>
  </si>
  <si>
    <t>Oregon Health and Science University</t>
  </si>
  <si>
    <t>Oregon State University</t>
  </si>
  <si>
    <t>Penn State (Main campus)</t>
  </si>
  <si>
    <t>Portland State University</t>
  </si>
  <si>
    <t>Princeton University</t>
  </si>
  <si>
    <t>Purdue University West Lafayette</t>
  </si>
  <si>
    <t>Rensselaer Polytechnic Institute</t>
  </si>
  <si>
    <t>Rice University</t>
  </si>
  <si>
    <t>Rochester Institute of Technology</t>
  </si>
  <si>
    <t>Rush University</t>
  </si>
  <si>
    <t>Rutgers, the State University of New Jersey</t>
  </si>
  <si>
    <t>San Diego State University</t>
  </si>
  <si>
    <t>Stanford University</t>
  </si>
  <si>
    <t>State University of New York Albany</t>
  </si>
  <si>
    <t>Stevens Institute of Technology</t>
  </si>
  <si>
    <t>Stony Brook University</t>
  </si>
  <si>
    <t>Syracuse University</t>
  </si>
  <si>
    <t>Temple University</t>
  </si>
  <si>
    <t>Texas A&amp;M University</t>
  </si>
  <si>
    <t>Texas State University</t>
  </si>
  <si>
    <t>Texas Tech University</t>
  </si>
  <si>
    <t>The New School</t>
  </si>
  <si>
    <t>The University of Tennessee-Knoxville</t>
  </si>
  <si>
    <t>Tufts University</t>
  </si>
  <si>
    <t>Tulane University</t>
  </si>
  <si>
    <t>University at Buffalo</t>
  </si>
  <si>
    <t>University of Alabama</t>
  </si>
  <si>
    <t>University of Alabama at Birmingham</t>
  </si>
  <si>
    <t>University of Alabama in Huntsville</t>
  </si>
  <si>
    <t>University of Alaska Fairbanks</t>
  </si>
  <si>
    <t>University of Arizona</t>
  </si>
  <si>
    <t>University of Arkansas</t>
  </si>
  <si>
    <t>University of California, Berkeley</t>
  </si>
  <si>
    <t>University of California, Davis</t>
  </si>
  <si>
    <t>University of California, Irvine</t>
  </si>
  <si>
    <t>University of California, Los Angeles</t>
  </si>
  <si>
    <t>University of California, Merced</t>
  </si>
  <si>
    <t>University of California, Riverside</t>
  </si>
  <si>
    <t>University of California, San Diego</t>
  </si>
  <si>
    <t>University of California, Santa Barbara</t>
  </si>
  <si>
    <t>University of California, Santa Cruz</t>
  </si>
  <si>
    <t>University of Central Florida</t>
  </si>
  <si>
    <t>University of Chicago</t>
  </si>
  <si>
    <t>University of Cincinnati</t>
  </si>
  <si>
    <t>University of Colorado Boulder</t>
  </si>
  <si>
    <t>University of Connecticut</t>
  </si>
  <si>
    <t>University of Delaware</t>
  </si>
  <si>
    <t>University of Denver</t>
  </si>
  <si>
    <t>University of Florida</t>
  </si>
  <si>
    <t>University of Georgia</t>
  </si>
  <si>
    <t>University of Houston</t>
  </si>
  <si>
    <t>University of Idaho</t>
  </si>
  <si>
    <t>University of Illinois at Chicago</t>
  </si>
  <si>
    <t>University of Illinois at Urbana-Champaign</t>
  </si>
  <si>
    <t>University of Iowa</t>
  </si>
  <si>
    <t>University of Kansas</t>
  </si>
  <si>
    <t>University of Kentucky</t>
  </si>
  <si>
    <t>University of Maryland, Baltimore County</t>
  </si>
  <si>
    <t>University of Maryland, College Park</t>
  </si>
  <si>
    <t>University of Massachusetts</t>
  </si>
  <si>
    <t>University of Miami</t>
  </si>
  <si>
    <t>University of Michigan-Ann Arbor</t>
  </si>
  <si>
    <t>University of Minnesota</t>
  </si>
  <si>
    <t>University of Missouri-Columbia</t>
  </si>
  <si>
    <t>University of Missouri-St Louis</t>
  </si>
  <si>
    <t>University of Nebraska Medical Center</t>
  </si>
  <si>
    <t>University of Nebraska-Lincoln</t>
  </si>
  <si>
    <t>University of Nevada, Las Vegas</t>
  </si>
  <si>
    <t>University of New Mexico (Main campus)</t>
  </si>
  <si>
    <t>University of North Carolina at Chapel Hill</t>
  </si>
  <si>
    <t>University of North Carolina at Greensboro</t>
  </si>
  <si>
    <t>University of North Carolina Wilmington</t>
  </si>
  <si>
    <t>University of North Florida</t>
  </si>
  <si>
    <t>University of Notre Dame</t>
  </si>
  <si>
    <t>University of Oregon</t>
  </si>
  <si>
    <t>University of Pennsylvania</t>
  </si>
  <si>
    <t>University of Pittsburgh-Pittsburgh campus</t>
  </si>
  <si>
    <t>University of Rhode Island</t>
  </si>
  <si>
    <t>University of Rochester</t>
  </si>
  <si>
    <t>University of South Carolina-Columbia</t>
  </si>
  <si>
    <t>University of South Dakota</t>
  </si>
  <si>
    <t>University of South Florida (Tampa)</t>
  </si>
  <si>
    <t>University of Southern California</t>
  </si>
  <si>
    <t>University of Texas at Arlington</t>
  </si>
  <si>
    <t>University of Texas at Austin</t>
  </si>
  <si>
    <t>University of Texas at Dallas</t>
  </si>
  <si>
    <t>University of Texas at El Paso</t>
  </si>
  <si>
    <t>University of Texas at San Antonio</t>
  </si>
  <si>
    <t>University of Toledo</t>
  </si>
  <si>
    <t>University of Tulsa</t>
  </si>
  <si>
    <t>University of Utah</t>
  </si>
  <si>
    <t>University of Virginia (Main campus)</t>
  </si>
  <si>
    <t>University of Washington</t>
  </si>
  <si>
    <t>University of Wisconsin-Madison</t>
  </si>
  <si>
    <t>University of Wisconsin-Milwaukee</t>
  </si>
  <si>
    <t>Vanderbilt University</t>
  </si>
  <si>
    <t>Virginia Polytechnic Institute and State University</t>
  </si>
  <si>
    <t>Wake Forest University</t>
  </si>
  <si>
    <t>Washington State University</t>
  </si>
  <si>
    <t>Washington University in St Louis</t>
  </si>
  <si>
    <t>Wayne State University</t>
  </si>
  <si>
    <t>West Virginia University</t>
  </si>
  <si>
    <t>Western Washington University</t>
  </si>
  <si>
    <t>William &amp; Mary</t>
  </si>
  <si>
    <t>Worcester Polytechnic Institute</t>
  </si>
  <si>
    <t>Yale University</t>
  </si>
  <si>
    <t>University of the Andes, Venezuela</t>
  </si>
  <si>
    <t>Venezuela</t>
  </si>
  <si>
    <t>Hanoi University of Science and Technology</t>
  </si>
  <si>
    <t>Vietnam</t>
  </si>
  <si>
    <t>Vietnam National University (Ho Chi Minh City)</t>
  </si>
  <si>
    <t>Vietnam National University, Hanoi</t>
  </si>
  <si>
    <t>Randoms</t>
  </si>
  <si>
    <t>S000001</t>
  </si>
  <si>
    <t>Shangai Maritime University</t>
  </si>
  <si>
    <t>Siverian Federal University</t>
  </si>
  <si>
    <t>Stdev</t>
  </si>
  <si>
    <t>Mode</t>
  </si>
  <si>
    <t>Average</t>
  </si>
  <si>
    <t>Negative</t>
  </si>
  <si>
    <t>Positive</t>
  </si>
  <si>
    <t>$$DV_KEY!R17:R22</t>
  </si>
  <si>
    <t>$$DV_KEY!S17:S22</t>
  </si>
  <si>
    <t>IMPORTANT INSTRUCTIONS - Please Read!</t>
  </si>
  <si>
    <r>
      <t xml:space="preserve">1. </t>
    </r>
    <r>
      <rPr>
        <b/>
        <sz val="11"/>
        <color theme="1"/>
        <rFont val="Calibri"/>
        <family val="2"/>
        <scheme val="minor"/>
      </rPr>
      <t>There will be a new set of Instructions on the 'Instructions' Sheet of each homework. It is your responsibility to read the instructions for each homework.</t>
    </r>
    <r>
      <rPr>
        <sz val="11"/>
        <color theme="1"/>
        <rFont val="Calibri"/>
        <family val="2"/>
        <scheme val="minor"/>
      </rPr>
      <t xml:space="preserve"> We will not give credit for not following directions. Pay special attention to formatting instructions. </t>
    </r>
    <r>
      <rPr>
        <b/>
        <sz val="11"/>
        <color theme="1"/>
        <rFont val="Calibri"/>
        <family val="2"/>
        <scheme val="minor"/>
      </rPr>
      <t>No credit will be given for improperly formatted answers or rounded answers</t>
    </r>
    <r>
      <rPr>
        <sz val="11"/>
        <color theme="1"/>
        <rFont val="Calibri"/>
        <family val="2"/>
        <scheme val="minor"/>
      </rPr>
      <t xml:space="preserve">. </t>
    </r>
  </si>
  <si>
    <r>
      <t xml:space="preserve">2. </t>
    </r>
    <r>
      <rPr>
        <b/>
        <u/>
        <sz val="10"/>
        <color rgb="FFFF0000"/>
        <rFont val="Arial"/>
        <family val="2"/>
      </rPr>
      <t>DO NOT</t>
    </r>
    <r>
      <rPr>
        <b/>
        <sz val="10"/>
        <rFont val="Arial"/>
        <family val="2"/>
      </rPr>
      <t xml:space="preserve"> change the name of sheets and </t>
    </r>
    <r>
      <rPr>
        <b/>
        <u/>
        <sz val="10"/>
        <color rgb="FFFF0000"/>
        <rFont val="Arial"/>
        <family val="2"/>
      </rPr>
      <t>DO NOT</t>
    </r>
    <r>
      <rPr>
        <b/>
        <sz val="10"/>
        <rFont val="Arial"/>
        <family val="2"/>
      </rPr>
      <t xml:space="preserve"> delete the sheets!</t>
    </r>
  </si>
  <si>
    <r>
      <t xml:space="preserve">4.  </t>
    </r>
    <r>
      <rPr>
        <b/>
        <sz val="10"/>
        <rFont val="Arial"/>
        <family val="2"/>
      </rPr>
      <t>The BEST way to enter an answer</t>
    </r>
    <r>
      <rPr>
        <sz val="10"/>
        <rFont val="Arial"/>
        <family val="2"/>
      </rPr>
      <t xml:space="preserve"> into an answer cell in an Excel homework is to copy the cell containing the answer, </t>
    </r>
    <r>
      <rPr>
        <b/>
        <sz val="10"/>
        <rFont val="Arial"/>
        <family val="2"/>
      </rPr>
      <t>then select the answer cell on the Answers Worksheet, and choose 'Paste-Special' 'Values.'</t>
    </r>
    <r>
      <rPr>
        <sz val="10"/>
        <rFont val="Arial"/>
        <family val="2"/>
      </rPr>
      <t xml:space="preserve"> This will ensure that we receive your exact answer and not a rounded answer or a formula referring to the wrong cell.  </t>
    </r>
  </si>
  <si>
    <r>
      <t xml:space="preserve">6.Please </t>
    </r>
    <r>
      <rPr>
        <b/>
        <u/>
        <sz val="10"/>
        <rFont val="Arial"/>
        <family val="2"/>
      </rPr>
      <t>DO NOT forget to review the Excel Manual pdf</t>
    </r>
    <r>
      <rPr>
        <sz val="10"/>
        <rFont val="Arial"/>
        <family val="2"/>
      </rPr>
      <t xml:space="preserve"> file.</t>
    </r>
  </si>
  <si>
    <r>
      <t xml:space="preserve">3. This homework must be submitted online </t>
    </r>
    <r>
      <rPr>
        <b/>
        <i/>
        <u/>
        <sz val="10"/>
        <color rgb="FFFF0000"/>
        <rFont val="Arial"/>
        <family val="2"/>
      </rPr>
      <t>before 9:00 AM on Wednesday, December 9th, 2020</t>
    </r>
    <r>
      <rPr>
        <sz val="10"/>
        <rFont val="Arial"/>
        <family val="2"/>
      </rPr>
      <t>. Late submission will </t>
    </r>
    <r>
      <rPr>
        <b/>
        <sz val="10"/>
        <rFont val="Arial"/>
        <family val="2"/>
      </rPr>
      <t>not be accepted after the stated deadline for any reason</t>
    </r>
    <r>
      <rPr>
        <sz val="10"/>
        <rFont val="Arial"/>
        <family val="2"/>
      </rPr>
      <t>. </t>
    </r>
  </si>
  <si>
    <r>
      <t xml:space="preserve">5. </t>
    </r>
    <r>
      <rPr>
        <b/>
        <sz val="10"/>
        <rFont val="Arial"/>
        <family val="2"/>
      </rPr>
      <t>All questions that ask for percentages must be formatted so that Excel can tell it is a percentage.</t>
    </r>
    <r>
      <rPr>
        <sz val="10"/>
        <rFont val="Arial"/>
        <family val="2"/>
      </rPr>
      <t xml:space="preserve"> If the answer is '20 percent,' you may submit an answer that looks like '20%' or '0.2' but NOT '20' because Excel doesn't understand it as a %. </t>
    </r>
  </si>
  <si>
    <t>Modified</t>
  </si>
  <si>
    <t>Deniz wants to go abroad to study. He thinks that statistical analysis is important for choosing a university. Help Deniz with the following questions.</t>
  </si>
  <si>
    <t>Max</t>
  </si>
  <si>
    <t>Min</t>
  </si>
  <si>
    <t>$$DV_KEY!N17:N22</t>
  </si>
  <si>
    <t>$$DV_KEY!Q17:Q19</t>
  </si>
  <si>
    <t>Strong Positive</t>
  </si>
  <si>
    <t>Strong Negative</t>
  </si>
  <si>
    <t>Weak Positive</t>
  </si>
  <si>
    <t>Weak Negative</t>
  </si>
  <si>
    <t>Total Number of Students</t>
  </si>
  <si>
    <t>$$DV_KEY!O17:O21</t>
  </si>
  <si>
    <t>What is the most repeated number in the column? (Sort university names alphabetically)</t>
  </si>
  <si>
    <t>Report the number which splits the dataset into two parts.</t>
  </si>
  <si>
    <t>Report the standard deviation.</t>
  </si>
  <si>
    <t>What is the smallest total number of students among the universities in France?</t>
  </si>
  <si>
    <t>Report the average total number of students among all universities.</t>
  </si>
  <si>
    <t>Which of the following operations is the least affected by the existence of outliers?</t>
  </si>
  <si>
    <t>How many female dominant universities have a research score that is less than or equal to @1?</t>
  </si>
  <si>
    <t>Calculate the @2th percentile of international students in Canada.</t>
  </si>
  <si>
    <t xml:space="preserve">What is the average "Research Score" for universities that have more than @3 students in total? </t>
  </si>
  <si>
    <t>Deniz’s family will only accept him to go to universities in the @4. (Solve questions according to these filters.)</t>
  </si>
  <si>
    <t>If the number of international students higher than or equal to @5 Deniz can get apply to university. What percentage of the universities can he apply to?</t>
  </si>
  <si>
    <t>If the total number of students per staff is between 7 and @6 (both inclusive) Deniz will think about going to these universities. How many university options he has?</t>
  </si>
  <si>
    <t>What is the average number of citations in universities that have a " Total Number of Students" more than or equal to 9968 and have a staff number higher than 1190?</t>
  </si>
  <si>
    <r>
      <rPr>
        <b/>
        <sz val="13"/>
        <color theme="0"/>
        <rFont val="Calibri (Body)"/>
      </rPr>
      <t>Plot a scatter diagram with "</t>
    </r>
    <r>
      <rPr>
        <b/>
        <u/>
        <sz val="13"/>
        <color theme="0"/>
        <rFont val="Calibri (Body)"/>
      </rPr>
      <t>Teaching Score</t>
    </r>
    <r>
      <rPr>
        <b/>
        <sz val="13"/>
        <color theme="0"/>
        <rFont val="Calibri (Body)"/>
      </rPr>
      <t>" on the x-axis and "</t>
    </r>
    <r>
      <rPr>
        <b/>
        <u/>
        <sz val="13"/>
        <color theme="0"/>
        <rFont val="Calibri (Body)"/>
      </rPr>
      <t>Research Score</t>
    </r>
    <r>
      <rPr>
        <b/>
        <sz val="13"/>
        <color theme="0"/>
        <rFont val="Calibri (Body)"/>
      </rPr>
      <t>" on the y-axis. Then fit a linear trendline. (Clear previous filters)</t>
    </r>
  </si>
  <si>
    <t>According to the trendline, how much do the "Research Score" changes when the "Teaching Score" increases by 1?</t>
  </si>
  <si>
    <t>Based on the trendline, what is the "Teaching Score" if the "Research Score" is @7?</t>
  </si>
  <si>
    <t>What percent of the change in "Research Score" can be explained by the change in "Teaching Score"?</t>
  </si>
  <si>
    <t>How can we describe the relationship between "Teaching Score" and "Research Score"?</t>
  </si>
  <si>
    <t>Which university in the United States has the highest Teaching Score and has more than 4,000 international students?</t>
  </si>
  <si>
    <t>Find the best universities in given dominant research topics in regards to their citation score.</t>
  </si>
  <si>
    <t>What is the average number of citations of universities whose research topics are Linguistics or Psychology?</t>
  </si>
  <si>
    <t>Which university among the ones you found in Part 5b has the highest contribution to the academy? (Contribution to the academy is calculated as the average research score and teaching score of each university.)</t>
  </si>
  <si>
    <r>
      <t xml:space="preserve">Consider the </t>
    </r>
    <r>
      <rPr>
        <b/>
        <sz val="13"/>
        <color theme="0"/>
        <rFont val="Calibri (Body)"/>
      </rPr>
      <t>"</t>
    </r>
    <r>
      <rPr>
        <b/>
        <u/>
        <sz val="13"/>
        <color theme="0"/>
        <rFont val="Calibri (Body)"/>
      </rPr>
      <t>Number of Students</t>
    </r>
    <r>
      <rPr>
        <b/>
        <sz val="13"/>
        <color theme="0"/>
        <rFont val="Calibri (Body)"/>
      </rPr>
      <t>"</t>
    </r>
    <r>
      <rPr>
        <b/>
        <sz val="13"/>
        <color theme="0"/>
        <rFont val="Calibri"/>
        <family val="2"/>
        <scheme val="minor"/>
      </rPr>
      <t xml:space="preserve"> column to answer the questions below.</t>
    </r>
  </si>
  <si>
    <r>
      <t xml:space="preserve">For this part, </t>
    </r>
    <r>
      <rPr>
        <b/>
        <u/>
        <sz val="13"/>
        <color theme="0"/>
        <rFont val="Calibri (Body)"/>
      </rPr>
      <t>use all of the data</t>
    </r>
    <r>
      <rPr>
        <b/>
        <sz val="13"/>
        <color theme="0"/>
        <rFont val="Calibri"/>
        <family val="2"/>
        <scheme val="minor"/>
      </rPr>
      <t>. Each question must be solved independently.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</si>
</sst>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0.000"/>
    <numFmt numFmtId="166" formatCode="_(* #,##0.000_);_(* \(#,##0.000\);_(* &quot;-&quot;??_);_(@_)"/>
    <numFmt numFmtId="167" formatCode="_-* #,##0.00_-;\-* #,##0.00_-;_-* &quot;-&quot;??_-;_-@_-"/>
  </numFmts>
  <fonts count="55">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charset val="16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0"/>
      <name val="Arial"/>
      <family val="2"/>
      <charset val="162"/>
    </font>
    <font>
      <u/>
      <sz val="11"/>
      <color theme="10"/>
      <name val="Calibri"/>
      <family val="2"/>
      <scheme val="minor"/>
    </font>
    <font>
      <u/>
      <sz val="11"/>
      <color theme="11"/>
      <name val="Calibri"/>
      <family val="2"/>
      <scheme val="minor"/>
    </font>
    <font>
      <b/>
      <sz val="10"/>
      <name val="Arial"/>
      <family val="2"/>
      <charset val="162"/>
    </font>
    <font>
      <sz val="22"/>
      <color theme="1"/>
      <name val="Calibri"/>
      <family val="2"/>
      <scheme val="minor"/>
    </font>
    <font>
      <sz val="20"/>
      <color theme="1"/>
      <name val="Calibri"/>
      <family val="2"/>
      <scheme val="minor"/>
    </font>
    <font>
      <sz val="11"/>
      <color theme="0"/>
      <name val="Calibri"/>
      <family val="2"/>
      <scheme val="minor"/>
    </font>
    <font>
      <sz val="12"/>
      <color theme="1"/>
      <name val="Calibri"/>
      <family val="2"/>
      <scheme val="minor"/>
    </font>
    <font>
      <b/>
      <sz val="11"/>
      <color theme="1"/>
      <name val="Calibri"/>
      <family val="2"/>
      <scheme val="minor"/>
    </font>
    <font>
      <b/>
      <sz val="16"/>
      <color indexed="8"/>
      <name val="Calibri"/>
      <family val="2"/>
    </font>
    <font>
      <sz val="12"/>
      <color theme="0"/>
      <name val="Calibri"/>
      <family val="2"/>
      <charset val="162"/>
      <scheme val="minor"/>
    </font>
    <font>
      <sz val="13"/>
      <color theme="0"/>
      <name val="Calibri"/>
      <family val="2"/>
      <scheme val="minor"/>
    </font>
    <font>
      <sz val="11"/>
      <color rgb="FFFFC000"/>
      <name val="Calibri"/>
      <family val="2"/>
      <scheme val="minor"/>
    </font>
    <font>
      <b/>
      <sz val="11"/>
      <color indexed="55"/>
      <name val="Calibri"/>
      <family val="2"/>
    </font>
    <font>
      <b/>
      <sz val="11"/>
      <color theme="0"/>
      <name val="Calibri"/>
      <family val="2"/>
      <scheme val="minor"/>
    </font>
    <font>
      <b/>
      <sz val="18"/>
      <color theme="3"/>
      <name val="Calibri"/>
      <family val="2"/>
    </font>
    <font>
      <b/>
      <sz val="14"/>
      <color theme="3"/>
      <name val="Calibri"/>
      <family val="2"/>
    </font>
    <font>
      <sz val="14"/>
      <color theme="1"/>
      <name val="Calibri"/>
      <family val="2"/>
      <scheme val="minor"/>
    </font>
    <font>
      <sz val="14"/>
      <color theme="0"/>
      <name val="Calibri"/>
      <family val="2"/>
      <scheme val="minor"/>
    </font>
    <font>
      <sz val="14"/>
      <color theme="1"/>
      <name val="Calibri (Body)_x0000_"/>
      <charset val="162"/>
    </font>
    <font>
      <b/>
      <sz val="11"/>
      <color indexed="55"/>
      <name val="Calibri"/>
      <family val="2"/>
      <scheme val="minor"/>
    </font>
    <font>
      <b/>
      <sz val="13"/>
      <color theme="0"/>
      <name val="Calibri"/>
      <family val="2"/>
      <scheme val="minor"/>
    </font>
    <font>
      <sz val="11"/>
      <color rgb="FF000000"/>
      <name val="Calibri"/>
      <family val="2"/>
    </font>
    <font>
      <b/>
      <u/>
      <sz val="13"/>
      <color theme="0"/>
      <name val="Calibri (Body)"/>
    </font>
    <font>
      <sz val="11"/>
      <color theme="1"/>
      <name val="Calibri"/>
      <family val="2"/>
      <charset val="162"/>
      <scheme val="minor"/>
    </font>
    <font>
      <sz val="12"/>
      <color rgb="FF000000"/>
      <name val="Calibri"/>
      <family val="2"/>
      <scheme val="minor"/>
    </font>
    <font>
      <sz val="8"/>
      <name val="Calibri"/>
      <family val="2"/>
      <scheme val="minor"/>
    </font>
    <font>
      <b/>
      <sz val="11"/>
      <color theme="0"/>
      <name val="Arial"/>
      <family val="2"/>
    </font>
    <font>
      <sz val="12"/>
      <color rgb="FF000000"/>
      <name val="Calibri"/>
      <family val="2"/>
      <charset val="162"/>
      <scheme val="minor"/>
    </font>
    <font>
      <sz val="11"/>
      <color theme="0" tint="-0.14999847407452621"/>
      <name val="Calibri"/>
      <family val="2"/>
      <scheme val="minor"/>
    </font>
    <font>
      <sz val="10"/>
      <color theme="0" tint="-0.14999847407452621"/>
      <name val="Arial"/>
      <family val="2"/>
    </font>
    <font>
      <sz val="12"/>
      <color rgb="FF000000"/>
      <name val="Calibri"/>
      <family val="2"/>
    </font>
    <font>
      <b/>
      <u/>
      <sz val="10"/>
      <color rgb="FFFF0000"/>
      <name val="Arial"/>
      <family val="2"/>
    </font>
    <font>
      <b/>
      <u/>
      <sz val="10"/>
      <name val="Arial"/>
      <family val="2"/>
    </font>
    <font>
      <b/>
      <i/>
      <u/>
      <sz val="10"/>
      <color rgb="FFFF0000"/>
      <name val="Arial"/>
      <family val="2"/>
    </font>
    <font>
      <b/>
      <sz val="16"/>
      <color theme="0"/>
      <name val="Calibri"/>
      <family val="2"/>
      <scheme val="minor"/>
    </font>
    <font>
      <b/>
      <sz val="13"/>
      <color theme="0"/>
      <name val="Calibri (Body)"/>
    </font>
  </fonts>
  <fills count="15">
    <fill>
      <patternFill patternType="none"/>
    </fill>
    <fill>
      <patternFill patternType="gray125"/>
    </fill>
    <fill>
      <patternFill patternType="solid">
        <fgColor theme="0"/>
        <bgColor indexed="64"/>
      </patternFill>
    </fill>
    <fill>
      <patternFill patternType="solid">
        <fgColor theme="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4"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0.499984740745262"/>
        <bgColor indexed="64"/>
      </patternFill>
    </fill>
    <fill>
      <patternFill patternType="solid">
        <fgColor rgb="FFB8CCE4"/>
        <bgColor rgb="FF000000"/>
      </patternFill>
    </fill>
    <fill>
      <patternFill patternType="solid">
        <fgColor theme="4" tint="0.79998168889431442"/>
        <bgColor indexed="64"/>
      </patternFill>
    </fill>
    <fill>
      <patternFill patternType="solid">
        <fgColor theme="5"/>
        <bgColor theme="5"/>
      </patternFill>
    </fill>
    <fill>
      <patternFill patternType="solid">
        <fgColor theme="5" tint="0.79998168889431442"/>
        <bgColor theme="5" tint="0.79998168889431442"/>
      </patternFill>
    </fill>
  </fills>
  <borders count="35">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medium">
        <color auto="1"/>
      </bottom>
      <diagonal/>
    </border>
    <border>
      <left style="medium">
        <color auto="1"/>
      </left>
      <right/>
      <top style="thin">
        <color auto="1"/>
      </top>
      <bottom style="thin">
        <color auto="1"/>
      </bottom>
      <diagonal/>
    </border>
    <border>
      <left/>
      <right/>
      <top/>
      <bottom style="medium">
        <color auto="1"/>
      </bottom>
      <diagonal/>
    </border>
    <border>
      <left/>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auto="1"/>
      </top>
      <bottom style="medium">
        <color auto="1"/>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style="medium">
        <color indexed="64"/>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thin">
        <color auto="1"/>
      </top>
      <bottom/>
      <diagonal/>
    </border>
    <border>
      <left style="medium">
        <color indexed="64"/>
      </left>
      <right/>
      <top/>
      <bottom style="thin">
        <color auto="1"/>
      </bottom>
      <diagonal/>
    </border>
    <border>
      <left style="thin">
        <color indexed="64"/>
      </left>
      <right style="medium">
        <color indexed="64"/>
      </right>
      <top style="thin">
        <color indexed="64"/>
      </top>
      <bottom style="thin">
        <color auto="1"/>
      </bottom>
      <diagonal/>
    </border>
    <border>
      <left style="thin">
        <color indexed="64"/>
      </left>
      <right style="medium">
        <color indexed="64"/>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right style="thin">
        <color auto="1"/>
      </right>
      <top style="medium">
        <color indexed="64"/>
      </top>
      <bottom style="medium">
        <color indexed="64"/>
      </bottom>
      <diagonal/>
    </border>
    <border>
      <left style="medium">
        <color indexed="64"/>
      </left>
      <right style="medium">
        <color indexed="64"/>
      </right>
      <top style="medium">
        <color indexed="64"/>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medium">
        <color indexed="64"/>
      </right>
      <top style="thin">
        <color indexed="64"/>
      </top>
      <bottom style="medium">
        <color indexed="64"/>
      </bottom>
      <diagonal/>
    </border>
  </borders>
  <cellStyleXfs count="142">
    <xf numFmtId="0" fontId="0" fillId="0" borderId="0"/>
    <xf numFmtId="43" fontId="17" fillId="0" borderId="0" applyFont="0" applyFill="0" applyBorder="0" applyAlignment="0" applyProtection="0"/>
    <xf numFmtId="43" fontId="17" fillId="0" borderId="0" applyFont="0" applyFill="0" applyBorder="0" applyAlignment="0" applyProtection="0"/>
    <xf numFmtId="0" fontId="13"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43" fontId="17" fillId="0" borderId="0" applyFon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8"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42" fillId="0" borderId="0"/>
    <xf numFmtId="9" fontId="42" fillId="0" borderId="0" applyFont="0" applyFill="0" applyBorder="0" applyAlignment="0" applyProtection="0"/>
    <xf numFmtId="167" fontId="42" fillId="0" borderId="0" applyFont="0" applyFill="0" applyBorder="0" applyAlignment="0" applyProtection="0"/>
  </cellStyleXfs>
  <cellXfs count="171">
    <xf numFmtId="0" fontId="0" fillId="0" borderId="0" xfId="0"/>
    <xf numFmtId="0" fontId="13" fillId="0" borderId="0" xfId="3"/>
    <xf numFmtId="0" fontId="13" fillId="0" borderId="0" xfId="3" applyProtection="1">
      <protection locked="0"/>
    </xf>
    <xf numFmtId="0" fontId="13" fillId="0" borderId="0" xfId="3" applyProtection="1"/>
    <xf numFmtId="0" fontId="15" fillId="0" borderId="0" xfId="3" applyFont="1" applyAlignment="1" applyProtection="1">
      <alignment horizontal="left"/>
    </xf>
    <xf numFmtId="0" fontId="15" fillId="0" borderId="0" xfId="3" applyFont="1" applyProtection="1"/>
    <xf numFmtId="0" fontId="16" fillId="0" borderId="0" xfId="3" applyFont="1" applyProtection="1">
      <protection locked="0"/>
    </xf>
    <xf numFmtId="0" fontId="13" fillId="0" borderId="0" xfId="3" applyAlignment="1" applyProtection="1">
      <alignment horizontal="left"/>
      <protection locked="0"/>
    </xf>
    <xf numFmtId="1" fontId="13" fillId="0" borderId="0" xfId="3" applyNumberFormat="1" applyProtection="1">
      <protection locked="0"/>
    </xf>
    <xf numFmtId="0" fontId="15" fillId="0" borderId="0" xfId="3" applyFont="1" applyProtection="1">
      <protection locked="0"/>
    </xf>
    <xf numFmtId="49" fontId="13" fillId="0" borderId="0" xfId="3" applyNumberFormat="1" applyProtection="1">
      <protection locked="0"/>
    </xf>
    <xf numFmtId="0" fontId="14" fillId="0" borderId="0" xfId="3" applyFont="1" applyProtection="1">
      <protection locked="0"/>
    </xf>
    <xf numFmtId="164" fontId="0" fillId="0" borderId="0" xfId="0" applyNumberFormat="1"/>
    <xf numFmtId="166" fontId="13" fillId="0" borderId="0" xfId="1" applyNumberFormat="1" applyFont="1" applyProtection="1">
      <protection locked="0"/>
    </xf>
    <xf numFmtId="164" fontId="17" fillId="0" borderId="0" xfId="1" applyNumberFormat="1" applyFont="1" applyBorder="1"/>
    <xf numFmtId="0" fontId="0" fillId="0" borderId="0" xfId="0" applyFont="1" applyBorder="1"/>
    <xf numFmtId="165" fontId="0" fillId="0" borderId="0" xfId="0" applyNumberFormat="1" applyFont="1" applyBorder="1"/>
    <xf numFmtId="0" fontId="16" fillId="0" borderId="0" xfId="3" applyFont="1" applyProtection="1"/>
    <xf numFmtId="0" fontId="18" fillId="0" borderId="0" xfId="0" quotePrefix="1" applyNumberFormat="1" applyFont="1"/>
    <xf numFmtId="164" fontId="0" fillId="0" borderId="0" xfId="1" applyNumberFormat="1" applyFont="1"/>
    <xf numFmtId="43" fontId="0" fillId="0" borderId="0" xfId="1" applyFont="1"/>
    <xf numFmtId="164" fontId="0" fillId="0" borderId="0" xfId="1" applyNumberFormat="1" applyFont="1" applyBorder="1"/>
    <xf numFmtId="0" fontId="13" fillId="0" borderId="0" xfId="3" applyFill="1" applyProtection="1">
      <protection locked="0"/>
    </xf>
    <xf numFmtId="22" fontId="13" fillId="0" borderId="0" xfId="3"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0" fontId="0" fillId="0" borderId="0" xfId="0"/>
    <xf numFmtId="22" fontId="0" fillId="0" borderId="0" xfId="0" applyNumberFormat="1" applyProtection="1">
      <protection locked="0"/>
    </xf>
    <xf numFmtId="0" fontId="21" fillId="0" borderId="0" xfId="3" applyFont="1" applyProtection="1">
      <protection locked="0"/>
    </xf>
    <xf numFmtId="0" fontId="22" fillId="0" borderId="0" xfId="0" applyFont="1" applyAlignment="1">
      <alignment horizontal="center" vertical="center"/>
    </xf>
    <xf numFmtId="0" fontId="25" fillId="0" borderId="0" xfId="0" applyFont="1"/>
    <xf numFmtId="0" fontId="25" fillId="0" borderId="0" xfId="0" applyFont="1" applyProtection="1">
      <protection locked="0"/>
    </xf>
    <xf numFmtId="0" fontId="25" fillId="0" borderId="0" xfId="0" applyFont="1" applyAlignment="1">
      <alignment horizontal="left"/>
    </xf>
    <xf numFmtId="0" fontId="27" fillId="2" borderId="0" xfId="0" applyFont="1" applyFill="1" applyAlignment="1">
      <alignment horizontal="left" vertical="center" wrapText="1"/>
    </xf>
    <xf numFmtId="0" fontId="0" fillId="0" borderId="0" xfId="0" applyAlignment="1">
      <alignment horizontal="left"/>
    </xf>
    <xf numFmtId="0" fontId="31" fillId="2" borderId="0" xfId="0" applyFont="1" applyFill="1" applyAlignment="1">
      <alignment horizontal="center" vertical="center"/>
    </xf>
    <xf numFmtId="0" fontId="24" fillId="6" borderId="13" xfId="136" applyFont="1" applyFill="1" applyBorder="1" applyAlignment="1">
      <alignment horizontal="center" vertical="center"/>
    </xf>
    <xf numFmtId="0" fontId="33" fillId="2" borderId="0" xfId="0" applyFont="1" applyFill="1" applyAlignment="1">
      <alignment horizontal="left" vertical="center" wrapText="1"/>
    </xf>
    <xf numFmtId="0" fontId="29" fillId="6" borderId="16" xfId="136" applyFont="1" applyFill="1" applyBorder="1" applyAlignment="1">
      <alignment horizontal="left" vertical="center" wrapText="1"/>
    </xf>
    <xf numFmtId="0" fontId="21" fillId="0" borderId="4" xfId="3" applyFont="1" applyBorder="1" applyAlignment="1" applyProtection="1">
      <alignment horizontal="center" vertical="center"/>
      <protection locked="0"/>
    </xf>
    <xf numFmtId="0" fontId="37" fillId="0" borderId="0" xfId="0" applyFont="1" applyAlignment="1">
      <alignment vertical="center"/>
    </xf>
    <xf numFmtId="0" fontId="37" fillId="0" borderId="0" xfId="0" applyFont="1" applyAlignment="1">
      <alignment horizontal="center" vertical="center"/>
    </xf>
    <xf numFmtId="0" fontId="38" fillId="2" borderId="0" xfId="0" applyFont="1" applyFill="1" applyAlignment="1">
      <alignment horizontal="center" vertical="center"/>
    </xf>
    <xf numFmtId="0" fontId="24" fillId="6" borderId="17" xfId="136" applyFont="1" applyFill="1" applyBorder="1" applyAlignment="1">
      <alignment horizontal="center" vertical="center"/>
    </xf>
    <xf numFmtId="0" fontId="29" fillId="6" borderId="16" xfId="136" applyFont="1" applyFill="1" applyBorder="1" applyAlignment="1">
      <alignment horizontal="center" vertical="center"/>
    </xf>
    <xf numFmtId="43" fontId="35" fillId="0" borderId="0" xfId="1" applyFont="1" applyAlignment="1">
      <alignment vertical="center"/>
    </xf>
    <xf numFmtId="43" fontId="35" fillId="0" borderId="0" xfId="1" applyFont="1" applyBorder="1" applyAlignment="1">
      <alignment vertical="center"/>
    </xf>
    <xf numFmtId="43" fontId="35" fillId="0" borderId="0" xfId="1" applyFont="1" applyFill="1" applyBorder="1" applyAlignment="1">
      <alignment vertical="center"/>
    </xf>
    <xf numFmtId="43" fontId="35" fillId="0" borderId="0" xfId="1" applyFont="1" applyAlignment="1">
      <alignment horizontal="left" vertical="center"/>
    </xf>
    <xf numFmtId="43" fontId="37" fillId="0" borderId="0" xfId="1" applyFont="1" applyAlignment="1">
      <alignment vertical="center"/>
    </xf>
    <xf numFmtId="0" fontId="0" fillId="0" borderId="0" xfId="0" applyFill="1"/>
    <xf numFmtId="0" fontId="11" fillId="0" borderId="0" xfId="0" applyFont="1" applyAlignment="1">
      <alignment horizontal="left"/>
    </xf>
    <xf numFmtId="49" fontId="0" fillId="0" borderId="0" xfId="0" applyNumberFormat="1"/>
    <xf numFmtId="0" fontId="10" fillId="0" borderId="0" xfId="0" applyFont="1" applyProtection="1">
      <protection locked="0"/>
    </xf>
    <xf numFmtId="0" fontId="0" fillId="7" borderId="9" xfId="137" applyFont="1" applyFill="1" applyBorder="1" applyAlignment="1">
      <alignment horizontal="center" vertical="center"/>
    </xf>
    <xf numFmtId="0" fontId="0" fillId="7" borderId="10" xfId="137" applyFont="1" applyFill="1" applyBorder="1" applyAlignment="1">
      <alignment horizontal="center" vertical="center"/>
    </xf>
    <xf numFmtId="0" fontId="32" fillId="6" borderId="16" xfId="136" applyFont="1" applyFill="1" applyBorder="1" applyAlignment="1">
      <alignment horizontal="center" vertical="center" wrapText="1"/>
    </xf>
    <xf numFmtId="0" fontId="0" fillId="7" borderId="22" xfId="138" applyNumberFormat="1" applyFont="1" applyFill="1" applyBorder="1" applyAlignment="1">
      <alignment vertical="center"/>
    </xf>
    <xf numFmtId="0" fontId="12" fillId="7" borderId="21" xfId="138" applyNumberFormat="1" applyFill="1" applyBorder="1" applyAlignment="1">
      <alignment vertical="center"/>
    </xf>
    <xf numFmtId="0" fontId="30" fillId="6" borderId="16" xfId="136" applyFont="1" applyFill="1" applyBorder="1" applyAlignment="1">
      <alignment horizontal="center" vertical="center" wrapText="1"/>
    </xf>
    <xf numFmtId="0" fontId="29" fillId="6" borderId="16" xfId="136" applyFont="1" applyFill="1" applyBorder="1" applyAlignment="1">
      <alignment vertical="center" wrapText="1"/>
    </xf>
    <xf numFmtId="0" fontId="12" fillId="7" borderId="22" xfId="138" applyNumberFormat="1" applyFill="1" applyBorder="1" applyAlignment="1">
      <alignment vertical="center"/>
    </xf>
    <xf numFmtId="0" fontId="9" fillId="0" borderId="0" xfId="0" applyFont="1" applyAlignment="1">
      <alignment horizontal="left"/>
    </xf>
    <xf numFmtId="0" fontId="9" fillId="0" borderId="0" xfId="0" applyFont="1" applyProtection="1">
      <protection locked="0"/>
    </xf>
    <xf numFmtId="0" fontId="33" fillId="2" borderId="0" xfId="0" applyFont="1" applyFill="1" applyAlignment="1">
      <alignment horizontal="right" vertical="center"/>
    </xf>
    <xf numFmtId="0" fontId="0" fillId="2" borderId="0" xfId="0" applyFill="1" applyAlignment="1">
      <alignment vertical="center"/>
    </xf>
    <xf numFmtId="0" fontId="35"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0" fontId="37" fillId="0" borderId="0" xfId="0" applyFont="1" applyAlignment="1">
      <alignment horizontal="right" vertical="center"/>
    </xf>
    <xf numFmtId="0" fontId="37" fillId="0" borderId="0" xfId="0" applyFont="1" applyAlignment="1">
      <alignment vertical="center" wrapText="1"/>
    </xf>
    <xf numFmtId="0" fontId="36" fillId="0" borderId="0" xfId="0" applyFont="1" applyAlignment="1">
      <alignment vertical="center"/>
    </xf>
    <xf numFmtId="0" fontId="22" fillId="0" borderId="0" xfId="0" applyFont="1" applyAlignment="1">
      <alignment vertical="center" wrapText="1"/>
    </xf>
    <xf numFmtId="0" fontId="8" fillId="0" borderId="0" xfId="0" applyFont="1" applyAlignment="1">
      <alignment horizontal="left"/>
    </xf>
    <xf numFmtId="0" fontId="7" fillId="0" borderId="0" xfId="0" applyFont="1" applyAlignment="1" applyProtection="1">
      <alignment horizontal="left"/>
      <protection locked="0"/>
    </xf>
    <xf numFmtId="0" fontId="7" fillId="0" borderId="0" xfId="0" applyFont="1" applyAlignment="1" applyProtection="1">
      <alignment horizontal="left" vertical="center"/>
      <protection locked="0"/>
    </xf>
    <xf numFmtId="0" fontId="45" fillId="10" borderId="0" xfId="3" applyFont="1" applyFill="1" applyAlignment="1" applyProtection="1">
      <alignment horizontal="center" vertical="center"/>
      <protection locked="0"/>
    </xf>
    <xf numFmtId="0" fontId="46" fillId="11" borderId="21" xfId="0" applyFont="1" applyFill="1" applyBorder="1" applyAlignment="1">
      <alignment vertical="center"/>
    </xf>
    <xf numFmtId="0" fontId="6" fillId="0" borderId="0" xfId="0" applyFont="1" applyProtection="1">
      <protection locked="0"/>
    </xf>
    <xf numFmtId="0" fontId="0" fillId="0" borderId="0" xfId="0" applyAlignment="1">
      <alignment horizontal="right"/>
    </xf>
    <xf numFmtId="0" fontId="47" fillId="0" borderId="0" xfId="0" applyFont="1" applyProtection="1">
      <protection locked="0"/>
    </xf>
    <xf numFmtId="0" fontId="47" fillId="0" borderId="0" xfId="0" applyFont="1"/>
    <xf numFmtId="0" fontId="48" fillId="0" borderId="0" xfId="3" applyFont="1" applyProtection="1">
      <protection locked="0"/>
    </xf>
    <xf numFmtId="0" fontId="43" fillId="0" borderId="0" xfId="0" applyFont="1"/>
    <xf numFmtId="0" fontId="5" fillId="0" borderId="0" xfId="0" applyFont="1" applyAlignment="1">
      <alignment horizontal="left"/>
    </xf>
    <xf numFmtId="0" fontId="49" fillId="0" borderId="0" xfId="0" applyFont="1"/>
    <xf numFmtId="0" fontId="50" fillId="12" borderId="27" xfId="3" applyFont="1" applyFill="1" applyBorder="1"/>
    <xf numFmtId="0" fontId="0" fillId="12" borderId="9" xfId="0" applyFill="1" applyBorder="1" applyAlignment="1">
      <alignment wrapText="1"/>
    </xf>
    <xf numFmtId="0" fontId="13" fillId="12" borderId="9" xfId="3" applyFill="1" applyBorder="1" applyAlignment="1">
      <alignment wrapText="1"/>
    </xf>
    <xf numFmtId="0" fontId="13" fillId="12" borderId="10" xfId="3" applyFill="1" applyBorder="1"/>
    <xf numFmtId="0" fontId="53" fillId="13" borderId="31" xfId="0" applyFont="1" applyFill="1" applyBorder="1" applyAlignment="1">
      <alignment horizontal="center" vertical="center"/>
    </xf>
    <xf numFmtId="0" fontId="53" fillId="13" borderId="32" xfId="0" applyFont="1" applyFill="1" applyBorder="1" applyAlignment="1">
      <alignment horizontal="center" vertical="center"/>
    </xf>
    <xf numFmtId="0" fontId="53" fillId="13" borderId="33" xfId="0" applyFont="1" applyFill="1" applyBorder="1" applyAlignment="1">
      <alignment horizontal="center" vertical="center"/>
    </xf>
    <xf numFmtId="0" fontId="4" fillId="14" borderId="31" xfId="0" applyFont="1" applyFill="1" applyBorder="1"/>
    <xf numFmtId="0" fontId="4" fillId="14" borderId="32" xfId="0" applyFont="1" applyFill="1" applyBorder="1"/>
    <xf numFmtId="10" fontId="4" fillId="14" borderId="32" xfId="0" applyNumberFormat="1" applyFont="1" applyFill="1" applyBorder="1"/>
    <xf numFmtId="9" fontId="4" fillId="14" borderId="32" xfId="0" applyNumberFormat="1" applyFont="1" applyFill="1" applyBorder="1"/>
    <xf numFmtId="164" fontId="4" fillId="14" borderId="32" xfId="1" applyNumberFormat="1" applyFont="1" applyFill="1" applyBorder="1"/>
    <xf numFmtId="43" fontId="4" fillId="14" borderId="32" xfId="1" applyNumberFormat="1" applyFont="1" applyFill="1" applyBorder="1"/>
    <xf numFmtId="43" fontId="4" fillId="14" borderId="33" xfId="1" applyNumberFormat="1" applyFont="1" applyFill="1" applyBorder="1"/>
    <xf numFmtId="0" fontId="4" fillId="0" borderId="31" xfId="0" applyFont="1" applyBorder="1"/>
    <xf numFmtId="0" fontId="4" fillId="0" borderId="32" xfId="0" applyFont="1" applyBorder="1"/>
    <xf numFmtId="10" fontId="4" fillId="0" borderId="32" xfId="0" applyNumberFormat="1" applyFont="1" applyBorder="1"/>
    <xf numFmtId="9" fontId="4" fillId="0" borderId="32" xfId="0" applyNumberFormat="1" applyFont="1" applyBorder="1"/>
    <xf numFmtId="164" fontId="4" fillId="0" borderId="32" xfId="1" applyNumberFormat="1" applyFont="1" applyBorder="1"/>
    <xf numFmtId="43" fontId="4" fillId="0" borderId="32" xfId="1" applyNumberFormat="1" applyFont="1" applyBorder="1"/>
    <xf numFmtId="43" fontId="4" fillId="0" borderId="33" xfId="1" applyNumberFormat="1" applyFont="1" applyBorder="1"/>
    <xf numFmtId="0" fontId="4" fillId="14" borderId="28" xfId="0" applyFont="1" applyFill="1" applyBorder="1"/>
    <xf numFmtId="0" fontId="4" fillId="14" borderId="29" xfId="0" applyFont="1" applyFill="1" applyBorder="1"/>
    <xf numFmtId="10" fontId="4" fillId="14" borderId="29" xfId="0" applyNumberFormat="1" applyFont="1" applyFill="1" applyBorder="1"/>
    <xf numFmtId="9" fontId="4" fillId="14" borderId="29" xfId="0" applyNumberFormat="1" applyFont="1" applyFill="1" applyBorder="1"/>
    <xf numFmtId="164" fontId="4" fillId="14" borderId="29" xfId="1" applyNumberFormat="1" applyFont="1" applyFill="1" applyBorder="1"/>
    <xf numFmtId="43" fontId="4" fillId="14" borderId="29" xfId="1" applyNumberFormat="1" applyFont="1" applyFill="1" applyBorder="1"/>
    <xf numFmtId="43" fontId="4" fillId="14" borderId="30" xfId="1" applyNumberFormat="1" applyFont="1" applyFill="1" applyBorder="1"/>
    <xf numFmtId="43" fontId="43" fillId="14" borderId="32" xfId="1" applyNumberFormat="1" applyFont="1" applyFill="1" applyBorder="1"/>
    <xf numFmtId="43" fontId="43" fillId="14" borderId="33" xfId="1" applyNumberFormat="1" applyFont="1" applyFill="1" applyBorder="1"/>
    <xf numFmtId="43" fontId="43" fillId="0" borderId="32" xfId="1" applyNumberFormat="1" applyFont="1" applyBorder="1"/>
    <xf numFmtId="43" fontId="43" fillId="0" borderId="33" xfId="1" applyNumberFormat="1" applyFont="1" applyBorder="1"/>
    <xf numFmtId="43" fontId="43" fillId="14" borderId="29" xfId="1" applyNumberFormat="1" applyFont="1" applyFill="1" applyBorder="1"/>
    <xf numFmtId="43" fontId="43" fillId="14" borderId="30" xfId="1" applyNumberFormat="1" applyFont="1" applyFill="1" applyBorder="1"/>
    <xf numFmtId="0" fontId="46" fillId="11" borderId="34" xfId="0" applyFont="1" applyFill="1" applyBorder="1" applyAlignment="1">
      <alignment vertical="center"/>
    </xf>
    <xf numFmtId="0" fontId="3" fillId="0" borderId="0" xfId="0" applyFont="1" applyAlignment="1">
      <alignment horizontal="left"/>
    </xf>
    <xf numFmtId="0" fontId="2" fillId="0" borderId="0" xfId="0" applyFont="1" applyAlignment="1">
      <alignment horizontal="left"/>
    </xf>
    <xf numFmtId="2" fontId="31" fillId="2" borderId="0" xfId="0" applyNumberFormat="1" applyFont="1" applyFill="1" applyAlignment="1">
      <alignment horizontal="center" vertical="center"/>
    </xf>
    <xf numFmtId="22" fontId="0" fillId="0" borderId="0" xfId="0" applyNumberFormat="1"/>
    <xf numFmtId="164" fontId="43" fillId="14" borderId="32" xfId="1" applyNumberFormat="1" applyFont="1" applyFill="1" applyBorder="1"/>
    <xf numFmtId="164" fontId="43" fillId="0" borderId="32" xfId="1" applyNumberFormat="1" applyFont="1" applyBorder="1"/>
    <xf numFmtId="164" fontId="43" fillId="14" borderId="29" xfId="1" applyNumberFormat="1" applyFont="1" applyFill="1" applyBorder="1"/>
    <xf numFmtId="0" fontId="0" fillId="2" borderId="6" xfId="0" applyFill="1" applyBorder="1" applyAlignment="1">
      <alignment horizontal="left" vertical="center" wrapText="1"/>
    </xf>
    <xf numFmtId="0" fontId="0" fillId="2" borderId="1" xfId="0" applyFill="1" applyBorder="1" applyAlignment="1">
      <alignment horizontal="left" vertical="center" wrapText="1"/>
    </xf>
    <xf numFmtId="0" fontId="0" fillId="2" borderId="2" xfId="0" applyFill="1" applyBorder="1" applyAlignment="1">
      <alignment horizontal="left" vertical="center" wrapText="1"/>
    </xf>
    <xf numFmtId="0" fontId="33" fillId="2" borderId="0" xfId="0" applyFont="1" applyFill="1" applyAlignment="1">
      <alignment horizontal="right" vertical="center"/>
    </xf>
    <xf numFmtId="0" fontId="34" fillId="2" borderId="7" xfId="0" applyFont="1" applyFill="1" applyBorder="1" applyAlignment="1">
      <alignment horizontal="left" vertical="center" wrapText="1"/>
    </xf>
    <xf numFmtId="0" fontId="39" fillId="6" borderId="15" xfId="136" applyFont="1" applyFill="1" applyBorder="1" applyAlignment="1">
      <alignment horizontal="left" vertical="center"/>
    </xf>
    <xf numFmtId="0" fontId="39" fillId="6" borderId="12" xfId="136" applyFont="1" applyFill="1" applyBorder="1" applyAlignment="1">
      <alignment horizontal="left" vertical="center"/>
    </xf>
    <xf numFmtId="0" fontId="0" fillId="2" borderId="23" xfId="0" applyFill="1" applyBorder="1" applyAlignment="1">
      <alignment horizontal="left" vertical="center" wrapText="1"/>
    </xf>
    <xf numFmtId="0" fontId="0" fillId="2" borderId="24" xfId="0" applyFill="1" applyBorder="1" applyAlignment="1">
      <alignment horizontal="left" vertical="center" wrapText="1"/>
    </xf>
    <xf numFmtId="0" fontId="0" fillId="2" borderId="25" xfId="0" applyFill="1" applyBorder="1" applyAlignment="1">
      <alignment horizontal="left" vertical="center" wrapText="1"/>
    </xf>
    <xf numFmtId="0" fontId="39" fillId="6" borderId="15" xfId="136" applyFont="1" applyFill="1" applyBorder="1" applyAlignment="1">
      <alignment horizontal="left" vertical="center" wrapText="1"/>
    </xf>
    <xf numFmtId="0" fontId="29" fillId="6" borderId="12" xfId="136" applyFont="1" applyFill="1" applyBorder="1" applyAlignment="1">
      <alignment horizontal="left" vertical="center" wrapText="1"/>
    </xf>
    <xf numFmtId="0" fontId="0" fillId="2" borderId="14" xfId="0" applyFill="1" applyBorder="1" applyAlignment="1">
      <alignment horizontal="left" vertical="center" wrapText="1"/>
    </xf>
    <xf numFmtId="0" fontId="0" fillId="2" borderId="11" xfId="0" applyFill="1" applyBorder="1" applyAlignment="1">
      <alignment horizontal="left" vertical="center" wrapText="1"/>
    </xf>
    <xf numFmtId="0" fontId="0" fillId="2" borderId="5" xfId="0" applyFill="1" applyBorder="1" applyAlignment="1">
      <alignment horizontal="left" vertical="center" wrapText="1"/>
    </xf>
    <xf numFmtId="0" fontId="29" fillId="6" borderId="26" xfId="136" applyFont="1" applyFill="1" applyBorder="1" applyAlignment="1">
      <alignment horizontal="left" vertical="center" wrapText="1"/>
    </xf>
    <xf numFmtId="0" fontId="0" fillId="2" borderId="18" xfId="0" applyFill="1" applyBorder="1" applyAlignment="1">
      <alignment horizontal="left" vertical="center" wrapText="1"/>
    </xf>
    <xf numFmtId="0" fontId="0" fillId="2" borderId="0" xfId="0" applyFill="1" applyAlignment="1">
      <alignment horizontal="left" vertical="center" wrapText="1"/>
    </xf>
    <xf numFmtId="0" fontId="0" fillId="2" borderId="19" xfId="0" applyFill="1" applyBorder="1" applyAlignment="1">
      <alignment horizontal="left" vertical="center" wrapText="1"/>
    </xf>
    <xf numFmtId="0" fontId="0" fillId="2" borderId="8" xfId="0" applyFill="1" applyBorder="1" applyAlignment="1">
      <alignment horizontal="left" vertical="center" wrapText="1"/>
    </xf>
    <xf numFmtId="0" fontId="0" fillId="2" borderId="20" xfId="0" applyFill="1" applyBorder="1" applyAlignment="1">
      <alignment horizontal="left" vertical="center" wrapText="1"/>
    </xf>
    <xf numFmtId="0" fontId="0" fillId="2" borderId="4" xfId="0" applyFill="1" applyBorder="1" applyAlignment="1">
      <alignment horizontal="left" vertical="center" wrapText="1"/>
    </xf>
    <xf numFmtId="0" fontId="0" fillId="0" borderId="14" xfId="0" applyBorder="1" applyAlignment="1">
      <alignment horizontal="left" vertical="center" wrapText="1"/>
    </xf>
    <xf numFmtId="0" fontId="0" fillId="0" borderId="11" xfId="0" applyBorder="1" applyAlignment="1">
      <alignment horizontal="left" vertical="center" wrapText="1"/>
    </xf>
    <xf numFmtId="0" fontId="1" fillId="0" borderId="6" xfId="0" applyFont="1" applyBorder="1" applyAlignment="1">
      <alignment horizontal="right" vertical="center"/>
    </xf>
    <xf numFmtId="0" fontId="6" fillId="0" borderId="1" xfId="0" applyFont="1" applyBorder="1" applyAlignment="1">
      <alignment horizontal="right" vertical="center"/>
    </xf>
    <xf numFmtId="0" fontId="6" fillId="0" borderId="2" xfId="0" applyFont="1" applyBorder="1" applyAlignment="1">
      <alignment horizontal="right" vertical="center"/>
    </xf>
    <xf numFmtId="0" fontId="54" fillId="6" borderId="15" xfId="136" applyFont="1" applyFill="1" applyBorder="1" applyAlignment="1">
      <alignment horizontal="left" vertical="center" wrapText="1"/>
    </xf>
    <xf numFmtId="0" fontId="0" fillId="0" borderId="20" xfId="0" applyBorder="1" applyAlignment="1">
      <alignment horizontal="left" vertical="center"/>
    </xf>
    <xf numFmtId="0" fontId="0" fillId="0" borderId="4" xfId="0" applyBorder="1" applyAlignment="1">
      <alignment horizontal="left" vertical="center"/>
    </xf>
    <xf numFmtId="0" fontId="0" fillId="0" borderId="6" xfId="0" applyBorder="1" applyAlignment="1">
      <alignment horizontal="left" vertical="center"/>
    </xf>
    <xf numFmtId="0" fontId="0" fillId="0" borderId="1" xfId="0" applyBorder="1" applyAlignment="1">
      <alignment horizontal="left" vertical="center"/>
    </xf>
    <xf numFmtId="0" fontId="0" fillId="2" borderId="6" xfId="0" applyFill="1" applyBorder="1" applyAlignment="1">
      <alignment horizontal="left" vertical="center"/>
    </xf>
    <xf numFmtId="0" fontId="0" fillId="2" borderId="1" xfId="0" applyFill="1" applyBorder="1" applyAlignment="1">
      <alignment horizontal="left" vertical="center"/>
    </xf>
    <xf numFmtId="0" fontId="0" fillId="0" borderId="6" xfId="0" applyFont="1" applyBorder="1" applyAlignment="1">
      <alignment horizontal="left" vertical="center" wrapText="1"/>
    </xf>
    <xf numFmtId="0" fontId="0" fillId="0" borderId="1" xfId="0" applyFont="1" applyBorder="1" applyAlignment="1">
      <alignment horizontal="left" vertical="center" wrapText="1"/>
    </xf>
    <xf numFmtId="0" fontId="0" fillId="0" borderId="3" xfId="0" applyFont="1" applyBorder="1" applyAlignment="1">
      <alignment horizontal="left" vertical="center" wrapText="1"/>
    </xf>
    <xf numFmtId="0" fontId="1" fillId="0" borderId="14" xfId="0" applyFont="1" applyBorder="1" applyAlignment="1">
      <alignment horizontal="right" vertical="center"/>
    </xf>
    <xf numFmtId="0" fontId="6" fillId="0" borderId="11" xfId="0" applyFont="1" applyBorder="1" applyAlignment="1">
      <alignment horizontal="right" vertical="center"/>
    </xf>
    <xf numFmtId="0" fontId="6" fillId="0" borderId="5" xfId="0" applyFont="1" applyBorder="1" applyAlignment="1">
      <alignment horizontal="right" vertical="center"/>
    </xf>
    <xf numFmtId="0" fontId="26" fillId="8" borderId="0" xfId="0" applyFont="1" applyFill="1" applyAlignment="1">
      <alignment horizontal="center"/>
    </xf>
    <xf numFmtId="0" fontId="15" fillId="9" borderId="0" xfId="3" applyFont="1" applyFill="1" applyAlignment="1" applyProtection="1">
      <alignment horizontal="center"/>
      <protection locked="0"/>
    </xf>
    <xf numFmtId="0" fontId="25" fillId="8" borderId="0" xfId="0" applyFont="1" applyFill="1" applyAlignment="1" applyProtection="1">
      <alignment horizontal="center"/>
      <protection locked="0"/>
    </xf>
  </cellXfs>
  <cellStyles count="142">
    <cellStyle name="40% - Accent2" xfId="137" builtinId="35"/>
    <cellStyle name="40% - Accent3" xfId="138" builtinId="39"/>
    <cellStyle name="Accent2" xfId="136" builtinId="33"/>
    <cellStyle name="Comma" xfId="1" builtinId="3"/>
    <cellStyle name="Comma 2" xfId="2" xr:uid="{00000000-0005-0000-0000-000004000000}"/>
    <cellStyle name="Comma 3" xfId="45" xr:uid="{00000000-0005-0000-0000-000005000000}"/>
    <cellStyle name="Comma 4" xfId="141" xr:uid="{7F0EB391-06F3-D649-9C29-73A1ABD69599}"/>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4"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8" builtinId="8" hidden="1"/>
    <cellStyle name="Hyperlink" xfId="130" builtinId="8" hidden="1"/>
    <cellStyle name="Hyperlink" xfId="132" builtinId="8" hidden="1"/>
    <cellStyle name="Hyperlink" xfId="134" builtinId="8" hidden="1"/>
    <cellStyle name="Normal" xfId="0" builtinId="0"/>
    <cellStyle name="Normal 2" xfId="3" xr:uid="{00000000-0005-0000-0000-00008A000000}"/>
    <cellStyle name="Normal 3" xfId="139" xr:uid="{6EED67A7-A12B-1D4E-AAE9-704DB9BF26AD}"/>
    <cellStyle name="Percent 2" xfId="140" xr:uid="{2D2E8186-4EAD-4546-9B08-B970F0452E90}"/>
  </cellStyles>
  <dxfs count="0"/>
  <tableStyles count="0" defaultTableStyle="TableStyleMedium9" defaultPivotStyle="PivotStyleLight16"/>
  <colors>
    <mruColors>
      <color rgb="FFEA7DDE"/>
      <color rgb="FFFF7E79"/>
      <color rgb="FFFF2968"/>
      <color rgb="FFFF8AD8"/>
      <color rgb="FFCCFFCC"/>
      <color rgb="FF00CC99"/>
      <color rgb="FFFF6600"/>
      <color rgb="FFC98A37"/>
      <color rgb="FFD2A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4318000</xdr:colOff>
          <xdr:row>0</xdr:row>
          <xdr:rowOff>190500</xdr:rowOff>
        </xdr:from>
        <xdr:to>
          <xdr:col>2</xdr:col>
          <xdr:colOff>6223000</xdr:colOff>
          <xdr:row>3</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Start Assignment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29998"/>
  <sheetViews>
    <sheetView tabSelected="1" zoomScale="125" zoomScaleNormal="150" workbookViewId="0"/>
  </sheetViews>
  <sheetFormatPr baseColWidth="10" defaultColWidth="8.83203125" defaultRowHeight="15"/>
  <cols>
    <col min="1" max="2" width="8.83203125" style="1"/>
    <col min="3" max="3" width="110.1640625" style="1" customWidth="1"/>
    <col min="4" max="4" width="14.33203125" style="1" customWidth="1"/>
    <col min="5" max="13" width="8.83203125" style="1"/>
    <col min="16" max="16" width="108" customWidth="1"/>
    <col min="42" max="65" width="8.83203125" style="1"/>
    <col min="66" max="68" width="0" style="1" hidden="1" customWidth="1"/>
    <col min="69" max="237" width="8.83203125" style="1"/>
    <col min="238" max="238" width="8.83203125" style="2"/>
    <col min="239" max="239" width="16.6640625" style="2" bestFit="1" customWidth="1"/>
    <col min="240" max="240" width="8.83203125" style="2"/>
    <col min="241" max="241" width="10.33203125" style="2" bestFit="1" customWidth="1"/>
    <col min="242" max="247" width="8.83203125" style="2"/>
    <col min="248" max="248" width="11.6640625" style="2" customWidth="1"/>
    <col min="249" max="16384" width="8.83203125" style="2"/>
  </cols>
  <sheetData>
    <row r="1" spans="2:13">
      <c r="C1" s="3"/>
      <c r="D1" s="3"/>
      <c r="E1" s="3"/>
      <c r="F1" s="3"/>
      <c r="G1" s="3"/>
      <c r="H1" s="3"/>
      <c r="I1" s="3"/>
      <c r="J1" s="3"/>
      <c r="K1" s="3"/>
      <c r="L1" s="3"/>
      <c r="M1" s="3"/>
    </row>
    <row r="2" spans="2:13">
      <c r="C2" s="5" t="s">
        <v>42</v>
      </c>
      <c r="D2" s="3"/>
      <c r="E2" s="3"/>
      <c r="F2" s="3"/>
      <c r="G2" s="3"/>
      <c r="H2" s="3"/>
      <c r="I2" s="3"/>
      <c r="J2" s="3"/>
      <c r="K2" s="3"/>
      <c r="L2" s="3"/>
      <c r="M2" s="3"/>
    </row>
    <row r="3" spans="2:13">
      <c r="C3" s="3"/>
      <c r="D3" s="3"/>
      <c r="E3" s="3"/>
      <c r="F3" s="3"/>
      <c r="G3" s="3"/>
      <c r="H3" s="3"/>
      <c r="I3" s="3"/>
      <c r="J3" s="3"/>
      <c r="K3" s="3"/>
      <c r="L3" s="3"/>
      <c r="M3" s="3"/>
    </row>
    <row r="4" spans="2:13">
      <c r="C4" s="4"/>
      <c r="D4" s="4"/>
      <c r="E4" s="3"/>
      <c r="F4" s="3"/>
      <c r="G4" s="3"/>
      <c r="H4" s="3"/>
      <c r="I4" s="3"/>
      <c r="J4" s="3"/>
      <c r="K4" s="3"/>
      <c r="L4" s="3"/>
      <c r="M4" s="3"/>
    </row>
    <row r="5" spans="2:13">
      <c r="C5" s="3"/>
      <c r="D5" s="3"/>
      <c r="E5" s="3"/>
      <c r="F5" s="3"/>
      <c r="G5" s="3"/>
      <c r="H5" s="3"/>
      <c r="I5" s="3"/>
      <c r="J5" s="3"/>
      <c r="K5" s="3"/>
      <c r="L5" s="3"/>
      <c r="M5" s="3"/>
    </row>
    <row r="6" spans="2:13">
      <c r="C6" s="3"/>
      <c r="D6" s="3"/>
      <c r="E6" s="3"/>
      <c r="F6" s="3"/>
      <c r="G6" s="3"/>
      <c r="H6" s="3"/>
      <c r="I6" s="3"/>
      <c r="J6" s="3"/>
      <c r="K6" s="3"/>
      <c r="L6" s="3"/>
      <c r="M6" s="3"/>
    </row>
    <row r="7" spans="2:13" ht="16" thickBot="1"/>
    <row r="8" spans="2:13">
      <c r="B8"/>
      <c r="C8" s="86" t="s">
        <v>1475</v>
      </c>
      <c r="D8"/>
      <c r="E8"/>
      <c r="F8"/>
      <c r="G8"/>
      <c r="H8"/>
      <c r="I8"/>
      <c r="J8"/>
      <c r="K8"/>
      <c r="L8"/>
      <c r="M8"/>
    </row>
    <row r="9" spans="2:13" ht="48">
      <c r="B9"/>
      <c r="C9" s="87" t="s">
        <v>1476</v>
      </c>
      <c r="D9"/>
      <c r="E9"/>
      <c r="F9"/>
      <c r="G9"/>
      <c r="H9"/>
      <c r="I9"/>
      <c r="J9"/>
      <c r="K9"/>
      <c r="L9"/>
      <c r="M9"/>
    </row>
    <row r="10" spans="2:13">
      <c r="B10"/>
      <c r="C10" s="88" t="s">
        <v>1477</v>
      </c>
      <c r="D10"/>
      <c r="E10"/>
      <c r="F10"/>
      <c r="G10"/>
      <c r="H10"/>
      <c r="I10"/>
      <c r="J10"/>
      <c r="K10"/>
      <c r="L10"/>
      <c r="M10"/>
    </row>
    <row r="11" spans="2:13" ht="29">
      <c r="B11"/>
      <c r="C11" s="88" t="s">
        <v>1480</v>
      </c>
      <c r="D11"/>
      <c r="E11"/>
      <c r="F11"/>
      <c r="G11"/>
      <c r="H11"/>
      <c r="I11"/>
      <c r="J11"/>
      <c r="K11"/>
      <c r="L11"/>
      <c r="M11"/>
    </row>
    <row r="12" spans="2:13" ht="43">
      <c r="B12"/>
      <c r="C12" s="88" t="s">
        <v>1478</v>
      </c>
      <c r="D12"/>
      <c r="E12"/>
      <c r="F12"/>
      <c r="G12"/>
      <c r="H12"/>
      <c r="I12"/>
      <c r="J12"/>
      <c r="K12"/>
      <c r="L12"/>
      <c r="M12"/>
    </row>
    <row r="13" spans="2:13" ht="29">
      <c r="B13"/>
      <c r="C13" s="88" t="s">
        <v>1481</v>
      </c>
      <c r="D13"/>
      <c r="E13"/>
      <c r="F13"/>
      <c r="G13"/>
      <c r="H13"/>
      <c r="I13"/>
      <c r="J13"/>
      <c r="K13"/>
      <c r="L13"/>
      <c r="M13"/>
    </row>
    <row r="14" spans="2:13" ht="16" thickBot="1">
      <c r="B14"/>
      <c r="C14" s="89" t="s">
        <v>1479</v>
      </c>
      <c r="D14"/>
      <c r="E14"/>
      <c r="F14"/>
      <c r="G14"/>
      <c r="H14"/>
      <c r="I14"/>
      <c r="J14"/>
      <c r="K14"/>
      <c r="L14"/>
      <c r="M14"/>
    </row>
    <row r="15" spans="2:13" ht="15" customHeight="1">
      <c r="B15"/>
      <c r="C15"/>
      <c r="D15"/>
      <c r="E15"/>
      <c r="F15"/>
      <c r="G15"/>
      <c r="H15"/>
      <c r="I15"/>
      <c r="J15"/>
      <c r="K15"/>
      <c r="L15"/>
      <c r="M15"/>
    </row>
    <row r="16" spans="2:13" ht="15" customHeight="1">
      <c r="B16"/>
      <c r="C16"/>
      <c r="D16"/>
      <c r="E16"/>
      <c r="F16"/>
      <c r="G16"/>
      <c r="H16"/>
      <c r="I16"/>
      <c r="J16"/>
      <c r="K16"/>
      <c r="L16"/>
      <c r="M16"/>
    </row>
    <row r="17" spans="1:247" ht="15" customHeight="1">
      <c r="B17"/>
      <c r="C17"/>
      <c r="D17"/>
      <c r="E17"/>
      <c r="F17"/>
      <c r="G17"/>
      <c r="H17"/>
      <c r="I17"/>
      <c r="J17"/>
      <c r="K17"/>
      <c r="L17"/>
      <c r="M17"/>
    </row>
    <row r="18" spans="1:247" ht="15" customHeight="1">
      <c r="B18"/>
      <c r="C18"/>
      <c r="D18"/>
      <c r="E18"/>
      <c r="F18"/>
      <c r="G18"/>
      <c r="H18"/>
      <c r="I18"/>
      <c r="J18"/>
      <c r="K18"/>
      <c r="L18"/>
      <c r="M18"/>
    </row>
    <row r="19" spans="1:247" ht="15" customHeight="1">
      <c r="B19"/>
      <c r="C19"/>
      <c r="D19"/>
      <c r="E19"/>
      <c r="F19"/>
      <c r="G19"/>
      <c r="H19"/>
      <c r="I19"/>
      <c r="J19"/>
      <c r="K19"/>
      <c r="L19"/>
      <c r="M19"/>
    </row>
    <row r="20" spans="1:247" ht="15" customHeight="1">
      <c r="B20"/>
      <c r="C20"/>
      <c r="D20"/>
      <c r="E20"/>
      <c r="F20"/>
      <c r="G20"/>
      <c r="H20"/>
      <c r="I20"/>
      <c r="J20"/>
      <c r="K20"/>
      <c r="L20"/>
      <c r="M20"/>
    </row>
    <row r="21" spans="1:247" ht="15" customHeight="1">
      <c r="B21"/>
      <c r="C21"/>
      <c r="D21"/>
      <c r="E21"/>
      <c r="F21"/>
      <c r="G21"/>
      <c r="H21"/>
      <c r="I21"/>
      <c r="J21"/>
      <c r="K21"/>
      <c r="L21"/>
      <c r="M21"/>
    </row>
    <row r="22" spans="1:247" ht="15" customHeight="1">
      <c r="B22"/>
      <c r="C22"/>
      <c r="D22"/>
      <c r="E22"/>
      <c r="F22"/>
      <c r="G22"/>
      <c r="H22"/>
      <c r="I22"/>
      <c r="J22"/>
      <c r="K22"/>
      <c r="L22"/>
      <c r="M22"/>
    </row>
    <row r="23" spans="1:247" ht="15" customHeight="1">
      <c r="B23"/>
      <c r="C23"/>
      <c r="D23"/>
      <c r="E23"/>
      <c r="F23"/>
      <c r="G23"/>
      <c r="H23"/>
      <c r="I23"/>
      <c r="J23"/>
      <c r="K23"/>
      <c r="L23"/>
      <c r="M23"/>
    </row>
    <row r="24" spans="1:247" ht="15" customHeight="1">
      <c r="B24"/>
      <c r="C24"/>
      <c r="D24"/>
      <c r="E24"/>
      <c r="F24"/>
      <c r="G24"/>
      <c r="H24"/>
      <c r="I24"/>
      <c r="J24"/>
      <c r="K24"/>
      <c r="L24"/>
      <c r="M24"/>
    </row>
    <row r="25" spans="1:247" ht="15" customHeight="1">
      <c r="B25"/>
      <c r="C25"/>
      <c r="D25"/>
      <c r="E25"/>
      <c r="F25"/>
      <c r="G25"/>
      <c r="H25"/>
      <c r="I25"/>
      <c r="J25"/>
      <c r="K25"/>
      <c r="L25"/>
      <c r="M25"/>
    </row>
    <row r="26" spans="1:247" ht="15" customHeight="1">
      <c r="B26"/>
      <c r="C26"/>
      <c r="D26"/>
      <c r="E26"/>
      <c r="F26"/>
      <c r="G26"/>
      <c r="H26"/>
      <c r="I26"/>
      <c r="J26"/>
      <c r="K26"/>
      <c r="L26"/>
      <c r="M26"/>
    </row>
    <row r="27" spans="1:247" ht="15" customHeight="1">
      <c r="B27"/>
      <c r="C27"/>
      <c r="D27"/>
      <c r="E27"/>
      <c r="F27"/>
      <c r="G27"/>
      <c r="H27"/>
      <c r="I27"/>
      <c r="J27"/>
      <c r="K27"/>
      <c r="L27"/>
      <c r="M27"/>
    </row>
    <row r="28" spans="1:247" ht="15" customHeight="1">
      <c r="A28" s="2"/>
      <c r="B28"/>
      <c r="C28"/>
      <c r="D28"/>
      <c r="E28"/>
      <c r="F28"/>
      <c r="G28"/>
      <c r="H28"/>
      <c r="I28"/>
      <c r="J28"/>
      <c r="K28"/>
      <c r="L28"/>
      <c r="M28"/>
    </row>
    <row r="29" spans="1:247" ht="15" customHeight="1">
      <c r="B29"/>
      <c r="C29"/>
      <c r="D29"/>
      <c r="E29"/>
      <c r="F29"/>
      <c r="G29"/>
      <c r="H29"/>
      <c r="I29"/>
      <c r="J29"/>
      <c r="K29"/>
      <c r="L29"/>
      <c r="M29"/>
    </row>
    <row r="30" spans="1:247" ht="15" customHeight="1">
      <c r="A30" s="2"/>
      <c r="B30"/>
      <c r="C30"/>
      <c r="D30"/>
      <c r="E30"/>
      <c r="F30"/>
      <c r="G30"/>
      <c r="H30"/>
      <c r="I30"/>
      <c r="J30"/>
      <c r="K30"/>
      <c r="L30"/>
      <c r="M30"/>
      <c r="HZ30" s="2"/>
      <c r="IM30" s="11"/>
    </row>
    <row r="33" spans="1:237">
      <c r="A33" s="2"/>
      <c r="B33" s="2"/>
      <c r="C33" s="2"/>
      <c r="D33" s="2"/>
      <c r="E33" s="2"/>
      <c r="F33" s="2"/>
      <c r="G33" s="2"/>
      <c r="H33" s="2"/>
      <c r="I33" s="2"/>
      <c r="J33" s="2"/>
      <c r="K33" s="2"/>
      <c r="L33" s="2"/>
      <c r="M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row>
    <row r="34" spans="1:237">
      <c r="A34" s="2"/>
      <c r="B34" s="2"/>
      <c r="C34" s="2"/>
      <c r="D34" s="2"/>
      <c r="E34" s="2"/>
      <c r="F34" s="2"/>
      <c r="G34" s="2"/>
      <c r="H34" s="2"/>
      <c r="I34" s="2"/>
      <c r="J34" s="2"/>
      <c r="K34" s="2"/>
      <c r="L34" s="2"/>
      <c r="M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row>
    <row r="35" spans="1:237">
      <c r="A35" s="2"/>
      <c r="B35" s="2"/>
      <c r="C35" s="2"/>
      <c r="D35" s="2"/>
      <c r="E35" s="2"/>
      <c r="F35" s="2"/>
      <c r="G35" s="2"/>
      <c r="H35" s="2"/>
      <c r="I35" s="2"/>
      <c r="J35" s="2"/>
      <c r="K35" s="2"/>
      <c r="L35" s="2"/>
      <c r="M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c r="A36" s="2"/>
      <c r="B36" s="2"/>
      <c r="C36" s="2"/>
      <c r="D36" s="2"/>
      <c r="E36" s="2"/>
      <c r="F36" s="2"/>
      <c r="G36" s="2"/>
      <c r="H36" s="2"/>
      <c r="I36" s="2"/>
      <c r="J36" s="2"/>
      <c r="K36" s="2"/>
      <c r="L36" s="2"/>
      <c r="M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c r="A37" s="2"/>
      <c r="B37" s="2"/>
      <c r="C37" s="2"/>
      <c r="D37" s="2"/>
      <c r="E37" s="2"/>
      <c r="F37" s="2"/>
      <c r="G37" s="2"/>
      <c r="H37" s="2"/>
      <c r="I37" s="2"/>
      <c r="J37" s="2"/>
      <c r="K37" s="2"/>
      <c r="L37" s="2"/>
      <c r="M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c r="A38" s="2"/>
      <c r="B38" s="2"/>
      <c r="C38" s="2"/>
      <c r="D38" s="2"/>
      <c r="E38" s="2"/>
      <c r="F38" s="2"/>
      <c r="G38" s="2"/>
      <c r="H38" s="2"/>
      <c r="I38" s="2"/>
      <c r="J38" s="2"/>
      <c r="K38" s="2"/>
      <c r="L38" s="2"/>
      <c r="M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c r="A39" s="2"/>
      <c r="B39" s="2"/>
      <c r="C39" s="2"/>
      <c r="D39" s="2"/>
      <c r="E39" s="2"/>
      <c r="F39" s="2"/>
      <c r="G39" s="2"/>
      <c r="H39" s="2"/>
      <c r="I39" s="2"/>
      <c r="J39" s="2"/>
      <c r="K39" s="2"/>
      <c r="L39" s="2"/>
      <c r="M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c r="A40" s="2"/>
      <c r="B40" s="2"/>
      <c r="C40" s="2"/>
      <c r="D40" s="2"/>
      <c r="E40" s="2"/>
      <c r="F40" s="2"/>
      <c r="G40" s="2"/>
      <c r="H40" s="2"/>
      <c r="I40" s="2"/>
      <c r="J40" s="2"/>
      <c r="K40" s="2"/>
      <c r="L40" s="2"/>
      <c r="M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c r="A41" s="2"/>
      <c r="B41" s="2"/>
      <c r="C41" s="2"/>
      <c r="D41" s="2"/>
      <c r="E41" s="2"/>
      <c r="F41" s="2"/>
      <c r="G41" s="2"/>
      <c r="H41" s="2"/>
      <c r="I41" s="2"/>
      <c r="J41" s="2"/>
      <c r="K41" s="2"/>
      <c r="L41" s="2"/>
      <c r="M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c r="A42" s="2"/>
      <c r="B42" s="2"/>
      <c r="C42" s="2"/>
      <c r="D42" s="2"/>
      <c r="E42" s="2"/>
      <c r="F42" s="2"/>
      <c r="G42" s="2"/>
      <c r="H42" s="2"/>
      <c r="I42" s="2"/>
      <c r="J42" s="2"/>
      <c r="K42" s="2"/>
      <c r="L42" s="2"/>
      <c r="M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c r="A43" s="2"/>
      <c r="B43" s="2"/>
      <c r="C43" s="2"/>
      <c r="D43" s="2"/>
      <c r="E43" s="2"/>
      <c r="F43" s="2"/>
      <c r="G43" s="2"/>
      <c r="H43" s="2"/>
      <c r="I43" s="2"/>
      <c r="J43" s="2"/>
      <c r="K43" s="2"/>
      <c r="L43" s="2"/>
      <c r="M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c r="A44" s="2"/>
      <c r="B44" s="2"/>
      <c r="C44" s="2"/>
      <c r="D44" s="2"/>
      <c r="E44" s="2"/>
      <c r="F44" s="2"/>
      <c r="G44" s="2"/>
      <c r="H44" s="2"/>
      <c r="I44" s="2"/>
      <c r="J44" s="2"/>
      <c r="K44" s="2"/>
      <c r="L44" s="2"/>
      <c r="M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c r="A45" s="2"/>
      <c r="B45" s="2"/>
      <c r="C45" s="2"/>
      <c r="D45" s="2"/>
      <c r="E45" s="2"/>
      <c r="F45" s="2"/>
      <c r="G45" s="2"/>
      <c r="H45" s="2"/>
      <c r="I45" s="2"/>
      <c r="J45" s="2"/>
      <c r="K45" s="2"/>
      <c r="L45" s="2"/>
      <c r="M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c r="A46" s="2"/>
      <c r="B46" s="2"/>
      <c r="C46" s="2"/>
      <c r="D46" s="2"/>
      <c r="E46" s="2"/>
      <c r="F46" s="2"/>
      <c r="G46" s="2"/>
      <c r="H46" s="2"/>
      <c r="I46" s="2"/>
      <c r="J46" s="2"/>
      <c r="K46" s="2"/>
      <c r="L46" s="2"/>
      <c r="M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c r="A47" s="2"/>
      <c r="B47" s="2"/>
      <c r="C47" s="2"/>
      <c r="D47" s="2"/>
      <c r="E47" s="2"/>
      <c r="F47" s="2"/>
      <c r="G47" s="2"/>
      <c r="H47" s="2"/>
      <c r="I47" s="2"/>
      <c r="J47" s="2"/>
      <c r="K47" s="2"/>
      <c r="L47" s="2"/>
      <c r="M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c r="A48" s="2"/>
      <c r="B48" s="2"/>
      <c r="C48" s="2"/>
      <c r="D48" s="2"/>
      <c r="E48" s="2"/>
      <c r="F48" s="2"/>
      <c r="G48" s="2"/>
      <c r="H48" s="2"/>
      <c r="I48" s="2"/>
      <c r="J48" s="2"/>
      <c r="K48" s="2"/>
      <c r="L48" s="2"/>
      <c r="M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1:243">
      <c r="A49" s="2"/>
      <c r="B49" s="2"/>
      <c r="C49" s="2"/>
      <c r="D49" s="2"/>
      <c r="E49" s="2"/>
      <c r="F49" s="2"/>
      <c r="G49" s="2"/>
      <c r="H49" s="2"/>
      <c r="I49" s="2"/>
      <c r="J49" s="2"/>
      <c r="K49" s="2"/>
      <c r="L49" s="2"/>
      <c r="M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row>
    <row r="50" spans="1:243">
      <c r="A50" s="2"/>
      <c r="B50" s="2"/>
      <c r="C50" s="2"/>
      <c r="D50" s="2"/>
      <c r="E50" s="2"/>
      <c r="F50" s="2"/>
      <c r="G50" s="2"/>
      <c r="H50" s="2"/>
      <c r="I50" s="2"/>
      <c r="J50" s="2"/>
      <c r="K50" s="2"/>
      <c r="L50" s="2"/>
      <c r="M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row>
    <row r="51" spans="1:243">
      <c r="A51" s="2"/>
      <c r="B51" s="2"/>
      <c r="C51" s="2"/>
      <c r="D51" s="2"/>
      <c r="E51" s="2"/>
      <c r="F51" s="2"/>
      <c r="G51" s="2"/>
      <c r="H51" s="2"/>
      <c r="I51" s="2"/>
      <c r="J51" s="2"/>
      <c r="K51" s="2"/>
      <c r="L51" s="2"/>
      <c r="M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I51" s="18"/>
    </row>
    <row r="52" spans="1:243">
      <c r="A52" s="2"/>
      <c r="B52" s="2"/>
      <c r="C52" s="2"/>
      <c r="D52" s="2"/>
      <c r="E52" s="2"/>
      <c r="F52" s="2"/>
      <c r="G52" s="2"/>
      <c r="H52" s="2"/>
      <c r="I52" s="2"/>
      <c r="J52" s="2"/>
      <c r="K52" s="2"/>
      <c r="L52" s="2"/>
      <c r="M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c r="GX52" s="2"/>
      <c r="GY52" s="2"/>
      <c r="GZ52" s="2"/>
      <c r="HA52" s="2"/>
      <c r="HB52" s="2"/>
      <c r="HC52" s="2"/>
      <c r="HD52" s="2"/>
      <c r="HE52" s="2"/>
      <c r="HF52" s="2"/>
      <c r="HG52" s="2"/>
      <c r="HH52" s="2"/>
      <c r="HI52" s="2"/>
      <c r="HJ52" s="2"/>
      <c r="HK52" s="2"/>
      <c r="HL52" s="2"/>
      <c r="HM52" s="2"/>
      <c r="HN52" s="2"/>
      <c r="HO52" s="2"/>
      <c r="HP52" s="2"/>
      <c r="HQ52" s="2"/>
      <c r="HR52" s="2"/>
      <c r="HS52" s="2"/>
      <c r="HT52" s="2"/>
      <c r="HU52" s="2"/>
      <c r="HV52" s="2"/>
      <c r="HW52" s="2"/>
      <c r="HX52" s="2"/>
      <c r="HY52" s="2"/>
      <c r="HZ52" s="2"/>
      <c r="IA52" s="2"/>
      <c r="IB52" s="2"/>
      <c r="IC52" s="2"/>
    </row>
    <row r="53" spans="1:243">
      <c r="A53" s="2"/>
      <c r="B53" s="2"/>
      <c r="C53" s="2"/>
      <c r="D53" s="2"/>
      <c r="E53" s="2"/>
      <c r="F53" s="2"/>
      <c r="G53" s="2"/>
      <c r="H53" s="2"/>
      <c r="I53" s="2"/>
      <c r="J53" s="2"/>
      <c r="K53" s="2"/>
      <c r="L53" s="2"/>
      <c r="M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c r="GX53" s="2"/>
      <c r="GY53" s="2"/>
      <c r="GZ53" s="2"/>
      <c r="HA53" s="2"/>
      <c r="HB53" s="2"/>
      <c r="HC53" s="2"/>
      <c r="HD53" s="2"/>
      <c r="HE53" s="2"/>
      <c r="HF53" s="2"/>
      <c r="HG53" s="2"/>
      <c r="HH53" s="2"/>
      <c r="HI53" s="2"/>
      <c r="HJ53" s="2"/>
      <c r="HK53" s="2"/>
      <c r="HL53" s="2"/>
      <c r="HM53" s="2"/>
      <c r="HN53" s="2"/>
      <c r="HO53" s="2"/>
      <c r="HP53" s="2"/>
      <c r="HQ53" s="2"/>
      <c r="HR53" s="2"/>
      <c r="HS53" s="2"/>
      <c r="HT53" s="2"/>
      <c r="HU53" s="2"/>
      <c r="HV53" s="2"/>
      <c r="HW53" s="2"/>
      <c r="HX53" s="2"/>
      <c r="HY53" s="2"/>
      <c r="HZ53" s="2"/>
      <c r="IA53" s="2"/>
      <c r="IB53" s="2"/>
      <c r="IC53" s="2"/>
      <c r="IE53" s="13"/>
    </row>
    <row r="54" spans="1:243">
      <c r="A54" s="2"/>
      <c r="B54" s="2"/>
      <c r="C54" s="2"/>
      <c r="D54" s="2"/>
      <c r="E54" s="2"/>
      <c r="F54" s="2"/>
      <c r="G54" s="2"/>
      <c r="H54" s="2"/>
      <c r="I54" s="2"/>
      <c r="J54" s="2"/>
      <c r="K54" s="2"/>
      <c r="L54" s="2"/>
      <c r="M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c r="GX54" s="2"/>
      <c r="GY54" s="2"/>
      <c r="GZ54" s="2"/>
      <c r="HA54" s="2"/>
      <c r="HB54" s="2"/>
      <c r="HC54" s="2"/>
      <c r="HD54" s="2"/>
      <c r="HE54" s="2"/>
      <c r="HF54" s="2"/>
      <c r="HG54" s="2"/>
      <c r="HH54" s="2"/>
      <c r="HI54" s="2"/>
      <c r="HJ54" s="2"/>
      <c r="HK54" s="2"/>
      <c r="HL54" s="2"/>
      <c r="HM54" s="2"/>
      <c r="HN54" s="2"/>
      <c r="HO54" s="2"/>
      <c r="HP54" s="2"/>
      <c r="HQ54" s="2"/>
      <c r="HR54" s="2"/>
      <c r="HS54" s="2"/>
      <c r="HT54" s="2"/>
      <c r="HU54" s="2"/>
      <c r="HV54" s="2"/>
      <c r="HW54" s="2"/>
      <c r="HX54" s="2"/>
      <c r="HY54" s="2"/>
      <c r="HZ54" s="2"/>
      <c r="IA54" s="2"/>
      <c r="IB54" s="2"/>
      <c r="IC54" s="2"/>
      <c r="IE54" s="13"/>
    </row>
    <row r="55" spans="1:243">
      <c r="A55" s="2"/>
      <c r="B55" s="2"/>
      <c r="C55" s="2"/>
      <c r="D55" s="2"/>
      <c r="E55" s="2"/>
      <c r="F55" s="2"/>
      <c r="G55" s="2"/>
      <c r="H55" s="2"/>
      <c r="I55" s="2"/>
      <c r="J55" s="2"/>
      <c r="K55" s="2"/>
      <c r="L55" s="2"/>
      <c r="M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c r="GX55" s="2"/>
      <c r="GY55" s="2"/>
      <c r="GZ55" s="2"/>
      <c r="HA55" s="2"/>
      <c r="HB55" s="2"/>
      <c r="HC55" s="2"/>
      <c r="HD55" s="2"/>
      <c r="HE55" s="2"/>
      <c r="HF55" s="2"/>
      <c r="HG55" s="2"/>
      <c r="HH55" s="2"/>
      <c r="HI55" s="2"/>
      <c r="HJ55" s="2"/>
      <c r="HK55" s="2"/>
      <c r="HL55" s="2"/>
      <c r="HM55" s="2"/>
      <c r="HN55" s="2"/>
      <c r="HO55" s="2"/>
      <c r="HP55" s="2"/>
      <c r="HQ55" s="2"/>
      <c r="HR55" s="2"/>
      <c r="HS55" s="2"/>
      <c r="HT55" s="2"/>
      <c r="HU55" s="2"/>
      <c r="HV55" s="2"/>
      <c r="HW55" s="2"/>
      <c r="HX55" s="2"/>
      <c r="HY55" s="2"/>
      <c r="HZ55" s="2"/>
      <c r="IA55" s="2"/>
      <c r="IB55" s="2"/>
      <c r="IC55" s="2"/>
      <c r="II55" s="18"/>
    </row>
    <row r="56" spans="1:243">
      <c r="A56" s="2"/>
      <c r="B56" s="2"/>
      <c r="C56" s="2"/>
      <c r="D56" s="2"/>
      <c r="E56" s="2"/>
      <c r="F56" s="2"/>
      <c r="G56" s="2"/>
      <c r="H56" s="2"/>
      <c r="I56" s="2"/>
      <c r="J56" s="2"/>
      <c r="K56" s="2"/>
      <c r="L56" s="2"/>
      <c r="M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c r="GX56" s="2"/>
      <c r="GY56" s="2"/>
      <c r="GZ56" s="2"/>
      <c r="HA56" s="2"/>
      <c r="HB56" s="2"/>
      <c r="HC56" s="2"/>
      <c r="HD56" s="2"/>
      <c r="HE56" s="2"/>
      <c r="HF56" s="2"/>
      <c r="HG56" s="2"/>
      <c r="HH56" s="2"/>
      <c r="HI56" s="2"/>
      <c r="HJ56" s="2"/>
      <c r="HK56" s="2"/>
      <c r="HL56" s="2"/>
      <c r="HM56" s="2"/>
      <c r="HN56" s="2"/>
      <c r="HO56" s="2"/>
      <c r="HP56" s="2"/>
      <c r="HQ56" s="2"/>
      <c r="HR56" s="2"/>
      <c r="HS56" s="2"/>
      <c r="HT56" s="2"/>
      <c r="HU56" s="2"/>
      <c r="HV56" s="2"/>
      <c r="HW56" s="2"/>
      <c r="HX56" s="2"/>
      <c r="HY56" s="2"/>
      <c r="HZ56" s="2"/>
      <c r="IA56" s="2"/>
      <c r="IB56" s="2"/>
      <c r="IC56" s="2"/>
      <c r="IE56" s="13"/>
      <c r="II56" s="18"/>
    </row>
    <row r="57" spans="1:243">
      <c r="A57" s="2"/>
      <c r="B57" s="2"/>
      <c r="C57" s="2"/>
      <c r="D57" s="2"/>
      <c r="E57" s="2"/>
      <c r="F57" s="2"/>
      <c r="G57" s="2"/>
      <c r="H57" s="2"/>
      <c r="I57" s="2"/>
      <c r="J57" s="2"/>
      <c r="K57" s="2"/>
      <c r="L57" s="2"/>
      <c r="M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c r="GX57" s="2"/>
      <c r="GY57" s="2"/>
      <c r="GZ57" s="2"/>
      <c r="HA57" s="2"/>
      <c r="HB57" s="2"/>
      <c r="HC57" s="2"/>
      <c r="HD57" s="2"/>
      <c r="HE57" s="2"/>
      <c r="HF57" s="2"/>
      <c r="HG57" s="2"/>
      <c r="HH57" s="2"/>
      <c r="HI57" s="2"/>
      <c r="HJ57" s="2"/>
      <c r="HK57" s="2"/>
      <c r="HL57" s="2"/>
      <c r="HM57" s="2"/>
      <c r="HN57" s="2"/>
      <c r="HO57" s="2"/>
      <c r="HP57" s="2"/>
      <c r="HQ57" s="2"/>
      <c r="HR57" s="2"/>
      <c r="HS57" s="2"/>
      <c r="HT57" s="2"/>
      <c r="HU57" s="2"/>
      <c r="HV57" s="2"/>
      <c r="HW57" s="2"/>
      <c r="HX57" s="2"/>
      <c r="HY57" s="2"/>
      <c r="HZ57" s="2"/>
      <c r="IA57" s="2"/>
      <c r="IB57" s="2"/>
      <c r="IC57" s="2"/>
    </row>
    <row r="58" spans="1:243">
      <c r="A58" s="2"/>
      <c r="B58" s="2"/>
      <c r="C58" s="2"/>
      <c r="D58" s="2"/>
      <c r="E58" s="2"/>
      <c r="F58" s="2"/>
      <c r="G58" s="2"/>
      <c r="H58" s="2"/>
      <c r="I58" s="2"/>
      <c r="J58" s="2"/>
      <c r="K58" s="2"/>
      <c r="L58" s="2"/>
      <c r="M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c r="GX58" s="2"/>
      <c r="GY58" s="2"/>
      <c r="GZ58" s="2"/>
      <c r="HA58" s="2"/>
      <c r="HB58" s="2"/>
      <c r="HC58" s="2"/>
      <c r="HD58" s="2"/>
      <c r="HE58" s="2"/>
      <c r="HF58" s="2"/>
      <c r="HG58" s="2"/>
      <c r="HH58" s="2"/>
      <c r="HI58" s="2"/>
      <c r="HJ58" s="2"/>
      <c r="HK58" s="2"/>
      <c r="HL58" s="2"/>
      <c r="HM58" s="2"/>
      <c r="HN58" s="2"/>
      <c r="HO58" s="2"/>
      <c r="HP58" s="2"/>
      <c r="HQ58" s="2"/>
      <c r="HR58" s="2"/>
      <c r="HS58" s="2"/>
      <c r="HT58" s="2"/>
      <c r="HU58" s="2"/>
      <c r="HV58" s="2"/>
      <c r="HW58" s="2"/>
      <c r="HX58" s="2"/>
      <c r="HY58" s="2"/>
      <c r="HZ58" s="2"/>
      <c r="IA58" s="2"/>
      <c r="IB58" s="2"/>
      <c r="IC58" s="2"/>
    </row>
    <row r="59" spans="1:243">
      <c r="A59" s="2"/>
      <c r="B59" s="2"/>
      <c r="C59" s="2"/>
      <c r="D59" s="2"/>
      <c r="E59" s="2"/>
      <c r="F59" s="2"/>
      <c r="G59" s="2"/>
      <c r="H59" s="2"/>
      <c r="I59" s="2"/>
      <c r="J59" s="2"/>
      <c r="K59" s="2"/>
      <c r="L59" s="2"/>
      <c r="M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c r="GX59" s="2"/>
      <c r="GY59" s="2"/>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I59" s="18"/>
    </row>
    <row r="60" spans="1:243">
      <c r="A60" s="2"/>
      <c r="B60" s="2"/>
      <c r="C60" s="2"/>
      <c r="D60" s="2"/>
      <c r="E60" s="2"/>
      <c r="F60" s="2"/>
      <c r="G60" s="2"/>
      <c r="H60" s="2"/>
      <c r="I60" s="2"/>
      <c r="J60" s="2"/>
      <c r="K60" s="2"/>
      <c r="L60" s="2"/>
      <c r="M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c r="GX60" s="2"/>
      <c r="GY60" s="2"/>
      <c r="GZ60" s="2"/>
      <c r="HA60" s="2"/>
      <c r="HB60" s="2"/>
      <c r="HC60" s="2"/>
      <c r="HD60" s="2"/>
      <c r="HE60" s="2"/>
      <c r="HF60" s="2"/>
      <c r="HG60" s="2"/>
      <c r="HH60" s="2"/>
      <c r="HI60" s="2"/>
      <c r="HJ60" s="2"/>
      <c r="HK60" s="2"/>
      <c r="HL60" s="2"/>
      <c r="HM60" s="2"/>
      <c r="HN60" s="2"/>
      <c r="HO60" s="2"/>
      <c r="HP60" s="2"/>
      <c r="HQ60" s="2"/>
      <c r="HR60" s="2"/>
      <c r="HS60" s="2"/>
      <c r="HT60" s="2"/>
      <c r="HU60" s="2"/>
      <c r="HV60" s="2"/>
      <c r="HW60" s="2"/>
      <c r="HX60" s="2"/>
      <c r="HY60" s="2"/>
      <c r="HZ60" s="2"/>
      <c r="IA60" s="2"/>
      <c r="IB60" s="2"/>
      <c r="IC60" s="2"/>
    </row>
    <row r="61" spans="1:243">
      <c r="A61" s="2"/>
      <c r="B61" s="2"/>
      <c r="C61" s="2"/>
      <c r="D61" s="2"/>
      <c r="E61" s="2"/>
      <c r="F61" s="2"/>
      <c r="G61" s="2"/>
      <c r="H61" s="2"/>
      <c r="I61" s="2"/>
      <c r="J61" s="2"/>
      <c r="K61" s="2"/>
      <c r="L61" s="2"/>
      <c r="M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B61" s="2"/>
      <c r="IC61" s="2"/>
    </row>
    <row r="62" spans="1:243">
      <c r="A62" s="2"/>
      <c r="B62" s="2"/>
      <c r="C62" s="2"/>
      <c r="D62" s="2"/>
      <c r="E62" s="2"/>
      <c r="F62" s="2"/>
      <c r="G62" s="2"/>
      <c r="H62" s="2"/>
      <c r="I62" s="2"/>
      <c r="J62" s="2"/>
      <c r="K62" s="2"/>
      <c r="L62" s="2"/>
      <c r="M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c r="GX62" s="2"/>
      <c r="GY62" s="2"/>
      <c r="GZ62" s="2"/>
      <c r="HA62" s="2"/>
      <c r="HB62" s="2"/>
      <c r="HC62" s="2"/>
      <c r="HD62" s="2"/>
      <c r="HE62" s="2"/>
      <c r="HF62" s="2"/>
      <c r="HG62" s="2"/>
      <c r="HH62" s="2"/>
      <c r="HI62" s="2"/>
      <c r="HJ62" s="2"/>
      <c r="HK62" s="2"/>
      <c r="HL62" s="2"/>
      <c r="HM62" s="2"/>
      <c r="HN62" s="2"/>
      <c r="HO62" s="2"/>
      <c r="HP62" s="2"/>
      <c r="HQ62" s="2"/>
      <c r="HR62" s="2"/>
      <c r="HS62" s="2"/>
      <c r="HT62" s="2"/>
      <c r="HU62" s="2"/>
      <c r="HV62" s="2"/>
      <c r="HW62" s="2"/>
      <c r="HX62" s="2"/>
      <c r="HY62" s="2"/>
      <c r="HZ62" s="2"/>
      <c r="IA62" s="2"/>
      <c r="IB62" s="2"/>
      <c r="IC62" s="2"/>
    </row>
    <row r="63" spans="1:243">
      <c r="A63" s="2"/>
      <c r="B63" s="2"/>
      <c r="C63" s="2"/>
      <c r="D63" s="2"/>
      <c r="E63" s="2"/>
      <c r="F63" s="2"/>
      <c r="G63" s="2"/>
      <c r="H63" s="2"/>
      <c r="I63" s="2"/>
      <c r="J63" s="2"/>
      <c r="K63" s="2"/>
      <c r="L63" s="2"/>
      <c r="M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I63" s="18"/>
    </row>
    <row r="64" spans="1:243">
      <c r="A64" s="2"/>
      <c r="B64" s="2"/>
      <c r="C64" s="2"/>
      <c r="D64" s="2"/>
      <c r="E64" s="2"/>
      <c r="F64" s="2"/>
      <c r="G64" s="2"/>
      <c r="H64" s="2"/>
      <c r="I64" s="2"/>
      <c r="J64" s="2"/>
      <c r="K64" s="2"/>
      <c r="L64" s="2"/>
      <c r="M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c r="GX64" s="2"/>
      <c r="GY64" s="2"/>
      <c r="GZ64" s="2"/>
      <c r="HA64" s="2"/>
      <c r="HB64" s="2"/>
      <c r="HC64" s="2"/>
      <c r="HD64" s="2"/>
      <c r="HE64" s="2"/>
      <c r="HF64" s="2"/>
      <c r="HG64" s="2"/>
      <c r="HH64" s="2"/>
      <c r="HI64" s="2"/>
      <c r="HJ64" s="2"/>
      <c r="HK64" s="2"/>
      <c r="HL64" s="2"/>
      <c r="HM64" s="2"/>
      <c r="HN64" s="2"/>
      <c r="HO64" s="2"/>
      <c r="HP64" s="2"/>
      <c r="HQ64" s="2"/>
      <c r="HR64" s="2"/>
      <c r="HS64" s="2"/>
      <c r="HT64" s="2"/>
      <c r="HU64" s="2"/>
      <c r="HV64" s="2"/>
      <c r="HW64" s="2"/>
      <c r="HX64" s="2"/>
      <c r="HY64" s="2"/>
      <c r="HZ64" s="2"/>
      <c r="IA64" s="2"/>
      <c r="IB64" s="2"/>
      <c r="IC64" s="2"/>
      <c r="II64" s="18"/>
    </row>
    <row r="65" spans="1:243">
      <c r="A65" s="2"/>
      <c r="B65" s="2"/>
      <c r="C65" s="2"/>
      <c r="D65" s="2"/>
      <c r="E65" s="2"/>
      <c r="F65" s="2"/>
      <c r="G65" s="2"/>
      <c r="H65" s="2"/>
      <c r="I65" s="2"/>
      <c r="J65" s="2"/>
      <c r="K65" s="2"/>
      <c r="L65" s="2"/>
      <c r="M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c r="GX65" s="2"/>
      <c r="GY65" s="2"/>
      <c r="GZ65" s="2"/>
      <c r="HA65" s="2"/>
      <c r="HB65" s="2"/>
      <c r="HC65" s="2"/>
      <c r="HD65" s="2"/>
      <c r="HE65" s="2"/>
      <c r="HF65" s="2"/>
      <c r="HG65" s="2"/>
      <c r="HH65" s="2"/>
      <c r="HI65" s="2"/>
      <c r="HJ65" s="2"/>
      <c r="HK65" s="2"/>
      <c r="HL65" s="2"/>
      <c r="HM65" s="2"/>
      <c r="HN65" s="2"/>
      <c r="HO65" s="2"/>
      <c r="HP65" s="2"/>
      <c r="HQ65" s="2"/>
      <c r="HR65" s="2"/>
      <c r="HS65" s="2"/>
      <c r="HT65" s="2"/>
      <c r="HU65" s="2"/>
      <c r="HV65" s="2"/>
      <c r="HW65" s="2"/>
      <c r="HX65" s="2"/>
      <c r="HY65" s="2"/>
      <c r="HZ65" s="2"/>
      <c r="IA65" s="2"/>
      <c r="IB65" s="2"/>
      <c r="IC65" s="2"/>
      <c r="II65" s="18"/>
    </row>
    <row r="66" spans="1:243">
      <c r="A66" s="2"/>
      <c r="B66" s="2"/>
      <c r="C66" s="2"/>
      <c r="D66" s="2"/>
      <c r="E66" s="2"/>
      <c r="F66" s="2"/>
      <c r="G66" s="2"/>
      <c r="H66" s="2"/>
      <c r="I66" s="2"/>
      <c r="J66" s="2"/>
      <c r="K66" s="2"/>
      <c r="L66" s="2"/>
      <c r="M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c r="GX66" s="2"/>
      <c r="GY66" s="2"/>
      <c r="GZ66" s="2"/>
      <c r="HA66" s="2"/>
      <c r="HB66" s="2"/>
      <c r="HC66" s="2"/>
      <c r="HD66" s="2"/>
      <c r="HE66" s="2"/>
      <c r="HF66" s="2"/>
      <c r="HG66" s="2"/>
      <c r="HH66" s="2"/>
      <c r="HI66" s="2"/>
      <c r="HJ66" s="2"/>
      <c r="HK66" s="2"/>
      <c r="HL66" s="2"/>
      <c r="HM66" s="2"/>
      <c r="HN66" s="2"/>
      <c r="HO66" s="2"/>
      <c r="HP66" s="2"/>
      <c r="HQ66" s="2"/>
      <c r="HR66" s="2"/>
      <c r="HS66" s="2"/>
      <c r="HT66" s="2"/>
      <c r="HU66" s="2"/>
      <c r="HV66" s="2"/>
      <c r="HW66" s="2"/>
      <c r="HX66" s="2"/>
      <c r="HY66" s="2"/>
      <c r="HZ66" s="2"/>
      <c r="IA66" s="2"/>
      <c r="IB66" s="2"/>
      <c r="IC66" s="2"/>
      <c r="II66" s="18"/>
    </row>
    <row r="67" spans="1:243">
      <c r="A67" s="2"/>
      <c r="B67" s="2"/>
      <c r="C67" s="2"/>
      <c r="D67" s="2"/>
      <c r="E67" s="2"/>
      <c r="F67" s="2"/>
      <c r="G67" s="2"/>
      <c r="H67" s="2"/>
      <c r="I67" s="2"/>
      <c r="J67" s="2"/>
      <c r="K67" s="2"/>
      <c r="L67" s="2"/>
      <c r="M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H67" s="21"/>
      <c r="II67" s="14"/>
    </row>
    <row r="68" spans="1:243">
      <c r="A68" s="2"/>
      <c r="B68" s="2"/>
      <c r="C68" s="2"/>
      <c r="D68" s="2"/>
      <c r="E68" s="2"/>
      <c r="F68" s="2"/>
      <c r="G68" s="2"/>
      <c r="H68" s="2"/>
      <c r="I68" s="2"/>
      <c r="J68" s="2"/>
      <c r="K68" s="2"/>
      <c r="L68" s="2"/>
      <c r="M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c r="GX68" s="2"/>
      <c r="GY68" s="2"/>
      <c r="GZ68" s="2"/>
      <c r="HA68" s="2"/>
      <c r="HB68" s="2"/>
      <c r="HC68" s="2"/>
      <c r="HD68" s="2"/>
      <c r="HE68" s="2"/>
      <c r="HF68" s="2"/>
      <c r="HG68" s="2"/>
      <c r="HH68" s="2"/>
      <c r="HI68" s="2"/>
      <c r="HJ68" s="2"/>
      <c r="HK68" s="2"/>
      <c r="HL68" s="2"/>
      <c r="HM68" s="2"/>
      <c r="HN68" s="2"/>
      <c r="HO68" s="2"/>
      <c r="HP68" s="2"/>
      <c r="HQ68" s="2"/>
      <c r="HR68" s="2"/>
      <c r="HS68" s="2"/>
      <c r="HT68" s="2"/>
      <c r="HU68" s="2"/>
      <c r="HV68" s="2"/>
      <c r="HW68" s="2"/>
      <c r="HX68" s="2"/>
      <c r="HY68" s="2"/>
      <c r="HZ68" s="2"/>
      <c r="IA68" s="2"/>
      <c r="IB68" s="2"/>
      <c r="IC68" s="2"/>
      <c r="IH68" s="21"/>
      <c r="II68" s="14"/>
    </row>
    <row r="69" spans="1:243">
      <c r="A69" s="2"/>
      <c r="B69" s="2"/>
      <c r="C69" s="2"/>
      <c r="D69" s="2"/>
      <c r="E69" s="2"/>
      <c r="F69" s="2"/>
      <c r="G69" s="2"/>
      <c r="H69" s="2"/>
      <c r="I69" s="2"/>
      <c r="J69" s="2"/>
      <c r="K69" s="2"/>
      <c r="L69" s="2"/>
      <c r="M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c r="GX69" s="2"/>
      <c r="GY69" s="2"/>
      <c r="GZ69" s="2"/>
      <c r="HA69" s="2"/>
      <c r="HB69" s="2"/>
      <c r="HC69" s="2"/>
      <c r="HD69" s="2"/>
      <c r="HE69" s="2"/>
      <c r="HF69" s="2"/>
      <c r="HG69" s="2"/>
      <c r="HH69" s="2"/>
      <c r="HI69" s="2"/>
      <c r="HJ69" s="2"/>
      <c r="HK69" s="2"/>
      <c r="HL69" s="2"/>
      <c r="HM69" s="2"/>
      <c r="HN69" s="2"/>
      <c r="HO69" s="2"/>
      <c r="HP69" s="2"/>
      <c r="HQ69" s="2"/>
      <c r="HR69" s="2"/>
      <c r="HS69" s="2"/>
      <c r="HT69" s="2"/>
      <c r="HU69" s="2"/>
      <c r="HV69" s="2"/>
      <c r="HW69" s="2"/>
      <c r="HX69" s="2"/>
      <c r="HY69" s="2"/>
      <c r="HZ69" s="2"/>
      <c r="IA69" s="2"/>
      <c r="IB69" s="2"/>
      <c r="IC69" s="2"/>
      <c r="IH69" s="21"/>
      <c r="II69" s="14"/>
    </row>
    <row r="70" spans="1:243">
      <c r="A70" s="2"/>
      <c r="B70" s="2"/>
      <c r="C70" s="2"/>
      <c r="D70" s="2"/>
      <c r="E70" s="2"/>
      <c r="F70" s="2"/>
      <c r="G70" s="2"/>
      <c r="H70" s="2"/>
      <c r="I70" s="2"/>
      <c r="J70" s="2"/>
      <c r="K70" s="2"/>
      <c r="L70" s="2"/>
      <c r="M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c r="GX70" s="2"/>
      <c r="GY70" s="2"/>
      <c r="GZ70" s="2"/>
      <c r="HA70" s="2"/>
      <c r="HB70" s="2"/>
      <c r="HC70" s="2"/>
      <c r="HD70" s="2"/>
      <c r="HE70" s="2"/>
      <c r="HF70" s="2"/>
      <c r="HG70" s="2"/>
      <c r="HH70" s="2"/>
      <c r="HI70" s="2"/>
      <c r="HJ70" s="2"/>
      <c r="HK70" s="2"/>
      <c r="HL70" s="2"/>
      <c r="HM70" s="2"/>
      <c r="HN70" s="2"/>
      <c r="HO70" s="2"/>
      <c r="HP70" s="2"/>
      <c r="HQ70" s="2"/>
      <c r="HR70" s="2"/>
      <c r="HS70" s="2"/>
      <c r="HT70" s="2"/>
      <c r="HU70" s="2"/>
      <c r="HV70" s="2"/>
      <c r="HW70" s="2"/>
      <c r="HX70" s="2"/>
      <c r="HY70" s="2"/>
      <c r="HZ70" s="2"/>
      <c r="IA70" s="2"/>
      <c r="IB70" s="2"/>
      <c r="IC70" s="2"/>
      <c r="IH70" s="21"/>
      <c r="II70" s="14"/>
    </row>
    <row r="71" spans="1:243">
      <c r="A71" s="2"/>
      <c r="B71" s="2"/>
      <c r="C71" s="2"/>
      <c r="D71" s="2"/>
      <c r="E71" s="2"/>
      <c r="F71" s="2"/>
      <c r="G71" s="2"/>
      <c r="H71" s="2"/>
      <c r="I71" s="2"/>
      <c r="J71" s="2"/>
      <c r="K71" s="2"/>
      <c r="L71" s="2"/>
      <c r="M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c r="GX71" s="2"/>
      <c r="GY71" s="2"/>
      <c r="GZ71" s="2"/>
      <c r="HA71" s="2"/>
      <c r="HB71" s="2"/>
      <c r="HC71" s="2"/>
      <c r="HD71" s="2"/>
      <c r="HE71" s="2"/>
      <c r="HF71" s="2"/>
      <c r="HG71" s="2"/>
      <c r="HH71" s="2"/>
      <c r="HI71" s="2"/>
      <c r="HJ71" s="2"/>
      <c r="HK71" s="2"/>
      <c r="HL71" s="2"/>
      <c r="HM71" s="2"/>
      <c r="HN71" s="2"/>
      <c r="HO71" s="2"/>
      <c r="HP71" s="2"/>
      <c r="HQ71" s="2"/>
      <c r="HR71" s="2"/>
      <c r="HS71" s="2"/>
      <c r="HT71" s="2"/>
      <c r="HU71" s="2"/>
      <c r="HV71" s="2"/>
      <c r="HW71" s="2"/>
      <c r="HX71" s="2"/>
      <c r="HY71" s="2"/>
      <c r="HZ71" s="2"/>
      <c r="IA71" s="2"/>
      <c r="IB71" s="2"/>
      <c r="IC71" s="2"/>
      <c r="IH71" s="21"/>
      <c r="II71" s="14"/>
    </row>
    <row r="72" spans="1:243">
      <c r="A72" s="2"/>
      <c r="B72" s="2"/>
      <c r="C72" s="2"/>
      <c r="D72" s="2"/>
      <c r="E72" s="2"/>
      <c r="F72" s="2"/>
      <c r="G72" s="2"/>
      <c r="H72" s="2"/>
      <c r="I72" s="2"/>
      <c r="J72" s="2"/>
      <c r="K72" s="2"/>
      <c r="L72" s="2"/>
      <c r="M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c r="GX72" s="2"/>
      <c r="GY72" s="2"/>
      <c r="GZ72" s="2"/>
      <c r="HA72" s="2"/>
      <c r="HB72" s="2"/>
      <c r="HC72" s="2"/>
      <c r="HD72" s="2"/>
      <c r="HE72" s="2"/>
      <c r="HF72" s="2"/>
      <c r="HG72" s="2"/>
      <c r="HH72" s="2"/>
      <c r="HI72" s="2"/>
      <c r="HJ72" s="2"/>
      <c r="HK72" s="2"/>
      <c r="HL72" s="2"/>
      <c r="HM72" s="2"/>
      <c r="HN72" s="2"/>
      <c r="HO72" s="2"/>
      <c r="HP72" s="2"/>
      <c r="HQ72" s="2"/>
      <c r="HR72" s="2"/>
      <c r="HS72" s="2"/>
      <c r="HT72" s="2"/>
      <c r="HU72" s="2"/>
      <c r="HV72" s="2"/>
      <c r="HW72" s="2"/>
      <c r="HX72" s="2"/>
      <c r="HY72" s="2"/>
      <c r="HZ72" s="2"/>
      <c r="IA72" s="2"/>
      <c r="IB72" s="2"/>
      <c r="IC72" s="2"/>
      <c r="IH72" s="21"/>
      <c r="II72" s="14"/>
    </row>
    <row r="73" spans="1:243">
      <c r="A73" s="2"/>
      <c r="B73" s="2"/>
      <c r="C73" s="2"/>
      <c r="D73" s="2"/>
      <c r="E73" s="2"/>
      <c r="F73" s="2"/>
      <c r="G73" s="2"/>
      <c r="H73" s="2"/>
      <c r="I73" s="2"/>
      <c r="J73" s="2"/>
      <c r="K73" s="2"/>
      <c r="L73" s="2"/>
      <c r="M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H73" s="21"/>
      <c r="II73" s="14"/>
    </row>
    <row r="74" spans="1:243">
      <c r="A74" s="2"/>
      <c r="B74" s="2"/>
      <c r="C74" s="2"/>
      <c r="D74" s="2"/>
      <c r="E74" s="2"/>
      <c r="F74" s="2"/>
      <c r="G74" s="2"/>
      <c r="H74" s="2"/>
      <c r="I74" s="2"/>
      <c r="J74" s="2"/>
      <c r="K74" s="2"/>
      <c r="L74" s="2"/>
      <c r="M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c r="GX74" s="2"/>
      <c r="GY74" s="2"/>
      <c r="GZ74" s="2"/>
      <c r="HA74" s="2"/>
      <c r="HB74" s="2"/>
      <c r="HC74" s="2"/>
      <c r="HD74" s="2"/>
      <c r="HE74" s="2"/>
      <c r="HF74" s="2"/>
      <c r="HG74" s="2"/>
      <c r="HH74" s="2"/>
      <c r="HI74" s="2"/>
      <c r="HJ74" s="2"/>
      <c r="HK74" s="2"/>
      <c r="HL74" s="2"/>
      <c r="HM74" s="2"/>
      <c r="HN74" s="2"/>
      <c r="HO74" s="2"/>
      <c r="HP74" s="2"/>
      <c r="HQ74" s="2"/>
      <c r="HR74" s="2"/>
      <c r="HS74" s="2"/>
      <c r="HT74" s="2"/>
      <c r="HU74" s="2"/>
      <c r="HV74" s="2"/>
      <c r="HW74" s="2"/>
      <c r="HX74" s="2"/>
      <c r="HY74" s="2"/>
      <c r="HZ74" s="2"/>
      <c r="IA74" s="2"/>
      <c r="IB74" s="2"/>
      <c r="IC74" s="2"/>
      <c r="IH74" s="21"/>
      <c r="II74" s="14"/>
    </row>
    <row r="75" spans="1:243">
      <c r="A75" s="2"/>
      <c r="B75" s="2"/>
      <c r="C75" s="2"/>
      <c r="D75" s="2"/>
      <c r="E75" s="2"/>
      <c r="F75" s="2"/>
      <c r="G75" s="2"/>
      <c r="H75" s="2"/>
      <c r="I75" s="2"/>
      <c r="J75" s="2"/>
      <c r="K75" s="2"/>
      <c r="L75" s="2"/>
      <c r="M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c r="GX75" s="2"/>
      <c r="GY75" s="2"/>
      <c r="GZ75" s="2"/>
      <c r="HA75" s="2"/>
      <c r="HB75" s="2"/>
      <c r="HC75" s="2"/>
      <c r="HD75" s="2"/>
      <c r="HE75" s="2"/>
      <c r="HF75" s="2"/>
      <c r="HG75" s="2"/>
      <c r="HH75" s="2"/>
      <c r="HI75" s="2"/>
      <c r="HJ75" s="2"/>
      <c r="HK75" s="2"/>
      <c r="HL75" s="2"/>
      <c r="HM75" s="2"/>
      <c r="HN75" s="2"/>
      <c r="HO75" s="2"/>
      <c r="HP75" s="2"/>
      <c r="HQ75" s="2"/>
      <c r="HR75" s="2"/>
      <c r="HS75" s="2"/>
      <c r="HT75" s="2"/>
      <c r="HU75" s="2"/>
      <c r="HV75" s="2"/>
      <c r="HW75" s="2"/>
      <c r="HX75" s="2"/>
      <c r="HY75" s="2"/>
      <c r="HZ75" s="2"/>
      <c r="IA75" s="2"/>
      <c r="IB75" s="2"/>
      <c r="IC75" s="2"/>
      <c r="IH75" s="21"/>
      <c r="II75" s="14"/>
    </row>
    <row r="76" spans="1:243">
      <c r="A76" s="2"/>
      <c r="B76" s="2"/>
      <c r="C76" s="2"/>
      <c r="D76" s="2"/>
      <c r="E76" s="2"/>
      <c r="F76" s="2"/>
      <c r="G76" s="2"/>
      <c r="H76" s="2"/>
      <c r="I76" s="2"/>
      <c r="J76" s="2"/>
      <c r="K76" s="2"/>
      <c r="L76" s="2"/>
      <c r="M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c r="GX76" s="2"/>
      <c r="GY76" s="2"/>
      <c r="GZ76" s="2"/>
      <c r="HA76" s="2"/>
      <c r="HB76" s="2"/>
      <c r="HC76" s="2"/>
      <c r="HD76" s="2"/>
      <c r="HE76" s="2"/>
      <c r="HF76" s="2"/>
      <c r="HG76" s="2"/>
      <c r="HH76" s="2"/>
      <c r="HI76" s="2"/>
      <c r="HJ76" s="2"/>
      <c r="HK76" s="2"/>
      <c r="HL76" s="2"/>
      <c r="HM76" s="2"/>
      <c r="HN76" s="2"/>
      <c r="HO76" s="2"/>
      <c r="HP76" s="2"/>
      <c r="HQ76" s="2"/>
      <c r="HR76" s="2"/>
      <c r="HS76" s="2"/>
      <c r="HT76" s="2"/>
      <c r="HU76" s="2"/>
      <c r="HV76" s="2"/>
      <c r="HW76" s="2"/>
      <c r="HX76" s="2"/>
      <c r="HY76" s="2"/>
      <c r="HZ76" s="2"/>
      <c r="IA76" s="2"/>
      <c r="IB76" s="2"/>
      <c r="IC76" s="2"/>
      <c r="IH76" s="21"/>
      <c r="II76" s="14"/>
    </row>
    <row r="77" spans="1:243">
      <c r="A77" s="2"/>
      <c r="B77" s="2"/>
      <c r="C77" s="2"/>
      <c r="D77" s="2"/>
      <c r="E77" s="2"/>
      <c r="F77" s="2"/>
      <c r="G77" s="2"/>
      <c r="H77" s="2"/>
      <c r="I77" s="2"/>
      <c r="J77" s="2"/>
      <c r="K77" s="2"/>
      <c r="L77" s="2"/>
      <c r="M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H77" s="21"/>
      <c r="II77" s="14"/>
    </row>
    <row r="78" spans="1:243">
      <c r="A78" s="2"/>
      <c r="B78" s="2"/>
      <c r="C78" s="2"/>
      <c r="D78" s="2"/>
      <c r="E78" s="2"/>
      <c r="F78" s="2"/>
      <c r="G78" s="2"/>
      <c r="H78" s="2"/>
      <c r="I78" s="2"/>
      <c r="J78" s="2"/>
      <c r="K78" s="2"/>
      <c r="L78" s="2"/>
      <c r="M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c r="GX78" s="2"/>
      <c r="GY78" s="2"/>
      <c r="GZ78" s="2"/>
      <c r="HA78" s="2"/>
      <c r="HB78" s="2"/>
      <c r="HC78" s="2"/>
      <c r="HD78" s="2"/>
      <c r="HE78" s="2"/>
      <c r="HF78" s="2"/>
      <c r="HG78" s="2"/>
      <c r="HH78" s="2"/>
      <c r="HI78" s="2"/>
      <c r="HJ78" s="2"/>
      <c r="HK78" s="2"/>
      <c r="HL78" s="2"/>
      <c r="HM78" s="2"/>
      <c r="HN78" s="2"/>
      <c r="HO78" s="2"/>
      <c r="HP78" s="2"/>
      <c r="HQ78" s="2"/>
      <c r="HR78" s="2"/>
      <c r="HS78" s="2"/>
      <c r="HT78" s="2"/>
      <c r="HU78" s="2"/>
      <c r="HV78" s="2"/>
      <c r="HW78" s="2"/>
      <c r="HX78" s="2"/>
      <c r="HY78" s="2"/>
      <c r="HZ78" s="2"/>
      <c r="IA78" s="2"/>
      <c r="IB78" s="2"/>
      <c r="IC78" s="2"/>
      <c r="IH78" s="21"/>
      <c r="II78" s="14"/>
    </row>
    <row r="79" spans="1:243">
      <c r="A79" s="2"/>
      <c r="B79" s="2"/>
      <c r="C79" s="2"/>
      <c r="D79" s="2"/>
      <c r="E79" s="2"/>
      <c r="F79" s="2"/>
      <c r="G79" s="2"/>
      <c r="H79" s="2"/>
      <c r="I79" s="2"/>
      <c r="J79" s="2"/>
      <c r="K79" s="2"/>
      <c r="L79" s="2"/>
      <c r="M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c r="GX79" s="2"/>
      <c r="GY79" s="2"/>
      <c r="GZ79" s="2"/>
      <c r="HA79" s="2"/>
      <c r="HB79" s="2"/>
      <c r="HC79" s="2"/>
      <c r="HD79" s="2"/>
      <c r="HE79" s="2"/>
      <c r="HF79" s="2"/>
      <c r="HG79" s="2"/>
      <c r="HH79" s="2"/>
      <c r="HI79" s="2"/>
      <c r="HJ79" s="2"/>
      <c r="HK79" s="2"/>
      <c r="HL79" s="2"/>
      <c r="HM79" s="2"/>
      <c r="HN79" s="2"/>
      <c r="HO79" s="2"/>
      <c r="HP79" s="2"/>
      <c r="HQ79" s="2"/>
      <c r="HR79" s="2"/>
      <c r="HS79" s="2"/>
      <c r="HT79" s="2"/>
      <c r="HU79" s="2"/>
      <c r="HV79" s="2"/>
      <c r="HW79" s="2"/>
      <c r="HX79" s="2"/>
      <c r="HY79" s="2"/>
      <c r="HZ79" s="2"/>
      <c r="IA79" s="2"/>
      <c r="IB79" s="2"/>
      <c r="IC79" s="2"/>
      <c r="IH79" s="21"/>
      <c r="II79" s="14"/>
    </row>
    <row r="80" spans="1:243">
      <c r="A80" s="2"/>
      <c r="B80" s="2"/>
      <c r="C80" s="2"/>
      <c r="D80" s="2"/>
      <c r="E80" s="2"/>
      <c r="F80" s="2"/>
      <c r="G80" s="2"/>
      <c r="H80" s="2"/>
      <c r="I80" s="2"/>
      <c r="J80" s="2"/>
      <c r="K80" s="2"/>
      <c r="L80" s="2"/>
      <c r="M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c r="GX80" s="2"/>
      <c r="GY80" s="2"/>
      <c r="GZ80" s="2"/>
      <c r="HA80" s="2"/>
      <c r="HB80" s="2"/>
      <c r="HC80" s="2"/>
      <c r="HD80" s="2"/>
      <c r="HE80" s="2"/>
      <c r="HF80" s="2"/>
      <c r="HG80" s="2"/>
      <c r="HH80" s="2"/>
      <c r="HI80" s="2"/>
      <c r="HJ80" s="2"/>
      <c r="HK80" s="2"/>
      <c r="HL80" s="2"/>
      <c r="HM80" s="2"/>
      <c r="HN80" s="2"/>
      <c r="HO80" s="2"/>
      <c r="HP80" s="2"/>
      <c r="HQ80" s="2"/>
      <c r="HR80" s="2"/>
      <c r="HS80" s="2"/>
      <c r="HT80" s="2"/>
      <c r="HU80" s="2"/>
      <c r="HV80" s="2"/>
      <c r="HW80" s="2"/>
      <c r="HX80" s="2"/>
      <c r="HY80" s="2"/>
      <c r="HZ80" s="2"/>
      <c r="IA80" s="2"/>
      <c r="IB80" s="2"/>
      <c r="IC80" s="2"/>
      <c r="IH80" s="21"/>
      <c r="II80" s="14"/>
    </row>
    <row r="81" spans="1:243">
      <c r="A81" s="2"/>
      <c r="B81" s="2"/>
      <c r="C81" s="2"/>
      <c r="D81" s="2"/>
      <c r="E81" s="2"/>
      <c r="F81" s="2"/>
      <c r="G81" s="2"/>
      <c r="H81" s="2"/>
      <c r="I81" s="2"/>
      <c r="J81" s="2"/>
      <c r="K81" s="2"/>
      <c r="L81" s="2"/>
      <c r="M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c r="GX81" s="2"/>
      <c r="GY81" s="2"/>
      <c r="GZ81" s="2"/>
      <c r="HA81" s="2"/>
      <c r="HB81" s="2"/>
      <c r="HC81" s="2"/>
      <c r="HD81" s="2"/>
      <c r="HE81" s="2"/>
      <c r="HF81" s="2"/>
      <c r="HG81" s="2"/>
      <c r="HH81" s="2"/>
      <c r="HI81" s="2"/>
      <c r="HJ81" s="2"/>
      <c r="HK81" s="2"/>
      <c r="HL81" s="2"/>
      <c r="HM81" s="2"/>
      <c r="HN81" s="2"/>
      <c r="HO81" s="2"/>
      <c r="HP81" s="2"/>
      <c r="HQ81" s="2"/>
      <c r="HR81" s="2"/>
      <c r="HS81" s="2"/>
      <c r="HT81" s="2"/>
      <c r="HU81" s="2"/>
      <c r="HV81" s="2"/>
      <c r="HW81" s="2"/>
      <c r="HX81" s="2"/>
      <c r="HY81" s="2"/>
      <c r="HZ81" s="2"/>
      <c r="IA81" s="2"/>
      <c r="IB81" s="2"/>
      <c r="IC81" s="2"/>
      <c r="IH81" s="21"/>
      <c r="II81" s="14"/>
    </row>
    <row r="82" spans="1:243">
      <c r="A82" s="2"/>
      <c r="B82" s="2"/>
      <c r="C82" s="2"/>
      <c r="D82" s="2"/>
      <c r="E82" s="2"/>
      <c r="F82" s="2"/>
      <c r="G82" s="2"/>
      <c r="H82" s="2"/>
      <c r="I82" s="2"/>
      <c r="J82" s="2"/>
      <c r="K82" s="2"/>
      <c r="L82" s="2"/>
      <c r="M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c r="GX82" s="2"/>
      <c r="GY82" s="2"/>
      <c r="GZ82" s="2"/>
      <c r="HA82" s="2"/>
      <c r="HB82" s="2"/>
      <c r="HC82" s="2"/>
      <c r="HD82" s="2"/>
      <c r="HE82" s="2"/>
      <c r="HF82" s="2"/>
      <c r="HG82" s="2"/>
      <c r="HH82" s="2"/>
      <c r="HI82" s="2"/>
      <c r="HJ82" s="2"/>
      <c r="HK82" s="2"/>
      <c r="HL82" s="2"/>
      <c r="HM82" s="2"/>
      <c r="HN82" s="2"/>
      <c r="HO82" s="2"/>
      <c r="HP82" s="2"/>
      <c r="HQ82" s="2"/>
      <c r="HR82" s="2"/>
      <c r="HS82" s="2"/>
      <c r="HT82" s="2"/>
      <c r="HU82" s="2"/>
      <c r="HV82" s="2"/>
      <c r="HW82" s="2"/>
      <c r="HX82" s="2"/>
      <c r="HY82" s="2"/>
      <c r="HZ82" s="2"/>
      <c r="IA82" s="2"/>
      <c r="IB82" s="2"/>
      <c r="IC82" s="2"/>
      <c r="IH82" s="21"/>
      <c r="II82" s="14"/>
    </row>
    <row r="83" spans="1:243">
      <c r="A83" s="2"/>
      <c r="B83" s="2"/>
      <c r="C83" s="2"/>
      <c r="D83" s="2"/>
      <c r="E83" s="2"/>
      <c r="F83" s="2"/>
      <c r="G83" s="2"/>
      <c r="H83" s="2"/>
      <c r="I83" s="2"/>
      <c r="J83" s="2"/>
      <c r="K83" s="2"/>
      <c r="L83" s="2"/>
      <c r="M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c r="GX83" s="2"/>
      <c r="GY83" s="2"/>
      <c r="GZ83" s="2"/>
      <c r="HA83" s="2"/>
      <c r="HB83" s="2"/>
      <c r="HC83" s="2"/>
      <c r="HD83" s="2"/>
      <c r="HE83" s="2"/>
      <c r="HF83" s="2"/>
      <c r="HG83" s="2"/>
      <c r="HH83" s="2"/>
      <c r="HI83" s="2"/>
      <c r="HJ83" s="2"/>
      <c r="HK83" s="2"/>
      <c r="HL83" s="2"/>
      <c r="HM83" s="2"/>
      <c r="HN83" s="2"/>
      <c r="HO83" s="2"/>
      <c r="HP83" s="2"/>
      <c r="HQ83" s="2"/>
      <c r="HR83" s="2"/>
      <c r="HS83" s="2"/>
      <c r="HT83" s="2"/>
      <c r="HU83" s="2"/>
      <c r="HV83" s="2"/>
      <c r="HW83" s="2"/>
      <c r="HX83" s="2"/>
      <c r="HY83" s="2"/>
      <c r="HZ83" s="2"/>
      <c r="IA83" s="2"/>
      <c r="IB83" s="2"/>
      <c r="IC83" s="2"/>
      <c r="IH83" s="21"/>
      <c r="II83" s="14"/>
    </row>
    <row r="84" spans="1:243">
      <c r="A84" s="2"/>
      <c r="B84" s="2"/>
      <c r="C84" s="2"/>
      <c r="D84" s="2"/>
      <c r="E84" s="2"/>
      <c r="F84" s="2"/>
      <c r="G84" s="2"/>
      <c r="H84" s="2"/>
      <c r="I84" s="2"/>
      <c r="J84" s="2"/>
      <c r="K84" s="2"/>
      <c r="L84" s="2"/>
      <c r="M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c r="GX84" s="2"/>
      <c r="GY84" s="2"/>
      <c r="GZ84" s="2"/>
      <c r="HA84" s="2"/>
      <c r="HB84" s="2"/>
      <c r="HC84" s="2"/>
      <c r="HD84" s="2"/>
      <c r="HE84" s="2"/>
      <c r="HF84" s="2"/>
      <c r="HG84" s="2"/>
      <c r="HH84" s="2"/>
      <c r="HI84" s="2"/>
      <c r="HJ84" s="2"/>
      <c r="HK84" s="2"/>
      <c r="HL84" s="2"/>
      <c r="HM84" s="2"/>
      <c r="HN84" s="2"/>
      <c r="HO84" s="2"/>
      <c r="HP84" s="2"/>
      <c r="HQ84" s="2"/>
      <c r="HR84" s="2"/>
      <c r="HS84" s="2"/>
      <c r="HT84" s="2"/>
      <c r="HU84" s="2"/>
      <c r="HV84" s="2"/>
      <c r="HW84" s="2"/>
      <c r="HX84" s="2"/>
      <c r="HY84" s="2"/>
      <c r="HZ84" s="2"/>
      <c r="IA84" s="2"/>
      <c r="IB84" s="2"/>
      <c r="IC84" s="2"/>
      <c r="IH84" s="21"/>
      <c r="II84" s="14"/>
    </row>
    <row r="85" spans="1:243">
      <c r="A85" s="2"/>
      <c r="B85" s="2"/>
      <c r="C85" s="2"/>
      <c r="D85" s="2"/>
      <c r="E85" s="2"/>
      <c r="F85" s="2"/>
      <c r="G85" s="2"/>
      <c r="H85" s="2"/>
      <c r="I85" s="2"/>
      <c r="J85" s="2"/>
      <c r="K85" s="2"/>
      <c r="L85" s="2"/>
      <c r="M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c r="GX85" s="2"/>
      <c r="GY85" s="2"/>
      <c r="GZ85" s="2"/>
      <c r="HA85" s="2"/>
      <c r="HB85" s="2"/>
      <c r="HC85" s="2"/>
      <c r="HD85" s="2"/>
      <c r="HE85" s="2"/>
      <c r="HF85" s="2"/>
      <c r="HG85" s="2"/>
      <c r="HH85" s="2"/>
      <c r="HI85" s="2"/>
      <c r="HJ85" s="2"/>
      <c r="HK85" s="2"/>
      <c r="HL85" s="2"/>
      <c r="HM85" s="2"/>
      <c r="HN85" s="2"/>
      <c r="HO85" s="2"/>
      <c r="HP85" s="2"/>
      <c r="HQ85" s="2"/>
      <c r="HR85" s="2"/>
      <c r="HS85" s="2"/>
      <c r="HT85" s="2"/>
      <c r="HU85" s="2"/>
      <c r="HV85" s="2"/>
      <c r="HW85" s="2"/>
      <c r="HX85" s="2"/>
      <c r="HY85" s="2"/>
      <c r="HZ85" s="2"/>
      <c r="IA85" s="2"/>
      <c r="IB85" s="2"/>
      <c r="IC85" s="2"/>
      <c r="IH85" s="21"/>
      <c r="II85" s="14"/>
    </row>
    <row r="86" spans="1:243">
      <c r="A86" s="2"/>
      <c r="B86" s="2"/>
      <c r="C86" s="2"/>
      <c r="D86" s="2"/>
      <c r="E86" s="2"/>
      <c r="F86" s="2"/>
      <c r="G86" s="2"/>
      <c r="H86" s="2"/>
      <c r="I86" s="2"/>
      <c r="J86" s="2"/>
      <c r="K86" s="2"/>
      <c r="L86" s="2"/>
      <c r="M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c r="GX86" s="2"/>
      <c r="GY86" s="2"/>
      <c r="GZ86" s="2"/>
      <c r="HA86" s="2"/>
      <c r="HB86" s="2"/>
      <c r="HC86" s="2"/>
      <c r="HD86" s="2"/>
      <c r="HE86" s="2"/>
      <c r="HF86" s="2"/>
      <c r="HG86" s="2"/>
      <c r="HH86" s="2"/>
      <c r="HI86" s="2"/>
      <c r="HJ86" s="2"/>
      <c r="HK86" s="2"/>
      <c r="HL86" s="2"/>
      <c r="HM86" s="2"/>
      <c r="HN86" s="2"/>
      <c r="HO86" s="2"/>
      <c r="HP86" s="2"/>
      <c r="HQ86" s="2"/>
      <c r="HR86" s="2"/>
      <c r="HS86" s="2"/>
      <c r="HT86" s="2"/>
      <c r="HU86" s="2"/>
      <c r="HV86" s="2"/>
      <c r="HW86" s="2"/>
      <c r="HX86" s="2"/>
      <c r="HY86" s="2"/>
      <c r="HZ86" s="2"/>
      <c r="IA86" s="2"/>
      <c r="IB86" s="2"/>
      <c r="IC86" s="2"/>
      <c r="IH86" s="21"/>
      <c r="II86" s="14"/>
    </row>
    <row r="87" spans="1:243">
      <c r="A87" s="2"/>
      <c r="B87" s="2"/>
      <c r="C87" s="2"/>
      <c r="D87" s="2"/>
      <c r="E87" s="2"/>
      <c r="F87" s="2"/>
      <c r="G87" s="2"/>
      <c r="H87" s="2"/>
      <c r="I87" s="2"/>
      <c r="J87" s="2"/>
      <c r="K87" s="2"/>
      <c r="L87" s="2"/>
      <c r="M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c r="GX87" s="2"/>
      <c r="GY87" s="2"/>
      <c r="GZ87" s="2"/>
      <c r="HA87" s="2"/>
      <c r="HB87" s="2"/>
      <c r="HC87" s="2"/>
      <c r="HD87" s="2"/>
      <c r="HE87" s="2"/>
      <c r="HF87" s="2"/>
      <c r="HG87" s="2"/>
      <c r="HH87" s="2"/>
      <c r="HI87" s="2"/>
      <c r="HJ87" s="2"/>
      <c r="HK87" s="2"/>
      <c r="HL87" s="2"/>
      <c r="HM87" s="2"/>
      <c r="HN87" s="2"/>
      <c r="HO87" s="2"/>
      <c r="HP87" s="2"/>
      <c r="HQ87" s="2"/>
      <c r="HR87" s="2"/>
      <c r="HS87" s="2"/>
      <c r="HT87" s="2"/>
      <c r="HU87" s="2"/>
      <c r="HV87" s="2"/>
      <c r="HW87" s="2"/>
      <c r="HX87" s="2"/>
      <c r="HY87" s="2"/>
      <c r="HZ87" s="2"/>
      <c r="IA87" s="2"/>
      <c r="IB87" s="2"/>
      <c r="IC87" s="2"/>
      <c r="IH87" s="21"/>
      <c r="II87" s="14"/>
    </row>
    <row r="88" spans="1:243">
      <c r="A88" s="2"/>
      <c r="B88" s="2"/>
      <c r="C88" s="2"/>
      <c r="D88" s="2"/>
      <c r="E88" s="2"/>
      <c r="F88" s="2"/>
      <c r="G88" s="2"/>
      <c r="H88" s="2"/>
      <c r="I88" s="2"/>
      <c r="J88" s="2"/>
      <c r="K88" s="2"/>
      <c r="L88" s="2"/>
      <c r="M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c r="GX88" s="2"/>
      <c r="GY88" s="2"/>
      <c r="GZ88" s="2"/>
      <c r="HA88" s="2"/>
      <c r="HB88" s="2"/>
      <c r="HC88" s="2"/>
      <c r="HD88" s="2"/>
      <c r="HE88" s="2"/>
      <c r="HF88" s="2"/>
      <c r="HG88" s="2"/>
      <c r="HH88" s="2"/>
      <c r="HI88" s="2"/>
      <c r="HJ88" s="2"/>
      <c r="HK88" s="2"/>
      <c r="HL88" s="2"/>
      <c r="HM88" s="2"/>
      <c r="HN88" s="2"/>
      <c r="HO88" s="2"/>
      <c r="HP88" s="2"/>
      <c r="HQ88" s="2"/>
      <c r="HR88" s="2"/>
      <c r="HS88" s="2"/>
      <c r="HT88" s="2"/>
      <c r="HU88" s="2"/>
      <c r="HV88" s="2"/>
      <c r="HW88" s="2"/>
      <c r="HX88" s="2"/>
      <c r="HY88" s="2"/>
      <c r="HZ88" s="2"/>
      <c r="IA88" s="2"/>
      <c r="IB88" s="2"/>
      <c r="IC88" s="2"/>
      <c r="IH88" s="21"/>
      <c r="II88" s="14"/>
    </row>
    <row r="89" spans="1:243">
      <c r="A89" s="2"/>
      <c r="B89" s="2"/>
      <c r="C89" s="2"/>
      <c r="D89" s="2"/>
      <c r="E89" s="2"/>
      <c r="F89" s="2"/>
      <c r="G89" s="2"/>
      <c r="H89" s="2"/>
      <c r="I89" s="2"/>
      <c r="J89" s="2"/>
      <c r="K89" s="2"/>
      <c r="L89" s="2"/>
      <c r="M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c r="GX89" s="2"/>
      <c r="GY89" s="2"/>
      <c r="GZ89" s="2"/>
      <c r="HA89" s="2"/>
      <c r="HB89" s="2"/>
      <c r="HC89" s="2"/>
      <c r="HD89" s="2"/>
      <c r="HE89" s="2"/>
      <c r="HF89" s="2"/>
      <c r="HG89" s="2"/>
      <c r="HH89" s="2"/>
      <c r="HI89" s="2"/>
      <c r="HJ89" s="2"/>
      <c r="HK89" s="2"/>
      <c r="HL89" s="2"/>
      <c r="HM89" s="2"/>
      <c r="HN89" s="2"/>
      <c r="HO89" s="2"/>
      <c r="HP89" s="2"/>
      <c r="HQ89" s="2"/>
      <c r="HR89" s="2"/>
      <c r="HS89" s="2"/>
      <c r="HT89" s="2"/>
      <c r="HU89" s="2"/>
      <c r="HV89" s="2"/>
      <c r="HW89" s="2"/>
      <c r="HX89" s="2"/>
      <c r="HY89" s="2"/>
      <c r="HZ89" s="2"/>
      <c r="IA89" s="2"/>
      <c r="IB89" s="2"/>
      <c r="IC89" s="2"/>
      <c r="IH89" s="21"/>
      <c r="II89" s="14"/>
    </row>
    <row r="90" spans="1:243">
      <c r="A90" s="2"/>
      <c r="B90" s="2"/>
      <c r="C90" s="2"/>
      <c r="D90" s="2"/>
      <c r="E90" s="2"/>
      <c r="F90" s="2"/>
      <c r="G90" s="2"/>
      <c r="H90" s="2"/>
      <c r="I90" s="2"/>
      <c r="J90" s="2"/>
      <c r="K90" s="2"/>
      <c r="L90" s="2"/>
      <c r="M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c r="GX90" s="2"/>
      <c r="GY90" s="2"/>
      <c r="GZ90" s="2"/>
      <c r="HA90" s="2"/>
      <c r="HB90" s="2"/>
      <c r="HC90" s="2"/>
      <c r="HD90" s="2"/>
      <c r="HE90" s="2"/>
      <c r="HF90" s="2"/>
      <c r="HG90" s="2"/>
      <c r="HH90" s="2"/>
      <c r="HI90" s="2"/>
      <c r="HJ90" s="2"/>
      <c r="HK90" s="2"/>
      <c r="HL90" s="2"/>
      <c r="HM90" s="2"/>
      <c r="HN90" s="2"/>
      <c r="HO90" s="2"/>
      <c r="HP90" s="2"/>
      <c r="HQ90" s="2"/>
      <c r="HR90" s="2"/>
      <c r="HS90" s="2"/>
      <c r="HT90" s="2"/>
      <c r="HU90" s="2"/>
      <c r="HV90" s="2"/>
      <c r="HW90" s="2"/>
      <c r="HX90" s="2"/>
      <c r="HY90" s="2"/>
      <c r="HZ90" s="2"/>
      <c r="IA90" s="2"/>
      <c r="IB90" s="2"/>
      <c r="IC90" s="2"/>
      <c r="IH90" s="21"/>
      <c r="II90" s="14"/>
    </row>
    <row r="91" spans="1:243">
      <c r="A91" s="2"/>
      <c r="B91" s="2"/>
      <c r="C91" s="2"/>
      <c r="D91" s="2"/>
      <c r="E91" s="2"/>
      <c r="F91" s="2"/>
      <c r="G91" s="2"/>
      <c r="H91" s="2"/>
      <c r="I91" s="2"/>
      <c r="J91" s="2"/>
      <c r="K91" s="2"/>
      <c r="L91" s="2"/>
      <c r="M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c r="GX91" s="2"/>
      <c r="GY91" s="2"/>
      <c r="GZ91" s="2"/>
      <c r="HA91" s="2"/>
      <c r="HB91" s="2"/>
      <c r="HC91" s="2"/>
      <c r="HD91" s="2"/>
      <c r="HE91" s="2"/>
      <c r="HF91" s="2"/>
      <c r="HG91" s="2"/>
      <c r="HH91" s="2"/>
      <c r="HI91" s="2"/>
      <c r="HJ91" s="2"/>
      <c r="HK91" s="2"/>
      <c r="HL91" s="2"/>
      <c r="HM91" s="2"/>
      <c r="HN91" s="2"/>
      <c r="HO91" s="2"/>
      <c r="HP91" s="2"/>
      <c r="HQ91" s="2"/>
      <c r="HR91" s="2"/>
      <c r="HS91" s="2"/>
      <c r="HT91" s="2"/>
      <c r="HU91" s="2"/>
      <c r="HV91" s="2"/>
      <c r="HW91" s="2"/>
      <c r="HX91" s="2"/>
      <c r="HY91" s="2"/>
      <c r="HZ91" s="2"/>
      <c r="IA91" s="2"/>
      <c r="IB91" s="2"/>
      <c r="IC91" s="2"/>
      <c r="IH91" s="21"/>
      <c r="II91" s="14"/>
    </row>
    <row r="92" spans="1:243">
      <c r="A92" s="2"/>
      <c r="B92" s="2"/>
      <c r="C92" s="2"/>
      <c r="D92" s="2"/>
      <c r="E92" s="2"/>
      <c r="F92" s="2"/>
      <c r="G92" s="2"/>
      <c r="H92" s="2"/>
      <c r="I92" s="2"/>
      <c r="J92" s="2"/>
      <c r="K92" s="2"/>
      <c r="L92" s="2"/>
      <c r="M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H92" s="21"/>
      <c r="II92" s="14"/>
    </row>
    <row r="93" spans="1:243">
      <c r="A93" s="2"/>
      <c r="B93" s="2"/>
      <c r="C93" s="2"/>
      <c r="D93" s="2"/>
      <c r="E93" s="2"/>
      <c r="F93" s="2"/>
      <c r="G93" s="2"/>
      <c r="H93" s="2"/>
      <c r="I93" s="2"/>
      <c r="J93" s="2"/>
      <c r="K93" s="2"/>
      <c r="L93" s="2"/>
      <c r="M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c r="GX93" s="2"/>
      <c r="GY93" s="2"/>
      <c r="GZ93" s="2"/>
      <c r="HA93" s="2"/>
      <c r="HB93" s="2"/>
      <c r="HC93" s="2"/>
      <c r="HD93" s="2"/>
      <c r="HE93" s="2"/>
      <c r="HF93" s="2"/>
      <c r="HG93" s="2"/>
      <c r="HH93" s="2"/>
      <c r="HI93" s="2"/>
      <c r="HJ93" s="2"/>
      <c r="HK93" s="2"/>
      <c r="HL93" s="2"/>
      <c r="HM93" s="2"/>
      <c r="HN93" s="2"/>
      <c r="HO93" s="2"/>
      <c r="HP93" s="2"/>
      <c r="HQ93" s="2"/>
      <c r="HR93" s="2"/>
      <c r="HS93" s="2"/>
      <c r="HT93" s="2"/>
      <c r="HU93" s="2"/>
      <c r="HV93" s="2"/>
      <c r="HW93" s="2"/>
      <c r="HX93" s="2"/>
      <c r="HY93" s="2"/>
      <c r="HZ93" s="2"/>
      <c r="IA93" s="2"/>
      <c r="IB93" s="2"/>
      <c r="IC93" s="2"/>
      <c r="IH93" s="21"/>
      <c r="II93" s="14"/>
    </row>
    <row r="94" spans="1:243">
      <c r="A94" s="2"/>
      <c r="B94" s="2"/>
      <c r="C94" s="2"/>
      <c r="D94" s="2"/>
      <c r="E94" s="2"/>
      <c r="F94" s="2"/>
      <c r="G94" s="2"/>
      <c r="H94" s="2"/>
      <c r="I94" s="2"/>
      <c r="J94" s="2"/>
      <c r="K94" s="2"/>
      <c r="L94" s="2"/>
      <c r="M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c r="GX94" s="2"/>
      <c r="GY94" s="2"/>
      <c r="GZ94" s="2"/>
      <c r="HA94" s="2"/>
      <c r="HB94" s="2"/>
      <c r="HC94" s="2"/>
      <c r="HD94" s="2"/>
      <c r="HE94" s="2"/>
      <c r="HF94" s="2"/>
      <c r="HG94" s="2"/>
      <c r="HH94" s="2"/>
      <c r="HI94" s="2"/>
      <c r="HJ94" s="2"/>
      <c r="HK94" s="2"/>
      <c r="HL94" s="2"/>
      <c r="HM94" s="2"/>
      <c r="HN94" s="2"/>
      <c r="HO94" s="2"/>
      <c r="HP94" s="2"/>
      <c r="HQ94" s="2"/>
      <c r="HR94" s="2"/>
      <c r="HS94" s="2"/>
      <c r="HT94" s="2"/>
      <c r="HU94" s="2"/>
      <c r="HV94" s="2"/>
      <c r="HW94" s="2"/>
      <c r="HX94" s="2"/>
      <c r="HY94" s="2"/>
      <c r="HZ94" s="2"/>
      <c r="IA94" s="2"/>
      <c r="IB94" s="2"/>
      <c r="IC94" s="2"/>
      <c r="IH94" s="21"/>
      <c r="II94" s="14"/>
    </row>
    <row r="95" spans="1:243">
      <c r="A95" s="2"/>
      <c r="B95" s="2"/>
      <c r="C95" s="2"/>
      <c r="D95" s="2"/>
      <c r="E95" s="2"/>
      <c r="F95" s="2"/>
      <c r="G95" s="2"/>
      <c r="H95" s="2"/>
      <c r="I95" s="2"/>
      <c r="J95" s="2"/>
      <c r="K95" s="2"/>
      <c r="L95" s="2"/>
      <c r="M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c r="GX95" s="2"/>
      <c r="GY95" s="2"/>
      <c r="GZ95" s="2"/>
      <c r="HA95" s="2"/>
      <c r="HB95" s="2"/>
      <c r="HC95" s="2"/>
      <c r="HD95" s="2"/>
      <c r="HE95" s="2"/>
      <c r="HF95" s="2"/>
      <c r="HG95" s="2"/>
      <c r="HH95" s="2"/>
      <c r="HI95" s="2"/>
      <c r="HJ95" s="2"/>
      <c r="HK95" s="2"/>
      <c r="HL95" s="2"/>
      <c r="HM95" s="2"/>
      <c r="HN95" s="2"/>
      <c r="HO95" s="2"/>
      <c r="HP95" s="2"/>
      <c r="HQ95" s="2"/>
      <c r="HR95" s="2"/>
      <c r="HS95" s="2"/>
      <c r="HT95" s="2"/>
      <c r="HU95" s="2"/>
      <c r="HV95" s="2"/>
      <c r="HW95" s="2"/>
      <c r="HX95" s="2"/>
      <c r="HY95" s="2"/>
      <c r="HZ95" s="2"/>
      <c r="IA95" s="2"/>
      <c r="IB95" s="2"/>
      <c r="IC95" s="2"/>
      <c r="IH95" s="21"/>
      <c r="II95" s="14"/>
    </row>
    <row r="96" spans="1:243">
      <c r="A96" s="2"/>
      <c r="B96" s="2"/>
      <c r="C96" s="2"/>
      <c r="D96" s="2"/>
      <c r="E96" s="2"/>
      <c r="F96" s="2"/>
      <c r="G96" s="2"/>
      <c r="H96" s="2"/>
      <c r="I96" s="2"/>
      <c r="J96" s="2"/>
      <c r="K96" s="2"/>
      <c r="L96" s="2"/>
      <c r="M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c r="GX96" s="2"/>
      <c r="GY96" s="2"/>
      <c r="GZ96" s="2"/>
      <c r="HA96" s="2"/>
      <c r="HB96" s="2"/>
      <c r="HC96" s="2"/>
      <c r="HD96" s="2"/>
      <c r="HE96" s="2"/>
      <c r="HF96" s="2"/>
      <c r="HG96" s="2"/>
      <c r="HH96" s="2"/>
      <c r="HI96" s="2"/>
      <c r="HJ96" s="2"/>
      <c r="HK96" s="2"/>
      <c r="HL96" s="2"/>
      <c r="HM96" s="2"/>
      <c r="HN96" s="2"/>
      <c r="HO96" s="2"/>
      <c r="HP96" s="2"/>
      <c r="HQ96" s="2"/>
      <c r="HR96" s="2"/>
      <c r="HS96" s="2"/>
      <c r="HT96" s="2"/>
      <c r="HU96" s="2"/>
      <c r="HV96" s="2"/>
      <c r="HW96" s="2"/>
      <c r="HX96" s="2"/>
      <c r="HY96" s="2"/>
      <c r="HZ96" s="2"/>
      <c r="IA96" s="2"/>
      <c r="IB96" s="2"/>
      <c r="IC96" s="2"/>
      <c r="IH96" s="21"/>
      <c r="II96" s="14"/>
    </row>
    <row r="97" spans="1:243">
      <c r="A97" s="2"/>
      <c r="B97" s="2"/>
      <c r="C97" s="2"/>
      <c r="D97" s="2"/>
      <c r="E97" s="2"/>
      <c r="F97" s="2"/>
      <c r="G97" s="2"/>
      <c r="H97" s="2"/>
      <c r="I97" s="2"/>
      <c r="J97" s="2"/>
      <c r="K97" s="2"/>
      <c r="L97" s="2"/>
      <c r="M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c r="GX97" s="2"/>
      <c r="GY97" s="2"/>
      <c r="GZ97" s="2"/>
      <c r="HA97" s="2"/>
      <c r="HB97" s="2"/>
      <c r="HC97" s="2"/>
      <c r="HD97" s="2"/>
      <c r="HE97" s="2"/>
      <c r="HF97" s="2"/>
      <c r="HG97" s="2"/>
      <c r="HH97" s="2"/>
      <c r="HI97" s="2"/>
      <c r="HJ97" s="2"/>
      <c r="HK97" s="2"/>
      <c r="HL97" s="2"/>
      <c r="HM97" s="2"/>
      <c r="HN97" s="2"/>
      <c r="HO97" s="2"/>
      <c r="HP97" s="2"/>
      <c r="HQ97" s="2"/>
      <c r="HR97" s="2"/>
      <c r="HS97" s="2"/>
      <c r="HT97" s="2"/>
      <c r="HU97" s="2"/>
      <c r="HV97" s="2"/>
      <c r="HW97" s="2"/>
      <c r="HX97" s="2"/>
      <c r="HY97" s="2"/>
      <c r="HZ97" s="2"/>
      <c r="IA97" s="2"/>
      <c r="IB97" s="2"/>
      <c r="IC97" s="2"/>
      <c r="IH97" s="21"/>
      <c r="II97" s="14"/>
    </row>
    <row r="98" spans="1:243">
      <c r="A98" s="2"/>
      <c r="B98" s="2"/>
      <c r="C98" s="2"/>
      <c r="D98" s="2"/>
      <c r="E98" s="2"/>
      <c r="F98" s="2"/>
      <c r="G98" s="2"/>
      <c r="H98" s="2"/>
      <c r="I98" s="2"/>
      <c r="J98" s="2"/>
      <c r="K98" s="2"/>
      <c r="L98" s="2"/>
      <c r="M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c r="GX98" s="2"/>
      <c r="GY98" s="2"/>
      <c r="GZ98" s="2"/>
      <c r="HA98" s="2"/>
      <c r="HB98" s="2"/>
      <c r="HC98" s="2"/>
      <c r="HD98" s="2"/>
      <c r="HE98" s="2"/>
      <c r="HF98" s="2"/>
      <c r="HG98" s="2"/>
      <c r="HH98" s="2"/>
      <c r="HI98" s="2"/>
      <c r="HJ98" s="2"/>
      <c r="HK98" s="2"/>
      <c r="HL98" s="2"/>
      <c r="HM98" s="2"/>
      <c r="HN98" s="2"/>
      <c r="HO98" s="2"/>
      <c r="HP98" s="2"/>
      <c r="HQ98" s="2"/>
      <c r="HR98" s="2"/>
      <c r="HS98" s="2"/>
      <c r="HT98" s="2"/>
      <c r="HU98" s="2"/>
      <c r="HV98" s="2"/>
      <c r="HW98" s="2"/>
      <c r="HX98" s="2"/>
      <c r="HY98" s="2"/>
      <c r="HZ98" s="2"/>
      <c r="IA98" s="2"/>
      <c r="IB98" s="2"/>
      <c r="IC98" s="2"/>
      <c r="IH98" s="21"/>
      <c r="II98" s="14"/>
    </row>
    <row r="99" spans="1:243">
      <c r="A99" s="2"/>
      <c r="B99" s="2"/>
      <c r="C99" s="2"/>
      <c r="D99" s="2"/>
      <c r="E99" s="2"/>
      <c r="F99" s="2"/>
      <c r="G99" s="2"/>
      <c r="H99" s="2"/>
      <c r="I99" s="2"/>
      <c r="J99" s="2"/>
      <c r="K99" s="2"/>
      <c r="L99" s="2"/>
      <c r="M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c r="GX99" s="2"/>
      <c r="GY99" s="2"/>
      <c r="GZ99" s="2"/>
      <c r="HA99" s="2"/>
      <c r="HB99" s="2"/>
      <c r="HC99" s="2"/>
      <c r="HD99" s="2"/>
      <c r="HE99" s="2"/>
      <c r="HF99" s="2"/>
      <c r="HG99" s="2"/>
      <c r="HH99" s="2"/>
      <c r="HI99" s="2"/>
      <c r="HJ99" s="2"/>
      <c r="HK99" s="2"/>
      <c r="HL99" s="2"/>
      <c r="HM99" s="2"/>
      <c r="HN99" s="2"/>
      <c r="HO99" s="2"/>
      <c r="HP99" s="2"/>
      <c r="HQ99" s="2"/>
      <c r="HR99" s="2"/>
      <c r="HS99" s="2"/>
      <c r="HT99" s="2"/>
      <c r="HU99" s="2"/>
      <c r="HV99" s="2"/>
      <c r="HW99" s="2"/>
      <c r="HX99" s="2"/>
      <c r="HY99" s="2"/>
      <c r="HZ99" s="2"/>
      <c r="IA99" s="2"/>
      <c r="IB99" s="2"/>
      <c r="IC99" s="2"/>
      <c r="IH99" s="21"/>
      <c r="II99" s="14"/>
    </row>
    <row r="100" spans="1:243">
      <c r="A100" s="2"/>
      <c r="B100" s="2"/>
      <c r="C100" s="2"/>
      <c r="D100" s="2"/>
      <c r="E100" s="2"/>
      <c r="F100" s="2"/>
      <c r="G100" s="2"/>
      <c r="H100" s="2"/>
      <c r="I100" s="2"/>
      <c r="J100" s="2"/>
      <c r="K100" s="2"/>
      <c r="L100" s="2"/>
      <c r="M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c r="GX100" s="2"/>
      <c r="GY100" s="2"/>
      <c r="GZ100" s="2"/>
      <c r="HA100" s="2"/>
      <c r="HB100" s="2"/>
      <c r="HC100" s="2"/>
      <c r="HD100" s="2"/>
      <c r="HE100" s="2"/>
      <c r="HF100" s="2"/>
      <c r="HG100" s="2"/>
      <c r="HH100" s="2"/>
      <c r="HI100" s="2"/>
      <c r="HJ100" s="2"/>
      <c r="HK100" s="2"/>
      <c r="HL100" s="2"/>
      <c r="HM100" s="2"/>
      <c r="HN100" s="2"/>
      <c r="HO100" s="2"/>
      <c r="HP100" s="2"/>
      <c r="HQ100" s="2"/>
      <c r="HR100" s="2"/>
      <c r="HS100" s="2"/>
      <c r="HT100" s="2"/>
      <c r="HU100" s="2"/>
      <c r="HV100" s="2"/>
      <c r="HW100" s="2"/>
      <c r="HX100" s="2"/>
      <c r="HY100" s="2"/>
      <c r="HZ100" s="2"/>
      <c r="IA100" s="2"/>
      <c r="IB100" s="2"/>
      <c r="IC100" s="2"/>
      <c r="IH100" s="21"/>
      <c r="II100" s="14"/>
    </row>
    <row r="101" spans="1:243">
      <c r="A101" s="2"/>
      <c r="B101" s="2"/>
      <c r="C101" s="2"/>
      <c r="D101" s="2"/>
      <c r="E101" s="2"/>
      <c r="F101" s="2"/>
      <c r="G101" s="2"/>
      <c r="H101" s="2"/>
      <c r="I101" s="2"/>
      <c r="J101" s="2"/>
      <c r="K101" s="2"/>
      <c r="L101" s="2"/>
      <c r="M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c r="GX101" s="2"/>
      <c r="GY101" s="2"/>
      <c r="GZ101" s="2"/>
      <c r="HA101" s="2"/>
      <c r="HB101" s="2"/>
      <c r="HC101" s="2"/>
      <c r="HD101" s="2"/>
      <c r="HE101" s="2"/>
      <c r="HF101" s="2"/>
      <c r="HG101" s="2"/>
      <c r="HH101" s="2"/>
      <c r="HI101" s="2"/>
      <c r="HJ101" s="2"/>
      <c r="HK101" s="2"/>
      <c r="HL101" s="2"/>
      <c r="HM101" s="2"/>
      <c r="HN101" s="2"/>
      <c r="HO101" s="2"/>
      <c r="HP101" s="2"/>
      <c r="HQ101" s="2"/>
      <c r="HR101" s="2"/>
      <c r="HS101" s="2"/>
      <c r="HT101" s="2"/>
      <c r="HU101" s="2"/>
      <c r="HV101" s="2"/>
      <c r="HW101" s="2"/>
      <c r="HX101" s="2"/>
      <c r="HY101" s="2"/>
      <c r="HZ101" s="2"/>
      <c r="IA101" s="2"/>
      <c r="IB101" s="2"/>
      <c r="IC101" s="2"/>
      <c r="IH101" s="21"/>
      <c r="II101" s="14"/>
    </row>
    <row r="102" spans="1:243">
      <c r="A102" s="2"/>
      <c r="B102" s="2"/>
      <c r="C102" s="2"/>
      <c r="D102" s="2"/>
      <c r="E102" s="2"/>
      <c r="F102" s="2"/>
      <c r="G102" s="2"/>
      <c r="H102" s="2"/>
      <c r="I102" s="2"/>
      <c r="J102" s="2"/>
      <c r="K102" s="2"/>
      <c r="L102" s="2"/>
      <c r="M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c r="GX102" s="2"/>
      <c r="GY102" s="2"/>
      <c r="GZ102" s="2"/>
      <c r="HA102" s="2"/>
      <c r="HB102" s="2"/>
      <c r="HC102" s="2"/>
      <c r="HD102" s="2"/>
      <c r="HE102" s="2"/>
      <c r="HF102" s="2"/>
      <c r="HG102" s="2"/>
      <c r="HH102" s="2"/>
      <c r="HI102" s="2"/>
      <c r="HJ102" s="2"/>
      <c r="HK102" s="2"/>
      <c r="HL102" s="2"/>
      <c r="HM102" s="2"/>
      <c r="HN102" s="2"/>
      <c r="HO102" s="2"/>
      <c r="HP102" s="2"/>
      <c r="HQ102" s="2"/>
      <c r="HR102" s="2"/>
      <c r="HS102" s="2"/>
      <c r="HT102" s="2"/>
      <c r="HU102" s="2"/>
      <c r="HV102" s="2"/>
      <c r="HW102" s="2"/>
      <c r="HX102" s="2"/>
      <c r="HY102" s="2"/>
      <c r="HZ102" s="2"/>
      <c r="IA102" s="2"/>
      <c r="IB102" s="2"/>
      <c r="IC102" s="2"/>
      <c r="IH102" s="21"/>
      <c r="II102" s="14"/>
    </row>
    <row r="103" spans="1:243">
      <c r="A103" s="2"/>
      <c r="B103" s="2"/>
      <c r="C103" s="2"/>
      <c r="D103" s="2"/>
      <c r="E103" s="2"/>
      <c r="F103" s="2"/>
      <c r="G103" s="2"/>
      <c r="H103" s="2"/>
      <c r="I103" s="2"/>
      <c r="J103" s="2"/>
      <c r="K103" s="2"/>
      <c r="L103" s="2"/>
      <c r="M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c r="GX103" s="2"/>
      <c r="GY103" s="2"/>
      <c r="GZ103" s="2"/>
      <c r="HA103" s="2"/>
      <c r="HB103" s="2"/>
      <c r="HC103" s="2"/>
      <c r="HD103" s="2"/>
      <c r="HE103" s="2"/>
      <c r="HF103" s="2"/>
      <c r="HG103" s="2"/>
      <c r="HH103" s="2"/>
      <c r="HI103" s="2"/>
      <c r="HJ103" s="2"/>
      <c r="HK103" s="2"/>
      <c r="HL103" s="2"/>
      <c r="HM103" s="2"/>
      <c r="HN103" s="2"/>
      <c r="HO103" s="2"/>
      <c r="HP103" s="2"/>
      <c r="HQ103" s="2"/>
      <c r="HR103" s="2"/>
      <c r="HS103" s="2"/>
      <c r="HT103" s="2"/>
      <c r="HU103" s="2"/>
      <c r="HV103" s="2"/>
      <c r="HW103" s="2"/>
      <c r="HX103" s="2"/>
      <c r="HY103" s="2"/>
      <c r="HZ103" s="2"/>
      <c r="IA103" s="2"/>
      <c r="IB103" s="2"/>
      <c r="IC103" s="2"/>
      <c r="IH103" s="21"/>
      <c r="II103" s="14"/>
    </row>
    <row r="104" spans="1:243">
      <c r="A104" s="2"/>
      <c r="B104" s="2"/>
      <c r="C104" s="2"/>
      <c r="D104" s="2"/>
      <c r="E104" s="2"/>
      <c r="F104" s="2"/>
      <c r="G104" s="2"/>
      <c r="H104" s="2"/>
      <c r="I104" s="2"/>
      <c r="J104" s="2"/>
      <c r="K104" s="2"/>
      <c r="L104" s="2"/>
      <c r="M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c r="GX104" s="2"/>
      <c r="GY104" s="2"/>
      <c r="GZ104" s="2"/>
      <c r="HA104" s="2"/>
      <c r="HB104" s="2"/>
      <c r="HC104" s="2"/>
      <c r="HD104" s="2"/>
      <c r="HE104" s="2"/>
      <c r="HF104" s="2"/>
      <c r="HG104" s="2"/>
      <c r="HH104" s="2"/>
      <c r="HI104" s="2"/>
      <c r="HJ104" s="2"/>
      <c r="HK104" s="2"/>
      <c r="HL104" s="2"/>
      <c r="HM104" s="2"/>
      <c r="HN104" s="2"/>
      <c r="HO104" s="2"/>
      <c r="HP104" s="2"/>
      <c r="HQ104" s="2"/>
      <c r="HR104" s="2"/>
      <c r="HS104" s="2"/>
      <c r="HT104" s="2"/>
      <c r="HU104" s="2"/>
      <c r="HV104" s="2"/>
      <c r="HW104" s="2"/>
      <c r="HX104" s="2"/>
      <c r="HY104" s="2"/>
      <c r="HZ104" s="2"/>
      <c r="IA104" s="2"/>
      <c r="IB104" s="2"/>
      <c r="IC104" s="2"/>
      <c r="IH104" s="21"/>
      <c r="II104" s="14"/>
    </row>
    <row r="105" spans="1:243">
      <c r="A105" s="2"/>
      <c r="B105" s="2"/>
      <c r="C105" s="2"/>
      <c r="D105" s="2"/>
      <c r="E105" s="2"/>
      <c r="F105" s="2"/>
      <c r="G105" s="2"/>
      <c r="H105" s="2"/>
      <c r="I105" s="2"/>
      <c r="J105" s="2"/>
      <c r="K105" s="2"/>
      <c r="L105" s="2"/>
      <c r="M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c r="GX105" s="2"/>
      <c r="GY105" s="2"/>
      <c r="GZ105" s="2"/>
      <c r="HA105" s="2"/>
      <c r="HB105" s="2"/>
      <c r="HC105" s="2"/>
      <c r="HD105" s="2"/>
      <c r="HE105" s="2"/>
      <c r="HF105" s="2"/>
      <c r="HG105" s="2"/>
      <c r="HH105" s="2"/>
      <c r="HI105" s="2"/>
      <c r="HJ105" s="2"/>
      <c r="HK105" s="2"/>
      <c r="HL105" s="2"/>
      <c r="HM105" s="2"/>
      <c r="HN105" s="2"/>
      <c r="HO105" s="2"/>
      <c r="HP105" s="2"/>
      <c r="HQ105" s="2"/>
      <c r="HR105" s="2"/>
      <c r="HS105" s="2"/>
      <c r="HT105" s="2"/>
      <c r="HU105" s="2"/>
      <c r="HV105" s="2"/>
      <c r="HW105" s="2"/>
      <c r="HX105" s="2"/>
      <c r="HY105" s="2"/>
      <c r="HZ105" s="2"/>
      <c r="IA105" s="2"/>
      <c r="IB105" s="2"/>
      <c r="IC105" s="2"/>
      <c r="IH105" s="21"/>
      <c r="II105" s="14"/>
    </row>
    <row r="106" spans="1:243">
      <c r="A106" s="2"/>
      <c r="B106" s="2"/>
      <c r="C106" s="2"/>
      <c r="D106" s="2"/>
      <c r="E106" s="2"/>
      <c r="F106" s="2"/>
      <c r="G106" s="2"/>
      <c r="H106" s="2"/>
      <c r="I106" s="2"/>
      <c r="J106" s="2"/>
      <c r="K106" s="2"/>
      <c r="L106" s="2"/>
      <c r="M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c r="GD106" s="2"/>
      <c r="GE106" s="2"/>
      <c r="GF106" s="2"/>
      <c r="GG106" s="2"/>
      <c r="GH106" s="2"/>
      <c r="GI106" s="2"/>
      <c r="GJ106" s="2"/>
      <c r="GK106" s="2"/>
      <c r="GL106" s="2"/>
      <c r="GM106" s="2"/>
      <c r="GN106" s="2"/>
      <c r="GO106" s="2"/>
      <c r="GP106" s="2"/>
      <c r="GQ106" s="2"/>
      <c r="GR106" s="2"/>
      <c r="GS106" s="2"/>
      <c r="GT106" s="2"/>
      <c r="GU106" s="2"/>
      <c r="GV106" s="2"/>
      <c r="GW106" s="2"/>
      <c r="GX106" s="2"/>
      <c r="GY106" s="2"/>
      <c r="GZ106" s="2"/>
      <c r="HA106" s="2"/>
      <c r="HB106" s="2"/>
      <c r="HC106" s="2"/>
      <c r="HD106" s="2"/>
      <c r="HE106" s="2"/>
      <c r="HF106" s="2"/>
      <c r="HG106" s="2"/>
      <c r="HH106" s="2"/>
      <c r="HI106" s="2"/>
      <c r="HJ106" s="2"/>
      <c r="HK106" s="2"/>
      <c r="HL106" s="2"/>
      <c r="HM106" s="2"/>
      <c r="HN106" s="2"/>
      <c r="HO106" s="2"/>
      <c r="HP106" s="2"/>
      <c r="HQ106" s="2"/>
      <c r="HR106" s="2"/>
      <c r="HS106" s="2"/>
      <c r="HT106" s="2"/>
      <c r="HU106" s="2"/>
      <c r="HV106" s="2"/>
      <c r="HW106" s="2"/>
      <c r="HX106" s="2"/>
      <c r="HY106" s="2"/>
      <c r="HZ106" s="2"/>
      <c r="IA106" s="2"/>
      <c r="IB106" s="2"/>
      <c r="IC106" s="2"/>
      <c r="IH106" s="21"/>
      <c r="II106" s="14"/>
    </row>
    <row r="107" spans="1:243">
      <c r="A107" s="2"/>
      <c r="B107" s="2"/>
      <c r="C107" s="2"/>
      <c r="D107" s="2"/>
      <c r="E107" s="2"/>
      <c r="F107" s="2"/>
      <c r="G107" s="2"/>
      <c r="H107" s="2"/>
      <c r="I107" s="2"/>
      <c r="J107" s="2"/>
      <c r="K107" s="2"/>
      <c r="L107" s="2"/>
      <c r="M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c r="GD107" s="2"/>
      <c r="GE107" s="2"/>
      <c r="GF107" s="2"/>
      <c r="GG107" s="2"/>
      <c r="GH107" s="2"/>
      <c r="GI107" s="2"/>
      <c r="GJ107" s="2"/>
      <c r="GK107" s="2"/>
      <c r="GL107" s="2"/>
      <c r="GM107" s="2"/>
      <c r="GN107" s="2"/>
      <c r="GO107" s="2"/>
      <c r="GP107" s="2"/>
      <c r="GQ107" s="2"/>
      <c r="GR107" s="2"/>
      <c r="GS107" s="2"/>
      <c r="GT107" s="2"/>
      <c r="GU107" s="2"/>
      <c r="GV107" s="2"/>
      <c r="GW107" s="2"/>
      <c r="GX107" s="2"/>
      <c r="GY107" s="2"/>
      <c r="GZ107" s="2"/>
      <c r="HA107" s="2"/>
      <c r="HB107" s="2"/>
      <c r="HC107" s="2"/>
      <c r="HD107" s="2"/>
      <c r="HE107" s="2"/>
      <c r="HF107" s="2"/>
      <c r="HG107" s="2"/>
      <c r="HH107" s="2"/>
      <c r="HI107" s="2"/>
      <c r="HJ107" s="2"/>
      <c r="HK107" s="2"/>
      <c r="HL107" s="2"/>
      <c r="HM107" s="2"/>
      <c r="HN107" s="2"/>
      <c r="HO107" s="2"/>
      <c r="HP107" s="2"/>
      <c r="HQ107" s="2"/>
      <c r="HR107" s="2"/>
      <c r="HS107" s="2"/>
      <c r="HT107" s="2"/>
      <c r="HU107" s="2"/>
      <c r="HV107" s="2"/>
      <c r="HW107" s="2"/>
      <c r="HX107" s="2"/>
      <c r="HY107" s="2"/>
      <c r="HZ107" s="2"/>
      <c r="IA107" s="2"/>
      <c r="IB107" s="2"/>
      <c r="IC107" s="2"/>
      <c r="IH107" s="21"/>
      <c r="II107" s="14"/>
    </row>
    <row r="108" spans="1:243">
      <c r="A108" s="2"/>
      <c r="B108" s="2"/>
      <c r="C108" s="2"/>
      <c r="D108" s="2"/>
      <c r="E108" s="2"/>
      <c r="F108" s="2"/>
      <c r="G108" s="2"/>
      <c r="H108" s="2"/>
      <c r="I108" s="2"/>
      <c r="J108" s="2"/>
      <c r="K108" s="2"/>
      <c r="L108" s="2"/>
      <c r="M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c r="GX108" s="2"/>
      <c r="GY108" s="2"/>
      <c r="GZ108" s="2"/>
      <c r="HA108" s="2"/>
      <c r="HB108" s="2"/>
      <c r="HC108" s="2"/>
      <c r="HD108" s="2"/>
      <c r="HE108" s="2"/>
      <c r="HF108" s="2"/>
      <c r="HG108" s="2"/>
      <c r="HH108" s="2"/>
      <c r="HI108" s="2"/>
      <c r="HJ108" s="2"/>
      <c r="HK108" s="2"/>
      <c r="HL108" s="2"/>
      <c r="HM108" s="2"/>
      <c r="HN108" s="2"/>
      <c r="HO108" s="2"/>
      <c r="HP108" s="2"/>
      <c r="HQ108" s="2"/>
      <c r="HR108" s="2"/>
      <c r="HS108" s="2"/>
      <c r="HT108" s="2"/>
      <c r="HU108" s="2"/>
      <c r="HV108" s="2"/>
      <c r="HW108" s="2"/>
      <c r="HX108" s="2"/>
      <c r="HY108" s="2"/>
      <c r="HZ108" s="2"/>
      <c r="IA108" s="2"/>
      <c r="IB108" s="2"/>
      <c r="IC108" s="2"/>
      <c r="IH108" s="21"/>
      <c r="II108" s="14"/>
    </row>
    <row r="109" spans="1:243">
      <c r="A109" s="2"/>
      <c r="B109" s="2"/>
      <c r="C109" s="2"/>
      <c r="D109" s="2"/>
      <c r="E109" s="2"/>
      <c r="F109" s="2"/>
      <c r="G109" s="2"/>
      <c r="H109" s="2"/>
      <c r="I109" s="2"/>
      <c r="J109" s="2"/>
      <c r="K109" s="2"/>
      <c r="L109" s="2"/>
      <c r="M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H109" s="21"/>
      <c r="II109" s="14"/>
    </row>
    <row r="110" spans="1:243">
      <c r="A110" s="2"/>
      <c r="B110" s="2"/>
      <c r="C110" s="2"/>
      <c r="D110" s="2"/>
      <c r="E110" s="2"/>
      <c r="F110" s="2"/>
      <c r="G110" s="2"/>
      <c r="H110" s="2"/>
      <c r="I110" s="2"/>
      <c r="J110" s="2"/>
      <c r="K110" s="2"/>
      <c r="L110" s="2"/>
      <c r="M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H110" s="21"/>
      <c r="II110" s="14"/>
    </row>
    <row r="111" spans="1:243">
      <c r="A111" s="2"/>
      <c r="B111" s="2"/>
      <c r="C111" s="2"/>
      <c r="D111" s="2"/>
      <c r="E111" s="2"/>
      <c r="F111" s="2"/>
      <c r="G111" s="2"/>
      <c r="H111" s="2"/>
      <c r="I111" s="2"/>
      <c r="J111" s="2"/>
      <c r="K111" s="2"/>
      <c r="L111" s="2"/>
      <c r="M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c r="GX111" s="2"/>
      <c r="GY111" s="2"/>
      <c r="GZ111" s="2"/>
      <c r="HA111" s="2"/>
      <c r="HB111" s="2"/>
      <c r="HC111" s="2"/>
      <c r="HD111" s="2"/>
      <c r="HE111" s="2"/>
      <c r="HF111" s="2"/>
      <c r="HG111" s="2"/>
      <c r="HH111" s="2"/>
      <c r="HI111" s="2"/>
      <c r="HJ111" s="2"/>
      <c r="HK111" s="2"/>
      <c r="HL111" s="2"/>
      <c r="HM111" s="2"/>
      <c r="HN111" s="2"/>
      <c r="HO111" s="2"/>
      <c r="HP111" s="2"/>
      <c r="HQ111" s="2"/>
      <c r="HR111" s="2"/>
      <c r="HS111" s="2"/>
      <c r="HT111" s="2"/>
      <c r="HU111" s="2"/>
      <c r="HV111" s="2"/>
      <c r="HW111" s="2"/>
      <c r="HX111" s="2"/>
      <c r="HY111" s="2"/>
      <c r="HZ111" s="2"/>
      <c r="IA111" s="2"/>
      <c r="IB111" s="2"/>
      <c r="IC111" s="2"/>
      <c r="IH111" s="21"/>
      <c r="II111" s="14"/>
    </row>
    <row r="112" spans="1:243">
      <c r="A112" s="2"/>
      <c r="B112" s="2"/>
      <c r="C112" s="2"/>
      <c r="D112" s="2"/>
      <c r="E112" s="2"/>
      <c r="F112" s="2"/>
      <c r="G112" s="2"/>
      <c r="H112" s="2"/>
      <c r="I112" s="2"/>
      <c r="J112" s="2"/>
      <c r="K112" s="2"/>
      <c r="L112" s="2"/>
      <c r="M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c r="GX112" s="2"/>
      <c r="GY112" s="2"/>
      <c r="GZ112" s="2"/>
      <c r="HA112" s="2"/>
      <c r="HB112" s="2"/>
      <c r="HC112" s="2"/>
      <c r="HD112" s="2"/>
      <c r="HE112" s="2"/>
      <c r="HF112" s="2"/>
      <c r="HG112" s="2"/>
      <c r="HH112" s="2"/>
      <c r="HI112" s="2"/>
      <c r="HJ112" s="2"/>
      <c r="HK112" s="2"/>
      <c r="HL112" s="2"/>
      <c r="HM112" s="2"/>
      <c r="HN112" s="2"/>
      <c r="HO112" s="2"/>
      <c r="HP112" s="2"/>
      <c r="HQ112" s="2"/>
      <c r="HR112" s="2"/>
      <c r="HS112" s="2"/>
      <c r="HT112" s="2"/>
      <c r="HU112" s="2"/>
      <c r="HV112" s="2"/>
      <c r="HW112" s="2"/>
      <c r="HX112" s="2"/>
      <c r="HY112" s="2"/>
      <c r="HZ112" s="2"/>
      <c r="IA112" s="2"/>
      <c r="IB112" s="2"/>
      <c r="IC112" s="2"/>
      <c r="IH112" s="21"/>
      <c r="II112" s="14"/>
    </row>
    <row r="113" spans="1:243">
      <c r="A113" s="2"/>
      <c r="B113" s="2"/>
      <c r="C113" s="2"/>
      <c r="D113" s="2"/>
      <c r="E113" s="2"/>
      <c r="F113" s="2"/>
      <c r="G113" s="2"/>
      <c r="H113" s="2"/>
      <c r="I113" s="2"/>
      <c r="J113" s="2"/>
      <c r="K113" s="2"/>
      <c r="L113" s="2"/>
      <c r="M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c r="GD113" s="2"/>
      <c r="GE113" s="2"/>
      <c r="GF113" s="2"/>
      <c r="GG113" s="2"/>
      <c r="GH113" s="2"/>
      <c r="GI113" s="2"/>
      <c r="GJ113" s="2"/>
      <c r="GK113" s="2"/>
      <c r="GL113" s="2"/>
      <c r="GM113" s="2"/>
      <c r="GN113" s="2"/>
      <c r="GO113" s="2"/>
      <c r="GP113" s="2"/>
      <c r="GQ113" s="2"/>
      <c r="GR113" s="2"/>
      <c r="GS113" s="2"/>
      <c r="GT113" s="2"/>
      <c r="GU113" s="2"/>
      <c r="GV113" s="2"/>
      <c r="GW113" s="2"/>
      <c r="GX113" s="2"/>
      <c r="GY113" s="2"/>
      <c r="GZ113" s="2"/>
      <c r="HA113" s="2"/>
      <c r="HB113" s="2"/>
      <c r="HC113" s="2"/>
      <c r="HD113" s="2"/>
      <c r="HE113" s="2"/>
      <c r="HF113" s="2"/>
      <c r="HG113" s="2"/>
      <c r="HH113" s="2"/>
      <c r="HI113" s="2"/>
      <c r="HJ113" s="2"/>
      <c r="HK113" s="2"/>
      <c r="HL113" s="2"/>
      <c r="HM113" s="2"/>
      <c r="HN113" s="2"/>
      <c r="HO113" s="2"/>
      <c r="HP113" s="2"/>
      <c r="HQ113" s="2"/>
      <c r="HR113" s="2"/>
      <c r="HS113" s="2"/>
      <c r="HT113" s="2"/>
      <c r="HU113" s="2"/>
      <c r="HV113" s="2"/>
      <c r="HW113" s="2"/>
      <c r="HX113" s="2"/>
      <c r="HY113" s="2"/>
      <c r="HZ113" s="2"/>
      <c r="IA113" s="2"/>
      <c r="IB113" s="2"/>
      <c r="IC113" s="2"/>
      <c r="IH113" s="21"/>
      <c r="II113" s="14"/>
    </row>
    <row r="114" spans="1:243">
      <c r="A114" s="2"/>
      <c r="B114" s="2"/>
      <c r="C114" s="2"/>
      <c r="D114" s="2"/>
      <c r="E114" s="2"/>
      <c r="F114" s="2"/>
      <c r="G114" s="2"/>
      <c r="H114" s="2"/>
      <c r="I114" s="2"/>
      <c r="J114" s="2"/>
      <c r="K114" s="2"/>
      <c r="L114" s="2"/>
      <c r="M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c r="GD114" s="2"/>
      <c r="GE114" s="2"/>
      <c r="GF114" s="2"/>
      <c r="GG114" s="2"/>
      <c r="GH114" s="2"/>
      <c r="GI114" s="2"/>
      <c r="GJ114" s="2"/>
      <c r="GK114" s="2"/>
      <c r="GL114" s="2"/>
      <c r="GM114" s="2"/>
      <c r="GN114" s="2"/>
      <c r="GO114" s="2"/>
      <c r="GP114" s="2"/>
      <c r="GQ114" s="2"/>
      <c r="GR114" s="2"/>
      <c r="GS114" s="2"/>
      <c r="GT114" s="2"/>
      <c r="GU114" s="2"/>
      <c r="GV114" s="2"/>
      <c r="GW114" s="2"/>
      <c r="GX114" s="2"/>
      <c r="GY114" s="2"/>
      <c r="GZ114" s="2"/>
      <c r="HA114" s="2"/>
      <c r="HB114" s="2"/>
      <c r="HC114" s="2"/>
      <c r="HD114" s="2"/>
      <c r="HE114" s="2"/>
      <c r="HF114" s="2"/>
      <c r="HG114" s="2"/>
      <c r="HH114" s="2"/>
      <c r="HI114" s="2"/>
      <c r="HJ114" s="2"/>
      <c r="HK114" s="2"/>
      <c r="HL114" s="2"/>
      <c r="HM114" s="2"/>
      <c r="HN114" s="2"/>
      <c r="HO114" s="2"/>
      <c r="HP114" s="2"/>
      <c r="HQ114" s="2"/>
      <c r="HR114" s="2"/>
      <c r="HS114" s="2"/>
      <c r="HT114" s="2"/>
      <c r="HU114" s="2"/>
      <c r="HV114" s="2"/>
      <c r="HW114" s="2"/>
      <c r="HX114" s="2"/>
      <c r="HY114" s="2"/>
      <c r="HZ114" s="2"/>
      <c r="IA114" s="2"/>
      <c r="IB114" s="2"/>
      <c r="IC114" s="2"/>
      <c r="IH114" s="21"/>
      <c r="II114" s="14"/>
    </row>
    <row r="115" spans="1:243">
      <c r="A115" s="2"/>
      <c r="B115" s="2"/>
      <c r="C115" s="2"/>
      <c r="D115" s="2"/>
      <c r="E115" s="2"/>
      <c r="F115" s="2"/>
      <c r="G115" s="2"/>
      <c r="H115" s="2"/>
      <c r="I115" s="2"/>
      <c r="J115" s="2"/>
      <c r="K115" s="2"/>
      <c r="L115" s="2"/>
      <c r="M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c r="GD115" s="2"/>
      <c r="GE115" s="2"/>
      <c r="GF115" s="2"/>
      <c r="GG115" s="2"/>
      <c r="GH115" s="2"/>
      <c r="GI115" s="2"/>
      <c r="GJ115" s="2"/>
      <c r="GK115" s="2"/>
      <c r="GL115" s="2"/>
      <c r="GM115" s="2"/>
      <c r="GN115" s="2"/>
      <c r="GO115" s="2"/>
      <c r="GP115" s="2"/>
      <c r="GQ115" s="2"/>
      <c r="GR115" s="2"/>
      <c r="GS115" s="2"/>
      <c r="GT115" s="2"/>
      <c r="GU115" s="2"/>
      <c r="GV115" s="2"/>
      <c r="GW115" s="2"/>
      <c r="GX115" s="2"/>
      <c r="GY115" s="2"/>
      <c r="GZ115" s="2"/>
      <c r="HA115" s="2"/>
      <c r="HB115" s="2"/>
      <c r="HC115" s="2"/>
      <c r="HD115" s="2"/>
      <c r="HE115" s="2"/>
      <c r="HF115" s="2"/>
      <c r="HG115" s="2"/>
      <c r="HH115" s="2"/>
      <c r="HI115" s="2"/>
      <c r="HJ115" s="2"/>
      <c r="HK115" s="2"/>
      <c r="HL115" s="2"/>
      <c r="HM115" s="2"/>
      <c r="HN115" s="2"/>
      <c r="HO115" s="2"/>
      <c r="HP115" s="2"/>
      <c r="HQ115" s="2"/>
      <c r="HR115" s="2"/>
      <c r="HS115" s="2"/>
      <c r="HT115" s="2"/>
      <c r="HU115" s="2"/>
      <c r="HV115" s="2"/>
      <c r="HW115" s="2"/>
      <c r="HX115" s="2"/>
      <c r="HY115" s="2"/>
      <c r="HZ115" s="2"/>
      <c r="IA115" s="2"/>
      <c r="IB115" s="2"/>
      <c r="IC115" s="2"/>
      <c r="IH115" s="21"/>
      <c r="II115" s="14"/>
    </row>
    <row r="116" spans="1:243">
      <c r="A116" s="2"/>
      <c r="B116" s="2"/>
      <c r="C116" s="2"/>
      <c r="D116" s="2"/>
      <c r="E116" s="2"/>
      <c r="F116" s="2"/>
      <c r="G116" s="2"/>
      <c r="H116" s="2"/>
      <c r="I116" s="2"/>
      <c r="J116" s="2"/>
      <c r="K116" s="2"/>
      <c r="L116" s="2"/>
      <c r="M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c r="GD116" s="2"/>
      <c r="GE116" s="2"/>
      <c r="GF116" s="2"/>
      <c r="GG116" s="2"/>
      <c r="GH116" s="2"/>
      <c r="GI116" s="2"/>
      <c r="GJ116" s="2"/>
      <c r="GK116" s="2"/>
      <c r="GL116" s="2"/>
      <c r="GM116" s="2"/>
      <c r="GN116" s="2"/>
      <c r="GO116" s="2"/>
      <c r="GP116" s="2"/>
      <c r="GQ116" s="2"/>
      <c r="GR116" s="2"/>
      <c r="GS116" s="2"/>
      <c r="GT116" s="2"/>
      <c r="GU116" s="2"/>
      <c r="GV116" s="2"/>
      <c r="GW116" s="2"/>
      <c r="GX116" s="2"/>
      <c r="GY116" s="2"/>
      <c r="GZ116" s="2"/>
      <c r="HA116" s="2"/>
      <c r="HB116" s="2"/>
      <c r="HC116" s="2"/>
      <c r="HD116" s="2"/>
      <c r="HE116" s="2"/>
      <c r="HF116" s="2"/>
      <c r="HG116" s="2"/>
      <c r="HH116" s="2"/>
      <c r="HI116" s="2"/>
      <c r="HJ116" s="2"/>
      <c r="HK116" s="2"/>
      <c r="HL116" s="2"/>
      <c r="HM116" s="2"/>
      <c r="HN116" s="2"/>
      <c r="HO116" s="2"/>
      <c r="HP116" s="2"/>
      <c r="HQ116" s="2"/>
      <c r="HR116" s="2"/>
      <c r="HS116" s="2"/>
      <c r="HT116" s="2"/>
      <c r="HU116" s="2"/>
      <c r="HV116" s="2"/>
      <c r="HW116" s="2"/>
      <c r="HX116" s="2"/>
      <c r="HY116" s="2"/>
      <c r="HZ116" s="2"/>
      <c r="IA116" s="2"/>
      <c r="IB116" s="2"/>
      <c r="IC116" s="2"/>
      <c r="IH116" s="21"/>
      <c r="II116" s="14"/>
    </row>
    <row r="117" spans="1:243">
      <c r="A117" s="2"/>
      <c r="B117" s="2"/>
      <c r="C117" s="2"/>
      <c r="D117" s="2"/>
      <c r="E117" s="2"/>
      <c r="F117" s="2"/>
      <c r="G117" s="2"/>
      <c r="H117" s="2"/>
      <c r="I117" s="2"/>
      <c r="J117" s="2"/>
      <c r="K117" s="2"/>
      <c r="L117" s="2"/>
      <c r="M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c r="GU117" s="2"/>
      <c r="GV117" s="2"/>
      <c r="GW117" s="2"/>
      <c r="GX117" s="2"/>
      <c r="GY117" s="2"/>
      <c r="GZ117" s="2"/>
      <c r="HA117" s="2"/>
      <c r="HB117" s="2"/>
      <c r="HC117" s="2"/>
      <c r="HD117" s="2"/>
      <c r="HE117" s="2"/>
      <c r="HF117" s="2"/>
      <c r="HG117" s="2"/>
      <c r="HH117" s="2"/>
      <c r="HI117" s="2"/>
      <c r="HJ117" s="2"/>
      <c r="HK117" s="2"/>
      <c r="HL117" s="2"/>
      <c r="HM117" s="2"/>
      <c r="HN117" s="2"/>
      <c r="HO117" s="2"/>
      <c r="HP117" s="2"/>
      <c r="HQ117" s="2"/>
      <c r="HR117" s="2"/>
      <c r="HS117" s="2"/>
      <c r="HT117" s="2"/>
      <c r="HU117" s="2"/>
      <c r="HV117" s="2"/>
      <c r="HW117" s="2"/>
      <c r="HX117" s="2"/>
      <c r="HY117" s="2"/>
      <c r="HZ117" s="2"/>
      <c r="IA117" s="2"/>
      <c r="IB117" s="2"/>
      <c r="IC117" s="2"/>
      <c r="IH117" s="21"/>
      <c r="II117" s="14"/>
    </row>
    <row r="118" spans="1:243">
      <c r="A118" s="2"/>
      <c r="B118" s="2"/>
      <c r="C118" s="2"/>
      <c r="D118" s="2"/>
      <c r="E118" s="2"/>
      <c r="F118" s="2"/>
      <c r="G118" s="2"/>
      <c r="H118" s="2"/>
      <c r="I118" s="2"/>
      <c r="J118" s="2"/>
      <c r="K118" s="2"/>
      <c r="L118" s="2"/>
      <c r="M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c r="GD118" s="2"/>
      <c r="GE118" s="2"/>
      <c r="GF118" s="2"/>
      <c r="GG118" s="2"/>
      <c r="GH118" s="2"/>
      <c r="GI118" s="2"/>
      <c r="GJ118" s="2"/>
      <c r="GK118" s="2"/>
      <c r="GL118" s="2"/>
      <c r="GM118" s="2"/>
      <c r="GN118" s="2"/>
      <c r="GO118" s="2"/>
      <c r="GP118" s="2"/>
      <c r="GQ118" s="2"/>
      <c r="GR118" s="2"/>
      <c r="GS118" s="2"/>
      <c r="GT118" s="2"/>
      <c r="GU118" s="2"/>
      <c r="GV118" s="2"/>
      <c r="GW118" s="2"/>
      <c r="GX118" s="2"/>
      <c r="GY118" s="2"/>
      <c r="GZ118" s="2"/>
      <c r="HA118" s="2"/>
      <c r="HB118" s="2"/>
      <c r="HC118" s="2"/>
      <c r="HD118" s="2"/>
      <c r="HE118" s="2"/>
      <c r="HF118" s="2"/>
      <c r="HG118" s="2"/>
      <c r="HH118" s="2"/>
      <c r="HI118" s="2"/>
      <c r="HJ118" s="2"/>
      <c r="HK118" s="2"/>
      <c r="HL118" s="2"/>
      <c r="HM118" s="2"/>
      <c r="HN118" s="2"/>
      <c r="HO118" s="2"/>
      <c r="HP118" s="2"/>
      <c r="HQ118" s="2"/>
      <c r="HR118" s="2"/>
      <c r="HS118" s="2"/>
      <c r="HT118" s="2"/>
      <c r="HU118" s="2"/>
      <c r="HV118" s="2"/>
      <c r="HW118" s="2"/>
      <c r="HX118" s="2"/>
      <c r="HY118" s="2"/>
      <c r="HZ118" s="2"/>
      <c r="IA118" s="2"/>
      <c r="IB118" s="2"/>
      <c r="IC118" s="2"/>
      <c r="IH118" s="21"/>
      <c r="II118" s="14"/>
    </row>
    <row r="119" spans="1:243">
      <c r="A119" s="2"/>
      <c r="B119" s="2"/>
      <c r="C119" s="2"/>
      <c r="D119" s="2"/>
      <c r="E119" s="2"/>
      <c r="F119" s="2"/>
      <c r="G119" s="2"/>
      <c r="H119" s="2"/>
      <c r="I119" s="2"/>
      <c r="J119" s="2"/>
      <c r="K119" s="2"/>
      <c r="L119" s="2"/>
      <c r="M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c r="GX119" s="2"/>
      <c r="GY119" s="2"/>
      <c r="GZ119" s="2"/>
      <c r="HA119" s="2"/>
      <c r="HB119" s="2"/>
      <c r="HC119" s="2"/>
      <c r="HD119" s="2"/>
      <c r="HE119" s="2"/>
      <c r="HF119" s="2"/>
      <c r="HG119" s="2"/>
      <c r="HH119" s="2"/>
      <c r="HI119" s="2"/>
      <c r="HJ119" s="2"/>
      <c r="HK119" s="2"/>
      <c r="HL119" s="2"/>
      <c r="HM119" s="2"/>
      <c r="HN119" s="2"/>
      <c r="HO119" s="2"/>
      <c r="HP119" s="2"/>
      <c r="HQ119" s="2"/>
      <c r="HR119" s="2"/>
      <c r="HS119" s="2"/>
      <c r="HT119" s="2"/>
      <c r="HU119" s="2"/>
      <c r="HV119" s="2"/>
      <c r="HW119" s="2"/>
      <c r="HX119" s="2"/>
      <c r="HY119" s="2"/>
      <c r="HZ119" s="2"/>
      <c r="IA119" s="2"/>
      <c r="IB119" s="2"/>
      <c r="IC119" s="2"/>
      <c r="IH119" s="21"/>
      <c r="II119" s="14"/>
    </row>
    <row r="120" spans="1:243">
      <c r="A120" s="2"/>
      <c r="B120" s="2"/>
      <c r="C120" s="2"/>
      <c r="D120" s="2"/>
      <c r="E120" s="2"/>
      <c r="F120" s="2"/>
      <c r="G120" s="2"/>
      <c r="H120" s="2"/>
      <c r="I120" s="2"/>
      <c r="J120" s="2"/>
      <c r="K120" s="2"/>
      <c r="L120" s="2"/>
      <c r="M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c r="GD120" s="2"/>
      <c r="GE120" s="2"/>
      <c r="GF120" s="2"/>
      <c r="GG120" s="2"/>
      <c r="GH120" s="2"/>
      <c r="GI120" s="2"/>
      <c r="GJ120" s="2"/>
      <c r="GK120" s="2"/>
      <c r="GL120" s="2"/>
      <c r="GM120" s="2"/>
      <c r="GN120" s="2"/>
      <c r="GO120" s="2"/>
      <c r="GP120" s="2"/>
      <c r="GQ120" s="2"/>
      <c r="GR120" s="2"/>
      <c r="GS120" s="2"/>
      <c r="GT120" s="2"/>
      <c r="GU120" s="2"/>
      <c r="GV120" s="2"/>
      <c r="GW120" s="2"/>
      <c r="GX120" s="2"/>
      <c r="GY120" s="2"/>
      <c r="GZ120" s="2"/>
      <c r="HA120" s="2"/>
      <c r="HB120" s="2"/>
      <c r="HC120" s="2"/>
      <c r="HD120" s="2"/>
      <c r="HE120" s="2"/>
      <c r="HF120" s="2"/>
      <c r="HG120" s="2"/>
      <c r="HH120" s="2"/>
      <c r="HI120" s="2"/>
      <c r="HJ120" s="2"/>
      <c r="HK120" s="2"/>
      <c r="HL120" s="2"/>
      <c r="HM120" s="2"/>
      <c r="HN120" s="2"/>
      <c r="HO120" s="2"/>
      <c r="HP120" s="2"/>
      <c r="HQ120" s="2"/>
      <c r="HR120" s="2"/>
      <c r="HS120" s="2"/>
      <c r="HT120" s="2"/>
      <c r="HU120" s="2"/>
      <c r="HV120" s="2"/>
      <c r="HW120" s="2"/>
      <c r="HX120" s="2"/>
      <c r="HY120" s="2"/>
      <c r="HZ120" s="2"/>
      <c r="IA120" s="2"/>
      <c r="IB120" s="2"/>
      <c r="IC120" s="2"/>
      <c r="IH120" s="21"/>
      <c r="II120" s="14"/>
    </row>
    <row r="121" spans="1:243">
      <c r="A121" s="2"/>
      <c r="B121" s="2"/>
      <c r="C121" s="2"/>
      <c r="D121" s="2"/>
      <c r="E121" s="2"/>
      <c r="F121" s="2"/>
      <c r="G121" s="2"/>
      <c r="H121" s="2"/>
      <c r="I121" s="2"/>
      <c r="J121" s="2"/>
      <c r="K121" s="2"/>
      <c r="L121" s="2"/>
      <c r="M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c r="GD121" s="2"/>
      <c r="GE121" s="2"/>
      <c r="GF121" s="2"/>
      <c r="GG121" s="2"/>
      <c r="GH121" s="2"/>
      <c r="GI121" s="2"/>
      <c r="GJ121" s="2"/>
      <c r="GK121" s="2"/>
      <c r="GL121" s="2"/>
      <c r="GM121" s="2"/>
      <c r="GN121" s="2"/>
      <c r="GO121" s="2"/>
      <c r="GP121" s="2"/>
      <c r="GQ121" s="2"/>
      <c r="GR121" s="2"/>
      <c r="GS121" s="2"/>
      <c r="GT121" s="2"/>
      <c r="GU121" s="2"/>
      <c r="GV121" s="2"/>
      <c r="GW121" s="2"/>
      <c r="GX121" s="2"/>
      <c r="GY121" s="2"/>
      <c r="GZ121" s="2"/>
      <c r="HA121" s="2"/>
      <c r="HB121" s="2"/>
      <c r="HC121" s="2"/>
      <c r="HD121" s="2"/>
      <c r="HE121" s="2"/>
      <c r="HF121" s="2"/>
      <c r="HG121" s="2"/>
      <c r="HH121" s="2"/>
      <c r="HI121" s="2"/>
      <c r="HJ121" s="2"/>
      <c r="HK121" s="2"/>
      <c r="HL121" s="2"/>
      <c r="HM121" s="2"/>
      <c r="HN121" s="2"/>
      <c r="HO121" s="2"/>
      <c r="HP121" s="2"/>
      <c r="HQ121" s="2"/>
      <c r="HR121" s="2"/>
      <c r="HS121" s="2"/>
      <c r="HT121" s="2"/>
      <c r="HU121" s="2"/>
      <c r="HV121" s="2"/>
      <c r="HW121" s="2"/>
      <c r="HX121" s="2"/>
      <c r="HY121" s="2"/>
      <c r="HZ121" s="2"/>
      <c r="IA121" s="2"/>
      <c r="IB121" s="2"/>
      <c r="IC121" s="2"/>
      <c r="IH121" s="21"/>
      <c r="II121" s="14"/>
    </row>
    <row r="122" spans="1:243">
      <c r="A122" s="2"/>
      <c r="B122" s="2"/>
      <c r="C122" s="2"/>
      <c r="D122" s="2"/>
      <c r="E122" s="2"/>
      <c r="F122" s="2"/>
      <c r="G122" s="2"/>
      <c r="H122" s="2"/>
      <c r="I122" s="2"/>
      <c r="J122" s="2"/>
      <c r="K122" s="2"/>
      <c r="L122" s="2"/>
      <c r="M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c r="GD122" s="2"/>
      <c r="GE122" s="2"/>
      <c r="GF122" s="2"/>
      <c r="GG122" s="2"/>
      <c r="GH122" s="2"/>
      <c r="GI122" s="2"/>
      <c r="GJ122" s="2"/>
      <c r="GK122" s="2"/>
      <c r="GL122" s="2"/>
      <c r="GM122" s="2"/>
      <c r="GN122" s="2"/>
      <c r="GO122" s="2"/>
      <c r="GP122" s="2"/>
      <c r="GQ122" s="2"/>
      <c r="GR122" s="2"/>
      <c r="GS122" s="2"/>
      <c r="GT122" s="2"/>
      <c r="GU122" s="2"/>
      <c r="GV122" s="2"/>
      <c r="GW122" s="2"/>
      <c r="GX122" s="2"/>
      <c r="GY122" s="2"/>
      <c r="GZ122" s="2"/>
      <c r="HA122" s="2"/>
      <c r="HB122" s="2"/>
      <c r="HC122" s="2"/>
      <c r="HD122" s="2"/>
      <c r="HE122" s="2"/>
      <c r="HF122" s="2"/>
      <c r="HG122" s="2"/>
      <c r="HH122" s="2"/>
      <c r="HI122" s="2"/>
      <c r="HJ122" s="2"/>
      <c r="HK122" s="2"/>
      <c r="HL122" s="2"/>
      <c r="HM122" s="2"/>
      <c r="HN122" s="2"/>
      <c r="HO122" s="2"/>
      <c r="HP122" s="2"/>
      <c r="HQ122" s="2"/>
      <c r="HR122" s="2"/>
      <c r="HS122" s="2"/>
      <c r="HT122" s="2"/>
      <c r="HU122" s="2"/>
      <c r="HV122" s="2"/>
      <c r="HW122" s="2"/>
      <c r="HX122" s="2"/>
      <c r="HY122" s="2"/>
      <c r="HZ122" s="2"/>
      <c r="IA122" s="2"/>
      <c r="IB122" s="2"/>
      <c r="IC122" s="2"/>
      <c r="IH122" s="21"/>
      <c r="II122" s="14"/>
    </row>
    <row r="123" spans="1:243">
      <c r="A123" s="2"/>
      <c r="B123" s="2"/>
      <c r="C123" s="2"/>
      <c r="D123" s="2"/>
      <c r="E123" s="2"/>
      <c r="F123" s="2"/>
      <c r="G123" s="2"/>
      <c r="H123" s="2"/>
      <c r="I123" s="2"/>
      <c r="J123" s="2"/>
      <c r="K123" s="2"/>
      <c r="L123" s="2"/>
      <c r="M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c r="GD123" s="2"/>
      <c r="GE123" s="2"/>
      <c r="GF123" s="2"/>
      <c r="GG123" s="2"/>
      <c r="GH123" s="2"/>
      <c r="GI123" s="2"/>
      <c r="GJ123" s="2"/>
      <c r="GK123" s="2"/>
      <c r="GL123" s="2"/>
      <c r="GM123" s="2"/>
      <c r="GN123" s="2"/>
      <c r="GO123" s="2"/>
      <c r="GP123" s="2"/>
      <c r="GQ123" s="2"/>
      <c r="GR123" s="2"/>
      <c r="GS123" s="2"/>
      <c r="GT123" s="2"/>
      <c r="GU123" s="2"/>
      <c r="GV123" s="2"/>
      <c r="GW123" s="2"/>
      <c r="GX123" s="2"/>
      <c r="GY123" s="2"/>
      <c r="GZ123" s="2"/>
      <c r="HA123" s="2"/>
      <c r="HB123" s="2"/>
      <c r="HC123" s="2"/>
      <c r="HD123" s="2"/>
      <c r="HE123" s="2"/>
      <c r="HF123" s="2"/>
      <c r="HG123" s="2"/>
      <c r="HH123" s="2"/>
      <c r="HI123" s="2"/>
      <c r="HJ123" s="2"/>
      <c r="HK123" s="2"/>
      <c r="HL123" s="2"/>
      <c r="HM123" s="2"/>
      <c r="HN123" s="2"/>
      <c r="HO123" s="2"/>
      <c r="HP123" s="2"/>
      <c r="HQ123" s="2"/>
      <c r="HR123" s="2"/>
      <c r="HS123" s="2"/>
      <c r="HT123" s="2"/>
      <c r="HU123" s="2"/>
      <c r="HV123" s="2"/>
      <c r="HW123" s="2"/>
      <c r="HX123" s="2"/>
      <c r="HY123" s="2"/>
      <c r="HZ123" s="2"/>
      <c r="IA123" s="2"/>
      <c r="IB123" s="2"/>
      <c r="IC123" s="2"/>
      <c r="IH123" s="21"/>
      <c r="II123" s="14"/>
    </row>
    <row r="124" spans="1:243">
      <c r="A124" s="2"/>
      <c r="B124" s="2"/>
      <c r="C124" s="2"/>
      <c r="D124" s="2"/>
      <c r="E124" s="2"/>
      <c r="F124" s="2"/>
      <c r="G124" s="2"/>
      <c r="H124" s="2"/>
      <c r="I124" s="2"/>
      <c r="J124" s="2"/>
      <c r="K124" s="2"/>
      <c r="L124" s="2"/>
      <c r="M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c r="GD124" s="2"/>
      <c r="GE124" s="2"/>
      <c r="GF124" s="2"/>
      <c r="GG124" s="2"/>
      <c r="GH124" s="2"/>
      <c r="GI124" s="2"/>
      <c r="GJ124" s="2"/>
      <c r="GK124" s="2"/>
      <c r="GL124" s="2"/>
      <c r="GM124" s="2"/>
      <c r="GN124" s="2"/>
      <c r="GO124" s="2"/>
      <c r="GP124" s="2"/>
      <c r="GQ124" s="2"/>
      <c r="GR124" s="2"/>
      <c r="GS124" s="2"/>
      <c r="GT124" s="2"/>
      <c r="GU124" s="2"/>
      <c r="GV124" s="2"/>
      <c r="GW124" s="2"/>
      <c r="GX124" s="2"/>
      <c r="GY124" s="2"/>
      <c r="GZ124" s="2"/>
      <c r="HA124" s="2"/>
      <c r="HB124" s="2"/>
      <c r="HC124" s="2"/>
      <c r="HD124" s="2"/>
      <c r="HE124" s="2"/>
      <c r="HF124" s="2"/>
      <c r="HG124" s="2"/>
      <c r="HH124" s="2"/>
      <c r="HI124" s="2"/>
      <c r="HJ124" s="2"/>
      <c r="HK124" s="2"/>
      <c r="HL124" s="2"/>
      <c r="HM124" s="2"/>
      <c r="HN124" s="2"/>
      <c r="HO124" s="2"/>
      <c r="HP124" s="2"/>
      <c r="HQ124" s="2"/>
      <c r="HR124" s="2"/>
      <c r="HS124" s="2"/>
      <c r="HT124" s="2"/>
      <c r="HU124" s="2"/>
      <c r="HV124" s="2"/>
      <c r="HW124" s="2"/>
      <c r="HX124" s="2"/>
      <c r="HY124" s="2"/>
      <c r="HZ124" s="2"/>
      <c r="IA124" s="2"/>
      <c r="IB124" s="2"/>
      <c r="IC124" s="2"/>
      <c r="IH124" s="21"/>
      <c r="II124" s="14"/>
    </row>
    <row r="125" spans="1:243">
      <c r="A125" s="2"/>
      <c r="B125" s="2"/>
      <c r="C125" s="2"/>
      <c r="D125" s="2"/>
      <c r="E125" s="2"/>
      <c r="F125" s="2"/>
      <c r="G125" s="2"/>
      <c r="H125" s="2"/>
      <c r="I125" s="2"/>
      <c r="J125" s="2"/>
      <c r="K125" s="2"/>
      <c r="L125" s="2"/>
      <c r="M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c r="GX125" s="2"/>
      <c r="GY125" s="2"/>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H125" s="21"/>
      <c r="II125" s="14"/>
    </row>
    <row r="126" spans="1:243">
      <c r="A126" s="2"/>
      <c r="B126" s="2"/>
      <c r="C126" s="2"/>
      <c r="D126" s="2"/>
      <c r="E126" s="2"/>
      <c r="F126" s="2"/>
      <c r="G126" s="2"/>
      <c r="H126" s="2"/>
      <c r="I126" s="2"/>
      <c r="J126" s="2"/>
      <c r="K126" s="2"/>
      <c r="L126" s="2"/>
      <c r="M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c r="GD126" s="2"/>
      <c r="GE126" s="2"/>
      <c r="GF126" s="2"/>
      <c r="GG126" s="2"/>
      <c r="GH126" s="2"/>
      <c r="GI126" s="2"/>
      <c r="GJ126" s="2"/>
      <c r="GK126" s="2"/>
      <c r="GL126" s="2"/>
      <c r="GM126" s="2"/>
      <c r="GN126" s="2"/>
      <c r="GO126" s="2"/>
      <c r="GP126" s="2"/>
      <c r="GQ126" s="2"/>
      <c r="GR126" s="2"/>
      <c r="GS126" s="2"/>
      <c r="GT126" s="2"/>
      <c r="GU126" s="2"/>
      <c r="GV126" s="2"/>
      <c r="GW126" s="2"/>
      <c r="GX126" s="2"/>
      <c r="GY126" s="2"/>
      <c r="GZ126" s="2"/>
      <c r="HA126" s="2"/>
      <c r="HB126" s="2"/>
      <c r="HC126" s="2"/>
      <c r="HD126" s="2"/>
      <c r="HE126" s="2"/>
      <c r="HF126" s="2"/>
      <c r="HG126" s="2"/>
      <c r="HH126" s="2"/>
      <c r="HI126" s="2"/>
      <c r="HJ126" s="2"/>
      <c r="HK126" s="2"/>
      <c r="HL126" s="2"/>
      <c r="HM126" s="2"/>
      <c r="HN126" s="2"/>
      <c r="HO126" s="2"/>
      <c r="HP126" s="2"/>
      <c r="HQ126" s="2"/>
      <c r="HR126" s="2"/>
      <c r="HS126" s="2"/>
      <c r="HT126" s="2"/>
      <c r="HU126" s="2"/>
      <c r="HV126" s="2"/>
      <c r="HW126" s="2"/>
      <c r="HX126" s="2"/>
      <c r="HY126" s="2"/>
      <c r="HZ126" s="2"/>
      <c r="IA126" s="2"/>
      <c r="IB126" s="2"/>
      <c r="IC126" s="2"/>
      <c r="IH126" s="21"/>
      <c r="II126" s="14"/>
    </row>
    <row r="127" spans="1:243">
      <c r="A127" s="2"/>
      <c r="B127" s="2"/>
      <c r="C127" s="2"/>
      <c r="D127" s="2"/>
      <c r="E127" s="2"/>
      <c r="F127" s="2"/>
      <c r="G127" s="2"/>
      <c r="H127" s="2"/>
      <c r="I127" s="2"/>
      <c r="J127" s="2"/>
      <c r="K127" s="2"/>
      <c r="L127" s="2"/>
      <c r="M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c r="GD127" s="2"/>
      <c r="GE127" s="2"/>
      <c r="GF127" s="2"/>
      <c r="GG127" s="2"/>
      <c r="GH127" s="2"/>
      <c r="GI127" s="2"/>
      <c r="GJ127" s="2"/>
      <c r="GK127" s="2"/>
      <c r="GL127" s="2"/>
      <c r="GM127" s="2"/>
      <c r="GN127" s="2"/>
      <c r="GO127" s="2"/>
      <c r="GP127" s="2"/>
      <c r="GQ127" s="2"/>
      <c r="GR127" s="2"/>
      <c r="GS127" s="2"/>
      <c r="GT127" s="2"/>
      <c r="GU127" s="2"/>
      <c r="GV127" s="2"/>
      <c r="GW127" s="2"/>
      <c r="GX127" s="2"/>
      <c r="GY127" s="2"/>
      <c r="GZ127" s="2"/>
      <c r="HA127" s="2"/>
      <c r="HB127" s="2"/>
      <c r="HC127" s="2"/>
      <c r="HD127" s="2"/>
      <c r="HE127" s="2"/>
      <c r="HF127" s="2"/>
      <c r="HG127" s="2"/>
      <c r="HH127" s="2"/>
      <c r="HI127" s="2"/>
      <c r="HJ127" s="2"/>
      <c r="HK127" s="2"/>
      <c r="HL127" s="2"/>
      <c r="HM127" s="2"/>
      <c r="HN127" s="2"/>
      <c r="HO127" s="2"/>
      <c r="HP127" s="2"/>
      <c r="HQ127" s="2"/>
      <c r="HR127" s="2"/>
      <c r="HS127" s="2"/>
      <c r="HT127" s="2"/>
      <c r="HU127" s="2"/>
      <c r="HV127" s="2"/>
      <c r="HW127" s="2"/>
      <c r="HX127" s="2"/>
      <c r="HY127" s="2"/>
      <c r="HZ127" s="2"/>
      <c r="IA127" s="2"/>
      <c r="IB127" s="2"/>
      <c r="IC127" s="2"/>
      <c r="IH127" s="21"/>
      <c r="II127" s="14"/>
    </row>
    <row r="128" spans="1:243">
      <c r="A128" s="2"/>
      <c r="B128" s="2"/>
      <c r="C128" s="2"/>
      <c r="D128" s="2"/>
      <c r="E128" s="2"/>
      <c r="F128" s="2"/>
      <c r="G128" s="2"/>
      <c r="H128" s="2"/>
      <c r="I128" s="2"/>
      <c r="J128" s="2"/>
      <c r="K128" s="2"/>
      <c r="L128" s="2"/>
      <c r="M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c r="GD128" s="2"/>
      <c r="GE128" s="2"/>
      <c r="GF128" s="2"/>
      <c r="GG128" s="2"/>
      <c r="GH128" s="2"/>
      <c r="GI128" s="2"/>
      <c r="GJ128" s="2"/>
      <c r="GK128" s="2"/>
      <c r="GL128" s="2"/>
      <c r="GM128" s="2"/>
      <c r="GN128" s="2"/>
      <c r="GO128" s="2"/>
      <c r="GP128" s="2"/>
      <c r="GQ128" s="2"/>
      <c r="GR128" s="2"/>
      <c r="GS128" s="2"/>
      <c r="GT128" s="2"/>
      <c r="GU128" s="2"/>
      <c r="GV128" s="2"/>
      <c r="GW128" s="2"/>
      <c r="GX128" s="2"/>
      <c r="GY128" s="2"/>
      <c r="GZ128" s="2"/>
      <c r="HA128" s="2"/>
      <c r="HB128" s="2"/>
      <c r="HC128" s="2"/>
      <c r="HD128" s="2"/>
      <c r="HE128" s="2"/>
      <c r="HF128" s="2"/>
      <c r="HG128" s="2"/>
      <c r="HH128" s="2"/>
      <c r="HI128" s="2"/>
      <c r="HJ128" s="2"/>
      <c r="HK128" s="2"/>
      <c r="HL128" s="2"/>
      <c r="HM128" s="2"/>
      <c r="HN128" s="2"/>
      <c r="HO128" s="2"/>
      <c r="HP128" s="2"/>
      <c r="HQ128" s="2"/>
      <c r="HR128" s="2"/>
      <c r="HS128" s="2"/>
      <c r="HT128" s="2"/>
      <c r="HU128" s="2"/>
      <c r="HV128" s="2"/>
      <c r="HW128" s="2"/>
      <c r="HX128" s="2"/>
      <c r="HY128" s="2"/>
      <c r="HZ128" s="2"/>
      <c r="IA128" s="2"/>
      <c r="IB128" s="2"/>
      <c r="IC128" s="2"/>
      <c r="IH128" s="21"/>
      <c r="II128" s="14"/>
    </row>
    <row r="129" spans="1:243">
      <c r="A129" s="2"/>
      <c r="B129" s="2"/>
      <c r="C129" s="2"/>
      <c r="D129" s="2"/>
      <c r="E129" s="2"/>
      <c r="F129" s="2"/>
      <c r="G129" s="2"/>
      <c r="H129" s="2"/>
      <c r="I129" s="2"/>
      <c r="J129" s="2"/>
      <c r="K129" s="2"/>
      <c r="L129" s="2"/>
      <c r="M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c r="GD129" s="2"/>
      <c r="GE129" s="2"/>
      <c r="GF129" s="2"/>
      <c r="GG129" s="2"/>
      <c r="GH129" s="2"/>
      <c r="GI129" s="2"/>
      <c r="GJ129" s="2"/>
      <c r="GK129" s="2"/>
      <c r="GL129" s="2"/>
      <c r="GM129" s="2"/>
      <c r="GN129" s="2"/>
      <c r="GO129" s="2"/>
      <c r="GP129" s="2"/>
      <c r="GQ129" s="2"/>
      <c r="GR129" s="2"/>
      <c r="GS129" s="2"/>
      <c r="GT129" s="2"/>
      <c r="GU129" s="2"/>
      <c r="GV129" s="2"/>
      <c r="GW129" s="2"/>
      <c r="GX129" s="2"/>
      <c r="GY129" s="2"/>
      <c r="GZ129" s="2"/>
      <c r="HA129" s="2"/>
      <c r="HB129" s="2"/>
      <c r="HC129" s="2"/>
      <c r="HD129" s="2"/>
      <c r="HE129" s="2"/>
      <c r="HF129" s="2"/>
      <c r="HG129" s="2"/>
      <c r="HH129" s="2"/>
      <c r="HI129" s="2"/>
      <c r="HJ129" s="2"/>
      <c r="HK129" s="2"/>
      <c r="HL129" s="2"/>
      <c r="HM129" s="2"/>
      <c r="HN129" s="2"/>
      <c r="HO129" s="2"/>
      <c r="HP129" s="2"/>
      <c r="HQ129" s="2"/>
      <c r="HR129" s="2"/>
      <c r="HS129" s="2"/>
      <c r="HT129" s="2"/>
      <c r="HU129" s="2"/>
      <c r="HV129" s="2"/>
      <c r="HW129" s="2"/>
      <c r="HX129" s="2"/>
      <c r="HY129" s="2"/>
      <c r="HZ129" s="2"/>
      <c r="IA129" s="2"/>
      <c r="IB129" s="2"/>
      <c r="IC129" s="2"/>
      <c r="IH129" s="21"/>
      <c r="II129" s="14"/>
    </row>
    <row r="130" spans="1:243">
      <c r="A130" s="2"/>
      <c r="B130" s="2"/>
      <c r="C130" s="2"/>
      <c r="D130" s="2"/>
      <c r="E130" s="2"/>
      <c r="F130" s="2"/>
      <c r="G130" s="2"/>
      <c r="H130" s="2"/>
      <c r="I130" s="2"/>
      <c r="J130" s="2"/>
      <c r="K130" s="2"/>
      <c r="L130" s="2"/>
      <c r="M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c r="GD130" s="2"/>
      <c r="GE130" s="2"/>
      <c r="GF130" s="2"/>
      <c r="GG130" s="2"/>
      <c r="GH130" s="2"/>
      <c r="GI130" s="2"/>
      <c r="GJ130" s="2"/>
      <c r="GK130" s="2"/>
      <c r="GL130" s="2"/>
      <c r="GM130" s="2"/>
      <c r="GN130" s="2"/>
      <c r="GO130" s="2"/>
      <c r="GP130" s="2"/>
      <c r="GQ130" s="2"/>
      <c r="GR130" s="2"/>
      <c r="GS130" s="2"/>
      <c r="GT130" s="2"/>
      <c r="GU130" s="2"/>
      <c r="GV130" s="2"/>
      <c r="GW130" s="2"/>
      <c r="GX130" s="2"/>
      <c r="GY130" s="2"/>
      <c r="GZ130" s="2"/>
      <c r="HA130" s="2"/>
      <c r="HB130" s="2"/>
      <c r="HC130" s="2"/>
      <c r="HD130" s="2"/>
      <c r="HE130" s="2"/>
      <c r="HF130" s="2"/>
      <c r="HG130" s="2"/>
      <c r="HH130" s="2"/>
      <c r="HI130" s="2"/>
      <c r="HJ130" s="2"/>
      <c r="HK130" s="2"/>
      <c r="HL130" s="2"/>
      <c r="HM130" s="2"/>
      <c r="HN130" s="2"/>
      <c r="HO130" s="2"/>
      <c r="HP130" s="2"/>
      <c r="HQ130" s="2"/>
      <c r="HR130" s="2"/>
      <c r="HS130" s="2"/>
      <c r="HT130" s="2"/>
      <c r="HU130" s="2"/>
      <c r="HV130" s="2"/>
      <c r="HW130" s="2"/>
      <c r="HX130" s="2"/>
      <c r="HY130" s="2"/>
      <c r="HZ130" s="2"/>
      <c r="IA130" s="2"/>
      <c r="IB130" s="2"/>
      <c r="IC130" s="2"/>
      <c r="IH130" s="21"/>
      <c r="II130" s="14"/>
    </row>
    <row r="131" spans="1:243">
      <c r="A131" s="2"/>
      <c r="B131" s="2"/>
      <c r="C131" s="2"/>
      <c r="D131" s="2"/>
      <c r="E131" s="2"/>
      <c r="F131" s="2"/>
      <c r="G131" s="2"/>
      <c r="H131" s="2"/>
      <c r="I131" s="2"/>
      <c r="J131" s="2"/>
      <c r="K131" s="2"/>
      <c r="L131" s="2"/>
      <c r="M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c r="GD131" s="2"/>
      <c r="GE131" s="2"/>
      <c r="GF131" s="2"/>
      <c r="GG131" s="2"/>
      <c r="GH131" s="2"/>
      <c r="GI131" s="2"/>
      <c r="GJ131" s="2"/>
      <c r="GK131" s="2"/>
      <c r="GL131" s="2"/>
      <c r="GM131" s="2"/>
      <c r="GN131" s="2"/>
      <c r="GO131" s="2"/>
      <c r="GP131" s="2"/>
      <c r="GQ131" s="2"/>
      <c r="GR131" s="2"/>
      <c r="GS131" s="2"/>
      <c r="GT131" s="2"/>
      <c r="GU131" s="2"/>
      <c r="GV131" s="2"/>
      <c r="GW131" s="2"/>
      <c r="GX131" s="2"/>
      <c r="GY131" s="2"/>
      <c r="GZ131" s="2"/>
      <c r="HA131" s="2"/>
      <c r="HB131" s="2"/>
      <c r="HC131" s="2"/>
      <c r="HD131" s="2"/>
      <c r="HE131" s="2"/>
      <c r="HF131" s="2"/>
      <c r="HG131" s="2"/>
      <c r="HH131" s="2"/>
      <c r="HI131" s="2"/>
      <c r="HJ131" s="2"/>
      <c r="HK131" s="2"/>
      <c r="HL131" s="2"/>
      <c r="HM131" s="2"/>
      <c r="HN131" s="2"/>
      <c r="HO131" s="2"/>
      <c r="HP131" s="2"/>
      <c r="HQ131" s="2"/>
      <c r="HR131" s="2"/>
      <c r="HS131" s="2"/>
      <c r="HT131" s="2"/>
      <c r="HU131" s="2"/>
      <c r="HV131" s="2"/>
      <c r="HW131" s="2"/>
      <c r="HX131" s="2"/>
      <c r="HY131" s="2"/>
      <c r="HZ131" s="2"/>
      <c r="IA131" s="2"/>
      <c r="IB131" s="2"/>
      <c r="IC131" s="2"/>
      <c r="IH131" s="21"/>
      <c r="II131" s="14"/>
    </row>
    <row r="132" spans="1:243">
      <c r="A132" s="2"/>
      <c r="B132" s="2"/>
      <c r="C132" s="2"/>
      <c r="D132" s="2"/>
      <c r="E132" s="2"/>
      <c r="F132" s="2"/>
      <c r="G132" s="2"/>
      <c r="H132" s="2"/>
      <c r="I132" s="2"/>
      <c r="J132" s="2"/>
      <c r="K132" s="2"/>
      <c r="L132" s="2"/>
      <c r="M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c r="GD132" s="2"/>
      <c r="GE132" s="2"/>
      <c r="GF132" s="2"/>
      <c r="GG132" s="2"/>
      <c r="GH132" s="2"/>
      <c r="GI132" s="2"/>
      <c r="GJ132" s="2"/>
      <c r="GK132" s="2"/>
      <c r="GL132" s="2"/>
      <c r="GM132" s="2"/>
      <c r="GN132" s="2"/>
      <c r="GO132" s="2"/>
      <c r="GP132" s="2"/>
      <c r="GQ132" s="2"/>
      <c r="GR132" s="2"/>
      <c r="GS132" s="2"/>
      <c r="GT132" s="2"/>
      <c r="GU132" s="2"/>
      <c r="GV132" s="2"/>
      <c r="GW132" s="2"/>
      <c r="GX132" s="2"/>
      <c r="GY132" s="2"/>
      <c r="GZ132" s="2"/>
      <c r="HA132" s="2"/>
      <c r="HB132" s="2"/>
      <c r="HC132" s="2"/>
      <c r="HD132" s="2"/>
      <c r="HE132" s="2"/>
      <c r="HF132" s="2"/>
      <c r="HG132" s="2"/>
      <c r="HH132" s="2"/>
      <c r="HI132" s="2"/>
      <c r="HJ132" s="2"/>
      <c r="HK132" s="2"/>
      <c r="HL132" s="2"/>
      <c r="HM132" s="2"/>
      <c r="HN132" s="2"/>
      <c r="HO132" s="2"/>
      <c r="HP132" s="2"/>
      <c r="HQ132" s="2"/>
      <c r="HR132" s="2"/>
      <c r="HS132" s="2"/>
      <c r="HT132" s="2"/>
      <c r="HU132" s="2"/>
      <c r="HV132" s="2"/>
      <c r="HW132" s="2"/>
      <c r="HX132" s="2"/>
      <c r="HY132" s="2"/>
      <c r="HZ132" s="2"/>
      <c r="IA132" s="2"/>
      <c r="IB132" s="2"/>
      <c r="IC132" s="2"/>
      <c r="IH132" s="21"/>
      <c r="II132" s="14"/>
    </row>
    <row r="133" spans="1:243">
      <c r="A133" s="2"/>
      <c r="B133" s="2"/>
      <c r="C133" s="2"/>
      <c r="D133" s="2"/>
      <c r="E133" s="2"/>
      <c r="F133" s="2"/>
      <c r="G133" s="2"/>
      <c r="H133" s="2"/>
      <c r="I133" s="2"/>
      <c r="J133" s="2"/>
      <c r="K133" s="2"/>
      <c r="L133" s="2"/>
      <c r="M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c r="GD133" s="2"/>
      <c r="GE133" s="2"/>
      <c r="GF133" s="2"/>
      <c r="GG133" s="2"/>
      <c r="GH133" s="2"/>
      <c r="GI133" s="2"/>
      <c r="GJ133" s="2"/>
      <c r="GK133" s="2"/>
      <c r="GL133" s="2"/>
      <c r="GM133" s="2"/>
      <c r="GN133" s="2"/>
      <c r="GO133" s="2"/>
      <c r="GP133" s="2"/>
      <c r="GQ133" s="2"/>
      <c r="GR133" s="2"/>
      <c r="GS133" s="2"/>
      <c r="GT133" s="2"/>
      <c r="GU133" s="2"/>
      <c r="GV133" s="2"/>
      <c r="GW133" s="2"/>
      <c r="GX133" s="2"/>
      <c r="GY133" s="2"/>
      <c r="GZ133" s="2"/>
      <c r="HA133" s="2"/>
      <c r="HB133" s="2"/>
      <c r="HC133" s="2"/>
      <c r="HD133" s="2"/>
      <c r="HE133" s="2"/>
      <c r="HF133" s="2"/>
      <c r="HG133" s="2"/>
      <c r="HH133" s="2"/>
      <c r="HI133" s="2"/>
      <c r="HJ133" s="2"/>
      <c r="HK133" s="2"/>
      <c r="HL133" s="2"/>
      <c r="HM133" s="2"/>
      <c r="HN133" s="2"/>
      <c r="HO133" s="2"/>
      <c r="HP133" s="2"/>
      <c r="HQ133" s="2"/>
      <c r="HR133" s="2"/>
      <c r="HS133" s="2"/>
      <c r="HT133" s="2"/>
      <c r="HU133" s="2"/>
      <c r="HV133" s="2"/>
      <c r="HW133" s="2"/>
      <c r="HX133" s="2"/>
      <c r="HY133" s="2"/>
      <c r="HZ133" s="2"/>
      <c r="IA133" s="2"/>
      <c r="IB133" s="2"/>
      <c r="IC133" s="2"/>
      <c r="IH133" s="21"/>
      <c r="II133" s="14"/>
    </row>
    <row r="134" spans="1:243">
      <c r="A134" s="2"/>
      <c r="B134" s="2"/>
      <c r="C134" s="2"/>
      <c r="D134" s="2"/>
      <c r="E134" s="2"/>
      <c r="F134" s="2"/>
      <c r="G134" s="2"/>
      <c r="H134" s="2"/>
      <c r="I134" s="2"/>
      <c r="J134" s="2"/>
      <c r="K134" s="2"/>
      <c r="L134" s="2"/>
      <c r="M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c r="GD134" s="2"/>
      <c r="GE134" s="2"/>
      <c r="GF134" s="2"/>
      <c r="GG134" s="2"/>
      <c r="GH134" s="2"/>
      <c r="GI134" s="2"/>
      <c r="GJ134" s="2"/>
      <c r="GK134" s="2"/>
      <c r="GL134" s="2"/>
      <c r="GM134" s="2"/>
      <c r="GN134" s="2"/>
      <c r="GO134" s="2"/>
      <c r="GP134" s="2"/>
      <c r="GQ134" s="2"/>
      <c r="GR134" s="2"/>
      <c r="GS134" s="2"/>
      <c r="GT134" s="2"/>
      <c r="GU134" s="2"/>
      <c r="GV134" s="2"/>
      <c r="GW134" s="2"/>
      <c r="GX134" s="2"/>
      <c r="GY134" s="2"/>
      <c r="GZ134" s="2"/>
      <c r="HA134" s="2"/>
      <c r="HB134" s="2"/>
      <c r="HC134" s="2"/>
      <c r="HD134" s="2"/>
      <c r="HE134" s="2"/>
      <c r="HF134" s="2"/>
      <c r="HG134" s="2"/>
      <c r="HH134" s="2"/>
      <c r="HI134" s="2"/>
      <c r="HJ134" s="2"/>
      <c r="HK134" s="2"/>
      <c r="HL134" s="2"/>
      <c r="HM134" s="2"/>
      <c r="HN134" s="2"/>
      <c r="HO134" s="2"/>
      <c r="HP134" s="2"/>
      <c r="HQ134" s="2"/>
      <c r="HR134" s="2"/>
      <c r="HS134" s="2"/>
      <c r="HT134" s="2"/>
      <c r="HU134" s="2"/>
      <c r="HV134" s="2"/>
      <c r="HW134" s="2"/>
      <c r="HX134" s="2"/>
      <c r="HY134" s="2"/>
      <c r="HZ134" s="2"/>
      <c r="IA134" s="2"/>
      <c r="IB134" s="2"/>
      <c r="IC134" s="2"/>
      <c r="IH134" s="21"/>
      <c r="II134" s="14"/>
    </row>
    <row r="135" spans="1:243">
      <c r="A135" s="2"/>
      <c r="B135" s="2"/>
      <c r="C135" s="2"/>
      <c r="D135" s="2"/>
      <c r="E135" s="2"/>
      <c r="F135" s="2"/>
      <c r="G135" s="2"/>
      <c r="H135" s="2"/>
      <c r="I135" s="2"/>
      <c r="J135" s="2"/>
      <c r="K135" s="2"/>
      <c r="L135" s="2"/>
      <c r="M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c r="GD135" s="2"/>
      <c r="GE135" s="2"/>
      <c r="GF135" s="2"/>
      <c r="GG135" s="2"/>
      <c r="GH135" s="2"/>
      <c r="GI135" s="2"/>
      <c r="GJ135" s="2"/>
      <c r="GK135" s="2"/>
      <c r="GL135" s="2"/>
      <c r="GM135" s="2"/>
      <c r="GN135" s="2"/>
      <c r="GO135" s="2"/>
      <c r="GP135" s="2"/>
      <c r="GQ135" s="2"/>
      <c r="GR135" s="2"/>
      <c r="GS135" s="2"/>
      <c r="GT135" s="2"/>
      <c r="GU135" s="2"/>
      <c r="GV135" s="2"/>
      <c r="GW135" s="2"/>
      <c r="GX135" s="2"/>
      <c r="GY135" s="2"/>
      <c r="GZ135" s="2"/>
      <c r="HA135" s="2"/>
      <c r="HB135" s="2"/>
      <c r="HC135" s="2"/>
      <c r="HD135" s="2"/>
      <c r="HE135" s="2"/>
      <c r="HF135" s="2"/>
      <c r="HG135" s="2"/>
      <c r="HH135" s="2"/>
      <c r="HI135" s="2"/>
      <c r="HJ135" s="2"/>
      <c r="HK135" s="2"/>
      <c r="HL135" s="2"/>
      <c r="HM135" s="2"/>
      <c r="HN135" s="2"/>
      <c r="HO135" s="2"/>
      <c r="HP135" s="2"/>
      <c r="HQ135" s="2"/>
      <c r="HR135" s="2"/>
      <c r="HS135" s="2"/>
      <c r="HT135" s="2"/>
      <c r="HU135" s="2"/>
      <c r="HV135" s="2"/>
      <c r="HW135" s="2"/>
      <c r="HX135" s="2"/>
      <c r="HY135" s="2"/>
      <c r="HZ135" s="2"/>
      <c r="IA135" s="2"/>
      <c r="IB135" s="2"/>
      <c r="IC135" s="2"/>
      <c r="IH135" s="21"/>
      <c r="II135" s="14"/>
    </row>
    <row r="136" spans="1:243">
      <c r="A136" s="2"/>
      <c r="B136" s="2"/>
      <c r="C136" s="2"/>
      <c r="D136" s="2"/>
      <c r="E136" s="2"/>
      <c r="F136" s="2"/>
      <c r="G136" s="2"/>
      <c r="H136" s="2"/>
      <c r="I136" s="2"/>
      <c r="J136" s="2"/>
      <c r="K136" s="2"/>
      <c r="L136" s="2"/>
      <c r="M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c r="GD136" s="2"/>
      <c r="GE136" s="2"/>
      <c r="GF136" s="2"/>
      <c r="GG136" s="2"/>
      <c r="GH136" s="2"/>
      <c r="GI136" s="2"/>
      <c r="GJ136" s="2"/>
      <c r="GK136" s="2"/>
      <c r="GL136" s="2"/>
      <c r="GM136" s="2"/>
      <c r="GN136" s="2"/>
      <c r="GO136" s="2"/>
      <c r="GP136" s="2"/>
      <c r="GQ136" s="2"/>
      <c r="GR136" s="2"/>
      <c r="GS136" s="2"/>
      <c r="GT136" s="2"/>
      <c r="GU136" s="2"/>
      <c r="GV136" s="2"/>
      <c r="GW136" s="2"/>
      <c r="GX136" s="2"/>
      <c r="GY136" s="2"/>
      <c r="GZ136" s="2"/>
      <c r="HA136" s="2"/>
      <c r="HB136" s="2"/>
      <c r="HC136" s="2"/>
      <c r="HD136" s="2"/>
      <c r="HE136" s="2"/>
      <c r="HF136" s="2"/>
      <c r="HG136" s="2"/>
      <c r="HH136" s="2"/>
      <c r="HI136" s="2"/>
      <c r="HJ136" s="2"/>
      <c r="HK136" s="2"/>
      <c r="HL136" s="2"/>
      <c r="HM136" s="2"/>
      <c r="HN136" s="2"/>
      <c r="HO136" s="2"/>
      <c r="HP136" s="2"/>
      <c r="HQ136" s="2"/>
      <c r="HR136" s="2"/>
      <c r="HS136" s="2"/>
      <c r="HT136" s="2"/>
      <c r="HU136" s="2"/>
      <c r="HV136" s="2"/>
      <c r="HW136" s="2"/>
      <c r="HX136" s="2"/>
      <c r="HY136" s="2"/>
      <c r="HZ136" s="2"/>
      <c r="IA136" s="2"/>
      <c r="IB136" s="2"/>
      <c r="IC136" s="2"/>
      <c r="IH136" s="21"/>
      <c r="II136" s="14"/>
    </row>
    <row r="137" spans="1:243">
      <c r="A137" s="2"/>
      <c r="B137" s="2"/>
      <c r="C137" s="2"/>
      <c r="D137" s="2"/>
      <c r="E137" s="2"/>
      <c r="F137" s="2"/>
      <c r="G137" s="2"/>
      <c r="H137" s="2"/>
      <c r="I137" s="2"/>
      <c r="J137" s="2"/>
      <c r="K137" s="2"/>
      <c r="L137" s="2"/>
      <c r="M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c r="GD137" s="2"/>
      <c r="GE137" s="2"/>
      <c r="GF137" s="2"/>
      <c r="GG137" s="2"/>
      <c r="GH137" s="2"/>
      <c r="GI137" s="2"/>
      <c r="GJ137" s="2"/>
      <c r="GK137" s="2"/>
      <c r="GL137" s="2"/>
      <c r="GM137" s="2"/>
      <c r="GN137" s="2"/>
      <c r="GO137" s="2"/>
      <c r="GP137" s="2"/>
      <c r="GQ137" s="2"/>
      <c r="GR137" s="2"/>
      <c r="GS137" s="2"/>
      <c r="GT137" s="2"/>
      <c r="GU137" s="2"/>
      <c r="GV137" s="2"/>
      <c r="GW137" s="2"/>
      <c r="GX137" s="2"/>
      <c r="GY137" s="2"/>
      <c r="GZ137" s="2"/>
      <c r="HA137" s="2"/>
      <c r="HB137" s="2"/>
      <c r="HC137" s="2"/>
      <c r="HD137" s="2"/>
      <c r="HE137" s="2"/>
      <c r="HF137" s="2"/>
      <c r="HG137" s="2"/>
      <c r="HH137" s="2"/>
      <c r="HI137" s="2"/>
      <c r="HJ137" s="2"/>
      <c r="HK137" s="2"/>
      <c r="HL137" s="2"/>
      <c r="HM137" s="2"/>
      <c r="HN137" s="2"/>
      <c r="HO137" s="2"/>
      <c r="HP137" s="2"/>
      <c r="HQ137" s="2"/>
      <c r="HR137" s="2"/>
      <c r="HS137" s="2"/>
      <c r="HT137" s="2"/>
      <c r="HU137" s="2"/>
      <c r="HV137" s="2"/>
      <c r="HW137" s="2"/>
      <c r="HX137" s="2"/>
      <c r="HY137" s="2"/>
      <c r="HZ137" s="2"/>
      <c r="IA137" s="2"/>
      <c r="IB137" s="2"/>
      <c r="IC137" s="2"/>
      <c r="IH137" s="21"/>
      <c r="II137" s="14"/>
    </row>
    <row r="138" spans="1:243">
      <c r="A138" s="2"/>
      <c r="B138" s="2"/>
      <c r="C138" s="2"/>
      <c r="D138" s="2"/>
      <c r="E138" s="2"/>
      <c r="F138" s="2"/>
      <c r="G138" s="2"/>
      <c r="H138" s="2"/>
      <c r="I138" s="2"/>
      <c r="J138" s="2"/>
      <c r="K138" s="2"/>
      <c r="L138" s="2"/>
      <c r="M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c r="GD138" s="2"/>
      <c r="GE138" s="2"/>
      <c r="GF138" s="2"/>
      <c r="GG138" s="2"/>
      <c r="GH138" s="2"/>
      <c r="GI138" s="2"/>
      <c r="GJ138" s="2"/>
      <c r="GK138" s="2"/>
      <c r="GL138" s="2"/>
      <c r="GM138" s="2"/>
      <c r="GN138" s="2"/>
      <c r="GO138" s="2"/>
      <c r="GP138" s="2"/>
      <c r="GQ138" s="2"/>
      <c r="GR138" s="2"/>
      <c r="GS138" s="2"/>
      <c r="GT138" s="2"/>
      <c r="GU138" s="2"/>
      <c r="GV138" s="2"/>
      <c r="GW138" s="2"/>
      <c r="GX138" s="2"/>
      <c r="GY138" s="2"/>
      <c r="GZ138" s="2"/>
      <c r="HA138" s="2"/>
      <c r="HB138" s="2"/>
      <c r="HC138" s="2"/>
      <c r="HD138" s="2"/>
      <c r="HE138" s="2"/>
      <c r="HF138" s="2"/>
      <c r="HG138" s="2"/>
      <c r="HH138" s="2"/>
      <c r="HI138" s="2"/>
      <c r="HJ138" s="2"/>
      <c r="HK138" s="2"/>
      <c r="HL138" s="2"/>
      <c r="HM138" s="2"/>
      <c r="HN138" s="2"/>
      <c r="HO138" s="2"/>
      <c r="HP138" s="2"/>
      <c r="HQ138" s="2"/>
      <c r="HR138" s="2"/>
      <c r="HS138" s="2"/>
      <c r="HT138" s="2"/>
      <c r="HU138" s="2"/>
      <c r="HV138" s="2"/>
      <c r="HW138" s="2"/>
      <c r="HX138" s="2"/>
      <c r="HY138" s="2"/>
      <c r="HZ138" s="2"/>
      <c r="IA138" s="2"/>
      <c r="IB138" s="2"/>
      <c r="IC138" s="2"/>
      <c r="IH138" s="21"/>
      <c r="II138" s="14"/>
    </row>
    <row r="139" spans="1:243">
      <c r="A139" s="2"/>
      <c r="B139" s="2"/>
      <c r="C139" s="2"/>
      <c r="D139" s="2"/>
      <c r="E139" s="2"/>
      <c r="F139" s="2"/>
      <c r="G139" s="2"/>
      <c r="H139" s="2"/>
      <c r="I139" s="2"/>
      <c r="J139" s="2"/>
      <c r="K139" s="2"/>
      <c r="L139" s="2"/>
      <c r="M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2"/>
      <c r="FD139" s="2"/>
      <c r="FE139" s="2"/>
      <c r="FF139" s="2"/>
      <c r="FG139" s="2"/>
      <c r="FH139" s="2"/>
      <c r="FI139" s="2"/>
      <c r="FJ139" s="2"/>
      <c r="FK139" s="2"/>
      <c r="FL139" s="2"/>
      <c r="FM139" s="2"/>
      <c r="FN139" s="2"/>
      <c r="FO139" s="2"/>
      <c r="FP139" s="2"/>
      <c r="FQ139" s="2"/>
      <c r="FR139" s="2"/>
      <c r="FS139" s="2"/>
      <c r="FT139" s="2"/>
      <c r="FU139" s="2"/>
      <c r="FV139" s="2"/>
      <c r="FW139" s="2"/>
      <c r="FX139" s="2"/>
      <c r="FY139" s="2"/>
      <c r="FZ139" s="2"/>
      <c r="GA139" s="2"/>
      <c r="GB139" s="2"/>
      <c r="GC139" s="2"/>
      <c r="GD139" s="2"/>
      <c r="GE139" s="2"/>
      <c r="GF139" s="2"/>
      <c r="GG139" s="2"/>
      <c r="GH139" s="2"/>
      <c r="GI139" s="2"/>
      <c r="GJ139" s="2"/>
      <c r="GK139" s="2"/>
      <c r="GL139" s="2"/>
      <c r="GM139" s="2"/>
      <c r="GN139" s="2"/>
      <c r="GO139" s="2"/>
      <c r="GP139" s="2"/>
      <c r="GQ139" s="2"/>
      <c r="GR139" s="2"/>
      <c r="GS139" s="2"/>
      <c r="GT139" s="2"/>
      <c r="GU139" s="2"/>
      <c r="GV139" s="2"/>
      <c r="GW139" s="2"/>
      <c r="GX139" s="2"/>
      <c r="GY139" s="2"/>
      <c r="GZ139" s="2"/>
      <c r="HA139" s="2"/>
      <c r="HB139" s="2"/>
      <c r="HC139" s="2"/>
      <c r="HD139" s="2"/>
      <c r="HE139" s="2"/>
      <c r="HF139" s="2"/>
      <c r="HG139" s="2"/>
      <c r="HH139" s="2"/>
      <c r="HI139" s="2"/>
      <c r="HJ139" s="2"/>
      <c r="HK139" s="2"/>
      <c r="HL139" s="2"/>
      <c r="HM139" s="2"/>
      <c r="HN139" s="2"/>
      <c r="HO139" s="2"/>
      <c r="HP139" s="2"/>
      <c r="HQ139" s="2"/>
      <c r="HR139" s="2"/>
      <c r="HS139" s="2"/>
      <c r="HT139" s="2"/>
      <c r="HU139" s="2"/>
      <c r="HV139" s="2"/>
      <c r="HW139" s="2"/>
      <c r="HX139" s="2"/>
      <c r="HY139" s="2"/>
      <c r="HZ139" s="2"/>
      <c r="IA139" s="2"/>
      <c r="IB139" s="2"/>
      <c r="IC139" s="2"/>
      <c r="IH139" s="21"/>
      <c r="II139" s="14"/>
    </row>
    <row r="140" spans="1:243">
      <c r="A140" s="2"/>
      <c r="B140" s="2"/>
      <c r="C140" s="2"/>
      <c r="D140" s="2"/>
      <c r="E140" s="2"/>
      <c r="F140" s="2"/>
      <c r="G140" s="2"/>
      <c r="H140" s="2"/>
      <c r="I140" s="2"/>
      <c r="J140" s="2"/>
      <c r="K140" s="2"/>
      <c r="L140" s="2"/>
      <c r="M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2"/>
      <c r="FD140" s="2"/>
      <c r="FE140" s="2"/>
      <c r="FF140" s="2"/>
      <c r="FG140" s="2"/>
      <c r="FH140" s="2"/>
      <c r="FI140" s="2"/>
      <c r="FJ140" s="2"/>
      <c r="FK140" s="2"/>
      <c r="FL140" s="2"/>
      <c r="FM140" s="2"/>
      <c r="FN140" s="2"/>
      <c r="FO140" s="2"/>
      <c r="FP140" s="2"/>
      <c r="FQ140" s="2"/>
      <c r="FR140" s="2"/>
      <c r="FS140" s="2"/>
      <c r="FT140" s="2"/>
      <c r="FU140" s="2"/>
      <c r="FV140" s="2"/>
      <c r="FW140" s="2"/>
      <c r="FX140" s="2"/>
      <c r="FY140" s="2"/>
      <c r="FZ140" s="2"/>
      <c r="GA140" s="2"/>
      <c r="GB140" s="2"/>
      <c r="GC140" s="2"/>
      <c r="GD140" s="2"/>
      <c r="GE140" s="2"/>
      <c r="GF140" s="2"/>
      <c r="GG140" s="2"/>
      <c r="GH140" s="2"/>
      <c r="GI140" s="2"/>
      <c r="GJ140" s="2"/>
      <c r="GK140" s="2"/>
      <c r="GL140" s="2"/>
      <c r="GM140" s="2"/>
      <c r="GN140" s="2"/>
      <c r="GO140" s="2"/>
      <c r="GP140" s="2"/>
      <c r="GQ140" s="2"/>
      <c r="GR140" s="2"/>
      <c r="GS140" s="2"/>
      <c r="GT140" s="2"/>
      <c r="GU140" s="2"/>
      <c r="GV140" s="2"/>
      <c r="GW140" s="2"/>
      <c r="GX140" s="2"/>
      <c r="GY140" s="2"/>
      <c r="GZ140" s="2"/>
      <c r="HA140" s="2"/>
      <c r="HB140" s="2"/>
      <c r="HC140" s="2"/>
      <c r="HD140" s="2"/>
      <c r="HE140" s="2"/>
      <c r="HF140" s="2"/>
      <c r="HG140" s="2"/>
      <c r="HH140" s="2"/>
      <c r="HI140" s="2"/>
      <c r="HJ140" s="2"/>
      <c r="HK140" s="2"/>
      <c r="HL140" s="2"/>
      <c r="HM140" s="2"/>
      <c r="HN140" s="2"/>
      <c r="HO140" s="2"/>
      <c r="HP140" s="2"/>
      <c r="HQ140" s="2"/>
      <c r="HR140" s="2"/>
      <c r="HS140" s="2"/>
      <c r="HT140" s="2"/>
      <c r="HU140" s="2"/>
      <c r="HV140" s="2"/>
      <c r="HW140" s="2"/>
      <c r="HX140" s="2"/>
      <c r="HY140" s="2"/>
      <c r="HZ140" s="2"/>
      <c r="IA140" s="2"/>
      <c r="IB140" s="2"/>
      <c r="IC140" s="2"/>
      <c r="IH140" s="21"/>
      <c r="II140" s="14"/>
    </row>
    <row r="141" spans="1:243">
      <c r="A141" s="2"/>
      <c r="B141" s="2"/>
      <c r="C141" s="2"/>
      <c r="D141" s="2"/>
      <c r="E141" s="2"/>
      <c r="F141" s="2"/>
      <c r="G141" s="2"/>
      <c r="H141" s="2"/>
      <c r="I141" s="2"/>
      <c r="J141" s="2"/>
      <c r="K141" s="2"/>
      <c r="L141" s="2"/>
      <c r="M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2"/>
      <c r="FD141" s="2"/>
      <c r="FE141" s="2"/>
      <c r="FF141" s="2"/>
      <c r="FG141" s="2"/>
      <c r="FH141" s="2"/>
      <c r="FI141" s="2"/>
      <c r="FJ141" s="2"/>
      <c r="FK141" s="2"/>
      <c r="FL141" s="2"/>
      <c r="FM141" s="2"/>
      <c r="FN141" s="2"/>
      <c r="FO141" s="2"/>
      <c r="FP141" s="2"/>
      <c r="FQ141" s="2"/>
      <c r="FR141" s="2"/>
      <c r="FS141" s="2"/>
      <c r="FT141" s="2"/>
      <c r="FU141" s="2"/>
      <c r="FV141" s="2"/>
      <c r="FW141" s="2"/>
      <c r="FX141" s="2"/>
      <c r="FY141" s="2"/>
      <c r="FZ141" s="2"/>
      <c r="GA141" s="2"/>
      <c r="GB141" s="2"/>
      <c r="GC141" s="2"/>
      <c r="GD141" s="2"/>
      <c r="GE141" s="2"/>
      <c r="GF141" s="2"/>
      <c r="GG141" s="2"/>
      <c r="GH141" s="2"/>
      <c r="GI141" s="2"/>
      <c r="GJ141" s="2"/>
      <c r="GK141" s="2"/>
      <c r="GL141" s="2"/>
      <c r="GM141" s="2"/>
      <c r="GN141" s="2"/>
      <c r="GO141" s="2"/>
      <c r="GP141" s="2"/>
      <c r="GQ141" s="2"/>
      <c r="GR141" s="2"/>
      <c r="GS141" s="2"/>
      <c r="GT141" s="2"/>
      <c r="GU141" s="2"/>
      <c r="GV141" s="2"/>
      <c r="GW141" s="2"/>
      <c r="GX141" s="2"/>
      <c r="GY141" s="2"/>
      <c r="GZ141" s="2"/>
      <c r="HA141" s="2"/>
      <c r="HB141" s="2"/>
      <c r="HC141" s="2"/>
      <c r="HD141" s="2"/>
      <c r="HE141" s="2"/>
      <c r="HF141" s="2"/>
      <c r="HG141" s="2"/>
      <c r="HH141" s="2"/>
      <c r="HI141" s="2"/>
      <c r="HJ141" s="2"/>
      <c r="HK141" s="2"/>
      <c r="HL141" s="2"/>
      <c r="HM141" s="2"/>
      <c r="HN141" s="2"/>
      <c r="HO141" s="2"/>
      <c r="HP141" s="2"/>
      <c r="HQ141" s="2"/>
      <c r="HR141" s="2"/>
      <c r="HS141" s="2"/>
      <c r="HT141" s="2"/>
      <c r="HU141" s="2"/>
      <c r="HV141" s="2"/>
      <c r="HW141" s="2"/>
      <c r="HX141" s="2"/>
      <c r="HY141" s="2"/>
      <c r="HZ141" s="2"/>
      <c r="IA141" s="2"/>
      <c r="IB141" s="2"/>
      <c r="IC141" s="2"/>
      <c r="IH141" s="21"/>
      <c r="II141" s="14"/>
    </row>
    <row r="142" spans="1:243">
      <c r="A142" s="2"/>
      <c r="B142" s="2"/>
      <c r="C142" s="2"/>
      <c r="D142" s="2"/>
      <c r="E142" s="2"/>
      <c r="F142" s="2"/>
      <c r="G142" s="2"/>
      <c r="H142" s="2"/>
      <c r="I142" s="2"/>
      <c r="J142" s="2"/>
      <c r="K142" s="2"/>
      <c r="L142" s="2"/>
      <c r="M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2"/>
      <c r="FD142" s="2"/>
      <c r="FE142" s="2"/>
      <c r="FF142" s="2"/>
      <c r="FG142" s="2"/>
      <c r="FH142" s="2"/>
      <c r="FI142" s="2"/>
      <c r="FJ142" s="2"/>
      <c r="FK142" s="2"/>
      <c r="FL142" s="2"/>
      <c r="FM142" s="2"/>
      <c r="FN142" s="2"/>
      <c r="FO142" s="2"/>
      <c r="FP142" s="2"/>
      <c r="FQ142" s="2"/>
      <c r="FR142" s="2"/>
      <c r="FS142" s="2"/>
      <c r="FT142" s="2"/>
      <c r="FU142" s="2"/>
      <c r="FV142" s="2"/>
      <c r="FW142" s="2"/>
      <c r="FX142" s="2"/>
      <c r="FY142" s="2"/>
      <c r="FZ142" s="2"/>
      <c r="GA142" s="2"/>
      <c r="GB142" s="2"/>
      <c r="GC142" s="2"/>
      <c r="GD142" s="2"/>
      <c r="GE142" s="2"/>
      <c r="GF142" s="2"/>
      <c r="GG142" s="2"/>
      <c r="GH142" s="2"/>
      <c r="GI142" s="2"/>
      <c r="GJ142" s="2"/>
      <c r="GK142" s="2"/>
      <c r="GL142" s="2"/>
      <c r="GM142" s="2"/>
      <c r="GN142" s="2"/>
      <c r="GO142" s="2"/>
      <c r="GP142" s="2"/>
      <c r="GQ142" s="2"/>
      <c r="GR142" s="2"/>
      <c r="GS142" s="2"/>
      <c r="GT142" s="2"/>
      <c r="GU142" s="2"/>
      <c r="GV142" s="2"/>
      <c r="GW142" s="2"/>
      <c r="GX142" s="2"/>
      <c r="GY142" s="2"/>
      <c r="GZ142" s="2"/>
      <c r="HA142" s="2"/>
      <c r="HB142" s="2"/>
      <c r="HC142" s="2"/>
      <c r="HD142" s="2"/>
      <c r="HE142" s="2"/>
      <c r="HF142" s="2"/>
      <c r="HG142" s="2"/>
      <c r="HH142" s="2"/>
      <c r="HI142" s="2"/>
      <c r="HJ142" s="2"/>
      <c r="HK142" s="2"/>
      <c r="HL142" s="2"/>
      <c r="HM142" s="2"/>
      <c r="HN142" s="2"/>
      <c r="HO142" s="2"/>
      <c r="HP142" s="2"/>
      <c r="HQ142" s="2"/>
      <c r="HR142" s="2"/>
      <c r="HS142" s="2"/>
      <c r="HT142" s="2"/>
      <c r="HU142" s="2"/>
      <c r="HV142" s="2"/>
      <c r="HW142" s="2"/>
      <c r="HX142" s="2"/>
      <c r="HY142" s="2"/>
      <c r="HZ142" s="2"/>
      <c r="IA142" s="2"/>
      <c r="IB142" s="2"/>
      <c r="IC142" s="2"/>
      <c r="IH142" s="21"/>
      <c r="II142" s="14"/>
    </row>
    <row r="143" spans="1:243">
      <c r="A143" s="2"/>
      <c r="B143" s="2"/>
      <c r="C143" s="2"/>
      <c r="D143" s="2"/>
      <c r="E143" s="2"/>
      <c r="F143" s="2"/>
      <c r="G143" s="2"/>
      <c r="H143" s="2"/>
      <c r="I143" s="2"/>
      <c r="J143" s="2"/>
      <c r="K143" s="2"/>
      <c r="L143" s="2"/>
      <c r="M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2"/>
      <c r="FD143" s="2"/>
      <c r="FE143" s="2"/>
      <c r="FF143" s="2"/>
      <c r="FG143" s="2"/>
      <c r="FH143" s="2"/>
      <c r="FI143" s="2"/>
      <c r="FJ143" s="2"/>
      <c r="FK143" s="2"/>
      <c r="FL143" s="2"/>
      <c r="FM143" s="2"/>
      <c r="FN143" s="2"/>
      <c r="FO143" s="2"/>
      <c r="FP143" s="2"/>
      <c r="FQ143" s="2"/>
      <c r="FR143" s="2"/>
      <c r="FS143" s="2"/>
      <c r="FT143" s="2"/>
      <c r="FU143" s="2"/>
      <c r="FV143" s="2"/>
      <c r="FW143" s="2"/>
      <c r="FX143" s="2"/>
      <c r="FY143" s="2"/>
      <c r="FZ143" s="2"/>
      <c r="GA143" s="2"/>
      <c r="GB143" s="2"/>
      <c r="GC143" s="2"/>
      <c r="GD143" s="2"/>
      <c r="GE143" s="2"/>
      <c r="GF143" s="2"/>
      <c r="GG143" s="2"/>
      <c r="GH143" s="2"/>
      <c r="GI143" s="2"/>
      <c r="GJ143" s="2"/>
      <c r="GK143" s="2"/>
      <c r="GL143" s="2"/>
      <c r="GM143" s="2"/>
      <c r="GN143" s="2"/>
      <c r="GO143" s="2"/>
      <c r="GP143" s="2"/>
      <c r="GQ143" s="2"/>
      <c r="GR143" s="2"/>
      <c r="GS143" s="2"/>
      <c r="GT143" s="2"/>
      <c r="GU143" s="2"/>
      <c r="GV143" s="2"/>
      <c r="GW143" s="2"/>
      <c r="GX143" s="2"/>
      <c r="GY143" s="2"/>
      <c r="GZ143" s="2"/>
      <c r="HA143" s="2"/>
      <c r="HB143" s="2"/>
      <c r="HC143" s="2"/>
      <c r="HD143" s="2"/>
      <c r="HE143" s="2"/>
      <c r="HF143" s="2"/>
      <c r="HG143" s="2"/>
      <c r="HH143" s="2"/>
      <c r="HI143" s="2"/>
      <c r="HJ143" s="2"/>
      <c r="HK143" s="2"/>
      <c r="HL143" s="2"/>
      <c r="HM143" s="2"/>
      <c r="HN143" s="2"/>
      <c r="HO143" s="2"/>
      <c r="HP143" s="2"/>
      <c r="HQ143" s="2"/>
      <c r="HR143" s="2"/>
      <c r="HS143" s="2"/>
      <c r="HT143" s="2"/>
      <c r="HU143" s="2"/>
      <c r="HV143" s="2"/>
      <c r="HW143" s="2"/>
      <c r="HX143" s="2"/>
      <c r="HY143" s="2"/>
      <c r="HZ143" s="2"/>
      <c r="IA143" s="2"/>
      <c r="IB143" s="2"/>
      <c r="IC143" s="2"/>
      <c r="IH143" s="21"/>
      <c r="II143" s="14"/>
    </row>
    <row r="144" spans="1:243">
      <c r="A144" s="2"/>
      <c r="B144" s="2"/>
      <c r="C144" s="2"/>
      <c r="D144" s="2"/>
      <c r="E144" s="2"/>
      <c r="F144" s="2"/>
      <c r="G144" s="2"/>
      <c r="H144" s="2"/>
      <c r="I144" s="2"/>
      <c r="J144" s="2"/>
      <c r="K144" s="2"/>
      <c r="L144" s="2"/>
      <c r="M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
      <c r="FX144" s="2"/>
      <c r="FY144" s="2"/>
      <c r="FZ144" s="2"/>
      <c r="GA144" s="2"/>
      <c r="GB144" s="2"/>
      <c r="GC144" s="2"/>
      <c r="GD144" s="2"/>
      <c r="GE144" s="2"/>
      <c r="GF144" s="2"/>
      <c r="GG144" s="2"/>
      <c r="GH144" s="2"/>
      <c r="GI144" s="2"/>
      <c r="GJ144" s="2"/>
      <c r="GK144" s="2"/>
      <c r="GL144" s="2"/>
      <c r="GM144" s="2"/>
      <c r="GN144" s="2"/>
      <c r="GO144" s="2"/>
      <c r="GP144" s="2"/>
      <c r="GQ144" s="2"/>
      <c r="GR144" s="2"/>
      <c r="GS144" s="2"/>
      <c r="GT144" s="2"/>
      <c r="GU144" s="2"/>
      <c r="GV144" s="2"/>
      <c r="GW144" s="2"/>
      <c r="GX144" s="2"/>
      <c r="GY144" s="2"/>
      <c r="GZ144" s="2"/>
      <c r="HA144" s="2"/>
      <c r="HB144" s="2"/>
      <c r="HC144" s="2"/>
      <c r="HD144" s="2"/>
      <c r="HE144" s="2"/>
      <c r="HF144" s="2"/>
      <c r="HG144" s="2"/>
      <c r="HH144" s="2"/>
      <c r="HI144" s="2"/>
      <c r="HJ144" s="2"/>
      <c r="HK144" s="2"/>
      <c r="HL144" s="2"/>
      <c r="HM144" s="2"/>
      <c r="HN144" s="2"/>
      <c r="HO144" s="2"/>
      <c r="HP144" s="2"/>
      <c r="HQ144" s="2"/>
      <c r="HR144" s="2"/>
      <c r="HS144" s="2"/>
      <c r="HT144" s="2"/>
      <c r="HU144" s="2"/>
      <c r="HV144" s="2"/>
      <c r="HW144" s="2"/>
      <c r="HX144" s="2"/>
      <c r="HY144" s="2"/>
      <c r="HZ144" s="2"/>
      <c r="IA144" s="2"/>
      <c r="IB144" s="2"/>
      <c r="IC144" s="2"/>
      <c r="IH144" s="21"/>
      <c r="II144" s="14"/>
    </row>
    <row r="145" spans="1:250">
      <c r="A145" s="2"/>
      <c r="B145" s="2"/>
      <c r="C145" s="2"/>
      <c r="D145" s="2"/>
      <c r="E145" s="2"/>
      <c r="F145" s="2"/>
      <c r="G145" s="2"/>
      <c r="H145" s="2"/>
      <c r="I145" s="2"/>
      <c r="J145" s="2"/>
      <c r="K145" s="2"/>
      <c r="L145" s="2"/>
      <c r="M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
      <c r="FX145" s="2"/>
      <c r="FY145" s="2"/>
      <c r="FZ145" s="2"/>
      <c r="GA145" s="2"/>
      <c r="GB145" s="2"/>
      <c r="GC145" s="2"/>
      <c r="GD145" s="2"/>
      <c r="GE145" s="2"/>
      <c r="GF145" s="2"/>
      <c r="GG145" s="2"/>
      <c r="GH145" s="2"/>
      <c r="GI145" s="2"/>
      <c r="GJ145" s="2"/>
      <c r="GK145" s="2"/>
      <c r="GL145" s="2"/>
      <c r="GM145" s="2"/>
      <c r="GN145" s="2"/>
      <c r="GO145" s="2"/>
      <c r="GP145" s="2"/>
      <c r="GQ145" s="2"/>
      <c r="GR145" s="2"/>
      <c r="GS145" s="2"/>
      <c r="GT145" s="2"/>
      <c r="GU145" s="2"/>
      <c r="GV145" s="2"/>
      <c r="GW145" s="2"/>
      <c r="GX145" s="2"/>
      <c r="GY145" s="2"/>
      <c r="GZ145" s="2"/>
      <c r="HA145" s="2"/>
      <c r="HB145" s="2"/>
      <c r="HC145" s="2"/>
      <c r="HD145" s="2"/>
      <c r="HE145" s="2"/>
      <c r="HF145" s="2"/>
      <c r="HG145" s="2"/>
      <c r="HH145" s="2"/>
      <c r="HI145" s="2"/>
      <c r="HJ145" s="2"/>
      <c r="HK145" s="2"/>
      <c r="HL145" s="2"/>
      <c r="HM145" s="2"/>
      <c r="HN145" s="2"/>
      <c r="HO145" s="2"/>
      <c r="HP145" s="2"/>
      <c r="HQ145" s="2"/>
      <c r="HR145" s="2"/>
      <c r="HS145" s="2"/>
      <c r="HT145" s="2"/>
      <c r="HU145" s="2"/>
      <c r="HV145" s="2"/>
      <c r="HW145" s="2"/>
      <c r="HX145" s="2"/>
      <c r="HY145" s="2"/>
      <c r="HZ145" s="2"/>
      <c r="IA145" s="2"/>
      <c r="IB145" s="2"/>
      <c r="IC145" s="2"/>
      <c r="IH145" s="21"/>
      <c r="II145" s="14"/>
      <c r="IJ145" s="15"/>
      <c r="IK145" s="16"/>
      <c r="IL145" s="20"/>
      <c r="IM145" s="14"/>
      <c r="IN145" s="12"/>
      <c r="IO145" s="14"/>
      <c r="IP145" s="14"/>
    </row>
    <row r="146" spans="1:250">
      <c r="A146" s="2"/>
      <c r="B146" s="2"/>
      <c r="C146" s="2"/>
      <c r="D146" s="2"/>
      <c r="E146" s="2"/>
      <c r="F146" s="2"/>
      <c r="G146" s="2"/>
      <c r="H146" s="2"/>
      <c r="I146" s="2"/>
      <c r="J146" s="2"/>
      <c r="K146" s="2"/>
      <c r="L146" s="2"/>
      <c r="M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2"/>
      <c r="FD146" s="2"/>
      <c r="FE146" s="2"/>
      <c r="FF146" s="2"/>
      <c r="FG146" s="2"/>
      <c r="FH146" s="2"/>
      <c r="FI146" s="2"/>
      <c r="FJ146" s="2"/>
      <c r="FK146" s="2"/>
      <c r="FL146" s="2"/>
      <c r="FM146" s="2"/>
      <c r="FN146" s="2"/>
      <c r="FO146" s="2"/>
      <c r="FP146" s="2"/>
      <c r="FQ146" s="2"/>
      <c r="FR146" s="2"/>
      <c r="FS146" s="2"/>
      <c r="FT146" s="2"/>
      <c r="FU146" s="2"/>
      <c r="FV146" s="2"/>
      <c r="FW146" s="2"/>
      <c r="FX146" s="2"/>
      <c r="FY146" s="2"/>
      <c r="FZ146" s="2"/>
      <c r="GA146" s="2"/>
      <c r="GB146" s="2"/>
      <c r="GC146" s="2"/>
      <c r="GD146" s="2"/>
      <c r="GE146" s="2"/>
      <c r="GF146" s="2"/>
      <c r="GG146" s="2"/>
      <c r="GH146" s="2"/>
      <c r="GI146" s="2"/>
      <c r="GJ146" s="2"/>
      <c r="GK146" s="2"/>
      <c r="GL146" s="2"/>
      <c r="GM146" s="2"/>
      <c r="GN146" s="2"/>
      <c r="GO146" s="2"/>
      <c r="GP146" s="2"/>
      <c r="GQ146" s="2"/>
      <c r="GR146" s="2"/>
      <c r="GS146" s="2"/>
      <c r="GT146" s="2"/>
      <c r="GU146" s="2"/>
      <c r="GV146" s="2"/>
      <c r="GW146" s="2"/>
      <c r="GX146" s="2"/>
      <c r="GY146" s="2"/>
      <c r="GZ146" s="2"/>
      <c r="HA146" s="2"/>
      <c r="HB146" s="2"/>
      <c r="HC146" s="2"/>
      <c r="HD146" s="2"/>
      <c r="HE146" s="2"/>
      <c r="HF146" s="2"/>
      <c r="HG146" s="2"/>
      <c r="HH146" s="2"/>
      <c r="HI146" s="2"/>
      <c r="HJ146" s="2"/>
      <c r="HK146" s="2"/>
      <c r="HL146" s="2"/>
      <c r="HM146" s="2"/>
      <c r="HN146" s="2"/>
      <c r="HO146" s="2"/>
      <c r="HP146" s="2"/>
      <c r="HQ146" s="2"/>
      <c r="HR146" s="2"/>
      <c r="HS146" s="2"/>
      <c r="HT146" s="2"/>
      <c r="HU146" s="2"/>
      <c r="HV146" s="2"/>
      <c r="HW146" s="2"/>
      <c r="HX146" s="2"/>
      <c r="HY146" s="2"/>
      <c r="HZ146" s="2"/>
      <c r="IA146" s="2"/>
      <c r="IB146" s="2"/>
      <c r="IC146" s="2"/>
      <c r="IH146" s="21"/>
      <c r="II146" s="14"/>
      <c r="IJ146" s="15"/>
      <c r="IK146" s="16"/>
      <c r="IL146" s="20"/>
      <c r="IM146" s="14"/>
      <c r="IN146" s="12"/>
      <c r="IO146" s="14"/>
      <c r="IP146" s="14"/>
    </row>
    <row r="147" spans="1:250">
      <c r="A147" s="2"/>
      <c r="B147" s="2"/>
      <c r="C147" s="2"/>
      <c r="D147" s="2"/>
      <c r="E147" s="2"/>
      <c r="F147" s="2"/>
      <c r="G147" s="2"/>
      <c r="H147" s="2"/>
      <c r="I147" s="2"/>
      <c r="J147" s="2"/>
      <c r="K147" s="2"/>
      <c r="L147" s="2"/>
      <c r="M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
      <c r="FX147" s="2"/>
      <c r="FY147" s="2"/>
      <c r="FZ147" s="2"/>
      <c r="GA147" s="2"/>
      <c r="GB147" s="2"/>
      <c r="GC147" s="2"/>
      <c r="GD147" s="2"/>
      <c r="GE147" s="2"/>
      <c r="GF147" s="2"/>
      <c r="GG147" s="2"/>
      <c r="GH147" s="2"/>
      <c r="GI147" s="2"/>
      <c r="GJ147" s="2"/>
      <c r="GK147" s="2"/>
      <c r="GL147" s="2"/>
      <c r="GM147" s="2"/>
      <c r="GN147" s="2"/>
      <c r="GO147" s="2"/>
      <c r="GP147" s="2"/>
      <c r="GQ147" s="2"/>
      <c r="GR147" s="2"/>
      <c r="GS147" s="2"/>
      <c r="GT147" s="2"/>
      <c r="GU147" s="2"/>
      <c r="GV147" s="2"/>
      <c r="GW147" s="2"/>
      <c r="GX147" s="2"/>
      <c r="GY147" s="2"/>
      <c r="GZ147" s="2"/>
      <c r="HA147" s="2"/>
      <c r="HB147" s="2"/>
      <c r="HC147" s="2"/>
      <c r="HD147" s="2"/>
      <c r="HE147" s="2"/>
      <c r="HF147" s="2"/>
      <c r="HG147" s="2"/>
      <c r="HH147" s="2"/>
      <c r="HI147" s="2"/>
      <c r="HJ147" s="2"/>
      <c r="HK147" s="2"/>
      <c r="HL147" s="2"/>
      <c r="HM147" s="2"/>
      <c r="HN147" s="2"/>
      <c r="HO147" s="2"/>
      <c r="HP147" s="2"/>
      <c r="HQ147" s="2"/>
      <c r="HR147" s="2"/>
      <c r="HS147" s="2"/>
      <c r="HT147" s="2"/>
      <c r="HU147" s="2"/>
      <c r="HV147" s="2"/>
      <c r="HW147" s="2"/>
      <c r="HX147" s="2"/>
      <c r="HY147" s="2"/>
      <c r="HZ147" s="2"/>
      <c r="IA147" s="2"/>
      <c r="IB147" s="2"/>
      <c r="IC147" s="2"/>
      <c r="IH147" s="21"/>
      <c r="II147" s="14"/>
      <c r="IJ147" s="15"/>
      <c r="IK147" s="16"/>
      <c r="IL147" s="20"/>
      <c r="IM147" s="14"/>
      <c r="IN147" s="12"/>
      <c r="IO147" s="14"/>
      <c r="IP147" s="14"/>
    </row>
    <row r="148" spans="1:250">
      <c r="A148" s="2"/>
      <c r="B148" s="2"/>
      <c r="C148" s="2"/>
      <c r="D148" s="2"/>
      <c r="E148" s="2"/>
      <c r="F148" s="2"/>
      <c r="G148" s="2"/>
      <c r="H148" s="2"/>
      <c r="I148" s="2"/>
      <c r="J148" s="2"/>
      <c r="K148" s="2"/>
      <c r="L148" s="2"/>
      <c r="M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2"/>
      <c r="FD148" s="2"/>
      <c r="FE148" s="2"/>
      <c r="FF148" s="2"/>
      <c r="FG148" s="2"/>
      <c r="FH148" s="2"/>
      <c r="FI148" s="2"/>
      <c r="FJ148" s="2"/>
      <c r="FK148" s="2"/>
      <c r="FL148" s="2"/>
      <c r="FM148" s="2"/>
      <c r="FN148" s="2"/>
      <c r="FO148" s="2"/>
      <c r="FP148" s="2"/>
      <c r="FQ148" s="2"/>
      <c r="FR148" s="2"/>
      <c r="FS148" s="2"/>
      <c r="FT148" s="2"/>
      <c r="FU148" s="2"/>
      <c r="FV148" s="2"/>
      <c r="FW148" s="2"/>
      <c r="FX148" s="2"/>
      <c r="FY148" s="2"/>
      <c r="FZ148" s="2"/>
      <c r="GA148" s="2"/>
      <c r="GB148" s="2"/>
      <c r="GC148" s="2"/>
      <c r="GD148" s="2"/>
      <c r="GE148" s="2"/>
      <c r="GF148" s="2"/>
      <c r="GG148" s="2"/>
      <c r="GH148" s="2"/>
      <c r="GI148" s="2"/>
      <c r="GJ148" s="2"/>
      <c r="GK148" s="2"/>
      <c r="GL148" s="2"/>
      <c r="GM148" s="2"/>
      <c r="GN148" s="2"/>
      <c r="GO148" s="2"/>
      <c r="GP148" s="2"/>
      <c r="GQ148" s="2"/>
      <c r="GR148" s="2"/>
      <c r="GS148" s="2"/>
      <c r="GT148" s="2"/>
      <c r="GU148" s="2"/>
      <c r="GV148" s="2"/>
      <c r="GW148" s="2"/>
      <c r="GX148" s="2"/>
      <c r="GY148" s="2"/>
      <c r="GZ148" s="2"/>
      <c r="HA148" s="2"/>
      <c r="HB148" s="2"/>
      <c r="HC148" s="2"/>
      <c r="HD148" s="2"/>
      <c r="HE148" s="2"/>
      <c r="HF148" s="2"/>
      <c r="HG148" s="2"/>
      <c r="HH148" s="2"/>
      <c r="HI148" s="2"/>
      <c r="HJ148" s="2"/>
      <c r="HK148" s="2"/>
      <c r="HL148" s="2"/>
      <c r="HM148" s="2"/>
      <c r="HN148" s="2"/>
      <c r="HO148" s="2"/>
      <c r="HP148" s="2"/>
      <c r="HQ148" s="2"/>
      <c r="HR148" s="2"/>
      <c r="HS148" s="2"/>
      <c r="HT148" s="2"/>
      <c r="HU148" s="2"/>
      <c r="HV148" s="2"/>
      <c r="HW148" s="2"/>
      <c r="HX148" s="2"/>
      <c r="HY148" s="2"/>
      <c r="HZ148" s="2"/>
      <c r="IA148" s="2"/>
      <c r="IB148" s="2"/>
      <c r="IC148" s="2"/>
      <c r="IH148" s="21"/>
      <c r="II148" s="14"/>
      <c r="IJ148" s="15"/>
      <c r="IK148" s="16"/>
      <c r="IL148" s="20"/>
      <c r="IM148" s="14"/>
      <c r="IN148" s="12"/>
      <c r="IO148" s="14"/>
      <c r="IP148" s="14"/>
    </row>
    <row r="149" spans="1:250">
      <c r="A149" s="2"/>
      <c r="B149" s="2"/>
      <c r="C149" s="2"/>
      <c r="D149" s="2"/>
      <c r="E149" s="2"/>
      <c r="F149" s="2"/>
      <c r="G149" s="2"/>
      <c r="H149" s="2"/>
      <c r="I149" s="2"/>
      <c r="J149" s="2"/>
      <c r="K149" s="2"/>
      <c r="L149" s="2"/>
      <c r="M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
      <c r="FX149" s="2"/>
      <c r="FY149" s="2"/>
      <c r="FZ149" s="2"/>
      <c r="GA149" s="2"/>
      <c r="GB149" s="2"/>
      <c r="GC149" s="2"/>
      <c r="GD149" s="2"/>
      <c r="GE149" s="2"/>
      <c r="GF149" s="2"/>
      <c r="GG149" s="2"/>
      <c r="GH149" s="2"/>
      <c r="GI149" s="2"/>
      <c r="GJ149" s="2"/>
      <c r="GK149" s="2"/>
      <c r="GL149" s="2"/>
      <c r="GM149" s="2"/>
      <c r="GN149" s="2"/>
      <c r="GO149" s="2"/>
      <c r="GP149" s="2"/>
      <c r="GQ149" s="2"/>
      <c r="GR149" s="2"/>
      <c r="GS149" s="2"/>
      <c r="GT149" s="2"/>
      <c r="GU149" s="2"/>
      <c r="GV149" s="2"/>
      <c r="GW149" s="2"/>
      <c r="GX149" s="2"/>
      <c r="GY149" s="2"/>
      <c r="GZ149" s="2"/>
      <c r="HA149" s="2"/>
      <c r="HB149" s="2"/>
      <c r="HC149" s="2"/>
      <c r="HD149" s="2"/>
      <c r="HE149" s="2"/>
      <c r="HF149" s="2"/>
      <c r="HG149" s="2"/>
      <c r="HH149" s="2"/>
      <c r="HI149" s="2"/>
      <c r="HJ149" s="2"/>
      <c r="HK149" s="2"/>
      <c r="HL149" s="2"/>
      <c r="HM149" s="2"/>
      <c r="HN149" s="2"/>
      <c r="HO149" s="2"/>
      <c r="HP149" s="2"/>
      <c r="HQ149" s="2"/>
      <c r="HR149" s="2"/>
      <c r="HS149" s="2"/>
      <c r="HT149" s="2"/>
      <c r="HU149" s="2"/>
      <c r="HV149" s="2"/>
      <c r="HW149" s="2"/>
      <c r="HX149" s="2"/>
      <c r="HY149" s="2"/>
      <c r="HZ149" s="2"/>
      <c r="IA149" s="2"/>
      <c r="IB149" s="2"/>
      <c r="IC149" s="2"/>
      <c r="IH149" s="21"/>
      <c r="II149" s="14"/>
      <c r="IJ149" s="15"/>
      <c r="IK149" s="16"/>
      <c r="IL149" s="20"/>
      <c r="IM149" s="14"/>
      <c r="IN149" s="12"/>
      <c r="IO149" s="14"/>
      <c r="IP149" s="14"/>
    </row>
    <row r="150" spans="1:250">
      <c r="A150" s="2"/>
      <c r="B150" s="2"/>
      <c r="C150" s="2"/>
      <c r="D150" s="2"/>
      <c r="E150" s="2"/>
      <c r="F150" s="2"/>
      <c r="G150" s="2"/>
      <c r="H150" s="2"/>
      <c r="I150" s="2"/>
      <c r="J150" s="2"/>
      <c r="K150" s="2"/>
      <c r="L150" s="2"/>
      <c r="M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2"/>
      <c r="FD150" s="2"/>
      <c r="FE150" s="2"/>
      <c r="FF150" s="2"/>
      <c r="FG150" s="2"/>
      <c r="FH150" s="2"/>
      <c r="FI150" s="2"/>
      <c r="FJ150" s="2"/>
      <c r="FK150" s="2"/>
      <c r="FL150" s="2"/>
      <c r="FM150" s="2"/>
      <c r="FN150" s="2"/>
      <c r="FO150" s="2"/>
      <c r="FP150" s="2"/>
      <c r="FQ150" s="2"/>
      <c r="FR150" s="2"/>
      <c r="FS150" s="2"/>
      <c r="FT150" s="2"/>
      <c r="FU150" s="2"/>
      <c r="FV150" s="2"/>
      <c r="FW150" s="2"/>
      <c r="FX150" s="2"/>
      <c r="FY150" s="2"/>
      <c r="FZ150" s="2"/>
      <c r="GA150" s="2"/>
      <c r="GB150" s="2"/>
      <c r="GC150" s="2"/>
      <c r="GD150" s="2"/>
      <c r="GE150" s="2"/>
      <c r="GF150" s="2"/>
      <c r="GG150" s="2"/>
      <c r="GH150" s="2"/>
      <c r="GI150" s="2"/>
      <c r="GJ150" s="2"/>
      <c r="GK150" s="2"/>
      <c r="GL150" s="2"/>
      <c r="GM150" s="2"/>
      <c r="GN150" s="2"/>
      <c r="GO150" s="2"/>
      <c r="GP150" s="2"/>
      <c r="GQ150" s="2"/>
      <c r="GR150" s="2"/>
      <c r="GS150" s="2"/>
      <c r="GT150" s="2"/>
      <c r="GU150" s="2"/>
      <c r="GV150" s="2"/>
      <c r="GW150" s="2"/>
      <c r="GX150" s="2"/>
      <c r="GY150" s="2"/>
      <c r="GZ150" s="2"/>
      <c r="HA150" s="2"/>
      <c r="HB150" s="2"/>
      <c r="HC150" s="2"/>
      <c r="HD150" s="2"/>
      <c r="HE150" s="2"/>
      <c r="HF150" s="2"/>
      <c r="HG150" s="2"/>
      <c r="HH150" s="2"/>
      <c r="HI150" s="2"/>
      <c r="HJ150" s="2"/>
      <c r="HK150" s="2"/>
      <c r="HL150" s="2"/>
      <c r="HM150" s="2"/>
      <c r="HN150" s="2"/>
      <c r="HO150" s="2"/>
      <c r="HP150" s="2"/>
      <c r="HQ150" s="2"/>
      <c r="HR150" s="2"/>
      <c r="HS150" s="2"/>
      <c r="HT150" s="2"/>
      <c r="HU150" s="2"/>
      <c r="HV150" s="2"/>
      <c r="HW150" s="2"/>
      <c r="HX150" s="2"/>
      <c r="HY150" s="2"/>
      <c r="HZ150" s="2"/>
      <c r="IA150" s="2"/>
      <c r="IB150" s="2"/>
      <c r="IC150" s="2"/>
      <c r="IH150" s="21"/>
      <c r="II150" s="14"/>
      <c r="IJ150" s="15"/>
      <c r="IK150" s="16"/>
      <c r="IL150" s="20"/>
      <c r="IM150" s="14"/>
      <c r="IN150" s="12"/>
      <c r="IO150" s="14"/>
      <c r="IP150" s="14"/>
    </row>
    <row r="151" spans="1:250">
      <c r="A151" s="2"/>
      <c r="B151" s="2"/>
      <c r="C151" s="2"/>
      <c r="D151" s="2"/>
      <c r="E151" s="2"/>
      <c r="F151" s="2"/>
      <c r="G151" s="2"/>
      <c r="H151" s="2"/>
      <c r="I151" s="2"/>
      <c r="J151" s="2"/>
      <c r="K151" s="2"/>
      <c r="L151" s="2"/>
      <c r="M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2"/>
      <c r="FD151" s="2"/>
      <c r="FE151" s="2"/>
      <c r="FF151" s="2"/>
      <c r="FG151" s="2"/>
      <c r="FH151" s="2"/>
      <c r="FI151" s="2"/>
      <c r="FJ151" s="2"/>
      <c r="FK151" s="2"/>
      <c r="FL151" s="2"/>
      <c r="FM151" s="2"/>
      <c r="FN151" s="2"/>
      <c r="FO151" s="2"/>
      <c r="FP151" s="2"/>
      <c r="FQ151" s="2"/>
      <c r="FR151" s="2"/>
      <c r="FS151" s="2"/>
      <c r="FT151" s="2"/>
      <c r="FU151" s="2"/>
      <c r="FV151" s="2"/>
      <c r="FW151" s="2"/>
      <c r="FX151" s="2"/>
      <c r="FY151" s="2"/>
      <c r="FZ151" s="2"/>
      <c r="GA151" s="2"/>
      <c r="GB151" s="2"/>
      <c r="GC151" s="2"/>
      <c r="GD151" s="2"/>
      <c r="GE151" s="2"/>
      <c r="GF151" s="2"/>
      <c r="GG151" s="2"/>
      <c r="GH151" s="2"/>
      <c r="GI151" s="2"/>
      <c r="GJ151" s="2"/>
      <c r="GK151" s="2"/>
      <c r="GL151" s="2"/>
      <c r="GM151" s="2"/>
      <c r="GN151" s="2"/>
      <c r="GO151" s="2"/>
      <c r="GP151" s="2"/>
      <c r="GQ151" s="2"/>
      <c r="GR151" s="2"/>
      <c r="GS151" s="2"/>
      <c r="GT151" s="2"/>
      <c r="GU151" s="2"/>
      <c r="GV151" s="2"/>
      <c r="GW151" s="2"/>
      <c r="GX151" s="2"/>
      <c r="GY151" s="2"/>
      <c r="GZ151" s="2"/>
      <c r="HA151" s="2"/>
      <c r="HB151" s="2"/>
      <c r="HC151" s="2"/>
      <c r="HD151" s="2"/>
      <c r="HE151" s="2"/>
      <c r="HF151" s="2"/>
      <c r="HG151" s="2"/>
      <c r="HH151" s="2"/>
      <c r="HI151" s="2"/>
      <c r="HJ151" s="2"/>
      <c r="HK151" s="2"/>
      <c r="HL151" s="2"/>
      <c r="HM151" s="2"/>
      <c r="HN151" s="2"/>
      <c r="HO151" s="2"/>
      <c r="HP151" s="2"/>
      <c r="HQ151" s="2"/>
      <c r="HR151" s="2"/>
      <c r="HS151" s="2"/>
      <c r="HT151" s="2"/>
      <c r="HU151" s="2"/>
      <c r="HV151" s="2"/>
      <c r="HW151" s="2"/>
      <c r="HX151" s="2"/>
      <c r="HY151" s="2"/>
      <c r="HZ151" s="2"/>
      <c r="IA151" s="2"/>
      <c r="IB151" s="2"/>
      <c r="IC151" s="2"/>
      <c r="IH151" s="21"/>
      <c r="II151" s="14"/>
      <c r="IJ151" s="15"/>
      <c r="IK151" s="16"/>
      <c r="IL151" s="20"/>
      <c r="IM151" s="14"/>
      <c r="IN151" s="12"/>
      <c r="IO151" s="14"/>
      <c r="IP151" s="14"/>
    </row>
    <row r="152" spans="1:250">
      <c r="A152" s="2"/>
      <c r="B152" s="2"/>
      <c r="C152" s="2"/>
      <c r="D152" s="2"/>
      <c r="E152" s="2"/>
      <c r="F152" s="2"/>
      <c r="G152" s="2"/>
      <c r="H152" s="2"/>
      <c r="I152" s="2"/>
      <c r="J152" s="2"/>
      <c r="K152" s="2"/>
      <c r="L152" s="2"/>
      <c r="M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2"/>
      <c r="FD152" s="2"/>
      <c r="FE152" s="2"/>
      <c r="FF152" s="2"/>
      <c r="FG152" s="2"/>
      <c r="FH152" s="2"/>
      <c r="FI152" s="2"/>
      <c r="FJ152" s="2"/>
      <c r="FK152" s="2"/>
      <c r="FL152" s="2"/>
      <c r="FM152" s="2"/>
      <c r="FN152" s="2"/>
      <c r="FO152" s="2"/>
      <c r="FP152" s="2"/>
      <c r="FQ152" s="2"/>
      <c r="FR152" s="2"/>
      <c r="FS152" s="2"/>
      <c r="FT152" s="2"/>
      <c r="FU152" s="2"/>
      <c r="FV152" s="2"/>
      <c r="FW152" s="2"/>
      <c r="FX152" s="2"/>
      <c r="FY152" s="2"/>
      <c r="FZ152" s="2"/>
      <c r="GA152" s="2"/>
      <c r="GB152" s="2"/>
      <c r="GC152" s="2"/>
      <c r="GD152" s="2"/>
      <c r="GE152" s="2"/>
      <c r="GF152" s="2"/>
      <c r="GG152" s="2"/>
      <c r="GH152" s="2"/>
      <c r="GI152" s="2"/>
      <c r="GJ152" s="2"/>
      <c r="GK152" s="2"/>
      <c r="GL152" s="2"/>
      <c r="GM152" s="2"/>
      <c r="GN152" s="2"/>
      <c r="GO152" s="2"/>
      <c r="GP152" s="2"/>
      <c r="GQ152" s="2"/>
      <c r="GR152" s="2"/>
      <c r="GS152" s="2"/>
      <c r="GT152" s="2"/>
      <c r="GU152" s="2"/>
      <c r="GV152" s="2"/>
      <c r="GW152" s="2"/>
      <c r="GX152" s="2"/>
      <c r="GY152" s="2"/>
      <c r="GZ152" s="2"/>
      <c r="HA152" s="2"/>
      <c r="HB152" s="2"/>
      <c r="HC152" s="2"/>
      <c r="HD152" s="2"/>
      <c r="HE152" s="2"/>
      <c r="HF152" s="2"/>
      <c r="HG152" s="2"/>
      <c r="HH152" s="2"/>
      <c r="HI152" s="2"/>
      <c r="HJ152" s="2"/>
      <c r="HK152" s="2"/>
      <c r="HL152" s="2"/>
      <c r="HM152" s="2"/>
      <c r="HN152" s="2"/>
      <c r="HO152" s="2"/>
      <c r="HP152" s="2"/>
      <c r="HQ152" s="2"/>
      <c r="HR152" s="2"/>
      <c r="HS152" s="2"/>
      <c r="HT152" s="2"/>
      <c r="HU152" s="2"/>
      <c r="HV152" s="2"/>
      <c r="HW152" s="2"/>
      <c r="HX152" s="2"/>
      <c r="HY152" s="2"/>
      <c r="HZ152" s="2"/>
      <c r="IA152" s="2"/>
      <c r="IB152" s="2"/>
      <c r="IC152" s="2"/>
      <c r="IH152" s="21"/>
      <c r="II152" s="14"/>
      <c r="IJ152" s="15"/>
      <c r="IK152" s="16"/>
      <c r="IL152" s="20"/>
      <c r="IM152" s="14"/>
      <c r="IN152" s="12"/>
      <c r="IO152" s="14"/>
      <c r="IP152" s="14"/>
    </row>
    <row r="153" spans="1:250">
      <c r="A153" s="2"/>
      <c r="B153" s="2"/>
      <c r="C153" s="2"/>
      <c r="D153" s="2"/>
      <c r="E153" s="2"/>
      <c r="F153" s="2"/>
      <c r="G153" s="2"/>
      <c r="H153" s="2"/>
      <c r="I153" s="2"/>
      <c r="J153" s="2"/>
      <c r="K153" s="2"/>
      <c r="L153" s="2"/>
      <c r="M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2"/>
      <c r="FD153" s="2"/>
      <c r="FE153" s="2"/>
      <c r="FF153" s="2"/>
      <c r="FG153" s="2"/>
      <c r="FH153" s="2"/>
      <c r="FI153" s="2"/>
      <c r="FJ153" s="2"/>
      <c r="FK153" s="2"/>
      <c r="FL153" s="2"/>
      <c r="FM153" s="2"/>
      <c r="FN153" s="2"/>
      <c r="FO153" s="2"/>
      <c r="FP153" s="2"/>
      <c r="FQ153" s="2"/>
      <c r="FR153" s="2"/>
      <c r="FS153" s="2"/>
      <c r="FT153" s="2"/>
      <c r="FU153" s="2"/>
      <c r="FV153" s="2"/>
      <c r="FW153" s="2"/>
      <c r="FX153" s="2"/>
      <c r="FY153" s="2"/>
      <c r="FZ153" s="2"/>
      <c r="GA153" s="2"/>
      <c r="GB153" s="2"/>
      <c r="GC153" s="2"/>
      <c r="GD153" s="2"/>
      <c r="GE153" s="2"/>
      <c r="GF153" s="2"/>
      <c r="GG153" s="2"/>
      <c r="GH153" s="2"/>
      <c r="GI153" s="2"/>
      <c r="GJ153" s="2"/>
      <c r="GK153" s="2"/>
      <c r="GL153" s="2"/>
      <c r="GM153" s="2"/>
      <c r="GN153" s="2"/>
      <c r="GO153" s="2"/>
      <c r="GP153" s="2"/>
      <c r="GQ153" s="2"/>
      <c r="GR153" s="2"/>
      <c r="GS153" s="2"/>
      <c r="GT153" s="2"/>
      <c r="GU153" s="2"/>
      <c r="GV153" s="2"/>
      <c r="GW153" s="2"/>
      <c r="GX153" s="2"/>
      <c r="GY153" s="2"/>
      <c r="GZ153" s="2"/>
      <c r="HA153" s="2"/>
      <c r="HB153" s="2"/>
      <c r="HC153" s="2"/>
      <c r="HD153" s="2"/>
      <c r="HE153" s="2"/>
      <c r="HF153" s="2"/>
      <c r="HG153" s="2"/>
      <c r="HH153" s="2"/>
      <c r="HI153" s="2"/>
      <c r="HJ153" s="2"/>
      <c r="HK153" s="2"/>
      <c r="HL153" s="2"/>
      <c r="HM153" s="2"/>
      <c r="HN153" s="2"/>
      <c r="HO153" s="2"/>
      <c r="HP153" s="2"/>
      <c r="HQ153" s="2"/>
      <c r="HR153" s="2"/>
      <c r="HS153" s="2"/>
      <c r="HT153" s="2"/>
      <c r="HU153" s="2"/>
      <c r="HV153" s="2"/>
      <c r="HW153" s="2"/>
      <c r="HX153" s="2"/>
      <c r="HY153" s="2"/>
      <c r="HZ153" s="2"/>
      <c r="IA153" s="2"/>
      <c r="IB153" s="2"/>
      <c r="IC153" s="2"/>
      <c r="IH153" s="21"/>
      <c r="II153" s="14"/>
      <c r="IJ153" s="15"/>
      <c r="IK153" s="16"/>
      <c r="IL153" s="20"/>
      <c r="IM153" s="14"/>
      <c r="IN153" s="12"/>
      <c r="IO153" s="14"/>
      <c r="IP153" s="14"/>
    </row>
    <row r="154" spans="1:250">
      <c r="A154" s="2"/>
      <c r="B154" s="2"/>
      <c r="C154" s="2"/>
      <c r="D154" s="2"/>
      <c r="E154" s="2"/>
      <c r="F154" s="2"/>
      <c r="G154" s="2"/>
      <c r="H154" s="2"/>
      <c r="I154" s="2"/>
      <c r="J154" s="2"/>
      <c r="K154" s="2"/>
      <c r="L154" s="2"/>
      <c r="M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2"/>
      <c r="FD154" s="2"/>
      <c r="FE154" s="2"/>
      <c r="FF154" s="2"/>
      <c r="FG154" s="2"/>
      <c r="FH154" s="2"/>
      <c r="FI154" s="2"/>
      <c r="FJ154" s="2"/>
      <c r="FK154" s="2"/>
      <c r="FL154" s="2"/>
      <c r="FM154" s="2"/>
      <c r="FN154" s="2"/>
      <c r="FO154" s="2"/>
      <c r="FP154" s="2"/>
      <c r="FQ154" s="2"/>
      <c r="FR154" s="2"/>
      <c r="FS154" s="2"/>
      <c r="FT154" s="2"/>
      <c r="FU154" s="2"/>
      <c r="FV154" s="2"/>
      <c r="FW154" s="2"/>
      <c r="FX154" s="2"/>
      <c r="FY154" s="2"/>
      <c r="FZ154" s="2"/>
      <c r="GA154" s="2"/>
      <c r="GB154" s="2"/>
      <c r="GC154" s="2"/>
      <c r="GD154" s="2"/>
      <c r="GE154" s="2"/>
      <c r="GF154" s="2"/>
      <c r="GG154" s="2"/>
      <c r="GH154" s="2"/>
      <c r="GI154" s="2"/>
      <c r="GJ154" s="2"/>
      <c r="GK154" s="2"/>
      <c r="GL154" s="2"/>
      <c r="GM154" s="2"/>
      <c r="GN154" s="2"/>
      <c r="GO154" s="2"/>
      <c r="GP154" s="2"/>
      <c r="GQ154" s="2"/>
      <c r="GR154" s="2"/>
      <c r="GS154" s="2"/>
      <c r="GT154" s="2"/>
      <c r="GU154" s="2"/>
      <c r="GV154" s="2"/>
      <c r="GW154" s="2"/>
      <c r="GX154" s="2"/>
      <c r="GY154" s="2"/>
      <c r="GZ154" s="2"/>
      <c r="HA154" s="2"/>
      <c r="HB154" s="2"/>
      <c r="HC154" s="2"/>
      <c r="HD154" s="2"/>
      <c r="HE154" s="2"/>
      <c r="HF154" s="2"/>
      <c r="HG154" s="2"/>
      <c r="HH154" s="2"/>
      <c r="HI154" s="2"/>
      <c r="HJ154" s="2"/>
      <c r="HK154" s="2"/>
      <c r="HL154" s="2"/>
      <c r="HM154" s="2"/>
      <c r="HN154" s="2"/>
      <c r="HO154" s="2"/>
      <c r="HP154" s="2"/>
      <c r="HQ154" s="2"/>
      <c r="HR154" s="2"/>
      <c r="HS154" s="2"/>
      <c r="HT154" s="2"/>
      <c r="HU154" s="2"/>
      <c r="HV154" s="2"/>
      <c r="HW154" s="2"/>
      <c r="HX154" s="2"/>
      <c r="HY154" s="2"/>
      <c r="HZ154" s="2"/>
      <c r="IA154" s="2"/>
      <c r="IB154" s="2"/>
      <c r="IC154" s="2"/>
      <c r="IH154" s="21"/>
      <c r="II154" s="14"/>
      <c r="IJ154" s="15"/>
      <c r="IK154" s="16"/>
      <c r="IL154" s="20"/>
      <c r="IM154" s="14"/>
      <c r="IN154" s="12"/>
      <c r="IO154" s="14"/>
      <c r="IP154" s="14"/>
    </row>
    <row r="155" spans="1:250">
      <c r="A155" s="2"/>
      <c r="B155" s="2"/>
      <c r="C155" s="2"/>
      <c r="D155" s="2"/>
      <c r="E155" s="2"/>
      <c r="F155" s="2"/>
      <c r="G155" s="2"/>
      <c r="H155" s="2"/>
      <c r="I155" s="2"/>
      <c r="J155" s="2"/>
      <c r="K155" s="2"/>
      <c r="L155" s="2"/>
      <c r="M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2"/>
      <c r="FD155" s="2"/>
      <c r="FE155" s="2"/>
      <c r="FF155" s="2"/>
      <c r="FG155" s="2"/>
      <c r="FH155" s="2"/>
      <c r="FI155" s="2"/>
      <c r="FJ155" s="2"/>
      <c r="FK155" s="2"/>
      <c r="FL155" s="2"/>
      <c r="FM155" s="2"/>
      <c r="FN155" s="2"/>
      <c r="FO155" s="2"/>
      <c r="FP155" s="2"/>
      <c r="FQ155" s="2"/>
      <c r="FR155" s="2"/>
      <c r="FS155" s="2"/>
      <c r="FT155" s="2"/>
      <c r="FU155" s="2"/>
      <c r="FV155" s="2"/>
      <c r="FW155" s="2"/>
      <c r="FX155" s="2"/>
      <c r="FY155" s="2"/>
      <c r="FZ155" s="2"/>
      <c r="GA155" s="2"/>
      <c r="GB155" s="2"/>
      <c r="GC155" s="2"/>
      <c r="GD155" s="2"/>
      <c r="GE155" s="2"/>
      <c r="GF155" s="2"/>
      <c r="GG155" s="2"/>
      <c r="GH155" s="2"/>
      <c r="GI155" s="2"/>
      <c r="GJ155" s="2"/>
      <c r="GK155" s="2"/>
      <c r="GL155" s="2"/>
      <c r="GM155" s="2"/>
      <c r="GN155" s="2"/>
      <c r="GO155" s="2"/>
      <c r="GP155" s="2"/>
      <c r="GQ155" s="2"/>
      <c r="GR155" s="2"/>
      <c r="GS155" s="2"/>
      <c r="GT155" s="2"/>
      <c r="GU155" s="2"/>
      <c r="GV155" s="2"/>
      <c r="GW155" s="2"/>
      <c r="GX155" s="2"/>
      <c r="GY155" s="2"/>
      <c r="GZ155" s="2"/>
      <c r="HA155" s="2"/>
      <c r="HB155" s="2"/>
      <c r="HC155" s="2"/>
      <c r="HD155" s="2"/>
      <c r="HE155" s="2"/>
      <c r="HF155" s="2"/>
      <c r="HG155" s="2"/>
      <c r="HH155" s="2"/>
      <c r="HI155" s="2"/>
      <c r="HJ155" s="2"/>
      <c r="HK155" s="2"/>
      <c r="HL155" s="2"/>
      <c r="HM155" s="2"/>
      <c r="HN155" s="2"/>
      <c r="HO155" s="2"/>
      <c r="HP155" s="2"/>
      <c r="HQ155" s="2"/>
      <c r="HR155" s="2"/>
      <c r="HS155" s="2"/>
      <c r="HT155" s="2"/>
      <c r="HU155" s="2"/>
      <c r="HV155" s="2"/>
      <c r="HW155" s="2"/>
      <c r="HX155" s="2"/>
      <c r="HY155" s="2"/>
      <c r="HZ155" s="2"/>
      <c r="IA155" s="2"/>
      <c r="IB155" s="2"/>
      <c r="IC155" s="2"/>
      <c r="IH155" s="21"/>
      <c r="II155" s="14"/>
      <c r="IJ155" s="15"/>
      <c r="IK155" s="16"/>
      <c r="IL155" s="20"/>
      <c r="IM155" s="14"/>
      <c r="IN155" s="12"/>
      <c r="IO155" s="14"/>
      <c r="IP155" s="14"/>
    </row>
    <row r="156" spans="1:250">
      <c r="A156" s="2"/>
      <c r="B156" s="2"/>
      <c r="C156" s="2"/>
      <c r="D156" s="2"/>
      <c r="E156" s="2"/>
      <c r="F156" s="2"/>
      <c r="G156" s="2"/>
      <c r="H156" s="2"/>
      <c r="I156" s="2"/>
      <c r="J156" s="2"/>
      <c r="K156" s="2"/>
      <c r="L156" s="2"/>
      <c r="M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2"/>
      <c r="FD156" s="2"/>
      <c r="FE156" s="2"/>
      <c r="FF156" s="2"/>
      <c r="FG156" s="2"/>
      <c r="FH156" s="2"/>
      <c r="FI156" s="2"/>
      <c r="FJ156" s="2"/>
      <c r="FK156" s="2"/>
      <c r="FL156" s="2"/>
      <c r="FM156" s="2"/>
      <c r="FN156" s="2"/>
      <c r="FO156" s="2"/>
      <c r="FP156" s="2"/>
      <c r="FQ156" s="2"/>
      <c r="FR156" s="2"/>
      <c r="FS156" s="2"/>
      <c r="FT156" s="2"/>
      <c r="FU156" s="2"/>
      <c r="FV156" s="2"/>
      <c r="FW156" s="2"/>
      <c r="FX156" s="2"/>
      <c r="FY156" s="2"/>
      <c r="FZ156" s="2"/>
      <c r="GA156" s="2"/>
      <c r="GB156" s="2"/>
      <c r="GC156" s="2"/>
      <c r="GD156" s="2"/>
      <c r="GE156" s="2"/>
      <c r="GF156" s="2"/>
      <c r="GG156" s="2"/>
      <c r="GH156" s="2"/>
      <c r="GI156" s="2"/>
      <c r="GJ156" s="2"/>
      <c r="GK156" s="2"/>
      <c r="GL156" s="2"/>
      <c r="GM156" s="2"/>
      <c r="GN156" s="2"/>
      <c r="GO156" s="2"/>
      <c r="GP156" s="2"/>
      <c r="GQ156" s="2"/>
      <c r="GR156" s="2"/>
      <c r="GS156" s="2"/>
      <c r="GT156" s="2"/>
      <c r="GU156" s="2"/>
      <c r="GV156" s="2"/>
      <c r="GW156" s="2"/>
      <c r="GX156" s="2"/>
      <c r="GY156" s="2"/>
      <c r="GZ156" s="2"/>
      <c r="HA156" s="2"/>
      <c r="HB156" s="2"/>
      <c r="HC156" s="2"/>
      <c r="HD156" s="2"/>
      <c r="HE156" s="2"/>
      <c r="HF156" s="2"/>
      <c r="HG156" s="2"/>
      <c r="HH156" s="2"/>
      <c r="HI156" s="2"/>
      <c r="HJ156" s="2"/>
      <c r="HK156" s="2"/>
      <c r="HL156" s="2"/>
      <c r="HM156" s="2"/>
      <c r="HN156" s="2"/>
      <c r="HO156" s="2"/>
      <c r="HP156" s="2"/>
      <c r="HQ156" s="2"/>
      <c r="HR156" s="2"/>
      <c r="HS156" s="2"/>
      <c r="HT156" s="2"/>
      <c r="HU156" s="2"/>
      <c r="HV156" s="2"/>
      <c r="HW156" s="2"/>
      <c r="HX156" s="2"/>
      <c r="HY156" s="2"/>
      <c r="HZ156" s="2"/>
      <c r="IA156" s="2"/>
      <c r="IB156" s="2"/>
      <c r="IC156" s="2"/>
      <c r="IH156" s="21"/>
      <c r="II156" s="14"/>
      <c r="IJ156" s="15"/>
      <c r="IK156" s="16"/>
      <c r="IL156" s="20"/>
      <c r="IM156" s="14"/>
      <c r="IN156" s="12"/>
      <c r="IO156" s="14"/>
      <c r="IP156" s="14"/>
    </row>
    <row r="157" spans="1:250">
      <c r="A157" s="2"/>
      <c r="B157" s="2"/>
      <c r="C157" s="2"/>
      <c r="D157" s="2"/>
      <c r="E157" s="2"/>
      <c r="F157" s="2"/>
      <c r="G157" s="2"/>
      <c r="H157" s="2"/>
      <c r="I157" s="2"/>
      <c r="J157" s="2"/>
      <c r="K157" s="2"/>
      <c r="L157" s="2"/>
      <c r="M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2"/>
      <c r="FD157" s="2"/>
      <c r="FE157" s="2"/>
      <c r="FF157" s="2"/>
      <c r="FG157" s="2"/>
      <c r="FH157" s="2"/>
      <c r="FI157" s="2"/>
      <c r="FJ157" s="2"/>
      <c r="FK157" s="2"/>
      <c r="FL157" s="2"/>
      <c r="FM157" s="2"/>
      <c r="FN157" s="2"/>
      <c r="FO157" s="2"/>
      <c r="FP157" s="2"/>
      <c r="FQ157" s="2"/>
      <c r="FR157" s="2"/>
      <c r="FS157" s="2"/>
      <c r="FT157" s="2"/>
      <c r="FU157" s="2"/>
      <c r="FV157" s="2"/>
      <c r="FW157" s="2"/>
      <c r="FX157" s="2"/>
      <c r="FY157" s="2"/>
      <c r="FZ157" s="2"/>
      <c r="GA157" s="2"/>
      <c r="GB157" s="2"/>
      <c r="GC157" s="2"/>
      <c r="GD157" s="2"/>
      <c r="GE157" s="2"/>
      <c r="GF157" s="2"/>
      <c r="GG157" s="2"/>
      <c r="GH157" s="2"/>
      <c r="GI157" s="2"/>
      <c r="GJ157" s="2"/>
      <c r="GK157" s="2"/>
      <c r="GL157" s="2"/>
      <c r="GM157" s="2"/>
      <c r="GN157" s="2"/>
      <c r="GO157" s="2"/>
      <c r="GP157" s="2"/>
      <c r="GQ157" s="2"/>
      <c r="GR157" s="2"/>
      <c r="GS157" s="2"/>
      <c r="GT157" s="2"/>
      <c r="GU157" s="2"/>
      <c r="GV157" s="2"/>
      <c r="GW157" s="2"/>
      <c r="GX157" s="2"/>
      <c r="GY157" s="2"/>
      <c r="GZ157" s="2"/>
      <c r="HA157" s="2"/>
      <c r="HB157" s="2"/>
      <c r="HC157" s="2"/>
      <c r="HD157" s="2"/>
      <c r="HE157" s="2"/>
      <c r="HF157" s="2"/>
      <c r="HG157" s="2"/>
      <c r="HH157" s="2"/>
      <c r="HI157" s="2"/>
      <c r="HJ157" s="2"/>
      <c r="HK157" s="2"/>
      <c r="HL157" s="2"/>
      <c r="HM157" s="2"/>
      <c r="HN157" s="2"/>
      <c r="HO157" s="2"/>
      <c r="HP157" s="2"/>
      <c r="HQ157" s="2"/>
      <c r="HR157" s="2"/>
      <c r="HS157" s="2"/>
      <c r="HT157" s="2"/>
      <c r="HU157" s="2"/>
      <c r="HV157" s="2"/>
      <c r="HW157" s="2"/>
      <c r="HX157" s="2"/>
      <c r="HY157" s="2"/>
      <c r="HZ157" s="2"/>
      <c r="IA157" s="2"/>
      <c r="IB157" s="2"/>
      <c r="IC157" s="2"/>
      <c r="IH157" s="21"/>
      <c r="II157" s="14"/>
      <c r="IJ157" s="15"/>
      <c r="IK157" s="16"/>
      <c r="IL157" s="20"/>
      <c r="IM157" s="14"/>
      <c r="IN157" s="12"/>
      <c r="IO157" s="14"/>
      <c r="IP157" s="14"/>
    </row>
    <row r="158" spans="1:250">
      <c r="A158" s="2"/>
      <c r="B158" s="2"/>
      <c r="C158" s="2"/>
      <c r="D158" s="2"/>
      <c r="E158" s="2"/>
      <c r="F158" s="2"/>
      <c r="G158" s="2"/>
      <c r="H158" s="2"/>
      <c r="I158" s="2"/>
      <c r="J158" s="2"/>
      <c r="K158" s="2"/>
      <c r="L158" s="2"/>
      <c r="M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2"/>
      <c r="FD158" s="2"/>
      <c r="FE158" s="2"/>
      <c r="FF158" s="2"/>
      <c r="FG158" s="2"/>
      <c r="FH158" s="2"/>
      <c r="FI158" s="2"/>
      <c r="FJ158" s="2"/>
      <c r="FK158" s="2"/>
      <c r="FL158" s="2"/>
      <c r="FM158" s="2"/>
      <c r="FN158" s="2"/>
      <c r="FO158" s="2"/>
      <c r="FP158" s="2"/>
      <c r="FQ158" s="2"/>
      <c r="FR158" s="2"/>
      <c r="FS158" s="2"/>
      <c r="FT158" s="2"/>
      <c r="FU158" s="2"/>
      <c r="FV158" s="2"/>
      <c r="FW158" s="2"/>
      <c r="FX158" s="2"/>
      <c r="FY158" s="2"/>
      <c r="FZ158" s="2"/>
      <c r="GA158" s="2"/>
      <c r="GB158" s="2"/>
      <c r="GC158" s="2"/>
      <c r="GD158" s="2"/>
      <c r="GE158" s="2"/>
      <c r="GF158" s="2"/>
      <c r="GG158" s="2"/>
      <c r="GH158" s="2"/>
      <c r="GI158" s="2"/>
      <c r="GJ158" s="2"/>
      <c r="GK158" s="2"/>
      <c r="GL158" s="2"/>
      <c r="GM158" s="2"/>
      <c r="GN158" s="2"/>
      <c r="GO158" s="2"/>
      <c r="GP158" s="2"/>
      <c r="GQ158" s="2"/>
      <c r="GR158" s="2"/>
      <c r="GS158" s="2"/>
      <c r="GT158" s="2"/>
      <c r="GU158" s="2"/>
      <c r="GV158" s="2"/>
      <c r="GW158" s="2"/>
      <c r="GX158" s="2"/>
      <c r="GY158" s="2"/>
      <c r="GZ158" s="2"/>
      <c r="HA158" s="2"/>
      <c r="HB158" s="2"/>
      <c r="HC158" s="2"/>
      <c r="HD158" s="2"/>
      <c r="HE158" s="2"/>
      <c r="HF158" s="2"/>
      <c r="HG158" s="2"/>
      <c r="HH158" s="2"/>
      <c r="HI158" s="2"/>
      <c r="HJ158" s="2"/>
      <c r="HK158" s="2"/>
      <c r="HL158" s="2"/>
      <c r="HM158" s="2"/>
      <c r="HN158" s="2"/>
      <c r="HO158" s="2"/>
      <c r="HP158" s="2"/>
      <c r="HQ158" s="2"/>
      <c r="HR158" s="2"/>
      <c r="HS158" s="2"/>
      <c r="HT158" s="2"/>
      <c r="HU158" s="2"/>
      <c r="HV158" s="2"/>
      <c r="HW158" s="2"/>
      <c r="HX158" s="2"/>
      <c r="HY158" s="2"/>
      <c r="HZ158" s="2"/>
      <c r="IA158" s="2"/>
      <c r="IB158" s="2"/>
      <c r="IC158" s="2"/>
      <c r="IH158" s="21"/>
      <c r="II158" s="14"/>
      <c r="IJ158" s="15"/>
      <c r="IK158" s="16"/>
      <c r="IL158" s="20"/>
      <c r="IM158" s="14"/>
      <c r="IN158" s="12"/>
      <c r="IO158" s="14"/>
      <c r="IP158" s="14"/>
    </row>
    <row r="159" spans="1:250">
      <c r="A159" s="2"/>
      <c r="B159" s="2"/>
      <c r="C159" s="2"/>
      <c r="D159" s="2"/>
      <c r="E159" s="2"/>
      <c r="F159" s="2"/>
      <c r="G159" s="2"/>
      <c r="H159" s="2"/>
      <c r="I159" s="2"/>
      <c r="J159" s="2"/>
      <c r="K159" s="2"/>
      <c r="L159" s="2"/>
      <c r="M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2"/>
      <c r="FD159" s="2"/>
      <c r="FE159" s="2"/>
      <c r="FF159" s="2"/>
      <c r="FG159" s="2"/>
      <c r="FH159" s="2"/>
      <c r="FI159" s="2"/>
      <c r="FJ159" s="2"/>
      <c r="FK159" s="2"/>
      <c r="FL159" s="2"/>
      <c r="FM159" s="2"/>
      <c r="FN159" s="2"/>
      <c r="FO159" s="2"/>
      <c r="FP159" s="2"/>
      <c r="FQ159" s="2"/>
      <c r="FR159" s="2"/>
      <c r="FS159" s="2"/>
      <c r="FT159" s="2"/>
      <c r="FU159" s="2"/>
      <c r="FV159" s="2"/>
      <c r="FW159" s="2"/>
      <c r="FX159" s="2"/>
      <c r="FY159" s="2"/>
      <c r="FZ159" s="2"/>
      <c r="GA159" s="2"/>
      <c r="GB159" s="2"/>
      <c r="GC159" s="2"/>
      <c r="GD159" s="2"/>
      <c r="GE159" s="2"/>
      <c r="GF159" s="2"/>
      <c r="GG159" s="2"/>
      <c r="GH159" s="2"/>
      <c r="GI159" s="2"/>
      <c r="GJ159" s="2"/>
      <c r="GK159" s="2"/>
      <c r="GL159" s="2"/>
      <c r="GM159" s="2"/>
      <c r="GN159" s="2"/>
      <c r="GO159" s="2"/>
      <c r="GP159" s="2"/>
      <c r="GQ159" s="2"/>
      <c r="GR159" s="2"/>
      <c r="GS159" s="2"/>
      <c r="GT159" s="2"/>
      <c r="GU159" s="2"/>
      <c r="GV159" s="2"/>
      <c r="GW159" s="2"/>
      <c r="GX159" s="2"/>
      <c r="GY159" s="2"/>
      <c r="GZ159" s="2"/>
      <c r="HA159" s="2"/>
      <c r="HB159" s="2"/>
      <c r="HC159" s="2"/>
      <c r="HD159" s="2"/>
      <c r="HE159" s="2"/>
      <c r="HF159" s="2"/>
      <c r="HG159" s="2"/>
      <c r="HH159" s="2"/>
      <c r="HI159" s="2"/>
      <c r="HJ159" s="2"/>
      <c r="HK159" s="2"/>
      <c r="HL159" s="2"/>
      <c r="HM159" s="2"/>
      <c r="HN159" s="2"/>
      <c r="HO159" s="2"/>
      <c r="HP159" s="2"/>
      <c r="HQ159" s="2"/>
      <c r="HR159" s="2"/>
      <c r="HS159" s="2"/>
      <c r="HT159" s="2"/>
      <c r="HU159" s="2"/>
      <c r="HV159" s="2"/>
      <c r="HW159" s="2"/>
      <c r="HX159" s="2"/>
      <c r="HY159" s="2"/>
      <c r="HZ159" s="2"/>
      <c r="IA159" s="2"/>
      <c r="IB159" s="2"/>
      <c r="IC159" s="2"/>
      <c r="IH159" s="21"/>
      <c r="II159" s="14"/>
      <c r="IJ159" s="15"/>
      <c r="IK159" s="16"/>
      <c r="IL159" s="20"/>
      <c r="IM159" s="14"/>
      <c r="IN159" s="12"/>
      <c r="IO159" s="14"/>
      <c r="IP159" s="14"/>
    </row>
    <row r="160" spans="1:250">
      <c r="A160" s="2"/>
      <c r="B160" s="2"/>
      <c r="C160" s="2"/>
      <c r="D160" s="2"/>
      <c r="E160" s="2"/>
      <c r="F160" s="2"/>
      <c r="G160" s="2"/>
      <c r="H160" s="2"/>
      <c r="I160" s="2"/>
      <c r="J160" s="2"/>
      <c r="K160" s="2"/>
      <c r="L160" s="2"/>
      <c r="M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2"/>
      <c r="FD160" s="2"/>
      <c r="FE160" s="2"/>
      <c r="FF160" s="2"/>
      <c r="FG160" s="2"/>
      <c r="FH160" s="2"/>
      <c r="FI160" s="2"/>
      <c r="FJ160" s="2"/>
      <c r="FK160" s="2"/>
      <c r="FL160" s="2"/>
      <c r="FM160" s="2"/>
      <c r="FN160" s="2"/>
      <c r="FO160" s="2"/>
      <c r="FP160" s="2"/>
      <c r="FQ160" s="2"/>
      <c r="FR160" s="2"/>
      <c r="FS160" s="2"/>
      <c r="FT160" s="2"/>
      <c r="FU160" s="2"/>
      <c r="FV160" s="2"/>
      <c r="FW160" s="2"/>
      <c r="FX160" s="2"/>
      <c r="FY160" s="2"/>
      <c r="FZ160" s="2"/>
      <c r="GA160" s="2"/>
      <c r="GB160" s="2"/>
      <c r="GC160" s="2"/>
      <c r="GD160" s="2"/>
      <c r="GE160" s="2"/>
      <c r="GF160" s="2"/>
      <c r="GG160" s="2"/>
      <c r="GH160" s="2"/>
      <c r="GI160" s="2"/>
      <c r="GJ160" s="2"/>
      <c r="GK160" s="2"/>
      <c r="GL160" s="2"/>
      <c r="GM160" s="2"/>
      <c r="GN160" s="2"/>
      <c r="GO160" s="2"/>
      <c r="GP160" s="2"/>
      <c r="GQ160" s="2"/>
      <c r="GR160" s="2"/>
      <c r="GS160" s="2"/>
      <c r="GT160" s="2"/>
      <c r="GU160" s="2"/>
      <c r="GV160" s="2"/>
      <c r="GW160" s="2"/>
      <c r="GX160" s="2"/>
      <c r="GY160" s="2"/>
      <c r="GZ160" s="2"/>
      <c r="HA160" s="2"/>
      <c r="HB160" s="2"/>
      <c r="HC160" s="2"/>
      <c r="HD160" s="2"/>
      <c r="HE160" s="2"/>
      <c r="HF160" s="2"/>
      <c r="HG160" s="2"/>
      <c r="HH160" s="2"/>
      <c r="HI160" s="2"/>
      <c r="HJ160" s="2"/>
      <c r="HK160" s="2"/>
      <c r="HL160" s="2"/>
      <c r="HM160" s="2"/>
      <c r="HN160" s="2"/>
      <c r="HO160" s="2"/>
      <c r="HP160" s="2"/>
      <c r="HQ160" s="2"/>
      <c r="HR160" s="2"/>
      <c r="HS160" s="2"/>
      <c r="HT160" s="2"/>
      <c r="HU160" s="2"/>
      <c r="HV160" s="2"/>
      <c r="HW160" s="2"/>
      <c r="HX160" s="2"/>
      <c r="HY160" s="2"/>
      <c r="HZ160" s="2"/>
      <c r="IA160" s="2"/>
      <c r="IB160" s="2"/>
      <c r="IC160" s="2"/>
      <c r="IH160" s="21"/>
      <c r="II160" s="14"/>
      <c r="IJ160" s="15"/>
      <c r="IK160" s="16"/>
      <c r="IL160" s="20"/>
      <c r="IM160" s="14"/>
      <c r="IN160" s="12"/>
      <c r="IO160" s="14"/>
      <c r="IP160" s="14"/>
    </row>
    <row r="161" spans="1:250">
      <c r="A161" s="2"/>
      <c r="B161" s="2"/>
      <c r="C161" s="2"/>
      <c r="D161" s="2"/>
      <c r="E161" s="2"/>
      <c r="F161" s="2"/>
      <c r="G161" s="2"/>
      <c r="H161" s="2"/>
      <c r="I161" s="2"/>
      <c r="J161" s="2"/>
      <c r="K161" s="2"/>
      <c r="L161" s="2"/>
      <c r="M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2"/>
      <c r="FD161" s="2"/>
      <c r="FE161" s="2"/>
      <c r="FF161" s="2"/>
      <c r="FG161" s="2"/>
      <c r="FH161" s="2"/>
      <c r="FI161" s="2"/>
      <c r="FJ161" s="2"/>
      <c r="FK161" s="2"/>
      <c r="FL161" s="2"/>
      <c r="FM161" s="2"/>
      <c r="FN161" s="2"/>
      <c r="FO161" s="2"/>
      <c r="FP161" s="2"/>
      <c r="FQ161" s="2"/>
      <c r="FR161" s="2"/>
      <c r="FS161" s="2"/>
      <c r="FT161" s="2"/>
      <c r="FU161" s="2"/>
      <c r="FV161" s="2"/>
      <c r="FW161" s="2"/>
      <c r="FX161" s="2"/>
      <c r="FY161" s="2"/>
      <c r="FZ161" s="2"/>
      <c r="GA161" s="2"/>
      <c r="GB161" s="2"/>
      <c r="GC161" s="2"/>
      <c r="GD161" s="2"/>
      <c r="GE161" s="2"/>
      <c r="GF161" s="2"/>
      <c r="GG161" s="2"/>
      <c r="GH161" s="2"/>
      <c r="GI161" s="2"/>
      <c r="GJ161" s="2"/>
      <c r="GK161" s="2"/>
      <c r="GL161" s="2"/>
      <c r="GM161" s="2"/>
      <c r="GN161" s="2"/>
      <c r="GO161" s="2"/>
      <c r="GP161" s="2"/>
      <c r="GQ161" s="2"/>
      <c r="GR161" s="2"/>
      <c r="GS161" s="2"/>
      <c r="GT161" s="2"/>
      <c r="GU161" s="2"/>
      <c r="GV161" s="2"/>
      <c r="GW161" s="2"/>
      <c r="GX161" s="2"/>
      <c r="GY161" s="2"/>
      <c r="GZ161" s="2"/>
      <c r="HA161" s="2"/>
      <c r="HB161" s="2"/>
      <c r="HC161" s="2"/>
      <c r="HD161" s="2"/>
      <c r="HE161" s="2"/>
      <c r="HF161" s="2"/>
      <c r="HG161" s="2"/>
      <c r="HH161" s="2"/>
      <c r="HI161" s="2"/>
      <c r="HJ161" s="2"/>
      <c r="HK161" s="2"/>
      <c r="HL161" s="2"/>
      <c r="HM161" s="2"/>
      <c r="HN161" s="2"/>
      <c r="HO161" s="2"/>
      <c r="HP161" s="2"/>
      <c r="HQ161" s="2"/>
      <c r="HR161" s="2"/>
      <c r="HS161" s="2"/>
      <c r="HT161" s="2"/>
      <c r="HU161" s="2"/>
      <c r="HV161" s="2"/>
      <c r="HW161" s="2"/>
      <c r="HX161" s="2"/>
      <c r="HY161" s="2"/>
      <c r="HZ161" s="2"/>
      <c r="IA161" s="2"/>
      <c r="IB161" s="2"/>
      <c r="IC161" s="2"/>
      <c r="IH161" s="21"/>
      <c r="II161" s="14"/>
      <c r="IJ161" s="15"/>
      <c r="IK161" s="16"/>
      <c r="IL161" s="20"/>
      <c r="IM161" s="14"/>
      <c r="IN161" s="12"/>
      <c r="IO161" s="14"/>
      <c r="IP161" s="14"/>
    </row>
    <row r="162" spans="1:250">
      <c r="A162" s="2"/>
      <c r="B162" s="2"/>
      <c r="C162" s="2"/>
      <c r="D162" s="2"/>
      <c r="E162" s="2"/>
      <c r="F162" s="2"/>
      <c r="G162" s="2"/>
      <c r="H162" s="2"/>
      <c r="I162" s="2"/>
      <c r="J162" s="2"/>
      <c r="K162" s="2"/>
      <c r="L162" s="2"/>
      <c r="M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2"/>
      <c r="FD162" s="2"/>
      <c r="FE162" s="2"/>
      <c r="FF162" s="2"/>
      <c r="FG162" s="2"/>
      <c r="FH162" s="2"/>
      <c r="FI162" s="2"/>
      <c r="FJ162" s="2"/>
      <c r="FK162" s="2"/>
      <c r="FL162" s="2"/>
      <c r="FM162" s="2"/>
      <c r="FN162" s="2"/>
      <c r="FO162" s="2"/>
      <c r="FP162" s="2"/>
      <c r="FQ162" s="2"/>
      <c r="FR162" s="2"/>
      <c r="FS162" s="2"/>
      <c r="FT162" s="2"/>
      <c r="FU162" s="2"/>
      <c r="FV162" s="2"/>
      <c r="FW162" s="2"/>
      <c r="FX162" s="2"/>
      <c r="FY162" s="2"/>
      <c r="FZ162" s="2"/>
      <c r="GA162" s="2"/>
      <c r="GB162" s="2"/>
      <c r="GC162" s="2"/>
      <c r="GD162" s="2"/>
      <c r="GE162" s="2"/>
      <c r="GF162" s="2"/>
      <c r="GG162" s="2"/>
      <c r="GH162" s="2"/>
      <c r="GI162" s="2"/>
      <c r="GJ162" s="2"/>
      <c r="GK162" s="2"/>
      <c r="GL162" s="2"/>
      <c r="GM162" s="2"/>
      <c r="GN162" s="2"/>
      <c r="GO162" s="2"/>
      <c r="GP162" s="2"/>
      <c r="GQ162" s="2"/>
      <c r="GR162" s="2"/>
      <c r="GS162" s="2"/>
      <c r="GT162" s="2"/>
      <c r="GU162" s="2"/>
      <c r="GV162" s="2"/>
      <c r="GW162" s="2"/>
      <c r="GX162" s="2"/>
      <c r="GY162" s="2"/>
      <c r="GZ162" s="2"/>
      <c r="HA162" s="2"/>
      <c r="HB162" s="2"/>
      <c r="HC162" s="2"/>
      <c r="HD162" s="2"/>
      <c r="HE162" s="2"/>
      <c r="HF162" s="2"/>
      <c r="HG162" s="2"/>
      <c r="HH162" s="2"/>
      <c r="HI162" s="2"/>
      <c r="HJ162" s="2"/>
      <c r="HK162" s="2"/>
      <c r="HL162" s="2"/>
      <c r="HM162" s="2"/>
      <c r="HN162" s="2"/>
      <c r="HO162" s="2"/>
      <c r="HP162" s="2"/>
      <c r="HQ162" s="2"/>
      <c r="HR162" s="2"/>
      <c r="HS162" s="2"/>
      <c r="HT162" s="2"/>
      <c r="HU162" s="2"/>
      <c r="HV162" s="2"/>
      <c r="HW162" s="2"/>
      <c r="HX162" s="2"/>
      <c r="HY162" s="2"/>
      <c r="HZ162" s="2"/>
      <c r="IA162" s="2"/>
      <c r="IB162" s="2"/>
      <c r="IC162" s="2"/>
      <c r="IH162" s="21"/>
      <c r="II162" s="14"/>
      <c r="IJ162" s="15"/>
      <c r="IK162" s="16"/>
      <c r="IL162" s="20"/>
      <c r="IM162" s="14"/>
      <c r="IN162" s="12"/>
      <c r="IO162" s="14"/>
      <c r="IP162" s="14"/>
    </row>
    <row r="163" spans="1:250">
      <c r="A163" s="2"/>
      <c r="B163" s="2"/>
      <c r="C163" s="2"/>
      <c r="D163" s="2"/>
      <c r="E163" s="2"/>
      <c r="F163" s="2"/>
      <c r="G163" s="2"/>
      <c r="H163" s="2"/>
      <c r="I163" s="2"/>
      <c r="J163" s="2"/>
      <c r="K163" s="2"/>
      <c r="L163" s="2"/>
      <c r="M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2"/>
      <c r="FD163" s="2"/>
      <c r="FE163" s="2"/>
      <c r="FF163" s="2"/>
      <c r="FG163" s="2"/>
      <c r="FH163" s="2"/>
      <c r="FI163" s="2"/>
      <c r="FJ163" s="2"/>
      <c r="FK163" s="2"/>
      <c r="FL163" s="2"/>
      <c r="FM163" s="2"/>
      <c r="FN163" s="2"/>
      <c r="FO163" s="2"/>
      <c r="FP163" s="2"/>
      <c r="FQ163" s="2"/>
      <c r="FR163" s="2"/>
      <c r="FS163" s="2"/>
      <c r="FT163" s="2"/>
      <c r="FU163" s="2"/>
      <c r="FV163" s="2"/>
      <c r="FW163" s="2"/>
      <c r="FX163" s="2"/>
      <c r="FY163" s="2"/>
      <c r="FZ163" s="2"/>
      <c r="GA163" s="2"/>
      <c r="GB163" s="2"/>
      <c r="GC163" s="2"/>
      <c r="GD163" s="2"/>
      <c r="GE163" s="2"/>
      <c r="GF163" s="2"/>
      <c r="GG163" s="2"/>
      <c r="GH163" s="2"/>
      <c r="GI163" s="2"/>
      <c r="GJ163" s="2"/>
      <c r="GK163" s="2"/>
      <c r="GL163" s="2"/>
      <c r="GM163" s="2"/>
      <c r="GN163" s="2"/>
      <c r="GO163" s="2"/>
      <c r="GP163" s="2"/>
      <c r="GQ163" s="2"/>
      <c r="GR163" s="2"/>
      <c r="GS163" s="2"/>
      <c r="GT163" s="2"/>
      <c r="GU163" s="2"/>
      <c r="GV163" s="2"/>
      <c r="GW163" s="2"/>
      <c r="GX163" s="2"/>
      <c r="GY163" s="2"/>
      <c r="GZ163" s="2"/>
      <c r="HA163" s="2"/>
      <c r="HB163" s="2"/>
      <c r="HC163" s="2"/>
      <c r="HD163" s="2"/>
      <c r="HE163" s="2"/>
      <c r="HF163" s="2"/>
      <c r="HG163" s="2"/>
      <c r="HH163" s="2"/>
      <c r="HI163" s="2"/>
      <c r="HJ163" s="2"/>
      <c r="HK163" s="2"/>
      <c r="HL163" s="2"/>
      <c r="HM163" s="2"/>
      <c r="HN163" s="2"/>
      <c r="HO163" s="2"/>
      <c r="HP163" s="2"/>
      <c r="HQ163" s="2"/>
      <c r="HR163" s="2"/>
      <c r="HS163" s="2"/>
      <c r="HT163" s="2"/>
      <c r="HU163" s="2"/>
      <c r="HV163" s="2"/>
      <c r="HW163" s="2"/>
      <c r="HX163" s="2"/>
      <c r="HY163" s="2"/>
      <c r="HZ163" s="2"/>
      <c r="IA163" s="2"/>
      <c r="IB163" s="2"/>
      <c r="IC163" s="2"/>
      <c r="IH163" s="21"/>
      <c r="II163" s="14"/>
      <c r="IJ163" s="15"/>
      <c r="IK163" s="16"/>
      <c r="IL163" s="20"/>
      <c r="IM163" s="14"/>
      <c r="IN163" s="12"/>
      <c r="IO163" s="14"/>
      <c r="IP163" s="14"/>
    </row>
    <row r="164" spans="1:250">
      <c r="A164" s="2"/>
      <c r="B164" s="2"/>
      <c r="C164" s="2"/>
      <c r="D164" s="2"/>
      <c r="E164" s="2"/>
      <c r="F164" s="2"/>
      <c r="G164" s="2"/>
      <c r="H164" s="2"/>
      <c r="I164" s="2"/>
      <c r="J164" s="2"/>
      <c r="K164" s="2"/>
      <c r="L164" s="2"/>
      <c r="M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2"/>
      <c r="FD164" s="2"/>
      <c r="FE164" s="2"/>
      <c r="FF164" s="2"/>
      <c r="FG164" s="2"/>
      <c r="FH164" s="2"/>
      <c r="FI164" s="2"/>
      <c r="FJ164" s="2"/>
      <c r="FK164" s="2"/>
      <c r="FL164" s="2"/>
      <c r="FM164" s="2"/>
      <c r="FN164" s="2"/>
      <c r="FO164" s="2"/>
      <c r="FP164" s="2"/>
      <c r="FQ164" s="2"/>
      <c r="FR164" s="2"/>
      <c r="FS164" s="2"/>
      <c r="FT164" s="2"/>
      <c r="FU164" s="2"/>
      <c r="FV164" s="2"/>
      <c r="FW164" s="2"/>
      <c r="FX164" s="2"/>
      <c r="FY164" s="2"/>
      <c r="FZ164" s="2"/>
      <c r="GA164" s="2"/>
      <c r="GB164" s="2"/>
      <c r="GC164" s="2"/>
      <c r="GD164" s="2"/>
      <c r="GE164" s="2"/>
      <c r="GF164" s="2"/>
      <c r="GG164" s="2"/>
      <c r="GH164" s="2"/>
      <c r="GI164" s="2"/>
      <c r="GJ164" s="2"/>
      <c r="GK164" s="2"/>
      <c r="GL164" s="2"/>
      <c r="GM164" s="2"/>
      <c r="GN164" s="2"/>
      <c r="GO164" s="2"/>
      <c r="GP164" s="2"/>
      <c r="GQ164" s="2"/>
      <c r="GR164" s="2"/>
      <c r="GS164" s="2"/>
      <c r="GT164" s="2"/>
      <c r="GU164" s="2"/>
      <c r="GV164" s="2"/>
      <c r="GW164" s="2"/>
      <c r="GX164" s="2"/>
      <c r="GY164" s="2"/>
      <c r="GZ164" s="2"/>
      <c r="HA164" s="2"/>
      <c r="HB164" s="2"/>
      <c r="HC164" s="2"/>
      <c r="HD164" s="2"/>
      <c r="HE164" s="2"/>
      <c r="HF164" s="2"/>
      <c r="HG164" s="2"/>
      <c r="HH164" s="2"/>
      <c r="HI164" s="2"/>
      <c r="HJ164" s="2"/>
      <c r="HK164" s="2"/>
      <c r="HL164" s="2"/>
      <c r="HM164" s="2"/>
      <c r="HN164" s="2"/>
      <c r="HO164" s="2"/>
      <c r="HP164" s="2"/>
      <c r="HQ164" s="2"/>
      <c r="HR164" s="2"/>
      <c r="HS164" s="2"/>
      <c r="HT164" s="2"/>
      <c r="HU164" s="2"/>
      <c r="HV164" s="2"/>
      <c r="HW164" s="2"/>
      <c r="HX164" s="2"/>
      <c r="HY164" s="2"/>
      <c r="HZ164" s="2"/>
      <c r="IA164" s="2"/>
      <c r="IB164" s="2"/>
      <c r="IC164" s="2"/>
      <c r="IH164" s="21"/>
      <c r="II164" s="14"/>
      <c r="IJ164" s="15"/>
      <c r="IK164" s="16"/>
      <c r="IL164" s="20"/>
      <c r="IM164" s="14"/>
      <c r="IN164" s="12"/>
      <c r="IO164" s="14"/>
      <c r="IP164" s="14"/>
    </row>
    <row r="165" spans="1:250">
      <c r="A165" s="2"/>
      <c r="B165" s="2"/>
      <c r="C165" s="2"/>
      <c r="D165" s="2"/>
      <c r="E165" s="2"/>
      <c r="F165" s="2"/>
      <c r="G165" s="2"/>
      <c r="H165" s="2"/>
      <c r="I165" s="2"/>
      <c r="J165" s="2"/>
      <c r="K165" s="2"/>
      <c r="L165" s="2"/>
      <c r="M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2"/>
      <c r="FD165" s="2"/>
      <c r="FE165" s="2"/>
      <c r="FF165" s="2"/>
      <c r="FG165" s="2"/>
      <c r="FH165" s="2"/>
      <c r="FI165" s="2"/>
      <c r="FJ165" s="2"/>
      <c r="FK165" s="2"/>
      <c r="FL165" s="2"/>
      <c r="FM165" s="2"/>
      <c r="FN165" s="2"/>
      <c r="FO165" s="2"/>
      <c r="FP165" s="2"/>
      <c r="FQ165" s="2"/>
      <c r="FR165" s="2"/>
      <c r="FS165" s="2"/>
      <c r="FT165" s="2"/>
      <c r="FU165" s="2"/>
      <c r="FV165" s="2"/>
      <c r="FW165" s="2"/>
      <c r="FX165" s="2"/>
      <c r="FY165" s="2"/>
      <c r="FZ165" s="2"/>
      <c r="GA165" s="2"/>
      <c r="GB165" s="2"/>
      <c r="GC165" s="2"/>
      <c r="GD165" s="2"/>
      <c r="GE165" s="2"/>
      <c r="GF165" s="2"/>
      <c r="GG165" s="2"/>
      <c r="GH165" s="2"/>
      <c r="GI165" s="2"/>
      <c r="GJ165" s="2"/>
      <c r="GK165" s="2"/>
      <c r="GL165" s="2"/>
      <c r="GM165" s="2"/>
      <c r="GN165" s="2"/>
      <c r="GO165" s="2"/>
      <c r="GP165" s="2"/>
      <c r="GQ165" s="2"/>
      <c r="GR165" s="2"/>
      <c r="GS165" s="2"/>
      <c r="GT165" s="2"/>
      <c r="GU165" s="2"/>
      <c r="GV165" s="2"/>
      <c r="GW165" s="2"/>
      <c r="GX165" s="2"/>
      <c r="GY165" s="2"/>
      <c r="GZ165" s="2"/>
      <c r="HA165" s="2"/>
      <c r="HB165" s="2"/>
      <c r="HC165" s="2"/>
      <c r="HD165" s="2"/>
      <c r="HE165" s="2"/>
      <c r="HF165" s="2"/>
      <c r="HG165" s="2"/>
      <c r="HH165" s="2"/>
      <c r="HI165" s="2"/>
      <c r="HJ165" s="2"/>
      <c r="HK165" s="2"/>
      <c r="HL165" s="2"/>
      <c r="HM165" s="2"/>
      <c r="HN165" s="2"/>
      <c r="HO165" s="2"/>
      <c r="HP165" s="2"/>
      <c r="HQ165" s="2"/>
      <c r="HR165" s="2"/>
      <c r="HS165" s="2"/>
      <c r="HT165" s="2"/>
      <c r="HU165" s="2"/>
      <c r="HV165" s="2"/>
      <c r="HW165" s="2"/>
      <c r="HX165" s="2"/>
      <c r="HY165" s="2"/>
      <c r="HZ165" s="2"/>
      <c r="IA165" s="2"/>
      <c r="IB165" s="2"/>
      <c r="IC165" s="2"/>
      <c r="IH165" s="21"/>
      <c r="II165" s="14"/>
      <c r="IJ165" s="15"/>
      <c r="IK165" s="16"/>
      <c r="IL165" s="20"/>
      <c r="IM165" s="14"/>
      <c r="IN165" s="12"/>
      <c r="IO165" s="14"/>
      <c r="IP165" s="14"/>
    </row>
    <row r="166" spans="1:250">
      <c r="A166" s="2"/>
      <c r="B166" s="2"/>
      <c r="C166" s="2"/>
      <c r="D166" s="2"/>
      <c r="E166" s="2"/>
      <c r="F166" s="2"/>
      <c r="G166" s="2"/>
      <c r="H166" s="2"/>
      <c r="I166" s="2"/>
      <c r="J166" s="2"/>
      <c r="K166" s="2"/>
      <c r="L166" s="2"/>
      <c r="M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2"/>
      <c r="FD166" s="2"/>
      <c r="FE166" s="2"/>
      <c r="FF166" s="2"/>
      <c r="FG166" s="2"/>
      <c r="FH166" s="2"/>
      <c r="FI166" s="2"/>
      <c r="FJ166" s="2"/>
      <c r="FK166" s="2"/>
      <c r="FL166" s="2"/>
      <c r="FM166" s="2"/>
      <c r="FN166" s="2"/>
      <c r="FO166" s="2"/>
      <c r="FP166" s="2"/>
      <c r="FQ166" s="2"/>
      <c r="FR166" s="2"/>
      <c r="FS166" s="2"/>
      <c r="FT166" s="2"/>
      <c r="FU166" s="2"/>
      <c r="FV166" s="2"/>
      <c r="FW166" s="2"/>
      <c r="FX166" s="2"/>
      <c r="FY166" s="2"/>
      <c r="FZ166" s="2"/>
      <c r="GA166" s="2"/>
      <c r="GB166" s="2"/>
      <c r="GC166" s="2"/>
      <c r="GD166" s="2"/>
      <c r="GE166" s="2"/>
      <c r="GF166" s="2"/>
      <c r="GG166" s="2"/>
      <c r="GH166" s="2"/>
      <c r="GI166" s="2"/>
      <c r="GJ166" s="2"/>
      <c r="GK166" s="2"/>
      <c r="GL166" s="2"/>
      <c r="GM166" s="2"/>
      <c r="GN166" s="2"/>
      <c r="GO166" s="2"/>
      <c r="GP166" s="2"/>
      <c r="GQ166" s="2"/>
      <c r="GR166" s="2"/>
      <c r="GS166" s="2"/>
      <c r="GT166" s="2"/>
      <c r="GU166" s="2"/>
      <c r="GV166" s="2"/>
      <c r="GW166" s="2"/>
      <c r="GX166" s="2"/>
      <c r="GY166" s="2"/>
      <c r="GZ166" s="2"/>
      <c r="HA166" s="2"/>
      <c r="HB166" s="2"/>
      <c r="HC166" s="2"/>
      <c r="HD166" s="2"/>
      <c r="HE166" s="2"/>
      <c r="HF166" s="2"/>
      <c r="HG166" s="2"/>
      <c r="HH166" s="2"/>
      <c r="HI166" s="2"/>
      <c r="HJ166" s="2"/>
      <c r="HK166" s="2"/>
      <c r="HL166" s="2"/>
      <c r="HM166" s="2"/>
      <c r="HN166" s="2"/>
      <c r="HO166" s="2"/>
      <c r="HP166" s="2"/>
      <c r="HQ166" s="2"/>
      <c r="HR166" s="2"/>
      <c r="HS166" s="2"/>
      <c r="HT166" s="2"/>
      <c r="HU166" s="2"/>
      <c r="HV166" s="2"/>
      <c r="HW166" s="2"/>
      <c r="HX166" s="2"/>
      <c r="HY166" s="2"/>
      <c r="HZ166" s="2"/>
      <c r="IA166" s="2"/>
      <c r="IB166" s="2"/>
      <c r="IC166" s="2"/>
      <c r="IH166" s="21"/>
      <c r="II166" s="14"/>
      <c r="IJ166" s="15"/>
      <c r="IK166" s="16"/>
      <c r="IL166" s="20"/>
      <c r="IM166" s="14"/>
      <c r="IN166" s="12"/>
      <c r="IO166" s="14"/>
      <c r="IP166" s="14"/>
    </row>
    <row r="167" spans="1:250">
      <c r="A167" s="2"/>
      <c r="B167" s="2"/>
      <c r="C167" s="2"/>
      <c r="D167" s="2"/>
      <c r="E167" s="2"/>
      <c r="F167" s="2"/>
      <c r="G167" s="2"/>
      <c r="H167" s="2"/>
      <c r="I167" s="2"/>
      <c r="J167" s="2"/>
      <c r="K167" s="2"/>
      <c r="L167" s="2"/>
      <c r="M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2"/>
      <c r="FD167" s="2"/>
      <c r="FE167" s="2"/>
      <c r="FF167" s="2"/>
      <c r="FG167" s="2"/>
      <c r="FH167" s="2"/>
      <c r="FI167" s="2"/>
      <c r="FJ167" s="2"/>
      <c r="FK167" s="2"/>
      <c r="FL167" s="2"/>
      <c r="FM167" s="2"/>
      <c r="FN167" s="2"/>
      <c r="FO167" s="2"/>
      <c r="FP167" s="2"/>
      <c r="FQ167" s="2"/>
      <c r="FR167" s="2"/>
      <c r="FS167" s="2"/>
      <c r="FT167" s="2"/>
      <c r="FU167" s="2"/>
      <c r="FV167" s="2"/>
      <c r="FW167" s="2"/>
      <c r="FX167" s="2"/>
      <c r="FY167" s="2"/>
      <c r="FZ167" s="2"/>
      <c r="GA167" s="2"/>
      <c r="GB167" s="2"/>
      <c r="GC167" s="2"/>
      <c r="GD167" s="2"/>
      <c r="GE167" s="2"/>
      <c r="GF167" s="2"/>
      <c r="GG167" s="2"/>
      <c r="GH167" s="2"/>
      <c r="GI167" s="2"/>
      <c r="GJ167" s="2"/>
      <c r="GK167" s="2"/>
      <c r="GL167" s="2"/>
      <c r="GM167" s="2"/>
      <c r="GN167" s="2"/>
      <c r="GO167" s="2"/>
      <c r="GP167" s="2"/>
      <c r="GQ167" s="2"/>
      <c r="GR167" s="2"/>
      <c r="GS167" s="2"/>
      <c r="GT167" s="2"/>
      <c r="GU167" s="2"/>
      <c r="GV167" s="2"/>
      <c r="GW167" s="2"/>
      <c r="GX167" s="2"/>
      <c r="GY167" s="2"/>
      <c r="GZ167" s="2"/>
      <c r="HA167" s="2"/>
      <c r="HB167" s="2"/>
      <c r="HC167" s="2"/>
      <c r="HD167" s="2"/>
      <c r="HE167" s="2"/>
      <c r="HF167" s="2"/>
      <c r="HG167" s="2"/>
      <c r="HH167" s="2"/>
      <c r="HI167" s="2"/>
      <c r="HJ167" s="2"/>
      <c r="HK167" s="2"/>
      <c r="HL167" s="2"/>
      <c r="HM167" s="2"/>
      <c r="HN167" s="2"/>
      <c r="HO167" s="2"/>
      <c r="HP167" s="2"/>
      <c r="HQ167" s="2"/>
      <c r="HR167" s="2"/>
      <c r="HS167" s="2"/>
      <c r="HT167" s="2"/>
      <c r="HU167" s="2"/>
      <c r="HV167" s="2"/>
      <c r="HW167" s="2"/>
      <c r="HX167" s="2"/>
      <c r="HY167" s="2"/>
      <c r="HZ167" s="2"/>
      <c r="IA167" s="2"/>
      <c r="IB167" s="2"/>
      <c r="IC167" s="2"/>
      <c r="IH167" s="21"/>
      <c r="II167" s="14"/>
      <c r="IJ167" s="15"/>
      <c r="IK167" s="16"/>
      <c r="IL167" s="20"/>
      <c r="IM167" s="14"/>
      <c r="IN167" s="12"/>
      <c r="IO167" s="14"/>
      <c r="IP167" s="14"/>
    </row>
    <row r="168" spans="1:250">
      <c r="A168" s="2"/>
      <c r="B168" s="2"/>
      <c r="C168" s="2"/>
      <c r="D168" s="2"/>
      <c r="E168" s="2"/>
      <c r="F168" s="2"/>
      <c r="G168" s="2"/>
      <c r="H168" s="2"/>
      <c r="I168" s="2"/>
      <c r="J168" s="2"/>
      <c r="K168" s="2"/>
      <c r="L168" s="2"/>
      <c r="M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2"/>
      <c r="FD168" s="2"/>
      <c r="FE168" s="2"/>
      <c r="FF168" s="2"/>
      <c r="FG168" s="2"/>
      <c r="FH168" s="2"/>
      <c r="FI168" s="2"/>
      <c r="FJ168" s="2"/>
      <c r="FK168" s="2"/>
      <c r="FL168" s="2"/>
      <c r="FM168" s="2"/>
      <c r="FN168" s="2"/>
      <c r="FO168" s="2"/>
      <c r="FP168" s="2"/>
      <c r="FQ168" s="2"/>
      <c r="FR168" s="2"/>
      <c r="FS168" s="2"/>
      <c r="FT168" s="2"/>
      <c r="FU168" s="2"/>
      <c r="FV168" s="2"/>
      <c r="FW168" s="2"/>
      <c r="FX168" s="2"/>
      <c r="FY168" s="2"/>
      <c r="FZ168" s="2"/>
      <c r="GA168" s="2"/>
      <c r="GB168" s="2"/>
      <c r="GC168" s="2"/>
      <c r="GD168" s="2"/>
      <c r="GE168" s="2"/>
      <c r="GF168" s="2"/>
      <c r="GG168" s="2"/>
      <c r="GH168" s="2"/>
      <c r="GI168" s="2"/>
      <c r="GJ168" s="2"/>
      <c r="GK168" s="2"/>
      <c r="GL168" s="2"/>
      <c r="GM168" s="2"/>
      <c r="GN168" s="2"/>
      <c r="GO168" s="2"/>
      <c r="GP168" s="2"/>
      <c r="GQ168" s="2"/>
      <c r="GR168" s="2"/>
      <c r="GS168" s="2"/>
      <c r="GT168" s="2"/>
      <c r="GU168" s="2"/>
      <c r="GV168" s="2"/>
      <c r="GW168" s="2"/>
      <c r="GX168" s="2"/>
      <c r="GY168" s="2"/>
      <c r="GZ168" s="2"/>
      <c r="HA168" s="2"/>
      <c r="HB168" s="2"/>
      <c r="HC168" s="2"/>
      <c r="HD168" s="2"/>
      <c r="HE168" s="2"/>
      <c r="HF168" s="2"/>
      <c r="HG168" s="2"/>
      <c r="HH168" s="2"/>
      <c r="HI168" s="2"/>
      <c r="HJ168" s="2"/>
      <c r="HK168" s="2"/>
      <c r="HL168" s="2"/>
      <c r="HM168" s="2"/>
      <c r="HN168" s="2"/>
      <c r="HO168" s="2"/>
      <c r="HP168" s="2"/>
      <c r="HQ168" s="2"/>
      <c r="HR168" s="2"/>
      <c r="HS168" s="2"/>
      <c r="HT168" s="2"/>
      <c r="HU168" s="2"/>
      <c r="HV168" s="2"/>
      <c r="HW168" s="2"/>
      <c r="HX168" s="2"/>
      <c r="HY168" s="2"/>
      <c r="HZ168" s="2"/>
      <c r="IA168" s="2"/>
      <c r="IB168" s="2"/>
      <c r="IC168" s="2"/>
      <c r="IH168" s="21"/>
      <c r="II168" s="14"/>
      <c r="IJ168" s="15"/>
      <c r="IK168" s="16"/>
      <c r="IL168" s="20"/>
      <c r="IM168" s="14"/>
      <c r="IN168" s="12"/>
      <c r="IO168" s="14"/>
      <c r="IP168" s="14"/>
    </row>
    <row r="169" spans="1:250">
      <c r="A169" s="2"/>
      <c r="B169" s="2"/>
      <c r="C169" s="2"/>
      <c r="D169" s="2"/>
      <c r="E169" s="2"/>
      <c r="F169" s="2"/>
      <c r="G169" s="2"/>
      <c r="H169" s="2"/>
      <c r="I169" s="2"/>
      <c r="J169" s="2"/>
      <c r="K169" s="2"/>
      <c r="L169" s="2"/>
      <c r="M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2"/>
      <c r="FD169" s="2"/>
      <c r="FE169" s="2"/>
      <c r="FF169" s="2"/>
      <c r="FG169" s="2"/>
      <c r="FH169" s="2"/>
      <c r="FI169" s="2"/>
      <c r="FJ169" s="2"/>
      <c r="FK169" s="2"/>
      <c r="FL169" s="2"/>
      <c r="FM169" s="2"/>
      <c r="FN169" s="2"/>
      <c r="FO169" s="2"/>
      <c r="FP169" s="2"/>
      <c r="FQ169" s="2"/>
      <c r="FR169" s="2"/>
      <c r="FS169" s="2"/>
      <c r="FT169" s="2"/>
      <c r="FU169" s="2"/>
      <c r="FV169" s="2"/>
      <c r="FW169" s="2"/>
      <c r="FX169" s="2"/>
      <c r="FY169" s="2"/>
      <c r="FZ169" s="2"/>
      <c r="GA169" s="2"/>
      <c r="GB169" s="2"/>
      <c r="GC169" s="2"/>
      <c r="GD169" s="2"/>
      <c r="GE169" s="2"/>
      <c r="GF169" s="2"/>
      <c r="GG169" s="2"/>
      <c r="GH169" s="2"/>
      <c r="GI169" s="2"/>
      <c r="GJ169" s="2"/>
      <c r="GK169" s="2"/>
      <c r="GL169" s="2"/>
      <c r="GM169" s="2"/>
      <c r="GN169" s="2"/>
      <c r="GO169" s="2"/>
      <c r="GP169" s="2"/>
      <c r="GQ169" s="2"/>
      <c r="GR169" s="2"/>
      <c r="GS169" s="2"/>
      <c r="GT169" s="2"/>
      <c r="GU169" s="2"/>
      <c r="GV169" s="2"/>
      <c r="GW169" s="2"/>
      <c r="GX169" s="2"/>
      <c r="GY169" s="2"/>
      <c r="GZ169" s="2"/>
      <c r="HA169" s="2"/>
      <c r="HB169" s="2"/>
      <c r="HC169" s="2"/>
      <c r="HD169" s="2"/>
      <c r="HE169" s="2"/>
      <c r="HF169" s="2"/>
      <c r="HG169" s="2"/>
      <c r="HH169" s="2"/>
      <c r="HI169" s="2"/>
      <c r="HJ169" s="2"/>
      <c r="HK169" s="2"/>
      <c r="HL169" s="2"/>
      <c r="HM169" s="2"/>
      <c r="HN169" s="2"/>
      <c r="HO169" s="2"/>
      <c r="HP169" s="2"/>
      <c r="HQ169" s="2"/>
      <c r="HR169" s="2"/>
      <c r="HS169" s="2"/>
      <c r="HT169" s="2"/>
      <c r="HU169" s="2"/>
      <c r="HV169" s="2"/>
      <c r="HW169" s="2"/>
      <c r="HX169" s="2"/>
      <c r="HY169" s="2"/>
      <c r="HZ169" s="2"/>
      <c r="IA169" s="2"/>
      <c r="IB169" s="2"/>
      <c r="IC169" s="2"/>
      <c r="IH169" s="21"/>
      <c r="II169" s="14"/>
      <c r="IJ169" s="15"/>
      <c r="IK169" s="16"/>
      <c r="IL169" s="20"/>
      <c r="IM169" s="14"/>
      <c r="IN169" s="12"/>
      <c r="IO169" s="14"/>
      <c r="IP169" s="14"/>
    </row>
    <row r="170" spans="1:250">
      <c r="A170" s="2"/>
      <c r="B170" s="2"/>
      <c r="C170" s="2"/>
      <c r="D170" s="2"/>
      <c r="E170" s="2"/>
      <c r="F170" s="2"/>
      <c r="G170" s="2"/>
      <c r="H170" s="2"/>
      <c r="I170" s="2"/>
      <c r="J170" s="2"/>
      <c r="K170" s="2"/>
      <c r="L170" s="2"/>
      <c r="M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2"/>
      <c r="FD170" s="2"/>
      <c r="FE170" s="2"/>
      <c r="FF170" s="2"/>
      <c r="FG170" s="2"/>
      <c r="FH170" s="2"/>
      <c r="FI170" s="2"/>
      <c r="FJ170" s="2"/>
      <c r="FK170" s="2"/>
      <c r="FL170" s="2"/>
      <c r="FM170" s="2"/>
      <c r="FN170" s="2"/>
      <c r="FO170" s="2"/>
      <c r="FP170" s="2"/>
      <c r="FQ170" s="2"/>
      <c r="FR170" s="2"/>
      <c r="FS170" s="2"/>
      <c r="FT170" s="2"/>
      <c r="FU170" s="2"/>
      <c r="FV170" s="2"/>
      <c r="FW170" s="2"/>
      <c r="FX170" s="2"/>
      <c r="FY170" s="2"/>
      <c r="FZ170" s="2"/>
      <c r="GA170" s="2"/>
      <c r="GB170" s="2"/>
      <c r="GC170" s="2"/>
      <c r="GD170" s="2"/>
      <c r="GE170" s="2"/>
      <c r="GF170" s="2"/>
      <c r="GG170" s="2"/>
      <c r="GH170" s="2"/>
      <c r="GI170" s="2"/>
      <c r="GJ170" s="2"/>
      <c r="GK170" s="2"/>
      <c r="GL170" s="2"/>
      <c r="GM170" s="2"/>
      <c r="GN170" s="2"/>
      <c r="GO170" s="2"/>
      <c r="GP170" s="2"/>
      <c r="GQ170" s="2"/>
      <c r="GR170" s="2"/>
      <c r="GS170" s="2"/>
      <c r="GT170" s="2"/>
      <c r="GU170" s="2"/>
      <c r="GV170" s="2"/>
      <c r="GW170" s="2"/>
      <c r="GX170" s="2"/>
      <c r="GY170" s="2"/>
      <c r="GZ170" s="2"/>
      <c r="HA170" s="2"/>
      <c r="HB170" s="2"/>
      <c r="HC170" s="2"/>
      <c r="HD170" s="2"/>
      <c r="HE170" s="2"/>
      <c r="HF170" s="2"/>
      <c r="HG170" s="2"/>
      <c r="HH170" s="2"/>
      <c r="HI170" s="2"/>
      <c r="HJ170" s="2"/>
      <c r="HK170" s="2"/>
      <c r="HL170" s="2"/>
      <c r="HM170" s="2"/>
      <c r="HN170" s="2"/>
      <c r="HO170" s="2"/>
      <c r="HP170" s="2"/>
      <c r="HQ170" s="2"/>
      <c r="HR170" s="2"/>
      <c r="HS170" s="2"/>
      <c r="HT170" s="2"/>
      <c r="HU170" s="2"/>
      <c r="HV170" s="2"/>
      <c r="HW170" s="2"/>
      <c r="HX170" s="2"/>
      <c r="HY170" s="2"/>
      <c r="HZ170" s="2"/>
      <c r="IA170" s="2"/>
      <c r="IB170" s="2"/>
      <c r="IC170" s="2"/>
      <c r="IH170" s="21"/>
      <c r="II170" s="14"/>
      <c r="IJ170" s="15"/>
      <c r="IK170" s="16"/>
      <c r="IL170" s="20"/>
      <c r="IM170" s="14"/>
      <c r="IN170" s="12"/>
      <c r="IO170" s="14"/>
      <c r="IP170" s="14"/>
    </row>
    <row r="171" spans="1:250">
      <c r="A171" s="2"/>
      <c r="B171" s="2"/>
      <c r="C171" s="2"/>
      <c r="D171" s="2"/>
      <c r="E171" s="2"/>
      <c r="F171" s="2"/>
      <c r="G171" s="2"/>
      <c r="H171" s="2"/>
      <c r="I171" s="2"/>
      <c r="J171" s="2"/>
      <c r="K171" s="2"/>
      <c r="L171" s="2"/>
      <c r="M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2"/>
      <c r="FD171" s="2"/>
      <c r="FE171" s="2"/>
      <c r="FF171" s="2"/>
      <c r="FG171" s="2"/>
      <c r="FH171" s="2"/>
      <c r="FI171" s="2"/>
      <c r="FJ171" s="2"/>
      <c r="FK171" s="2"/>
      <c r="FL171" s="2"/>
      <c r="FM171" s="2"/>
      <c r="FN171" s="2"/>
      <c r="FO171" s="2"/>
      <c r="FP171" s="2"/>
      <c r="FQ171" s="2"/>
      <c r="FR171" s="2"/>
      <c r="FS171" s="2"/>
      <c r="FT171" s="2"/>
      <c r="FU171" s="2"/>
      <c r="FV171" s="2"/>
      <c r="FW171" s="2"/>
      <c r="FX171" s="2"/>
      <c r="FY171" s="2"/>
      <c r="FZ171" s="2"/>
      <c r="GA171" s="2"/>
      <c r="GB171" s="2"/>
      <c r="GC171" s="2"/>
      <c r="GD171" s="2"/>
      <c r="GE171" s="2"/>
      <c r="GF171" s="2"/>
      <c r="GG171" s="2"/>
      <c r="GH171" s="2"/>
      <c r="GI171" s="2"/>
      <c r="GJ171" s="2"/>
      <c r="GK171" s="2"/>
      <c r="GL171" s="2"/>
      <c r="GM171" s="2"/>
      <c r="GN171" s="2"/>
      <c r="GO171" s="2"/>
      <c r="GP171" s="2"/>
      <c r="GQ171" s="2"/>
      <c r="GR171" s="2"/>
      <c r="GS171" s="2"/>
      <c r="GT171" s="2"/>
      <c r="GU171" s="2"/>
      <c r="GV171" s="2"/>
      <c r="GW171" s="2"/>
      <c r="GX171" s="2"/>
      <c r="GY171" s="2"/>
      <c r="GZ171" s="2"/>
      <c r="HA171" s="2"/>
      <c r="HB171" s="2"/>
      <c r="HC171" s="2"/>
      <c r="HD171" s="2"/>
      <c r="HE171" s="2"/>
      <c r="HF171" s="2"/>
      <c r="HG171" s="2"/>
      <c r="HH171" s="2"/>
      <c r="HI171" s="2"/>
      <c r="HJ171" s="2"/>
      <c r="HK171" s="2"/>
      <c r="HL171" s="2"/>
      <c r="HM171" s="2"/>
      <c r="HN171" s="2"/>
      <c r="HO171" s="2"/>
      <c r="HP171" s="2"/>
      <c r="HQ171" s="2"/>
      <c r="HR171" s="2"/>
      <c r="HS171" s="2"/>
      <c r="HT171" s="2"/>
      <c r="HU171" s="2"/>
      <c r="HV171" s="2"/>
      <c r="HW171" s="2"/>
      <c r="HX171" s="2"/>
      <c r="HY171" s="2"/>
      <c r="HZ171" s="2"/>
      <c r="IA171" s="2"/>
      <c r="IB171" s="2"/>
      <c r="IC171" s="2"/>
      <c r="IH171" s="21"/>
      <c r="II171" s="14"/>
      <c r="IJ171" s="15"/>
      <c r="IK171" s="16"/>
      <c r="IL171" s="20"/>
      <c r="IM171" s="14"/>
      <c r="IN171" s="12"/>
      <c r="IO171" s="14"/>
      <c r="IP171" s="14"/>
    </row>
    <row r="172" spans="1:250">
      <c r="A172" s="2"/>
      <c r="B172" s="2"/>
      <c r="C172" s="2"/>
      <c r="D172" s="2"/>
      <c r="E172" s="2"/>
      <c r="F172" s="2"/>
      <c r="G172" s="2"/>
      <c r="H172" s="2"/>
      <c r="I172" s="2"/>
      <c r="J172" s="2"/>
      <c r="K172" s="2"/>
      <c r="L172" s="2"/>
      <c r="M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2"/>
      <c r="FD172" s="2"/>
      <c r="FE172" s="2"/>
      <c r="FF172" s="2"/>
      <c r="FG172" s="2"/>
      <c r="FH172" s="2"/>
      <c r="FI172" s="2"/>
      <c r="FJ172" s="2"/>
      <c r="FK172" s="2"/>
      <c r="FL172" s="2"/>
      <c r="FM172" s="2"/>
      <c r="FN172" s="2"/>
      <c r="FO172" s="2"/>
      <c r="FP172" s="2"/>
      <c r="FQ172" s="2"/>
      <c r="FR172" s="2"/>
      <c r="FS172" s="2"/>
      <c r="FT172" s="2"/>
      <c r="FU172" s="2"/>
      <c r="FV172" s="2"/>
      <c r="FW172" s="2"/>
      <c r="FX172" s="2"/>
      <c r="FY172" s="2"/>
      <c r="FZ172" s="2"/>
      <c r="GA172" s="2"/>
      <c r="GB172" s="2"/>
      <c r="GC172" s="2"/>
      <c r="GD172" s="2"/>
      <c r="GE172" s="2"/>
      <c r="GF172" s="2"/>
      <c r="GG172" s="2"/>
      <c r="GH172" s="2"/>
      <c r="GI172" s="2"/>
      <c r="GJ172" s="2"/>
      <c r="GK172" s="2"/>
      <c r="GL172" s="2"/>
      <c r="GM172" s="2"/>
      <c r="GN172" s="2"/>
      <c r="GO172" s="2"/>
      <c r="GP172" s="2"/>
      <c r="GQ172" s="2"/>
      <c r="GR172" s="2"/>
      <c r="GS172" s="2"/>
      <c r="GT172" s="2"/>
      <c r="GU172" s="2"/>
      <c r="GV172" s="2"/>
      <c r="GW172" s="2"/>
      <c r="GX172" s="2"/>
      <c r="GY172" s="2"/>
      <c r="GZ172" s="2"/>
      <c r="HA172" s="2"/>
      <c r="HB172" s="2"/>
      <c r="HC172" s="2"/>
      <c r="HD172" s="2"/>
      <c r="HE172" s="2"/>
      <c r="HF172" s="2"/>
      <c r="HG172" s="2"/>
      <c r="HH172" s="2"/>
      <c r="HI172" s="2"/>
      <c r="HJ172" s="2"/>
      <c r="HK172" s="2"/>
      <c r="HL172" s="2"/>
      <c r="HM172" s="2"/>
      <c r="HN172" s="2"/>
      <c r="HO172" s="2"/>
      <c r="HP172" s="2"/>
      <c r="HQ172" s="2"/>
      <c r="HR172" s="2"/>
      <c r="HS172" s="2"/>
      <c r="HT172" s="2"/>
      <c r="HU172" s="2"/>
      <c r="HV172" s="2"/>
      <c r="HW172" s="2"/>
      <c r="HX172" s="2"/>
      <c r="HY172" s="2"/>
      <c r="HZ172" s="2"/>
      <c r="IA172" s="2"/>
      <c r="IB172" s="2"/>
      <c r="IC172" s="2"/>
      <c r="IH172" s="21"/>
      <c r="II172" s="14"/>
      <c r="IJ172" s="15"/>
      <c r="IK172" s="16"/>
      <c r="IL172" s="20"/>
      <c r="IM172" s="14"/>
      <c r="IN172" s="12"/>
      <c r="IO172" s="14"/>
      <c r="IP172" s="14"/>
    </row>
    <row r="173" spans="1:250">
      <c r="A173" s="2"/>
      <c r="B173" s="2"/>
      <c r="C173" s="2"/>
      <c r="D173" s="2"/>
      <c r="E173" s="2"/>
      <c r="F173" s="2"/>
      <c r="G173" s="2"/>
      <c r="H173" s="2"/>
      <c r="I173" s="2"/>
      <c r="J173" s="2"/>
      <c r="K173" s="2"/>
      <c r="L173" s="2"/>
      <c r="M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2"/>
      <c r="FD173" s="2"/>
      <c r="FE173" s="2"/>
      <c r="FF173" s="2"/>
      <c r="FG173" s="2"/>
      <c r="FH173" s="2"/>
      <c r="FI173" s="2"/>
      <c r="FJ173" s="2"/>
      <c r="FK173" s="2"/>
      <c r="FL173" s="2"/>
      <c r="FM173" s="2"/>
      <c r="FN173" s="2"/>
      <c r="FO173" s="2"/>
      <c r="FP173" s="2"/>
      <c r="FQ173" s="2"/>
      <c r="FR173" s="2"/>
      <c r="FS173" s="2"/>
      <c r="FT173" s="2"/>
      <c r="FU173" s="2"/>
      <c r="FV173" s="2"/>
      <c r="FW173" s="2"/>
      <c r="FX173" s="2"/>
      <c r="FY173" s="2"/>
      <c r="FZ173" s="2"/>
      <c r="GA173" s="2"/>
      <c r="GB173" s="2"/>
      <c r="GC173" s="2"/>
      <c r="GD173" s="2"/>
      <c r="GE173" s="2"/>
      <c r="GF173" s="2"/>
      <c r="GG173" s="2"/>
      <c r="GH173" s="2"/>
      <c r="GI173" s="2"/>
      <c r="GJ173" s="2"/>
      <c r="GK173" s="2"/>
      <c r="GL173" s="2"/>
      <c r="GM173" s="2"/>
      <c r="GN173" s="2"/>
      <c r="GO173" s="2"/>
      <c r="GP173" s="2"/>
      <c r="GQ173" s="2"/>
      <c r="GR173" s="2"/>
      <c r="GS173" s="2"/>
      <c r="GT173" s="2"/>
      <c r="GU173" s="2"/>
      <c r="GV173" s="2"/>
      <c r="GW173" s="2"/>
      <c r="GX173" s="2"/>
      <c r="GY173" s="2"/>
      <c r="GZ173" s="2"/>
      <c r="HA173" s="2"/>
      <c r="HB173" s="2"/>
      <c r="HC173" s="2"/>
      <c r="HD173" s="2"/>
      <c r="HE173" s="2"/>
      <c r="HF173" s="2"/>
      <c r="HG173" s="2"/>
      <c r="HH173" s="2"/>
      <c r="HI173" s="2"/>
      <c r="HJ173" s="2"/>
      <c r="HK173" s="2"/>
      <c r="HL173" s="2"/>
      <c r="HM173" s="2"/>
      <c r="HN173" s="2"/>
      <c r="HO173" s="2"/>
      <c r="HP173" s="2"/>
      <c r="HQ173" s="2"/>
      <c r="HR173" s="2"/>
      <c r="HS173" s="2"/>
      <c r="HT173" s="2"/>
      <c r="HU173" s="2"/>
      <c r="HV173" s="2"/>
      <c r="HW173" s="2"/>
      <c r="HX173" s="2"/>
      <c r="HY173" s="2"/>
      <c r="HZ173" s="2"/>
      <c r="IA173" s="2"/>
      <c r="IB173" s="2"/>
      <c r="IC173" s="2"/>
      <c r="IH173" s="21"/>
      <c r="II173" s="14"/>
      <c r="IJ173" s="15"/>
      <c r="IK173" s="16"/>
      <c r="IL173" s="20"/>
      <c r="IM173" s="14"/>
      <c r="IN173" s="12"/>
      <c r="IO173" s="14"/>
      <c r="IP173" s="14"/>
    </row>
    <row r="174" spans="1:250">
      <c r="A174" s="2"/>
      <c r="B174" s="2"/>
      <c r="C174" s="2"/>
      <c r="D174" s="2"/>
      <c r="E174" s="2"/>
      <c r="F174" s="2"/>
      <c r="G174" s="2"/>
      <c r="H174" s="2"/>
      <c r="I174" s="2"/>
      <c r="J174" s="2"/>
      <c r="K174" s="2"/>
      <c r="L174" s="2"/>
      <c r="M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2"/>
      <c r="FD174" s="2"/>
      <c r="FE174" s="2"/>
      <c r="FF174" s="2"/>
      <c r="FG174" s="2"/>
      <c r="FH174" s="2"/>
      <c r="FI174" s="2"/>
      <c r="FJ174" s="2"/>
      <c r="FK174" s="2"/>
      <c r="FL174" s="2"/>
      <c r="FM174" s="2"/>
      <c r="FN174" s="2"/>
      <c r="FO174" s="2"/>
      <c r="FP174" s="2"/>
      <c r="FQ174" s="2"/>
      <c r="FR174" s="2"/>
      <c r="FS174" s="2"/>
      <c r="FT174" s="2"/>
      <c r="FU174" s="2"/>
      <c r="FV174" s="2"/>
      <c r="FW174" s="2"/>
      <c r="FX174" s="2"/>
      <c r="FY174" s="2"/>
      <c r="FZ174" s="2"/>
      <c r="GA174" s="2"/>
      <c r="GB174" s="2"/>
      <c r="GC174" s="2"/>
      <c r="GD174" s="2"/>
      <c r="GE174" s="2"/>
      <c r="GF174" s="2"/>
      <c r="GG174" s="2"/>
      <c r="GH174" s="2"/>
      <c r="GI174" s="2"/>
      <c r="GJ174" s="2"/>
      <c r="GK174" s="2"/>
      <c r="GL174" s="2"/>
      <c r="GM174" s="2"/>
      <c r="GN174" s="2"/>
      <c r="GO174" s="2"/>
      <c r="GP174" s="2"/>
      <c r="GQ174" s="2"/>
      <c r="GR174" s="2"/>
      <c r="GS174" s="2"/>
      <c r="GT174" s="2"/>
      <c r="GU174" s="2"/>
      <c r="GV174" s="2"/>
      <c r="GW174" s="2"/>
      <c r="GX174" s="2"/>
      <c r="GY174" s="2"/>
      <c r="GZ174" s="2"/>
      <c r="HA174" s="2"/>
      <c r="HB174" s="2"/>
      <c r="HC174" s="2"/>
      <c r="HD174" s="2"/>
      <c r="HE174" s="2"/>
      <c r="HF174" s="2"/>
      <c r="HG174" s="2"/>
      <c r="HH174" s="2"/>
      <c r="HI174" s="2"/>
      <c r="HJ174" s="2"/>
      <c r="HK174" s="2"/>
      <c r="HL174" s="2"/>
      <c r="HM174" s="2"/>
      <c r="HN174" s="2"/>
      <c r="HO174" s="2"/>
      <c r="HP174" s="2"/>
      <c r="HQ174" s="2"/>
      <c r="HR174" s="2"/>
      <c r="HS174" s="2"/>
      <c r="HT174" s="2"/>
      <c r="HU174" s="2"/>
      <c r="HV174" s="2"/>
      <c r="HW174" s="2"/>
      <c r="HX174" s="2"/>
      <c r="HY174" s="2"/>
      <c r="HZ174" s="2"/>
      <c r="IA174" s="2"/>
      <c r="IB174" s="2"/>
      <c r="IC174" s="2"/>
      <c r="IH174" s="21"/>
      <c r="II174" s="14"/>
      <c r="IJ174" s="15"/>
      <c r="IK174" s="16"/>
      <c r="IL174" s="20"/>
      <c r="IM174" s="14"/>
      <c r="IN174" s="12"/>
      <c r="IO174" s="14"/>
      <c r="IP174" s="14"/>
    </row>
    <row r="175" spans="1:250">
      <c r="A175" s="2"/>
      <c r="B175" s="2"/>
      <c r="C175" s="2"/>
      <c r="D175" s="2"/>
      <c r="E175" s="2"/>
      <c r="F175" s="2"/>
      <c r="G175" s="2"/>
      <c r="H175" s="2"/>
      <c r="I175" s="2"/>
      <c r="J175" s="2"/>
      <c r="K175" s="2"/>
      <c r="L175" s="2"/>
      <c r="M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2"/>
      <c r="FD175" s="2"/>
      <c r="FE175" s="2"/>
      <c r="FF175" s="2"/>
      <c r="FG175" s="2"/>
      <c r="FH175" s="2"/>
      <c r="FI175" s="2"/>
      <c r="FJ175" s="2"/>
      <c r="FK175" s="2"/>
      <c r="FL175" s="2"/>
      <c r="FM175" s="2"/>
      <c r="FN175" s="2"/>
      <c r="FO175" s="2"/>
      <c r="FP175" s="2"/>
      <c r="FQ175" s="2"/>
      <c r="FR175" s="2"/>
      <c r="FS175" s="2"/>
      <c r="FT175" s="2"/>
      <c r="FU175" s="2"/>
      <c r="FV175" s="2"/>
      <c r="FW175" s="2"/>
      <c r="FX175" s="2"/>
      <c r="FY175" s="2"/>
      <c r="FZ175" s="2"/>
      <c r="GA175" s="2"/>
      <c r="GB175" s="2"/>
      <c r="GC175" s="2"/>
      <c r="GD175" s="2"/>
      <c r="GE175" s="2"/>
      <c r="GF175" s="2"/>
      <c r="GG175" s="2"/>
      <c r="GH175" s="2"/>
      <c r="GI175" s="2"/>
      <c r="GJ175" s="2"/>
      <c r="GK175" s="2"/>
      <c r="GL175" s="2"/>
      <c r="GM175" s="2"/>
      <c r="GN175" s="2"/>
      <c r="GO175" s="2"/>
      <c r="GP175" s="2"/>
      <c r="GQ175" s="2"/>
      <c r="GR175" s="2"/>
      <c r="GS175" s="2"/>
      <c r="GT175" s="2"/>
      <c r="GU175" s="2"/>
      <c r="GV175" s="2"/>
      <c r="GW175" s="2"/>
      <c r="GX175" s="2"/>
      <c r="GY175" s="2"/>
      <c r="GZ175" s="2"/>
      <c r="HA175" s="2"/>
      <c r="HB175" s="2"/>
      <c r="HC175" s="2"/>
      <c r="HD175" s="2"/>
      <c r="HE175" s="2"/>
      <c r="HF175" s="2"/>
      <c r="HG175" s="2"/>
      <c r="HH175" s="2"/>
      <c r="HI175" s="2"/>
      <c r="HJ175" s="2"/>
      <c r="HK175" s="2"/>
      <c r="HL175" s="2"/>
      <c r="HM175" s="2"/>
      <c r="HN175" s="2"/>
      <c r="HO175" s="2"/>
      <c r="HP175" s="2"/>
      <c r="HQ175" s="2"/>
      <c r="HR175" s="2"/>
      <c r="HS175" s="2"/>
      <c r="HT175" s="2"/>
      <c r="HU175" s="2"/>
      <c r="HV175" s="2"/>
      <c r="HW175" s="2"/>
      <c r="HX175" s="2"/>
      <c r="HY175" s="2"/>
      <c r="HZ175" s="2"/>
      <c r="IA175" s="2"/>
      <c r="IB175" s="2"/>
      <c r="IC175" s="2"/>
      <c r="IH175" s="21"/>
      <c r="II175" s="14"/>
      <c r="IJ175" s="15"/>
      <c r="IK175" s="16"/>
      <c r="IL175" s="20"/>
      <c r="IM175" s="14"/>
      <c r="IN175" s="12"/>
      <c r="IO175" s="14"/>
      <c r="IP175" s="14"/>
    </row>
    <row r="176" spans="1:250">
      <c r="A176" s="2"/>
      <c r="B176" s="2"/>
      <c r="C176" s="2"/>
      <c r="D176" s="2"/>
      <c r="E176" s="2"/>
      <c r="F176" s="2"/>
      <c r="G176" s="2"/>
      <c r="H176" s="2"/>
      <c r="I176" s="2"/>
      <c r="J176" s="2"/>
      <c r="K176" s="2"/>
      <c r="L176" s="2"/>
      <c r="M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2"/>
      <c r="FD176" s="2"/>
      <c r="FE176" s="2"/>
      <c r="FF176" s="2"/>
      <c r="FG176" s="2"/>
      <c r="FH176" s="2"/>
      <c r="FI176" s="2"/>
      <c r="FJ176" s="2"/>
      <c r="FK176" s="2"/>
      <c r="FL176" s="2"/>
      <c r="FM176" s="2"/>
      <c r="FN176" s="2"/>
      <c r="FO176" s="2"/>
      <c r="FP176" s="2"/>
      <c r="FQ176" s="2"/>
      <c r="FR176" s="2"/>
      <c r="FS176" s="2"/>
      <c r="FT176" s="2"/>
      <c r="FU176" s="2"/>
      <c r="FV176" s="2"/>
      <c r="FW176" s="2"/>
      <c r="FX176" s="2"/>
      <c r="FY176" s="2"/>
      <c r="FZ176" s="2"/>
      <c r="GA176" s="2"/>
      <c r="GB176" s="2"/>
      <c r="GC176" s="2"/>
      <c r="GD176" s="2"/>
      <c r="GE176" s="2"/>
      <c r="GF176" s="2"/>
      <c r="GG176" s="2"/>
      <c r="GH176" s="2"/>
      <c r="GI176" s="2"/>
      <c r="GJ176" s="2"/>
      <c r="GK176" s="2"/>
      <c r="GL176" s="2"/>
      <c r="GM176" s="2"/>
      <c r="GN176" s="2"/>
      <c r="GO176" s="2"/>
      <c r="GP176" s="2"/>
      <c r="GQ176" s="2"/>
      <c r="GR176" s="2"/>
      <c r="GS176" s="2"/>
      <c r="GT176" s="2"/>
      <c r="GU176" s="2"/>
      <c r="GV176" s="2"/>
      <c r="GW176" s="2"/>
      <c r="GX176" s="2"/>
      <c r="GY176" s="2"/>
      <c r="GZ176" s="2"/>
      <c r="HA176" s="2"/>
      <c r="HB176" s="2"/>
      <c r="HC176" s="2"/>
      <c r="HD176" s="2"/>
      <c r="HE176" s="2"/>
      <c r="HF176" s="2"/>
      <c r="HG176" s="2"/>
      <c r="HH176" s="2"/>
      <c r="HI176" s="2"/>
      <c r="HJ176" s="2"/>
      <c r="HK176" s="2"/>
      <c r="HL176" s="2"/>
      <c r="HM176" s="2"/>
      <c r="HN176" s="2"/>
      <c r="HO176" s="2"/>
      <c r="HP176" s="2"/>
      <c r="HQ176" s="2"/>
      <c r="HR176" s="2"/>
      <c r="HS176" s="2"/>
      <c r="HT176" s="2"/>
      <c r="HU176" s="2"/>
      <c r="HV176" s="2"/>
      <c r="HW176" s="2"/>
      <c r="HX176" s="2"/>
      <c r="HY176" s="2"/>
      <c r="HZ176" s="2"/>
      <c r="IA176" s="2"/>
      <c r="IB176" s="2"/>
      <c r="IC176" s="2"/>
      <c r="IH176" s="21"/>
      <c r="II176" s="14"/>
      <c r="IJ176" s="15"/>
      <c r="IK176" s="16"/>
      <c r="IL176" s="20"/>
      <c r="IM176" s="14"/>
      <c r="IN176" s="12"/>
      <c r="IO176" s="14"/>
      <c r="IP176" s="14"/>
    </row>
    <row r="177" spans="1:250">
      <c r="A177" s="2"/>
      <c r="B177" s="2"/>
      <c r="C177" s="2"/>
      <c r="D177" s="2"/>
      <c r="E177" s="2"/>
      <c r="F177" s="2"/>
      <c r="G177" s="2"/>
      <c r="H177" s="2"/>
      <c r="I177" s="2"/>
      <c r="J177" s="2"/>
      <c r="K177" s="2"/>
      <c r="L177" s="2"/>
      <c r="M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2"/>
      <c r="FD177" s="2"/>
      <c r="FE177" s="2"/>
      <c r="FF177" s="2"/>
      <c r="FG177" s="2"/>
      <c r="FH177" s="2"/>
      <c r="FI177" s="2"/>
      <c r="FJ177" s="2"/>
      <c r="FK177" s="2"/>
      <c r="FL177" s="2"/>
      <c r="FM177" s="2"/>
      <c r="FN177" s="2"/>
      <c r="FO177" s="2"/>
      <c r="FP177" s="2"/>
      <c r="FQ177" s="2"/>
      <c r="FR177" s="2"/>
      <c r="FS177" s="2"/>
      <c r="FT177" s="2"/>
      <c r="FU177" s="2"/>
      <c r="FV177" s="2"/>
      <c r="FW177" s="2"/>
      <c r="FX177" s="2"/>
      <c r="FY177" s="2"/>
      <c r="FZ177" s="2"/>
      <c r="GA177" s="2"/>
      <c r="GB177" s="2"/>
      <c r="GC177" s="2"/>
      <c r="GD177" s="2"/>
      <c r="GE177" s="2"/>
      <c r="GF177" s="2"/>
      <c r="GG177" s="2"/>
      <c r="GH177" s="2"/>
      <c r="GI177" s="2"/>
      <c r="GJ177" s="2"/>
      <c r="GK177" s="2"/>
      <c r="GL177" s="2"/>
      <c r="GM177" s="2"/>
      <c r="GN177" s="2"/>
      <c r="GO177" s="2"/>
      <c r="GP177" s="2"/>
      <c r="GQ177" s="2"/>
      <c r="GR177" s="2"/>
      <c r="GS177" s="2"/>
      <c r="GT177" s="2"/>
      <c r="GU177" s="2"/>
      <c r="GV177" s="2"/>
      <c r="GW177" s="2"/>
      <c r="GX177" s="2"/>
      <c r="GY177" s="2"/>
      <c r="GZ177" s="2"/>
      <c r="HA177" s="2"/>
      <c r="HB177" s="2"/>
      <c r="HC177" s="2"/>
      <c r="HD177" s="2"/>
      <c r="HE177" s="2"/>
      <c r="HF177" s="2"/>
      <c r="HG177" s="2"/>
      <c r="HH177" s="2"/>
      <c r="HI177" s="2"/>
      <c r="HJ177" s="2"/>
      <c r="HK177" s="2"/>
      <c r="HL177" s="2"/>
      <c r="HM177" s="2"/>
      <c r="HN177" s="2"/>
      <c r="HO177" s="2"/>
      <c r="HP177" s="2"/>
      <c r="HQ177" s="2"/>
      <c r="HR177" s="2"/>
      <c r="HS177" s="2"/>
      <c r="HT177" s="2"/>
      <c r="HU177" s="2"/>
      <c r="HV177" s="2"/>
      <c r="HW177" s="2"/>
      <c r="HX177" s="2"/>
      <c r="HY177" s="2"/>
      <c r="HZ177" s="2"/>
      <c r="IA177" s="2"/>
      <c r="IB177" s="2"/>
      <c r="IC177" s="2"/>
      <c r="IH177" s="21"/>
      <c r="II177" s="14"/>
      <c r="IJ177" s="15"/>
      <c r="IK177" s="16"/>
      <c r="IL177" s="20"/>
      <c r="IM177" s="14"/>
      <c r="IN177" s="12"/>
      <c r="IO177" s="14"/>
      <c r="IP177" s="14"/>
    </row>
    <row r="178" spans="1:250">
      <c r="A178" s="2"/>
      <c r="B178" s="2"/>
      <c r="C178" s="2"/>
      <c r="D178" s="2"/>
      <c r="E178" s="2"/>
      <c r="F178" s="2"/>
      <c r="G178" s="2"/>
      <c r="H178" s="2"/>
      <c r="I178" s="2"/>
      <c r="J178" s="2"/>
      <c r="K178" s="2"/>
      <c r="L178" s="2"/>
      <c r="M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2"/>
      <c r="FD178" s="2"/>
      <c r="FE178" s="2"/>
      <c r="FF178" s="2"/>
      <c r="FG178" s="2"/>
      <c r="FH178" s="2"/>
      <c r="FI178" s="2"/>
      <c r="FJ178" s="2"/>
      <c r="FK178" s="2"/>
      <c r="FL178" s="2"/>
      <c r="FM178" s="2"/>
      <c r="FN178" s="2"/>
      <c r="FO178" s="2"/>
      <c r="FP178" s="2"/>
      <c r="FQ178" s="2"/>
      <c r="FR178" s="2"/>
      <c r="FS178" s="2"/>
      <c r="FT178" s="2"/>
      <c r="FU178" s="2"/>
      <c r="FV178" s="2"/>
      <c r="FW178" s="2"/>
      <c r="FX178" s="2"/>
      <c r="FY178" s="2"/>
      <c r="FZ178" s="2"/>
      <c r="GA178" s="2"/>
      <c r="GB178" s="2"/>
      <c r="GC178" s="2"/>
      <c r="GD178" s="2"/>
      <c r="GE178" s="2"/>
      <c r="GF178" s="2"/>
      <c r="GG178" s="2"/>
      <c r="GH178" s="2"/>
      <c r="GI178" s="2"/>
      <c r="GJ178" s="2"/>
      <c r="GK178" s="2"/>
      <c r="GL178" s="2"/>
      <c r="GM178" s="2"/>
      <c r="GN178" s="2"/>
      <c r="GO178" s="2"/>
      <c r="GP178" s="2"/>
      <c r="GQ178" s="2"/>
      <c r="GR178" s="2"/>
      <c r="GS178" s="2"/>
      <c r="GT178" s="2"/>
      <c r="GU178" s="2"/>
      <c r="GV178" s="2"/>
      <c r="GW178" s="2"/>
      <c r="GX178" s="2"/>
      <c r="GY178" s="2"/>
      <c r="GZ178" s="2"/>
      <c r="HA178" s="2"/>
      <c r="HB178" s="2"/>
      <c r="HC178" s="2"/>
      <c r="HD178" s="2"/>
      <c r="HE178" s="2"/>
      <c r="HF178" s="2"/>
      <c r="HG178" s="2"/>
      <c r="HH178" s="2"/>
      <c r="HI178" s="2"/>
      <c r="HJ178" s="2"/>
      <c r="HK178" s="2"/>
      <c r="HL178" s="2"/>
      <c r="HM178" s="2"/>
      <c r="HN178" s="2"/>
      <c r="HO178" s="2"/>
      <c r="HP178" s="2"/>
      <c r="HQ178" s="2"/>
      <c r="HR178" s="2"/>
      <c r="HS178" s="2"/>
      <c r="HT178" s="2"/>
      <c r="HU178" s="2"/>
      <c r="HV178" s="2"/>
      <c r="HW178" s="2"/>
      <c r="HX178" s="2"/>
      <c r="HY178" s="2"/>
      <c r="HZ178" s="2"/>
      <c r="IA178" s="2"/>
      <c r="IB178" s="2"/>
      <c r="IC178" s="2"/>
      <c r="IH178" s="21"/>
      <c r="II178" s="14"/>
      <c r="IJ178" s="15"/>
      <c r="IK178" s="16"/>
      <c r="IL178" s="20"/>
      <c r="IM178" s="14"/>
      <c r="IN178" s="12"/>
      <c r="IO178" s="14"/>
      <c r="IP178" s="14"/>
    </row>
    <row r="179" spans="1:250">
      <c r="A179" s="2"/>
      <c r="B179" s="2"/>
      <c r="C179" s="2"/>
      <c r="D179" s="2"/>
      <c r="E179" s="2"/>
      <c r="F179" s="2"/>
      <c r="G179" s="2"/>
      <c r="H179" s="2"/>
      <c r="I179" s="2"/>
      <c r="J179" s="2"/>
      <c r="K179" s="2"/>
      <c r="L179" s="2"/>
      <c r="M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2"/>
      <c r="FD179" s="2"/>
      <c r="FE179" s="2"/>
      <c r="FF179" s="2"/>
      <c r="FG179" s="2"/>
      <c r="FH179" s="2"/>
      <c r="FI179" s="2"/>
      <c r="FJ179" s="2"/>
      <c r="FK179" s="2"/>
      <c r="FL179" s="2"/>
      <c r="FM179" s="2"/>
      <c r="FN179" s="2"/>
      <c r="FO179" s="2"/>
      <c r="FP179" s="2"/>
      <c r="FQ179" s="2"/>
      <c r="FR179" s="2"/>
      <c r="FS179" s="2"/>
      <c r="FT179" s="2"/>
      <c r="FU179" s="2"/>
      <c r="FV179" s="2"/>
      <c r="FW179" s="2"/>
      <c r="FX179" s="2"/>
      <c r="FY179" s="2"/>
      <c r="FZ179" s="2"/>
      <c r="GA179" s="2"/>
      <c r="GB179" s="2"/>
      <c r="GC179" s="2"/>
      <c r="GD179" s="2"/>
      <c r="GE179" s="2"/>
      <c r="GF179" s="2"/>
      <c r="GG179" s="2"/>
      <c r="GH179" s="2"/>
      <c r="GI179" s="2"/>
      <c r="GJ179" s="2"/>
      <c r="GK179" s="2"/>
      <c r="GL179" s="2"/>
      <c r="GM179" s="2"/>
      <c r="GN179" s="2"/>
      <c r="GO179" s="2"/>
      <c r="GP179" s="2"/>
      <c r="GQ179" s="2"/>
      <c r="GR179" s="2"/>
      <c r="GS179" s="2"/>
      <c r="GT179" s="2"/>
      <c r="GU179" s="2"/>
      <c r="GV179" s="2"/>
      <c r="GW179" s="2"/>
      <c r="GX179" s="2"/>
      <c r="GY179" s="2"/>
      <c r="GZ179" s="2"/>
      <c r="HA179" s="2"/>
      <c r="HB179" s="2"/>
      <c r="HC179" s="2"/>
      <c r="HD179" s="2"/>
      <c r="HE179" s="2"/>
      <c r="HF179" s="2"/>
      <c r="HG179" s="2"/>
      <c r="HH179" s="2"/>
      <c r="HI179" s="2"/>
      <c r="HJ179" s="2"/>
      <c r="HK179" s="2"/>
      <c r="HL179" s="2"/>
      <c r="HM179" s="2"/>
      <c r="HN179" s="2"/>
      <c r="HO179" s="2"/>
      <c r="HP179" s="2"/>
      <c r="HQ179" s="2"/>
      <c r="HR179" s="2"/>
      <c r="HS179" s="2"/>
      <c r="HT179" s="2"/>
      <c r="HU179" s="2"/>
      <c r="HV179" s="2"/>
      <c r="HW179" s="2"/>
      <c r="HX179" s="2"/>
      <c r="HY179" s="2"/>
      <c r="HZ179" s="2"/>
      <c r="IA179" s="2"/>
      <c r="IB179" s="2"/>
      <c r="IC179" s="2"/>
      <c r="IH179" s="21"/>
      <c r="II179" s="14"/>
      <c r="IJ179" s="15"/>
      <c r="IK179" s="16"/>
      <c r="IL179" s="20"/>
      <c r="IM179" s="14"/>
      <c r="IN179" s="12"/>
      <c r="IO179" s="14"/>
      <c r="IP179" s="14"/>
    </row>
    <row r="180" spans="1:250">
      <c r="A180" s="2"/>
      <c r="B180" s="2"/>
      <c r="C180" s="2"/>
      <c r="D180" s="2"/>
      <c r="E180" s="2"/>
      <c r="F180" s="2"/>
      <c r="G180" s="2"/>
      <c r="H180" s="2"/>
      <c r="I180" s="2"/>
      <c r="J180" s="2"/>
      <c r="K180" s="2"/>
      <c r="L180" s="2"/>
      <c r="M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2"/>
      <c r="FD180" s="2"/>
      <c r="FE180" s="2"/>
      <c r="FF180" s="2"/>
      <c r="FG180" s="2"/>
      <c r="FH180" s="2"/>
      <c r="FI180" s="2"/>
      <c r="FJ180" s="2"/>
      <c r="FK180" s="2"/>
      <c r="FL180" s="2"/>
      <c r="FM180" s="2"/>
      <c r="FN180" s="2"/>
      <c r="FO180" s="2"/>
      <c r="FP180" s="2"/>
      <c r="FQ180" s="2"/>
      <c r="FR180" s="2"/>
      <c r="FS180" s="2"/>
      <c r="FT180" s="2"/>
      <c r="FU180" s="2"/>
      <c r="FV180" s="2"/>
      <c r="FW180" s="2"/>
      <c r="FX180" s="2"/>
      <c r="FY180" s="2"/>
      <c r="FZ180" s="2"/>
      <c r="GA180" s="2"/>
      <c r="GB180" s="2"/>
      <c r="GC180" s="2"/>
      <c r="GD180" s="2"/>
      <c r="GE180" s="2"/>
      <c r="GF180" s="2"/>
      <c r="GG180" s="2"/>
      <c r="GH180" s="2"/>
      <c r="GI180" s="2"/>
      <c r="GJ180" s="2"/>
      <c r="GK180" s="2"/>
      <c r="GL180" s="2"/>
      <c r="GM180" s="2"/>
      <c r="GN180" s="2"/>
      <c r="GO180" s="2"/>
      <c r="GP180" s="2"/>
      <c r="GQ180" s="2"/>
      <c r="GR180" s="2"/>
      <c r="GS180" s="2"/>
      <c r="GT180" s="2"/>
      <c r="GU180" s="2"/>
      <c r="GV180" s="2"/>
      <c r="GW180" s="2"/>
      <c r="GX180" s="2"/>
      <c r="GY180" s="2"/>
      <c r="GZ180" s="2"/>
      <c r="HA180" s="2"/>
      <c r="HB180" s="2"/>
      <c r="HC180" s="2"/>
      <c r="HD180" s="2"/>
      <c r="HE180" s="2"/>
      <c r="HF180" s="2"/>
      <c r="HG180" s="2"/>
      <c r="HH180" s="2"/>
      <c r="HI180" s="2"/>
      <c r="HJ180" s="2"/>
      <c r="HK180" s="2"/>
      <c r="HL180" s="2"/>
      <c r="HM180" s="2"/>
      <c r="HN180" s="2"/>
      <c r="HO180" s="2"/>
      <c r="HP180" s="2"/>
      <c r="HQ180" s="2"/>
      <c r="HR180" s="2"/>
      <c r="HS180" s="2"/>
      <c r="HT180" s="2"/>
      <c r="HU180" s="2"/>
      <c r="HV180" s="2"/>
      <c r="HW180" s="2"/>
      <c r="HX180" s="2"/>
      <c r="HY180" s="2"/>
      <c r="HZ180" s="2"/>
      <c r="IA180" s="2"/>
      <c r="IB180" s="2"/>
      <c r="IC180" s="2"/>
      <c r="IH180" s="21"/>
      <c r="II180" s="14"/>
      <c r="IJ180" s="15"/>
      <c r="IK180" s="16"/>
      <c r="IL180" s="20"/>
      <c r="IM180" s="14"/>
      <c r="IN180" s="12"/>
      <c r="IO180" s="14"/>
      <c r="IP180" s="14"/>
    </row>
    <row r="181" spans="1:250">
      <c r="A181" s="2"/>
      <c r="B181" s="2"/>
      <c r="C181" s="2"/>
      <c r="D181" s="2"/>
      <c r="E181" s="2"/>
      <c r="F181" s="2"/>
      <c r="G181" s="2"/>
      <c r="H181" s="2"/>
      <c r="I181" s="2"/>
      <c r="J181" s="2"/>
      <c r="K181" s="2"/>
      <c r="L181" s="2"/>
      <c r="M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2"/>
      <c r="FD181" s="2"/>
      <c r="FE181" s="2"/>
      <c r="FF181" s="2"/>
      <c r="FG181" s="2"/>
      <c r="FH181" s="2"/>
      <c r="FI181" s="2"/>
      <c r="FJ181" s="2"/>
      <c r="FK181" s="2"/>
      <c r="FL181" s="2"/>
      <c r="FM181" s="2"/>
      <c r="FN181" s="2"/>
      <c r="FO181" s="2"/>
      <c r="FP181" s="2"/>
      <c r="FQ181" s="2"/>
      <c r="FR181" s="2"/>
      <c r="FS181" s="2"/>
      <c r="FT181" s="2"/>
      <c r="FU181" s="2"/>
      <c r="FV181" s="2"/>
      <c r="FW181" s="2"/>
      <c r="FX181" s="2"/>
      <c r="FY181" s="2"/>
      <c r="FZ181" s="2"/>
      <c r="GA181" s="2"/>
      <c r="GB181" s="2"/>
      <c r="GC181" s="2"/>
      <c r="GD181" s="2"/>
      <c r="GE181" s="2"/>
      <c r="GF181" s="2"/>
      <c r="GG181" s="2"/>
      <c r="GH181" s="2"/>
      <c r="GI181" s="2"/>
      <c r="GJ181" s="2"/>
      <c r="GK181" s="2"/>
      <c r="GL181" s="2"/>
      <c r="GM181" s="2"/>
      <c r="GN181" s="2"/>
      <c r="GO181" s="2"/>
      <c r="GP181" s="2"/>
      <c r="GQ181" s="2"/>
      <c r="GR181" s="2"/>
      <c r="GS181" s="2"/>
      <c r="GT181" s="2"/>
      <c r="GU181" s="2"/>
      <c r="GV181" s="2"/>
      <c r="GW181" s="2"/>
      <c r="GX181" s="2"/>
      <c r="GY181" s="2"/>
      <c r="GZ181" s="2"/>
      <c r="HA181" s="2"/>
      <c r="HB181" s="2"/>
      <c r="HC181" s="2"/>
      <c r="HD181" s="2"/>
      <c r="HE181" s="2"/>
      <c r="HF181" s="2"/>
      <c r="HG181" s="2"/>
      <c r="HH181" s="2"/>
      <c r="HI181" s="2"/>
      <c r="HJ181" s="2"/>
      <c r="HK181" s="2"/>
      <c r="HL181" s="2"/>
      <c r="HM181" s="2"/>
      <c r="HN181" s="2"/>
      <c r="HO181" s="2"/>
      <c r="HP181" s="2"/>
      <c r="HQ181" s="2"/>
      <c r="HR181" s="2"/>
      <c r="HS181" s="2"/>
      <c r="HT181" s="2"/>
      <c r="HU181" s="2"/>
      <c r="HV181" s="2"/>
      <c r="HW181" s="2"/>
      <c r="HX181" s="2"/>
      <c r="HY181" s="2"/>
      <c r="HZ181" s="2"/>
      <c r="IA181" s="2"/>
      <c r="IB181" s="2"/>
      <c r="IC181" s="2"/>
      <c r="IH181" s="21"/>
      <c r="II181" s="14"/>
      <c r="IJ181" s="15"/>
      <c r="IK181" s="16"/>
      <c r="IL181" s="20"/>
      <c r="IM181" s="14"/>
      <c r="IN181" s="12"/>
      <c r="IO181" s="14"/>
      <c r="IP181" s="14"/>
    </row>
    <row r="182" spans="1:250">
      <c r="A182" s="2"/>
      <c r="B182" s="2"/>
      <c r="C182" s="2"/>
      <c r="D182" s="2"/>
      <c r="E182" s="2"/>
      <c r="F182" s="2"/>
      <c r="G182" s="2"/>
      <c r="H182" s="2"/>
      <c r="I182" s="2"/>
      <c r="J182" s="2"/>
      <c r="K182" s="2"/>
      <c r="L182" s="2"/>
      <c r="M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2"/>
      <c r="FD182" s="2"/>
      <c r="FE182" s="2"/>
      <c r="FF182" s="2"/>
      <c r="FG182" s="2"/>
      <c r="FH182" s="2"/>
      <c r="FI182" s="2"/>
      <c r="FJ182" s="2"/>
      <c r="FK182" s="2"/>
      <c r="FL182" s="2"/>
      <c r="FM182" s="2"/>
      <c r="FN182" s="2"/>
      <c r="FO182" s="2"/>
      <c r="FP182" s="2"/>
      <c r="FQ182" s="2"/>
      <c r="FR182" s="2"/>
      <c r="FS182" s="2"/>
      <c r="FT182" s="2"/>
      <c r="FU182" s="2"/>
      <c r="FV182" s="2"/>
      <c r="FW182" s="2"/>
      <c r="FX182" s="2"/>
      <c r="FY182" s="2"/>
      <c r="FZ182" s="2"/>
      <c r="GA182" s="2"/>
      <c r="GB182" s="2"/>
      <c r="GC182" s="2"/>
      <c r="GD182" s="2"/>
      <c r="GE182" s="2"/>
      <c r="GF182" s="2"/>
      <c r="GG182" s="2"/>
      <c r="GH182" s="2"/>
      <c r="GI182" s="2"/>
      <c r="GJ182" s="2"/>
      <c r="GK182" s="2"/>
      <c r="GL182" s="2"/>
      <c r="GM182" s="2"/>
      <c r="GN182" s="2"/>
      <c r="GO182" s="2"/>
      <c r="GP182" s="2"/>
      <c r="GQ182" s="2"/>
      <c r="GR182" s="2"/>
      <c r="GS182" s="2"/>
      <c r="GT182" s="2"/>
      <c r="GU182" s="2"/>
      <c r="GV182" s="2"/>
      <c r="GW182" s="2"/>
      <c r="GX182" s="2"/>
      <c r="GY182" s="2"/>
      <c r="GZ182" s="2"/>
      <c r="HA182" s="2"/>
      <c r="HB182" s="2"/>
      <c r="HC182" s="2"/>
      <c r="HD182" s="2"/>
      <c r="HE182" s="2"/>
      <c r="HF182" s="2"/>
      <c r="HG182" s="2"/>
      <c r="HH182" s="2"/>
      <c r="HI182" s="2"/>
      <c r="HJ182" s="2"/>
      <c r="HK182" s="2"/>
      <c r="HL182" s="2"/>
      <c r="HM182" s="2"/>
      <c r="HN182" s="2"/>
      <c r="HO182" s="2"/>
      <c r="HP182" s="2"/>
      <c r="HQ182" s="2"/>
      <c r="HR182" s="2"/>
      <c r="HS182" s="2"/>
      <c r="HT182" s="2"/>
      <c r="HU182" s="2"/>
      <c r="HV182" s="2"/>
      <c r="HW182" s="2"/>
      <c r="HX182" s="2"/>
      <c r="HY182" s="2"/>
      <c r="HZ182" s="2"/>
      <c r="IA182" s="2"/>
      <c r="IB182" s="2"/>
      <c r="IC182" s="2"/>
      <c r="IH182" s="21"/>
      <c r="II182" s="14"/>
      <c r="IJ182" s="15"/>
      <c r="IK182" s="16"/>
      <c r="IL182" s="20"/>
      <c r="IM182" s="14"/>
      <c r="IN182" s="12"/>
      <c r="IO182" s="14"/>
      <c r="IP182" s="14"/>
    </row>
    <row r="183" spans="1:250">
      <c r="A183" s="2"/>
      <c r="B183" s="2"/>
      <c r="C183" s="2"/>
      <c r="D183" s="2"/>
      <c r="E183" s="2"/>
      <c r="F183" s="2"/>
      <c r="G183" s="2"/>
      <c r="H183" s="2"/>
      <c r="I183" s="2"/>
      <c r="J183" s="2"/>
      <c r="K183" s="2"/>
      <c r="L183" s="2"/>
      <c r="M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2"/>
      <c r="FD183" s="2"/>
      <c r="FE183" s="2"/>
      <c r="FF183" s="2"/>
      <c r="FG183" s="2"/>
      <c r="FH183" s="2"/>
      <c r="FI183" s="2"/>
      <c r="FJ183" s="2"/>
      <c r="FK183" s="2"/>
      <c r="FL183" s="2"/>
      <c r="FM183" s="2"/>
      <c r="FN183" s="2"/>
      <c r="FO183" s="2"/>
      <c r="FP183" s="2"/>
      <c r="FQ183" s="2"/>
      <c r="FR183" s="2"/>
      <c r="FS183" s="2"/>
      <c r="FT183" s="2"/>
      <c r="FU183" s="2"/>
      <c r="FV183" s="2"/>
      <c r="FW183" s="2"/>
      <c r="FX183" s="2"/>
      <c r="FY183" s="2"/>
      <c r="FZ183" s="2"/>
      <c r="GA183" s="2"/>
      <c r="GB183" s="2"/>
      <c r="GC183" s="2"/>
      <c r="GD183" s="2"/>
      <c r="GE183" s="2"/>
      <c r="GF183" s="2"/>
      <c r="GG183" s="2"/>
      <c r="GH183" s="2"/>
      <c r="GI183" s="2"/>
      <c r="GJ183" s="2"/>
      <c r="GK183" s="2"/>
      <c r="GL183" s="2"/>
      <c r="GM183" s="2"/>
      <c r="GN183" s="2"/>
      <c r="GO183" s="2"/>
      <c r="GP183" s="2"/>
      <c r="GQ183" s="2"/>
      <c r="GR183" s="2"/>
      <c r="GS183" s="2"/>
      <c r="GT183" s="2"/>
      <c r="GU183" s="2"/>
      <c r="GV183" s="2"/>
      <c r="GW183" s="2"/>
      <c r="GX183" s="2"/>
      <c r="GY183" s="2"/>
      <c r="GZ183" s="2"/>
      <c r="HA183" s="2"/>
      <c r="HB183" s="2"/>
      <c r="HC183" s="2"/>
      <c r="HD183" s="2"/>
      <c r="HE183" s="2"/>
      <c r="HF183" s="2"/>
      <c r="HG183" s="2"/>
      <c r="HH183" s="2"/>
      <c r="HI183" s="2"/>
      <c r="HJ183" s="2"/>
      <c r="HK183" s="2"/>
      <c r="HL183" s="2"/>
      <c r="HM183" s="2"/>
      <c r="HN183" s="2"/>
      <c r="HO183" s="2"/>
      <c r="HP183" s="2"/>
      <c r="HQ183" s="2"/>
      <c r="HR183" s="2"/>
      <c r="HS183" s="2"/>
      <c r="HT183" s="2"/>
      <c r="HU183" s="2"/>
      <c r="HV183" s="2"/>
      <c r="HW183" s="2"/>
      <c r="HX183" s="2"/>
      <c r="HY183" s="2"/>
      <c r="HZ183" s="2"/>
      <c r="IA183" s="2"/>
      <c r="IB183" s="2"/>
      <c r="IC183" s="2"/>
      <c r="IH183" s="21"/>
      <c r="II183" s="14"/>
      <c r="IJ183" s="15"/>
      <c r="IK183" s="16"/>
      <c r="IL183" s="20"/>
      <c r="IM183" s="14"/>
      <c r="IN183" s="12"/>
      <c r="IO183" s="14"/>
      <c r="IP183" s="14"/>
    </row>
    <row r="184" spans="1:250">
      <c r="A184" s="2"/>
      <c r="B184" s="2"/>
      <c r="C184" s="2"/>
      <c r="D184" s="2"/>
      <c r="E184" s="2"/>
      <c r="F184" s="2"/>
      <c r="G184" s="2"/>
      <c r="H184" s="2"/>
      <c r="I184" s="2"/>
      <c r="J184" s="2"/>
      <c r="K184" s="2"/>
      <c r="L184" s="2"/>
      <c r="M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2"/>
      <c r="FD184" s="2"/>
      <c r="FE184" s="2"/>
      <c r="FF184" s="2"/>
      <c r="FG184" s="2"/>
      <c r="FH184" s="2"/>
      <c r="FI184" s="2"/>
      <c r="FJ184" s="2"/>
      <c r="FK184" s="2"/>
      <c r="FL184" s="2"/>
      <c r="FM184" s="2"/>
      <c r="FN184" s="2"/>
      <c r="FO184" s="2"/>
      <c r="FP184" s="2"/>
      <c r="FQ184" s="2"/>
      <c r="FR184" s="2"/>
      <c r="FS184" s="2"/>
      <c r="FT184" s="2"/>
      <c r="FU184" s="2"/>
      <c r="FV184" s="2"/>
      <c r="FW184" s="2"/>
      <c r="FX184" s="2"/>
      <c r="FY184" s="2"/>
      <c r="FZ184" s="2"/>
      <c r="GA184" s="2"/>
      <c r="GB184" s="2"/>
      <c r="GC184" s="2"/>
      <c r="GD184" s="2"/>
      <c r="GE184" s="2"/>
      <c r="GF184" s="2"/>
      <c r="GG184" s="2"/>
      <c r="GH184" s="2"/>
      <c r="GI184" s="2"/>
      <c r="GJ184" s="2"/>
      <c r="GK184" s="2"/>
      <c r="GL184" s="2"/>
      <c r="GM184" s="2"/>
      <c r="GN184" s="2"/>
      <c r="GO184" s="2"/>
      <c r="GP184" s="2"/>
      <c r="GQ184" s="2"/>
      <c r="GR184" s="2"/>
      <c r="GS184" s="2"/>
      <c r="GT184" s="2"/>
      <c r="GU184" s="2"/>
      <c r="GV184" s="2"/>
      <c r="GW184" s="2"/>
      <c r="GX184" s="2"/>
      <c r="GY184" s="2"/>
      <c r="GZ184" s="2"/>
      <c r="HA184" s="2"/>
      <c r="HB184" s="2"/>
      <c r="HC184" s="2"/>
      <c r="HD184" s="2"/>
      <c r="HE184" s="2"/>
      <c r="HF184" s="2"/>
      <c r="HG184" s="2"/>
      <c r="HH184" s="2"/>
      <c r="HI184" s="2"/>
      <c r="HJ184" s="2"/>
      <c r="HK184" s="2"/>
      <c r="HL184" s="2"/>
      <c r="HM184" s="2"/>
      <c r="HN184" s="2"/>
      <c r="HO184" s="2"/>
      <c r="HP184" s="2"/>
      <c r="HQ184" s="2"/>
      <c r="HR184" s="2"/>
      <c r="HS184" s="2"/>
      <c r="HT184" s="2"/>
      <c r="HU184" s="2"/>
      <c r="HV184" s="2"/>
      <c r="HW184" s="2"/>
      <c r="HX184" s="2"/>
      <c r="HY184" s="2"/>
      <c r="HZ184" s="2"/>
      <c r="IA184" s="2"/>
      <c r="IB184" s="2"/>
      <c r="IC184" s="2"/>
      <c r="IH184" s="21"/>
      <c r="II184" s="14"/>
      <c r="IJ184" s="15"/>
      <c r="IK184" s="16"/>
      <c r="IL184" s="20"/>
      <c r="IM184" s="14"/>
      <c r="IN184" s="12"/>
      <c r="IO184" s="14"/>
      <c r="IP184" s="14"/>
    </row>
    <row r="185" spans="1:250">
      <c r="A185" s="2"/>
      <c r="B185" s="2"/>
      <c r="C185" s="2"/>
      <c r="D185" s="2"/>
      <c r="E185" s="2"/>
      <c r="F185" s="2"/>
      <c r="G185" s="2"/>
      <c r="H185" s="2"/>
      <c r="I185" s="2"/>
      <c r="J185" s="2"/>
      <c r="K185" s="2"/>
      <c r="L185" s="2"/>
      <c r="M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2"/>
      <c r="FD185" s="2"/>
      <c r="FE185" s="2"/>
      <c r="FF185" s="2"/>
      <c r="FG185" s="2"/>
      <c r="FH185" s="2"/>
      <c r="FI185" s="2"/>
      <c r="FJ185" s="2"/>
      <c r="FK185" s="2"/>
      <c r="FL185" s="2"/>
      <c r="FM185" s="2"/>
      <c r="FN185" s="2"/>
      <c r="FO185" s="2"/>
      <c r="FP185" s="2"/>
      <c r="FQ185" s="2"/>
      <c r="FR185" s="2"/>
      <c r="FS185" s="2"/>
      <c r="FT185" s="2"/>
      <c r="FU185" s="2"/>
      <c r="FV185" s="2"/>
      <c r="FW185" s="2"/>
      <c r="FX185" s="2"/>
      <c r="FY185" s="2"/>
      <c r="FZ185" s="2"/>
      <c r="GA185" s="2"/>
      <c r="GB185" s="2"/>
      <c r="GC185" s="2"/>
      <c r="GD185" s="2"/>
      <c r="GE185" s="2"/>
      <c r="GF185" s="2"/>
      <c r="GG185" s="2"/>
      <c r="GH185" s="2"/>
      <c r="GI185" s="2"/>
      <c r="GJ185" s="2"/>
      <c r="GK185" s="2"/>
      <c r="GL185" s="2"/>
      <c r="GM185" s="2"/>
      <c r="GN185" s="2"/>
      <c r="GO185" s="2"/>
      <c r="GP185" s="2"/>
      <c r="GQ185" s="2"/>
      <c r="GR185" s="2"/>
      <c r="GS185" s="2"/>
      <c r="GT185" s="2"/>
      <c r="GU185" s="2"/>
      <c r="GV185" s="2"/>
      <c r="GW185" s="2"/>
      <c r="GX185" s="2"/>
      <c r="GY185" s="2"/>
      <c r="GZ185" s="2"/>
      <c r="HA185" s="2"/>
      <c r="HB185" s="2"/>
      <c r="HC185" s="2"/>
      <c r="HD185" s="2"/>
      <c r="HE185" s="2"/>
      <c r="HF185" s="2"/>
      <c r="HG185" s="2"/>
      <c r="HH185" s="2"/>
      <c r="HI185" s="2"/>
      <c r="HJ185" s="2"/>
      <c r="HK185" s="2"/>
      <c r="HL185" s="2"/>
      <c r="HM185" s="2"/>
      <c r="HN185" s="2"/>
      <c r="HO185" s="2"/>
      <c r="HP185" s="2"/>
      <c r="HQ185" s="2"/>
      <c r="HR185" s="2"/>
      <c r="HS185" s="2"/>
      <c r="HT185" s="2"/>
      <c r="HU185" s="2"/>
      <c r="HV185" s="2"/>
      <c r="HW185" s="2"/>
      <c r="HX185" s="2"/>
      <c r="HY185" s="2"/>
      <c r="HZ185" s="2"/>
      <c r="IA185" s="2"/>
      <c r="IB185" s="2"/>
      <c r="IC185" s="2"/>
      <c r="IH185" s="21"/>
      <c r="II185" s="14"/>
      <c r="IJ185" s="15"/>
      <c r="IK185" s="16"/>
      <c r="IL185" s="20"/>
      <c r="IM185" s="14"/>
      <c r="IN185" s="12"/>
      <c r="IO185" s="14"/>
      <c r="IP185" s="14"/>
    </row>
    <row r="186" spans="1:250">
      <c r="A186" s="2"/>
      <c r="B186" s="2"/>
      <c r="C186" s="2"/>
      <c r="D186" s="2"/>
      <c r="E186" s="2"/>
      <c r="F186" s="2"/>
      <c r="G186" s="2"/>
      <c r="H186" s="2"/>
      <c r="I186" s="2"/>
      <c r="J186" s="2"/>
      <c r="K186" s="2"/>
      <c r="L186" s="2"/>
      <c r="M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2"/>
      <c r="FD186" s="2"/>
      <c r="FE186" s="2"/>
      <c r="FF186" s="2"/>
      <c r="FG186" s="2"/>
      <c r="FH186" s="2"/>
      <c r="FI186" s="2"/>
      <c r="FJ186" s="2"/>
      <c r="FK186" s="2"/>
      <c r="FL186" s="2"/>
      <c r="FM186" s="2"/>
      <c r="FN186" s="2"/>
      <c r="FO186" s="2"/>
      <c r="FP186" s="2"/>
      <c r="FQ186" s="2"/>
      <c r="FR186" s="2"/>
      <c r="FS186" s="2"/>
      <c r="FT186" s="2"/>
      <c r="FU186" s="2"/>
      <c r="FV186" s="2"/>
      <c r="FW186" s="2"/>
      <c r="FX186" s="2"/>
      <c r="FY186" s="2"/>
      <c r="FZ186" s="2"/>
      <c r="GA186" s="2"/>
      <c r="GB186" s="2"/>
      <c r="GC186" s="2"/>
      <c r="GD186" s="2"/>
      <c r="GE186" s="2"/>
      <c r="GF186" s="2"/>
      <c r="GG186" s="2"/>
      <c r="GH186" s="2"/>
      <c r="GI186" s="2"/>
      <c r="GJ186" s="2"/>
      <c r="GK186" s="2"/>
      <c r="GL186" s="2"/>
      <c r="GM186" s="2"/>
      <c r="GN186" s="2"/>
      <c r="GO186" s="2"/>
      <c r="GP186" s="2"/>
      <c r="GQ186" s="2"/>
      <c r="GR186" s="2"/>
      <c r="GS186" s="2"/>
      <c r="GT186" s="2"/>
      <c r="GU186" s="2"/>
      <c r="GV186" s="2"/>
      <c r="GW186" s="2"/>
      <c r="GX186" s="2"/>
      <c r="GY186" s="2"/>
      <c r="GZ186" s="2"/>
      <c r="HA186" s="2"/>
      <c r="HB186" s="2"/>
      <c r="HC186" s="2"/>
      <c r="HD186" s="2"/>
      <c r="HE186" s="2"/>
      <c r="HF186" s="2"/>
      <c r="HG186" s="2"/>
      <c r="HH186" s="2"/>
      <c r="HI186" s="2"/>
      <c r="HJ186" s="2"/>
      <c r="HK186" s="2"/>
      <c r="HL186" s="2"/>
      <c r="HM186" s="2"/>
      <c r="HN186" s="2"/>
      <c r="HO186" s="2"/>
      <c r="HP186" s="2"/>
      <c r="HQ186" s="2"/>
      <c r="HR186" s="2"/>
      <c r="HS186" s="2"/>
      <c r="HT186" s="2"/>
      <c r="HU186" s="2"/>
      <c r="HV186" s="2"/>
      <c r="HW186" s="2"/>
      <c r="HX186" s="2"/>
      <c r="HY186" s="2"/>
      <c r="HZ186" s="2"/>
      <c r="IA186" s="2"/>
      <c r="IB186" s="2"/>
      <c r="IC186" s="2"/>
      <c r="IH186" s="21"/>
      <c r="II186" s="14"/>
      <c r="IJ186" s="15"/>
      <c r="IK186" s="16"/>
      <c r="IL186" s="20"/>
      <c r="IM186" s="14"/>
      <c r="IN186" s="12"/>
      <c r="IO186" s="14"/>
      <c r="IP186" s="14"/>
    </row>
    <row r="187" spans="1:250">
      <c r="A187" s="2"/>
      <c r="B187" s="2"/>
      <c r="C187" s="2"/>
      <c r="D187" s="2"/>
      <c r="E187" s="2"/>
      <c r="F187" s="2"/>
      <c r="G187" s="2"/>
      <c r="H187" s="2"/>
      <c r="I187" s="2"/>
      <c r="J187" s="2"/>
      <c r="K187" s="2"/>
      <c r="L187" s="2"/>
      <c r="M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2"/>
      <c r="FD187" s="2"/>
      <c r="FE187" s="2"/>
      <c r="FF187" s="2"/>
      <c r="FG187" s="2"/>
      <c r="FH187" s="2"/>
      <c r="FI187" s="2"/>
      <c r="FJ187" s="2"/>
      <c r="FK187" s="2"/>
      <c r="FL187" s="2"/>
      <c r="FM187" s="2"/>
      <c r="FN187" s="2"/>
      <c r="FO187" s="2"/>
      <c r="FP187" s="2"/>
      <c r="FQ187" s="2"/>
      <c r="FR187" s="2"/>
      <c r="FS187" s="2"/>
      <c r="FT187" s="2"/>
      <c r="FU187" s="2"/>
      <c r="FV187" s="2"/>
      <c r="FW187" s="2"/>
      <c r="FX187" s="2"/>
      <c r="FY187" s="2"/>
      <c r="FZ187" s="2"/>
      <c r="GA187" s="2"/>
      <c r="GB187" s="2"/>
      <c r="GC187" s="2"/>
      <c r="GD187" s="2"/>
      <c r="GE187" s="2"/>
      <c r="GF187" s="2"/>
      <c r="GG187" s="2"/>
      <c r="GH187" s="2"/>
      <c r="GI187" s="2"/>
      <c r="GJ187" s="2"/>
      <c r="GK187" s="2"/>
      <c r="GL187" s="2"/>
      <c r="GM187" s="2"/>
      <c r="GN187" s="2"/>
      <c r="GO187" s="2"/>
      <c r="GP187" s="2"/>
      <c r="GQ187" s="2"/>
      <c r="GR187" s="2"/>
      <c r="GS187" s="2"/>
      <c r="GT187" s="2"/>
      <c r="GU187" s="2"/>
      <c r="GV187" s="2"/>
      <c r="GW187" s="2"/>
      <c r="GX187" s="2"/>
      <c r="GY187" s="2"/>
      <c r="GZ187" s="2"/>
      <c r="HA187" s="2"/>
      <c r="HB187" s="2"/>
      <c r="HC187" s="2"/>
      <c r="HD187" s="2"/>
      <c r="HE187" s="2"/>
      <c r="HF187" s="2"/>
      <c r="HG187" s="2"/>
      <c r="HH187" s="2"/>
      <c r="HI187" s="2"/>
      <c r="HJ187" s="2"/>
      <c r="HK187" s="2"/>
      <c r="HL187" s="2"/>
      <c r="HM187" s="2"/>
      <c r="HN187" s="2"/>
      <c r="HO187" s="2"/>
      <c r="HP187" s="2"/>
      <c r="HQ187" s="2"/>
      <c r="HR187" s="2"/>
      <c r="HS187" s="2"/>
      <c r="HT187" s="2"/>
      <c r="HU187" s="2"/>
      <c r="HV187" s="2"/>
      <c r="HW187" s="2"/>
      <c r="HX187" s="2"/>
      <c r="HY187" s="2"/>
      <c r="HZ187" s="2"/>
      <c r="IA187" s="2"/>
      <c r="IB187" s="2"/>
      <c r="IC187" s="2"/>
      <c r="IH187" s="21"/>
      <c r="II187" s="14"/>
      <c r="IJ187" s="15"/>
      <c r="IK187" s="16"/>
      <c r="IL187" s="20"/>
      <c r="IM187" s="14"/>
      <c r="IN187" s="12"/>
      <c r="IO187" s="14"/>
      <c r="IP187" s="14"/>
    </row>
    <row r="188" spans="1:250">
      <c r="A188" s="2"/>
      <c r="B188" s="2"/>
      <c r="C188" s="2"/>
      <c r="D188" s="2"/>
      <c r="E188" s="2"/>
      <c r="F188" s="2"/>
      <c r="G188" s="2"/>
      <c r="H188" s="2"/>
      <c r="I188" s="2"/>
      <c r="J188" s="2"/>
      <c r="K188" s="2"/>
      <c r="L188" s="2"/>
      <c r="M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2"/>
      <c r="FD188" s="2"/>
      <c r="FE188" s="2"/>
      <c r="FF188" s="2"/>
      <c r="FG188" s="2"/>
      <c r="FH188" s="2"/>
      <c r="FI188" s="2"/>
      <c r="FJ188" s="2"/>
      <c r="FK188" s="2"/>
      <c r="FL188" s="2"/>
      <c r="FM188" s="2"/>
      <c r="FN188" s="2"/>
      <c r="FO188" s="2"/>
      <c r="FP188" s="2"/>
      <c r="FQ188" s="2"/>
      <c r="FR188" s="2"/>
      <c r="FS188" s="2"/>
      <c r="FT188" s="2"/>
      <c r="FU188" s="2"/>
      <c r="FV188" s="2"/>
      <c r="FW188" s="2"/>
      <c r="FX188" s="2"/>
      <c r="FY188" s="2"/>
      <c r="FZ188" s="2"/>
      <c r="GA188" s="2"/>
      <c r="GB188" s="2"/>
      <c r="GC188" s="2"/>
      <c r="GD188" s="2"/>
      <c r="GE188" s="2"/>
      <c r="GF188" s="2"/>
      <c r="GG188" s="2"/>
      <c r="GH188" s="2"/>
      <c r="GI188" s="2"/>
      <c r="GJ188" s="2"/>
      <c r="GK188" s="2"/>
      <c r="GL188" s="2"/>
      <c r="GM188" s="2"/>
      <c r="GN188" s="2"/>
      <c r="GO188" s="2"/>
      <c r="GP188" s="2"/>
      <c r="GQ188" s="2"/>
      <c r="GR188" s="2"/>
      <c r="GS188" s="2"/>
      <c r="GT188" s="2"/>
      <c r="GU188" s="2"/>
      <c r="GV188" s="2"/>
      <c r="GW188" s="2"/>
      <c r="GX188" s="2"/>
      <c r="GY188" s="2"/>
      <c r="GZ188" s="2"/>
      <c r="HA188" s="2"/>
      <c r="HB188" s="2"/>
      <c r="HC188" s="2"/>
      <c r="HD188" s="2"/>
      <c r="HE188" s="2"/>
      <c r="HF188" s="2"/>
      <c r="HG188" s="2"/>
      <c r="HH188" s="2"/>
      <c r="HI188" s="2"/>
      <c r="HJ188" s="2"/>
      <c r="HK188" s="2"/>
      <c r="HL188" s="2"/>
      <c r="HM188" s="2"/>
      <c r="HN188" s="2"/>
      <c r="HO188" s="2"/>
      <c r="HP188" s="2"/>
      <c r="HQ188" s="2"/>
      <c r="HR188" s="2"/>
      <c r="HS188" s="2"/>
      <c r="HT188" s="2"/>
      <c r="HU188" s="2"/>
      <c r="HV188" s="2"/>
      <c r="HW188" s="2"/>
      <c r="HX188" s="2"/>
      <c r="HY188" s="2"/>
      <c r="HZ188" s="2"/>
      <c r="IA188" s="2"/>
      <c r="IB188" s="2"/>
      <c r="IC188" s="2"/>
      <c r="IH188" s="21"/>
      <c r="II188" s="14"/>
      <c r="IJ188" s="15"/>
      <c r="IK188" s="16"/>
      <c r="IL188" s="20"/>
      <c r="IM188" s="14"/>
      <c r="IN188" s="12"/>
      <c r="IO188" s="14"/>
      <c r="IP188" s="14"/>
    </row>
    <row r="189" spans="1:250">
      <c r="A189" s="2"/>
      <c r="B189" s="2"/>
      <c r="C189" s="2"/>
      <c r="D189" s="2"/>
      <c r="E189" s="2"/>
      <c r="F189" s="2"/>
      <c r="G189" s="2"/>
      <c r="H189" s="2"/>
      <c r="I189" s="2"/>
      <c r="J189" s="2"/>
      <c r="K189" s="2"/>
      <c r="L189" s="2"/>
      <c r="M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2"/>
      <c r="FD189" s="2"/>
      <c r="FE189" s="2"/>
      <c r="FF189" s="2"/>
      <c r="FG189" s="2"/>
      <c r="FH189" s="2"/>
      <c r="FI189" s="2"/>
      <c r="FJ189" s="2"/>
      <c r="FK189" s="2"/>
      <c r="FL189" s="2"/>
      <c r="FM189" s="2"/>
      <c r="FN189" s="2"/>
      <c r="FO189" s="2"/>
      <c r="FP189" s="2"/>
      <c r="FQ189" s="2"/>
      <c r="FR189" s="2"/>
      <c r="FS189" s="2"/>
      <c r="FT189" s="2"/>
      <c r="FU189" s="2"/>
      <c r="FV189" s="2"/>
      <c r="FW189" s="2"/>
      <c r="FX189" s="2"/>
      <c r="FY189" s="2"/>
      <c r="FZ189" s="2"/>
      <c r="GA189" s="2"/>
      <c r="GB189" s="2"/>
      <c r="GC189" s="2"/>
      <c r="GD189" s="2"/>
      <c r="GE189" s="2"/>
      <c r="GF189" s="2"/>
      <c r="GG189" s="2"/>
      <c r="GH189" s="2"/>
      <c r="GI189" s="2"/>
      <c r="GJ189" s="2"/>
      <c r="GK189" s="2"/>
      <c r="GL189" s="2"/>
      <c r="GM189" s="2"/>
      <c r="GN189" s="2"/>
      <c r="GO189" s="2"/>
      <c r="GP189" s="2"/>
      <c r="GQ189" s="2"/>
      <c r="GR189" s="2"/>
      <c r="GS189" s="2"/>
      <c r="GT189" s="2"/>
      <c r="GU189" s="2"/>
      <c r="GV189" s="2"/>
      <c r="GW189" s="2"/>
      <c r="GX189" s="2"/>
      <c r="GY189" s="2"/>
      <c r="GZ189" s="2"/>
      <c r="HA189" s="2"/>
      <c r="HB189" s="2"/>
      <c r="HC189" s="2"/>
      <c r="HD189" s="2"/>
      <c r="HE189" s="2"/>
      <c r="HF189" s="2"/>
      <c r="HG189" s="2"/>
      <c r="HH189" s="2"/>
      <c r="HI189" s="2"/>
      <c r="HJ189" s="2"/>
      <c r="HK189" s="2"/>
      <c r="HL189" s="2"/>
      <c r="HM189" s="2"/>
      <c r="HN189" s="2"/>
      <c r="HO189" s="2"/>
      <c r="HP189" s="2"/>
      <c r="HQ189" s="2"/>
      <c r="HR189" s="2"/>
      <c r="HS189" s="2"/>
      <c r="HT189" s="2"/>
      <c r="HU189" s="2"/>
      <c r="HV189" s="2"/>
      <c r="HW189" s="2"/>
      <c r="HX189" s="2"/>
      <c r="HY189" s="2"/>
      <c r="HZ189" s="2"/>
      <c r="IA189" s="2"/>
      <c r="IB189" s="2"/>
      <c r="IC189" s="2"/>
      <c r="IH189" s="21"/>
      <c r="II189" s="14"/>
      <c r="IJ189" s="15"/>
      <c r="IK189" s="16"/>
      <c r="IL189" s="20"/>
      <c r="IM189" s="14"/>
      <c r="IN189" s="12"/>
      <c r="IO189" s="14"/>
      <c r="IP189" s="14"/>
    </row>
    <row r="190" spans="1:250">
      <c r="A190" s="2"/>
      <c r="B190" s="2"/>
      <c r="C190" s="2"/>
      <c r="D190" s="2"/>
      <c r="E190" s="2"/>
      <c r="F190" s="2"/>
      <c r="G190" s="2"/>
      <c r="H190" s="2"/>
      <c r="I190" s="2"/>
      <c r="J190" s="2"/>
      <c r="K190" s="2"/>
      <c r="L190" s="2"/>
      <c r="M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2"/>
      <c r="FD190" s="2"/>
      <c r="FE190" s="2"/>
      <c r="FF190" s="2"/>
      <c r="FG190" s="2"/>
      <c r="FH190" s="2"/>
      <c r="FI190" s="2"/>
      <c r="FJ190" s="2"/>
      <c r="FK190" s="2"/>
      <c r="FL190" s="2"/>
      <c r="FM190" s="2"/>
      <c r="FN190" s="2"/>
      <c r="FO190" s="2"/>
      <c r="FP190" s="2"/>
      <c r="FQ190" s="2"/>
      <c r="FR190" s="2"/>
      <c r="FS190" s="2"/>
      <c r="FT190" s="2"/>
      <c r="FU190" s="2"/>
      <c r="FV190" s="2"/>
      <c r="FW190" s="2"/>
      <c r="FX190" s="2"/>
      <c r="FY190" s="2"/>
      <c r="FZ190" s="2"/>
      <c r="GA190" s="2"/>
      <c r="GB190" s="2"/>
      <c r="GC190" s="2"/>
      <c r="GD190" s="2"/>
      <c r="GE190" s="2"/>
      <c r="GF190" s="2"/>
      <c r="GG190" s="2"/>
      <c r="GH190" s="2"/>
      <c r="GI190" s="2"/>
      <c r="GJ190" s="2"/>
      <c r="GK190" s="2"/>
      <c r="GL190" s="2"/>
      <c r="GM190" s="2"/>
      <c r="GN190" s="2"/>
      <c r="GO190" s="2"/>
      <c r="GP190" s="2"/>
      <c r="GQ190" s="2"/>
      <c r="GR190" s="2"/>
      <c r="GS190" s="2"/>
      <c r="GT190" s="2"/>
      <c r="GU190" s="2"/>
      <c r="GV190" s="2"/>
      <c r="GW190" s="2"/>
      <c r="GX190" s="2"/>
      <c r="GY190" s="2"/>
      <c r="GZ190" s="2"/>
      <c r="HA190" s="2"/>
      <c r="HB190" s="2"/>
      <c r="HC190" s="2"/>
      <c r="HD190" s="2"/>
      <c r="HE190" s="2"/>
      <c r="HF190" s="2"/>
      <c r="HG190" s="2"/>
      <c r="HH190" s="2"/>
      <c r="HI190" s="2"/>
      <c r="HJ190" s="2"/>
      <c r="HK190" s="2"/>
      <c r="HL190" s="2"/>
      <c r="HM190" s="2"/>
      <c r="HN190" s="2"/>
      <c r="HO190" s="2"/>
      <c r="HP190" s="2"/>
      <c r="HQ190" s="2"/>
      <c r="HR190" s="2"/>
      <c r="HS190" s="2"/>
      <c r="HT190" s="2"/>
      <c r="HU190" s="2"/>
      <c r="HV190" s="2"/>
      <c r="HW190" s="2"/>
      <c r="HX190" s="2"/>
      <c r="HY190" s="2"/>
      <c r="HZ190" s="2"/>
      <c r="IA190" s="2"/>
      <c r="IB190" s="2"/>
      <c r="IC190" s="2"/>
      <c r="IH190" s="21"/>
      <c r="II190" s="14"/>
      <c r="IJ190" s="15"/>
      <c r="IK190" s="16"/>
      <c r="IL190" s="20"/>
      <c r="IM190" s="14"/>
      <c r="IN190" s="12"/>
      <c r="IO190" s="14"/>
      <c r="IP190" s="14"/>
    </row>
    <row r="191" spans="1:250">
      <c r="A191" s="2"/>
      <c r="B191" s="2"/>
      <c r="C191" s="2"/>
      <c r="D191" s="2"/>
      <c r="E191" s="2"/>
      <c r="F191" s="2"/>
      <c r="G191" s="2"/>
      <c r="H191" s="2"/>
      <c r="I191" s="2"/>
      <c r="J191" s="2"/>
      <c r="K191" s="2"/>
      <c r="L191" s="2"/>
      <c r="M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2"/>
      <c r="FD191" s="2"/>
      <c r="FE191" s="2"/>
      <c r="FF191" s="2"/>
      <c r="FG191" s="2"/>
      <c r="FH191" s="2"/>
      <c r="FI191" s="2"/>
      <c r="FJ191" s="2"/>
      <c r="FK191" s="2"/>
      <c r="FL191" s="2"/>
      <c r="FM191" s="2"/>
      <c r="FN191" s="2"/>
      <c r="FO191" s="2"/>
      <c r="FP191" s="2"/>
      <c r="FQ191" s="2"/>
      <c r="FR191" s="2"/>
      <c r="FS191" s="2"/>
      <c r="FT191" s="2"/>
      <c r="FU191" s="2"/>
      <c r="FV191" s="2"/>
      <c r="FW191" s="2"/>
      <c r="FX191" s="2"/>
      <c r="FY191" s="2"/>
      <c r="FZ191" s="2"/>
      <c r="GA191" s="2"/>
      <c r="GB191" s="2"/>
      <c r="GC191" s="2"/>
      <c r="GD191" s="2"/>
      <c r="GE191" s="2"/>
      <c r="GF191" s="2"/>
      <c r="GG191" s="2"/>
      <c r="GH191" s="2"/>
      <c r="GI191" s="2"/>
      <c r="GJ191" s="2"/>
      <c r="GK191" s="2"/>
      <c r="GL191" s="2"/>
      <c r="GM191" s="2"/>
      <c r="GN191" s="2"/>
      <c r="GO191" s="2"/>
      <c r="GP191" s="2"/>
      <c r="GQ191" s="2"/>
      <c r="GR191" s="2"/>
      <c r="GS191" s="2"/>
      <c r="GT191" s="2"/>
      <c r="GU191" s="2"/>
      <c r="GV191" s="2"/>
      <c r="GW191" s="2"/>
      <c r="GX191" s="2"/>
      <c r="GY191" s="2"/>
      <c r="GZ191" s="2"/>
      <c r="HA191" s="2"/>
      <c r="HB191" s="2"/>
      <c r="HC191" s="2"/>
      <c r="HD191" s="2"/>
      <c r="HE191" s="2"/>
      <c r="HF191" s="2"/>
      <c r="HG191" s="2"/>
      <c r="HH191" s="2"/>
      <c r="HI191" s="2"/>
      <c r="HJ191" s="2"/>
      <c r="HK191" s="2"/>
      <c r="HL191" s="2"/>
      <c r="HM191" s="2"/>
      <c r="HN191" s="2"/>
      <c r="HO191" s="2"/>
      <c r="HP191" s="2"/>
      <c r="HQ191" s="2"/>
      <c r="HR191" s="2"/>
      <c r="HS191" s="2"/>
      <c r="HT191" s="2"/>
      <c r="HU191" s="2"/>
      <c r="HV191" s="2"/>
      <c r="HW191" s="2"/>
      <c r="HX191" s="2"/>
      <c r="HY191" s="2"/>
      <c r="HZ191" s="2"/>
      <c r="IA191" s="2"/>
      <c r="IB191" s="2"/>
      <c r="IC191" s="2"/>
      <c r="IH191" s="21"/>
      <c r="II191" s="14"/>
      <c r="IJ191" s="15"/>
      <c r="IK191" s="16"/>
      <c r="IL191" s="20"/>
      <c r="IM191" s="14"/>
      <c r="IN191" s="12"/>
      <c r="IO191" s="14"/>
      <c r="IP191" s="14"/>
    </row>
    <row r="192" spans="1:250">
      <c r="A192" s="2"/>
      <c r="B192" s="2"/>
      <c r="C192" s="2"/>
      <c r="D192" s="2"/>
      <c r="E192" s="2"/>
      <c r="F192" s="2"/>
      <c r="G192" s="2"/>
      <c r="H192" s="2"/>
      <c r="I192" s="2"/>
      <c r="J192" s="2"/>
      <c r="K192" s="2"/>
      <c r="L192" s="2"/>
      <c r="M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2"/>
      <c r="FD192" s="2"/>
      <c r="FE192" s="2"/>
      <c r="FF192" s="2"/>
      <c r="FG192" s="2"/>
      <c r="FH192" s="2"/>
      <c r="FI192" s="2"/>
      <c r="FJ192" s="2"/>
      <c r="FK192" s="2"/>
      <c r="FL192" s="2"/>
      <c r="FM192" s="2"/>
      <c r="FN192" s="2"/>
      <c r="FO192" s="2"/>
      <c r="FP192" s="2"/>
      <c r="FQ192" s="2"/>
      <c r="FR192" s="2"/>
      <c r="FS192" s="2"/>
      <c r="FT192" s="2"/>
      <c r="FU192" s="2"/>
      <c r="FV192" s="2"/>
      <c r="FW192" s="2"/>
      <c r="FX192" s="2"/>
      <c r="FY192" s="2"/>
      <c r="FZ192" s="2"/>
      <c r="GA192" s="2"/>
      <c r="GB192" s="2"/>
      <c r="GC192" s="2"/>
      <c r="GD192" s="2"/>
      <c r="GE192" s="2"/>
      <c r="GF192" s="2"/>
      <c r="GG192" s="2"/>
      <c r="GH192" s="2"/>
      <c r="GI192" s="2"/>
      <c r="GJ192" s="2"/>
      <c r="GK192" s="2"/>
      <c r="GL192" s="2"/>
      <c r="GM192" s="2"/>
      <c r="GN192" s="2"/>
      <c r="GO192" s="2"/>
      <c r="GP192" s="2"/>
      <c r="GQ192" s="2"/>
      <c r="GR192" s="2"/>
      <c r="GS192" s="2"/>
      <c r="GT192" s="2"/>
      <c r="GU192" s="2"/>
      <c r="GV192" s="2"/>
      <c r="GW192" s="2"/>
      <c r="GX192" s="2"/>
      <c r="GY192" s="2"/>
      <c r="GZ192" s="2"/>
      <c r="HA192" s="2"/>
      <c r="HB192" s="2"/>
      <c r="HC192" s="2"/>
      <c r="HD192" s="2"/>
      <c r="HE192" s="2"/>
      <c r="HF192" s="2"/>
      <c r="HG192" s="2"/>
      <c r="HH192" s="2"/>
      <c r="HI192" s="2"/>
      <c r="HJ192" s="2"/>
      <c r="HK192" s="2"/>
      <c r="HL192" s="2"/>
      <c r="HM192" s="2"/>
      <c r="HN192" s="2"/>
      <c r="HO192" s="2"/>
      <c r="HP192" s="2"/>
      <c r="HQ192" s="2"/>
      <c r="HR192" s="2"/>
      <c r="HS192" s="2"/>
      <c r="HT192" s="2"/>
      <c r="HU192" s="2"/>
      <c r="HV192" s="2"/>
      <c r="HW192" s="2"/>
      <c r="HX192" s="2"/>
      <c r="HY192" s="2"/>
      <c r="HZ192" s="2"/>
      <c r="IA192" s="2"/>
      <c r="IB192" s="2"/>
      <c r="IC192" s="2"/>
      <c r="IH192" s="21"/>
      <c r="II192" s="14"/>
      <c r="IJ192" s="15"/>
      <c r="IK192" s="16"/>
      <c r="IL192" s="20"/>
      <c r="IM192" s="14"/>
      <c r="IN192" s="12"/>
      <c r="IO192" s="14"/>
      <c r="IP192" s="14"/>
    </row>
    <row r="193" spans="1:250">
      <c r="A193" s="2"/>
      <c r="B193" s="2"/>
      <c r="C193" s="2"/>
      <c r="D193" s="2"/>
      <c r="E193" s="2"/>
      <c r="F193" s="2"/>
      <c r="G193" s="2"/>
      <c r="H193" s="2"/>
      <c r="I193" s="2"/>
      <c r="J193" s="2"/>
      <c r="K193" s="2"/>
      <c r="L193" s="2"/>
      <c r="M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2"/>
      <c r="FD193" s="2"/>
      <c r="FE193" s="2"/>
      <c r="FF193" s="2"/>
      <c r="FG193" s="2"/>
      <c r="FH193" s="2"/>
      <c r="FI193" s="2"/>
      <c r="FJ193" s="2"/>
      <c r="FK193" s="2"/>
      <c r="FL193" s="2"/>
      <c r="FM193" s="2"/>
      <c r="FN193" s="2"/>
      <c r="FO193" s="2"/>
      <c r="FP193" s="2"/>
      <c r="FQ193" s="2"/>
      <c r="FR193" s="2"/>
      <c r="FS193" s="2"/>
      <c r="FT193" s="2"/>
      <c r="FU193" s="2"/>
      <c r="FV193" s="2"/>
      <c r="FW193" s="2"/>
      <c r="FX193" s="2"/>
      <c r="FY193" s="2"/>
      <c r="FZ193" s="2"/>
      <c r="GA193" s="2"/>
      <c r="GB193" s="2"/>
      <c r="GC193" s="2"/>
      <c r="GD193" s="2"/>
      <c r="GE193" s="2"/>
      <c r="GF193" s="2"/>
      <c r="GG193" s="2"/>
      <c r="GH193" s="2"/>
      <c r="GI193" s="2"/>
      <c r="GJ193" s="2"/>
      <c r="GK193" s="2"/>
      <c r="GL193" s="2"/>
      <c r="GM193" s="2"/>
      <c r="GN193" s="2"/>
      <c r="GO193" s="2"/>
      <c r="GP193" s="2"/>
      <c r="GQ193" s="2"/>
      <c r="GR193" s="2"/>
      <c r="GS193" s="2"/>
      <c r="GT193" s="2"/>
      <c r="GU193" s="2"/>
      <c r="GV193" s="2"/>
      <c r="GW193" s="2"/>
      <c r="GX193" s="2"/>
      <c r="GY193" s="2"/>
      <c r="GZ193" s="2"/>
      <c r="HA193" s="2"/>
      <c r="HB193" s="2"/>
      <c r="HC193" s="2"/>
      <c r="HD193" s="2"/>
      <c r="HE193" s="2"/>
      <c r="HF193" s="2"/>
      <c r="HG193" s="2"/>
      <c r="HH193" s="2"/>
      <c r="HI193" s="2"/>
      <c r="HJ193" s="2"/>
      <c r="HK193" s="2"/>
      <c r="HL193" s="2"/>
      <c r="HM193" s="2"/>
      <c r="HN193" s="2"/>
      <c r="HO193" s="2"/>
      <c r="HP193" s="2"/>
      <c r="HQ193" s="2"/>
      <c r="HR193" s="2"/>
      <c r="HS193" s="2"/>
      <c r="HT193" s="2"/>
      <c r="HU193" s="2"/>
      <c r="HV193" s="2"/>
      <c r="HW193" s="2"/>
      <c r="HX193" s="2"/>
      <c r="HY193" s="2"/>
      <c r="HZ193" s="2"/>
      <c r="IA193" s="2"/>
      <c r="IB193" s="2"/>
      <c r="IC193" s="2"/>
      <c r="IH193" s="21"/>
      <c r="II193" s="14"/>
      <c r="IJ193" s="15"/>
      <c r="IK193" s="16"/>
      <c r="IL193" s="20"/>
      <c r="IM193" s="14"/>
      <c r="IN193" s="12"/>
      <c r="IO193" s="14"/>
      <c r="IP193" s="14"/>
    </row>
    <row r="194" spans="1:250">
      <c r="A194" s="2"/>
      <c r="B194" s="2"/>
      <c r="C194" s="2"/>
      <c r="D194" s="2"/>
      <c r="E194" s="2"/>
      <c r="F194" s="2"/>
      <c r="G194" s="2"/>
      <c r="H194" s="2"/>
      <c r="I194" s="2"/>
      <c r="J194" s="2"/>
      <c r="K194" s="2"/>
      <c r="L194" s="2"/>
      <c r="M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2"/>
      <c r="FD194" s="2"/>
      <c r="FE194" s="2"/>
      <c r="FF194" s="2"/>
      <c r="FG194" s="2"/>
      <c r="FH194" s="2"/>
      <c r="FI194" s="2"/>
      <c r="FJ194" s="2"/>
      <c r="FK194" s="2"/>
      <c r="FL194" s="2"/>
      <c r="FM194" s="2"/>
      <c r="FN194" s="2"/>
      <c r="FO194" s="2"/>
      <c r="FP194" s="2"/>
      <c r="FQ194" s="2"/>
      <c r="FR194" s="2"/>
      <c r="FS194" s="2"/>
      <c r="FT194" s="2"/>
      <c r="FU194" s="2"/>
      <c r="FV194" s="2"/>
      <c r="FW194" s="2"/>
      <c r="FX194" s="2"/>
      <c r="FY194" s="2"/>
      <c r="FZ194" s="2"/>
      <c r="GA194" s="2"/>
      <c r="GB194" s="2"/>
      <c r="GC194" s="2"/>
      <c r="GD194" s="2"/>
      <c r="GE194" s="2"/>
      <c r="GF194" s="2"/>
      <c r="GG194" s="2"/>
      <c r="GH194" s="2"/>
      <c r="GI194" s="2"/>
      <c r="GJ194" s="2"/>
      <c r="GK194" s="2"/>
      <c r="GL194" s="2"/>
      <c r="GM194" s="2"/>
      <c r="GN194" s="2"/>
      <c r="GO194" s="2"/>
      <c r="GP194" s="2"/>
      <c r="GQ194" s="2"/>
      <c r="GR194" s="2"/>
      <c r="GS194" s="2"/>
      <c r="GT194" s="2"/>
      <c r="GU194" s="2"/>
      <c r="GV194" s="2"/>
      <c r="GW194" s="2"/>
      <c r="GX194" s="2"/>
      <c r="GY194" s="2"/>
      <c r="GZ194" s="2"/>
      <c r="HA194" s="2"/>
      <c r="HB194" s="2"/>
      <c r="HC194" s="2"/>
      <c r="HD194" s="2"/>
      <c r="HE194" s="2"/>
      <c r="HF194" s="2"/>
      <c r="HG194" s="2"/>
      <c r="HH194" s="2"/>
      <c r="HI194" s="2"/>
      <c r="HJ194" s="2"/>
      <c r="HK194" s="2"/>
      <c r="HL194" s="2"/>
      <c r="HM194" s="2"/>
      <c r="HN194" s="2"/>
      <c r="HO194" s="2"/>
      <c r="HP194" s="2"/>
      <c r="HQ194" s="2"/>
      <c r="HR194" s="2"/>
      <c r="HS194" s="2"/>
      <c r="HT194" s="2"/>
      <c r="HU194" s="2"/>
      <c r="HV194" s="2"/>
      <c r="HW194" s="2"/>
      <c r="HX194" s="2"/>
      <c r="HY194" s="2"/>
      <c r="HZ194" s="2"/>
      <c r="IA194" s="2"/>
      <c r="IB194" s="2"/>
      <c r="IC194" s="2"/>
      <c r="IH194" s="21"/>
      <c r="II194" s="14"/>
      <c r="IJ194" s="15"/>
      <c r="IK194" s="16"/>
      <c r="IL194" s="20"/>
      <c r="IM194" s="14"/>
      <c r="IN194" s="12"/>
      <c r="IO194" s="14"/>
      <c r="IP194" s="14"/>
    </row>
    <row r="195" spans="1:250">
      <c r="A195" s="2"/>
      <c r="B195" s="2"/>
      <c r="C195" s="2"/>
      <c r="D195" s="2"/>
      <c r="E195" s="2"/>
      <c r="F195" s="2"/>
      <c r="G195" s="2"/>
      <c r="H195" s="2"/>
      <c r="I195" s="2"/>
      <c r="J195" s="2"/>
      <c r="K195" s="2"/>
      <c r="L195" s="2"/>
      <c r="M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2"/>
      <c r="FD195" s="2"/>
      <c r="FE195" s="2"/>
      <c r="FF195" s="2"/>
      <c r="FG195" s="2"/>
      <c r="FH195" s="2"/>
      <c r="FI195" s="2"/>
      <c r="FJ195" s="2"/>
      <c r="FK195" s="2"/>
      <c r="FL195" s="2"/>
      <c r="FM195" s="2"/>
      <c r="FN195" s="2"/>
      <c r="FO195" s="2"/>
      <c r="FP195" s="2"/>
      <c r="FQ195" s="2"/>
      <c r="FR195" s="2"/>
      <c r="FS195" s="2"/>
      <c r="FT195" s="2"/>
      <c r="FU195" s="2"/>
      <c r="FV195" s="2"/>
      <c r="FW195" s="2"/>
      <c r="FX195" s="2"/>
      <c r="FY195" s="2"/>
      <c r="FZ195" s="2"/>
      <c r="GA195" s="2"/>
      <c r="GB195" s="2"/>
      <c r="GC195" s="2"/>
      <c r="GD195" s="2"/>
      <c r="GE195" s="2"/>
      <c r="GF195" s="2"/>
      <c r="GG195" s="2"/>
      <c r="GH195" s="2"/>
      <c r="GI195" s="2"/>
      <c r="GJ195" s="2"/>
      <c r="GK195" s="2"/>
      <c r="GL195" s="2"/>
      <c r="GM195" s="2"/>
      <c r="GN195" s="2"/>
      <c r="GO195" s="2"/>
      <c r="GP195" s="2"/>
      <c r="GQ195" s="2"/>
      <c r="GR195" s="2"/>
      <c r="GS195" s="2"/>
      <c r="GT195" s="2"/>
      <c r="GU195" s="2"/>
      <c r="GV195" s="2"/>
      <c r="GW195" s="2"/>
      <c r="GX195" s="2"/>
      <c r="GY195" s="2"/>
      <c r="GZ195" s="2"/>
      <c r="HA195" s="2"/>
      <c r="HB195" s="2"/>
      <c r="HC195" s="2"/>
      <c r="HD195" s="2"/>
      <c r="HE195" s="2"/>
      <c r="HF195" s="2"/>
      <c r="HG195" s="2"/>
      <c r="HH195" s="2"/>
      <c r="HI195" s="2"/>
      <c r="HJ195" s="2"/>
      <c r="HK195" s="2"/>
      <c r="HL195" s="2"/>
      <c r="HM195" s="2"/>
      <c r="HN195" s="2"/>
      <c r="HO195" s="2"/>
      <c r="HP195" s="2"/>
      <c r="HQ195" s="2"/>
      <c r="HR195" s="2"/>
      <c r="HS195" s="2"/>
      <c r="HT195" s="2"/>
      <c r="HU195" s="2"/>
      <c r="HV195" s="2"/>
      <c r="HW195" s="2"/>
      <c r="HX195" s="2"/>
      <c r="HY195" s="2"/>
      <c r="HZ195" s="2"/>
      <c r="IA195" s="2"/>
      <c r="IB195" s="2"/>
      <c r="IC195" s="2"/>
      <c r="IH195" s="21"/>
      <c r="II195" s="14"/>
      <c r="IJ195" s="15"/>
      <c r="IK195" s="16"/>
      <c r="IL195" s="20"/>
      <c r="IM195" s="14"/>
      <c r="IN195" s="12"/>
      <c r="IO195" s="14"/>
      <c r="IP195" s="14"/>
    </row>
    <row r="196" spans="1:250">
      <c r="A196" s="2"/>
      <c r="B196" s="2"/>
      <c r="C196" s="2"/>
      <c r="D196" s="2"/>
      <c r="E196" s="2"/>
      <c r="F196" s="2"/>
      <c r="G196" s="2"/>
      <c r="H196" s="2"/>
      <c r="I196" s="2"/>
      <c r="J196" s="2"/>
      <c r="K196" s="2"/>
      <c r="L196" s="2"/>
      <c r="M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2"/>
      <c r="FD196" s="2"/>
      <c r="FE196" s="2"/>
      <c r="FF196" s="2"/>
      <c r="FG196" s="2"/>
      <c r="FH196" s="2"/>
      <c r="FI196" s="2"/>
      <c r="FJ196" s="2"/>
      <c r="FK196" s="2"/>
      <c r="FL196" s="2"/>
      <c r="FM196" s="2"/>
      <c r="FN196" s="2"/>
      <c r="FO196" s="2"/>
      <c r="FP196" s="2"/>
      <c r="FQ196" s="2"/>
      <c r="FR196" s="2"/>
      <c r="FS196" s="2"/>
      <c r="FT196" s="2"/>
      <c r="FU196" s="2"/>
      <c r="FV196" s="2"/>
      <c r="FW196" s="2"/>
      <c r="FX196" s="2"/>
      <c r="FY196" s="2"/>
      <c r="FZ196" s="2"/>
      <c r="GA196" s="2"/>
      <c r="GB196" s="2"/>
      <c r="GC196" s="2"/>
      <c r="GD196" s="2"/>
      <c r="GE196" s="2"/>
      <c r="GF196" s="2"/>
      <c r="GG196" s="2"/>
      <c r="GH196" s="2"/>
      <c r="GI196" s="2"/>
      <c r="GJ196" s="2"/>
      <c r="GK196" s="2"/>
      <c r="GL196" s="2"/>
      <c r="GM196" s="2"/>
      <c r="GN196" s="2"/>
      <c r="GO196" s="2"/>
      <c r="GP196" s="2"/>
      <c r="GQ196" s="2"/>
      <c r="GR196" s="2"/>
      <c r="GS196" s="2"/>
      <c r="GT196" s="2"/>
      <c r="GU196" s="2"/>
      <c r="GV196" s="2"/>
      <c r="GW196" s="2"/>
      <c r="GX196" s="2"/>
      <c r="GY196" s="2"/>
      <c r="GZ196" s="2"/>
      <c r="HA196" s="2"/>
      <c r="HB196" s="2"/>
      <c r="HC196" s="2"/>
      <c r="HD196" s="2"/>
      <c r="HE196" s="2"/>
      <c r="HF196" s="2"/>
      <c r="HG196" s="2"/>
      <c r="HH196" s="2"/>
      <c r="HI196" s="2"/>
      <c r="HJ196" s="2"/>
      <c r="HK196" s="2"/>
      <c r="HL196" s="2"/>
      <c r="HM196" s="2"/>
      <c r="HN196" s="2"/>
      <c r="HO196" s="2"/>
      <c r="HP196" s="2"/>
      <c r="HQ196" s="2"/>
      <c r="HR196" s="2"/>
      <c r="HS196" s="2"/>
      <c r="HT196" s="2"/>
      <c r="HU196" s="2"/>
      <c r="HV196" s="2"/>
      <c r="HW196" s="2"/>
      <c r="HX196" s="2"/>
      <c r="HY196" s="2"/>
      <c r="HZ196" s="2"/>
      <c r="IA196" s="2"/>
      <c r="IB196" s="2"/>
      <c r="IC196" s="2"/>
      <c r="IH196" s="21"/>
      <c r="II196" s="14"/>
      <c r="IJ196" s="15"/>
      <c r="IK196" s="16"/>
      <c r="IL196" s="20"/>
      <c r="IM196" s="14"/>
      <c r="IN196" s="12"/>
      <c r="IO196" s="14"/>
      <c r="IP196" s="14"/>
    </row>
    <row r="197" spans="1:250">
      <c r="A197" s="2"/>
      <c r="B197" s="2"/>
      <c r="C197" s="2"/>
      <c r="D197" s="2"/>
      <c r="E197" s="2"/>
      <c r="F197" s="2"/>
      <c r="G197" s="2"/>
      <c r="H197" s="2"/>
      <c r="I197" s="2"/>
      <c r="J197" s="2"/>
      <c r="K197" s="2"/>
      <c r="L197" s="2"/>
      <c r="M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2"/>
      <c r="FD197" s="2"/>
      <c r="FE197" s="2"/>
      <c r="FF197" s="2"/>
      <c r="FG197" s="2"/>
      <c r="FH197" s="2"/>
      <c r="FI197" s="2"/>
      <c r="FJ197" s="2"/>
      <c r="FK197" s="2"/>
      <c r="FL197" s="2"/>
      <c r="FM197" s="2"/>
      <c r="FN197" s="2"/>
      <c r="FO197" s="2"/>
      <c r="FP197" s="2"/>
      <c r="FQ197" s="2"/>
      <c r="FR197" s="2"/>
      <c r="FS197" s="2"/>
      <c r="FT197" s="2"/>
      <c r="FU197" s="2"/>
      <c r="FV197" s="2"/>
      <c r="FW197" s="2"/>
      <c r="FX197" s="2"/>
      <c r="FY197" s="2"/>
      <c r="FZ197" s="2"/>
      <c r="GA197" s="2"/>
      <c r="GB197" s="2"/>
      <c r="GC197" s="2"/>
      <c r="GD197" s="2"/>
      <c r="GE197" s="2"/>
      <c r="GF197" s="2"/>
      <c r="GG197" s="2"/>
      <c r="GH197" s="2"/>
      <c r="GI197" s="2"/>
      <c r="GJ197" s="2"/>
      <c r="GK197" s="2"/>
      <c r="GL197" s="2"/>
      <c r="GM197" s="2"/>
      <c r="GN197" s="2"/>
      <c r="GO197" s="2"/>
      <c r="GP197" s="2"/>
      <c r="GQ197" s="2"/>
      <c r="GR197" s="2"/>
      <c r="GS197" s="2"/>
      <c r="GT197" s="2"/>
      <c r="GU197" s="2"/>
      <c r="GV197" s="2"/>
      <c r="GW197" s="2"/>
      <c r="GX197" s="2"/>
      <c r="GY197" s="2"/>
      <c r="GZ197" s="2"/>
      <c r="HA197" s="2"/>
      <c r="HB197" s="2"/>
      <c r="HC197" s="2"/>
      <c r="HD197" s="2"/>
      <c r="HE197" s="2"/>
      <c r="HF197" s="2"/>
      <c r="HG197" s="2"/>
      <c r="HH197" s="2"/>
      <c r="HI197" s="2"/>
      <c r="HJ197" s="2"/>
      <c r="HK197" s="2"/>
      <c r="HL197" s="2"/>
      <c r="HM197" s="2"/>
      <c r="HN197" s="2"/>
      <c r="HO197" s="2"/>
      <c r="HP197" s="2"/>
      <c r="HQ197" s="2"/>
      <c r="HR197" s="2"/>
      <c r="HS197" s="2"/>
      <c r="HT197" s="2"/>
      <c r="HU197" s="2"/>
      <c r="HV197" s="2"/>
      <c r="HW197" s="2"/>
      <c r="HX197" s="2"/>
      <c r="HY197" s="2"/>
      <c r="HZ197" s="2"/>
      <c r="IA197" s="2"/>
      <c r="IB197" s="2"/>
      <c r="IC197" s="2"/>
      <c r="IH197" s="21"/>
      <c r="II197" s="14"/>
      <c r="IJ197" s="15"/>
      <c r="IK197" s="16"/>
      <c r="IL197" s="20"/>
      <c r="IM197" s="14"/>
      <c r="IN197" s="12"/>
      <c r="IO197" s="14"/>
      <c r="IP197" s="14"/>
    </row>
    <row r="198" spans="1:250">
      <c r="A198" s="2"/>
      <c r="B198" s="2"/>
      <c r="C198" s="2"/>
      <c r="D198" s="2"/>
      <c r="E198" s="2"/>
      <c r="F198" s="2"/>
      <c r="G198" s="2"/>
      <c r="H198" s="2"/>
      <c r="I198" s="2"/>
      <c r="J198" s="2"/>
      <c r="K198" s="2"/>
      <c r="L198" s="2"/>
      <c r="M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2"/>
      <c r="FD198" s="2"/>
      <c r="FE198" s="2"/>
      <c r="FF198" s="2"/>
      <c r="FG198" s="2"/>
      <c r="FH198" s="2"/>
      <c r="FI198" s="2"/>
      <c r="FJ198" s="2"/>
      <c r="FK198" s="2"/>
      <c r="FL198" s="2"/>
      <c r="FM198" s="2"/>
      <c r="FN198" s="2"/>
      <c r="FO198" s="2"/>
      <c r="FP198" s="2"/>
      <c r="FQ198" s="2"/>
      <c r="FR198" s="2"/>
      <c r="FS198" s="2"/>
      <c r="FT198" s="2"/>
      <c r="FU198" s="2"/>
      <c r="FV198" s="2"/>
      <c r="FW198" s="2"/>
      <c r="FX198" s="2"/>
      <c r="FY198" s="2"/>
      <c r="FZ198" s="2"/>
      <c r="GA198" s="2"/>
      <c r="GB198" s="2"/>
      <c r="GC198" s="2"/>
      <c r="GD198" s="2"/>
      <c r="GE198" s="2"/>
      <c r="GF198" s="2"/>
      <c r="GG198" s="2"/>
      <c r="GH198" s="2"/>
      <c r="GI198" s="2"/>
      <c r="GJ198" s="2"/>
      <c r="GK198" s="2"/>
      <c r="GL198" s="2"/>
      <c r="GM198" s="2"/>
      <c r="GN198" s="2"/>
      <c r="GO198" s="2"/>
      <c r="GP198" s="2"/>
      <c r="GQ198" s="2"/>
      <c r="GR198" s="2"/>
      <c r="GS198" s="2"/>
      <c r="GT198" s="2"/>
      <c r="GU198" s="2"/>
      <c r="GV198" s="2"/>
      <c r="GW198" s="2"/>
      <c r="GX198" s="2"/>
      <c r="GY198" s="2"/>
      <c r="GZ198" s="2"/>
      <c r="HA198" s="2"/>
      <c r="HB198" s="2"/>
      <c r="HC198" s="2"/>
      <c r="HD198" s="2"/>
      <c r="HE198" s="2"/>
      <c r="HF198" s="2"/>
      <c r="HG198" s="2"/>
      <c r="HH198" s="2"/>
      <c r="HI198" s="2"/>
      <c r="HJ198" s="2"/>
      <c r="HK198" s="2"/>
      <c r="HL198" s="2"/>
      <c r="HM198" s="2"/>
      <c r="HN198" s="2"/>
      <c r="HO198" s="2"/>
      <c r="HP198" s="2"/>
      <c r="HQ198" s="2"/>
      <c r="HR198" s="2"/>
      <c r="HS198" s="2"/>
      <c r="HT198" s="2"/>
      <c r="HU198" s="2"/>
      <c r="HV198" s="2"/>
      <c r="HW198" s="2"/>
      <c r="HX198" s="2"/>
      <c r="HY198" s="2"/>
      <c r="HZ198" s="2"/>
      <c r="IA198" s="2"/>
      <c r="IB198" s="2"/>
      <c r="IC198" s="2"/>
      <c r="IH198" s="21"/>
      <c r="II198" s="14"/>
      <c r="IJ198" s="15"/>
      <c r="IK198" s="16"/>
      <c r="IL198" s="20"/>
      <c r="IM198" s="14"/>
      <c r="IN198" s="12"/>
      <c r="IO198" s="14"/>
      <c r="IP198" s="14"/>
    </row>
    <row r="199" spans="1:250">
      <c r="A199" s="2"/>
      <c r="B199" s="2"/>
      <c r="C199" s="2"/>
      <c r="D199" s="2"/>
      <c r="E199" s="2"/>
      <c r="F199" s="2"/>
      <c r="G199" s="2"/>
      <c r="H199" s="2"/>
      <c r="I199" s="2"/>
      <c r="J199" s="2"/>
      <c r="K199" s="2"/>
      <c r="L199" s="2"/>
      <c r="M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2"/>
      <c r="FD199" s="2"/>
      <c r="FE199" s="2"/>
      <c r="FF199" s="2"/>
      <c r="FG199" s="2"/>
      <c r="FH199" s="2"/>
      <c r="FI199" s="2"/>
      <c r="FJ199" s="2"/>
      <c r="FK199" s="2"/>
      <c r="FL199" s="2"/>
      <c r="FM199" s="2"/>
      <c r="FN199" s="2"/>
      <c r="FO199" s="2"/>
      <c r="FP199" s="2"/>
      <c r="FQ199" s="2"/>
      <c r="FR199" s="2"/>
      <c r="FS199" s="2"/>
      <c r="FT199" s="2"/>
      <c r="FU199" s="2"/>
      <c r="FV199" s="2"/>
      <c r="FW199" s="2"/>
      <c r="FX199" s="2"/>
      <c r="FY199" s="2"/>
      <c r="FZ199" s="2"/>
      <c r="GA199" s="2"/>
      <c r="GB199" s="2"/>
      <c r="GC199" s="2"/>
      <c r="GD199" s="2"/>
      <c r="GE199" s="2"/>
      <c r="GF199" s="2"/>
      <c r="GG199" s="2"/>
      <c r="GH199" s="2"/>
      <c r="GI199" s="2"/>
      <c r="GJ199" s="2"/>
      <c r="GK199" s="2"/>
      <c r="GL199" s="2"/>
      <c r="GM199" s="2"/>
      <c r="GN199" s="2"/>
      <c r="GO199" s="2"/>
      <c r="GP199" s="2"/>
      <c r="GQ199" s="2"/>
      <c r="GR199" s="2"/>
      <c r="GS199" s="2"/>
      <c r="GT199" s="2"/>
      <c r="GU199" s="2"/>
      <c r="GV199" s="2"/>
      <c r="GW199" s="2"/>
      <c r="GX199" s="2"/>
      <c r="GY199" s="2"/>
      <c r="GZ199" s="2"/>
      <c r="HA199" s="2"/>
      <c r="HB199" s="2"/>
      <c r="HC199" s="2"/>
      <c r="HD199" s="2"/>
      <c r="HE199" s="2"/>
      <c r="HF199" s="2"/>
      <c r="HG199" s="2"/>
      <c r="HH199" s="2"/>
      <c r="HI199" s="2"/>
      <c r="HJ199" s="2"/>
      <c r="HK199" s="2"/>
      <c r="HL199" s="2"/>
      <c r="HM199" s="2"/>
      <c r="HN199" s="2"/>
      <c r="HO199" s="2"/>
      <c r="HP199" s="2"/>
      <c r="HQ199" s="2"/>
      <c r="HR199" s="2"/>
      <c r="HS199" s="2"/>
      <c r="HT199" s="2"/>
      <c r="HU199" s="2"/>
      <c r="HV199" s="2"/>
      <c r="HW199" s="2"/>
      <c r="HX199" s="2"/>
      <c r="HY199" s="2"/>
      <c r="HZ199" s="2"/>
      <c r="IA199" s="2"/>
      <c r="IB199" s="2"/>
      <c r="IC199" s="2"/>
      <c r="IH199" s="21"/>
      <c r="II199" s="14"/>
      <c r="IJ199" s="15"/>
      <c r="IK199" s="16"/>
      <c r="IL199" s="20"/>
      <c r="IM199" s="14"/>
      <c r="IN199" s="12"/>
      <c r="IO199" s="14"/>
      <c r="IP199" s="14"/>
    </row>
    <row r="200" spans="1:250">
      <c r="A200" s="2"/>
      <c r="B200" s="2"/>
      <c r="C200" s="2"/>
      <c r="D200" s="2"/>
      <c r="E200" s="2"/>
      <c r="F200" s="2"/>
      <c r="G200" s="2"/>
      <c r="H200" s="2"/>
      <c r="I200" s="2"/>
      <c r="J200" s="2"/>
      <c r="K200" s="2"/>
      <c r="L200" s="2"/>
      <c r="M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2"/>
      <c r="FD200" s="2"/>
      <c r="FE200" s="2"/>
      <c r="FF200" s="2"/>
      <c r="FG200" s="2"/>
      <c r="FH200" s="2"/>
      <c r="FI200" s="2"/>
      <c r="FJ200" s="2"/>
      <c r="FK200" s="2"/>
      <c r="FL200" s="2"/>
      <c r="FM200" s="2"/>
      <c r="FN200" s="2"/>
      <c r="FO200" s="2"/>
      <c r="FP200" s="2"/>
      <c r="FQ200" s="2"/>
      <c r="FR200" s="2"/>
      <c r="FS200" s="2"/>
      <c r="FT200" s="2"/>
      <c r="FU200" s="2"/>
      <c r="FV200" s="2"/>
      <c r="FW200" s="2"/>
      <c r="FX200" s="2"/>
      <c r="FY200" s="2"/>
      <c r="FZ200" s="2"/>
      <c r="GA200" s="2"/>
      <c r="GB200" s="2"/>
      <c r="GC200" s="2"/>
      <c r="GD200" s="2"/>
      <c r="GE200" s="2"/>
      <c r="GF200" s="2"/>
      <c r="GG200" s="2"/>
      <c r="GH200" s="2"/>
      <c r="GI200" s="2"/>
      <c r="GJ200" s="2"/>
      <c r="GK200" s="2"/>
      <c r="GL200" s="2"/>
      <c r="GM200" s="2"/>
      <c r="GN200" s="2"/>
      <c r="GO200" s="2"/>
      <c r="GP200" s="2"/>
      <c r="GQ200" s="2"/>
      <c r="GR200" s="2"/>
      <c r="GS200" s="2"/>
      <c r="GT200" s="2"/>
      <c r="GU200" s="2"/>
      <c r="GV200" s="2"/>
      <c r="GW200" s="2"/>
      <c r="GX200" s="2"/>
      <c r="GY200" s="2"/>
      <c r="GZ200" s="2"/>
      <c r="HA200" s="2"/>
      <c r="HB200" s="2"/>
      <c r="HC200" s="2"/>
      <c r="HD200" s="2"/>
      <c r="HE200" s="2"/>
      <c r="HF200" s="2"/>
      <c r="HG200" s="2"/>
      <c r="HH200" s="2"/>
      <c r="HI200" s="2"/>
      <c r="HJ200" s="2"/>
      <c r="HK200" s="2"/>
      <c r="HL200" s="2"/>
      <c r="HM200" s="2"/>
      <c r="HN200" s="2"/>
      <c r="HO200" s="2"/>
      <c r="HP200" s="2"/>
      <c r="HQ200" s="2"/>
      <c r="HR200" s="2"/>
      <c r="HS200" s="2"/>
      <c r="HT200" s="2"/>
      <c r="HU200" s="2"/>
      <c r="HV200" s="2"/>
      <c r="HW200" s="2"/>
      <c r="HX200" s="2"/>
      <c r="HY200" s="2"/>
      <c r="HZ200" s="2"/>
      <c r="IA200" s="2"/>
      <c r="IB200" s="2"/>
      <c r="IC200" s="2"/>
      <c r="IH200" s="21"/>
      <c r="II200" s="14"/>
      <c r="IJ200" s="15"/>
      <c r="IK200" s="16"/>
      <c r="IL200" s="20"/>
      <c r="IM200" s="14"/>
      <c r="IN200" s="12"/>
      <c r="IO200" s="14"/>
      <c r="IP200" s="14"/>
    </row>
    <row r="201" spans="1:250">
      <c r="A201" s="2"/>
      <c r="B201" s="2"/>
      <c r="C201" s="2"/>
      <c r="D201" s="2"/>
      <c r="E201" s="2"/>
      <c r="F201" s="2"/>
      <c r="G201" s="2"/>
      <c r="H201" s="2"/>
      <c r="I201" s="2"/>
      <c r="J201" s="2"/>
      <c r="K201" s="2"/>
      <c r="L201" s="2"/>
      <c r="M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2"/>
      <c r="FD201" s="2"/>
      <c r="FE201" s="2"/>
      <c r="FF201" s="2"/>
      <c r="FG201" s="2"/>
      <c r="FH201" s="2"/>
      <c r="FI201" s="2"/>
      <c r="FJ201" s="2"/>
      <c r="FK201" s="2"/>
      <c r="FL201" s="2"/>
      <c r="FM201" s="2"/>
      <c r="FN201" s="2"/>
      <c r="FO201" s="2"/>
      <c r="FP201" s="2"/>
      <c r="FQ201" s="2"/>
      <c r="FR201" s="2"/>
      <c r="FS201" s="2"/>
      <c r="FT201" s="2"/>
      <c r="FU201" s="2"/>
      <c r="FV201" s="2"/>
      <c r="FW201" s="2"/>
      <c r="FX201" s="2"/>
      <c r="FY201" s="2"/>
      <c r="FZ201" s="2"/>
      <c r="GA201" s="2"/>
      <c r="GB201" s="2"/>
      <c r="GC201" s="2"/>
      <c r="GD201" s="2"/>
      <c r="GE201" s="2"/>
      <c r="GF201" s="2"/>
      <c r="GG201" s="2"/>
      <c r="GH201" s="2"/>
      <c r="GI201" s="2"/>
      <c r="GJ201" s="2"/>
      <c r="GK201" s="2"/>
      <c r="GL201" s="2"/>
      <c r="GM201" s="2"/>
      <c r="GN201" s="2"/>
      <c r="GO201" s="2"/>
      <c r="GP201" s="2"/>
      <c r="GQ201" s="2"/>
      <c r="GR201" s="2"/>
      <c r="GS201" s="2"/>
      <c r="GT201" s="2"/>
      <c r="GU201" s="2"/>
      <c r="GV201" s="2"/>
      <c r="GW201" s="2"/>
      <c r="GX201" s="2"/>
      <c r="GY201" s="2"/>
      <c r="GZ201" s="2"/>
      <c r="HA201" s="2"/>
      <c r="HB201" s="2"/>
      <c r="HC201" s="2"/>
      <c r="HD201" s="2"/>
      <c r="HE201" s="2"/>
      <c r="HF201" s="2"/>
      <c r="HG201" s="2"/>
      <c r="HH201" s="2"/>
      <c r="HI201" s="2"/>
      <c r="HJ201" s="2"/>
      <c r="HK201" s="2"/>
      <c r="HL201" s="2"/>
      <c r="HM201" s="2"/>
      <c r="HN201" s="2"/>
      <c r="HO201" s="2"/>
      <c r="HP201" s="2"/>
      <c r="HQ201" s="2"/>
      <c r="HR201" s="2"/>
      <c r="HS201" s="2"/>
      <c r="HT201" s="2"/>
      <c r="HU201" s="2"/>
      <c r="HV201" s="2"/>
      <c r="HW201" s="2"/>
      <c r="HX201" s="2"/>
      <c r="HY201" s="2"/>
      <c r="HZ201" s="2"/>
      <c r="IA201" s="2"/>
      <c r="IB201" s="2"/>
      <c r="IC201" s="2"/>
      <c r="IH201" s="21"/>
      <c r="II201" s="14"/>
      <c r="IJ201" s="15"/>
      <c r="IK201" s="16"/>
      <c r="IL201" s="20"/>
      <c r="IM201" s="14"/>
      <c r="IN201" s="12"/>
      <c r="IO201" s="14"/>
      <c r="IP201" s="14"/>
    </row>
    <row r="202" spans="1:250">
      <c r="A202" s="2"/>
      <c r="B202" s="2"/>
      <c r="C202" s="2"/>
      <c r="D202" s="2"/>
      <c r="E202" s="2"/>
      <c r="F202" s="2"/>
      <c r="G202" s="2"/>
      <c r="H202" s="2"/>
      <c r="I202" s="2"/>
      <c r="J202" s="2"/>
      <c r="K202" s="2"/>
      <c r="L202" s="2"/>
      <c r="M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2"/>
      <c r="FD202" s="2"/>
      <c r="FE202" s="2"/>
      <c r="FF202" s="2"/>
      <c r="FG202" s="2"/>
      <c r="FH202" s="2"/>
      <c r="FI202" s="2"/>
      <c r="FJ202" s="2"/>
      <c r="FK202" s="2"/>
      <c r="FL202" s="2"/>
      <c r="FM202" s="2"/>
      <c r="FN202" s="2"/>
      <c r="FO202" s="2"/>
      <c r="FP202" s="2"/>
      <c r="FQ202" s="2"/>
      <c r="FR202" s="2"/>
      <c r="FS202" s="2"/>
      <c r="FT202" s="2"/>
      <c r="FU202" s="2"/>
      <c r="FV202" s="2"/>
      <c r="FW202" s="2"/>
      <c r="FX202" s="2"/>
      <c r="FY202" s="2"/>
      <c r="FZ202" s="2"/>
      <c r="GA202" s="2"/>
      <c r="GB202" s="2"/>
      <c r="GC202" s="2"/>
      <c r="GD202" s="2"/>
      <c r="GE202" s="2"/>
      <c r="GF202" s="2"/>
      <c r="GG202" s="2"/>
      <c r="GH202" s="2"/>
      <c r="GI202" s="2"/>
      <c r="GJ202" s="2"/>
      <c r="GK202" s="2"/>
      <c r="GL202" s="2"/>
      <c r="GM202" s="2"/>
      <c r="GN202" s="2"/>
      <c r="GO202" s="2"/>
      <c r="GP202" s="2"/>
      <c r="GQ202" s="2"/>
      <c r="GR202" s="2"/>
      <c r="GS202" s="2"/>
      <c r="GT202" s="2"/>
      <c r="GU202" s="2"/>
      <c r="GV202" s="2"/>
      <c r="GW202" s="2"/>
      <c r="GX202" s="2"/>
      <c r="GY202" s="2"/>
      <c r="GZ202" s="2"/>
      <c r="HA202" s="2"/>
      <c r="HB202" s="2"/>
      <c r="HC202" s="2"/>
      <c r="HD202" s="2"/>
      <c r="HE202" s="2"/>
      <c r="HF202" s="2"/>
      <c r="HG202" s="2"/>
      <c r="HH202" s="2"/>
      <c r="HI202" s="2"/>
      <c r="HJ202" s="2"/>
      <c r="HK202" s="2"/>
      <c r="HL202" s="2"/>
      <c r="HM202" s="2"/>
      <c r="HN202" s="2"/>
      <c r="HO202" s="2"/>
      <c r="HP202" s="2"/>
      <c r="HQ202" s="2"/>
      <c r="HR202" s="2"/>
      <c r="HS202" s="2"/>
      <c r="HT202" s="2"/>
      <c r="HU202" s="2"/>
      <c r="HV202" s="2"/>
      <c r="HW202" s="2"/>
      <c r="HX202" s="2"/>
      <c r="HY202" s="2"/>
      <c r="HZ202" s="2"/>
      <c r="IA202" s="2"/>
      <c r="IB202" s="2"/>
      <c r="IC202" s="2"/>
      <c r="IH202" s="21"/>
      <c r="II202" s="14"/>
      <c r="IJ202" s="15"/>
      <c r="IK202" s="16"/>
      <c r="IL202" s="20"/>
      <c r="IM202" s="14"/>
      <c r="IN202" s="12"/>
      <c r="IO202" s="14"/>
      <c r="IP202" s="14"/>
    </row>
    <row r="203" spans="1:250">
      <c r="A203" s="2"/>
      <c r="B203" s="2"/>
      <c r="C203" s="2"/>
      <c r="D203" s="2"/>
      <c r="E203" s="2"/>
      <c r="F203" s="2"/>
      <c r="G203" s="2"/>
      <c r="H203" s="2"/>
      <c r="I203" s="2"/>
      <c r="J203" s="2"/>
      <c r="K203" s="2"/>
      <c r="L203" s="2"/>
      <c r="M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2"/>
      <c r="FD203" s="2"/>
      <c r="FE203" s="2"/>
      <c r="FF203" s="2"/>
      <c r="FG203" s="2"/>
      <c r="FH203" s="2"/>
      <c r="FI203" s="2"/>
      <c r="FJ203" s="2"/>
      <c r="FK203" s="2"/>
      <c r="FL203" s="2"/>
      <c r="FM203" s="2"/>
      <c r="FN203" s="2"/>
      <c r="FO203" s="2"/>
      <c r="FP203" s="2"/>
      <c r="FQ203" s="2"/>
      <c r="FR203" s="2"/>
      <c r="FS203" s="2"/>
      <c r="FT203" s="2"/>
      <c r="FU203" s="2"/>
      <c r="FV203" s="2"/>
      <c r="FW203" s="2"/>
      <c r="FX203" s="2"/>
      <c r="FY203" s="2"/>
      <c r="FZ203" s="2"/>
      <c r="GA203" s="2"/>
      <c r="GB203" s="2"/>
      <c r="GC203" s="2"/>
      <c r="GD203" s="2"/>
      <c r="GE203" s="2"/>
      <c r="GF203" s="2"/>
      <c r="GG203" s="2"/>
      <c r="GH203" s="2"/>
      <c r="GI203" s="2"/>
      <c r="GJ203" s="2"/>
      <c r="GK203" s="2"/>
      <c r="GL203" s="2"/>
      <c r="GM203" s="2"/>
      <c r="GN203" s="2"/>
      <c r="GO203" s="2"/>
      <c r="GP203" s="2"/>
      <c r="GQ203" s="2"/>
      <c r="GR203" s="2"/>
      <c r="GS203" s="2"/>
      <c r="GT203" s="2"/>
      <c r="GU203" s="2"/>
      <c r="GV203" s="2"/>
      <c r="GW203" s="2"/>
      <c r="GX203" s="2"/>
      <c r="GY203" s="2"/>
      <c r="GZ203" s="2"/>
      <c r="HA203" s="2"/>
      <c r="HB203" s="2"/>
      <c r="HC203" s="2"/>
      <c r="HD203" s="2"/>
      <c r="HE203" s="2"/>
      <c r="HF203" s="2"/>
      <c r="HG203" s="2"/>
      <c r="HH203" s="2"/>
      <c r="HI203" s="2"/>
      <c r="HJ203" s="2"/>
      <c r="HK203" s="2"/>
      <c r="HL203" s="2"/>
      <c r="HM203" s="2"/>
      <c r="HN203" s="2"/>
      <c r="HO203" s="2"/>
      <c r="HP203" s="2"/>
      <c r="HQ203" s="2"/>
      <c r="HR203" s="2"/>
      <c r="HS203" s="2"/>
      <c r="HT203" s="2"/>
      <c r="HU203" s="2"/>
      <c r="HV203" s="2"/>
      <c r="HW203" s="2"/>
      <c r="HX203" s="2"/>
      <c r="HY203" s="2"/>
      <c r="HZ203" s="2"/>
      <c r="IA203" s="2"/>
      <c r="IB203" s="2"/>
      <c r="IC203" s="2"/>
      <c r="IH203" s="21"/>
      <c r="II203" s="14"/>
      <c r="IJ203" s="15"/>
      <c r="IK203" s="16"/>
      <c r="IL203" s="20"/>
      <c r="IM203" s="14"/>
      <c r="IN203" s="12"/>
      <c r="IO203" s="14"/>
      <c r="IP203" s="14"/>
    </row>
    <row r="204" spans="1:250">
      <c r="A204" s="2"/>
      <c r="B204" s="2"/>
      <c r="C204" s="2"/>
      <c r="D204" s="2"/>
      <c r="E204" s="2"/>
      <c r="F204" s="2"/>
      <c r="G204" s="2"/>
      <c r="H204" s="2"/>
      <c r="I204" s="2"/>
      <c r="J204" s="2"/>
      <c r="K204" s="2"/>
      <c r="L204" s="2"/>
      <c r="M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2"/>
      <c r="FD204" s="2"/>
      <c r="FE204" s="2"/>
      <c r="FF204" s="2"/>
      <c r="FG204" s="2"/>
      <c r="FH204" s="2"/>
      <c r="FI204" s="2"/>
      <c r="FJ204" s="2"/>
      <c r="FK204" s="2"/>
      <c r="FL204" s="2"/>
      <c r="FM204" s="2"/>
      <c r="FN204" s="2"/>
      <c r="FO204" s="2"/>
      <c r="FP204" s="2"/>
      <c r="FQ204" s="2"/>
      <c r="FR204" s="2"/>
      <c r="FS204" s="2"/>
      <c r="FT204" s="2"/>
      <c r="FU204" s="2"/>
      <c r="FV204" s="2"/>
      <c r="FW204" s="2"/>
      <c r="FX204" s="2"/>
      <c r="FY204" s="2"/>
      <c r="FZ204" s="2"/>
      <c r="GA204" s="2"/>
      <c r="GB204" s="2"/>
      <c r="GC204" s="2"/>
      <c r="GD204" s="2"/>
      <c r="GE204" s="2"/>
      <c r="GF204" s="2"/>
      <c r="GG204" s="2"/>
      <c r="GH204" s="2"/>
      <c r="GI204" s="2"/>
      <c r="GJ204" s="2"/>
      <c r="GK204" s="2"/>
      <c r="GL204" s="2"/>
      <c r="GM204" s="2"/>
      <c r="GN204" s="2"/>
      <c r="GO204" s="2"/>
      <c r="GP204" s="2"/>
      <c r="GQ204" s="2"/>
      <c r="GR204" s="2"/>
      <c r="GS204" s="2"/>
      <c r="GT204" s="2"/>
      <c r="GU204" s="2"/>
      <c r="GV204" s="2"/>
      <c r="GW204" s="2"/>
      <c r="GX204" s="2"/>
      <c r="GY204" s="2"/>
      <c r="GZ204" s="2"/>
      <c r="HA204" s="2"/>
      <c r="HB204" s="2"/>
      <c r="HC204" s="2"/>
      <c r="HD204" s="2"/>
      <c r="HE204" s="2"/>
      <c r="HF204" s="2"/>
      <c r="HG204" s="2"/>
      <c r="HH204" s="2"/>
      <c r="HI204" s="2"/>
      <c r="HJ204" s="2"/>
      <c r="HK204" s="2"/>
      <c r="HL204" s="2"/>
      <c r="HM204" s="2"/>
      <c r="HN204" s="2"/>
      <c r="HO204" s="2"/>
      <c r="HP204" s="2"/>
      <c r="HQ204" s="2"/>
      <c r="HR204" s="2"/>
      <c r="HS204" s="2"/>
      <c r="HT204" s="2"/>
      <c r="HU204" s="2"/>
      <c r="HV204" s="2"/>
      <c r="HW204" s="2"/>
      <c r="HX204" s="2"/>
      <c r="HY204" s="2"/>
      <c r="HZ204" s="2"/>
      <c r="IA204" s="2"/>
      <c r="IB204" s="2"/>
      <c r="IC204" s="2"/>
      <c r="IH204" s="21"/>
      <c r="II204" s="14"/>
      <c r="IJ204" s="15"/>
      <c r="IK204" s="16"/>
      <c r="IL204" s="20"/>
      <c r="IM204" s="14"/>
      <c r="IN204" s="12"/>
      <c r="IO204" s="14"/>
      <c r="IP204" s="14"/>
    </row>
    <row r="205" spans="1:250">
      <c r="A205" s="2"/>
      <c r="B205" s="2"/>
      <c r="C205" s="2"/>
      <c r="D205" s="2"/>
      <c r="E205" s="2"/>
      <c r="F205" s="2"/>
      <c r="G205" s="2"/>
      <c r="H205" s="2"/>
      <c r="I205" s="2"/>
      <c r="J205" s="2"/>
      <c r="K205" s="2"/>
      <c r="L205" s="2"/>
      <c r="M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2"/>
      <c r="FD205" s="2"/>
      <c r="FE205" s="2"/>
      <c r="FF205" s="2"/>
      <c r="FG205" s="2"/>
      <c r="FH205" s="2"/>
      <c r="FI205" s="2"/>
      <c r="FJ205" s="2"/>
      <c r="FK205" s="2"/>
      <c r="FL205" s="2"/>
      <c r="FM205" s="2"/>
      <c r="FN205" s="2"/>
      <c r="FO205" s="2"/>
      <c r="FP205" s="2"/>
      <c r="FQ205" s="2"/>
      <c r="FR205" s="2"/>
      <c r="FS205" s="2"/>
      <c r="FT205" s="2"/>
      <c r="FU205" s="2"/>
      <c r="FV205" s="2"/>
      <c r="FW205" s="2"/>
      <c r="FX205" s="2"/>
      <c r="FY205" s="2"/>
      <c r="FZ205" s="2"/>
      <c r="GA205" s="2"/>
      <c r="GB205" s="2"/>
      <c r="GC205" s="2"/>
      <c r="GD205" s="2"/>
      <c r="GE205" s="2"/>
      <c r="GF205" s="2"/>
      <c r="GG205" s="2"/>
      <c r="GH205" s="2"/>
      <c r="GI205" s="2"/>
      <c r="GJ205" s="2"/>
      <c r="GK205" s="2"/>
      <c r="GL205" s="2"/>
      <c r="GM205" s="2"/>
      <c r="GN205" s="2"/>
      <c r="GO205" s="2"/>
      <c r="GP205" s="2"/>
      <c r="GQ205" s="2"/>
      <c r="GR205" s="2"/>
      <c r="GS205" s="2"/>
      <c r="GT205" s="2"/>
      <c r="GU205" s="2"/>
      <c r="GV205" s="2"/>
      <c r="GW205" s="2"/>
      <c r="GX205" s="2"/>
      <c r="GY205" s="2"/>
      <c r="GZ205" s="2"/>
      <c r="HA205" s="2"/>
      <c r="HB205" s="2"/>
      <c r="HC205" s="2"/>
      <c r="HD205" s="2"/>
      <c r="HE205" s="2"/>
      <c r="HF205" s="2"/>
      <c r="HG205" s="2"/>
      <c r="HH205" s="2"/>
      <c r="HI205" s="2"/>
      <c r="HJ205" s="2"/>
      <c r="HK205" s="2"/>
      <c r="HL205" s="2"/>
      <c r="HM205" s="2"/>
      <c r="HN205" s="2"/>
      <c r="HO205" s="2"/>
      <c r="HP205" s="2"/>
      <c r="HQ205" s="2"/>
      <c r="HR205" s="2"/>
      <c r="HS205" s="2"/>
      <c r="HT205" s="2"/>
      <c r="HU205" s="2"/>
      <c r="HV205" s="2"/>
      <c r="HW205" s="2"/>
      <c r="HX205" s="2"/>
      <c r="HY205" s="2"/>
      <c r="HZ205" s="2"/>
      <c r="IA205" s="2"/>
      <c r="IB205" s="2"/>
      <c r="IC205" s="2"/>
      <c r="IH205" s="21"/>
      <c r="II205" s="14"/>
      <c r="IJ205" s="15"/>
      <c r="IK205" s="16"/>
      <c r="IL205" s="20"/>
      <c r="IM205" s="14"/>
      <c r="IN205" s="19"/>
      <c r="IO205" s="14"/>
      <c r="IP205" s="14"/>
    </row>
    <row r="206" spans="1:250">
      <c r="A206" s="2"/>
      <c r="B206" s="2"/>
      <c r="C206" s="2"/>
      <c r="D206" s="2"/>
      <c r="E206" s="2"/>
      <c r="F206" s="2"/>
      <c r="G206" s="2"/>
      <c r="H206" s="2"/>
      <c r="I206" s="2"/>
      <c r="J206" s="2"/>
      <c r="K206" s="2"/>
      <c r="L206" s="2"/>
      <c r="M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2"/>
      <c r="FD206" s="2"/>
      <c r="FE206" s="2"/>
      <c r="FF206" s="2"/>
      <c r="FG206" s="2"/>
      <c r="FH206" s="2"/>
      <c r="FI206" s="2"/>
      <c r="FJ206" s="2"/>
      <c r="FK206" s="2"/>
      <c r="FL206" s="2"/>
      <c r="FM206" s="2"/>
      <c r="FN206" s="2"/>
      <c r="FO206" s="2"/>
      <c r="FP206" s="2"/>
      <c r="FQ206" s="2"/>
      <c r="FR206" s="2"/>
      <c r="FS206" s="2"/>
      <c r="FT206" s="2"/>
      <c r="FU206" s="2"/>
      <c r="FV206" s="2"/>
      <c r="FW206" s="2"/>
      <c r="FX206" s="2"/>
      <c r="FY206" s="2"/>
      <c r="FZ206" s="2"/>
      <c r="GA206" s="2"/>
      <c r="GB206" s="2"/>
      <c r="GC206" s="2"/>
      <c r="GD206" s="2"/>
      <c r="GE206" s="2"/>
      <c r="GF206" s="2"/>
      <c r="GG206" s="2"/>
      <c r="GH206" s="2"/>
      <c r="GI206" s="2"/>
      <c r="GJ206" s="2"/>
      <c r="GK206" s="2"/>
      <c r="GL206" s="2"/>
      <c r="GM206" s="2"/>
      <c r="GN206" s="2"/>
      <c r="GO206" s="2"/>
      <c r="GP206" s="2"/>
      <c r="GQ206" s="2"/>
      <c r="GR206" s="2"/>
      <c r="GS206" s="2"/>
      <c r="GT206" s="2"/>
      <c r="GU206" s="2"/>
      <c r="GV206" s="2"/>
      <c r="GW206" s="2"/>
      <c r="GX206" s="2"/>
      <c r="GY206" s="2"/>
      <c r="GZ206" s="2"/>
      <c r="HA206" s="2"/>
      <c r="HB206" s="2"/>
      <c r="HC206" s="2"/>
      <c r="HD206" s="2"/>
      <c r="HE206" s="2"/>
      <c r="HF206" s="2"/>
      <c r="HG206" s="2"/>
      <c r="HH206" s="2"/>
      <c r="HI206" s="2"/>
      <c r="HJ206" s="2"/>
      <c r="HK206" s="2"/>
      <c r="HL206" s="2"/>
      <c r="HM206" s="2"/>
      <c r="HN206" s="2"/>
      <c r="HO206" s="2"/>
      <c r="HP206" s="2"/>
      <c r="HQ206" s="2"/>
      <c r="HR206" s="2"/>
      <c r="HS206" s="2"/>
      <c r="HT206" s="2"/>
      <c r="HU206" s="2"/>
      <c r="HV206" s="2"/>
      <c r="HW206" s="2"/>
      <c r="HX206" s="2"/>
      <c r="HY206" s="2"/>
      <c r="HZ206" s="2"/>
      <c r="IA206" s="2"/>
      <c r="IB206" s="2"/>
      <c r="IC206" s="2"/>
      <c r="IH206" s="21"/>
      <c r="II206" s="14"/>
      <c r="IJ206" s="15"/>
      <c r="IK206" s="16"/>
      <c r="IL206" s="20"/>
      <c r="IM206" s="14"/>
      <c r="IN206" s="19"/>
      <c r="IO206" s="14"/>
      <c r="IP206" s="14"/>
    </row>
    <row r="207" spans="1:250">
      <c r="A207" s="2"/>
      <c r="B207" s="2"/>
      <c r="C207" s="2"/>
      <c r="D207" s="2"/>
      <c r="E207" s="2"/>
      <c r="F207" s="2"/>
      <c r="G207" s="2"/>
      <c r="H207" s="2"/>
      <c r="I207" s="2"/>
      <c r="J207" s="2"/>
      <c r="K207" s="2"/>
      <c r="L207" s="2"/>
      <c r="M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2"/>
      <c r="FD207" s="2"/>
      <c r="FE207" s="2"/>
      <c r="FF207" s="2"/>
      <c r="FG207" s="2"/>
      <c r="FH207" s="2"/>
      <c r="FI207" s="2"/>
      <c r="FJ207" s="2"/>
      <c r="FK207" s="2"/>
      <c r="FL207" s="2"/>
      <c r="FM207" s="2"/>
      <c r="FN207" s="2"/>
      <c r="FO207" s="2"/>
      <c r="FP207" s="2"/>
      <c r="FQ207" s="2"/>
      <c r="FR207" s="2"/>
      <c r="FS207" s="2"/>
      <c r="FT207" s="2"/>
      <c r="FU207" s="2"/>
      <c r="FV207" s="2"/>
      <c r="FW207" s="2"/>
      <c r="FX207" s="2"/>
      <c r="FY207" s="2"/>
      <c r="FZ207" s="2"/>
      <c r="GA207" s="2"/>
      <c r="GB207" s="2"/>
      <c r="GC207" s="2"/>
      <c r="GD207" s="2"/>
      <c r="GE207" s="2"/>
      <c r="GF207" s="2"/>
      <c r="GG207" s="2"/>
      <c r="GH207" s="2"/>
      <c r="GI207" s="2"/>
      <c r="GJ207" s="2"/>
      <c r="GK207" s="2"/>
      <c r="GL207" s="2"/>
      <c r="GM207" s="2"/>
      <c r="GN207" s="2"/>
      <c r="GO207" s="2"/>
      <c r="GP207" s="2"/>
      <c r="GQ207" s="2"/>
      <c r="GR207" s="2"/>
      <c r="GS207" s="2"/>
      <c r="GT207" s="2"/>
      <c r="GU207" s="2"/>
      <c r="GV207" s="2"/>
      <c r="GW207" s="2"/>
      <c r="GX207" s="2"/>
      <c r="GY207" s="2"/>
      <c r="GZ207" s="2"/>
      <c r="HA207" s="2"/>
      <c r="HB207" s="2"/>
      <c r="HC207" s="2"/>
      <c r="HD207" s="2"/>
      <c r="HE207" s="2"/>
      <c r="HF207" s="2"/>
      <c r="HG207" s="2"/>
      <c r="HH207" s="2"/>
      <c r="HI207" s="2"/>
      <c r="HJ207" s="2"/>
      <c r="HK207" s="2"/>
      <c r="HL207" s="2"/>
      <c r="HM207" s="2"/>
      <c r="HN207" s="2"/>
      <c r="HO207" s="2"/>
      <c r="HP207" s="2"/>
      <c r="HQ207" s="2"/>
      <c r="HR207" s="2"/>
      <c r="HS207" s="2"/>
      <c r="HT207" s="2"/>
      <c r="HU207" s="2"/>
      <c r="HV207" s="2"/>
      <c r="HW207" s="2"/>
      <c r="HX207" s="2"/>
      <c r="HY207" s="2"/>
      <c r="HZ207" s="2"/>
      <c r="IA207" s="2"/>
      <c r="IB207" s="2"/>
      <c r="IC207" s="2"/>
      <c r="IH207" s="21"/>
      <c r="II207" s="14"/>
      <c r="IJ207" s="15"/>
      <c r="IK207" s="16"/>
      <c r="IL207" s="20"/>
      <c r="IM207" s="14"/>
      <c r="IN207" s="12"/>
      <c r="IO207" s="14"/>
      <c r="IP207" s="14"/>
    </row>
    <row r="208" spans="1:250">
      <c r="A208" s="2"/>
      <c r="B208" s="2"/>
      <c r="C208" s="2"/>
      <c r="D208" s="2"/>
      <c r="E208" s="2"/>
      <c r="F208" s="2"/>
      <c r="G208" s="2"/>
      <c r="H208" s="2"/>
      <c r="I208" s="2"/>
      <c r="J208" s="2"/>
      <c r="K208" s="2"/>
      <c r="L208" s="2"/>
      <c r="M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2"/>
      <c r="FD208" s="2"/>
      <c r="FE208" s="2"/>
      <c r="FF208" s="2"/>
      <c r="FG208" s="2"/>
      <c r="FH208" s="2"/>
      <c r="FI208" s="2"/>
      <c r="FJ208" s="2"/>
      <c r="FK208" s="2"/>
      <c r="FL208" s="2"/>
      <c r="FM208" s="2"/>
      <c r="FN208" s="2"/>
      <c r="FO208" s="2"/>
      <c r="FP208" s="2"/>
      <c r="FQ208" s="2"/>
      <c r="FR208" s="2"/>
      <c r="FS208" s="2"/>
      <c r="FT208" s="2"/>
      <c r="FU208" s="2"/>
      <c r="FV208" s="2"/>
      <c r="FW208" s="2"/>
      <c r="FX208" s="2"/>
      <c r="FY208" s="2"/>
      <c r="FZ208" s="2"/>
      <c r="GA208" s="2"/>
      <c r="GB208" s="2"/>
      <c r="GC208" s="2"/>
      <c r="GD208" s="2"/>
      <c r="GE208" s="2"/>
      <c r="GF208" s="2"/>
      <c r="GG208" s="2"/>
      <c r="GH208" s="2"/>
      <c r="GI208" s="2"/>
      <c r="GJ208" s="2"/>
      <c r="GK208" s="2"/>
      <c r="GL208" s="2"/>
      <c r="GM208" s="2"/>
      <c r="GN208" s="2"/>
      <c r="GO208" s="2"/>
      <c r="GP208" s="2"/>
      <c r="GQ208" s="2"/>
      <c r="GR208" s="2"/>
      <c r="GS208" s="2"/>
      <c r="GT208" s="2"/>
      <c r="GU208" s="2"/>
      <c r="GV208" s="2"/>
      <c r="GW208" s="2"/>
      <c r="GX208" s="2"/>
      <c r="GY208" s="2"/>
      <c r="GZ208" s="2"/>
      <c r="HA208" s="2"/>
      <c r="HB208" s="2"/>
      <c r="HC208" s="2"/>
      <c r="HD208" s="2"/>
      <c r="HE208" s="2"/>
      <c r="HF208" s="2"/>
      <c r="HG208" s="2"/>
      <c r="HH208" s="2"/>
      <c r="HI208" s="2"/>
      <c r="HJ208" s="2"/>
      <c r="HK208" s="2"/>
      <c r="HL208" s="2"/>
      <c r="HM208" s="2"/>
      <c r="HN208" s="2"/>
      <c r="HO208" s="2"/>
      <c r="HP208" s="2"/>
      <c r="HQ208" s="2"/>
      <c r="HR208" s="2"/>
      <c r="HS208" s="2"/>
      <c r="HT208" s="2"/>
      <c r="HU208" s="2"/>
      <c r="HV208" s="2"/>
      <c r="HW208" s="2"/>
      <c r="HX208" s="2"/>
      <c r="HY208" s="2"/>
      <c r="HZ208" s="2"/>
      <c r="IA208" s="2"/>
      <c r="IB208" s="2"/>
      <c r="IC208" s="2"/>
      <c r="IH208" s="21"/>
      <c r="II208" s="14"/>
      <c r="IJ208" s="15"/>
      <c r="IK208" s="16"/>
      <c r="IL208" s="20"/>
      <c r="IM208" s="14"/>
      <c r="IN208" s="12"/>
      <c r="IO208" s="14"/>
      <c r="IP208" s="14"/>
    </row>
    <row r="209" spans="1:250">
      <c r="A209" s="2"/>
      <c r="B209" s="2"/>
      <c r="C209" s="2"/>
      <c r="D209" s="2"/>
      <c r="E209" s="2"/>
      <c r="F209" s="2"/>
      <c r="G209" s="2"/>
      <c r="H209" s="2"/>
      <c r="I209" s="2"/>
      <c r="J209" s="2"/>
      <c r="K209" s="2"/>
      <c r="L209" s="2"/>
      <c r="M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2"/>
      <c r="FD209" s="2"/>
      <c r="FE209" s="2"/>
      <c r="FF209" s="2"/>
      <c r="FG209" s="2"/>
      <c r="FH209" s="2"/>
      <c r="FI209" s="2"/>
      <c r="FJ209" s="2"/>
      <c r="FK209" s="2"/>
      <c r="FL209" s="2"/>
      <c r="FM209" s="2"/>
      <c r="FN209" s="2"/>
      <c r="FO209" s="2"/>
      <c r="FP209" s="2"/>
      <c r="FQ209" s="2"/>
      <c r="FR209" s="2"/>
      <c r="FS209" s="2"/>
      <c r="FT209" s="2"/>
      <c r="FU209" s="2"/>
      <c r="FV209" s="2"/>
      <c r="FW209" s="2"/>
      <c r="FX209" s="2"/>
      <c r="FY209" s="2"/>
      <c r="FZ209" s="2"/>
      <c r="GA209" s="2"/>
      <c r="GB209" s="2"/>
      <c r="GC209" s="2"/>
      <c r="GD209" s="2"/>
      <c r="GE209" s="2"/>
      <c r="GF209" s="2"/>
      <c r="GG209" s="2"/>
      <c r="GH209" s="2"/>
      <c r="GI209" s="2"/>
      <c r="GJ209" s="2"/>
      <c r="GK209" s="2"/>
      <c r="GL209" s="2"/>
      <c r="GM209" s="2"/>
      <c r="GN209" s="2"/>
      <c r="GO209" s="2"/>
      <c r="GP209" s="2"/>
      <c r="GQ209" s="2"/>
      <c r="GR209" s="2"/>
      <c r="GS209" s="2"/>
      <c r="GT209" s="2"/>
      <c r="GU209" s="2"/>
      <c r="GV209" s="2"/>
      <c r="GW209" s="2"/>
      <c r="GX209" s="2"/>
      <c r="GY209" s="2"/>
      <c r="GZ209" s="2"/>
      <c r="HA209" s="2"/>
      <c r="HB209" s="2"/>
      <c r="HC209" s="2"/>
      <c r="HD209" s="2"/>
      <c r="HE209" s="2"/>
      <c r="HF209" s="2"/>
      <c r="HG209" s="2"/>
      <c r="HH209" s="2"/>
      <c r="HI209" s="2"/>
      <c r="HJ209" s="2"/>
      <c r="HK209" s="2"/>
      <c r="HL209" s="2"/>
      <c r="HM209" s="2"/>
      <c r="HN209" s="2"/>
      <c r="HO209" s="2"/>
      <c r="HP209" s="2"/>
      <c r="HQ209" s="2"/>
      <c r="HR209" s="2"/>
      <c r="HS209" s="2"/>
      <c r="HT209" s="2"/>
      <c r="HU209" s="2"/>
      <c r="HV209" s="2"/>
      <c r="HW209" s="2"/>
      <c r="HX209" s="2"/>
      <c r="HY209" s="2"/>
      <c r="HZ209" s="2"/>
      <c r="IA209" s="2"/>
      <c r="IB209" s="2"/>
      <c r="IC209" s="2"/>
      <c r="IH209" s="21"/>
      <c r="II209" s="14"/>
      <c r="IJ209" s="15"/>
      <c r="IK209" s="16"/>
      <c r="IL209" s="20"/>
      <c r="IM209" s="14"/>
      <c r="IN209" s="12"/>
      <c r="IO209" s="14"/>
      <c r="IP209" s="14"/>
    </row>
    <row r="210" spans="1:250">
      <c r="A210" s="2"/>
      <c r="B210" s="2"/>
      <c r="C210" s="2"/>
      <c r="D210" s="2"/>
      <c r="E210" s="2"/>
      <c r="F210" s="2"/>
      <c r="G210" s="2"/>
      <c r="H210" s="2"/>
      <c r="I210" s="2"/>
      <c r="J210" s="2"/>
      <c r="K210" s="2"/>
      <c r="L210" s="2"/>
      <c r="M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2"/>
      <c r="FD210" s="2"/>
      <c r="FE210" s="2"/>
      <c r="FF210" s="2"/>
      <c r="FG210" s="2"/>
      <c r="FH210" s="2"/>
      <c r="FI210" s="2"/>
      <c r="FJ210" s="2"/>
      <c r="FK210" s="2"/>
      <c r="FL210" s="2"/>
      <c r="FM210" s="2"/>
      <c r="FN210" s="2"/>
      <c r="FO210" s="2"/>
      <c r="FP210" s="2"/>
      <c r="FQ210" s="2"/>
      <c r="FR210" s="2"/>
      <c r="FS210" s="2"/>
      <c r="FT210" s="2"/>
      <c r="FU210" s="2"/>
      <c r="FV210" s="2"/>
      <c r="FW210" s="2"/>
      <c r="FX210" s="2"/>
      <c r="FY210" s="2"/>
      <c r="FZ210" s="2"/>
      <c r="GA210" s="2"/>
      <c r="GB210" s="2"/>
      <c r="GC210" s="2"/>
      <c r="GD210" s="2"/>
      <c r="GE210" s="2"/>
      <c r="GF210" s="2"/>
      <c r="GG210" s="2"/>
      <c r="GH210" s="2"/>
      <c r="GI210" s="2"/>
      <c r="GJ210" s="2"/>
      <c r="GK210" s="2"/>
      <c r="GL210" s="2"/>
      <c r="GM210" s="2"/>
      <c r="GN210" s="2"/>
      <c r="GO210" s="2"/>
      <c r="GP210" s="2"/>
      <c r="GQ210" s="2"/>
      <c r="GR210" s="2"/>
      <c r="GS210" s="2"/>
      <c r="GT210" s="2"/>
      <c r="GU210" s="2"/>
      <c r="GV210" s="2"/>
      <c r="GW210" s="2"/>
      <c r="GX210" s="2"/>
      <c r="GY210" s="2"/>
      <c r="GZ210" s="2"/>
      <c r="HA210" s="2"/>
      <c r="HB210" s="2"/>
      <c r="HC210" s="2"/>
      <c r="HD210" s="2"/>
      <c r="HE210" s="2"/>
      <c r="HF210" s="2"/>
      <c r="HG210" s="2"/>
      <c r="HH210" s="2"/>
      <c r="HI210" s="2"/>
      <c r="HJ210" s="2"/>
      <c r="HK210" s="2"/>
      <c r="HL210" s="2"/>
      <c r="HM210" s="2"/>
      <c r="HN210" s="2"/>
      <c r="HO210" s="2"/>
      <c r="HP210" s="2"/>
      <c r="HQ210" s="2"/>
      <c r="HR210" s="2"/>
      <c r="HS210" s="2"/>
      <c r="HT210" s="2"/>
      <c r="HU210" s="2"/>
      <c r="HV210" s="2"/>
      <c r="HW210" s="2"/>
      <c r="HX210" s="2"/>
      <c r="HY210" s="2"/>
      <c r="HZ210" s="2"/>
      <c r="IA210" s="2"/>
      <c r="IB210" s="2"/>
      <c r="IC210" s="2"/>
      <c r="IH210" s="21"/>
      <c r="II210" s="14"/>
      <c r="IJ210" s="15"/>
      <c r="IK210" s="16"/>
      <c r="IL210" s="20"/>
      <c r="IM210" s="14"/>
      <c r="IN210" s="12"/>
      <c r="IO210" s="14"/>
      <c r="IP210" s="14"/>
    </row>
    <row r="211" spans="1:250">
      <c r="A211" s="2"/>
      <c r="B211" s="2"/>
      <c r="C211" s="2"/>
      <c r="D211" s="2"/>
      <c r="E211" s="2"/>
      <c r="F211" s="2"/>
      <c r="G211" s="2"/>
      <c r="H211" s="2"/>
      <c r="I211" s="2"/>
      <c r="J211" s="2"/>
      <c r="K211" s="2"/>
      <c r="L211" s="2"/>
      <c r="M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2"/>
      <c r="FD211" s="2"/>
      <c r="FE211" s="2"/>
      <c r="FF211" s="2"/>
      <c r="FG211" s="2"/>
      <c r="FH211" s="2"/>
      <c r="FI211" s="2"/>
      <c r="FJ211" s="2"/>
      <c r="FK211" s="2"/>
      <c r="FL211" s="2"/>
      <c r="FM211" s="2"/>
      <c r="FN211" s="2"/>
      <c r="FO211" s="2"/>
      <c r="FP211" s="2"/>
      <c r="FQ211" s="2"/>
      <c r="FR211" s="2"/>
      <c r="FS211" s="2"/>
      <c r="FT211" s="2"/>
      <c r="FU211" s="2"/>
      <c r="FV211" s="2"/>
      <c r="FW211" s="2"/>
      <c r="FX211" s="2"/>
      <c r="FY211" s="2"/>
      <c r="FZ211" s="2"/>
      <c r="GA211" s="2"/>
      <c r="GB211" s="2"/>
      <c r="GC211" s="2"/>
      <c r="GD211" s="2"/>
      <c r="GE211" s="2"/>
      <c r="GF211" s="2"/>
      <c r="GG211" s="2"/>
      <c r="GH211" s="2"/>
      <c r="GI211" s="2"/>
      <c r="GJ211" s="2"/>
      <c r="GK211" s="2"/>
      <c r="GL211" s="2"/>
      <c r="GM211" s="2"/>
      <c r="GN211" s="2"/>
      <c r="GO211" s="2"/>
      <c r="GP211" s="2"/>
      <c r="GQ211" s="2"/>
      <c r="GR211" s="2"/>
      <c r="GS211" s="2"/>
      <c r="GT211" s="2"/>
      <c r="GU211" s="2"/>
      <c r="GV211" s="2"/>
      <c r="GW211" s="2"/>
      <c r="GX211" s="2"/>
      <c r="GY211" s="2"/>
      <c r="GZ211" s="2"/>
      <c r="HA211" s="2"/>
      <c r="HB211" s="2"/>
      <c r="HC211" s="2"/>
      <c r="HD211" s="2"/>
      <c r="HE211" s="2"/>
      <c r="HF211" s="2"/>
      <c r="HG211" s="2"/>
      <c r="HH211" s="2"/>
      <c r="HI211" s="2"/>
      <c r="HJ211" s="2"/>
      <c r="HK211" s="2"/>
      <c r="HL211" s="2"/>
      <c r="HM211" s="2"/>
      <c r="HN211" s="2"/>
      <c r="HO211" s="2"/>
      <c r="HP211" s="2"/>
      <c r="HQ211" s="2"/>
      <c r="HR211" s="2"/>
      <c r="HS211" s="2"/>
      <c r="HT211" s="2"/>
      <c r="HU211" s="2"/>
      <c r="HV211" s="2"/>
      <c r="HW211" s="2"/>
      <c r="HX211" s="2"/>
      <c r="HY211" s="2"/>
      <c r="HZ211" s="2"/>
      <c r="IA211" s="2"/>
      <c r="IB211" s="2"/>
      <c r="IC211" s="2"/>
      <c r="IH211" s="21"/>
      <c r="II211" s="14"/>
      <c r="IJ211" s="15"/>
      <c r="IK211" s="16"/>
      <c r="IL211" s="20"/>
      <c r="IM211" s="14"/>
      <c r="IN211" s="12"/>
      <c r="IO211" s="14"/>
      <c r="IP211" s="14"/>
    </row>
    <row r="212" spans="1:250">
      <c r="A212" s="2"/>
      <c r="B212" s="2"/>
      <c r="C212" s="2"/>
      <c r="D212" s="2"/>
      <c r="E212" s="2"/>
      <c r="F212" s="2"/>
      <c r="G212" s="2"/>
      <c r="H212" s="2"/>
      <c r="I212" s="2"/>
      <c r="J212" s="2"/>
      <c r="K212" s="2"/>
      <c r="L212" s="2"/>
      <c r="M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2"/>
      <c r="FD212" s="2"/>
      <c r="FE212" s="2"/>
      <c r="FF212" s="2"/>
      <c r="FG212" s="2"/>
      <c r="FH212" s="2"/>
      <c r="FI212" s="2"/>
      <c r="FJ212" s="2"/>
      <c r="FK212" s="2"/>
      <c r="FL212" s="2"/>
      <c r="FM212" s="2"/>
      <c r="FN212" s="2"/>
      <c r="FO212" s="2"/>
      <c r="FP212" s="2"/>
      <c r="FQ212" s="2"/>
      <c r="FR212" s="2"/>
      <c r="FS212" s="2"/>
      <c r="FT212" s="2"/>
      <c r="FU212" s="2"/>
      <c r="FV212" s="2"/>
      <c r="FW212" s="2"/>
      <c r="FX212" s="2"/>
      <c r="FY212" s="2"/>
      <c r="FZ212" s="2"/>
      <c r="GA212" s="2"/>
      <c r="GB212" s="2"/>
      <c r="GC212" s="2"/>
      <c r="GD212" s="2"/>
      <c r="GE212" s="2"/>
      <c r="GF212" s="2"/>
      <c r="GG212" s="2"/>
      <c r="GH212" s="2"/>
      <c r="GI212" s="2"/>
      <c r="GJ212" s="2"/>
      <c r="GK212" s="2"/>
      <c r="GL212" s="2"/>
      <c r="GM212" s="2"/>
      <c r="GN212" s="2"/>
      <c r="GO212" s="2"/>
      <c r="GP212" s="2"/>
      <c r="GQ212" s="2"/>
      <c r="GR212" s="2"/>
      <c r="GS212" s="2"/>
      <c r="GT212" s="2"/>
      <c r="GU212" s="2"/>
      <c r="GV212" s="2"/>
      <c r="GW212" s="2"/>
      <c r="GX212" s="2"/>
      <c r="GY212" s="2"/>
      <c r="GZ212" s="2"/>
      <c r="HA212" s="2"/>
      <c r="HB212" s="2"/>
      <c r="HC212" s="2"/>
      <c r="HD212" s="2"/>
      <c r="HE212" s="2"/>
      <c r="HF212" s="2"/>
      <c r="HG212" s="2"/>
      <c r="HH212" s="2"/>
      <c r="HI212" s="2"/>
      <c r="HJ212" s="2"/>
      <c r="HK212" s="2"/>
      <c r="HL212" s="2"/>
      <c r="HM212" s="2"/>
      <c r="HN212" s="2"/>
      <c r="HO212" s="2"/>
      <c r="HP212" s="2"/>
      <c r="HQ212" s="2"/>
      <c r="HR212" s="2"/>
      <c r="HS212" s="2"/>
      <c r="HT212" s="2"/>
      <c r="HU212" s="2"/>
      <c r="HV212" s="2"/>
      <c r="HW212" s="2"/>
      <c r="HX212" s="2"/>
      <c r="HY212" s="2"/>
      <c r="HZ212" s="2"/>
      <c r="IA212" s="2"/>
      <c r="IB212" s="2"/>
      <c r="IC212" s="2"/>
      <c r="IH212" s="21"/>
      <c r="II212" s="14"/>
      <c r="IJ212" s="15"/>
      <c r="IK212" s="16"/>
      <c r="IL212" s="20"/>
      <c r="IM212" s="14"/>
      <c r="IN212" s="12"/>
      <c r="IO212" s="14"/>
      <c r="IP212" s="14"/>
    </row>
    <row r="213" spans="1:250">
      <c r="A213" s="2"/>
      <c r="B213" s="2"/>
      <c r="C213" s="2"/>
      <c r="D213" s="2"/>
      <c r="E213" s="2"/>
      <c r="F213" s="2"/>
      <c r="G213" s="2"/>
      <c r="H213" s="2"/>
      <c r="I213" s="2"/>
      <c r="J213" s="2"/>
      <c r="K213" s="2"/>
      <c r="L213" s="2"/>
      <c r="M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2"/>
      <c r="FD213" s="2"/>
      <c r="FE213" s="2"/>
      <c r="FF213" s="2"/>
      <c r="FG213" s="2"/>
      <c r="FH213" s="2"/>
      <c r="FI213" s="2"/>
      <c r="FJ213" s="2"/>
      <c r="FK213" s="2"/>
      <c r="FL213" s="2"/>
      <c r="FM213" s="2"/>
      <c r="FN213" s="2"/>
      <c r="FO213" s="2"/>
      <c r="FP213" s="2"/>
      <c r="FQ213" s="2"/>
      <c r="FR213" s="2"/>
      <c r="FS213" s="2"/>
      <c r="FT213" s="2"/>
      <c r="FU213" s="2"/>
      <c r="FV213" s="2"/>
      <c r="FW213" s="2"/>
      <c r="FX213" s="2"/>
      <c r="FY213" s="2"/>
      <c r="FZ213" s="2"/>
      <c r="GA213" s="2"/>
      <c r="GB213" s="2"/>
      <c r="GC213" s="2"/>
      <c r="GD213" s="2"/>
      <c r="GE213" s="2"/>
      <c r="GF213" s="2"/>
      <c r="GG213" s="2"/>
      <c r="GH213" s="2"/>
      <c r="GI213" s="2"/>
      <c r="GJ213" s="2"/>
      <c r="GK213" s="2"/>
      <c r="GL213" s="2"/>
      <c r="GM213" s="2"/>
      <c r="GN213" s="2"/>
      <c r="GO213" s="2"/>
      <c r="GP213" s="2"/>
      <c r="GQ213" s="2"/>
      <c r="GR213" s="2"/>
      <c r="GS213" s="2"/>
      <c r="GT213" s="2"/>
      <c r="GU213" s="2"/>
      <c r="GV213" s="2"/>
      <c r="GW213" s="2"/>
      <c r="GX213" s="2"/>
      <c r="GY213" s="2"/>
      <c r="GZ213" s="2"/>
      <c r="HA213" s="2"/>
      <c r="HB213" s="2"/>
      <c r="HC213" s="2"/>
      <c r="HD213" s="2"/>
      <c r="HE213" s="2"/>
      <c r="HF213" s="2"/>
      <c r="HG213" s="2"/>
      <c r="HH213" s="2"/>
      <c r="HI213" s="2"/>
      <c r="HJ213" s="2"/>
      <c r="HK213" s="2"/>
      <c r="HL213" s="2"/>
      <c r="HM213" s="2"/>
      <c r="HN213" s="2"/>
      <c r="HO213" s="2"/>
      <c r="HP213" s="2"/>
      <c r="HQ213" s="2"/>
      <c r="HR213" s="2"/>
      <c r="HS213" s="2"/>
      <c r="HT213" s="2"/>
      <c r="HU213" s="2"/>
      <c r="HV213" s="2"/>
      <c r="HW213" s="2"/>
      <c r="HX213" s="2"/>
      <c r="HY213" s="2"/>
      <c r="HZ213" s="2"/>
      <c r="IA213" s="2"/>
      <c r="IB213" s="2"/>
      <c r="IC213" s="2"/>
      <c r="IH213" s="21"/>
      <c r="II213" s="14"/>
      <c r="IJ213" s="15"/>
      <c r="IK213" s="16"/>
      <c r="IL213" s="20"/>
      <c r="IM213" s="14"/>
      <c r="IN213" s="12"/>
      <c r="IO213" s="14"/>
      <c r="IP213" s="14"/>
    </row>
    <row r="214" spans="1:250">
      <c r="A214" s="2"/>
      <c r="B214" s="2"/>
      <c r="C214" s="2"/>
      <c r="D214" s="2"/>
      <c r="E214" s="2"/>
      <c r="F214" s="2"/>
      <c r="G214" s="2"/>
      <c r="H214" s="2"/>
      <c r="I214" s="2"/>
      <c r="J214" s="2"/>
      <c r="K214" s="2"/>
      <c r="L214" s="2"/>
      <c r="M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2"/>
      <c r="FD214" s="2"/>
      <c r="FE214" s="2"/>
      <c r="FF214" s="2"/>
      <c r="FG214" s="2"/>
      <c r="FH214" s="2"/>
      <c r="FI214" s="2"/>
      <c r="FJ214" s="2"/>
      <c r="FK214" s="2"/>
      <c r="FL214" s="2"/>
      <c r="FM214" s="2"/>
      <c r="FN214" s="2"/>
      <c r="FO214" s="2"/>
      <c r="FP214" s="2"/>
      <c r="FQ214" s="2"/>
      <c r="FR214" s="2"/>
      <c r="FS214" s="2"/>
      <c r="FT214" s="2"/>
      <c r="FU214" s="2"/>
      <c r="FV214" s="2"/>
      <c r="FW214" s="2"/>
      <c r="FX214" s="2"/>
      <c r="FY214" s="2"/>
      <c r="FZ214" s="2"/>
      <c r="GA214" s="2"/>
      <c r="GB214" s="2"/>
      <c r="GC214" s="2"/>
      <c r="GD214" s="2"/>
      <c r="GE214" s="2"/>
      <c r="GF214" s="2"/>
      <c r="GG214" s="2"/>
      <c r="GH214" s="2"/>
      <c r="GI214" s="2"/>
      <c r="GJ214" s="2"/>
      <c r="GK214" s="2"/>
      <c r="GL214" s="2"/>
      <c r="GM214" s="2"/>
      <c r="GN214" s="2"/>
      <c r="GO214" s="2"/>
      <c r="GP214" s="2"/>
      <c r="GQ214" s="2"/>
      <c r="GR214" s="2"/>
      <c r="GS214" s="2"/>
      <c r="GT214" s="2"/>
      <c r="GU214" s="2"/>
      <c r="GV214" s="2"/>
      <c r="GW214" s="2"/>
      <c r="GX214" s="2"/>
      <c r="GY214" s="2"/>
      <c r="GZ214" s="2"/>
      <c r="HA214" s="2"/>
      <c r="HB214" s="2"/>
      <c r="HC214" s="2"/>
      <c r="HD214" s="2"/>
      <c r="HE214" s="2"/>
      <c r="HF214" s="2"/>
      <c r="HG214" s="2"/>
      <c r="HH214" s="2"/>
      <c r="HI214" s="2"/>
      <c r="HJ214" s="2"/>
      <c r="HK214" s="2"/>
      <c r="HL214" s="2"/>
      <c r="HM214" s="2"/>
      <c r="HN214" s="2"/>
      <c r="HO214" s="2"/>
      <c r="HP214" s="2"/>
      <c r="HQ214" s="2"/>
      <c r="HR214" s="2"/>
      <c r="HS214" s="2"/>
      <c r="HT214" s="2"/>
      <c r="HU214" s="2"/>
      <c r="HV214" s="2"/>
      <c r="HW214" s="2"/>
      <c r="HX214" s="2"/>
      <c r="HY214" s="2"/>
      <c r="HZ214" s="2"/>
      <c r="IA214" s="2"/>
      <c r="IB214" s="2"/>
      <c r="IC214" s="2"/>
      <c r="IH214" s="21"/>
      <c r="II214" s="14"/>
      <c r="IJ214" s="15"/>
      <c r="IK214" s="16"/>
      <c r="IL214" s="20"/>
      <c r="IM214" s="14"/>
      <c r="IN214" s="12"/>
      <c r="IO214" s="14"/>
      <c r="IP214" s="14"/>
    </row>
    <row r="215" spans="1:250">
      <c r="A215" s="2"/>
      <c r="B215" s="2"/>
      <c r="C215" s="2"/>
      <c r="D215" s="2"/>
      <c r="E215" s="2"/>
      <c r="F215" s="2"/>
      <c r="G215" s="2"/>
      <c r="H215" s="2"/>
      <c r="I215" s="2"/>
      <c r="J215" s="2"/>
      <c r="K215" s="2"/>
      <c r="L215" s="2"/>
      <c r="M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2"/>
      <c r="FD215" s="2"/>
      <c r="FE215" s="2"/>
      <c r="FF215" s="2"/>
      <c r="FG215" s="2"/>
      <c r="FH215" s="2"/>
      <c r="FI215" s="2"/>
      <c r="FJ215" s="2"/>
      <c r="FK215" s="2"/>
      <c r="FL215" s="2"/>
      <c r="FM215" s="2"/>
      <c r="FN215" s="2"/>
      <c r="FO215" s="2"/>
      <c r="FP215" s="2"/>
      <c r="FQ215" s="2"/>
      <c r="FR215" s="2"/>
      <c r="FS215" s="2"/>
      <c r="FT215" s="2"/>
      <c r="FU215" s="2"/>
      <c r="FV215" s="2"/>
      <c r="FW215" s="2"/>
      <c r="FX215" s="2"/>
      <c r="FY215" s="2"/>
      <c r="FZ215" s="2"/>
      <c r="GA215" s="2"/>
      <c r="GB215" s="2"/>
      <c r="GC215" s="2"/>
      <c r="GD215" s="2"/>
      <c r="GE215" s="2"/>
      <c r="GF215" s="2"/>
      <c r="GG215" s="2"/>
      <c r="GH215" s="2"/>
      <c r="GI215" s="2"/>
      <c r="GJ215" s="2"/>
      <c r="GK215" s="2"/>
      <c r="GL215" s="2"/>
      <c r="GM215" s="2"/>
      <c r="GN215" s="2"/>
      <c r="GO215" s="2"/>
      <c r="GP215" s="2"/>
      <c r="GQ215" s="2"/>
      <c r="GR215" s="2"/>
      <c r="GS215" s="2"/>
      <c r="GT215" s="2"/>
      <c r="GU215" s="2"/>
      <c r="GV215" s="2"/>
      <c r="GW215" s="2"/>
      <c r="GX215" s="2"/>
      <c r="GY215" s="2"/>
      <c r="GZ215" s="2"/>
      <c r="HA215" s="2"/>
      <c r="HB215" s="2"/>
      <c r="HC215" s="2"/>
      <c r="HD215" s="2"/>
      <c r="HE215" s="2"/>
      <c r="HF215" s="2"/>
      <c r="HG215" s="2"/>
      <c r="HH215" s="2"/>
      <c r="HI215" s="2"/>
      <c r="HJ215" s="2"/>
      <c r="HK215" s="2"/>
      <c r="HL215" s="2"/>
      <c r="HM215" s="2"/>
      <c r="HN215" s="2"/>
      <c r="HO215" s="2"/>
      <c r="HP215" s="2"/>
      <c r="HQ215" s="2"/>
      <c r="HR215" s="2"/>
      <c r="HS215" s="2"/>
      <c r="HT215" s="2"/>
      <c r="HU215" s="2"/>
      <c r="HV215" s="2"/>
      <c r="HW215" s="2"/>
      <c r="HX215" s="2"/>
      <c r="HY215" s="2"/>
      <c r="HZ215" s="2"/>
      <c r="IA215" s="2"/>
      <c r="IB215" s="2"/>
      <c r="IC215" s="2"/>
      <c r="IH215" s="21"/>
      <c r="II215" s="14"/>
      <c r="IJ215" s="15"/>
      <c r="IK215" s="16"/>
      <c r="IL215" s="20"/>
      <c r="IM215" s="14"/>
      <c r="IN215" s="12"/>
      <c r="IO215" s="14"/>
      <c r="IP215" s="14"/>
    </row>
    <row r="216" spans="1:250">
      <c r="A216" s="2"/>
      <c r="B216" s="2"/>
      <c r="C216" s="2"/>
      <c r="D216" s="2"/>
      <c r="E216" s="2"/>
      <c r="F216" s="2"/>
      <c r="G216" s="2"/>
      <c r="H216" s="2"/>
      <c r="I216" s="2"/>
      <c r="J216" s="2"/>
      <c r="K216" s="2"/>
      <c r="L216" s="2"/>
      <c r="M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2"/>
      <c r="FD216" s="2"/>
      <c r="FE216" s="2"/>
      <c r="FF216" s="2"/>
      <c r="FG216" s="2"/>
      <c r="FH216" s="2"/>
      <c r="FI216" s="2"/>
      <c r="FJ216" s="2"/>
      <c r="FK216" s="2"/>
      <c r="FL216" s="2"/>
      <c r="FM216" s="2"/>
      <c r="FN216" s="2"/>
      <c r="FO216" s="2"/>
      <c r="FP216" s="2"/>
      <c r="FQ216" s="2"/>
      <c r="FR216" s="2"/>
      <c r="FS216" s="2"/>
      <c r="FT216" s="2"/>
      <c r="FU216" s="2"/>
      <c r="FV216" s="2"/>
      <c r="FW216" s="2"/>
      <c r="FX216" s="2"/>
      <c r="FY216" s="2"/>
      <c r="FZ216" s="2"/>
      <c r="GA216" s="2"/>
      <c r="GB216" s="2"/>
      <c r="GC216" s="2"/>
      <c r="GD216" s="2"/>
      <c r="GE216" s="2"/>
      <c r="GF216" s="2"/>
      <c r="GG216" s="2"/>
      <c r="GH216" s="2"/>
      <c r="GI216" s="2"/>
      <c r="GJ216" s="2"/>
      <c r="GK216" s="2"/>
      <c r="GL216" s="2"/>
      <c r="GM216" s="2"/>
      <c r="GN216" s="2"/>
      <c r="GO216" s="2"/>
      <c r="GP216" s="2"/>
      <c r="GQ216" s="2"/>
      <c r="GR216" s="2"/>
      <c r="GS216" s="2"/>
      <c r="GT216" s="2"/>
      <c r="GU216" s="2"/>
      <c r="GV216" s="2"/>
      <c r="GW216" s="2"/>
      <c r="GX216" s="2"/>
      <c r="GY216" s="2"/>
      <c r="GZ216" s="2"/>
      <c r="HA216" s="2"/>
      <c r="HB216" s="2"/>
      <c r="HC216" s="2"/>
      <c r="HD216" s="2"/>
      <c r="HE216" s="2"/>
      <c r="HF216" s="2"/>
      <c r="HG216" s="2"/>
      <c r="HH216" s="2"/>
      <c r="HI216" s="2"/>
      <c r="HJ216" s="2"/>
      <c r="HK216" s="2"/>
      <c r="HL216" s="2"/>
      <c r="HM216" s="2"/>
      <c r="HN216" s="2"/>
      <c r="HO216" s="2"/>
      <c r="HP216" s="2"/>
      <c r="HQ216" s="2"/>
      <c r="HR216" s="2"/>
      <c r="HS216" s="2"/>
      <c r="HT216" s="2"/>
      <c r="HU216" s="2"/>
      <c r="HV216" s="2"/>
      <c r="HW216" s="2"/>
      <c r="HX216" s="2"/>
      <c r="HY216" s="2"/>
      <c r="HZ216" s="2"/>
      <c r="IA216" s="2"/>
      <c r="IB216" s="2"/>
      <c r="IC216" s="2"/>
      <c r="IH216" s="21"/>
      <c r="II216" s="14"/>
      <c r="IJ216" s="15"/>
      <c r="IK216" s="16"/>
      <c r="IL216" s="20"/>
      <c r="IM216" s="14"/>
      <c r="IN216" s="12"/>
      <c r="IO216" s="14"/>
      <c r="IP216" s="14"/>
    </row>
    <row r="217" spans="1:250">
      <c r="A217" s="2"/>
      <c r="B217" s="2"/>
      <c r="C217" s="2"/>
      <c r="D217" s="2"/>
      <c r="E217" s="2"/>
      <c r="F217" s="2"/>
      <c r="G217" s="2"/>
      <c r="H217" s="2"/>
      <c r="I217" s="2"/>
      <c r="J217" s="2"/>
      <c r="K217" s="2"/>
      <c r="L217" s="2"/>
      <c r="M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2"/>
      <c r="FD217" s="2"/>
      <c r="FE217" s="2"/>
      <c r="FF217" s="2"/>
      <c r="FG217" s="2"/>
      <c r="FH217" s="2"/>
      <c r="FI217" s="2"/>
      <c r="FJ217" s="2"/>
      <c r="FK217" s="2"/>
      <c r="FL217" s="2"/>
      <c r="FM217" s="2"/>
      <c r="FN217" s="2"/>
      <c r="FO217" s="2"/>
      <c r="FP217" s="2"/>
      <c r="FQ217" s="2"/>
      <c r="FR217" s="2"/>
      <c r="FS217" s="2"/>
      <c r="FT217" s="2"/>
      <c r="FU217" s="2"/>
      <c r="FV217" s="2"/>
      <c r="FW217" s="2"/>
      <c r="FX217" s="2"/>
      <c r="FY217" s="2"/>
      <c r="FZ217" s="2"/>
      <c r="GA217" s="2"/>
      <c r="GB217" s="2"/>
      <c r="GC217" s="2"/>
      <c r="GD217" s="2"/>
      <c r="GE217" s="2"/>
      <c r="GF217" s="2"/>
      <c r="GG217" s="2"/>
      <c r="GH217" s="2"/>
      <c r="GI217" s="2"/>
      <c r="GJ217" s="2"/>
      <c r="GK217" s="2"/>
      <c r="GL217" s="2"/>
      <c r="GM217" s="2"/>
      <c r="GN217" s="2"/>
      <c r="GO217" s="2"/>
      <c r="GP217" s="2"/>
      <c r="GQ217" s="2"/>
      <c r="GR217" s="2"/>
      <c r="GS217" s="2"/>
      <c r="GT217" s="2"/>
      <c r="GU217" s="2"/>
      <c r="GV217" s="2"/>
      <c r="GW217" s="2"/>
      <c r="GX217" s="2"/>
      <c r="GY217" s="2"/>
      <c r="GZ217" s="2"/>
      <c r="HA217" s="2"/>
      <c r="HB217" s="2"/>
      <c r="HC217" s="2"/>
      <c r="HD217" s="2"/>
      <c r="HE217" s="2"/>
      <c r="HF217" s="2"/>
      <c r="HG217" s="2"/>
      <c r="HH217" s="2"/>
      <c r="HI217" s="2"/>
      <c r="HJ217" s="2"/>
      <c r="HK217" s="2"/>
      <c r="HL217" s="2"/>
      <c r="HM217" s="2"/>
      <c r="HN217" s="2"/>
      <c r="HO217" s="2"/>
      <c r="HP217" s="2"/>
      <c r="HQ217" s="2"/>
      <c r="HR217" s="2"/>
      <c r="HS217" s="2"/>
      <c r="HT217" s="2"/>
      <c r="HU217" s="2"/>
      <c r="HV217" s="2"/>
      <c r="HW217" s="2"/>
      <c r="HX217" s="2"/>
      <c r="HY217" s="2"/>
      <c r="HZ217" s="2"/>
      <c r="IA217" s="2"/>
      <c r="IB217" s="2"/>
      <c r="IC217" s="2"/>
      <c r="IH217" s="21"/>
      <c r="II217" s="14"/>
      <c r="IJ217" s="15"/>
      <c r="IK217" s="16"/>
      <c r="IL217" s="20"/>
      <c r="IM217" s="14"/>
      <c r="IN217" s="12"/>
      <c r="IO217" s="14"/>
      <c r="IP217" s="14"/>
    </row>
    <row r="218" spans="1:250">
      <c r="A218" s="2"/>
      <c r="B218" s="2"/>
      <c r="C218" s="2"/>
      <c r="D218" s="2"/>
      <c r="E218" s="2"/>
      <c r="F218" s="2"/>
      <c r="G218" s="2"/>
      <c r="H218" s="2"/>
      <c r="I218" s="2"/>
      <c r="J218" s="2"/>
      <c r="K218" s="2"/>
      <c r="L218" s="2"/>
      <c r="M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2"/>
      <c r="FD218" s="2"/>
      <c r="FE218" s="2"/>
      <c r="FF218" s="2"/>
      <c r="FG218" s="2"/>
      <c r="FH218" s="2"/>
      <c r="FI218" s="2"/>
      <c r="FJ218" s="2"/>
      <c r="FK218" s="2"/>
      <c r="FL218" s="2"/>
      <c r="FM218" s="2"/>
      <c r="FN218" s="2"/>
      <c r="FO218" s="2"/>
      <c r="FP218" s="2"/>
      <c r="FQ218" s="2"/>
      <c r="FR218" s="2"/>
      <c r="FS218" s="2"/>
      <c r="FT218" s="2"/>
      <c r="FU218" s="2"/>
      <c r="FV218" s="2"/>
      <c r="FW218" s="2"/>
      <c r="FX218" s="2"/>
      <c r="FY218" s="2"/>
      <c r="FZ218" s="2"/>
      <c r="GA218" s="2"/>
      <c r="GB218" s="2"/>
      <c r="GC218" s="2"/>
      <c r="GD218" s="2"/>
      <c r="GE218" s="2"/>
      <c r="GF218" s="2"/>
      <c r="GG218" s="2"/>
      <c r="GH218" s="2"/>
      <c r="GI218" s="2"/>
      <c r="GJ218" s="2"/>
      <c r="GK218" s="2"/>
      <c r="GL218" s="2"/>
      <c r="GM218" s="2"/>
      <c r="GN218" s="2"/>
      <c r="GO218" s="2"/>
      <c r="GP218" s="2"/>
      <c r="GQ218" s="2"/>
      <c r="GR218" s="2"/>
      <c r="GS218" s="2"/>
      <c r="GT218" s="2"/>
      <c r="GU218" s="2"/>
      <c r="GV218" s="2"/>
      <c r="GW218" s="2"/>
      <c r="GX218" s="2"/>
      <c r="GY218" s="2"/>
      <c r="GZ218" s="2"/>
      <c r="HA218" s="2"/>
      <c r="HB218" s="2"/>
      <c r="HC218" s="2"/>
      <c r="HD218" s="2"/>
      <c r="HE218" s="2"/>
      <c r="HF218" s="2"/>
      <c r="HG218" s="2"/>
      <c r="HH218" s="2"/>
      <c r="HI218" s="2"/>
      <c r="HJ218" s="2"/>
      <c r="HK218" s="2"/>
      <c r="HL218" s="2"/>
      <c r="HM218" s="2"/>
      <c r="HN218" s="2"/>
      <c r="HO218" s="2"/>
      <c r="HP218" s="2"/>
      <c r="HQ218" s="2"/>
      <c r="HR218" s="2"/>
      <c r="HS218" s="2"/>
      <c r="HT218" s="2"/>
      <c r="HU218" s="2"/>
      <c r="HV218" s="2"/>
      <c r="HW218" s="2"/>
      <c r="HX218" s="2"/>
      <c r="HY218" s="2"/>
      <c r="HZ218" s="2"/>
      <c r="IA218" s="2"/>
      <c r="IB218" s="2"/>
      <c r="IC218" s="2"/>
      <c r="IH218" s="21"/>
      <c r="II218" s="14"/>
      <c r="IJ218" s="15"/>
      <c r="IK218" s="16"/>
      <c r="IL218" s="20"/>
      <c r="IM218" s="14"/>
      <c r="IN218" s="12"/>
      <c r="IO218" s="14"/>
      <c r="IP218" s="14"/>
    </row>
    <row r="219" spans="1:250">
      <c r="A219" s="2"/>
      <c r="B219" s="2"/>
      <c r="C219" s="2"/>
      <c r="D219" s="2"/>
      <c r="E219" s="2"/>
      <c r="F219" s="2"/>
      <c r="G219" s="2"/>
      <c r="H219" s="2"/>
      <c r="I219" s="2"/>
      <c r="J219" s="2"/>
      <c r="K219" s="2"/>
      <c r="L219" s="2"/>
      <c r="M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2"/>
      <c r="FD219" s="2"/>
      <c r="FE219" s="2"/>
      <c r="FF219" s="2"/>
      <c r="FG219" s="2"/>
      <c r="FH219" s="2"/>
      <c r="FI219" s="2"/>
      <c r="FJ219" s="2"/>
      <c r="FK219" s="2"/>
      <c r="FL219" s="2"/>
      <c r="FM219" s="2"/>
      <c r="FN219" s="2"/>
      <c r="FO219" s="2"/>
      <c r="FP219" s="2"/>
      <c r="FQ219" s="2"/>
      <c r="FR219" s="2"/>
      <c r="FS219" s="2"/>
      <c r="FT219" s="2"/>
      <c r="FU219" s="2"/>
      <c r="FV219" s="2"/>
      <c r="FW219" s="2"/>
      <c r="FX219" s="2"/>
      <c r="FY219" s="2"/>
      <c r="FZ219" s="2"/>
      <c r="GA219" s="2"/>
      <c r="GB219" s="2"/>
      <c r="GC219" s="2"/>
      <c r="GD219" s="2"/>
      <c r="GE219" s="2"/>
      <c r="GF219" s="2"/>
      <c r="GG219" s="2"/>
      <c r="GH219" s="2"/>
      <c r="GI219" s="2"/>
      <c r="GJ219" s="2"/>
      <c r="GK219" s="2"/>
      <c r="GL219" s="2"/>
      <c r="GM219" s="2"/>
      <c r="GN219" s="2"/>
      <c r="GO219" s="2"/>
      <c r="GP219" s="2"/>
      <c r="GQ219" s="2"/>
      <c r="GR219" s="2"/>
      <c r="GS219" s="2"/>
      <c r="GT219" s="2"/>
      <c r="GU219" s="2"/>
      <c r="GV219" s="2"/>
      <c r="GW219" s="2"/>
      <c r="GX219" s="2"/>
      <c r="GY219" s="2"/>
      <c r="GZ219" s="2"/>
      <c r="HA219" s="2"/>
      <c r="HB219" s="2"/>
      <c r="HC219" s="2"/>
      <c r="HD219" s="2"/>
      <c r="HE219" s="2"/>
      <c r="HF219" s="2"/>
      <c r="HG219" s="2"/>
      <c r="HH219" s="2"/>
      <c r="HI219" s="2"/>
      <c r="HJ219" s="2"/>
      <c r="HK219" s="2"/>
      <c r="HL219" s="2"/>
      <c r="HM219" s="2"/>
      <c r="HN219" s="2"/>
      <c r="HO219" s="2"/>
      <c r="HP219" s="2"/>
      <c r="HQ219" s="2"/>
      <c r="HR219" s="2"/>
      <c r="HS219" s="2"/>
      <c r="HT219" s="2"/>
      <c r="HU219" s="2"/>
      <c r="HV219" s="2"/>
      <c r="HW219" s="2"/>
      <c r="HX219" s="2"/>
      <c r="HY219" s="2"/>
      <c r="HZ219" s="2"/>
      <c r="IA219" s="2"/>
      <c r="IB219" s="2"/>
      <c r="IC219" s="2"/>
      <c r="IH219" s="21"/>
      <c r="II219" s="14"/>
      <c r="IJ219" s="15"/>
      <c r="IK219" s="16"/>
      <c r="IL219" s="20"/>
      <c r="IM219" s="14"/>
      <c r="IN219" s="12"/>
      <c r="IO219" s="14"/>
      <c r="IP219" s="14"/>
    </row>
    <row r="220" spans="1:250">
      <c r="A220" s="2"/>
      <c r="B220" s="2"/>
      <c r="C220" s="2"/>
      <c r="D220" s="2"/>
      <c r="E220" s="2"/>
      <c r="F220" s="2"/>
      <c r="G220" s="2"/>
      <c r="H220" s="2"/>
      <c r="I220" s="2"/>
      <c r="J220" s="2"/>
      <c r="K220" s="2"/>
      <c r="L220" s="2"/>
      <c r="M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2"/>
      <c r="FD220" s="2"/>
      <c r="FE220" s="2"/>
      <c r="FF220" s="2"/>
      <c r="FG220" s="2"/>
      <c r="FH220" s="2"/>
      <c r="FI220" s="2"/>
      <c r="FJ220" s="2"/>
      <c r="FK220" s="2"/>
      <c r="FL220" s="2"/>
      <c r="FM220" s="2"/>
      <c r="FN220" s="2"/>
      <c r="FO220" s="2"/>
      <c r="FP220" s="2"/>
      <c r="FQ220" s="2"/>
      <c r="FR220" s="2"/>
      <c r="FS220" s="2"/>
      <c r="FT220" s="2"/>
      <c r="FU220" s="2"/>
      <c r="FV220" s="2"/>
      <c r="FW220" s="2"/>
      <c r="FX220" s="2"/>
      <c r="FY220" s="2"/>
      <c r="FZ220" s="2"/>
      <c r="GA220" s="2"/>
      <c r="GB220" s="2"/>
      <c r="GC220" s="2"/>
      <c r="GD220" s="2"/>
      <c r="GE220" s="2"/>
      <c r="GF220" s="2"/>
      <c r="GG220" s="2"/>
      <c r="GH220" s="2"/>
      <c r="GI220" s="2"/>
      <c r="GJ220" s="2"/>
      <c r="GK220" s="2"/>
      <c r="GL220" s="2"/>
      <c r="GM220" s="2"/>
      <c r="GN220" s="2"/>
      <c r="GO220" s="2"/>
      <c r="GP220" s="2"/>
      <c r="GQ220" s="2"/>
      <c r="GR220" s="2"/>
      <c r="GS220" s="2"/>
      <c r="GT220" s="2"/>
      <c r="GU220" s="2"/>
      <c r="GV220" s="2"/>
      <c r="GW220" s="2"/>
      <c r="GX220" s="2"/>
      <c r="GY220" s="2"/>
      <c r="GZ220" s="2"/>
      <c r="HA220" s="2"/>
      <c r="HB220" s="2"/>
      <c r="HC220" s="2"/>
      <c r="HD220" s="2"/>
      <c r="HE220" s="2"/>
      <c r="HF220" s="2"/>
      <c r="HG220" s="2"/>
      <c r="HH220" s="2"/>
      <c r="HI220" s="2"/>
      <c r="HJ220" s="2"/>
      <c r="HK220" s="2"/>
      <c r="HL220" s="2"/>
      <c r="HM220" s="2"/>
      <c r="HN220" s="2"/>
      <c r="HO220" s="2"/>
      <c r="HP220" s="2"/>
      <c r="HQ220" s="2"/>
      <c r="HR220" s="2"/>
      <c r="HS220" s="2"/>
      <c r="HT220" s="2"/>
      <c r="HU220" s="2"/>
      <c r="HV220" s="2"/>
      <c r="HW220" s="2"/>
      <c r="HX220" s="2"/>
      <c r="HY220" s="2"/>
      <c r="HZ220" s="2"/>
      <c r="IA220" s="2"/>
      <c r="IB220" s="2"/>
      <c r="IC220" s="2"/>
      <c r="IH220" s="21"/>
      <c r="II220" s="14"/>
      <c r="IJ220" s="15"/>
      <c r="IK220" s="16"/>
      <c r="IL220" s="20"/>
      <c r="IM220" s="14"/>
      <c r="IN220" s="12"/>
      <c r="IO220" s="14"/>
      <c r="IP220" s="14"/>
    </row>
    <row r="221" spans="1:250">
      <c r="A221" s="2"/>
      <c r="B221" s="2"/>
      <c r="C221" s="2"/>
      <c r="D221" s="2"/>
      <c r="E221" s="2"/>
      <c r="F221" s="2"/>
      <c r="G221" s="2"/>
      <c r="H221" s="2"/>
      <c r="I221" s="2"/>
      <c r="J221" s="2"/>
      <c r="K221" s="2"/>
      <c r="L221" s="2"/>
      <c r="M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2"/>
      <c r="FD221" s="2"/>
      <c r="FE221" s="2"/>
      <c r="FF221" s="2"/>
      <c r="FG221" s="2"/>
      <c r="FH221" s="2"/>
      <c r="FI221" s="2"/>
      <c r="FJ221" s="2"/>
      <c r="FK221" s="2"/>
      <c r="FL221" s="2"/>
      <c r="FM221" s="2"/>
      <c r="FN221" s="2"/>
      <c r="FO221" s="2"/>
      <c r="FP221" s="2"/>
      <c r="FQ221" s="2"/>
      <c r="FR221" s="2"/>
      <c r="FS221" s="2"/>
      <c r="FT221" s="2"/>
      <c r="FU221" s="2"/>
      <c r="FV221" s="2"/>
      <c r="FW221" s="2"/>
      <c r="FX221" s="2"/>
      <c r="FY221" s="2"/>
      <c r="FZ221" s="2"/>
      <c r="GA221" s="2"/>
      <c r="GB221" s="2"/>
      <c r="GC221" s="2"/>
      <c r="GD221" s="2"/>
      <c r="GE221" s="2"/>
      <c r="GF221" s="2"/>
      <c r="GG221" s="2"/>
      <c r="GH221" s="2"/>
      <c r="GI221" s="2"/>
      <c r="GJ221" s="2"/>
      <c r="GK221" s="2"/>
      <c r="GL221" s="2"/>
      <c r="GM221" s="2"/>
      <c r="GN221" s="2"/>
      <c r="GO221" s="2"/>
      <c r="GP221" s="2"/>
      <c r="GQ221" s="2"/>
      <c r="GR221" s="2"/>
      <c r="GS221" s="2"/>
      <c r="GT221" s="2"/>
      <c r="GU221" s="2"/>
      <c r="GV221" s="2"/>
      <c r="GW221" s="2"/>
      <c r="GX221" s="2"/>
      <c r="GY221" s="2"/>
      <c r="GZ221" s="2"/>
      <c r="HA221" s="2"/>
      <c r="HB221" s="2"/>
      <c r="HC221" s="2"/>
      <c r="HD221" s="2"/>
      <c r="HE221" s="2"/>
      <c r="HF221" s="2"/>
      <c r="HG221" s="2"/>
      <c r="HH221" s="2"/>
      <c r="HI221" s="2"/>
      <c r="HJ221" s="2"/>
      <c r="HK221" s="2"/>
      <c r="HL221" s="2"/>
      <c r="HM221" s="2"/>
      <c r="HN221" s="2"/>
      <c r="HO221" s="2"/>
      <c r="HP221" s="2"/>
      <c r="HQ221" s="2"/>
      <c r="HR221" s="2"/>
      <c r="HS221" s="2"/>
      <c r="HT221" s="2"/>
      <c r="HU221" s="2"/>
      <c r="HV221" s="2"/>
      <c r="HW221" s="2"/>
      <c r="HX221" s="2"/>
      <c r="HY221" s="2"/>
      <c r="HZ221" s="2"/>
      <c r="IA221" s="2"/>
      <c r="IB221" s="2"/>
      <c r="IC221" s="2"/>
      <c r="IH221" s="21"/>
      <c r="II221" s="14"/>
      <c r="IJ221" s="15"/>
      <c r="IK221" s="16"/>
      <c r="IL221" s="20"/>
      <c r="IM221" s="14"/>
      <c r="IN221" s="12"/>
      <c r="IO221" s="14"/>
      <c r="IP221" s="14"/>
    </row>
    <row r="222" spans="1:250">
      <c r="A222" s="2"/>
      <c r="B222" s="2"/>
      <c r="C222" s="2"/>
      <c r="D222" s="2"/>
      <c r="E222" s="2"/>
      <c r="F222" s="2"/>
      <c r="G222" s="2"/>
      <c r="H222" s="2"/>
      <c r="I222" s="2"/>
      <c r="J222" s="2"/>
      <c r="K222" s="2"/>
      <c r="L222" s="2"/>
      <c r="M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2"/>
      <c r="FD222" s="2"/>
      <c r="FE222" s="2"/>
      <c r="FF222" s="2"/>
      <c r="FG222" s="2"/>
      <c r="FH222" s="2"/>
      <c r="FI222" s="2"/>
      <c r="FJ222" s="2"/>
      <c r="FK222" s="2"/>
      <c r="FL222" s="2"/>
      <c r="FM222" s="2"/>
      <c r="FN222" s="2"/>
      <c r="FO222" s="2"/>
      <c r="FP222" s="2"/>
      <c r="FQ222" s="2"/>
      <c r="FR222" s="2"/>
      <c r="FS222" s="2"/>
      <c r="FT222" s="2"/>
      <c r="FU222" s="2"/>
      <c r="FV222" s="2"/>
      <c r="FW222" s="2"/>
      <c r="FX222" s="2"/>
      <c r="FY222" s="2"/>
      <c r="FZ222" s="2"/>
      <c r="GA222" s="2"/>
      <c r="GB222" s="2"/>
      <c r="GC222" s="2"/>
      <c r="GD222" s="2"/>
      <c r="GE222" s="2"/>
      <c r="GF222" s="2"/>
      <c r="GG222" s="2"/>
      <c r="GH222" s="2"/>
      <c r="GI222" s="2"/>
      <c r="GJ222" s="2"/>
      <c r="GK222" s="2"/>
      <c r="GL222" s="2"/>
      <c r="GM222" s="2"/>
      <c r="GN222" s="2"/>
      <c r="GO222" s="2"/>
      <c r="GP222" s="2"/>
      <c r="GQ222" s="2"/>
      <c r="GR222" s="2"/>
      <c r="GS222" s="2"/>
      <c r="GT222" s="2"/>
      <c r="GU222" s="2"/>
      <c r="GV222" s="2"/>
      <c r="GW222" s="2"/>
      <c r="GX222" s="2"/>
      <c r="GY222" s="2"/>
      <c r="GZ222" s="2"/>
      <c r="HA222" s="2"/>
      <c r="HB222" s="2"/>
      <c r="HC222" s="2"/>
      <c r="HD222" s="2"/>
      <c r="HE222" s="2"/>
      <c r="HF222" s="2"/>
      <c r="HG222" s="2"/>
      <c r="HH222" s="2"/>
      <c r="HI222" s="2"/>
      <c r="HJ222" s="2"/>
      <c r="HK222" s="2"/>
      <c r="HL222" s="2"/>
      <c r="HM222" s="2"/>
      <c r="HN222" s="2"/>
      <c r="HO222" s="2"/>
      <c r="HP222" s="2"/>
      <c r="HQ222" s="2"/>
      <c r="HR222" s="2"/>
      <c r="HS222" s="2"/>
      <c r="HT222" s="2"/>
      <c r="HU222" s="2"/>
      <c r="HV222" s="2"/>
      <c r="HW222" s="2"/>
      <c r="HX222" s="2"/>
      <c r="HY222" s="2"/>
      <c r="HZ222" s="2"/>
      <c r="IA222" s="2"/>
      <c r="IB222" s="2"/>
      <c r="IC222" s="2"/>
      <c r="IH222" s="21"/>
      <c r="II222" s="14"/>
      <c r="IJ222" s="15"/>
      <c r="IK222" s="16"/>
      <c r="IL222" s="20"/>
      <c r="IM222" s="14"/>
      <c r="IN222" s="12"/>
      <c r="IO222" s="14"/>
      <c r="IP222" s="14"/>
    </row>
    <row r="223" spans="1:250">
      <c r="A223" s="2"/>
      <c r="B223" s="2"/>
      <c r="C223" s="2"/>
      <c r="D223" s="2"/>
      <c r="E223" s="2"/>
      <c r="F223" s="2"/>
      <c r="G223" s="2"/>
      <c r="H223" s="2"/>
      <c r="I223" s="2"/>
      <c r="J223" s="2"/>
      <c r="K223" s="2"/>
      <c r="L223" s="2"/>
      <c r="M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2"/>
      <c r="FD223" s="2"/>
      <c r="FE223" s="2"/>
      <c r="FF223" s="2"/>
      <c r="FG223" s="2"/>
      <c r="FH223" s="2"/>
      <c r="FI223" s="2"/>
      <c r="FJ223" s="2"/>
      <c r="FK223" s="2"/>
      <c r="FL223" s="2"/>
      <c r="FM223" s="2"/>
      <c r="FN223" s="2"/>
      <c r="FO223" s="2"/>
      <c r="FP223" s="2"/>
      <c r="FQ223" s="2"/>
      <c r="FR223" s="2"/>
      <c r="FS223" s="2"/>
      <c r="FT223" s="2"/>
      <c r="FU223" s="2"/>
      <c r="FV223" s="2"/>
      <c r="FW223" s="2"/>
      <c r="FX223" s="2"/>
      <c r="FY223" s="2"/>
      <c r="FZ223" s="2"/>
      <c r="GA223" s="2"/>
      <c r="GB223" s="2"/>
      <c r="GC223" s="2"/>
      <c r="GD223" s="2"/>
      <c r="GE223" s="2"/>
      <c r="GF223" s="2"/>
      <c r="GG223" s="2"/>
      <c r="GH223" s="2"/>
      <c r="GI223" s="2"/>
      <c r="GJ223" s="2"/>
      <c r="GK223" s="2"/>
      <c r="GL223" s="2"/>
      <c r="GM223" s="2"/>
      <c r="GN223" s="2"/>
      <c r="GO223" s="2"/>
      <c r="GP223" s="2"/>
      <c r="GQ223" s="2"/>
      <c r="GR223" s="2"/>
      <c r="GS223" s="2"/>
      <c r="GT223" s="2"/>
      <c r="GU223" s="2"/>
      <c r="GV223" s="2"/>
      <c r="GW223" s="2"/>
      <c r="GX223" s="2"/>
      <c r="GY223" s="2"/>
      <c r="GZ223" s="2"/>
      <c r="HA223" s="2"/>
      <c r="HB223" s="2"/>
      <c r="HC223" s="2"/>
      <c r="HD223" s="2"/>
      <c r="HE223" s="2"/>
      <c r="HF223" s="2"/>
      <c r="HG223" s="2"/>
      <c r="HH223" s="2"/>
      <c r="HI223" s="2"/>
      <c r="HJ223" s="2"/>
      <c r="HK223" s="2"/>
      <c r="HL223" s="2"/>
      <c r="HM223" s="2"/>
      <c r="HN223" s="2"/>
      <c r="HO223" s="2"/>
      <c r="HP223" s="2"/>
      <c r="HQ223" s="2"/>
      <c r="HR223" s="2"/>
      <c r="HS223" s="2"/>
      <c r="HT223" s="2"/>
      <c r="HU223" s="2"/>
      <c r="HV223" s="2"/>
      <c r="HW223" s="2"/>
      <c r="HX223" s="2"/>
      <c r="HY223" s="2"/>
      <c r="HZ223" s="2"/>
      <c r="IA223" s="2"/>
      <c r="IB223" s="2"/>
      <c r="IC223" s="2"/>
      <c r="IH223" s="21"/>
      <c r="II223" s="14"/>
      <c r="IJ223" s="15"/>
      <c r="IK223" s="16"/>
      <c r="IL223" s="20"/>
      <c r="IM223" s="14"/>
      <c r="IN223" s="12"/>
      <c r="IO223" s="14"/>
      <c r="IP223" s="14"/>
    </row>
    <row r="224" spans="1:250">
      <c r="A224" s="2"/>
      <c r="B224" s="2"/>
      <c r="C224" s="2"/>
      <c r="D224" s="2"/>
      <c r="E224" s="2"/>
      <c r="F224" s="2"/>
      <c r="G224" s="2"/>
      <c r="H224" s="2"/>
      <c r="I224" s="2"/>
      <c r="J224" s="2"/>
      <c r="K224" s="2"/>
      <c r="L224" s="2"/>
      <c r="M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2"/>
      <c r="FD224" s="2"/>
      <c r="FE224" s="2"/>
      <c r="FF224" s="2"/>
      <c r="FG224" s="2"/>
      <c r="FH224" s="2"/>
      <c r="FI224" s="2"/>
      <c r="FJ224" s="2"/>
      <c r="FK224" s="2"/>
      <c r="FL224" s="2"/>
      <c r="FM224" s="2"/>
      <c r="FN224" s="2"/>
      <c r="FO224" s="2"/>
      <c r="FP224" s="2"/>
      <c r="FQ224" s="2"/>
      <c r="FR224" s="2"/>
      <c r="FS224" s="2"/>
      <c r="FT224" s="2"/>
      <c r="FU224" s="2"/>
      <c r="FV224" s="2"/>
      <c r="FW224" s="2"/>
      <c r="FX224" s="2"/>
      <c r="FY224" s="2"/>
      <c r="FZ224" s="2"/>
      <c r="GA224" s="2"/>
      <c r="GB224" s="2"/>
      <c r="GC224" s="2"/>
      <c r="GD224" s="2"/>
      <c r="GE224" s="2"/>
      <c r="GF224" s="2"/>
      <c r="GG224" s="2"/>
      <c r="GH224" s="2"/>
      <c r="GI224" s="2"/>
      <c r="GJ224" s="2"/>
      <c r="GK224" s="2"/>
      <c r="GL224" s="2"/>
      <c r="GM224" s="2"/>
      <c r="GN224" s="2"/>
      <c r="GO224" s="2"/>
      <c r="GP224" s="2"/>
      <c r="GQ224" s="2"/>
      <c r="GR224" s="2"/>
      <c r="GS224" s="2"/>
      <c r="GT224" s="2"/>
      <c r="GU224" s="2"/>
      <c r="GV224" s="2"/>
      <c r="GW224" s="2"/>
      <c r="GX224" s="2"/>
      <c r="GY224" s="2"/>
      <c r="GZ224" s="2"/>
      <c r="HA224" s="2"/>
      <c r="HB224" s="2"/>
      <c r="HC224" s="2"/>
      <c r="HD224" s="2"/>
      <c r="HE224" s="2"/>
      <c r="HF224" s="2"/>
      <c r="HG224" s="2"/>
      <c r="HH224" s="2"/>
      <c r="HI224" s="2"/>
      <c r="HJ224" s="2"/>
      <c r="HK224" s="2"/>
      <c r="HL224" s="2"/>
      <c r="HM224" s="2"/>
      <c r="HN224" s="2"/>
      <c r="HO224" s="2"/>
      <c r="HP224" s="2"/>
      <c r="HQ224" s="2"/>
      <c r="HR224" s="2"/>
      <c r="HS224" s="2"/>
      <c r="HT224" s="2"/>
      <c r="HU224" s="2"/>
      <c r="HV224" s="2"/>
      <c r="HW224" s="2"/>
      <c r="HX224" s="2"/>
      <c r="HY224" s="2"/>
      <c r="HZ224" s="2"/>
      <c r="IA224" s="2"/>
      <c r="IB224" s="2"/>
      <c r="IC224" s="2"/>
      <c r="IH224" s="21"/>
      <c r="II224" s="14"/>
      <c r="IJ224" s="15"/>
      <c r="IK224" s="16"/>
      <c r="IL224" s="20"/>
      <c r="IM224" s="14"/>
      <c r="IN224" s="12"/>
      <c r="IO224" s="14"/>
      <c r="IP224" s="14"/>
    </row>
    <row r="225" spans="1:250">
      <c r="A225" s="2"/>
      <c r="B225" s="2"/>
      <c r="C225" s="2"/>
      <c r="D225" s="2"/>
      <c r="E225" s="2"/>
      <c r="F225" s="2"/>
      <c r="G225" s="2"/>
      <c r="H225" s="2"/>
      <c r="I225" s="2"/>
      <c r="J225" s="2"/>
      <c r="K225" s="2"/>
      <c r="L225" s="2"/>
      <c r="M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2"/>
      <c r="FD225" s="2"/>
      <c r="FE225" s="2"/>
      <c r="FF225" s="2"/>
      <c r="FG225" s="2"/>
      <c r="FH225" s="2"/>
      <c r="FI225" s="2"/>
      <c r="FJ225" s="2"/>
      <c r="FK225" s="2"/>
      <c r="FL225" s="2"/>
      <c r="FM225" s="2"/>
      <c r="FN225" s="2"/>
      <c r="FO225" s="2"/>
      <c r="FP225" s="2"/>
      <c r="FQ225" s="2"/>
      <c r="FR225" s="2"/>
      <c r="FS225" s="2"/>
      <c r="FT225" s="2"/>
      <c r="FU225" s="2"/>
      <c r="FV225" s="2"/>
      <c r="FW225" s="2"/>
      <c r="FX225" s="2"/>
      <c r="FY225" s="2"/>
      <c r="FZ225" s="2"/>
      <c r="GA225" s="2"/>
      <c r="GB225" s="2"/>
      <c r="GC225" s="2"/>
      <c r="GD225" s="2"/>
      <c r="GE225" s="2"/>
      <c r="GF225" s="2"/>
      <c r="GG225" s="2"/>
      <c r="GH225" s="2"/>
      <c r="GI225" s="2"/>
      <c r="GJ225" s="2"/>
      <c r="GK225" s="2"/>
      <c r="GL225" s="2"/>
      <c r="GM225" s="2"/>
      <c r="GN225" s="2"/>
      <c r="GO225" s="2"/>
      <c r="GP225" s="2"/>
      <c r="GQ225" s="2"/>
      <c r="GR225" s="2"/>
      <c r="GS225" s="2"/>
      <c r="GT225" s="2"/>
      <c r="GU225" s="2"/>
      <c r="GV225" s="2"/>
      <c r="GW225" s="2"/>
      <c r="GX225" s="2"/>
      <c r="GY225" s="2"/>
      <c r="GZ225" s="2"/>
      <c r="HA225" s="2"/>
      <c r="HB225" s="2"/>
      <c r="HC225" s="2"/>
      <c r="HD225" s="2"/>
      <c r="HE225" s="2"/>
      <c r="HF225" s="2"/>
      <c r="HG225" s="2"/>
      <c r="HH225" s="2"/>
      <c r="HI225" s="2"/>
      <c r="HJ225" s="2"/>
      <c r="HK225" s="2"/>
      <c r="HL225" s="2"/>
      <c r="HM225" s="2"/>
      <c r="HN225" s="2"/>
      <c r="HO225" s="2"/>
      <c r="HP225" s="2"/>
      <c r="HQ225" s="2"/>
      <c r="HR225" s="2"/>
      <c r="HS225" s="2"/>
      <c r="HT225" s="2"/>
      <c r="HU225" s="2"/>
      <c r="HV225" s="2"/>
      <c r="HW225" s="2"/>
      <c r="HX225" s="2"/>
      <c r="HY225" s="2"/>
      <c r="HZ225" s="2"/>
      <c r="IA225" s="2"/>
      <c r="IB225" s="2"/>
      <c r="IC225" s="2"/>
      <c r="IH225" s="21"/>
      <c r="II225" s="14"/>
      <c r="IJ225" s="15"/>
      <c r="IK225" s="16"/>
      <c r="IL225" s="20"/>
      <c r="IM225" s="14"/>
      <c r="IN225" s="12"/>
      <c r="IO225" s="14"/>
      <c r="IP225" s="14"/>
    </row>
    <row r="226" spans="1:250">
      <c r="A226" s="2"/>
      <c r="B226" s="2"/>
      <c r="C226" s="2"/>
      <c r="D226" s="2"/>
      <c r="E226" s="2"/>
      <c r="F226" s="2"/>
      <c r="G226" s="2"/>
      <c r="H226" s="2"/>
      <c r="I226" s="2"/>
      <c r="J226" s="2"/>
      <c r="K226" s="2"/>
      <c r="L226" s="2"/>
      <c r="M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2"/>
      <c r="FD226" s="2"/>
      <c r="FE226" s="2"/>
      <c r="FF226" s="2"/>
      <c r="FG226" s="2"/>
      <c r="FH226" s="2"/>
      <c r="FI226" s="2"/>
      <c r="FJ226" s="2"/>
      <c r="FK226" s="2"/>
      <c r="FL226" s="2"/>
      <c r="FM226" s="2"/>
      <c r="FN226" s="2"/>
      <c r="FO226" s="2"/>
      <c r="FP226" s="2"/>
      <c r="FQ226" s="2"/>
      <c r="FR226" s="2"/>
      <c r="FS226" s="2"/>
      <c r="FT226" s="2"/>
      <c r="FU226" s="2"/>
      <c r="FV226" s="2"/>
      <c r="FW226" s="2"/>
      <c r="FX226" s="2"/>
      <c r="FY226" s="2"/>
      <c r="FZ226" s="2"/>
      <c r="GA226" s="2"/>
      <c r="GB226" s="2"/>
      <c r="GC226" s="2"/>
      <c r="GD226" s="2"/>
      <c r="GE226" s="2"/>
      <c r="GF226" s="2"/>
      <c r="GG226" s="2"/>
      <c r="GH226" s="2"/>
      <c r="GI226" s="2"/>
      <c r="GJ226" s="2"/>
      <c r="GK226" s="2"/>
      <c r="GL226" s="2"/>
      <c r="GM226" s="2"/>
      <c r="GN226" s="2"/>
      <c r="GO226" s="2"/>
      <c r="GP226" s="2"/>
      <c r="GQ226" s="2"/>
      <c r="GR226" s="2"/>
      <c r="GS226" s="2"/>
      <c r="GT226" s="2"/>
      <c r="GU226" s="2"/>
      <c r="GV226" s="2"/>
      <c r="GW226" s="2"/>
      <c r="GX226" s="2"/>
      <c r="GY226" s="2"/>
      <c r="GZ226" s="2"/>
      <c r="HA226" s="2"/>
      <c r="HB226" s="2"/>
      <c r="HC226" s="2"/>
      <c r="HD226" s="2"/>
      <c r="HE226" s="2"/>
      <c r="HF226" s="2"/>
      <c r="HG226" s="2"/>
      <c r="HH226" s="2"/>
      <c r="HI226" s="2"/>
      <c r="HJ226" s="2"/>
      <c r="HK226" s="2"/>
      <c r="HL226" s="2"/>
      <c r="HM226" s="2"/>
      <c r="HN226" s="2"/>
      <c r="HO226" s="2"/>
      <c r="HP226" s="2"/>
      <c r="HQ226" s="2"/>
      <c r="HR226" s="2"/>
      <c r="HS226" s="2"/>
      <c r="HT226" s="2"/>
      <c r="HU226" s="2"/>
      <c r="HV226" s="2"/>
      <c r="HW226" s="2"/>
      <c r="HX226" s="2"/>
      <c r="HY226" s="2"/>
      <c r="HZ226" s="2"/>
      <c r="IA226" s="2"/>
      <c r="IB226" s="2"/>
      <c r="IC226" s="2"/>
      <c r="IH226" s="21"/>
      <c r="II226" s="14"/>
      <c r="IJ226" s="15"/>
      <c r="IK226" s="16"/>
      <c r="IL226" s="20"/>
      <c r="IM226" s="14"/>
      <c r="IN226" s="12"/>
      <c r="IO226" s="14"/>
      <c r="IP226" s="14"/>
    </row>
    <row r="227" spans="1:250">
      <c r="A227" s="2"/>
      <c r="B227" s="2"/>
      <c r="C227" s="2"/>
      <c r="D227" s="2"/>
      <c r="E227" s="2"/>
      <c r="F227" s="2"/>
      <c r="G227" s="2"/>
      <c r="H227" s="2"/>
      <c r="I227" s="2"/>
      <c r="J227" s="2"/>
      <c r="K227" s="2"/>
      <c r="L227" s="2"/>
      <c r="M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2"/>
      <c r="FD227" s="2"/>
      <c r="FE227" s="2"/>
      <c r="FF227" s="2"/>
      <c r="FG227" s="2"/>
      <c r="FH227" s="2"/>
      <c r="FI227" s="2"/>
      <c r="FJ227" s="2"/>
      <c r="FK227" s="2"/>
      <c r="FL227" s="2"/>
      <c r="FM227" s="2"/>
      <c r="FN227" s="2"/>
      <c r="FO227" s="2"/>
      <c r="FP227" s="2"/>
      <c r="FQ227" s="2"/>
      <c r="FR227" s="2"/>
      <c r="FS227" s="2"/>
      <c r="FT227" s="2"/>
      <c r="FU227" s="2"/>
      <c r="FV227" s="2"/>
      <c r="FW227" s="2"/>
      <c r="FX227" s="2"/>
      <c r="FY227" s="2"/>
      <c r="FZ227" s="2"/>
      <c r="GA227" s="2"/>
      <c r="GB227" s="2"/>
      <c r="GC227" s="2"/>
      <c r="GD227" s="2"/>
      <c r="GE227" s="2"/>
      <c r="GF227" s="2"/>
      <c r="GG227" s="2"/>
      <c r="GH227" s="2"/>
      <c r="GI227" s="2"/>
      <c r="GJ227" s="2"/>
      <c r="GK227" s="2"/>
      <c r="GL227" s="2"/>
      <c r="GM227" s="2"/>
      <c r="GN227" s="2"/>
      <c r="GO227" s="2"/>
      <c r="GP227" s="2"/>
      <c r="GQ227" s="2"/>
      <c r="GR227" s="2"/>
      <c r="GS227" s="2"/>
      <c r="GT227" s="2"/>
      <c r="GU227" s="2"/>
      <c r="GV227" s="2"/>
      <c r="GW227" s="2"/>
      <c r="GX227" s="2"/>
      <c r="GY227" s="2"/>
      <c r="GZ227" s="2"/>
      <c r="HA227" s="2"/>
      <c r="HB227" s="2"/>
      <c r="HC227" s="2"/>
      <c r="HD227" s="2"/>
      <c r="HE227" s="2"/>
      <c r="HF227" s="2"/>
      <c r="HG227" s="2"/>
      <c r="HH227" s="2"/>
      <c r="HI227" s="2"/>
      <c r="HJ227" s="2"/>
      <c r="HK227" s="2"/>
      <c r="HL227" s="2"/>
      <c r="HM227" s="2"/>
      <c r="HN227" s="2"/>
      <c r="HO227" s="2"/>
      <c r="HP227" s="2"/>
      <c r="HQ227" s="2"/>
      <c r="HR227" s="2"/>
      <c r="HS227" s="2"/>
      <c r="HT227" s="2"/>
      <c r="HU227" s="2"/>
      <c r="HV227" s="2"/>
      <c r="HW227" s="2"/>
      <c r="HX227" s="2"/>
      <c r="HY227" s="2"/>
      <c r="HZ227" s="2"/>
      <c r="IA227" s="2"/>
      <c r="IB227" s="2"/>
      <c r="IC227" s="2"/>
      <c r="IH227" s="21"/>
      <c r="II227" s="14"/>
      <c r="IJ227" s="15"/>
      <c r="IK227" s="16"/>
      <c r="IL227" s="20"/>
      <c r="IM227" s="14"/>
      <c r="IN227" s="12"/>
      <c r="IO227" s="14"/>
      <c r="IP227" s="14"/>
    </row>
    <row r="228" spans="1:250">
      <c r="A228" s="2"/>
      <c r="B228" s="2"/>
      <c r="C228" s="2"/>
      <c r="D228" s="2"/>
      <c r="E228" s="2"/>
      <c r="F228" s="2"/>
      <c r="G228" s="2"/>
      <c r="H228" s="2"/>
      <c r="I228" s="2"/>
      <c r="J228" s="2"/>
      <c r="K228" s="2"/>
      <c r="L228" s="2"/>
      <c r="M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2"/>
      <c r="FD228" s="2"/>
      <c r="FE228" s="2"/>
      <c r="FF228" s="2"/>
      <c r="FG228" s="2"/>
      <c r="FH228" s="2"/>
      <c r="FI228" s="2"/>
      <c r="FJ228" s="2"/>
      <c r="FK228" s="2"/>
      <c r="FL228" s="2"/>
      <c r="FM228" s="2"/>
      <c r="FN228" s="2"/>
      <c r="FO228" s="2"/>
      <c r="FP228" s="2"/>
      <c r="FQ228" s="2"/>
      <c r="FR228" s="2"/>
      <c r="FS228" s="2"/>
      <c r="FT228" s="2"/>
      <c r="FU228" s="2"/>
      <c r="FV228" s="2"/>
      <c r="FW228" s="2"/>
      <c r="FX228" s="2"/>
      <c r="FY228" s="2"/>
      <c r="FZ228" s="2"/>
      <c r="GA228" s="2"/>
      <c r="GB228" s="2"/>
      <c r="GC228" s="2"/>
      <c r="GD228" s="2"/>
      <c r="GE228" s="2"/>
      <c r="GF228" s="2"/>
      <c r="GG228" s="2"/>
      <c r="GH228" s="2"/>
      <c r="GI228" s="2"/>
      <c r="GJ228" s="2"/>
      <c r="GK228" s="2"/>
      <c r="GL228" s="2"/>
      <c r="GM228" s="2"/>
      <c r="GN228" s="2"/>
      <c r="GO228" s="2"/>
      <c r="GP228" s="2"/>
      <c r="GQ228" s="2"/>
      <c r="GR228" s="2"/>
      <c r="GS228" s="2"/>
      <c r="GT228" s="2"/>
      <c r="GU228" s="2"/>
      <c r="GV228" s="2"/>
      <c r="GW228" s="2"/>
      <c r="GX228" s="2"/>
      <c r="GY228" s="2"/>
      <c r="GZ228" s="2"/>
      <c r="HA228" s="2"/>
      <c r="HB228" s="2"/>
      <c r="HC228" s="2"/>
      <c r="HD228" s="2"/>
      <c r="HE228" s="2"/>
      <c r="HF228" s="2"/>
      <c r="HG228" s="2"/>
      <c r="HH228" s="2"/>
      <c r="HI228" s="2"/>
      <c r="HJ228" s="2"/>
      <c r="HK228" s="2"/>
      <c r="HL228" s="2"/>
      <c r="HM228" s="2"/>
      <c r="HN228" s="2"/>
      <c r="HO228" s="2"/>
      <c r="HP228" s="2"/>
      <c r="HQ228" s="2"/>
      <c r="HR228" s="2"/>
      <c r="HS228" s="2"/>
      <c r="HT228" s="2"/>
      <c r="HU228" s="2"/>
      <c r="HV228" s="2"/>
      <c r="HW228" s="2"/>
      <c r="HX228" s="2"/>
      <c r="HY228" s="2"/>
      <c r="HZ228" s="2"/>
      <c r="IA228" s="2"/>
      <c r="IB228" s="2"/>
      <c r="IC228" s="2"/>
      <c r="IH228" s="21"/>
      <c r="II228" s="14"/>
      <c r="IJ228" s="15"/>
      <c r="IK228" s="16"/>
      <c r="IL228" s="20"/>
      <c r="IM228" s="14"/>
      <c r="IN228" s="12"/>
      <c r="IO228" s="14"/>
      <c r="IP228" s="14"/>
    </row>
    <row r="229" spans="1:250">
      <c r="A229" s="2"/>
      <c r="B229" s="2"/>
      <c r="C229" s="2"/>
      <c r="D229" s="2"/>
      <c r="E229" s="2"/>
      <c r="F229" s="2"/>
      <c r="G229" s="2"/>
      <c r="H229" s="2"/>
      <c r="I229" s="2"/>
      <c r="J229" s="2"/>
      <c r="K229" s="2"/>
      <c r="L229" s="2"/>
      <c r="M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2"/>
      <c r="FD229" s="2"/>
      <c r="FE229" s="2"/>
      <c r="FF229" s="2"/>
      <c r="FG229" s="2"/>
      <c r="FH229" s="2"/>
      <c r="FI229" s="2"/>
      <c r="FJ229" s="2"/>
      <c r="FK229" s="2"/>
      <c r="FL229" s="2"/>
      <c r="FM229" s="2"/>
      <c r="FN229" s="2"/>
      <c r="FO229" s="2"/>
      <c r="FP229" s="2"/>
      <c r="FQ229" s="2"/>
      <c r="FR229" s="2"/>
      <c r="FS229" s="2"/>
      <c r="FT229" s="2"/>
      <c r="FU229" s="2"/>
      <c r="FV229" s="2"/>
      <c r="FW229" s="2"/>
      <c r="FX229" s="2"/>
      <c r="FY229" s="2"/>
      <c r="FZ229" s="2"/>
      <c r="GA229" s="2"/>
      <c r="GB229" s="2"/>
      <c r="GC229" s="2"/>
      <c r="GD229" s="2"/>
      <c r="GE229" s="2"/>
      <c r="GF229" s="2"/>
      <c r="GG229" s="2"/>
      <c r="GH229" s="2"/>
      <c r="GI229" s="2"/>
      <c r="GJ229" s="2"/>
      <c r="GK229" s="2"/>
      <c r="GL229" s="2"/>
      <c r="GM229" s="2"/>
      <c r="GN229" s="2"/>
      <c r="GO229" s="2"/>
      <c r="GP229" s="2"/>
      <c r="GQ229" s="2"/>
      <c r="GR229" s="2"/>
      <c r="GS229" s="2"/>
      <c r="GT229" s="2"/>
      <c r="GU229" s="2"/>
      <c r="GV229" s="2"/>
      <c r="GW229" s="2"/>
      <c r="GX229" s="2"/>
      <c r="GY229" s="2"/>
      <c r="GZ229" s="2"/>
      <c r="HA229" s="2"/>
      <c r="HB229" s="2"/>
      <c r="HC229" s="2"/>
      <c r="HD229" s="2"/>
      <c r="HE229" s="2"/>
      <c r="HF229" s="2"/>
      <c r="HG229" s="2"/>
      <c r="HH229" s="2"/>
      <c r="HI229" s="2"/>
      <c r="HJ229" s="2"/>
      <c r="HK229" s="2"/>
      <c r="HL229" s="2"/>
      <c r="HM229" s="2"/>
      <c r="HN229" s="2"/>
      <c r="HO229" s="2"/>
      <c r="HP229" s="2"/>
      <c r="HQ229" s="2"/>
      <c r="HR229" s="2"/>
      <c r="HS229" s="2"/>
      <c r="HT229" s="2"/>
      <c r="HU229" s="2"/>
      <c r="HV229" s="2"/>
      <c r="HW229" s="2"/>
      <c r="HX229" s="2"/>
      <c r="HY229" s="2"/>
      <c r="HZ229" s="2"/>
      <c r="IA229" s="2"/>
      <c r="IB229" s="2"/>
      <c r="IC229" s="2"/>
      <c r="IH229" s="21"/>
      <c r="II229" s="14"/>
      <c r="IJ229" s="15"/>
      <c r="IK229" s="16"/>
      <c r="IL229" s="20"/>
      <c r="IM229" s="14"/>
      <c r="IN229" s="12"/>
      <c r="IO229" s="14"/>
      <c r="IP229" s="14"/>
    </row>
    <row r="230" spans="1:250">
      <c r="A230" s="2"/>
      <c r="B230" s="2"/>
      <c r="C230" s="2"/>
      <c r="D230" s="2"/>
      <c r="E230" s="2"/>
      <c r="F230" s="2"/>
      <c r="G230" s="2"/>
      <c r="H230" s="2"/>
      <c r="I230" s="2"/>
      <c r="J230" s="2"/>
      <c r="K230" s="2"/>
      <c r="L230" s="2"/>
      <c r="M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2"/>
      <c r="FD230" s="2"/>
      <c r="FE230" s="2"/>
      <c r="FF230" s="2"/>
      <c r="FG230" s="2"/>
      <c r="FH230" s="2"/>
      <c r="FI230" s="2"/>
      <c r="FJ230" s="2"/>
      <c r="FK230" s="2"/>
      <c r="FL230" s="2"/>
      <c r="FM230" s="2"/>
      <c r="FN230" s="2"/>
      <c r="FO230" s="2"/>
      <c r="FP230" s="2"/>
      <c r="FQ230" s="2"/>
      <c r="FR230" s="2"/>
      <c r="FS230" s="2"/>
      <c r="FT230" s="2"/>
      <c r="FU230" s="2"/>
      <c r="FV230" s="2"/>
      <c r="FW230" s="2"/>
      <c r="FX230" s="2"/>
      <c r="FY230" s="2"/>
      <c r="FZ230" s="2"/>
      <c r="GA230" s="2"/>
      <c r="GB230" s="2"/>
      <c r="GC230" s="2"/>
      <c r="GD230" s="2"/>
      <c r="GE230" s="2"/>
      <c r="GF230" s="2"/>
      <c r="GG230" s="2"/>
      <c r="GH230" s="2"/>
      <c r="GI230" s="2"/>
      <c r="GJ230" s="2"/>
      <c r="GK230" s="2"/>
      <c r="GL230" s="2"/>
      <c r="GM230" s="2"/>
      <c r="GN230" s="2"/>
      <c r="GO230" s="2"/>
      <c r="GP230" s="2"/>
      <c r="GQ230" s="2"/>
      <c r="GR230" s="2"/>
      <c r="GS230" s="2"/>
      <c r="GT230" s="2"/>
      <c r="GU230" s="2"/>
      <c r="GV230" s="2"/>
      <c r="GW230" s="2"/>
      <c r="GX230" s="2"/>
      <c r="GY230" s="2"/>
      <c r="GZ230" s="2"/>
      <c r="HA230" s="2"/>
      <c r="HB230" s="2"/>
      <c r="HC230" s="2"/>
      <c r="HD230" s="2"/>
      <c r="HE230" s="2"/>
      <c r="HF230" s="2"/>
      <c r="HG230" s="2"/>
      <c r="HH230" s="2"/>
      <c r="HI230" s="2"/>
      <c r="HJ230" s="2"/>
      <c r="HK230" s="2"/>
      <c r="HL230" s="2"/>
      <c r="HM230" s="2"/>
      <c r="HN230" s="2"/>
      <c r="HO230" s="2"/>
      <c r="HP230" s="2"/>
      <c r="HQ230" s="2"/>
      <c r="HR230" s="2"/>
      <c r="HS230" s="2"/>
      <c r="HT230" s="2"/>
      <c r="HU230" s="2"/>
      <c r="HV230" s="2"/>
      <c r="HW230" s="2"/>
      <c r="HX230" s="2"/>
      <c r="HY230" s="2"/>
      <c r="HZ230" s="2"/>
      <c r="IA230" s="2"/>
      <c r="IB230" s="2"/>
      <c r="IC230" s="2"/>
      <c r="IH230" s="21"/>
      <c r="II230" s="14"/>
      <c r="IJ230" s="15"/>
      <c r="IK230" s="16"/>
      <c r="IL230" s="20"/>
      <c r="IM230" s="14"/>
      <c r="IN230" s="12"/>
      <c r="IO230" s="14"/>
      <c r="IP230" s="14"/>
    </row>
    <row r="231" spans="1:250">
      <c r="A231" s="2"/>
      <c r="B231" s="2"/>
      <c r="C231" s="2"/>
      <c r="D231" s="2"/>
      <c r="E231" s="2"/>
      <c r="F231" s="2"/>
      <c r="G231" s="2"/>
      <c r="H231" s="2"/>
      <c r="I231" s="2"/>
      <c r="J231" s="2"/>
      <c r="K231" s="2"/>
      <c r="L231" s="2"/>
      <c r="M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2"/>
      <c r="FD231" s="2"/>
      <c r="FE231" s="2"/>
      <c r="FF231" s="2"/>
      <c r="FG231" s="2"/>
      <c r="FH231" s="2"/>
      <c r="FI231" s="2"/>
      <c r="FJ231" s="2"/>
      <c r="FK231" s="2"/>
      <c r="FL231" s="2"/>
      <c r="FM231" s="2"/>
      <c r="FN231" s="2"/>
      <c r="FO231" s="2"/>
      <c r="FP231" s="2"/>
      <c r="FQ231" s="2"/>
      <c r="FR231" s="2"/>
      <c r="FS231" s="2"/>
      <c r="FT231" s="2"/>
      <c r="FU231" s="2"/>
      <c r="FV231" s="2"/>
      <c r="FW231" s="2"/>
      <c r="FX231" s="2"/>
      <c r="FY231" s="2"/>
      <c r="FZ231" s="2"/>
      <c r="GA231" s="2"/>
      <c r="GB231" s="2"/>
      <c r="GC231" s="2"/>
      <c r="GD231" s="2"/>
      <c r="GE231" s="2"/>
      <c r="GF231" s="2"/>
      <c r="GG231" s="2"/>
      <c r="GH231" s="2"/>
      <c r="GI231" s="2"/>
      <c r="GJ231" s="2"/>
      <c r="GK231" s="2"/>
      <c r="GL231" s="2"/>
      <c r="GM231" s="2"/>
      <c r="GN231" s="2"/>
      <c r="GO231" s="2"/>
      <c r="GP231" s="2"/>
      <c r="GQ231" s="2"/>
      <c r="GR231" s="2"/>
      <c r="GS231" s="2"/>
      <c r="GT231" s="2"/>
      <c r="GU231" s="2"/>
      <c r="GV231" s="2"/>
      <c r="GW231" s="2"/>
      <c r="GX231" s="2"/>
      <c r="GY231" s="2"/>
      <c r="GZ231" s="2"/>
      <c r="HA231" s="2"/>
      <c r="HB231" s="2"/>
      <c r="HC231" s="2"/>
      <c r="HD231" s="2"/>
      <c r="HE231" s="2"/>
      <c r="HF231" s="2"/>
      <c r="HG231" s="2"/>
      <c r="HH231" s="2"/>
      <c r="HI231" s="2"/>
      <c r="HJ231" s="2"/>
      <c r="HK231" s="2"/>
      <c r="HL231" s="2"/>
      <c r="HM231" s="2"/>
      <c r="HN231" s="2"/>
      <c r="HO231" s="2"/>
      <c r="HP231" s="2"/>
      <c r="HQ231" s="2"/>
      <c r="HR231" s="2"/>
      <c r="HS231" s="2"/>
      <c r="HT231" s="2"/>
      <c r="HU231" s="2"/>
      <c r="HV231" s="2"/>
      <c r="HW231" s="2"/>
      <c r="HX231" s="2"/>
      <c r="HY231" s="2"/>
      <c r="HZ231" s="2"/>
      <c r="IA231" s="2"/>
      <c r="IB231" s="2"/>
      <c r="IC231" s="2"/>
      <c r="IH231" s="21"/>
      <c r="II231" s="14"/>
      <c r="IJ231" s="15"/>
      <c r="IK231" s="16"/>
      <c r="IL231" s="20"/>
      <c r="IM231" s="14"/>
      <c r="IN231" s="12"/>
      <c r="IO231" s="14"/>
      <c r="IP231" s="14"/>
    </row>
    <row r="232" spans="1:250">
      <c r="A232" s="2"/>
      <c r="B232" s="2"/>
      <c r="C232" s="2"/>
      <c r="D232" s="2"/>
      <c r="E232" s="2"/>
      <c r="F232" s="2"/>
      <c r="G232" s="2"/>
      <c r="H232" s="2"/>
      <c r="I232" s="2"/>
      <c r="J232" s="2"/>
      <c r="K232" s="2"/>
      <c r="L232" s="2"/>
      <c r="M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2"/>
      <c r="FD232" s="2"/>
      <c r="FE232" s="2"/>
      <c r="FF232" s="2"/>
      <c r="FG232" s="2"/>
      <c r="FH232" s="2"/>
      <c r="FI232" s="2"/>
      <c r="FJ232" s="2"/>
      <c r="FK232" s="2"/>
      <c r="FL232" s="2"/>
      <c r="FM232" s="2"/>
      <c r="FN232" s="2"/>
      <c r="FO232" s="2"/>
      <c r="FP232" s="2"/>
      <c r="FQ232" s="2"/>
      <c r="FR232" s="2"/>
      <c r="FS232" s="2"/>
      <c r="FT232" s="2"/>
      <c r="FU232" s="2"/>
      <c r="FV232" s="2"/>
      <c r="FW232" s="2"/>
      <c r="FX232" s="2"/>
      <c r="FY232" s="2"/>
      <c r="FZ232" s="2"/>
      <c r="GA232" s="2"/>
      <c r="GB232" s="2"/>
      <c r="GC232" s="2"/>
      <c r="GD232" s="2"/>
      <c r="GE232" s="2"/>
      <c r="GF232" s="2"/>
      <c r="GG232" s="2"/>
      <c r="GH232" s="2"/>
      <c r="GI232" s="2"/>
      <c r="GJ232" s="2"/>
      <c r="GK232" s="2"/>
      <c r="GL232" s="2"/>
      <c r="GM232" s="2"/>
      <c r="GN232" s="2"/>
      <c r="GO232" s="2"/>
      <c r="GP232" s="2"/>
      <c r="GQ232" s="2"/>
      <c r="GR232" s="2"/>
      <c r="GS232" s="2"/>
      <c r="GT232" s="2"/>
      <c r="GU232" s="2"/>
      <c r="GV232" s="2"/>
      <c r="GW232" s="2"/>
      <c r="GX232" s="2"/>
      <c r="GY232" s="2"/>
      <c r="GZ232" s="2"/>
      <c r="HA232" s="2"/>
      <c r="HB232" s="2"/>
      <c r="HC232" s="2"/>
      <c r="HD232" s="2"/>
      <c r="HE232" s="2"/>
      <c r="HF232" s="2"/>
      <c r="HG232" s="2"/>
      <c r="HH232" s="2"/>
      <c r="HI232" s="2"/>
      <c r="HJ232" s="2"/>
      <c r="HK232" s="2"/>
      <c r="HL232" s="2"/>
      <c r="HM232" s="2"/>
      <c r="HN232" s="2"/>
      <c r="HO232" s="2"/>
      <c r="HP232" s="2"/>
      <c r="HQ232" s="2"/>
      <c r="HR232" s="2"/>
      <c r="HS232" s="2"/>
      <c r="HT232" s="2"/>
      <c r="HU232" s="2"/>
      <c r="HV232" s="2"/>
      <c r="HW232" s="2"/>
      <c r="HX232" s="2"/>
      <c r="HY232" s="2"/>
      <c r="HZ232" s="2"/>
      <c r="IA232" s="2"/>
      <c r="IB232" s="2"/>
      <c r="IC232" s="2"/>
      <c r="IH232" s="21"/>
      <c r="II232" s="14"/>
      <c r="IJ232" s="15"/>
      <c r="IK232" s="16"/>
      <c r="IL232" s="20"/>
      <c r="IM232" s="14"/>
      <c r="IN232" s="12"/>
      <c r="IO232" s="14"/>
      <c r="IP232" s="14"/>
    </row>
    <row r="233" spans="1:250">
      <c r="A233" s="2"/>
      <c r="B233" s="2"/>
      <c r="C233" s="2"/>
      <c r="D233" s="2"/>
      <c r="E233" s="2"/>
      <c r="F233" s="2"/>
      <c r="G233" s="2"/>
      <c r="H233" s="2"/>
      <c r="I233" s="2"/>
      <c r="J233" s="2"/>
      <c r="K233" s="2"/>
      <c r="L233" s="2"/>
      <c r="M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2"/>
      <c r="FD233" s="2"/>
      <c r="FE233" s="2"/>
      <c r="FF233" s="2"/>
      <c r="FG233" s="2"/>
      <c r="FH233" s="2"/>
      <c r="FI233" s="2"/>
      <c r="FJ233" s="2"/>
      <c r="FK233" s="2"/>
      <c r="FL233" s="2"/>
      <c r="FM233" s="2"/>
      <c r="FN233" s="2"/>
      <c r="FO233" s="2"/>
      <c r="FP233" s="2"/>
      <c r="FQ233" s="2"/>
      <c r="FR233" s="2"/>
      <c r="FS233" s="2"/>
      <c r="FT233" s="2"/>
      <c r="FU233" s="2"/>
      <c r="FV233" s="2"/>
      <c r="FW233" s="2"/>
      <c r="FX233" s="2"/>
      <c r="FY233" s="2"/>
      <c r="FZ233" s="2"/>
      <c r="GA233" s="2"/>
      <c r="GB233" s="2"/>
      <c r="GC233" s="2"/>
      <c r="GD233" s="2"/>
      <c r="GE233" s="2"/>
      <c r="GF233" s="2"/>
      <c r="GG233" s="2"/>
      <c r="GH233" s="2"/>
      <c r="GI233" s="2"/>
      <c r="GJ233" s="2"/>
      <c r="GK233" s="2"/>
      <c r="GL233" s="2"/>
      <c r="GM233" s="2"/>
      <c r="GN233" s="2"/>
      <c r="GO233" s="2"/>
      <c r="GP233" s="2"/>
      <c r="GQ233" s="2"/>
      <c r="GR233" s="2"/>
      <c r="GS233" s="2"/>
      <c r="GT233" s="2"/>
      <c r="GU233" s="2"/>
      <c r="GV233" s="2"/>
      <c r="GW233" s="2"/>
      <c r="GX233" s="2"/>
      <c r="GY233" s="2"/>
      <c r="GZ233" s="2"/>
      <c r="HA233" s="2"/>
      <c r="HB233" s="2"/>
      <c r="HC233" s="2"/>
      <c r="HD233" s="2"/>
      <c r="HE233" s="2"/>
      <c r="HF233" s="2"/>
      <c r="HG233" s="2"/>
      <c r="HH233" s="2"/>
      <c r="HI233" s="2"/>
      <c r="HJ233" s="2"/>
      <c r="HK233" s="2"/>
      <c r="HL233" s="2"/>
      <c r="HM233" s="2"/>
      <c r="HN233" s="2"/>
      <c r="HO233" s="2"/>
      <c r="HP233" s="2"/>
      <c r="HQ233" s="2"/>
      <c r="HR233" s="2"/>
      <c r="HS233" s="2"/>
      <c r="HT233" s="2"/>
      <c r="HU233" s="2"/>
      <c r="HV233" s="2"/>
      <c r="HW233" s="2"/>
      <c r="HX233" s="2"/>
      <c r="HY233" s="2"/>
      <c r="HZ233" s="2"/>
      <c r="IA233" s="2"/>
      <c r="IB233" s="2"/>
      <c r="IC233" s="2"/>
      <c r="IH233" s="21"/>
      <c r="II233" s="14"/>
      <c r="IJ233" s="15"/>
      <c r="IK233" s="16"/>
      <c r="IL233" s="20"/>
      <c r="IM233" s="14"/>
      <c r="IN233" s="12"/>
      <c r="IO233" s="14"/>
      <c r="IP233" s="14"/>
    </row>
    <row r="234" spans="1:250">
      <c r="A234" s="2"/>
      <c r="B234" s="2"/>
      <c r="C234" s="2"/>
      <c r="D234" s="2"/>
      <c r="E234" s="2"/>
      <c r="F234" s="2"/>
      <c r="G234" s="2"/>
      <c r="H234" s="2"/>
      <c r="I234" s="2"/>
      <c r="J234" s="2"/>
      <c r="K234" s="2"/>
      <c r="L234" s="2"/>
      <c r="M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2"/>
      <c r="FD234" s="2"/>
      <c r="FE234" s="2"/>
      <c r="FF234" s="2"/>
      <c r="FG234" s="2"/>
      <c r="FH234" s="2"/>
      <c r="FI234" s="2"/>
      <c r="FJ234" s="2"/>
      <c r="FK234" s="2"/>
      <c r="FL234" s="2"/>
      <c r="FM234" s="2"/>
      <c r="FN234" s="2"/>
      <c r="FO234" s="2"/>
      <c r="FP234" s="2"/>
      <c r="FQ234" s="2"/>
      <c r="FR234" s="2"/>
      <c r="FS234" s="2"/>
      <c r="FT234" s="2"/>
      <c r="FU234" s="2"/>
      <c r="FV234" s="2"/>
      <c r="FW234" s="2"/>
      <c r="FX234" s="2"/>
      <c r="FY234" s="2"/>
      <c r="FZ234" s="2"/>
      <c r="GA234" s="2"/>
      <c r="GB234" s="2"/>
      <c r="GC234" s="2"/>
      <c r="GD234" s="2"/>
      <c r="GE234" s="2"/>
      <c r="GF234" s="2"/>
      <c r="GG234" s="2"/>
      <c r="GH234" s="2"/>
      <c r="GI234" s="2"/>
      <c r="GJ234" s="2"/>
      <c r="GK234" s="2"/>
      <c r="GL234" s="2"/>
      <c r="GM234" s="2"/>
      <c r="GN234" s="2"/>
      <c r="GO234" s="2"/>
      <c r="GP234" s="2"/>
      <c r="GQ234" s="2"/>
      <c r="GR234" s="2"/>
      <c r="GS234" s="2"/>
      <c r="GT234" s="2"/>
      <c r="GU234" s="2"/>
      <c r="GV234" s="2"/>
      <c r="GW234" s="2"/>
      <c r="GX234" s="2"/>
      <c r="GY234" s="2"/>
      <c r="GZ234" s="2"/>
      <c r="HA234" s="2"/>
      <c r="HB234" s="2"/>
      <c r="HC234" s="2"/>
      <c r="HD234" s="2"/>
      <c r="HE234" s="2"/>
      <c r="HF234" s="2"/>
      <c r="HG234" s="2"/>
      <c r="HH234" s="2"/>
      <c r="HI234" s="2"/>
      <c r="HJ234" s="2"/>
      <c r="HK234" s="2"/>
      <c r="HL234" s="2"/>
      <c r="HM234" s="2"/>
      <c r="HN234" s="2"/>
      <c r="HO234" s="2"/>
      <c r="HP234" s="2"/>
      <c r="HQ234" s="2"/>
      <c r="HR234" s="2"/>
      <c r="HS234" s="2"/>
      <c r="HT234" s="2"/>
      <c r="HU234" s="2"/>
      <c r="HV234" s="2"/>
      <c r="HW234" s="2"/>
      <c r="HX234" s="2"/>
      <c r="HY234" s="2"/>
      <c r="HZ234" s="2"/>
      <c r="IA234" s="2"/>
      <c r="IB234" s="2"/>
      <c r="IC234" s="2"/>
      <c r="IH234" s="21"/>
      <c r="II234" s="14"/>
      <c r="IJ234" s="15"/>
      <c r="IK234" s="16"/>
      <c r="IL234" s="20"/>
      <c r="IM234" s="14"/>
      <c r="IN234" s="12"/>
      <c r="IO234" s="14"/>
      <c r="IP234" s="14"/>
    </row>
    <row r="235" spans="1:250">
      <c r="A235" s="2"/>
      <c r="B235" s="2"/>
      <c r="C235" s="2"/>
      <c r="D235" s="2"/>
      <c r="E235" s="2"/>
      <c r="F235" s="2"/>
      <c r="G235" s="2"/>
      <c r="H235" s="2"/>
      <c r="I235" s="2"/>
      <c r="J235" s="2"/>
      <c r="K235" s="2"/>
      <c r="L235" s="2"/>
      <c r="M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2"/>
      <c r="FD235" s="2"/>
      <c r="FE235" s="2"/>
      <c r="FF235" s="2"/>
      <c r="FG235" s="2"/>
      <c r="FH235" s="2"/>
      <c r="FI235" s="2"/>
      <c r="FJ235" s="2"/>
      <c r="FK235" s="2"/>
      <c r="FL235" s="2"/>
      <c r="FM235" s="2"/>
      <c r="FN235" s="2"/>
      <c r="FO235" s="2"/>
      <c r="FP235" s="2"/>
      <c r="FQ235" s="2"/>
      <c r="FR235" s="2"/>
      <c r="FS235" s="2"/>
      <c r="FT235" s="2"/>
      <c r="FU235" s="2"/>
      <c r="FV235" s="2"/>
      <c r="FW235" s="2"/>
      <c r="FX235" s="2"/>
      <c r="FY235" s="2"/>
      <c r="FZ235" s="2"/>
      <c r="GA235" s="2"/>
      <c r="GB235" s="2"/>
      <c r="GC235" s="2"/>
      <c r="GD235" s="2"/>
      <c r="GE235" s="2"/>
      <c r="GF235" s="2"/>
      <c r="GG235" s="2"/>
      <c r="GH235" s="2"/>
      <c r="GI235" s="2"/>
      <c r="GJ235" s="2"/>
      <c r="GK235" s="2"/>
      <c r="GL235" s="2"/>
      <c r="GM235" s="2"/>
      <c r="GN235" s="2"/>
      <c r="GO235" s="2"/>
      <c r="GP235" s="2"/>
      <c r="GQ235" s="2"/>
      <c r="GR235" s="2"/>
      <c r="GS235" s="2"/>
      <c r="GT235" s="2"/>
      <c r="GU235" s="2"/>
      <c r="GV235" s="2"/>
      <c r="GW235" s="2"/>
      <c r="GX235" s="2"/>
      <c r="GY235" s="2"/>
      <c r="GZ235" s="2"/>
      <c r="HA235" s="2"/>
      <c r="HB235" s="2"/>
      <c r="HC235" s="2"/>
      <c r="HD235" s="2"/>
      <c r="HE235" s="2"/>
      <c r="HF235" s="2"/>
      <c r="HG235" s="2"/>
      <c r="HH235" s="2"/>
      <c r="HI235" s="2"/>
      <c r="HJ235" s="2"/>
      <c r="HK235" s="2"/>
      <c r="HL235" s="2"/>
      <c r="HM235" s="2"/>
      <c r="HN235" s="2"/>
      <c r="HO235" s="2"/>
      <c r="HP235" s="2"/>
      <c r="HQ235" s="2"/>
      <c r="HR235" s="2"/>
      <c r="HS235" s="2"/>
      <c r="HT235" s="2"/>
      <c r="HU235" s="2"/>
      <c r="HV235" s="2"/>
      <c r="HW235" s="2"/>
      <c r="HX235" s="2"/>
      <c r="HY235" s="2"/>
      <c r="HZ235" s="2"/>
      <c r="IA235" s="2"/>
      <c r="IB235" s="2"/>
      <c r="IC235" s="2"/>
      <c r="IH235" s="21"/>
      <c r="II235" s="14"/>
      <c r="IJ235" s="15"/>
      <c r="IK235" s="16"/>
      <c r="IL235" s="20"/>
      <c r="IM235" s="14"/>
      <c r="IN235" s="12"/>
      <c r="IO235" s="14"/>
      <c r="IP235" s="14"/>
    </row>
    <row r="236" spans="1:250">
      <c r="A236" s="2"/>
      <c r="B236" s="2"/>
      <c r="C236" s="2"/>
      <c r="D236" s="2"/>
      <c r="E236" s="2"/>
      <c r="F236" s="2"/>
      <c r="G236" s="2"/>
      <c r="H236" s="2"/>
      <c r="I236" s="2"/>
      <c r="J236" s="2"/>
      <c r="K236" s="2"/>
      <c r="L236" s="2"/>
      <c r="M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2"/>
      <c r="FD236" s="2"/>
      <c r="FE236" s="2"/>
      <c r="FF236" s="2"/>
      <c r="FG236" s="2"/>
      <c r="FH236" s="2"/>
      <c r="FI236" s="2"/>
      <c r="FJ236" s="2"/>
      <c r="FK236" s="2"/>
      <c r="FL236" s="2"/>
      <c r="FM236" s="2"/>
      <c r="FN236" s="2"/>
      <c r="FO236" s="2"/>
      <c r="FP236" s="2"/>
      <c r="FQ236" s="2"/>
      <c r="FR236" s="2"/>
      <c r="FS236" s="2"/>
      <c r="FT236" s="2"/>
      <c r="FU236" s="2"/>
      <c r="FV236" s="2"/>
      <c r="FW236" s="2"/>
      <c r="FX236" s="2"/>
      <c r="FY236" s="2"/>
      <c r="FZ236" s="2"/>
      <c r="GA236" s="2"/>
      <c r="GB236" s="2"/>
      <c r="GC236" s="2"/>
      <c r="GD236" s="2"/>
      <c r="GE236" s="2"/>
      <c r="GF236" s="2"/>
      <c r="GG236" s="2"/>
      <c r="GH236" s="2"/>
      <c r="GI236" s="2"/>
      <c r="GJ236" s="2"/>
      <c r="GK236" s="2"/>
      <c r="GL236" s="2"/>
      <c r="GM236" s="2"/>
      <c r="GN236" s="2"/>
      <c r="GO236" s="2"/>
      <c r="GP236" s="2"/>
      <c r="GQ236" s="2"/>
      <c r="GR236" s="2"/>
      <c r="GS236" s="2"/>
      <c r="GT236" s="2"/>
      <c r="GU236" s="2"/>
      <c r="GV236" s="2"/>
      <c r="GW236" s="2"/>
      <c r="GX236" s="2"/>
      <c r="GY236" s="2"/>
      <c r="GZ236" s="2"/>
      <c r="HA236" s="2"/>
      <c r="HB236" s="2"/>
      <c r="HC236" s="2"/>
      <c r="HD236" s="2"/>
      <c r="HE236" s="2"/>
      <c r="HF236" s="2"/>
      <c r="HG236" s="2"/>
      <c r="HH236" s="2"/>
      <c r="HI236" s="2"/>
      <c r="HJ236" s="2"/>
      <c r="HK236" s="2"/>
      <c r="HL236" s="2"/>
      <c r="HM236" s="2"/>
      <c r="HN236" s="2"/>
      <c r="HO236" s="2"/>
      <c r="HP236" s="2"/>
      <c r="HQ236" s="2"/>
      <c r="HR236" s="2"/>
      <c r="HS236" s="2"/>
      <c r="HT236" s="2"/>
      <c r="HU236" s="2"/>
      <c r="HV236" s="2"/>
      <c r="HW236" s="2"/>
      <c r="HX236" s="2"/>
      <c r="HY236" s="2"/>
      <c r="HZ236" s="2"/>
      <c r="IA236" s="2"/>
      <c r="IB236" s="2"/>
      <c r="IC236" s="2"/>
      <c r="IH236" s="21"/>
      <c r="II236" s="14"/>
      <c r="IJ236" s="15"/>
      <c r="IK236" s="16"/>
      <c r="IL236" s="20"/>
      <c r="IM236" s="14"/>
      <c r="IN236" s="12"/>
      <c r="IO236" s="14"/>
      <c r="IP236" s="14"/>
    </row>
    <row r="237" spans="1:250">
      <c r="A237" s="2"/>
      <c r="B237" s="2"/>
      <c r="C237" s="2"/>
      <c r="D237" s="2"/>
      <c r="E237" s="2"/>
      <c r="F237" s="2"/>
      <c r="G237" s="2"/>
      <c r="H237" s="2"/>
      <c r="I237" s="2"/>
      <c r="J237" s="2"/>
      <c r="K237" s="2"/>
      <c r="L237" s="2"/>
      <c r="M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2"/>
      <c r="FD237" s="2"/>
      <c r="FE237" s="2"/>
      <c r="FF237" s="2"/>
      <c r="FG237" s="2"/>
      <c r="FH237" s="2"/>
      <c r="FI237" s="2"/>
      <c r="FJ237" s="2"/>
      <c r="FK237" s="2"/>
      <c r="FL237" s="2"/>
      <c r="FM237" s="2"/>
      <c r="FN237" s="2"/>
      <c r="FO237" s="2"/>
      <c r="FP237" s="2"/>
      <c r="FQ237" s="2"/>
      <c r="FR237" s="2"/>
      <c r="FS237" s="2"/>
      <c r="FT237" s="2"/>
      <c r="FU237" s="2"/>
      <c r="FV237" s="2"/>
      <c r="FW237" s="2"/>
      <c r="FX237" s="2"/>
      <c r="FY237" s="2"/>
      <c r="FZ237" s="2"/>
      <c r="GA237" s="2"/>
      <c r="GB237" s="2"/>
      <c r="GC237" s="2"/>
      <c r="GD237" s="2"/>
      <c r="GE237" s="2"/>
      <c r="GF237" s="2"/>
      <c r="GG237" s="2"/>
      <c r="GH237" s="2"/>
      <c r="GI237" s="2"/>
      <c r="GJ237" s="2"/>
      <c r="GK237" s="2"/>
      <c r="GL237" s="2"/>
      <c r="GM237" s="2"/>
      <c r="GN237" s="2"/>
      <c r="GO237" s="2"/>
      <c r="GP237" s="2"/>
      <c r="GQ237" s="2"/>
      <c r="GR237" s="2"/>
      <c r="GS237" s="2"/>
      <c r="GT237" s="2"/>
      <c r="GU237" s="2"/>
      <c r="GV237" s="2"/>
      <c r="GW237" s="2"/>
      <c r="GX237" s="2"/>
      <c r="GY237" s="2"/>
      <c r="GZ237" s="2"/>
      <c r="HA237" s="2"/>
      <c r="HB237" s="2"/>
      <c r="HC237" s="2"/>
      <c r="HD237" s="2"/>
      <c r="HE237" s="2"/>
      <c r="HF237" s="2"/>
      <c r="HG237" s="2"/>
      <c r="HH237" s="2"/>
      <c r="HI237" s="2"/>
      <c r="HJ237" s="2"/>
      <c r="HK237" s="2"/>
      <c r="HL237" s="2"/>
      <c r="HM237" s="2"/>
      <c r="HN237" s="2"/>
      <c r="HO237" s="2"/>
      <c r="HP237" s="2"/>
      <c r="HQ237" s="2"/>
      <c r="HR237" s="2"/>
      <c r="HS237" s="2"/>
      <c r="HT237" s="2"/>
      <c r="HU237" s="2"/>
      <c r="HV237" s="2"/>
      <c r="HW237" s="2"/>
      <c r="HX237" s="2"/>
      <c r="HY237" s="2"/>
      <c r="HZ237" s="2"/>
      <c r="IA237" s="2"/>
      <c r="IB237" s="2"/>
      <c r="IC237" s="2"/>
      <c r="IH237" s="21"/>
      <c r="II237" s="14"/>
      <c r="IJ237" s="15"/>
      <c r="IK237" s="16"/>
      <c r="IL237" s="20"/>
      <c r="IM237" s="14"/>
      <c r="IN237" s="12"/>
      <c r="IO237" s="14"/>
      <c r="IP237" s="14"/>
    </row>
    <row r="238" spans="1:250">
      <c r="A238" s="2"/>
      <c r="B238" s="2"/>
      <c r="C238" s="2"/>
      <c r="D238" s="2"/>
      <c r="E238" s="2"/>
      <c r="F238" s="2"/>
      <c r="G238" s="2"/>
      <c r="H238" s="2"/>
      <c r="I238" s="2"/>
      <c r="J238" s="2"/>
      <c r="K238" s="2"/>
      <c r="L238" s="2"/>
      <c r="M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2"/>
      <c r="FD238" s="2"/>
      <c r="FE238" s="2"/>
      <c r="FF238" s="2"/>
      <c r="FG238" s="2"/>
      <c r="FH238" s="2"/>
      <c r="FI238" s="2"/>
      <c r="FJ238" s="2"/>
      <c r="FK238" s="2"/>
      <c r="FL238" s="2"/>
      <c r="FM238" s="2"/>
      <c r="FN238" s="2"/>
      <c r="FO238" s="2"/>
      <c r="FP238" s="2"/>
      <c r="FQ238" s="2"/>
      <c r="FR238" s="2"/>
      <c r="FS238" s="2"/>
      <c r="FT238" s="2"/>
      <c r="FU238" s="2"/>
      <c r="FV238" s="2"/>
      <c r="FW238" s="2"/>
      <c r="FX238" s="2"/>
      <c r="FY238" s="2"/>
      <c r="FZ238" s="2"/>
      <c r="GA238" s="2"/>
      <c r="GB238" s="2"/>
      <c r="GC238" s="2"/>
      <c r="GD238" s="2"/>
      <c r="GE238" s="2"/>
      <c r="GF238" s="2"/>
      <c r="GG238" s="2"/>
      <c r="GH238" s="2"/>
      <c r="GI238" s="2"/>
      <c r="GJ238" s="2"/>
      <c r="GK238" s="2"/>
      <c r="GL238" s="2"/>
      <c r="GM238" s="2"/>
      <c r="GN238" s="2"/>
      <c r="GO238" s="2"/>
      <c r="GP238" s="2"/>
      <c r="GQ238" s="2"/>
      <c r="GR238" s="2"/>
      <c r="GS238" s="2"/>
      <c r="GT238" s="2"/>
      <c r="GU238" s="2"/>
      <c r="GV238" s="2"/>
      <c r="GW238" s="2"/>
      <c r="GX238" s="2"/>
      <c r="GY238" s="2"/>
      <c r="GZ238" s="2"/>
      <c r="HA238" s="2"/>
      <c r="HB238" s="2"/>
      <c r="HC238" s="2"/>
      <c r="HD238" s="2"/>
      <c r="HE238" s="2"/>
      <c r="HF238" s="2"/>
      <c r="HG238" s="2"/>
      <c r="HH238" s="2"/>
      <c r="HI238" s="2"/>
      <c r="HJ238" s="2"/>
      <c r="HK238" s="2"/>
      <c r="HL238" s="2"/>
      <c r="HM238" s="2"/>
      <c r="HN238" s="2"/>
      <c r="HO238" s="2"/>
      <c r="HP238" s="2"/>
      <c r="HQ238" s="2"/>
      <c r="HR238" s="2"/>
      <c r="HS238" s="2"/>
      <c r="HT238" s="2"/>
      <c r="HU238" s="2"/>
      <c r="HV238" s="2"/>
      <c r="HW238" s="2"/>
      <c r="HX238" s="2"/>
      <c r="HY238" s="2"/>
      <c r="HZ238" s="2"/>
      <c r="IA238" s="2"/>
      <c r="IB238" s="2"/>
      <c r="IC238" s="2"/>
      <c r="IH238" s="21"/>
      <c r="II238" s="14"/>
      <c r="IJ238" s="15"/>
      <c r="IK238" s="16"/>
      <c r="IL238" s="20"/>
      <c r="IM238" s="14"/>
      <c r="IN238" s="12"/>
      <c r="IO238" s="14"/>
      <c r="IP238" s="14"/>
    </row>
    <row r="239" spans="1:250">
      <c r="A239" s="2"/>
      <c r="B239" s="2"/>
      <c r="C239" s="2"/>
      <c r="D239" s="2"/>
      <c r="E239" s="2"/>
      <c r="F239" s="2"/>
      <c r="G239" s="2"/>
      <c r="H239" s="2"/>
      <c r="I239" s="2"/>
      <c r="J239" s="2"/>
      <c r="K239" s="2"/>
      <c r="L239" s="2"/>
      <c r="M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2"/>
      <c r="FD239" s="2"/>
      <c r="FE239" s="2"/>
      <c r="FF239" s="2"/>
      <c r="FG239" s="2"/>
      <c r="FH239" s="2"/>
      <c r="FI239" s="2"/>
      <c r="FJ239" s="2"/>
      <c r="FK239" s="2"/>
      <c r="FL239" s="2"/>
      <c r="FM239" s="2"/>
      <c r="FN239" s="2"/>
      <c r="FO239" s="2"/>
      <c r="FP239" s="2"/>
      <c r="FQ239" s="2"/>
      <c r="FR239" s="2"/>
      <c r="FS239" s="2"/>
      <c r="FT239" s="2"/>
      <c r="FU239" s="2"/>
      <c r="FV239" s="2"/>
      <c r="FW239" s="2"/>
      <c r="FX239" s="2"/>
      <c r="FY239" s="2"/>
      <c r="FZ239" s="2"/>
      <c r="GA239" s="2"/>
      <c r="GB239" s="2"/>
      <c r="GC239" s="2"/>
      <c r="GD239" s="2"/>
      <c r="GE239" s="2"/>
      <c r="GF239" s="2"/>
      <c r="GG239" s="2"/>
      <c r="GH239" s="2"/>
      <c r="GI239" s="2"/>
      <c r="GJ239" s="2"/>
      <c r="GK239" s="2"/>
      <c r="GL239" s="2"/>
      <c r="GM239" s="2"/>
      <c r="GN239" s="2"/>
      <c r="GO239" s="2"/>
      <c r="GP239" s="2"/>
      <c r="GQ239" s="2"/>
      <c r="GR239" s="2"/>
      <c r="GS239" s="2"/>
      <c r="GT239" s="2"/>
      <c r="GU239" s="2"/>
      <c r="GV239" s="2"/>
      <c r="GW239" s="2"/>
      <c r="GX239" s="2"/>
      <c r="GY239" s="2"/>
      <c r="GZ239" s="2"/>
      <c r="HA239" s="2"/>
      <c r="HB239" s="2"/>
      <c r="HC239" s="2"/>
      <c r="HD239" s="2"/>
      <c r="HE239" s="2"/>
      <c r="HF239" s="2"/>
      <c r="HG239" s="2"/>
      <c r="HH239" s="2"/>
      <c r="HI239" s="2"/>
      <c r="HJ239" s="2"/>
      <c r="HK239" s="2"/>
      <c r="HL239" s="2"/>
      <c r="HM239" s="2"/>
      <c r="HN239" s="2"/>
      <c r="HO239" s="2"/>
      <c r="HP239" s="2"/>
      <c r="HQ239" s="2"/>
      <c r="HR239" s="2"/>
      <c r="HS239" s="2"/>
      <c r="HT239" s="2"/>
      <c r="HU239" s="2"/>
      <c r="HV239" s="2"/>
      <c r="HW239" s="2"/>
      <c r="HX239" s="2"/>
      <c r="HY239" s="2"/>
      <c r="HZ239" s="2"/>
      <c r="IA239" s="2"/>
      <c r="IB239" s="2"/>
      <c r="IC239" s="2"/>
      <c r="IH239" s="21"/>
      <c r="II239" s="14"/>
      <c r="IJ239" s="15"/>
      <c r="IK239" s="16"/>
      <c r="IL239" s="20"/>
      <c r="IM239" s="14"/>
      <c r="IN239" s="12"/>
      <c r="IO239" s="14"/>
      <c r="IP239" s="14"/>
    </row>
    <row r="240" spans="1:250">
      <c r="A240" s="2"/>
      <c r="B240" s="2"/>
      <c r="C240" s="2"/>
      <c r="D240" s="2"/>
      <c r="E240" s="2"/>
      <c r="F240" s="2"/>
      <c r="G240" s="2"/>
      <c r="H240" s="2"/>
      <c r="I240" s="2"/>
      <c r="J240" s="2"/>
      <c r="K240" s="2"/>
      <c r="L240" s="2"/>
      <c r="M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2"/>
      <c r="FD240" s="2"/>
      <c r="FE240" s="2"/>
      <c r="FF240" s="2"/>
      <c r="FG240" s="2"/>
      <c r="FH240" s="2"/>
      <c r="FI240" s="2"/>
      <c r="FJ240" s="2"/>
      <c r="FK240" s="2"/>
      <c r="FL240" s="2"/>
      <c r="FM240" s="2"/>
      <c r="FN240" s="2"/>
      <c r="FO240" s="2"/>
      <c r="FP240" s="2"/>
      <c r="FQ240" s="2"/>
      <c r="FR240" s="2"/>
      <c r="FS240" s="2"/>
      <c r="FT240" s="2"/>
      <c r="FU240" s="2"/>
      <c r="FV240" s="2"/>
      <c r="FW240" s="2"/>
      <c r="FX240" s="2"/>
      <c r="FY240" s="2"/>
      <c r="FZ240" s="2"/>
      <c r="GA240" s="2"/>
      <c r="GB240" s="2"/>
      <c r="GC240" s="2"/>
      <c r="GD240" s="2"/>
      <c r="GE240" s="2"/>
      <c r="GF240" s="2"/>
      <c r="GG240" s="2"/>
      <c r="GH240" s="2"/>
      <c r="GI240" s="2"/>
      <c r="GJ240" s="2"/>
      <c r="GK240" s="2"/>
      <c r="GL240" s="2"/>
      <c r="GM240" s="2"/>
      <c r="GN240" s="2"/>
      <c r="GO240" s="2"/>
      <c r="GP240" s="2"/>
      <c r="GQ240" s="2"/>
      <c r="GR240" s="2"/>
      <c r="GS240" s="2"/>
      <c r="GT240" s="2"/>
      <c r="GU240" s="2"/>
      <c r="GV240" s="2"/>
      <c r="GW240" s="2"/>
      <c r="GX240" s="2"/>
      <c r="GY240" s="2"/>
      <c r="GZ240" s="2"/>
      <c r="HA240" s="2"/>
      <c r="HB240" s="2"/>
      <c r="HC240" s="2"/>
      <c r="HD240" s="2"/>
      <c r="HE240" s="2"/>
      <c r="HF240" s="2"/>
      <c r="HG240" s="2"/>
      <c r="HH240" s="2"/>
      <c r="HI240" s="2"/>
      <c r="HJ240" s="2"/>
      <c r="HK240" s="2"/>
      <c r="HL240" s="2"/>
      <c r="HM240" s="2"/>
      <c r="HN240" s="2"/>
      <c r="HO240" s="2"/>
      <c r="HP240" s="2"/>
      <c r="HQ240" s="2"/>
      <c r="HR240" s="2"/>
      <c r="HS240" s="2"/>
      <c r="HT240" s="2"/>
      <c r="HU240" s="2"/>
      <c r="HV240" s="2"/>
      <c r="HW240" s="2"/>
      <c r="HX240" s="2"/>
      <c r="HY240" s="2"/>
      <c r="HZ240" s="2"/>
      <c r="IA240" s="2"/>
      <c r="IB240" s="2"/>
      <c r="IC240" s="2"/>
      <c r="IH240" s="21"/>
      <c r="II240" s="14"/>
      <c r="IJ240" s="15"/>
      <c r="IK240" s="16"/>
      <c r="IL240" s="20"/>
      <c r="IM240" s="14"/>
      <c r="IN240" s="12"/>
      <c r="IO240" s="14"/>
      <c r="IP240" s="14"/>
    </row>
    <row r="241" spans="1:250">
      <c r="A241" s="2"/>
      <c r="B241" s="2"/>
      <c r="C241" s="2"/>
      <c r="D241" s="2"/>
      <c r="E241" s="2"/>
      <c r="F241" s="2"/>
      <c r="G241" s="2"/>
      <c r="H241" s="2"/>
      <c r="I241" s="2"/>
      <c r="J241" s="2"/>
      <c r="K241" s="2"/>
      <c r="L241" s="2"/>
      <c r="M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2"/>
      <c r="FD241" s="2"/>
      <c r="FE241" s="2"/>
      <c r="FF241" s="2"/>
      <c r="FG241" s="2"/>
      <c r="FH241" s="2"/>
      <c r="FI241" s="2"/>
      <c r="FJ241" s="2"/>
      <c r="FK241" s="2"/>
      <c r="FL241" s="2"/>
      <c r="FM241" s="2"/>
      <c r="FN241" s="2"/>
      <c r="FO241" s="2"/>
      <c r="FP241" s="2"/>
      <c r="FQ241" s="2"/>
      <c r="FR241" s="2"/>
      <c r="FS241" s="2"/>
      <c r="FT241" s="2"/>
      <c r="FU241" s="2"/>
      <c r="FV241" s="2"/>
      <c r="FW241" s="2"/>
      <c r="FX241" s="2"/>
      <c r="FY241" s="2"/>
      <c r="FZ241" s="2"/>
      <c r="GA241" s="2"/>
      <c r="GB241" s="2"/>
      <c r="GC241" s="2"/>
      <c r="GD241" s="2"/>
      <c r="GE241" s="2"/>
      <c r="GF241" s="2"/>
      <c r="GG241" s="2"/>
      <c r="GH241" s="2"/>
      <c r="GI241" s="2"/>
      <c r="GJ241" s="2"/>
      <c r="GK241" s="2"/>
      <c r="GL241" s="2"/>
      <c r="GM241" s="2"/>
      <c r="GN241" s="2"/>
      <c r="GO241" s="2"/>
      <c r="GP241" s="2"/>
      <c r="GQ241" s="2"/>
      <c r="GR241" s="2"/>
      <c r="GS241" s="2"/>
      <c r="GT241" s="2"/>
      <c r="GU241" s="2"/>
      <c r="GV241" s="2"/>
      <c r="GW241" s="2"/>
      <c r="GX241" s="2"/>
      <c r="GY241" s="2"/>
      <c r="GZ241" s="2"/>
      <c r="HA241" s="2"/>
      <c r="HB241" s="2"/>
      <c r="HC241" s="2"/>
      <c r="HD241" s="2"/>
      <c r="HE241" s="2"/>
      <c r="HF241" s="2"/>
      <c r="HG241" s="2"/>
      <c r="HH241" s="2"/>
      <c r="HI241" s="2"/>
      <c r="HJ241" s="2"/>
      <c r="HK241" s="2"/>
      <c r="HL241" s="2"/>
      <c r="HM241" s="2"/>
      <c r="HN241" s="2"/>
      <c r="HO241" s="2"/>
      <c r="HP241" s="2"/>
      <c r="HQ241" s="2"/>
      <c r="HR241" s="2"/>
      <c r="HS241" s="2"/>
      <c r="HT241" s="2"/>
      <c r="HU241" s="2"/>
      <c r="HV241" s="2"/>
      <c r="HW241" s="2"/>
      <c r="HX241" s="2"/>
      <c r="HY241" s="2"/>
      <c r="HZ241" s="2"/>
      <c r="IA241" s="2"/>
      <c r="IB241" s="2"/>
      <c r="IC241" s="2"/>
      <c r="IH241" s="21"/>
      <c r="II241" s="14"/>
      <c r="IJ241" s="15"/>
      <c r="IK241" s="16"/>
      <c r="IL241" s="20"/>
      <c r="IM241" s="14"/>
      <c r="IN241" s="12"/>
      <c r="IO241" s="14"/>
      <c r="IP241" s="14"/>
    </row>
    <row r="242" spans="1:250">
      <c r="A242" s="2"/>
      <c r="B242" s="2"/>
      <c r="C242" s="2"/>
      <c r="D242" s="2"/>
      <c r="E242" s="2"/>
      <c r="F242" s="2"/>
      <c r="G242" s="2"/>
      <c r="H242" s="2"/>
      <c r="I242" s="2"/>
      <c r="J242" s="2"/>
      <c r="K242" s="2"/>
      <c r="L242" s="2"/>
      <c r="M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2"/>
      <c r="FD242" s="2"/>
      <c r="FE242" s="2"/>
      <c r="FF242" s="2"/>
      <c r="FG242" s="2"/>
      <c r="FH242" s="2"/>
      <c r="FI242" s="2"/>
      <c r="FJ242" s="2"/>
      <c r="FK242" s="2"/>
      <c r="FL242" s="2"/>
      <c r="FM242" s="2"/>
      <c r="FN242" s="2"/>
      <c r="FO242" s="2"/>
      <c r="FP242" s="2"/>
      <c r="FQ242" s="2"/>
      <c r="FR242" s="2"/>
      <c r="FS242" s="2"/>
      <c r="FT242" s="2"/>
      <c r="FU242" s="2"/>
      <c r="FV242" s="2"/>
      <c r="FW242" s="2"/>
      <c r="FX242" s="2"/>
      <c r="FY242" s="2"/>
      <c r="FZ242" s="2"/>
      <c r="GA242" s="2"/>
      <c r="GB242" s="2"/>
      <c r="GC242" s="2"/>
      <c r="GD242" s="2"/>
      <c r="GE242" s="2"/>
      <c r="GF242" s="2"/>
      <c r="GG242" s="2"/>
      <c r="GH242" s="2"/>
      <c r="GI242" s="2"/>
      <c r="GJ242" s="2"/>
      <c r="GK242" s="2"/>
      <c r="GL242" s="2"/>
      <c r="GM242" s="2"/>
      <c r="GN242" s="2"/>
      <c r="GO242" s="2"/>
      <c r="GP242" s="2"/>
      <c r="GQ242" s="2"/>
      <c r="GR242" s="2"/>
      <c r="GS242" s="2"/>
      <c r="GT242" s="2"/>
      <c r="GU242" s="2"/>
      <c r="GV242" s="2"/>
      <c r="GW242" s="2"/>
      <c r="GX242" s="2"/>
      <c r="GY242" s="2"/>
      <c r="GZ242" s="2"/>
      <c r="HA242" s="2"/>
      <c r="HB242" s="2"/>
      <c r="HC242" s="2"/>
      <c r="HD242" s="2"/>
      <c r="HE242" s="2"/>
      <c r="HF242" s="2"/>
      <c r="HG242" s="2"/>
      <c r="HH242" s="2"/>
      <c r="HI242" s="2"/>
      <c r="HJ242" s="2"/>
      <c r="HK242" s="2"/>
      <c r="HL242" s="2"/>
      <c r="HM242" s="2"/>
      <c r="HN242" s="2"/>
      <c r="HO242" s="2"/>
      <c r="HP242" s="2"/>
      <c r="HQ242" s="2"/>
      <c r="HR242" s="2"/>
      <c r="HS242" s="2"/>
      <c r="HT242" s="2"/>
      <c r="HU242" s="2"/>
      <c r="HV242" s="2"/>
      <c r="HW242" s="2"/>
      <c r="HX242" s="2"/>
      <c r="HY242" s="2"/>
      <c r="HZ242" s="2"/>
      <c r="IA242" s="2"/>
      <c r="IB242" s="2"/>
      <c r="IC242" s="2"/>
      <c r="IH242" s="21"/>
      <c r="II242" s="14"/>
      <c r="IJ242" s="15"/>
      <c r="IK242" s="16"/>
      <c r="IL242" s="20"/>
      <c r="IM242" s="14"/>
      <c r="IN242" s="12"/>
      <c r="IO242" s="14"/>
      <c r="IP242" s="14"/>
    </row>
    <row r="243" spans="1:250">
      <c r="A243" s="2"/>
      <c r="B243" s="2"/>
      <c r="C243" s="2"/>
      <c r="D243" s="2"/>
      <c r="E243" s="2"/>
      <c r="F243" s="2"/>
      <c r="G243" s="2"/>
      <c r="H243" s="2"/>
      <c r="I243" s="2"/>
      <c r="J243" s="2"/>
      <c r="K243" s="2"/>
      <c r="L243" s="2"/>
      <c r="M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2"/>
      <c r="FD243" s="2"/>
      <c r="FE243" s="2"/>
      <c r="FF243" s="2"/>
      <c r="FG243" s="2"/>
      <c r="FH243" s="2"/>
      <c r="FI243" s="2"/>
      <c r="FJ243" s="2"/>
      <c r="FK243" s="2"/>
      <c r="FL243" s="2"/>
      <c r="FM243" s="2"/>
      <c r="FN243" s="2"/>
      <c r="FO243" s="2"/>
      <c r="FP243" s="2"/>
      <c r="FQ243" s="2"/>
      <c r="FR243" s="2"/>
      <c r="FS243" s="2"/>
      <c r="FT243" s="2"/>
      <c r="FU243" s="2"/>
      <c r="FV243" s="2"/>
      <c r="FW243" s="2"/>
      <c r="FX243" s="2"/>
      <c r="FY243" s="2"/>
      <c r="FZ243" s="2"/>
      <c r="GA243" s="2"/>
      <c r="GB243" s="2"/>
      <c r="GC243" s="2"/>
      <c r="GD243" s="2"/>
      <c r="GE243" s="2"/>
      <c r="GF243" s="2"/>
      <c r="GG243" s="2"/>
      <c r="GH243" s="2"/>
      <c r="GI243" s="2"/>
      <c r="GJ243" s="2"/>
      <c r="GK243" s="2"/>
      <c r="GL243" s="2"/>
      <c r="GM243" s="2"/>
      <c r="GN243" s="2"/>
      <c r="GO243" s="2"/>
      <c r="GP243" s="2"/>
      <c r="GQ243" s="2"/>
      <c r="GR243" s="2"/>
      <c r="GS243" s="2"/>
      <c r="GT243" s="2"/>
      <c r="GU243" s="2"/>
      <c r="GV243" s="2"/>
      <c r="GW243" s="2"/>
      <c r="GX243" s="2"/>
      <c r="GY243" s="2"/>
      <c r="GZ243" s="2"/>
      <c r="HA243" s="2"/>
      <c r="HB243" s="2"/>
      <c r="HC243" s="2"/>
      <c r="HD243" s="2"/>
      <c r="HE243" s="2"/>
      <c r="HF243" s="2"/>
      <c r="HG243" s="2"/>
      <c r="HH243" s="2"/>
      <c r="HI243" s="2"/>
      <c r="HJ243" s="2"/>
      <c r="HK243" s="2"/>
      <c r="HL243" s="2"/>
      <c r="HM243" s="2"/>
      <c r="HN243" s="2"/>
      <c r="HO243" s="2"/>
      <c r="HP243" s="2"/>
      <c r="HQ243" s="2"/>
      <c r="HR243" s="2"/>
      <c r="HS243" s="2"/>
      <c r="HT243" s="2"/>
      <c r="HU243" s="2"/>
      <c r="HV243" s="2"/>
      <c r="HW243" s="2"/>
      <c r="HX243" s="2"/>
      <c r="HY243" s="2"/>
      <c r="HZ243" s="2"/>
      <c r="IA243" s="2"/>
      <c r="IB243" s="2"/>
      <c r="IC243" s="2"/>
      <c r="IH243" s="21"/>
      <c r="II243" s="14"/>
      <c r="IJ243" s="15"/>
      <c r="IK243" s="16"/>
      <c r="IL243" s="20"/>
      <c r="IM243" s="14"/>
      <c r="IN243" s="12"/>
      <c r="IO243" s="14"/>
      <c r="IP243" s="14"/>
    </row>
    <row r="244" spans="1:250">
      <c r="A244" s="2"/>
      <c r="B244" s="2"/>
      <c r="C244" s="2"/>
      <c r="D244" s="2"/>
      <c r="E244" s="2"/>
      <c r="F244" s="2"/>
      <c r="G244" s="2"/>
      <c r="H244" s="2"/>
      <c r="I244" s="2"/>
      <c r="J244" s="2"/>
      <c r="K244" s="2"/>
      <c r="L244" s="2"/>
      <c r="M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2"/>
      <c r="FD244" s="2"/>
      <c r="FE244" s="2"/>
      <c r="FF244" s="2"/>
      <c r="FG244" s="2"/>
      <c r="FH244" s="2"/>
      <c r="FI244" s="2"/>
      <c r="FJ244" s="2"/>
      <c r="FK244" s="2"/>
      <c r="FL244" s="2"/>
      <c r="FM244" s="2"/>
      <c r="FN244" s="2"/>
      <c r="FO244" s="2"/>
      <c r="FP244" s="2"/>
      <c r="FQ244" s="2"/>
      <c r="FR244" s="2"/>
      <c r="FS244" s="2"/>
      <c r="FT244" s="2"/>
      <c r="FU244" s="2"/>
      <c r="FV244" s="2"/>
      <c r="FW244" s="2"/>
      <c r="FX244" s="2"/>
      <c r="FY244" s="2"/>
      <c r="FZ244" s="2"/>
      <c r="GA244" s="2"/>
      <c r="GB244" s="2"/>
      <c r="GC244" s="2"/>
      <c r="GD244" s="2"/>
      <c r="GE244" s="2"/>
      <c r="GF244" s="2"/>
      <c r="GG244" s="2"/>
      <c r="GH244" s="2"/>
      <c r="GI244" s="2"/>
      <c r="GJ244" s="2"/>
      <c r="GK244" s="2"/>
      <c r="GL244" s="2"/>
      <c r="GM244" s="2"/>
      <c r="GN244" s="2"/>
      <c r="GO244" s="2"/>
      <c r="GP244" s="2"/>
      <c r="GQ244" s="2"/>
      <c r="GR244" s="2"/>
      <c r="GS244" s="2"/>
      <c r="GT244" s="2"/>
      <c r="GU244" s="2"/>
      <c r="GV244" s="2"/>
      <c r="GW244" s="2"/>
      <c r="GX244" s="2"/>
      <c r="GY244" s="2"/>
      <c r="GZ244" s="2"/>
      <c r="HA244" s="2"/>
      <c r="HB244" s="2"/>
      <c r="HC244" s="2"/>
      <c r="HD244" s="2"/>
      <c r="HE244" s="2"/>
      <c r="HF244" s="2"/>
      <c r="HG244" s="2"/>
      <c r="HH244" s="2"/>
      <c r="HI244" s="2"/>
      <c r="HJ244" s="2"/>
      <c r="HK244" s="2"/>
      <c r="HL244" s="2"/>
      <c r="HM244" s="2"/>
      <c r="HN244" s="2"/>
      <c r="HO244" s="2"/>
      <c r="HP244" s="2"/>
      <c r="HQ244" s="2"/>
      <c r="HR244" s="2"/>
      <c r="HS244" s="2"/>
      <c r="HT244" s="2"/>
      <c r="HU244" s="2"/>
      <c r="HV244" s="2"/>
      <c r="HW244" s="2"/>
      <c r="HX244" s="2"/>
      <c r="HY244" s="2"/>
      <c r="HZ244" s="2"/>
      <c r="IA244" s="2"/>
      <c r="IB244" s="2"/>
      <c r="IC244" s="2"/>
      <c r="IH244" s="21"/>
      <c r="II244" s="14"/>
      <c r="IJ244" s="15"/>
      <c r="IK244" s="16"/>
      <c r="IL244" s="20"/>
      <c r="IM244" s="14"/>
      <c r="IN244" s="12"/>
      <c r="IO244" s="14"/>
      <c r="IP244" s="14"/>
    </row>
    <row r="245" spans="1:250">
      <c r="A245" s="2"/>
      <c r="B245" s="2"/>
      <c r="C245" s="2"/>
      <c r="D245" s="2"/>
      <c r="E245" s="2"/>
      <c r="F245" s="2"/>
      <c r="G245" s="2"/>
      <c r="H245" s="2"/>
      <c r="I245" s="2"/>
      <c r="J245" s="2"/>
      <c r="K245" s="2"/>
      <c r="L245" s="2"/>
      <c r="M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2"/>
      <c r="FD245" s="2"/>
      <c r="FE245" s="2"/>
      <c r="FF245" s="2"/>
      <c r="FG245" s="2"/>
      <c r="FH245" s="2"/>
      <c r="FI245" s="2"/>
      <c r="FJ245" s="2"/>
      <c r="FK245" s="2"/>
      <c r="FL245" s="2"/>
      <c r="FM245" s="2"/>
      <c r="FN245" s="2"/>
      <c r="FO245" s="2"/>
      <c r="FP245" s="2"/>
      <c r="FQ245" s="2"/>
      <c r="FR245" s="2"/>
      <c r="FS245" s="2"/>
      <c r="FT245" s="2"/>
      <c r="FU245" s="2"/>
      <c r="FV245" s="2"/>
      <c r="FW245" s="2"/>
      <c r="FX245" s="2"/>
      <c r="FY245" s="2"/>
      <c r="FZ245" s="2"/>
      <c r="GA245" s="2"/>
      <c r="GB245" s="2"/>
      <c r="GC245" s="2"/>
      <c r="GD245" s="2"/>
      <c r="GE245" s="2"/>
      <c r="GF245" s="2"/>
      <c r="GG245" s="2"/>
      <c r="GH245" s="2"/>
      <c r="GI245" s="2"/>
      <c r="GJ245" s="2"/>
      <c r="GK245" s="2"/>
      <c r="GL245" s="2"/>
      <c r="GM245" s="2"/>
      <c r="GN245" s="2"/>
      <c r="GO245" s="2"/>
      <c r="GP245" s="2"/>
      <c r="GQ245" s="2"/>
      <c r="GR245" s="2"/>
      <c r="GS245" s="2"/>
      <c r="GT245" s="2"/>
      <c r="GU245" s="2"/>
      <c r="GV245" s="2"/>
      <c r="GW245" s="2"/>
      <c r="GX245" s="2"/>
      <c r="GY245" s="2"/>
      <c r="GZ245" s="2"/>
      <c r="HA245" s="2"/>
      <c r="HB245" s="2"/>
      <c r="HC245" s="2"/>
      <c r="HD245" s="2"/>
      <c r="HE245" s="2"/>
      <c r="HF245" s="2"/>
      <c r="HG245" s="2"/>
      <c r="HH245" s="2"/>
      <c r="HI245" s="2"/>
      <c r="HJ245" s="2"/>
      <c r="HK245" s="2"/>
      <c r="HL245" s="2"/>
      <c r="HM245" s="2"/>
      <c r="HN245" s="2"/>
      <c r="HO245" s="2"/>
      <c r="HP245" s="2"/>
      <c r="HQ245" s="2"/>
      <c r="HR245" s="2"/>
      <c r="HS245" s="2"/>
      <c r="HT245" s="2"/>
      <c r="HU245" s="2"/>
      <c r="HV245" s="2"/>
      <c r="HW245" s="2"/>
      <c r="HX245" s="2"/>
      <c r="HY245" s="2"/>
      <c r="HZ245" s="2"/>
      <c r="IA245" s="2"/>
      <c r="IB245" s="2"/>
      <c r="IC245" s="2"/>
      <c r="IH245" s="21"/>
      <c r="II245" s="14"/>
      <c r="IJ245" s="15"/>
      <c r="IK245" s="16"/>
      <c r="IL245" s="20"/>
      <c r="IM245" s="14"/>
      <c r="IN245" s="12"/>
      <c r="IO245" s="14"/>
      <c r="IP245" s="14"/>
    </row>
    <row r="246" spans="1:250">
      <c r="A246" s="2"/>
      <c r="B246" s="2"/>
      <c r="C246" s="2"/>
      <c r="D246" s="2"/>
      <c r="E246" s="2"/>
      <c r="F246" s="2"/>
      <c r="G246" s="2"/>
      <c r="H246" s="2"/>
      <c r="I246" s="2"/>
      <c r="J246" s="2"/>
      <c r="K246" s="2"/>
      <c r="L246" s="2"/>
      <c r="M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2"/>
      <c r="FD246" s="2"/>
      <c r="FE246" s="2"/>
      <c r="FF246" s="2"/>
      <c r="FG246" s="2"/>
      <c r="FH246" s="2"/>
      <c r="FI246" s="2"/>
      <c r="FJ246" s="2"/>
      <c r="FK246" s="2"/>
      <c r="FL246" s="2"/>
      <c r="FM246" s="2"/>
      <c r="FN246" s="2"/>
      <c r="FO246" s="2"/>
      <c r="FP246" s="2"/>
      <c r="FQ246" s="2"/>
      <c r="FR246" s="2"/>
      <c r="FS246" s="2"/>
      <c r="FT246" s="2"/>
      <c r="FU246" s="2"/>
      <c r="FV246" s="2"/>
      <c r="FW246" s="2"/>
      <c r="FX246" s="2"/>
      <c r="FY246" s="2"/>
      <c r="FZ246" s="2"/>
      <c r="GA246" s="2"/>
      <c r="GB246" s="2"/>
      <c r="GC246" s="2"/>
      <c r="GD246" s="2"/>
      <c r="GE246" s="2"/>
      <c r="GF246" s="2"/>
      <c r="GG246" s="2"/>
      <c r="GH246" s="2"/>
      <c r="GI246" s="2"/>
      <c r="GJ246" s="2"/>
      <c r="GK246" s="2"/>
      <c r="GL246" s="2"/>
      <c r="GM246" s="2"/>
      <c r="GN246" s="2"/>
      <c r="GO246" s="2"/>
      <c r="GP246" s="2"/>
      <c r="GQ246" s="2"/>
      <c r="GR246" s="2"/>
      <c r="GS246" s="2"/>
      <c r="GT246" s="2"/>
      <c r="GU246" s="2"/>
      <c r="GV246" s="2"/>
      <c r="GW246" s="2"/>
      <c r="GX246" s="2"/>
      <c r="GY246" s="2"/>
      <c r="GZ246" s="2"/>
      <c r="HA246" s="2"/>
      <c r="HB246" s="2"/>
      <c r="HC246" s="2"/>
      <c r="HD246" s="2"/>
      <c r="HE246" s="2"/>
      <c r="HF246" s="2"/>
      <c r="HG246" s="2"/>
      <c r="HH246" s="2"/>
      <c r="HI246" s="2"/>
      <c r="HJ246" s="2"/>
      <c r="HK246" s="2"/>
      <c r="HL246" s="2"/>
      <c r="HM246" s="2"/>
      <c r="HN246" s="2"/>
      <c r="HO246" s="2"/>
      <c r="HP246" s="2"/>
      <c r="HQ246" s="2"/>
      <c r="HR246" s="2"/>
      <c r="HS246" s="2"/>
      <c r="HT246" s="2"/>
      <c r="HU246" s="2"/>
      <c r="HV246" s="2"/>
      <c r="HW246" s="2"/>
      <c r="HX246" s="2"/>
      <c r="HY246" s="2"/>
      <c r="HZ246" s="2"/>
      <c r="IA246" s="2"/>
      <c r="IB246" s="2"/>
      <c r="IC246" s="2"/>
      <c r="IH246" s="21"/>
      <c r="II246" s="14"/>
      <c r="IJ246" s="15"/>
      <c r="IK246" s="16"/>
      <c r="IL246" s="20"/>
      <c r="IM246" s="14"/>
      <c r="IN246" s="12"/>
      <c r="IO246" s="14"/>
      <c r="IP246" s="14"/>
    </row>
    <row r="247" spans="1:250">
      <c r="A247" s="2"/>
      <c r="B247" s="2"/>
      <c r="C247" s="2"/>
      <c r="D247" s="2"/>
      <c r="E247" s="2"/>
      <c r="F247" s="2"/>
      <c r="G247" s="2"/>
      <c r="H247" s="2"/>
      <c r="I247" s="2"/>
      <c r="J247" s="2"/>
      <c r="K247" s="2"/>
      <c r="L247" s="2"/>
      <c r="M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2"/>
      <c r="FD247" s="2"/>
      <c r="FE247" s="2"/>
      <c r="FF247" s="2"/>
      <c r="FG247" s="2"/>
      <c r="FH247" s="2"/>
      <c r="FI247" s="2"/>
      <c r="FJ247" s="2"/>
      <c r="FK247" s="2"/>
      <c r="FL247" s="2"/>
      <c r="FM247" s="2"/>
      <c r="FN247" s="2"/>
      <c r="FO247" s="2"/>
      <c r="FP247" s="2"/>
      <c r="FQ247" s="2"/>
      <c r="FR247" s="2"/>
      <c r="FS247" s="2"/>
      <c r="FT247" s="2"/>
      <c r="FU247" s="2"/>
      <c r="FV247" s="2"/>
      <c r="FW247" s="2"/>
      <c r="FX247" s="2"/>
      <c r="FY247" s="2"/>
      <c r="FZ247" s="2"/>
      <c r="GA247" s="2"/>
      <c r="GB247" s="2"/>
      <c r="GC247" s="2"/>
      <c r="GD247" s="2"/>
      <c r="GE247" s="2"/>
      <c r="GF247" s="2"/>
      <c r="GG247" s="2"/>
      <c r="GH247" s="2"/>
      <c r="GI247" s="2"/>
      <c r="GJ247" s="2"/>
      <c r="GK247" s="2"/>
      <c r="GL247" s="2"/>
      <c r="GM247" s="2"/>
      <c r="GN247" s="2"/>
      <c r="GO247" s="2"/>
      <c r="GP247" s="2"/>
      <c r="GQ247" s="2"/>
      <c r="GR247" s="2"/>
      <c r="GS247" s="2"/>
      <c r="GT247" s="2"/>
      <c r="GU247" s="2"/>
      <c r="GV247" s="2"/>
      <c r="GW247" s="2"/>
      <c r="GX247" s="2"/>
      <c r="GY247" s="2"/>
      <c r="GZ247" s="2"/>
      <c r="HA247" s="2"/>
      <c r="HB247" s="2"/>
      <c r="HC247" s="2"/>
      <c r="HD247" s="2"/>
      <c r="HE247" s="2"/>
      <c r="HF247" s="2"/>
      <c r="HG247" s="2"/>
      <c r="HH247" s="2"/>
      <c r="HI247" s="2"/>
      <c r="HJ247" s="2"/>
      <c r="HK247" s="2"/>
      <c r="HL247" s="2"/>
      <c r="HM247" s="2"/>
      <c r="HN247" s="2"/>
      <c r="HO247" s="2"/>
      <c r="HP247" s="2"/>
      <c r="HQ247" s="2"/>
      <c r="HR247" s="2"/>
      <c r="HS247" s="2"/>
      <c r="HT247" s="2"/>
      <c r="HU247" s="2"/>
      <c r="HV247" s="2"/>
      <c r="HW247" s="2"/>
      <c r="HX247" s="2"/>
      <c r="HY247" s="2"/>
      <c r="HZ247" s="2"/>
      <c r="IA247" s="2"/>
      <c r="IB247" s="2"/>
      <c r="IC247" s="2"/>
      <c r="IH247" s="21"/>
      <c r="II247" s="14"/>
      <c r="IJ247" s="15"/>
      <c r="IK247" s="16"/>
      <c r="IL247" s="20"/>
      <c r="IM247" s="14"/>
      <c r="IN247" s="12"/>
      <c r="IO247" s="14"/>
      <c r="IP247" s="14"/>
    </row>
    <row r="248" spans="1:250">
      <c r="A248" s="2"/>
      <c r="B248" s="2"/>
      <c r="C248" s="2"/>
      <c r="D248" s="2"/>
      <c r="E248" s="2"/>
      <c r="F248" s="2"/>
      <c r="G248" s="2"/>
      <c r="H248" s="2"/>
      <c r="I248" s="2"/>
      <c r="J248" s="2"/>
      <c r="K248" s="2"/>
      <c r="L248" s="2"/>
      <c r="M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2"/>
      <c r="FD248" s="2"/>
      <c r="FE248" s="2"/>
      <c r="FF248" s="2"/>
      <c r="FG248" s="2"/>
      <c r="FH248" s="2"/>
      <c r="FI248" s="2"/>
      <c r="FJ248" s="2"/>
      <c r="FK248" s="2"/>
      <c r="FL248" s="2"/>
      <c r="FM248" s="2"/>
      <c r="FN248" s="2"/>
      <c r="FO248" s="2"/>
      <c r="FP248" s="2"/>
      <c r="FQ248" s="2"/>
      <c r="FR248" s="2"/>
      <c r="FS248" s="2"/>
      <c r="FT248" s="2"/>
      <c r="FU248" s="2"/>
      <c r="FV248" s="2"/>
      <c r="FW248" s="2"/>
      <c r="FX248" s="2"/>
      <c r="FY248" s="2"/>
      <c r="FZ248" s="2"/>
      <c r="GA248" s="2"/>
      <c r="GB248" s="2"/>
      <c r="GC248" s="2"/>
      <c r="GD248" s="2"/>
      <c r="GE248" s="2"/>
      <c r="GF248" s="2"/>
      <c r="GG248" s="2"/>
      <c r="GH248" s="2"/>
      <c r="GI248" s="2"/>
      <c r="GJ248" s="2"/>
      <c r="GK248" s="2"/>
      <c r="GL248" s="2"/>
      <c r="GM248" s="2"/>
      <c r="GN248" s="2"/>
      <c r="GO248" s="2"/>
      <c r="GP248" s="2"/>
      <c r="GQ248" s="2"/>
      <c r="GR248" s="2"/>
      <c r="GS248" s="2"/>
      <c r="GT248" s="2"/>
      <c r="GU248" s="2"/>
      <c r="GV248" s="2"/>
      <c r="GW248" s="2"/>
      <c r="GX248" s="2"/>
      <c r="GY248" s="2"/>
      <c r="GZ248" s="2"/>
      <c r="HA248" s="2"/>
      <c r="HB248" s="2"/>
      <c r="HC248" s="2"/>
      <c r="HD248" s="2"/>
      <c r="HE248" s="2"/>
      <c r="HF248" s="2"/>
      <c r="HG248" s="2"/>
      <c r="HH248" s="2"/>
      <c r="HI248" s="2"/>
      <c r="HJ248" s="2"/>
      <c r="HK248" s="2"/>
      <c r="HL248" s="2"/>
      <c r="HM248" s="2"/>
      <c r="HN248" s="2"/>
      <c r="HO248" s="2"/>
      <c r="HP248" s="2"/>
      <c r="HQ248" s="2"/>
      <c r="HR248" s="2"/>
      <c r="HS248" s="2"/>
      <c r="HT248" s="2"/>
      <c r="HU248" s="2"/>
      <c r="HV248" s="2"/>
      <c r="HW248" s="2"/>
      <c r="HX248" s="2"/>
      <c r="HY248" s="2"/>
      <c r="HZ248" s="2"/>
      <c r="IA248" s="2"/>
      <c r="IB248" s="2"/>
      <c r="IC248" s="2"/>
      <c r="IH248" s="21"/>
      <c r="II248" s="14"/>
      <c r="IJ248" s="15"/>
      <c r="IK248" s="16"/>
      <c r="IL248" s="20"/>
      <c r="IM248" s="14"/>
      <c r="IN248" s="12"/>
      <c r="IO248" s="14"/>
      <c r="IP248" s="14"/>
    </row>
    <row r="249" spans="1:250">
      <c r="A249" s="2"/>
      <c r="B249" s="2"/>
      <c r="C249" s="2"/>
      <c r="D249" s="2"/>
      <c r="E249" s="2"/>
      <c r="F249" s="2"/>
      <c r="G249" s="2"/>
      <c r="H249" s="2"/>
      <c r="I249" s="2"/>
      <c r="J249" s="2"/>
      <c r="K249" s="2"/>
      <c r="L249" s="2"/>
      <c r="M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2"/>
      <c r="FD249" s="2"/>
      <c r="FE249" s="2"/>
      <c r="FF249" s="2"/>
      <c r="FG249" s="2"/>
      <c r="FH249" s="2"/>
      <c r="FI249" s="2"/>
      <c r="FJ249" s="2"/>
      <c r="FK249" s="2"/>
      <c r="FL249" s="2"/>
      <c r="FM249" s="2"/>
      <c r="FN249" s="2"/>
      <c r="FO249" s="2"/>
      <c r="FP249" s="2"/>
      <c r="FQ249" s="2"/>
      <c r="FR249" s="2"/>
      <c r="FS249" s="2"/>
      <c r="FT249" s="2"/>
      <c r="FU249" s="2"/>
      <c r="FV249" s="2"/>
      <c r="FW249" s="2"/>
      <c r="FX249" s="2"/>
      <c r="FY249" s="2"/>
      <c r="FZ249" s="2"/>
      <c r="GA249" s="2"/>
      <c r="GB249" s="2"/>
      <c r="GC249" s="2"/>
      <c r="GD249" s="2"/>
      <c r="GE249" s="2"/>
      <c r="GF249" s="2"/>
      <c r="GG249" s="2"/>
      <c r="GH249" s="2"/>
      <c r="GI249" s="2"/>
      <c r="GJ249" s="2"/>
      <c r="GK249" s="2"/>
      <c r="GL249" s="2"/>
      <c r="GM249" s="2"/>
      <c r="GN249" s="2"/>
      <c r="GO249" s="2"/>
      <c r="GP249" s="2"/>
      <c r="GQ249" s="2"/>
      <c r="GR249" s="2"/>
      <c r="GS249" s="2"/>
      <c r="GT249" s="2"/>
      <c r="GU249" s="2"/>
      <c r="GV249" s="2"/>
      <c r="GW249" s="2"/>
      <c r="GX249" s="2"/>
      <c r="GY249" s="2"/>
      <c r="GZ249" s="2"/>
      <c r="HA249" s="2"/>
      <c r="HB249" s="2"/>
      <c r="HC249" s="2"/>
      <c r="HD249" s="2"/>
      <c r="HE249" s="2"/>
      <c r="HF249" s="2"/>
      <c r="HG249" s="2"/>
      <c r="HH249" s="2"/>
      <c r="HI249" s="2"/>
      <c r="HJ249" s="2"/>
      <c r="HK249" s="2"/>
      <c r="HL249" s="2"/>
      <c r="HM249" s="2"/>
      <c r="HN249" s="2"/>
      <c r="HO249" s="2"/>
      <c r="HP249" s="2"/>
      <c r="HQ249" s="2"/>
      <c r="HR249" s="2"/>
      <c r="HS249" s="2"/>
      <c r="HT249" s="2"/>
      <c r="HU249" s="2"/>
      <c r="HV249" s="2"/>
      <c r="HW249" s="2"/>
      <c r="HX249" s="2"/>
      <c r="HY249" s="2"/>
      <c r="HZ249" s="2"/>
      <c r="IA249" s="2"/>
      <c r="IB249" s="2"/>
      <c r="IC249" s="2"/>
      <c r="IH249" s="21"/>
      <c r="II249" s="14"/>
      <c r="IJ249" s="15"/>
      <c r="IK249" s="16"/>
      <c r="IL249" s="20"/>
      <c r="IM249" s="14"/>
      <c r="IN249" s="12"/>
      <c r="IO249" s="14"/>
      <c r="IP249" s="14"/>
    </row>
    <row r="250" spans="1:250">
      <c r="A250" s="2"/>
      <c r="B250" s="2"/>
      <c r="C250" s="2"/>
      <c r="D250" s="2"/>
      <c r="E250" s="2"/>
      <c r="F250" s="2"/>
      <c r="G250" s="2"/>
      <c r="H250" s="2"/>
      <c r="I250" s="2"/>
      <c r="J250" s="2"/>
      <c r="K250" s="2"/>
      <c r="L250" s="2"/>
      <c r="M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2"/>
      <c r="FD250" s="2"/>
      <c r="FE250" s="2"/>
      <c r="FF250" s="2"/>
      <c r="FG250" s="2"/>
      <c r="FH250" s="2"/>
      <c r="FI250" s="2"/>
      <c r="FJ250" s="2"/>
      <c r="FK250" s="2"/>
      <c r="FL250" s="2"/>
      <c r="FM250" s="2"/>
      <c r="FN250" s="2"/>
      <c r="FO250" s="2"/>
      <c r="FP250" s="2"/>
      <c r="FQ250" s="2"/>
      <c r="FR250" s="2"/>
      <c r="FS250" s="2"/>
      <c r="FT250" s="2"/>
      <c r="FU250" s="2"/>
      <c r="FV250" s="2"/>
      <c r="FW250" s="2"/>
      <c r="FX250" s="2"/>
      <c r="FY250" s="2"/>
      <c r="FZ250" s="2"/>
      <c r="GA250" s="2"/>
      <c r="GB250" s="2"/>
      <c r="GC250" s="2"/>
      <c r="GD250" s="2"/>
      <c r="GE250" s="2"/>
      <c r="GF250" s="2"/>
      <c r="GG250" s="2"/>
      <c r="GH250" s="2"/>
      <c r="GI250" s="2"/>
      <c r="GJ250" s="2"/>
      <c r="GK250" s="2"/>
      <c r="GL250" s="2"/>
      <c r="GM250" s="2"/>
      <c r="GN250" s="2"/>
      <c r="GO250" s="2"/>
      <c r="GP250" s="2"/>
      <c r="GQ250" s="2"/>
      <c r="GR250" s="2"/>
      <c r="GS250" s="2"/>
      <c r="GT250" s="2"/>
      <c r="GU250" s="2"/>
      <c r="GV250" s="2"/>
      <c r="GW250" s="2"/>
      <c r="GX250" s="2"/>
      <c r="GY250" s="2"/>
      <c r="GZ250" s="2"/>
      <c r="HA250" s="2"/>
      <c r="HB250" s="2"/>
      <c r="HC250" s="2"/>
      <c r="HD250" s="2"/>
      <c r="HE250" s="2"/>
      <c r="HF250" s="2"/>
      <c r="HG250" s="2"/>
      <c r="HH250" s="2"/>
      <c r="HI250" s="2"/>
      <c r="HJ250" s="2"/>
      <c r="HK250" s="2"/>
      <c r="HL250" s="2"/>
      <c r="HM250" s="2"/>
      <c r="HN250" s="2"/>
      <c r="HO250" s="2"/>
      <c r="HP250" s="2"/>
      <c r="HQ250" s="2"/>
      <c r="HR250" s="2"/>
      <c r="HS250" s="2"/>
      <c r="HT250" s="2"/>
      <c r="HU250" s="2"/>
      <c r="HV250" s="2"/>
      <c r="HW250" s="2"/>
      <c r="HX250" s="2"/>
      <c r="HY250" s="2"/>
      <c r="HZ250" s="2"/>
      <c r="IA250" s="2"/>
      <c r="IB250" s="2"/>
      <c r="IC250" s="2"/>
      <c r="IH250" s="21"/>
      <c r="II250" s="14"/>
      <c r="IJ250" s="15"/>
      <c r="IK250" s="16"/>
      <c r="IL250" s="20"/>
      <c r="IM250" s="14"/>
      <c r="IN250" s="12"/>
      <c r="IO250" s="14"/>
      <c r="IP250" s="14"/>
    </row>
    <row r="251" spans="1:250">
      <c r="A251" s="2"/>
      <c r="B251" s="2"/>
      <c r="C251" s="2"/>
      <c r="D251" s="2"/>
      <c r="E251" s="2"/>
      <c r="F251" s="2"/>
      <c r="G251" s="2"/>
      <c r="H251" s="2"/>
      <c r="I251" s="2"/>
      <c r="J251" s="2"/>
      <c r="K251" s="2"/>
      <c r="L251" s="2"/>
      <c r="M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2"/>
      <c r="FD251" s="2"/>
      <c r="FE251" s="2"/>
      <c r="FF251" s="2"/>
      <c r="FG251" s="2"/>
      <c r="FH251" s="2"/>
      <c r="FI251" s="2"/>
      <c r="FJ251" s="2"/>
      <c r="FK251" s="2"/>
      <c r="FL251" s="2"/>
      <c r="FM251" s="2"/>
      <c r="FN251" s="2"/>
      <c r="FO251" s="2"/>
      <c r="FP251" s="2"/>
      <c r="FQ251" s="2"/>
      <c r="FR251" s="2"/>
      <c r="FS251" s="2"/>
      <c r="FT251" s="2"/>
      <c r="FU251" s="2"/>
      <c r="FV251" s="2"/>
      <c r="FW251" s="2"/>
      <c r="FX251" s="2"/>
      <c r="FY251" s="2"/>
      <c r="FZ251" s="2"/>
      <c r="GA251" s="2"/>
      <c r="GB251" s="2"/>
      <c r="GC251" s="2"/>
      <c r="GD251" s="2"/>
      <c r="GE251" s="2"/>
      <c r="GF251" s="2"/>
      <c r="GG251" s="2"/>
      <c r="GH251" s="2"/>
      <c r="GI251" s="2"/>
      <c r="GJ251" s="2"/>
      <c r="GK251" s="2"/>
      <c r="GL251" s="2"/>
      <c r="GM251" s="2"/>
      <c r="GN251" s="2"/>
      <c r="GO251" s="2"/>
      <c r="GP251" s="2"/>
      <c r="GQ251" s="2"/>
      <c r="GR251" s="2"/>
      <c r="GS251" s="2"/>
      <c r="GT251" s="2"/>
      <c r="GU251" s="2"/>
      <c r="GV251" s="2"/>
      <c r="GW251" s="2"/>
      <c r="GX251" s="2"/>
      <c r="GY251" s="2"/>
      <c r="GZ251" s="2"/>
      <c r="HA251" s="2"/>
      <c r="HB251" s="2"/>
      <c r="HC251" s="2"/>
      <c r="HD251" s="2"/>
      <c r="HE251" s="2"/>
      <c r="HF251" s="2"/>
      <c r="HG251" s="2"/>
      <c r="HH251" s="2"/>
      <c r="HI251" s="2"/>
      <c r="HJ251" s="2"/>
      <c r="HK251" s="2"/>
      <c r="HL251" s="2"/>
      <c r="HM251" s="2"/>
      <c r="HN251" s="2"/>
      <c r="HO251" s="2"/>
      <c r="HP251" s="2"/>
      <c r="HQ251" s="2"/>
      <c r="HR251" s="2"/>
      <c r="HS251" s="2"/>
      <c r="HT251" s="2"/>
      <c r="HU251" s="2"/>
      <c r="HV251" s="2"/>
      <c r="HW251" s="2"/>
      <c r="HX251" s="2"/>
      <c r="HY251" s="2"/>
      <c r="HZ251" s="2"/>
      <c r="IA251" s="2"/>
      <c r="IB251" s="2"/>
      <c r="IC251" s="2"/>
      <c r="IH251" s="21"/>
      <c r="II251" s="14"/>
      <c r="IJ251" s="15"/>
      <c r="IK251" s="16"/>
      <c r="IL251" s="20"/>
      <c r="IM251" s="14"/>
      <c r="IN251" s="12"/>
      <c r="IO251" s="14"/>
      <c r="IP251" s="14"/>
    </row>
    <row r="252" spans="1:250">
      <c r="A252" s="2"/>
      <c r="B252" s="2"/>
      <c r="C252" s="2"/>
      <c r="D252" s="2"/>
      <c r="E252" s="2"/>
      <c r="F252" s="2"/>
      <c r="G252" s="2"/>
      <c r="H252" s="2"/>
      <c r="I252" s="2"/>
      <c r="J252" s="2"/>
      <c r="K252" s="2"/>
      <c r="L252" s="2"/>
      <c r="M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2"/>
      <c r="FD252" s="2"/>
      <c r="FE252" s="2"/>
      <c r="FF252" s="2"/>
      <c r="FG252" s="2"/>
      <c r="FH252" s="2"/>
      <c r="FI252" s="2"/>
      <c r="FJ252" s="2"/>
      <c r="FK252" s="2"/>
      <c r="FL252" s="2"/>
      <c r="FM252" s="2"/>
      <c r="FN252" s="2"/>
      <c r="FO252" s="2"/>
      <c r="FP252" s="2"/>
      <c r="FQ252" s="2"/>
      <c r="FR252" s="2"/>
      <c r="FS252" s="2"/>
      <c r="FT252" s="2"/>
      <c r="FU252" s="2"/>
      <c r="FV252" s="2"/>
      <c r="FW252" s="2"/>
      <c r="FX252" s="2"/>
      <c r="FY252" s="2"/>
      <c r="FZ252" s="2"/>
      <c r="GA252" s="2"/>
      <c r="GB252" s="2"/>
      <c r="GC252" s="2"/>
      <c r="GD252" s="2"/>
      <c r="GE252" s="2"/>
      <c r="GF252" s="2"/>
      <c r="GG252" s="2"/>
      <c r="GH252" s="2"/>
      <c r="GI252" s="2"/>
      <c r="GJ252" s="2"/>
      <c r="GK252" s="2"/>
      <c r="GL252" s="2"/>
      <c r="GM252" s="2"/>
      <c r="GN252" s="2"/>
      <c r="GO252" s="2"/>
      <c r="GP252" s="2"/>
      <c r="GQ252" s="2"/>
      <c r="GR252" s="2"/>
      <c r="GS252" s="2"/>
      <c r="GT252" s="2"/>
      <c r="GU252" s="2"/>
      <c r="GV252" s="2"/>
      <c r="GW252" s="2"/>
      <c r="GX252" s="2"/>
      <c r="GY252" s="2"/>
      <c r="GZ252" s="2"/>
      <c r="HA252" s="2"/>
      <c r="HB252" s="2"/>
      <c r="HC252" s="2"/>
      <c r="HD252" s="2"/>
      <c r="HE252" s="2"/>
      <c r="HF252" s="2"/>
      <c r="HG252" s="2"/>
      <c r="HH252" s="2"/>
      <c r="HI252" s="2"/>
      <c r="HJ252" s="2"/>
      <c r="HK252" s="2"/>
      <c r="HL252" s="2"/>
      <c r="HM252" s="2"/>
      <c r="HN252" s="2"/>
      <c r="HO252" s="2"/>
      <c r="HP252" s="2"/>
      <c r="HQ252" s="2"/>
      <c r="HR252" s="2"/>
      <c r="HS252" s="2"/>
      <c r="HT252" s="2"/>
      <c r="HU252" s="2"/>
      <c r="HV252" s="2"/>
      <c r="HW252" s="2"/>
      <c r="HX252" s="2"/>
      <c r="HY252" s="2"/>
      <c r="HZ252" s="2"/>
      <c r="IA252" s="2"/>
      <c r="IB252" s="2"/>
      <c r="IC252" s="2"/>
      <c r="IH252" s="21"/>
      <c r="II252" s="14"/>
      <c r="IJ252" s="15"/>
      <c r="IK252" s="16"/>
      <c r="IL252" s="20"/>
      <c r="IM252" s="14"/>
      <c r="IN252" s="12"/>
      <c r="IO252" s="14"/>
      <c r="IP252" s="14"/>
    </row>
    <row r="253" spans="1:250">
      <c r="A253" s="2"/>
      <c r="B253" s="2"/>
      <c r="C253" s="2"/>
      <c r="D253" s="2"/>
      <c r="E253" s="2"/>
      <c r="F253" s="2"/>
      <c r="G253" s="2"/>
      <c r="H253" s="2"/>
      <c r="I253" s="2"/>
      <c r="J253" s="2"/>
      <c r="K253" s="2"/>
      <c r="L253" s="2"/>
      <c r="M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2"/>
      <c r="FD253" s="2"/>
      <c r="FE253" s="2"/>
      <c r="FF253" s="2"/>
      <c r="FG253" s="2"/>
      <c r="FH253" s="2"/>
      <c r="FI253" s="2"/>
      <c r="FJ253" s="2"/>
      <c r="FK253" s="2"/>
      <c r="FL253" s="2"/>
      <c r="FM253" s="2"/>
      <c r="FN253" s="2"/>
      <c r="FO253" s="2"/>
      <c r="FP253" s="2"/>
      <c r="FQ253" s="2"/>
      <c r="FR253" s="2"/>
      <c r="FS253" s="2"/>
      <c r="FT253" s="2"/>
      <c r="FU253" s="2"/>
      <c r="FV253" s="2"/>
      <c r="FW253" s="2"/>
      <c r="FX253" s="2"/>
      <c r="FY253" s="2"/>
      <c r="FZ253" s="2"/>
      <c r="GA253" s="2"/>
      <c r="GB253" s="2"/>
      <c r="GC253" s="2"/>
      <c r="GD253" s="2"/>
      <c r="GE253" s="2"/>
      <c r="GF253" s="2"/>
      <c r="GG253" s="2"/>
      <c r="GH253" s="2"/>
      <c r="GI253" s="2"/>
      <c r="GJ253" s="2"/>
      <c r="GK253" s="2"/>
      <c r="GL253" s="2"/>
      <c r="GM253" s="2"/>
      <c r="GN253" s="2"/>
      <c r="GO253" s="2"/>
      <c r="GP253" s="2"/>
      <c r="GQ253" s="2"/>
      <c r="GR253" s="2"/>
      <c r="GS253" s="2"/>
      <c r="GT253" s="2"/>
      <c r="GU253" s="2"/>
      <c r="GV253" s="2"/>
      <c r="GW253" s="2"/>
      <c r="GX253" s="2"/>
      <c r="GY253" s="2"/>
      <c r="GZ253" s="2"/>
      <c r="HA253" s="2"/>
      <c r="HB253" s="2"/>
      <c r="HC253" s="2"/>
      <c r="HD253" s="2"/>
      <c r="HE253" s="2"/>
      <c r="HF253" s="2"/>
      <c r="HG253" s="2"/>
      <c r="HH253" s="2"/>
      <c r="HI253" s="2"/>
      <c r="HJ253" s="2"/>
      <c r="HK253" s="2"/>
      <c r="HL253" s="2"/>
      <c r="HM253" s="2"/>
      <c r="HN253" s="2"/>
      <c r="HO253" s="2"/>
      <c r="HP253" s="2"/>
      <c r="HQ253" s="2"/>
      <c r="HR253" s="2"/>
      <c r="HS253" s="2"/>
      <c r="HT253" s="2"/>
      <c r="HU253" s="2"/>
      <c r="HV253" s="2"/>
      <c r="HW253" s="2"/>
      <c r="HX253" s="2"/>
      <c r="HY253" s="2"/>
      <c r="HZ253" s="2"/>
      <c r="IA253" s="2"/>
      <c r="IB253" s="2"/>
      <c r="IC253" s="2"/>
      <c r="IH253" s="21"/>
      <c r="II253" s="14"/>
      <c r="IJ253" s="15"/>
      <c r="IK253" s="16"/>
      <c r="IL253" s="20"/>
      <c r="IM253" s="14"/>
      <c r="IN253" s="12"/>
      <c r="IO253" s="14"/>
      <c r="IP253" s="14"/>
    </row>
    <row r="254" spans="1:250">
      <c r="A254" s="2"/>
      <c r="B254" s="2"/>
      <c r="C254" s="2"/>
      <c r="D254" s="2"/>
      <c r="E254" s="2"/>
      <c r="F254" s="2"/>
      <c r="G254" s="2"/>
      <c r="H254" s="2"/>
      <c r="I254" s="2"/>
      <c r="J254" s="2"/>
      <c r="K254" s="2"/>
      <c r="L254" s="2"/>
      <c r="M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2"/>
      <c r="FD254" s="2"/>
      <c r="FE254" s="2"/>
      <c r="FF254" s="2"/>
      <c r="FG254" s="2"/>
      <c r="FH254" s="2"/>
      <c r="FI254" s="2"/>
      <c r="FJ254" s="2"/>
      <c r="FK254" s="2"/>
      <c r="FL254" s="2"/>
      <c r="FM254" s="2"/>
      <c r="FN254" s="2"/>
      <c r="FO254" s="2"/>
      <c r="FP254" s="2"/>
      <c r="FQ254" s="2"/>
      <c r="FR254" s="2"/>
      <c r="FS254" s="2"/>
      <c r="FT254" s="2"/>
      <c r="FU254" s="2"/>
      <c r="FV254" s="2"/>
      <c r="FW254" s="2"/>
      <c r="FX254" s="2"/>
      <c r="FY254" s="2"/>
      <c r="FZ254" s="2"/>
      <c r="GA254" s="2"/>
      <c r="GB254" s="2"/>
      <c r="GC254" s="2"/>
      <c r="GD254" s="2"/>
      <c r="GE254" s="2"/>
      <c r="GF254" s="2"/>
      <c r="GG254" s="2"/>
      <c r="GH254" s="2"/>
      <c r="GI254" s="2"/>
      <c r="GJ254" s="2"/>
      <c r="GK254" s="2"/>
      <c r="GL254" s="2"/>
      <c r="GM254" s="2"/>
      <c r="GN254" s="2"/>
      <c r="GO254" s="2"/>
      <c r="GP254" s="2"/>
      <c r="GQ254" s="2"/>
      <c r="GR254" s="2"/>
      <c r="GS254" s="2"/>
      <c r="GT254" s="2"/>
      <c r="GU254" s="2"/>
      <c r="GV254" s="2"/>
      <c r="GW254" s="2"/>
      <c r="GX254" s="2"/>
      <c r="GY254" s="2"/>
      <c r="GZ254" s="2"/>
      <c r="HA254" s="2"/>
      <c r="HB254" s="2"/>
      <c r="HC254" s="2"/>
      <c r="HD254" s="2"/>
      <c r="HE254" s="2"/>
      <c r="HF254" s="2"/>
      <c r="HG254" s="2"/>
      <c r="HH254" s="2"/>
      <c r="HI254" s="2"/>
      <c r="HJ254" s="2"/>
      <c r="HK254" s="2"/>
      <c r="HL254" s="2"/>
      <c r="HM254" s="2"/>
      <c r="HN254" s="2"/>
      <c r="HO254" s="2"/>
      <c r="HP254" s="2"/>
      <c r="HQ254" s="2"/>
      <c r="HR254" s="2"/>
      <c r="HS254" s="2"/>
      <c r="HT254" s="2"/>
      <c r="HU254" s="2"/>
      <c r="HV254" s="2"/>
      <c r="HW254" s="2"/>
      <c r="HX254" s="2"/>
      <c r="HY254" s="2"/>
      <c r="HZ254" s="2"/>
      <c r="IA254" s="2"/>
      <c r="IB254" s="2"/>
      <c r="IC254" s="2"/>
      <c r="IH254" s="21"/>
      <c r="II254" s="14"/>
      <c r="IJ254" s="15"/>
      <c r="IK254" s="16"/>
      <c r="IL254" s="20"/>
      <c r="IM254" s="14"/>
      <c r="IN254" s="12"/>
      <c r="IO254" s="14"/>
      <c r="IP254" s="14"/>
    </row>
    <row r="255" spans="1:250">
      <c r="A255" s="2"/>
      <c r="B255" s="2"/>
      <c r="C255" s="2"/>
      <c r="D255" s="2"/>
      <c r="E255" s="2"/>
      <c r="F255" s="2"/>
      <c r="G255" s="2"/>
      <c r="H255" s="2"/>
      <c r="I255" s="2"/>
      <c r="J255" s="2"/>
      <c r="K255" s="2"/>
      <c r="L255" s="2"/>
      <c r="M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2"/>
      <c r="FD255" s="2"/>
      <c r="FE255" s="2"/>
      <c r="FF255" s="2"/>
      <c r="FG255" s="2"/>
      <c r="FH255" s="2"/>
      <c r="FI255" s="2"/>
      <c r="FJ255" s="2"/>
      <c r="FK255" s="2"/>
      <c r="FL255" s="2"/>
      <c r="FM255" s="2"/>
      <c r="FN255" s="2"/>
      <c r="FO255" s="2"/>
      <c r="FP255" s="2"/>
      <c r="FQ255" s="2"/>
      <c r="FR255" s="2"/>
      <c r="FS255" s="2"/>
      <c r="FT255" s="2"/>
      <c r="FU255" s="2"/>
      <c r="FV255" s="2"/>
      <c r="FW255" s="2"/>
      <c r="FX255" s="2"/>
      <c r="FY255" s="2"/>
      <c r="FZ255" s="2"/>
      <c r="GA255" s="2"/>
      <c r="GB255" s="2"/>
      <c r="GC255" s="2"/>
      <c r="GD255" s="2"/>
      <c r="GE255" s="2"/>
      <c r="GF255" s="2"/>
      <c r="GG255" s="2"/>
      <c r="GH255" s="2"/>
      <c r="GI255" s="2"/>
      <c r="GJ255" s="2"/>
      <c r="GK255" s="2"/>
      <c r="GL255" s="2"/>
      <c r="GM255" s="2"/>
      <c r="GN255" s="2"/>
      <c r="GO255" s="2"/>
      <c r="GP255" s="2"/>
      <c r="GQ255" s="2"/>
      <c r="GR255" s="2"/>
      <c r="GS255" s="2"/>
      <c r="GT255" s="2"/>
      <c r="GU255" s="2"/>
      <c r="GV255" s="2"/>
      <c r="GW255" s="2"/>
      <c r="GX255" s="2"/>
      <c r="GY255" s="2"/>
      <c r="GZ255" s="2"/>
      <c r="HA255" s="2"/>
      <c r="HB255" s="2"/>
      <c r="HC255" s="2"/>
      <c r="HD255" s="2"/>
      <c r="HE255" s="2"/>
      <c r="HF255" s="2"/>
      <c r="HG255" s="2"/>
      <c r="HH255" s="2"/>
      <c r="HI255" s="2"/>
      <c r="HJ255" s="2"/>
      <c r="HK255" s="2"/>
      <c r="HL255" s="2"/>
      <c r="HM255" s="2"/>
      <c r="HN255" s="2"/>
      <c r="HO255" s="2"/>
      <c r="HP255" s="2"/>
      <c r="HQ255" s="2"/>
      <c r="HR255" s="2"/>
      <c r="HS255" s="2"/>
      <c r="HT255" s="2"/>
      <c r="HU255" s="2"/>
      <c r="HV255" s="2"/>
      <c r="HW255" s="2"/>
      <c r="HX255" s="2"/>
      <c r="HY255" s="2"/>
      <c r="HZ255" s="2"/>
      <c r="IA255" s="2"/>
      <c r="IB255" s="2"/>
      <c r="IC255" s="2"/>
      <c r="IH255" s="21"/>
      <c r="II255" s="14"/>
      <c r="IJ255" s="15"/>
      <c r="IK255" s="16"/>
      <c r="IL255" s="20"/>
      <c r="IM255" s="14"/>
      <c r="IN255" s="12"/>
      <c r="IO255" s="14"/>
      <c r="IP255" s="14"/>
    </row>
    <row r="256" spans="1:250">
      <c r="A256" s="2"/>
      <c r="B256" s="2"/>
      <c r="C256" s="2"/>
      <c r="D256" s="2"/>
      <c r="E256" s="2"/>
      <c r="F256" s="2"/>
      <c r="G256" s="2"/>
      <c r="H256" s="2"/>
      <c r="I256" s="2"/>
      <c r="J256" s="2"/>
      <c r="K256" s="2"/>
      <c r="L256" s="2"/>
      <c r="M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2"/>
      <c r="FD256" s="2"/>
      <c r="FE256" s="2"/>
      <c r="FF256" s="2"/>
      <c r="FG256" s="2"/>
      <c r="FH256" s="2"/>
      <c r="FI256" s="2"/>
      <c r="FJ256" s="2"/>
      <c r="FK256" s="2"/>
      <c r="FL256" s="2"/>
      <c r="FM256" s="2"/>
      <c r="FN256" s="2"/>
      <c r="FO256" s="2"/>
      <c r="FP256" s="2"/>
      <c r="FQ256" s="2"/>
      <c r="FR256" s="2"/>
      <c r="FS256" s="2"/>
      <c r="FT256" s="2"/>
      <c r="FU256" s="2"/>
      <c r="FV256" s="2"/>
      <c r="FW256" s="2"/>
      <c r="FX256" s="2"/>
      <c r="FY256" s="2"/>
      <c r="FZ256" s="2"/>
      <c r="GA256" s="2"/>
      <c r="GB256" s="2"/>
      <c r="GC256" s="2"/>
      <c r="GD256" s="2"/>
      <c r="GE256" s="2"/>
      <c r="GF256" s="2"/>
      <c r="GG256" s="2"/>
      <c r="GH256" s="2"/>
      <c r="GI256" s="2"/>
      <c r="GJ256" s="2"/>
      <c r="GK256" s="2"/>
      <c r="GL256" s="2"/>
      <c r="GM256" s="2"/>
      <c r="GN256" s="2"/>
      <c r="GO256" s="2"/>
      <c r="GP256" s="2"/>
      <c r="GQ256" s="2"/>
      <c r="GR256" s="2"/>
      <c r="GS256" s="2"/>
      <c r="GT256" s="2"/>
      <c r="GU256" s="2"/>
      <c r="GV256" s="2"/>
      <c r="GW256" s="2"/>
      <c r="GX256" s="2"/>
      <c r="GY256" s="2"/>
      <c r="GZ256" s="2"/>
      <c r="HA256" s="2"/>
      <c r="HB256" s="2"/>
      <c r="HC256" s="2"/>
      <c r="HD256" s="2"/>
      <c r="HE256" s="2"/>
      <c r="HF256" s="2"/>
      <c r="HG256" s="2"/>
      <c r="HH256" s="2"/>
      <c r="HI256" s="2"/>
      <c r="HJ256" s="2"/>
      <c r="HK256" s="2"/>
      <c r="HL256" s="2"/>
      <c r="HM256" s="2"/>
      <c r="HN256" s="2"/>
      <c r="HO256" s="2"/>
      <c r="HP256" s="2"/>
      <c r="HQ256" s="2"/>
      <c r="HR256" s="2"/>
      <c r="HS256" s="2"/>
      <c r="HT256" s="2"/>
      <c r="HU256" s="2"/>
      <c r="HV256" s="2"/>
      <c r="HW256" s="2"/>
      <c r="HX256" s="2"/>
      <c r="HY256" s="2"/>
      <c r="HZ256" s="2"/>
      <c r="IA256" s="2"/>
      <c r="IB256" s="2"/>
      <c r="IC256" s="2"/>
      <c r="IH256" s="21"/>
      <c r="II256" s="14"/>
      <c r="IJ256" s="15"/>
      <c r="IK256" s="16"/>
      <c r="IL256" s="20"/>
      <c r="IM256" s="14"/>
      <c r="IN256" s="12"/>
      <c r="IO256" s="14"/>
      <c r="IP256" s="14"/>
    </row>
    <row r="257" spans="1:250">
      <c r="A257" s="2"/>
      <c r="B257" s="2"/>
      <c r="C257" s="2"/>
      <c r="D257" s="2"/>
      <c r="E257" s="2"/>
      <c r="F257" s="2"/>
      <c r="G257" s="2"/>
      <c r="H257" s="2"/>
      <c r="I257" s="2"/>
      <c r="J257" s="2"/>
      <c r="K257" s="2"/>
      <c r="L257" s="2"/>
      <c r="M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2"/>
      <c r="FD257" s="2"/>
      <c r="FE257" s="2"/>
      <c r="FF257" s="2"/>
      <c r="FG257" s="2"/>
      <c r="FH257" s="2"/>
      <c r="FI257" s="2"/>
      <c r="FJ257" s="2"/>
      <c r="FK257" s="2"/>
      <c r="FL257" s="2"/>
      <c r="FM257" s="2"/>
      <c r="FN257" s="2"/>
      <c r="FO257" s="2"/>
      <c r="FP257" s="2"/>
      <c r="FQ257" s="2"/>
      <c r="FR257" s="2"/>
      <c r="FS257" s="2"/>
      <c r="FT257" s="2"/>
      <c r="FU257" s="2"/>
      <c r="FV257" s="2"/>
      <c r="FW257" s="2"/>
      <c r="FX257" s="2"/>
      <c r="FY257" s="2"/>
      <c r="FZ257" s="2"/>
      <c r="GA257" s="2"/>
      <c r="GB257" s="2"/>
      <c r="GC257" s="2"/>
      <c r="GD257" s="2"/>
      <c r="GE257" s="2"/>
      <c r="GF257" s="2"/>
      <c r="GG257" s="2"/>
      <c r="GH257" s="2"/>
      <c r="GI257" s="2"/>
      <c r="GJ257" s="2"/>
      <c r="GK257" s="2"/>
      <c r="GL257" s="2"/>
      <c r="GM257" s="2"/>
      <c r="GN257" s="2"/>
      <c r="GO257" s="2"/>
      <c r="GP257" s="2"/>
      <c r="GQ257" s="2"/>
      <c r="GR257" s="2"/>
      <c r="GS257" s="2"/>
      <c r="GT257" s="2"/>
      <c r="GU257" s="2"/>
      <c r="GV257" s="2"/>
      <c r="GW257" s="2"/>
      <c r="GX257" s="2"/>
      <c r="GY257" s="2"/>
      <c r="GZ257" s="2"/>
      <c r="HA257" s="2"/>
      <c r="HB257" s="2"/>
      <c r="HC257" s="2"/>
      <c r="HD257" s="2"/>
      <c r="HE257" s="2"/>
      <c r="HF257" s="2"/>
      <c r="HG257" s="2"/>
      <c r="HH257" s="2"/>
      <c r="HI257" s="2"/>
      <c r="HJ257" s="2"/>
      <c r="HK257" s="2"/>
      <c r="HL257" s="2"/>
      <c r="HM257" s="2"/>
      <c r="HN257" s="2"/>
      <c r="HO257" s="2"/>
      <c r="HP257" s="2"/>
      <c r="HQ257" s="2"/>
      <c r="HR257" s="2"/>
      <c r="HS257" s="2"/>
      <c r="HT257" s="2"/>
      <c r="HU257" s="2"/>
      <c r="HV257" s="2"/>
      <c r="HW257" s="2"/>
      <c r="HX257" s="2"/>
      <c r="HY257" s="2"/>
      <c r="HZ257" s="2"/>
      <c r="IA257" s="2"/>
      <c r="IB257" s="2"/>
      <c r="IC257" s="2"/>
      <c r="IH257" s="21"/>
      <c r="II257" s="14"/>
      <c r="IJ257" s="15"/>
      <c r="IK257" s="16"/>
      <c r="IL257" s="20"/>
      <c r="IM257" s="14"/>
      <c r="IN257" s="12"/>
      <c r="IO257" s="14"/>
      <c r="IP257" s="14"/>
    </row>
    <row r="258" spans="1:250">
      <c r="A258" s="2"/>
      <c r="B258" s="2"/>
      <c r="C258" s="2"/>
      <c r="D258" s="2"/>
      <c r="E258" s="2"/>
      <c r="F258" s="2"/>
      <c r="G258" s="2"/>
      <c r="H258" s="2"/>
      <c r="I258" s="2"/>
      <c r="J258" s="2"/>
      <c r="K258" s="2"/>
      <c r="L258" s="2"/>
      <c r="M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2"/>
      <c r="FD258" s="2"/>
      <c r="FE258" s="2"/>
      <c r="FF258" s="2"/>
      <c r="FG258" s="2"/>
      <c r="FH258" s="2"/>
      <c r="FI258" s="2"/>
      <c r="FJ258" s="2"/>
      <c r="FK258" s="2"/>
      <c r="FL258" s="2"/>
      <c r="FM258" s="2"/>
      <c r="FN258" s="2"/>
      <c r="FO258" s="2"/>
      <c r="FP258" s="2"/>
      <c r="FQ258" s="2"/>
      <c r="FR258" s="2"/>
      <c r="FS258" s="2"/>
      <c r="FT258" s="2"/>
      <c r="FU258" s="2"/>
      <c r="FV258" s="2"/>
      <c r="FW258" s="2"/>
      <c r="FX258" s="2"/>
      <c r="FY258" s="2"/>
      <c r="FZ258" s="2"/>
      <c r="GA258" s="2"/>
      <c r="GB258" s="2"/>
      <c r="GC258" s="2"/>
      <c r="GD258" s="2"/>
      <c r="GE258" s="2"/>
      <c r="GF258" s="2"/>
      <c r="GG258" s="2"/>
      <c r="GH258" s="2"/>
      <c r="GI258" s="2"/>
      <c r="GJ258" s="2"/>
      <c r="GK258" s="2"/>
      <c r="GL258" s="2"/>
      <c r="GM258" s="2"/>
      <c r="GN258" s="2"/>
      <c r="GO258" s="2"/>
      <c r="GP258" s="2"/>
      <c r="GQ258" s="2"/>
      <c r="GR258" s="2"/>
      <c r="GS258" s="2"/>
      <c r="GT258" s="2"/>
      <c r="GU258" s="2"/>
      <c r="GV258" s="2"/>
      <c r="GW258" s="2"/>
      <c r="GX258" s="2"/>
      <c r="GY258" s="2"/>
      <c r="GZ258" s="2"/>
      <c r="HA258" s="2"/>
      <c r="HB258" s="2"/>
      <c r="HC258" s="2"/>
      <c r="HD258" s="2"/>
      <c r="HE258" s="2"/>
      <c r="HF258" s="2"/>
      <c r="HG258" s="2"/>
      <c r="HH258" s="2"/>
      <c r="HI258" s="2"/>
      <c r="HJ258" s="2"/>
      <c r="HK258" s="2"/>
      <c r="HL258" s="2"/>
      <c r="HM258" s="2"/>
      <c r="HN258" s="2"/>
      <c r="HO258" s="2"/>
      <c r="HP258" s="2"/>
      <c r="HQ258" s="2"/>
      <c r="HR258" s="2"/>
      <c r="HS258" s="2"/>
      <c r="HT258" s="2"/>
      <c r="HU258" s="2"/>
      <c r="HV258" s="2"/>
      <c r="HW258" s="2"/>
      <c r="HX258" s="2"/>
      <c r="HY258" s="2"/>
      <c r="HZ258" s="2"/>
      <c r="IA258" s="2"/>
      <c r="IB258" s="2"/>
      <c r="IC258" s="2"/>
      <c r="IH258" s="21"/>
      <c r="II258" s="14"/>
      <c r="IJ258" s="15"/>
      <c r="IK258" s="16"/>
      <c r="IL258" s="20"/>
      <c r="IM258" s="14"/>
      <c r="IN258" s="12"/>
      <c r="IO258" s="14"/>
      <c r="IP258" s="14"/>
    </row>
    <row r="259" spans="1:250">
      <c r="A259" s="2"/>
      <c r="B259" s="2"/>
      <c r="C259" s="2"/>
      <c r="D259" s="2"/>
      <c r="E259" s="2"/>
      <c r="F259" s="2"/>
      <c r="G259" s="2"/>
      <c r="H259" s="2"/>
      <c r="I259" s="2"/>
      <c r="J259" s="2"/>
      <c r="K259" s="2"/>
      <c r="L259" s="2"/>
      <c r="M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2"/>
      <c r="FD259" s="2"/>
      <c r="FE259" s="2"/>
      <c r="FF259" s="2"/>
      <c r="FG259" s="2"/>
      <c r="FH259" s="2"/>
      <c r="FI259" s="2"/>
      <c r="FJ259" s="2"/>
      <c r="FK259" s="2"/>
      <c r="FL259" s="2"/>
      <c r="FM259" s="2"/>
      <c r="FN259" s="2"/>
      <c r="FO259" s="2"/>
      <c r="FP259" s="2"/>
      <c r="FQ259" s="2"/>
      <c r="FR259" s="2"/>
      <c r="FS259" s="2"/>
      <c r="FT259" s="2"/>
      <c r="FU259" s="2"/>
      <c r="FV259" s="2"/>
      <c r="FW259" s="2"/>
      <c r="FX259" s="2"/>
      <c r="FY259" s="2"/>
      <c r="FZ259" s="2"/>
      <c r="GA259" s="2"/>
      <c r="GB259" s="2"/>
      <c r="GC259" s="2"/>
      <c r="GD259" s="2"/>
      <c r="GE259" s="2"/>
      <c r="GF259" s="2"/>
      <c r="GG259" s="2"/>
      <c r="GH259" s="2"/>
      <c r="GI259" s="2"/>
      <c r="GJ259" s="2"/>
      <c r="GK259" s="2"/>
      <c r="GL259" s="2"/>
      <c r="GM259" s="2"/>
      <c r="GN259" s="2"/>
      <c r="GO259" s="2"/>
      <c r="GP259" s="2"/>
      <c r="GQ259" s="2"/>
      <c r="GR259" s="2"/>
      <c r="GS259" s="2"/>
      <c r="GT259" s="2"/>
      <c r="GU259" s="2"/>
      <c r="GV259" s="2"/>
      <c r="GW259" s="2"/>
      <c r="GX259" s="2"/>
      <c r="GY259" s="2"/>
      <c r="GZ259" s="2"/>
      <c r="HA259" s="2"/>
      <c r="HB259" s="2"/>
      <c r="HC259" s="2"/>
      <c r="HD259" s="2"/>
      <c r="HE259" s="2"/>
      <c r="HF259" s="2"/>
      <c r="HG259" s="2"/>
      <c r="HH259" s="2"/>
      <c r="HI259" s="2"/>
      <c r="HJ259" s="2"/>
      <c r="HK259" s="2"/>
      <c r="HL259" s="2"/>
      <c r="HM259" s="2"/>
      <c r="HN259" s="2"/>
      <c r="HO259" s="2"/>
      <c r="HP259" s="2"/>
      <c r="HQ259" s="2"/>
      <c r="HR259" s="2"/>
      <c r="HS259" s="2"/>
      <c r="HT259" s="2"/>
      <c r="HU259" s="2"/>
      <c r="HV259" s="2"/>
      <c r="HW259" s="2"/>
      <c r="HX259" s="2"/>
      <c r="HY259" s="2"/>
      <c r="HZ259" s="2"/>
      <c r="IA259" s="2"/>
      <c r="IB259" s="2"/>
      <c r="IC259" s="2"/>
      <c r="IH259" s="21"/>
      <c r="II259" s="14"/>
      <c r="IJ259" s="15"/>
      <c r="IK259" s="16"/>
      <c r="IL259" s="20"/>
      <c r="IM259" s="14"/>
      <c r="IN259" s="12"/>
      <c r="IO259" s="14"/>
      <c r="IP259" s="14"/>
    </row>
    <row r="260" spans="1:250">
      <c r="A260" s="2"/>
      <c r="B260" s="2"/>
      <c r="C260" s="2"/>
      <c r="D260" s="2"/>
      <c r="E260" s="2"/>
      <c r="F260" s="2"/>
      <c r="G260" s="2"/>
      <c r="H260" s="2"/>
      <c r="I260" s="2"/>
      <c r="J260" s="2"/>
      <c r="K260" s="2"/>
      <c r="L260" s="2"/>
      <c r="M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2"/>
      <c r="FD260" s="2"/>
      <c r="FE260" s="2"/>
      <c r="FF260" s="2"/>
      <c r="FG260" s="2"/>
      <c r="FH260" s="2"/>
      <c r="FI260" s="2"/>
      <c r="FJ260" s="2"/>
      <c r="FK260" s="2"/>
      <c r="FL260" s="2"/>
      <c r="FM260" s="2"/>
      <c r="FN260" s="2"/>
      <c r="FO260" s="2"/>
      <c r="FP260" s="2"/>
      <c r="FQ260" s="2"/>
      <c r="FR260" s="2"/>
      <c r="FS260" s="2"/>
      <c r="FT260" s="2"/>
      <c r="FU260" s="2"/>
      <c r="FV260" s="2"/>
      <c r="FW260" s="2"/>
      <c r="FX260" s="2"/>
      <c r="FY260" s="2"/>
      <c r="FZ260" s="2"/>
      <c r="GA260" s="2"/>
      <c r="GB260" s="2"/>
      <c r="GC260" s="2"/>
      <c r="GD260" s="2"/>
      <c r="GE260" s="2"/>
      <c r="GF260" s="2"/>
      <c r="GG260" s="2"/>
      <c r="GH260" s="2"/>
      <c r="GI260" s="2"/>
      <c r="GJ260" s="2"/>
      <c r="GK260" s="2"/>
      <c r="GL260" s="2"/>
      <c r="GM260" s="2"/>
      <c r="GN260" s="2"/>
      <c r="GO260" s="2"/>
      <c r="GP260" s="2"/>
      <c r="GQ260" s="2"/>
      <c r="GR260" s="2"/>
      <c r="GS260" s="2"/>
      <c r="GT260" s="2"/>
      <c r="GU260" s="2"/>
      <c r="GV260" s="2"/>
      <c r="GW260" s="2"/>
      <c r="GX260" s="2"/>
      <c r="GY260" s="2"/>
      <c r="GZ260" s="2"/>
      <c r="HA260" s="2"/>
      <c r="HB260" s="2"/>
      <c r="HC260" s="2"/>
      <c r="HD260" s="2"/>
      <c r="HE260" s="2"/>
      <c r="HF260" s="2"/>
      <c r="HG260" s="2"/>
      <c r="HH260" s="2"/>
      <c r="HI260" s="2"/>
      <c r="HJ260" s="2"/>
      <c r="HK260" s="2"/>
      <c r="HL260" s="2"/>
      <c r="HM260" s="2"/>
      <c r="HN260" s="2"/>
      <c r="HO260" s="2"/>
      <c r="HP260" s="2"/>
      <c r="HQ260" s="2"/>
      <c r="HR260" s="2"/>
      <c r="HS260" s="2"/>
      <c r="HT260" s="2"/>
      <c r="HU260" s="2"/>
      <c r="HV260" s="2"/>
      <c r="HW260" s="2"/>
      <c r="HX260" s="2"/>
      <c r="HY260" s="2"/>
      <c r="HZ260" s="2"/>
      <c r="IA260" s="2"/>
      <c r="IB260" s="2"/>
      <c r="IC260" s="2"/>
      <c r="IH260" s="21"/>
      <c r="II260" s="14"/>
      <c r="IJ260" s="15"/>
      <c r="IK260" s="16"/>
      <c r="IL260" s="20"/>
      <c r="IM260" s="14"/>
      <c r="IN260" s="12"/>
      <c r="IO260" s="14"/>
      <c r="IP260" s="14"/>
    </row>
    <row r="261" spans="1:250">
      <c r="A261" s="2"/>
      <c r="B261" s="2"/>
      <c r="C261" s="2"/>
      <c r="D261" s="2"/>
      <c r="E261" s="2"/>
      <c r="F261" s="2"/>
      <c r="G261" s="2"/>
      <c r="H261" s="2"/>
      <c r="I261" s="2"/>
      <c r="J261" s="2"/>
      <c r="K261" s="2"/>
      <c r="L261" s="2"/>
      <c r="M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2"/>
      <c r="FD261" s="2"/>
      <c r="FE261" s="2"/>
      <c r="FF261" s="2"/>
      <c r="FG261" s="2"/>
      <c r="FH261" s="2"/>
      <c r="FI261" s="2"/>
      <c r="FJ261" s="2"/>
      <c r="FK261" s="2"/>
      <c r="FL261" s="2"/>
      <c r="FM261" s="2"/>
      <c r="FN261" s="2"/>
      <c r="FO261" s="2"/>
      <c r="FP261" s="2"/>
      <c r="FQ261" s="2"/>
      <c r="FR261" s="2"/>
      <c r="FS261" s="2"/>
      <c r="FT261" s="2"/>
      <c r="FU261" s="2"/>
      <c r="FV261" s="2"/>
      <c r="FW261" s="2"/>
      <c r="FX261" s="2"/>
      <c r="FY261" s="2"/>
      <c r="FZ261" s="2"/>
      <c r="GA261" s="2"/>
      <c r="GB261" s="2"/>
      <c r="GC261" s="2"/>
      <c r="GD261" s="2"/>
      <c r="GE261" s="2"/>
      <c r="GF261" s="2"/>
      <c r="GG261" s="2"/>
      <c r="GH261" s="2"/>
      <c r="GI261" s="2"/>
      <c r="GJ261" s="2"/>
      <c r="GK261" s="2"/>
      <c r="GL261" s="2"/>
      <c r="GM261" s="2"/>
      <c r="GN261" s="2"/>
      <c r="GO261" s="2"/>
      <c r="GP261" s="2"/>
      <c r="GQ261" s="2"/>
      <c r="GR261" s="2"/>
      <c r="GS261" s="2"/>
      <c r="GT261" s="2"/>
      <c r="GU261" s="2"/>
      <c r="GV261" s="2"/>
      <c r="GW261" s="2"/>
      <c r="GX261" s="2"/>
      <c r="GY261" s="2"/>
      <c r="GZ261" s="2"/>
      <c r="HA261" s="2"/>
      <c r="HB261" s="2"/>
      <c r="HC261" s="2"/>
      <c r="HD261" s="2"/>
      <c r="HE261" s="2"/>
      <c r="HF261" s="2"/>
      <c r="HG261" s="2"/>
      <c r="HH261" s="2"/>
      <c r="HI261" s="2"/>
      <c r="HJ261" s="2"/>
      <c r="HK261" s="2"/>
      <c r="HL261" s="2"/>
      <c r="HM261" s="2"/>
      <c r="HN261" s="2"/>
      <c r="HO261" s="2"/>
      <c r="HP261" s="2"/>
      <c r="HQ261" s="2"/>
      <c r="HR261" s="2"/>
      <c r="HS261" s="2"/>
      <c r="HT261" s="2"/>
      <c r="HU261" s="2"/>
      <c r="HV261" s="2"/>
      <c r="HW261" s="2"/>
      <c r="HX261" s="2"/>
      <c r="HY261" s="2"/>
      <c r="HZ261" s="2"/>
      <c r="IA261" s="2"/>
      <c r="IB261" s="2"/>
      <c r="IC261" s="2"/>
      <c r="IH261" s="21"/>
      <c r="II261" s="14"/>
      <c r="IJ261" s="15"/>
      <c r="IK261" s="16"/>
      <c r="IL261" s="20"/>
      <c r="IM261" s="14"/>
      <c r="IN261" s="12"/>
      <c r="IO261" s="14"/>
      <c r="IP261" s="14"/>
    </row>
    <row r="262" spans="1:250">
      <c r="A262" s="2"/>
      <c r="B262" s="2"/>
      <c r="C262" s="2"/>
      <c r="D262" s="2"/>
      <c r="E262" s="2"/>
      <c r="F262" s="2"/>
      <c r="G262" s="2"/>
      <c r="H262" s="2"/>
      <c r="I262" s="2"/>
      <c r="J262" s="2"/>
      <c r="K262" s="2"/>
      <c r="L262" s="2"/>
      <c r="M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2"/>
      <c r="FD262" s="2"/>
      <c r="FE262" s="2"/>
      <c r="FF262" s="2"/>
      <c r="FG262" s="2"/>
      <c r="FH262" s="2"/>
      <c r="FI262" s="2"/>
      <c r="FJ262" s="2"/>
      <c r="FK262" s="2"/>
      <c r="FL262" s="2"/>
      <c r="FM262" s="2"/>
      <c r="FN262" s="2"/>
      <c r="FO262" s="2"/>
      <c r="FP262" s="2"/>
      <c r="FQ262" s="2"/>
      <c r="FR262" s="2"/>
      <c r="FS262" s="2"/>
      <c r="FT262" s="2"/>
      <c r="FU262" s="2"/>
      <c r="FV262" s="2"/>
      <c r="FW262" s="2"/>
      <c r="FX262" s="2"/>
      <c r="FY262" s="2"/>
      <c r="FZ262" s="2"/>
      <c r="GA262" s="2"/>
      <c r="GB262" s="2"/>
      <c r="GC262" s="2"/>
      <c r="GD262" s="2"/>
      <c r="GE262" s="2"/>
      <c r="GF262" s="2"/>
      <c r="GG262" s="2"/>
      <c r="GH262" s="2"/>
      <c r="GI262" s="2"/>
      <c r="GJ262" s="2"/>
      <c r="GK262" s="2"/>
      <c r="GL262" s="2"/>
      <c r="GM262" s="2"/>
      <c r="GN262" s="2"/>
      <c r="GO262" s="2"/>
      <c r="GP262" s="2"/>
      <c r="GQ262" s="2"/>
      <c r="GR262" s="2"/>
      <c r="GS262" s="2"/>
      <c r="GT262" s="2"/>
      <c r="GU262" s="2"/>
      <c r="GV262" s="2"/>
      <c r="GW262" s="2"/>
      <c r="GX262" s="2"/>
      <c r="GY262" s="2"/>
      <c r="GZ262" s="2"/>
      <c r="HA262" s="2"/>
      <c r="HB262" s="2"/>
      <c r="HC262" s="2"/>
      <c r="HD262" s="2"/>
      <c r="HE262" s="2"/>
      <c r="HF262" s="2"/>
      <c r="HG262" s="2"/>
      <c r="HH262" s="2"/>
      <c r="HI262" s="2"/>
      <c r="HJ262" s="2"/>
      <c r="HK262" s="2"/>
      <c r="HL262" s="2"/>
      <c r="HM262" s="2"/>
      <c r="HN262" s="2"/>
      <c r="HO262" s="2"/>
      <c r="HP262" s="2"/>
      <c r="HQ262" s="2"/>
      <c r="HR262" s="2"/>
      <c r="HS262" s="2"/>
      <c r="HT262" s="2"/>
      <c r="HU262" s="2"/>
      <c r="HV262" s="2"/>
      <c r="HW262" s="2"/>
      <c r="HX262" s="2"/>
      <c r="HY262" s="2"/>
      <c r="HZ262" s="2"/>
      <c r="IA262" s="2"/>
      <c r="IB262" s="2"/>
      <c r="IC262" s="2"/>
      <c r="IH262" s="21"/>
      <c r="II262" s="14"/>
      <c r="IJ262" s="15"/>
      <c r="IK262" s="16"/>
      <c r="IL262" s="20"/>
      <c r="IM262" s="14"/>
      <c r="IN262" s="12"/>
      <c r="IO262" s="14"/>
      <c r="IP262" s="14"/>
    </row>
    <row r="263" spans="1:250">
      <c r="A263" s="2"/>
      <c r="B263" s="2"/>
      <c r="C263" s="2"/>
      <c r="D263" s="2"/>
      <c r="E263" s="2"/>
      <c r="F263" s="2"/>
      <c r="G263" s="2"/>
      <c r="H263" s="2"/>
      <c r="I263" s="2"/>
      <c r="J263" s="2"/>
      <c r="K263" s="2"/>
      <c r="L263" s="2"/>
      <c r="M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2"/>
      <c r="FD263" s="2"/>
      <c r="FE263" s="2"/>
      <c r="FF263" s="2"/>
      <c r="FG263" s="2"/>
      <c r="FH263" s="2"/>
      <c r="FI263" s="2"/>
      <c r="FJ263" s="2"/>
      <c r="FK263" s="2"/>
      <c r="FL263" s="2"/>
      <c r="FM263" s="2"/>
      <c r="FN263" s="2"/>
      <c r="FO263" s="2"/>
      <c r="FP263" s="2"/>
      <c r="FQ263" s="2"/>
      <c r="FR263" s="2"/>
      <c r="FS263" s="2"/>
      <c r="FT263" s="2"/>
      <c r="FU263" s="2"/>
      <c r="FV263" s="2"/>
      <c r="FW263" s="2"/>
      <c r="FX263" s="2"/>
      <c r="FY263" s="2"/>
      <c r="FZ263" s="2"/>
      <c r="GA263" s="2"/>
      <c r="GB263" s="2"/>
      <c r="GC263" s="2"/>
      <c r="GD263" s="2"/>
      <c r="GE263" s="2"/>
      <c r="GF263" s="2"/>
      <c r="GG263" s="2"/>
      <c r="GH263" s="2"/>
      <c r="GI263" s="2"/>
      <c r="GJ263" s="2"/>
      <c r="GK263" s="2"/>
      <c r="GL263" s="2"/>
      <c r="GM263" s="2"/>
      <c r="GN263" s="2"/>
      <c r="GO263" s="2"/>
      <c r="GP263" s="2"/>
      <c r="GQ263" s="2"/>
      <c r="GR263" s="2"/>
      <c r="GS263" s="2"/>
      <c r="GT263" s="2"/>
      <c r="GU263" s="2"/>
      <c r="GV263" s="2"/>
      <c r="GW263" s="2"/>
      <c r="GX263" s="2"/>
      <c r="GY263" s="2"/>
      <c r="GZ263" s="2"/>
      <c r="HA263" s="2"/>
      <c r="HB263" s="2"/>
      <c r="HC263" s="2"/>
      <c r="HD263" s="2"/>
      <c r="HE263" s="2"/>
      <c r="HF263" s="2"/>
      <c r="HG263" s="2"/>
      <c r="HH263" s="2"/>
      <c r="HI263" s="2"/>
      <c r="HJ263" s="2"/>
      <c r="HK263" s="2"/>
      <c r="HL263" s="2"/>
      <c r="HM263" s="2"/>
      <c r="HN263" s="2"/>
      <c r="HO263" s="2"/>
      <c r="HP263" s="2"/>
      <c r="HQ263" s="2"/>
      <c r="HR263" s="2"/>
      <c r="HS263" s="2"/>
      <c r="HT263" s="2"/>
      <c r="HU263" s="2"/>
      <c r="HV263" s="2"/>
      <c r="HW263" s="2"/>
      <c r="HX263" s="2"/>
      <c r="HY263" s="2"/>
      <c r="HZ263" s="2"/>
      <c r="IA263" s="2"/>
      <c r="IB263" s="2"/>
      <c r="IC263" s="2"/>
      <c r="IH263" s="21"/>
      <c r="II263" s="14"/>
      <c r="IJ263" s="15"/>
      <c r="IK263" s="16"/>
      <c r="IL263" s="20"/>
      <c r="IM263" s="14"/>
      <c r="IN263" s="12"/>
      <c r="IO263" s="14"/>
      <c r="IP263" s="14"/>
    </row>
    <row r="264" spans="1:250">
      <c r="A264" s="2"/>
      <c r="B264" s="2"/>
      <c r="C264" s="2"/>
      <c r="D264" s="2"/>
      <c r="E264" s="2"/>
      <c r="F264" s="2"/>
      <c r="G264" s="2"/>
      <c r="H264" s="2"/>
      <c r="I264" s="2"/>
      <c r="J264" s="2"/>
      <c r="K264" s="2"/>
      <c r="L264" s="2"/>
      <c r="M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2"/>
      <c r="FD264" s="2"/>
      <c r="FE264" s="2"/>
      <c r="FF264" s="2"/>
      <c r="FG264" s="2"/>
      <c r="FH264" s="2"/>
      <c r="FI264" s="2"/>
      <c r="FJ264" s="2"/>
      <c r="FK264" s="2"/>
      <c r="FL264" s="2"/>
      <c r="FM264" s="2"/>
      <c r="FN264" s="2"/>
      <c r="FO264" s="2"/>
      <c r="FP264" s="2"/>
      <c r="FQ264" s="2"/>
      <c r="FR264" s="2"/>
      <c r="FS264" s="2"/>
      <c r="FT264" s="2"/>
      <c r="FU264" s="2"/>
      <c r="FV264" s="2"/>
      <c r="FW264" s="2"/>
      <c r="FX264" s="2"/>
      <c r="FY264" s="2"/>
      <c r="FZ264" s="2"/>
      <c r="GA264" s="2"/>
      <c r="GB264" s="2"/>
      <c r="GC264" s="2"/>
      <c r="GD264" s="2"/>
      <c r="GE264" s="2"/>
      <c r="GF264" s="2"/>
      <c r="GG264" s="2"/>
      <c r="GH264" s="2"/>
      <c r="GI264" s="2"/>
      <c r="GJ264" s="2"/>
      <c r="GK264" s="2"/>
      <c r="GL264" s="2"/>
      <c r="GM264" s="2"/>
      <c r="GN264" s="2"/>
      <c r="GO264" s="2"/>
      <c r="GP264" s="2"/>
      <c r="GQ264" s="2"/>
      <c r="GR264" s="2"/>
      <c r="GS264" s="2"/>
      <c r="GT264" s="2"/>
      <c r="GU264" s="2"/>
      <c r="GV264" s="2"/>
      <c r="GW264" s="2"/>
      <c r="GX264" s="2"/>
      <c r="GY264" s="2"/>
      <c r="GZ264" s="2"/>
      <c r="HA264" s="2"/>
      <c r="HB264" s="2"/>
      <c r="HC264" s="2"/>
      <c r="HD264" s="2"/>
      <c r="HE264" s="2"/>
      <c r="HF264" s="2"/>
      <c r="HG264" s="2"/>
      <c r="HH264" s="2"/>
      <c r="HI264" s="2"/>
      <c r="HJ264" s="2"/>
      <c r="HK264" s="2"/>
      <c r="HL264" s="2"/>
      <c r="HM264" s="2"/>
      <c r="HN264" s="2"/>
      <c r="HO264" s="2"/>
      <c r="HP264" s="2"/>
      <c r="HQ264" s="2"/>
      <c r="HR264" s="2"/>
      <c r="HS264" s="2"/>
      <c r="HT264" s="2"/>
      <c r="HU264" s="2"/>
      <c r="HV264" s="2"/>
      <c r="HW264" s="2"/>
      <c r="HX264" s="2"/>
      <c r="HY264" s="2"/>
      <c r="HZ264" s="2"/>
      <c r="IA264" s="2"/>
      <c r="IB264" s="2"/>
      <c r="IC264" s="2"/>
      <c r="IH264" s="21"/>
      <c r="II264" s="14"/>
      <c r="IJ264" s="15"/>
      <c r="IK264" s="16"/>
      <c r="IL264" s="20"/>
      <c r="IM264" s="14"/>
      <c r="IN264" s="12"/>
      <c r="IO264" s="14"/>
      <c r="IP264" s="14"/>
    </row>
    <row r="265" spans="1:250">
      <c r="A265" s="2"/>
      <c r="B265" s="2"/>
      <c r="C265" s="2"/>
      <c r="D265" s="2"/>
      <c r="E265" s="2"/>
      <c r="F265" s="2"/>
      <c r="G265" s="2"/>
      <c r="H265" s="2"/>
      <c r="I265" s="2"/>
      <c r="J265" s="2"/>
      <c r="K265" s="2"/>
      <c r="L265" s="2"/>
      <c r="M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2"/>
      <c r="FD265" s="2"/>
      <c r="FE265" s="2"/>
      <c r="FF265" s="2"/>
      <c r="FG265" s="2"/>
      <c r="FH265" s="2"/>
      <c r="FI265" s="2"/>
      <c r="FJ265" s="2"/>
      <c r="FK265" s="2"/>
      <c r="FL265" s="2"/>
      <c r="FM265" s="2"/>
      <c r="FN265" s="2"/>
      <c r="FO265" s="2"/>
      <c r="FP265" s="2"/>
      <c r="FQ265" s="2"/>
      <c r="FR265" s="2"/>
      <c r="FS265" s="2"/>
      <c r="FT265" s="2"/>
      <c r="FU265" s="2"/>
      <c r="FV265" s="2"/>
      <c r="FW265" s="2"/>
      <c r="FX265" s="2"/>
      <c r="FY265" s="2"/>
      <c r="FZ265" s="2"/>
      <c r="GA265" s="2"/>
      <c r="GB265" s="2"/>
      <c r="GC265" s="2"/>
      <c r="GD265" s="2"/>
      <c r="GE265" s="2"/>
      <c r="GF265" s="2"/>
      <c r="GG265" s="2"/>
      <c r="GH265" s="2"/>
      <c r="GI265" s="2"/>
      <c r="GJ265" s="2"/>
      <c r="GK265" s="2"/>
      <c r="GL265" s="2"/>
      <c r="GM265" s="2"/>
      <c r="GN265" s="2"/>
      <c r="GO265" s="2"/>
      <c r="GP265" s="2"/>
      <c r="GQ265" s="2"/>
      <c r="GR265" s="2"/>
      <c r="GS265" s="2"/>
      <c r="GT265" s="2"/>
      <c r="GU265" s="2"/>
      <c r="GV265" s="2"/>
      <c r="GW265" s="2"/>
      <c r="GX265" s="2"/>
      <c r="GY265" s="2"/>
      <c r="GZ265" s="2"/>
      <c r="HA265" s="2"/>
      <c r="HB265" s="2"/>
      <c r="HC265" s="2"/>
      <c r="HD265" s="2"/>
      <c r="HE265" s="2"/>
      <c r="HF265" s="2"/>
      <c r="HG265" s="2"/>
      <c r="HH265" s="2"/>
      <c r="HI265" s="2"/>
      <c r="HJ265" s="2"/>
      <c r="HK265" s="2"/>
      <c r="HL265" s="2"/>
      <c r="HM265" s="2"/>
      <c r="HN265" s="2"/>
      <c r="HO265" s="2"/>
      <c r="HP265" s="2"/>
      <c r="HQ265" s="2"/>
      <c r="HR265" s="2"/>
      <c r="HS265" s="2"/>
      <c r="HT265" s="2"/>
      <c r="HU265" s="2"/>
      <c r="HV265" s="2"/>
      <c r="HW265" s="2"/>
      <c r="HX265" s="2"/>
      <c r="HY265" s="2"/>
      <c r="HZ265" s="2"/>
      <c r="IA265" s="2"/>
      <c r="IB265" s="2"/>
      <c r="IC265" s="2"/>
      <c r="IH265" s="21"/>
      <c r="II265" s="14"/>
      <c r="IJ265" s="15"/>
      <c r="IK265" s="16"/>
      <c r="IL265" s="20"/>
      <c r="IM265" s="14"/>
      <c r="IN265" s="12"/>
      <c r="IO265" s="14"/>
      <c r="IP265" s="14"/>
    </row>
    <row r="266" spans="1:250">
      <c r="A266" s="2"/>
      <c r="B266" s="2"/>
      <c r="C266" s="2"/>
      <c r="D266" s="2"/>
      <c r="E266" s="2"/>
      <c r="F266" s="2"/>
      <c r="G266" s="2"/>
      <c r="H266" s="2"/>
      <c r="I266" s="2"/>
      <c r="J266" s="2"/>
      <c r="K266" s="2"/>
      <c r="L266" s="2"/>
      <c r="M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2"/>
      <c r="FD266" s="2"/>
      <c r="FE266" s="2"/>
      <c r="FF266" s="2"/>
      <c r="FG266" s="2"/>
      <c r="FH266" s="2"/>
      <c r="FI266" s="2"/>
      <c r="FJ266" s="2"/>
      <c r="FK266" s="2"/>
      <c r="FL266" s="2"/>
      <c r="FM266" s="2"/>
      <c r="FN266" s="2"/>
      <c r="FO266" s="2"/>
      <c r="FP266" s="2"/>
      <c r="FQ266" s="2"/>
      <c r="FR266" s="2"/>
      <c r="FS266" s="2"/>
      <c r="FT266" s="2"/>
      <c r="FU266" s="2"/>
      <c r="FV266" s="2"/>
      <c r="FW266" s="2"/>
      <c r="FX266" s="2"/>
      <c r="FY266" s="2"/>
      <c r="FZ266" s="2"/>
      <c r="GA266" s="2"/>
      <c r="GB266" s="2"/>
      <c r="GC266" s="2"/>
      <c r="GD266" s="2"/>
      <c r="GE266" s="2"/>
      <c r="GF266" s="2"/>
      <c r="GG266" s="2"/>
      <c r="GH266" s="2"/>
      <c r="GI266" s="2"/>
      <c r="GJ266" s="2"/>
      <c r="GK266" s="2"/>
      <c r="GL266" s="2"/>
      <c r="GM266" s="2"/>
      <c r="GN266" s="2"/>
      <c r="GO266" s="2"/>
      <c r="GP266" s="2"/>
      <c r="GQ266" s="2"/>
      <c r="GR266" s="2"/>
      <c r="GS266" s="2"/>
      <c r="GT266" s="2"/>
      <c r="GU266" s="2"/>
      <c r="GV266" s="2"/>
      <c r="GW266" s="2"/>
      <c r="GX266" s="2"/>
      <c r="GY266" s="2"/>
      <c r="GZ266" s="2"/>
      <c r="HA266" s="2"/>
      <c r="HB266" s="2"/>
      <c r="HC266" s="2"/>
      <c r="HD266" s="2"/>
      <c r="HE266" s="2"/>
      <c r="HF266" s="2"/>
      <c r="HG266" s="2"/>
      <c r="HH266" s="2"/>
      <c r="HI266" s="2"/>
      <c r="HJ266" s="2"/>
      <c r="HK266" s="2"/>
      <c r="HL266" s="2"/>
      <c r="HM266" s="2"/>
      <c r="HN266" s="2"/>
      <c r="HO266" s="2"/>
      <c r="HP266" s="2"/>
      <c r="HQ266" s="2"/>
      <c r="HR266" s="2"/>
      <c r="HS266" s="2"/>
      <c r="HT266" s="2"/>
      <c r="HU266" s="2"/>
      <c r="HV266" s="2"/>
      <c r="HW266" s="2"/>
      <c r="HX266" s="2"/>
      <c r="HY266" s="2"/>
      <c r="HZ266" s="2"/>
      <c r="IA266" s="2"/>
      <c r="IB266" s="2"/>
      <c r="IC266" s="2"/>
      <c r="IH266" s="21"/>
      <c r="II266" s="14"/>
      <c r="IJ266" s="15"/>
      <c r="IK266" s="16"/>
      <c r="IL266" s="20"/>
      <c r="IM266" s="14"/>
      <c r="IN266" s="12"/>
      <c r="IO266" s="14"/>
      <c r="IP266" s="14"/>
    </row>
    <row r="267" spans="1:250">
      <c r="A267" s="2"/>
      <c r="B267" s="2"/>
      <c r="C267" s="2"/>
      <c r="D267" s="2"/>
      <c r="E267" s="2"/>
      <c r="F267" s="2"/>
      <c r="G267" s="2"/>
      <c r="H267" s="2"/>
      <c r="I267" s="2"/>
      <c r="J267" s="2"/>
      <c r="K267" s="2"/>
      <c r="L267" s="2"/>
      <c r="M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2"/>
      <c r="FD267" s="2"/>
      <c r="FE267" s="2"/>
      <c r="FF267" s="2"/>
      <c r="FG267" s="2"/>
      <c r="FH267" s="2"/>
      <c r="FI267" s="2"/>
      <c r="FJ267" s="2"/>
      <c r="FK267" s="2"/>
      <c r="FL267" s="2"/>
      <c r="FM267" s="2"/>
      <c r="FN267" s="2"/>
      <c r="FO267" s="2"/>
      <c r="FP267" s="2"/>
      <c r="FQ267" s="2"/>
      <c r="FR267" s="2"/>
      <c r="FS267" s="2"/>
      <c r="FT267" s="2"/>
      <c r="FU267" s="2"/>
      <c r="FV267" s="2"/>
      <c r="FW267" s="2"/>
      <c r="FX267" s="2"/>
      <c r="FY267" s="2"/>
      <c r="FZ267" s="2"/>
      <c r="GA267" s="2"/>
      <c r="GB267" s="2"/>
      <c r="GC267" s="2"/>
      <c r="GD267" s="2"/>
      <c r="GE267" s="2"/>
      <c r="GF267" s="2"/>
      <c r="GG267" s="2"/>
      <c r="GH267" s="2"/>
      <c r="GI267" s="2"/>
      <c r="GJ267" s="2"/>
      <c r="GK267" s="2"/>
      <c r="GL267" s="2"/>
      <c r="GM267" s="2"/>
      <c r="GN267" s="2"/>
      <c r="GO267" s="2"/>
      <c r="GP267" s="2"/>
      <c r="GQ267" s="2"/>
      <c r="GR267" s="2"/>
      <c r="GS267" s="2"/>
      <c r="GT267" s="2"/>
      <c r="GU267" s="2"/>
      <c r="GV267" s="2"/>
      <c r="GW267" s="2"/>
      <c r="GX267" s="2"/>
      <c r="GY267" s="2"/>
      <c r="GZ267" s="2"/>
      <c r="HA267" s="2"/>
      <c r="HB267" s="2"/>
      <c r="HC267" s="2"/>
      <c r="HD267" s="2"/>
      <c r="HE267" s="2"/>
      <c r="HF267" s="2"/>
      <c r="HG267" s="2"/>
      <c r="HH267" s="2"/>
      <c r="HI267" s="2"/>
      <c r="HJ267" s="2"/>
      <c r="HK267" s="2"/>
      <c r="HL267" s="2"/>
      <c r="HM267" s="2"/>
      <c r="HN267" s="2"/>
      <c r="HO267" s="2"/>
      <c r="HP267" s="2"/>
      <c r="HQ267" s="2"/>
      <c r="HR267" s="2"/>
      <c r="HS267" s="2"/>
      <c r="HT267" s="2"/>
      <c r="HU267" s="2"/>
      <c r="HV267" s="2"/>
      <c r="HW267" s="2"/>
      <c r="HX267" s="2"/>
      <c r="HY267" s="2"/>
      <c r="HZ267" s="2"/>
      <c r="IA267" s="2"/>
      <c r="IB267" s="2"/>
      <c r="IC267" s="2"/>
      <c r="IH267" s="21"/>
      <c r="II267" s="14"/>
      <c r="IJ267" s="15"/>
      <c r="IK267" s="16"/>
      <c r="IL267" s="20"/>
      <c r="IM267" s="14"/>
      <c r="IN267" s="12"/>
      <c r="IO267" s="14"/>
      <c r="IP267" s="14"/>
    </row>
    <row r="268" spans="1:250">
      <c r="A268" s="2"/>
      <c r="B268" s="2"/>
      <c r="C268" s="2"/>
      <c r="D268" s="2"/>
      <c r="E268" s="2"/>
      <c r="F268" s="2"/>
      <c r="G268" s="2"/>
      <c r="H268" s="2"/>
      <c r="I268" s="2"/>
      <c r="J268" s="2"/>
      <c r="K268" s="2"/>
      <c r="L268" s="2"/>
      <c r="M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2"/>
      <c r="FD268" s="2"/>
      <c r="FE268" s="2"/>
      <c r="FF268" s="2"/>
      <c r="FG268" s="2"/>
      <c r="FH268" s="2"/>
      <c r="FI268" s="2"/>
      <c r="FJ268" s="2"/>
      <c r="FK268" s="2"/>
      <c r="FL268" s="2"/>
      <c r="FM268" s="2"/>
      <c r="FN268" s="2"/>
      <c r="FO268" s="2"/>
      <c r="FP268" s="2"/>
      <c r="FQ268" s="2"/>
      <c r="FR268" s="2"/>
      <c r="FS268" s="2"/>
      <c r="FT268" s="2"/>
      <c r="FU268" s="2"/>
      <c r="FV268" s="2"/>
      <c r="FW268" s="2"/>
      <c r="FX268" s="2"/>
      <c r="FY268" s="2"/>
      <c r="FZ268" s="2"/>
      <c r="GA268" s="2"/>
      <c r="GB268" s="2"/>
      <c r="GC268" s="2"/>
      <c r="GD268" s="2"/>
      <c r="GE268" s="2"/>
      <c r="GF268" s="2"/>
      <c r="GG268" s="2"/>
      <c r="GH268" s="2"/>
      <c r="GI268" s="2"/>
      <c r="GJ268" s="2"/>
      <c r="GK268" s="2"/>
      <c r="GL268" s="2"/>
      <c r="GM268" s="2"/>
      <c r="GN268" s="2"/>
      <c r="GO268" s="2"/>
      <c r="GP268" s="2"/>
      <c r="GQ268" s="2"/>
      <c r="GR268" s="2"/>
      <c r="GS268" s="2"/>
      <c r="GT268" s="2"/>
      <c r="GU268" s="2"/>
      <c r="GV268" s="2"/>
      <c r="GW268" s="2"/>
      <c r="GX268" s="2"/>
      <c r="GY268" s="2"/>
      <c r="GZ268" s="2"/>
      <c r="HA268" s="2"/>
      <c r="HB268" s="2"/>
      <c r="HC268" s="2"/>
      <c r="HD268" s="2"/>
      <c r="HE268" s="2"/>
      <c r="HF268" s="2"/>
      <c r="HG268" s="2"/>
      <c r="HH268" s="2"/>
      <c r="HI268" s="2"/>
      <c r="HJ268" s="2"/>
      <c r="HK268" s="2"/>
      <c r="HL268" s="2"/>
      <c r="HM268" s="2"/>
      <c r="HN268" s="2"/>
      <c r="HO268" s="2"/>
      <c r="HP268" s="2"/>
      <c r="HQ268" s="2"/>
      <c r="HR268" s="2"/>
      <c r="HS268" s="2"/>
      <c r="HT268" s="2"/>
      <c r="HU268" s="2"/>
      <c r="HV268" s="2"/>
      <c r="HW268" s="2"/>
      <c r="HX268" s="2"/>
      <c r="HY268" s="2"/>
      <c r="HZ268" s="2"/>
      <c r="IA268" s="2"/>
      <c r="IB268" s="2"/>
      <c r="IC268" s="2"/>
      <c r="IH268" s="21"/>
      <c r="II268" s="14"/>
      <c r="IJ268" s="15"/>
      <c r="IK268" s="16"/>
      <c r="IL268" s="20"/>
      <c r="IM268" s="14"/>
      <c r="IN268" s="12"/>
      <c r="IO268" s="14"/>
      <c r="IP268" s="14"/>
    </row>
    <row r="269" spans="1:250">
      <c r="A269" s="2"/>
      <c r="B269" s="2"/>
      <c r="C269" s="2"/>
      <c r="D269" s="2"/>
      <c r="E269" s="2"/>
      <c r="F269" s="2"/>
      <c r="G269" s="2"/>
      <c r="H269" s="2"/>
      <c r="I269" s="2"/>
      <c r="J269" s="2"/>
      <c r="K269" s="2"/>
      <c r="L269" s="2"/>
      <c r="M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2"/>
      <c r="FD269" s="2"/>
      <c r="FE269" s="2"/>
      <c r="FF269" s="2"/>
      <c r="FG269" s="2"/>
      <c r="FH269" s="2"/>
      <c r="FI269" s="2"/>
      <c r="FJ269" s="2"/>
      <c r="FK269" s="2"/>
      <c r="FL269" s="2"/>
      <c r="FM269" s="2"/>
      <c r="FN269" s="2"/>
      <c r="FO269" s="2"/>
      <c r="FP269" s="2"/>
      <c r="FQ269" s="2"/>
      <c r="FR269" s="2"/>
      <c r="FS269" s="2"/>
      <c r="FT269" s="2"/>
      <c r="FU269" s="2"/>
      <c r="FV269" s="2"/>
      <c r="FW269" s="2"/>
      <c r="FX269" s="2"/>
      <c r="FY269" s="2"/>
      <c r="FZ269" s="2"/>
      <c r="GA269" s="2"/>
      <c r="GB269" s="2"/>
      <c r="GC269" s="2"/>
      <c r="GD269" s="2"/>
      <c r="GE269" s="2"/>
      <c r="GF269" s="2"/>
      <c r="GG269" s="2"/>
      <c r="GH269" s="2"/>
      <c r="GI269" s="2"/>
      <c r="GJ269" s="2"/>
      <c r="GK269" s="2"/>
      <c r="GL269" s="2"/>
      <c r="GM269" s="2"/>
      <c r="GN269" s="2"/>
      <c r="GO269" s="2"/>
      <c r="GP269" s="2"/>
      <c r="GQ269" s="2"/>
      <c r="GR269" s="2"/>
      <c r="GS269" s="2"/>
      <c r="GT269" s="2"/>
      <c r="GU269" s="2"/>
      <c r="GV269" s="2"/>
      <c r="GW269" s="2"/>
      <c r="GX269" s="2"/>
      <c r="GY269" s="2"/>
      <c r="GZ269" s="2"/>
      <c r="HA269" s="2"/>
      <c r="HB269" s="2"/>
      <c r="HC269" s="2"/>
      <c r="HD269" s="2"/>
      <c r="HE269" s="2"/>
      <c r="HF269" s="2"/>
      <c r="HG269" s="2"/>
      <c r="HH269" s="2"/>
      <c r="HI269" s="2"/>
      <c r="HJ269" s="2"/>
      <c r="HK269" s="2"/>
      <c r="HL269" s="2"/>
      <c r="HM269" s="2"/>
      <c r="HN269" s="2"/>
      <c r="HO269" s="2"/>
      <c r="HP269" s="2"/>
      <c r="HQ269" s="2"/>
      <c r="HR269" s="2"/>
      <c r="HS269" s="2"/>
      <c r="HT269" s="2"/>
      <c r="HU269" s="2"/>
      <c r="HV269" s="2"/>
      <c r="HW269" s="2"/>
      <c r="HX269" s="2"/>
      <c r="HY269" s="2"/>
      <c r="HZ269" s="2"/>
      <c r="IA269" s="2"/>
      <c r="IB269" s="2"/>
      <c r="IC269" s="2"/>
      <c r="IH269" s="21"/>
      <c r="II269" s="14"/>
      <c r="IJ269" s="15"/>
      <c r="IK269" s="16"/>
      <c r="IL269" s="20"/>
      <c r="IM269" s="14"/>
      <c r="IN269" s="12"/>
      <c r="IO269" s="14"/>
      <c r="IP269" s="14"/>
    </row>
    <row r="270" spans="1:250">
      <c r="A270" s="2"/>
      <c r="B270" s="2"/>
      <c r="C270" s="2"/>
      <c r="D270" s="2"/>
      <c r="E270" s="2"/>
      <c r="F270" s="2"/>
      <c r="G270" s="2"/>
      <c r="H270" s="2"/>
      <c r="I270" s="2"/>
      <c r="J270" s="2"/>
      <c r="K270" s="2"/>
      <c r="L270" s="2"/>
      <c r="M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2"/>
      <c r="FD270" s="2"/>
      <c r="FE270" s="2"/>
      <c r="FF270" s="2"/>
      <c r="FG270" s="2"/>
      <c r="FH270" s="2"/>
      <c r="FI270" s="2"/>
      <c r="FJ270" s="2"/>
      <c r="FK270" s="2"/>
      <c r="FL270" s="2"/>
      <c r="FM270" s="2"/>
      <c r="FN270" s="2"/>
      <c r="FO270" s="2"/>
      <c r="FP270" s="2"/>
      <c r="FQ270" s="2"/>
      <c r="FR270" s="2"/>
      <c r="FS270" s="2"/>
      <c r="FT270" s="2"/>
      <c r="FU270" s="2"/>
      <c r="FV270" s="2"/>
      <c r="FW270" s="2"/>
      <c r="FX270" s="2"/>
      <c r="FY270" s="2"/>
      <c r="FZ270" s="2"/>
      <c r="GA270" s="2"/>
      <c r="GB270" s="2"/>
      <c r="GC270" s="2"/>
      <c r="GD270" s="2"/>
      <c r="GE270" s="2"/>
      <c r="GF270" s="2"/>
      <c r="GG270" s="2"/>
      <c r="GH270" s="2"/>
      <c r="GI270" s="2"/>
      <c r="GJ270" s="2"/>
      <c r="GK270" s="2"/>
      <c r="GL270" s="2"/>
      <c r="GM270" s="2"/>
      <c r="GN270" s="2"/>
      <c r="GO270" s="2"/>
      <c r="GP270" s="2"/>
      <c r="GQ270" s="2"/>
      <c r="GR270" s="2"/>
      <c r="GS270" s="2"/>
      <c r="GT270" s="2"/>
      <c r="GU270" s="2"/>
      <c r="GV270" s="2"/>
      <c r="GW270" s="2"/>
      <c r="GX270" s="2"/>
      <c r="GY270" s="2"/>
      <c r="GZ270" s="2"/>
      <c r="HA270" s="2"/>
      <c r="HB270" s="2"/>
      <c r="HC270" s="2"/>
      <c r="HD270" s="2"/>
      <c r="HE270" s="2"/>
      <c r="HF270" s="2"/>
      <c r="HG270" s="2"/>
      <c r="HH270" s="2"/>
      <c r="HI270" s="2"/>
      <c r="HJ270" s="2"/>
      <c r="HK270" s="2"/>
      <c r="HL270" s="2"/>
      <c r="HM270" s="2"/>
      <c r="HN270" s="2"/>
      <c r="HO270" s="2"/>
      <c r="HP270" s="2"/>
      <c r="HQ270" s="2"/>
      <c r="HR270" s="2"/>
      <c r="HS270" s="2"/>
      <c r="HT270" s="2"/>
      <c r="HU270" s="2"/>
      <c r="HV270" s="2"/>
      <c r="HW270" s="2"/>
      <c r="HX270" s="2"/>
      <c r="HY270" s="2"/>
      <c r="HZ270" s="2"/>
      <c r="IA270" s="2"/>
      <c r="IB270" s="2"/>
      <c r="IC270" s="2"/>
      <c r="IH270" s="21"/>
      <c r="II270" s="14"/>
      <c r="IJ270" s="15"/>
      <c r="IK270" s="16"/>
      <c r="IL270" s="20"/>
      <c r="IM270" s="14"/>
      <c r="IN270" s="12"/>
      <c r="IO270" s="14"/>
      <c r="IP270" s="14"/>
    </row>
    <row r="271" spans="1:250">
      <c r="A271" s="2"/>
      <c r="B271" s="2"/>
      <c r="C271" s="2"/>
      <c r="D271" s="2"/>
      <c r="E271" s="2"/>
      <c r="F271" s="2"/>
      <c r="G271" s="2"/>
      <c r="H271" s="2"/>
      <c r="I271" s="2"/>
      <c r="J271" s="2"/>
      <c r="K271" s="2"/>
      <c r="L271" s="2"/>
      <c r="M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2"/>
      <c r="FD271" s="2"/>
      <c r="FE271" s="2"/>
      <c r="FF271" s="2"/>
      <c r="FG271" s="2"/>
      <c r="FH271" s="2"/>
      <c r="FI271" s="2"/>
      <c r="FJ271" s="2"/>
      <c r="FK271" s="2"/>
      <c r="FL271" s="2"/>
      <c r="FM271" s="2"/>
      <c r="FN271" s="2"/>
      <c r="FO271" s="2"/>
      <c r="FP271" s="2"/>
      <c r="FQ271" s="2"/>
      <c r="FR271" s="2"/>
      <c r="FS271" s="2"/>
      <c r="FT271" s="2"/>
      <c r="FU271" s="2"/>
      <c r="FV271" s="2"/>
      <c r="FW271" s="2"/>
      <c r="FX271" s="2"/>
      <c r="FY271" s="2"/>
      <c r="FZ271" s="2"/>
      <c r="GA271" s="2"/>
      <c r="GB271" s="2"/>
      <c r="GC271" s="2"/>
      <c r="GD271" s="2"/>
      <c r="GE271" s="2"/>
      <c r="GF271" s="2"/>
      <c r="GG271" s="2"/>
      <c r="GH271" s="2"/>
      <c r="GI271" s="2"/>
      <c r="GJ271" s="2"/>
      <c r="GK271" s="2"/>
      <c r="GL271" s="2"/>
      <c r="GM271" s="2"/>
      <c r="GN271" s="2"/>
      <c r="GO271" s="2"/>
      <c r="GP271" s="2"/>
      <c r="GQ271" s="2"/>
      <c r="GR271" s="2"/>
      <c r="GS271" s="2"/>
      <c r="GT271" s="2"/>
      <c r="GU271" s="2"/>
      <c r="GV271" s="2"/>
      <c r="GW271" s="2"/>
      <c r="GX271" s="2"/>
      <c r="GY271" s="2"/>
      <c r="GZ271" s="2"/>
      <c r="HA271" s="2"/>
      <c r="HB271" s="2"/>
      <c r="HC271" s="2"/>
      <c r="HD271" s="2"/>
      <c r="HE271" s="2"/>
      <c r="HF271" s="2"/>
      <c r="HG271" s="2"/>
      <c r="HH271" s="2"/>
      <c r="HI271" s="2"/>
      <c r="HJ271" s="2"/>
      <c r="HK271" s="2"/>
      <c r="HL271" s="2"/>
      <c r="HM271" s="2"/>
      <c r="HN271" s="2"/>
      <c r="HO271" s="2"/>
      <c r="HP271" s="2"/>
      <c r="HQ271" s="2"/>
      <c r="HR271" s="2"/>
      <c r="HS271" s="2"/>
      <c r="HT271" s="2"/>
      <c r="HU271" s="2"/>
      <c r="HV271" s="2"/>
      <c r="HW271" s="2"/>
      <c r="HX271" s="2"/>
      <c r="HY271" s="2"/>
      <c r="HZ271" s="2"/>
      <c r="IA271" s="2"/>
      <c r="IB271" s="2"/>
      <c r="IC271" s="2"/>
      <c r="IH271" s="21"/>
      <c r="II271" s="14"/>
      <c r="IJ271" s="15"/>
      <c r="IK271" s="16"/>
      <c r="IL271" s="20"/>
      <c r="IM271" s="14"/>
      <c r="IN271" s="12"/>
      <c r="IO271" s="14"/>
      <c r="IP271" s="14"/>
    </row>
    <row r="272" spans="1:250">
      <c r="A272" s="2"/>
      <c r="B272" s="2"/>
      <c r="C272" s="2"/>
      <c r="D272" s="2"/>
      <c r="E272" s="2"/>
      <c r="F272" s="2"/>
      <c r="G272" s="2"/>
      <c r="H272" s="2"/>
      <c r="I272" s="2"/>
      <c r="J272" s="2"/>
      <c r="K272" s="2"/>
      <c r="L272" s="2"/>
      <c r="M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2"/>
      <c r="FD272" s="2"/>
      <c r="FE272" s="2"/>
      <c r="FF272" s="2"/>
      <c r="FG272" s="2"/>
      <c r="FH272" s="2"/>
      <c r="FI272" s="2"/>
      <c r="FJ272" s="2"/>
      <c r="FK272" s="2"/>
      <c r="FL272" s="2"/>
      <c r="FM272" s="2"/>
      <c r="FN272" s="2"/>
      <c r="FO272" s="2"/>
      <c r="FP272" s="2"/>
      <c r="FQ272" s="2"/>
      <c r="FR272" s="2"/>
      <c r="FS272" s="2"/>
      <c r="FT272" s="2"/>
      <c r="FU272" s="2"/>
      <c r="FV272" s="2"/>
      <c r="FW272" s="2"/>
      <c r="FX272" s="2"/>
      <c r="FY272" s="2"/>
      <c r="FZ272" s="2"/>
      <c r="GA272" s="2"/>
      <c r="GB272" s="2"/>
      <c r="GC272" s="2"/>
      <c r="GD272" s="2"/>
      <c r="GE272" s="2"/>
      <c r="GF272" s="2"/>
      <c r="GG272" s="2"/>
      <c r="GH272" s="2"/>
      <c r="GI272" s="2"/>
      <c r="GJ272" s="2"/>
      <c r="GK272" s="2"/>
      <c r="GL272" s="2"/>
      <c r="GM272" s="2"/>
      <c r="GN272" s="2"/>
      <c r="GO272" s="2"/>
      <c r="GP272" s="2"/>
      <c r="GQ272" s="2"/>
      <c r="GR272" s="2"/>
      <c r="GS272" s="2"/>
      <c r="GT272" s="2"/>
      <c r="GU272" s="2"/>
      <c r="GV272" s="2"/>
      <c r="GW272" s="2"/>
      <c r="GX272" s="2"/>
      <c r="GY272" s="2"/>
      <c r="GZ272" s="2"/>
      <c r="HA272" s="2"/>
      <c r="HB272" s="2"/>
      <c r="HC272" s="2"/>
      <c r="HD272" s="2"/>
      <c r="HE272" s="2"/>
      <c r="HF272" s="2"/>
      <c r="HG272" s="2"/>
      <c r="HH272" s="2"/>
      <c r="HI272" s="2"/>
      <c r="HJ272" s="2"/>
      <c r="HK272" s="2"/>
      <c r="HL272" s="2"/>
      <c r="HM272" s="2"/>
      <c r="HN272" s="2"/>
      <c r="HO272" s="2"/>
      <c r="HP272" s="2"/>
      <c r="HQ272" s="2"/>
      <c r="HR272" s="2"/>
      <c r="HS272" s="2"/>
      <c r="HT272" s="2"/>
      <c r="HU272" s="2"/>
      <c r="HV272" s="2"/>
      <c r="HW272" s="2"/>
      <c r="HX272" s="2"/>
      <c r="HY272" s="2"/>
      <c r="HZ272" s="2"/>
      <c r="IA272" s="2"/>
      <c r="IB272" s="2"/>
      <c r="IC272" s="2"/>
      <c r="IH272" s="21"/>
      <c r="II272" s="14"/>
      <c r="IJ272" s="15"/>
      <c r="IK272" s="16"/>
      <c r="IL272" s="20"/>
      <c r="IM272" s="14"/>
      <c r="IN272" s="12"/>
      <c r="IO272" s="14"/>
      <c r="IP272" s="14"/>
    </row>
    <row r="273" spans="1:250">
      <c r="A273" s="2"/>
      <c r="B273" s="2"/>
      <c r="C273" s="2"/>
      <c r="D273" s="2"/>
      <c r="E273" s="2"/>
      <c r="F273" s="2"/>
      <c r="G273" s="2"/>
      <c r="H273" s="2"/>
      <c r="I273" s="2"/>
      <c r="J273" s="2"/>
      <c r="K273" s="2"/>
      <c r="L273" s="2"/>
      <c r="M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2"/>
      <c r="FD273" s="2"/>
      <c r="FE273" s="2"/>
      <c r="FF273" s="2"/>
      <c r="FG273" s="2"/>
      <c r="FH273" s="2"/>
      <c r="FI273" s="2"/>
      <c r="FJ273" s="2"/>
      <c r="FK273" s="2"/>
      <c r="FL273" s="2"/>
      <c r="FM273" s="2"/>
      <c r="FN273" s="2"/>
      <c r="FO273" s="2"/>
      <c r="FP273" s="2"/>
      <c r="FQ273" s="2"/>
      <c r="FR273" s="2"/>
      <c r="FS273" s="2"/>
      <c r="FT273" s="2"/>
      <c r="FU273" s="2"/>
      <c r="FV273" s="2"/>
      <c r="FW273" s="2"/>
      <c r="FX273" s="2"/>
      <c r="FY273" s="2"/>
      <c r="FZ273" s="2"/>
      <c r="GA273" s="2"/>
      <c r="GB273" s="2"/>
      <c r="GC273" s="2"/>
      <c r="GD273" s="2"/>
      <c r="GE273" s="2"/>
      <c r="GF273" s="2"/>
      <c r="GG273" s="2"/>
      <c r="GH273" s="2"/>
      <c r="GI273" s="2"/>
      <c r="GJ273" s="2"/>
      <c r="GK273" s="2"/>
      <c r="GL273" s="2"/>
      <c r="GM273" s="2"/>
      <c r="GN273" s="2"/>
      <c r="GO273" s="2"/>
      <c r="GP273" s="2"/>
      <c r="GQ273" s="2"/>
      <c r="GR273" s="2"/>
      <c r="GS273" s="2"/>
      <c r="GT273" s="2"/>
      <c r="GU273" s="2"/>
      <c r="GV273" s="2"/>
      <c r="GW273" s="2"/>
      <c r="GX273" s="2"/>
      <c r="GY273" s="2"/>
      <c r="GZ273" s="2"/>
      <c r="HA273" s="2"/>
      <c r="HB273" s="2"/>
      <c r="HC273" s="2"/>
      <c r="HD273" s="2"/>
      <c r="HE273" s="2"/>
      <c r="HF273" s="2"/>
      <c r="HG273" s="2"/>
      <c r="HH273" s="2"/>
      <c r="HI273" s="2"/>
      <c r="HJ273" s="2"/>
      <c r="HK273" s="2"/>
      <c r="HL273" s="2"/>
      <c r="HM273" s="2"/>
      <c r="HN273" s="2"/>
      <c r="HO273" s="2"/>
      <c r="HP273" s="2"/>
      <c r="HQ273" s="2"/>
      <c r="HR273" s="2"/>
      <c r="HS273" s="2"/>
      <c r="HT273" s="2"/>
      <c r="HU273" s="2"/>
      <c r="HV273" s="2"/>
      <c r="HW273" s="2"/>
      <c r="HX273" s="2"/>
      <c r="HY273" s="2"/>
      <c r="HZ273" s="2"/>
      <c r="IA273" s="2"/>
      <c r="IB273" s="2"/>
      <c r="IC273" s="2"/>
      <c r="IH273" s="21"/>
      <c r="II273" s="14"/>
      <c r="IJ273" s="15"/>
      <c r="IK273" s="16"/>
      <c r="IL273" s="20"/>
      <c r="IM273" s="14"/>
      <c r="IN273" s="12"/>
      <c r="IO273" s="14"/>
      <c r="IP273" s="14"/>
    </row>
    <row r="274" spans="1:250">
      <c r="A274" s="2"/>
      <c r="B274" s="2"/>
      <c r="C274" s="2"/>
      <c r="D274" s="2"/>
      <c r="E274" s="2"/>
      <c r="F274" s="2"/>
      <c r="G274" s="2"/>
      <c r="H274" s="2"/>
      <c r="I274" s="2"/>
      <c r="J274" s="2"/>
      <c r="K274" s="2"/>
      <c r="L274" s="2"/>
      <c r="M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2"/>
      <c r="FD274" s="2"/>
      <c r="FE274" s="2"/>
      <c r="FF274" s="2"/>
      <c r="FG274" s="2"/>
      <c r="FH274" s="2"/>
      <c r="FI274" s="2"/>
      <c r="FJ274" s="2"/>
      <c r="FK274" s="2"/>
      <c r="FL274" s="2"/>
      <c r="FM274" s="2"/>
      <c r="FN274" s="2"/>
      <c r="FO274" s="2"/>
      <c r="FP274" s="2"/>
      <c r="FQ274" s="2"/>
      <c r="FR274" s="2"/>
      <c r="FS274" s="2"/>
      <c r="FT274" s="2"/>
      <c r="FU274" s="2"/>
      <c r="FV274" s="2"/>
      <c r="FW274" s="2"/>
      <c r="FX274" s="2"/>
      <c r="FY274" s="2"/>
      <c r="FZ274" s="2"/>
      <c r="GA274" s="2"/>
      <c r="GB274" s="2"/>
      <c r="GC274" s="2"/>
      <c r="GD274" s="2"/>
      <c r="GE274" s="2"/>
      <c r="GF274" s="2"/>
      <c r="GG274" s="2"/>
      <c r="GH274" s="2"/>
      <c r="GI274" s="2"/>
      <c r="GJ274" s="2"/>
      <c r="GK274" s="2"/>
      <c r="GL274" s="2"/>
      <c r="GM274" s="2"/>
      <c r="GN274" s="2"/>
      <c r="GO274" s="2"/>
      <c r="GP274" s="2"/>
      <c r="GQ274" s="2"/>
      <c r="GR274" s="2"/>
      <c r="GS274" s="2"/>
      <c r="GT274" s="2"/>
      <c r="GU274" s="2"/>
      <c r="GV274" s="2"/>
      <c r="GW274" s="2"/>
      <c r="GX274" s="2"/>
      <c r="GY274" s="2"/>
      <c r="GZ274" s="2"/>
      <c r="HA274" s="2"/>
      <c r="HB274" s="2"/>
      <c r="HC274" s="2"/>
      <c r="HD274" s="2"/>
      <c r="HE274" s="2"/>
      <c r="HF274" s="2"/>
      <c r="HG274" s="2"/>
      <c r="HH274" s="2"/>
      <c r="HI274" s="2"/>
      <c r="HJ274" s="2"/>
      <c r="HK274" s="2"/>
      <c r="HL274" s="2"/>
      <c r="HM274" s="2"/>
      <c r="HN274" s="2"/>
      <c r="HO274" s="2"/>
      <c r="HP274" s="2"/>
      <c r="HQ274" s="2"/>
      <c r="HR274" s="2"/>
      <c r="HS274" s="2"/>
      <c r="HT274" s="2"/>
      <c r="HU274" s="2"/>
      <c r="HV274" s="2"/>
      <c r="HW274" s="2"/>
      <c r="HX274" s="2"/>
      <c r="HY274" s="2"/>
      <c r="HZ274" s="2"/>
      <c r="IA274" s="2"/>
      <c r="IB274" s="2"/>
      <c r="IC274" s="2"/>
      <c r="IH274" s="21"/>
      <c r="II274" s="14"/>
      <c r="IJ274" s="15"/>
      <c r="IK274" s="16"/>
      <c r="IL274" s="20"/>
      <c r="IM274" s="14"/>
      <c r="IN274" s="12"/>
      <c r="IO274" s="14"/>
      <c r="IP274" s="14"/>
    </row>
    <row r="275" spans="1:250">
      <c r="A275" s="2"/>
      <c r="B275" s="2"/>
      <c r="C275" s="2"/>
      <c r="D275" s="2"/>
      <c r="E275" s="2"/>
      <c r="F275" s="2"/>
      <c r="G275" s="2"/>
      <c r="H275" s="2"/>
      <c r="I275" s="2"/>
      <c r="J275" s="2"/>
      <c r="K275" s="2"/>
      <c r="L275" s="2"/>
      <c r="M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2"/>
      <c r="FD275" s="2"/>
      <c r="FE275" s="2"/>
      <c r="FF275" s="2"/>
      <c r="FG275" s="2"/>
      <c r="FH275" s="2"/>
      <c r="FI275" s="2"/>
      <c r="FJ275" s="2"/>
      <c r="FK275" s="2"/>
      <c r="FL275" s="2"/>
      <c r="FM275" s="2"/>
      <c r="FN275" s="2"/>
      <c r="FO275" s="2"/>
      <c r="FP275" s="2"/>
      <c r="FQ275" s="2"/>
      <c r="FR275" s="2"/>
      <c r="FS275" s="2"/>
      <c r="FT275" s="2"/>
      <c r="FU275" s="2"/>
      <c r="FV275" s="2"/>
      <c r="FW275" s="2"/>
      <c r="FX275" s="2"/>
      <c r="FY275" s="2"/>
      <c r="FZ275" s="2"/>
      <c r="GA275" s="2"/>
      <c r="GB275" s="2"/>
      <c r="GC275" s="2"/>
      <c r="GD275" s="2"/>
      <c r="GE275" s="2"/>
      <c r="GF275" s="2"/>
      <c r="GG275" s="2"/>
      <c r="GH275" s="2"/>
      <c r="GI275" s="2"/>
      <c r="GJ275" s="2"/>
      <c r="GK275" s="2"/>
      <c r="GL275" s="2"/>
      <c r="GM275" s="2"/>
      <c r="GN275" s="2"/>
      <c r="GO275" s="2"/>
      <c r="GP275" s="2"/>
      <c r="GQ275" s="2"/>
      <c r="GR275" s="2"/>
      <c r="GS275" s="2"/>
      <c r="GT275" s="2"/>
      <c r="GU275" s="2"/>
      <c r="GV275" s="2"/>
      <c r="GW275" s="2"/>
      <c r="GX275" s="2"/>
      <c r="GY275" s="2"/>
      <c r="GZ275" s="2"/>
      <c r="HA275" s="2"/>
      <c r="HB275" s="2"/>
      <c r="HC275" s="2"/>
      <c r="HD275" s="2"/>
      <c r="HE275" s="2"/>
      <c r="HF275" s="2"/>
      <c r="HG275" s="2"/>
      <c r="HH275" s="2"/>
      <c r="HI275" s="2"/>
      <c r="HJ275" s="2"/>
      <c r="HK275" s="2"/>
      <c r="HL275" s="2"/>
      <c r="HM275" s="2"/>
      <c r="HN275" s="2"/>
      <c r="HO275" s="2"/>
      <c r="HP275" s="2"/>
      <c r="HQ275" s="2"/>
      <c r="HR275" s="2"/>
      <c r="HS275" s="2"/>
      <c r="HT275" s="2"/>
      <c r="HU275" s="2"/>
      <c r="HV275" s="2"/>
      <c r="HW275" s="2"/>
      <c r="HX275" s="2"/>
      <c r="HY275" s="2"/>
      <c r="HZ275" s="2"/>
      <c r="IA275" s="2"/>
      <c r="IB275" s="2"/>
      <c r="IC275" s="2"/>
      <c r="IH275" s="21"/>
      <c r="II275" s="14"/>
      <c r="IJ275" s="15"/>
      <c r="IK275" s="16"/>
      <c r="IL275" s="20"/>
      <c r="IM275" s="14"/>
      <c r="IN275" s="12"/>
      <c r="IO275" s="14"/>
      <c r="IP275" s="14"/>
    </row>
    <row r="276" spans="1:250">
      <c r="A276" s="2"/>
      <c r="B276" s="2"/>
      <c r="C276" s="2"/>
      <c r="D276" s="2"/>
      <c r="E276" s="2"/>
      <c r="F276" s="2"/>
      <c r="G276" s="2"/>
      <c r="H276" s="2"/>
      <c r="I276" s="2"/>
      <c r="J276" s="2"/>
      <c r="K276" s="2"/>
      <c r="L276" s="2"/>
      <c r="M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2"/>
      <c r="FD276" s="2"/>
      <c r="FE276" s="2"/>
      <c r="FF276" s="2"/>
      <c r="FG276" s="2"/>
      <c r="FH276" s="2"/>
      <c r="FI276" s="2"/>
      <c r="FJ276" s="2"/>
      <c r="FK276" s="2"/>
      <c r="FL276" s="2"/>
      <c r="FM276" s="2"/>
      <c r="FN276" s="2"/>
      <c r="FO276" s="2"/>
      <c r="FP276" s="2"/>
      <c r="FQ276" s="2"/>
      <c r="FR276" s="2"/>
      <c r="FS276" s="2"/>
      <c r="FT276" s="2"/>
      <c r="FU276" s="2"/>
      <c r="FV276" s="2"/>
      <c r="FW276" s="2"/>
      <c r="FX276" s="2"/>
      <c r="FY276" s="2"/>
      <c r="FZ276" s="2"/>
      <c r="GA276" s="2"/>
      <c r="GB276" s="2"/>
      <c r="GC276" s="2"/>
      <c r="GD276" s="2"/>
      <c r="GE276" s="2"/>
      <c r="GF276" s="2"/>
      <c r="GG276" s="2"/>
      <c r="GH276" s="2"/>
      <c r="GI276" s="2"/>
      <c r="GJ276" s="2"/>
      <c r="GK276" s="2"/>
      <c r="GL276" s="2"/>
      <c r="GM276" s="2"/>
      <c r="GN276" s="2"/>
      <c r="GO276" s="2"/>
      <c r="GP276" s="2"/>
      <c r="GQ276" s="2"/>
      <c r="GR276" s="2"/>
      <c r="GS276" s="2"/>
      <c r="GT276" s="2"/>
      <c r="GU276" s="2"/>
      <c r="GV276" s="2"/>
      <c r="GW276" s="2"/>
      <c r="GX276" s="2"/>
      <c r="GY276" s="2"/>
      <c r="GZ276" s="2"/>
      <c r="HA276" s="2"/>
      <c r="HB276" s="2"/>
      <c r="HC276" s="2"/>
      <c r="HD276" s="2"/>
      <c r="HE276" s="2"/>
      <c r="HF276" s="2"/>
      <c r="HG276" s="2"/>
      <c r="HH276" s="2"/>
      <c r="HI276" s="2"/>
      <c r="HJ276" s="2"/>
      <c r="HK276" s="2"/>
      <c r="HL276" s="2"/>
      <c r="HM276" s="2"/>
      <c r="HN276" s="2"/>
      <c r="HO276" s="2"/>
      <c r="HP276" s="2"/>
      <c r="HQ276" s="2"/>
      <c r="HR276" s="2"/>
      <c r="HS276" s="2"/>
      <c r="HT276" s="2"/>
      <c r="HU276" s="2"/>
      <c r="HV276" s="2"/>
      <c r="HW276" s="2"/>
      <c r="HX276" s="2"/>
      <c r="HY276" s="2"/>
      <c r="HZ276" s="2"/>
      <c r="IA276" s="2"/>
      <c r="IB276" s="2"/>
      <c r="IC276" s="2"/>
      <c r="IH276" s="21"/>
      <c r="II276" s="14"/>
      <c r="IJ276" s="15"/>
      <c r="IK276" s="16"/>
      <c r="IL276" s="20"/>
      <c r="IM276" s="14"/>
      <c r="IN276" s="12"/>
      <c r="IO276" s="14"/>
      <c r="IP276" s="14"/>
    </row>
    <row r="277" spans="1:250">
      <c r="A277" s="2"/>
      <c r="B277" s="2"/>
      <c r="C277" s="2"/>
      <c r="D277" s="2"/>
      <c r="E277" s="2"/>
      <c r="F277" s="2"/>
      <c r="G277" s="2"/>
      <c r="H277" s="2"/>
      <c r="I277" s="2"/>
      <c r="J277" s="2"/>
      <c r="K277" s="2"/>
      <c r="L277" s="2"/>
      <c r="M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2"/>
      <c r="FD277" s="2"/>
      <c r="FE277" s="2"/>
      <c r="FF277" s="2"/>
      <c r="FG277" s="2"/>
      <c r="FH277" s="2"/>
      <c r="FI277" s="2"/>
      <c r="FJ277" s="2"/>
      <c r="FK277" s="2"/>
      <c r="FL277" s="2"/>
      <c r="FM277" s="2"/>
      <c r="FN277" s="2"/>
      <c r="FO277" s="2"/>
      <c r="FP277" s="2"/>
      <c r="FQ277" s="2"/>
      <c r="FR277" s="2"/>
      <c r="FS277" s="2"/>
      <c r="FT277" s="2"/>
      <c r="FU277" s="2"/>
      <c r="FV277" s="2"/>
      <c r="FW277" s="2"/>
      <c r="FX277" s="2"/>
      <c r="FY277" s="2"/>
      <c r="FZ277" s="2"/>
      <c r="GA277" s="2"/>
      <c r="GB277" s="2"/>
      <c r="GC277" s="2"/>
      <c r="GD277" s="2"/>
      <c r="GE277" s="2"/>
      <c r="GF277" s="2"/>
      <c r="GG277" s="2"/>
      <c r="GH277" s="2"/>
      <c r="GI277" s="2"/>
      <c r="GJ277" s="2"/>
      <c r="GK277" s="2"/>
      <c r="GL277" s="2"/>
      <c r="GM277" s="2"/>
      <c r="GN277" s="2"/>
      <c r="GO277" s="2"/>
      <c r="GP277" s="2"/>
      <c r="GQ277" s="2"/>
      <c r="GR277" s="2"/>
      <c r="GS277" s="2"/>
      <c r="GT277" s="2"/>
      <c r="GU277" s="2"/>
      <c r="GV277" s="2"/>
      <c r="GW277" s="2"/>
      <c r="GX277" s="2"/>
      <c r="GY277" s="2"/>
      <c r="GZ277" s="2"/>
      <c r="HA277" s="2"/>
      <c r="HB277" s="2"/>
      <c r="HC277" s="2"/>
      <c r="HD277" s="2"/>
      <c r="HE277" s="2"/>
      <c r="HF277" s="2"/>
      <c r="HG277" s="2"/>
      <c r="HH277" s="2"/>
      <c r="HI277" s="2"/>
      <c r="HJ277" s="2"/>
      <c r="HK277" s="2"/>
      <c r="HL277" s="2"/>
      <c r="HM277" s="2"/>
      <c r="HN277" s="2"/>
      <c r="HO277" s="2"/>
      <c r="HP277" s="2"/>
      <c r="HQ277" s="2"/>
      <c r="HR277" s="2"/>
      <c r="HS277" s="2"/>
      <c r="HT277" s="2"/>
      <c r="HU277" s="2"/>
      <c r="HV277" s="2"/>
      <c r="HW277" s="2"/>
      <c r="HX277" s="2"/>
      <c r="HY277" s="2"/>
      <c r="HZ277" s="2"/>
      <c r="IA277" s="2"/>
      <c r="IB277" s="2"/>
      <c r="IC277" s="2"/>
      <c r="IH277" s="21"/>
      <c r="II277" s="14"/>
      <c r="IJ277" s="15"/>
      <c r="IK277" s="16"/>
      <c r="IL277" s="20"/>
      <c r="IM277" s="14"/>
      <c r="IN277" s="12"/>
      <c r="IO277" s="14"/>
      <c r="IP277" s="14"/>
    </row>
    <row r="278" spans="1:250">
      <c r="A278" s="2"/>
      <c r="B278" s="2"/>
      <c r="C278" s="2"/>
      <c r="D278" s="2"/>
      <c r="E278" s="2"/>
      <c r="F278" s="2"/>
      <c r="G278" s="2"/>
      <c r="H278" s="2"/>
      <c r="I278" s="2"/>
      <c r="J278" s="2"/>
      <c r="K278" s="2"/>
      <c r="L278" s="2"/>
      <c r="M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2"/>
      <c r="FD278" s="2"/>
      <c r="FE278" s="2"/>
      <c r="FF278" s="2"/>
      <c r="FG278" s="2"/>
      <c r="FH278" s="2"/>
      <c r="FI278" s="2"/>
      <c r="FJ278" s="2"/>
      <c r="FK278" s="2"/>
      <c r="FL278" s="2"/>
      <c r="FM278" s="2"/>
      <c r="FN278" s="2"/>
      <c r="FO278" s="2"/>
      <c r="FP278" s="2"/>
      <c r="FQ278" s="2"/>
      <c r="FR278" s="2"/>
      <c r="FS278" s="2"/>
      <c r="FT278" s="2"/>
      <c r="FU278" s="2"/>
      <c r="FV278" s="2"/>
      <c r="FW278" s="2"/>
      <c r="FX278" s="2"/>
      <c r="FY278" s="2"/>
      <c r="FZ278" s="2"/>
      <c r="GA278" s="2"/>
      <c r="GB278" s="2"/>
      <c r="GC278" s="2"/>
      <c r="GD278" s="2"/>
      <c r="GE278" s="2"/>
      <c r="GF278" s="2"/>
      <c r="GG278" s="2"/>
      <c r="GH278" s="2"/>
      <c r="GI278" s="2"/>
      <c r="GJ278" s="2"/>
      <c r="GK278" s="2"/>
      <c r="GL278" s="2"/>
      <c r="GM278" s="2"/>
      <c r="GN278" s="2"/>
      <c r="GO278" s="2"/>
      <c r="GP278" s="2"/>
      <c r="GQ278" s="2"/>
      <c r="GR278" s="2"/>
      <c r="GS278" s="2"/>
      <c r="GT278" s="2"/>
      <c r="GU278" s="2"/>
      <c r="GV278" s="2"/>
      <c r="GW278" s="2"/>
      <c r="GX278" s="2"/>
      <c r="GY278" s="2"/>
      <c r="GZ278" s="2"/>
      <c r="HA278" s="2"/>
      <c r="HB278" s="2"/>
      <c r="HC278" s="2"/>
      <c r="HD278" s="2"/>
      <c r="HE278" s="2"/>
      <c r="HF278" s="2"/>
      <c r="HG278" s="2"/>
      <c r="HH278" s="2"/>
      <c r="HI278" s="2"/>
      <c r="HJ278" s="2"/>
      <c r="HK278" s="2"/>
      <c r="HL278" s="2"/>
      <c r="HM278" s="2"/>
      <c r="HN278" s="2"/>
      <c r="HO278" s="2"/>
      <c r="HP278" s="2"/>
      <c r="HQ278" s="2"/>
      <c r="HR278" s="2"/>
      <c r="HS278" s="2"/>
      <c r="HT278" s="2"/>
      <c r="HU278" s="2"/>
      <c r="HV278" s="2"/>
      <c r="HW278" s="2"/>
      <c r="HX278" s="2"/>
      <c r="HY278" s="2"/>
      <c r="HZ278" s="2"/>
      <c r="IA278" s="2"/>
      <c r="IB278" s="2"/>
      <c r="IC278" s="2"/>
      <c r="IH278" s="21"/>
      <c r="II278" s="14"/>
      <c r="IJ278" s="15"/>
      <c r="IK278" s="16"/>
      <c r="IL278" s="20"/>
      <c r="IM278" s="14"/>
      <c r="IN278" s="12"/>
      <c r="IO278" s="14"/>
      <c r="IP278" s="14"/>
    </row>
    <row r="279" spans="1:250">
      <c r="A279" s="2"/>
      <c r="B279" s="2"/>
      <c r="C279" s="2"/>
      <c r="D279" s="2"/>
      <c r="E279" s="2"/>
      <c r="F279" s="2"/>
      <c r="G279" s="2"/>
      <c r="H279" s="2"/>
      <c r="I279" s="2"/>
      <c r="J279" s="2"/>
      <c r="K279" s="2"/>
      <c r="L279" s="2"/>
      <c r="M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2"/>
      <c r="FD279" s="2"/>
      <c r="FE279" s="2"/>
      <c r="FF279" s="2"/>
      <c r="FG279" s="2"/>
      <c r="FH279" s="2"/>
      <c r="FI279" s="2"/>
      <c r="FJ279" s="2"/>
      <c r="FK279" s="2"/>
      <c r="FL279" s="2"/>
      <c r="FM279" s="2"/>
      <c r="FN279" s="2"/>
      <c r="FO279" s="2"/>
      <c r="FP279" s="2"/>
      <c r="FQ279" s="2"/>
      <c r="FR279" s="2"/>
      <c r="FS279" s="2"/>
      <c r="FT279" s="2"/>
      <c r="FU279" s="2"/>
      <c r="FV279" s="2"/>
      <c r="FW279" s="2"/>
      <c r="FX279" s="2"/>
      <c r="FY279" s="2"/>
      <c r="FZ279" s="2"/>
      <c r="GA279" s="2"/>
      <c r="GB279" s="2"/>
      <c r="GC279" s="2"/>
      <c r="GD279" s="2"/>
      <c r="GE279" s="2"/>
      <c r="GF279" s="2"/>
      <c r="GG279" s="2"/>
      <c r="GH279" s="2"/>
      <c r="GI279" s="2"/>
      <c r="GJ279" s="2"/>
      <c r="GK279" s="2"/>
      <c r="GL279" s="2"/>
      <c r="GM279" s="2"/>
      <c r="GN279" s="2"/>
      <c r="GO279" s="2"/>
      <c r="GP279" s="2"/>
      <c r="GQ279" s="2"/>
      <c r="GR279" s="2"/>
      <c r="GS279" s="2"/>
      <c r="GT279" s="2"/>
      <c r="GU279" s="2"/>
      <c r="GV279" s="2"/>
      <c r="GW279" s="2"/>
      <c r="GX279" s="2"/>
      <c r="GY279" s="2"/>
      <c r="GZ279" s="2"/>
      <c r="HA279" s="2"/>
      <c r="HB279" s="2"/>
      <c r="HC279" s="2"/>
      <c r="HD279" s="2"/>
      <c r="HE279" s="2"/>
      <c r="HF279" s="2"/>
      <c r="HG279" s="2"/>
      <c r="HH279" s="2"/>
      <c r="HI279" s="2"/>
      <c r="HJ279" s="2"/>
      <c r="HK279" s="2"/>
      <c r="HL279" s="2"/>
      <c r="HM279" s="2"/>
      <c r="HN279" s="2"/>
      <c r="HO279" s="2"/>
      <c r="HP279" s="2"/>
      <c r="HQ279" s="2"/>
      <c r="HR279" s="2"/>
      <c r="HS279" s="2"/>
      <c r="HT279" s="2"/>
      <c r="HU279" s="2"/>
      <c r="HV279" s="2"/>
      <c r="HW279" s="2"/>
      <c r="HX279" s="2"/>
      <c r="HY279" s="2"/>
      <c r="HZ279" s="2"/>
      <c r="IA279" s="2"/>
      <c r="IB279" s="2"/>
      <c r="IC279" s="2"/>
      <c r="IH279" s="21"/>
      <c r="II279" s="14"/>
      <c r="IJ279" s="15"/>
      <c r="IK279" s="16"/>
      <c r="IL279" s="20"/>
      <c r="IM279" s="14"/>
      <c r="IN279" s="12"/>
      <c r="IO279" s="14"/>
      <c r="IP279" s="14"/>
    </row>
    <row r="280" spans="1:250">
      <c r="A280" s="2"/>
      <c r="B280" s="2"/>
      <c r="C280" s="2"/>
      <c r="D280" s="2"/>
      <c r="E280" s="2"/>
      <c r="F280" s="2"/>
      <c r="G280" s="2"/>
      <c r="H280" s="2"/>
      <c r="I280" s="2"/>
      <c r="J280" s="2"/>
      <c r="K280" s="2"/>
      <c r="L280" s="2"/>
      <c r="M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2"/>
      <c r="FD280" s="2"/>
      <c r="FE280" s="2"/>
      <c r="FF280" s="2"/>
      <c r="FG280" s="2"/>
      <c r="FH280" s="2"/>
      <c r="FI280" s="2"/>
      <c r="FJ280" s="2"/>
      <c r="FK280" s="2"/>
      <c r="FL280" s="2"/>
      <c r="FM280" s="2"/>
      <c r="FN280" s="2"/>
      <c r="FO280" s="2"/>
      <c r="FP280" s="2"/>
      <c r="FQ280" s="2"/>
      <c r="FR280" s="2"/>
      <c r="FS280" s="2"/>
      <c r="FT280" s="2"/>
      <c r="FU280" s="2"/>
      <c r="FV280" s="2"/>
      <c r="FW280" s="2"/>
      <c r="FX280" s="2"/>
      <c r="FY280" s="2"/>
      <c r="FZ280" s="2"/>
      <c r="GA280" s="2"/>
      <c r="GB280" s="2"/>
      <c r="GC280" s="2"/>
      <c r="GD280" s="2"/>
      <c r="GE280" s="2"/>
      <c r="GF280" s="2"/>
      <c r="GG280" s="2"/>
      <c r="GH280" s="2"/>
      <c r="GI280" s="2"/>
      <c r="GJ280" s="2"/>
      <c r="GK280" s="2"/>
      <c r="GL280" s="2"/>
      <c r="GM280" s="2"/>
      <c r="GN280" s="2"/>
      <c r="GO280" s="2"/>
      <c r="GP280" s="2"/>
      <c r="GQ280" s="2"/>
      <c r="GR280" s="2"/>
      <c r="GS280" s="2"/>
      <c r="GT280" s="2"/>
      <c r="GU280" s="2"/>
      <c r="GV280" s="2"/>
      <c r="GW280" s="2"/>
      <c r="GX280" s="2"/>
      <c r="GY280" s="2"/>
      <c r="GZ280" s="2"/>
      <c r="HA280" s="2"/>
      <c r="HB280" s="2"/>
      <c r="HC280" s="2"/>
      <c r="HD280" s="2"/>
      <c r="HE280" s="2"/>
      <c r="HF280" s="2"/>
      <c r="HG280" s="2"/>
      <c r="HH280" s="2"/>
      <c r="HI280" s="2"/>
      <c r="HJ280" s="2"/>
      <c r="HK280" s="2"/>
      <c r="HL280" s="2"/>
      <c r="HM280" s="2"/>
      <c r="HN280" s="2"/>
      <c r="HO280" s="2"/>
      <c r="HP280" s="2"/>
      <c r="HQ280" s="2"/>
      <c r="HR280" s="2"/>
      <c r="HS280" s="2"/>
      <c r="HT280" s="2"/>
      <c r="HU280" s="2"/>
      <c r="HV280" s="2"/>
      <c r="HW280" s="2"/>
      <c r="HX280" s="2"/>
      <c r="HY280" s="2"/>
      <c r="HZ280" s="2"/>
      <c r="IA280" s="2"/>
      <c r="IB280" s="2"/>
      <c r="IC280" s="2"/>
      <c r="IH280" s="21"/>
      <c r="II280" s="14"/>
      <c r="IJ280" s="15"/>
      <c r="IK280" s="16"/>
      <c r="IL280" s="20"/>
      <c r="IM280" s="14"/>
      <c r="IN280" s="12"/>
      <c r="IO280" s="14"/>
      <c r="IP280" s="14"/>
    </row>
    <row r="281" spans="1:250">
      <c r="A281" s="2"/>
      <c r="B281" s="2"/>
      <c r="C281" s="2"/>
      <c r="D281" s="2"/>
      <c r="E281" s="2"/>
      <c r="F281" s="2"/>
      <c r="G281" s="2"/>
      <c r="H281" s="2"/>
      <c r="I281" s="2"/>
      <c r="J281" s="2"/>
      <c r="K281" s="2"/>
      <c r="L281" s="2"/>
      <c r="M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2"/>
      <c r="FD281" s="2"/>
      <c r="FE281" s="2"/>
      <c r="FF281" s="2"/>
      <c r="FG281" s="2"/>
      <c r="FH281" s="2"/>
      <c r="FI281" s="2"/>
      <c r="FJ281" s="2"/>
      <c r="FK281" s="2"/>
      <c r="FL281" s="2"/>
      <c r="FM281" s="2"/>
      <c r="FN281" s="2"/>
      <c r="FO281" s="2"/>
      <c r="FP281" s="2"/>
      <c r="FQ281" s="2"/>
      <c r="FR281" s="2"/>
      <c r="FS281" s="2"/>
      <c r="FT281" s="2"/>
      <c r="FU281" s="2"/>
      <c r="FV281" s="2"/>
      <c r="FW281" s="2"/>
      <c r="FX281" s="2"/>
      <c r="FY281" s="2"/>
      <c r="FZ281" s="2"/>
      <c r="GA281" s="2"/>
      <c r="GB281" s="2"/>
      <c r="GC281" s="2"/>
      <c r="GD281" s="2"/>
      <c r="GE281" s="2"/>
      <c r="GF281" s="2"/>
      <c r="GG281" s="2"/>
      <c r="GH281" s="2"/>
      <c r="GI281" s="2"/>
      <c r="GJ281" s="2"/>
      <c r="GK281" s="2"/>
      <c r="GL281" s="2"/>
      <c r="GM281" s="2"/>
      <c r="GN281" s="2"/>
      <c r="GO281" s="2"/>
      <c r="GP281" s="2"/>
      <c r="GQ281" s="2"/>
      <c r="GR281" s="2"/>
      <c r="GS281" s="2"/>
      <c r="GT281" s="2"/>
      <c r="GU281" s="2"/>
      <c r="GV281" s="2"/>
      <c r="GW281" s="2"/>
      <c r="GX281" s="2"/>
      <c r="GY281" s="2"/>
      <c r="GZ281" s="2"/>
      <c r="HA281" s="2"/>
      <c r="HB281" s="2"/>
      <c r="HC281" s="2"/>
      <c r="HD281" s="2"/>
      <c r="HE281" s="2"/>
      <c r="HF281" s="2"/>
      <c r="HG281" s="2"/>
      <c r="HH281" s="2"/>
      <c r="HI281" s="2"/>
      <c r="HJ281" s="2"/>
      <c r="HK281" s="2"/>
      <c r="HL281" s="2"/>
      <c r="HM281" s="2"/>
      <c r="HN281" s="2"/>
      <c r="HO281" s="2"/>
      <c r="HP281" s="2"/>
      <c r="HQ281" s="2"/>
      <c r="HR281" s="2"/>
      <c r="HS281" s="2"/>
      <c r="HT281" s="2"/>
      <c r="HU281" s="2"/>
      <c r="HV281" s="2"/>
      <c r="HW281" s="2"/>
      <c r="HX281" s="2"/>
      <c r="HY281" s="2"/>
      <c r="HZ281" s="2"/>
      <c r="IA281" s="2"/>
      <c r="IB281" s="2"/>
      <c r="IC281" s="2"/>
      <c r="IH281" s="21"/>
      <c r="II281" s="14"/>
      <c r="IJ281" s="15"/>
      <c r="IK281" s="16"/>
      <c r="IL281" s="20"/>
      <c r="IM281" s="14"/>
      <c r="IN281" s="12"/>
      <c r="IO281" s="14"/>
      <c r="IP281" s="14"/>
    </row>
    <row r="282" spans="1:250">
      <c r="A282" s="2"/>
      <c r="B282" s="2"/>
      <c r="C282" s="2"/>
      <c r="D282" s="2"/>
      <c r="E282" s="2"/>
      <c r="F282" s="2"/>
      <c r="G282" s="2"/>
      <c r="H282" s="2"/>
      <c r="I282" s="2"/>
      <c r="J282" s="2"/>
      <c r="K282" s="2"/>
      <c r="L282" s="2"/>
      <c r="M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2"/>
      <c r="FD282" s="2"/>
      <c r="FE282" s="2"/>
      <c r="FF282" s="2"/>
      <c r="FG282" s="2"/>
      <c r="FH282" s="2"/>
      <c r="FI282" s="2"/>
      <c r="FJ282" s="2"/>
      <c r="FK282" s="2"/>
      <c r="FL282" s="2"/>
      <c r="FM282" s="2"/>
      <c r="FN282" s="2"/>
      <c r="FO282" s="2"/>
      <c r="FP282" s="2"/>
      <c r="FQ282" s="2"/>
      <c r="FR282" s="2"/>
      <c r="FS282" s="2"/>
      <c r="FT282" s="2"/>
      <c r="FU282" s="2"/>
      <c r="FV282" s="2"/>
      <c r="FW282" s="2"/>
      <c r="FX282" s="2"/>
      <c r="FY282" s="2"/>
      <c r="FZ282" s="2"/>
      <c r="GA282" s="2"/>
      <c r="GB282" s="2"/>
      <c r="GC282" s="2"/>
      <c r="GD282" s="2"/>
      <c r="GE282" s="2"/>
      <c r="GF282" s="2"/>
      <c r="GG282" s="2"/>
      <c r="GH282" s="2"/>
      <c r="GI282" s="2"/>
      <c r="GJ282" s="2"/>
      <c r="GK282" s="2"/>
      <c r="GL282" s="2"/>
      <c r="GM282" s="2"/>
      <c r="GN282" s="2"/>
      <c r="GO282" s="2"/>
      <c r="GP282" s="2"/>
      <c r="GQ282" s="2"/>
      <c r="GR282" s="2"/>
      <c r="GS282" s="2"/>
      <c r="GT282" s="2"/>
      <c r="GU282" s="2"/>
      <c r="GV282" s="2"/>
      <c r="GW282" s="2"/>
      <c r="GX282" s="2"/>
      <c r="GY282" s="2"/>
      <c r="GZ282" s="2"/>
      <c r="HA282" s="2"/>
      <c r="HB282" s="2"/>
      <c r="HC282" s="2"/>
      <c r="HD282" s="2"/>
      <c r="HE282" s="2"/>
      <c r="HF282" s="2"/>
      <c r="HG282" s="2"/>
      <c r="HH282" s="2"/>
      <c r="HI282" s="2"/>
      <c r="HJ282" s="2"/>
      <c r="HK282" s="2"/>
      <c r="HL282" s="2"/>
      <c r="HM282" s="2"/>
      <c r="HN282" s="2"/>
      <c r="HO282" s="2"/>
      <c r="HP282" s="2"/>
      <c r="HQ282" s="2"/>
      <c r="HR282" s="2"/>
      <c r="HS282" s="2"/>
      <c r="HT282" s="2"/>
      <c r="HU282" s="2"/>
      <c r="HV282" s="2"/>
      <c r="HW282" s="2"/>
      <c r="HX282" s="2"/>
      <c r="HY282" s="2"/>
      <c r="HZ282" s="2"/>
      <c r="IA282" s="2"/>
      <c r="IB282" s="2"/>
      <c r="IC282" s="2"/>
      <c r="IH282" s="21"/>
      <c r="II282" s="14"/>
      <c r="IJ282" s="15"/>
      <c r="IK282" s="16"/>
      <c r="IL282" s="20"/>
      <c r="IM282" s="14"/>
      <c r="IN282" s="12"/>
      <c r="IO282" s="14"/>
      <c r="IP282" s="14"/>
    </row>
    <row r="283" spans="1:250">
      <c r="A283" s="2"/>
      <c r="B283" s="2"/>
      <c r="C283" s="2"/>
      <c r="D283" s="2"/>
      <c r="E283" s="2"/>
      <c r="F283" s="2"/>
      <c r="G283" s="2"/>
      <c r="H283" s="2"/>
      <c r="I283" s="2"/>
      <c r="J283" s="2"/>
      <c r="K283" s="2"/>
      <c r="L283" s="2"/>
      <c r="M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2"/>
      <c r="FD283" s="2"/>
      <c r="FE283" s="2"/>
      <c r="FF283" s="2"/>
      <c r="FG283" s="2"/>
      <c r="FH283" s="2"/>
      <c r="FI283" s="2"/>
      <c r="FJ283" s="2"/>
      <c r="FK283" s="2"/>
      <c r="FL283" s="2"/>
      <c r="FM283" s="2"/>
      <c r="FN283" s="2"/>
      <c r="FO283" s="2"/>
      <c r="FP283" s="2"/>
      <c r="FQ283" s="2"/>
      <c r="FR283" s="2"/>
      <c r="FS283" s="2"/>
      <c r="FT283" s="2"/>
      <c r="FU283" s="2"/>
      <c r="FV283" s="2"/>
      <c r="FW283" s="2"/>
      <c r="FX283" s="2"/>
      <c r="FY283" s="2"/>
      <c r="FZ283" s="2"/>
      <c r="GA283" s="2"/>
      <c r="GB283" s="2"/>
      <c r="GC283" s="2"/>
      <c r="GD283" s="2"/>
      <c r="GE283" s="2"/>
      <c r="GF283" s="2"/>
      <c r="GG283" s="2"/>
      <c r="GH283" s="2"/>
      <c r="GI283" s="2"/>
      <c r="GJ283" s="2"/>
      <c r="GK283" s="2"/>
      <c r="GL283" s="2"/>
      <c r="GM283" s="2"/>
      <c r="GN283" s="2"/>
      <c r="GO283" s="2"/>
      <c r="GP283" s="2"/>
      <c r="GQ283" s="2"/>
      <c r="GR283" s="2"/>
      <c r="GS283" s="2"/>
      <c r="GT283" s="2"/>
      <c r="GU283" s="2"/>
      <c r="GV283" s="2"/>
      <c r="GW283" s="2"/>
      <c r="GX283" s="2"/>
      <c r="GY283" s="2"/>
      <c r="GZ283" s="2"/>
      <c r="HA283" s="2"/>
      <c r="HB283" s="2"/>
      <c r="HC283" s="2"/>
      <c r="HD283" s="2"/>
      <c r="HE283" s="2"/>
      <c r="HF283" s="2"/>
      <c r="HG283" s="2"/>
      <c r="HH283" s="2"/>
      <c r="HI283" s="2"/>
      <c r="HJ283" s="2"/>
      <c r="HK283" s="2"/>
      <c r="HL283" s="2"/>
      <c r="HM283" s="2"/>
      <c r="HN283" s="2"/>
      <c r="HO283" s="2"/>
      <c r="HP283" s="2"/>
      <c r="HQ283" s="2"/>
      <c r="HR283" s="2"/>
      <c r="HS283" s="2"/>
      <c r="HT283" s="2"/>
      <c r="HU283" s="2"/>
      <c r="HV283" s="2"/>
      <c r="HW283" s="2"/>
      <c r="HX283" s="2"/>
      <c r="HY283" s="2"/>
      <c r="HZ283" s="2"/>
      <c r="IA283" s="2"/>
      <c r="IB283" s="2"/>
      <c r="IC283" s="2"/>
      <c r="IH283" s="21"/>
      <c r="II283" s="14"/>
      <c r="IJ283" s="15"/>
      <c r="IK283" s="16"/>
      <c r="IL283" s="20"/>
      <c r="IM283" s="14"/>
      <c r="IN283" s="12"/>
      <c r="IO283" s="14"/>
      <c r="IP283" s="14"/>
    </row>
    <row r="284" spans="1:250">
      <c r="A284" s="2"/>
      <c r="B284" s="2"/>
      <c r="C284" s="2"/>
      <c r="D284" s="2"/>
      <c r="E284" s="2"/>
      <c r="F284" s="2"/>
      <c r="G284" s="2"/>
      <c r="H284" s="2"/>
      <c r="I284" s="2"/>
      <c r="J284" s="2"/>
      <c r="K284" s="2"/>
      <c r="L284" s="2"/>
      <c r="M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2"/>
      <c r="FD284" s="2"/>
      <c r="FE284" s="2"/>
      <c r="FF284" s="2"/>
      <c r="FG284" s="2"/>
      <c r="FH284" s="2"/>
      <c r="FI284" s="2"/>
      <c r="FJ284" s="2"/>
      <c r="FK284" s="2"/>
      <c r="FL284" s="2"/>
      <c r="FM284" s="2"/>
      <c r="FN284" s="2"/>
      <c r="FO284" s="2"/>
      <c r="FP284" s="2"/>
      <c r="FQ284" s="2"/>
      <c r="FR284" s="2"/>
      <c r="FS284" s="2"/>
      <c r="FT284" s="2"/>
      <c r="FU284" s="2"/>
      <c r="FV284" s="2"/>
      <c r="FW284" s="2"/>
      <c r="FX284" s="2"/>
      <c r="FY284" s="2"/>
      <c r="FZ284" s="2"/>
      <c r="GA284" s="2"/>
      <c r="GB284" s="2"/>
      <c r="GC284" s="2"/>
      <c r="GD284" s="2"/>
      <c r="GE284" s="2"/>
      <c r="GF284" s="2"/>
      <c r="GG284" s="2"/>
      <c r="GH284" s="2"/>
      <c r="GI284" s="2"/>
      <c r="GJ284" s="2"/>
      <c r="GK284" s="2"/>
      <c r="GL284" s="2"/>
      <c r="GM284" s="2"/>
      <c r="GN284" s="2"/>
      <c r="GO284" s="2"/>
      <c r="GP284" s="2"/>
      <c r="GQ284" s="2"/>
      <c r="GR284" s="2"/>
      <c r="GS284" s="2"/>
      <c r="GT284" s="2"/>
      <c r="GU284" s="2"/>
      <c r="GV284" s="2"/>
      <c r="GW284" s="2"/>
      <c r="GX284" s="2"/>
      <c r="GY284" s="2"/>
      <c r="GZ284" s="2"/>
      <c r="HA284" s="2"/>
      <c r="HB284" s="2"/>
      <c r="HC284" s="2"/>
      <c r="HD284" s="2"/>
      <c r="HE284" s="2"/>
      <c r="HF284" s="2"/>
      <c r="HG284" s="2"/>
      <c r="HH284" s="2"/>
      <c r="HI284" s="2"/>
      <c r="HJ284" s="2"/>
      <c r="HK284" s="2"/>
      <c r="HL284" s="2"/>
      <c r="HM284" s="2"/>
      <c r="HN284" s="2"/>
      <c r="HO284" s="2"/>
      <c r="HP284" s="2"/>
      <c r="HQ284" s="2"/>
      <c r="HR284" s="2"/>
      <c r="HS284" s="2"/>
      <c r="HT284" s="2"/>
      <c r="HU284" s="2"/>
      <c r="HV284" s="2"/>
      <c r="HW284" s="2"/>
      <c r="HX284" s="2"/>
      <c r="HY284" s="2"/>
      <c r="HZ284" s="2"/>
      <c r="IA284" s="2"/>
      <c r="IB284" s="2"/>
      <c r="IC284" s="2"/>
      <c r="IH284" s="21"/>
      <c r="II284" s="14"/>
      <c r="IJ284" s="15"/>
      <c r="IK284" s="16"/>
      <c r="IL284" s="20"/>
      <c r="IM284" s="14"/>
      <c r="IN284" s="12"/>
      <c r="IO284" s="14"/>
      <c r="IP284" s="14"/>
    </row>
    <row r="285" spans="1:250">
      <c r="A285" s="2"/>
      <c r="B285" s="2"/>
      <c r="C285" s="2"/>
      <c r="D285" s="2"/>
      <c r="E285" s="2"/>
      <c r="F285" s="2"/>
      <c r="G285" s="2"/>
      <c r="H285" s="2"/>
      <c r="I285" s="2"/>
      <c r="J285" s="2"/>
      <c r="K285" s="2"/>
      <c r="L285" s="2"/>
      <c r="M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2"/>
      <c r="FD285" s="2"/>
      <c r="FE285" s="2"/>
      <c r="FF285" s="2"/>
      <c r="FG285" s="2"/>
      <c r="FH285" s="2"/>
      <c r="FI285" s="2"/>
      <c r="FJ285" s="2"/>
      <c r="FK285" s="2"/>
      <c r="FL285" s="2"/>
      <c r="FM285" s="2"/>
      <c r="FN285" s="2"/>
      <c r="FO285" s="2"/>
      <c r="FP285" s="2"/>
      <c r="FQ285" s="2"/>
      <c r="FR285" s="2"/>
      <c r="FS285" s="2"/>
      <c r="FT285" s="2"/>
      <c r="FU285" s="2"/>
      <c r="FV285" s="2"/>
      <c r="FW285" s="2"/>
      <c r="FX285" s="2"/>
      <c r="FY285" s="2"/>
      <c r="FZ285" s="2"/>
      <c r="GA285" s="2"/>
      <c r="GB285" s="2"/>
      <c r="GC285" s="2"/>
      <c r="GD285" s="2"/>
      <c r="GE285" s="2"/>
      <c r="GF285" s="2"/>
      <c r="GG285" s="2"/>
      <c r="GH285" s="2"/>
      <c r="GI285" s="2"/>
      <c r="GJ285" s="2"/>
      <c r="GK285" s="2"/>
      <c r="GL285" s="2"/>
      <c r="GM285" s="2"/>
      <c r="GN285" s="2"/>
      <c r="GO285" s="2"/>
      <c r="GP285" s="2"/>
      <c r="GQ285" s="2"/>
      <c r="GR285" s="2"/>
      <c r="GS285" s="2"/>
      <c r="GT285" s="2"/>
      <c r="GU285" s="2"/>
      <c r="GV285" s="2"/>
      <c r="GW285" s="2"/>
      <c r="GX285" s="2"/>
      <c r="GY285" s="2"/>
      <c r="GZ285" s="2"/>
      <c r="HA285" s="2"/>
      <c r="HB285" s="2"/>
      <c r="HC285" s="2"/>
      <c r="HD285" s="2"/>
      <c r="HE285" s="2"/>
      <c r="HF285" s="2"/>
      <c r="HG285" s="2"/>
      <c r="HH285" s="2"/>
      <c r="HI285" s="2"/>
      <c r="HJ285" s="2"/>
      <c r="HK285" s="2"/>
      <c r="HL285" s="2"/>
      <c r="HM285" s="2"/>
      <c r="HN285" s="2"/>
      <c r="HO285" s="2"/>
      <c r="HP285" s="2"/>
      <c r="HQ285" s="2"/>
      <c r="HR285" s="2"/>
      <c r="HS285" s="2"/>
      <c r="HT285" s="2"/>
      <c r="HU285" s="2"/>
      <c r="HV285" s="2"/>
      <c r="HW285" s="2"/>
      <c r="HX285" s="2"/>
      <c r="HY285" s="2"/>
      <c r="HZ285" s="2"/>
      <c r="IA285" s="2"/>
      <c r="IB285" s="2"/>
      <c r="IC285" s="2"/>
      <c r="IH285" s="21"/>
      <c r="II285" s="14"/>
      <c r="IJ285" s="15"/>
      <c r="IK285" s="16"/>
      <c r="IL285" s="20"/>
      <c r="IM285" s="14"/>
      <c r="IN285" s="19"/>
      <c r="IO285" s="14"/>
      <c r="IP285" s="14"/>
    </row>
    <row r="286" spans="1:250">
      <c r="A286" s="2"/>
      <c r="B286" s="2"/>
      <c r="C286" s="2"/>
      <c r="D286" s="2"/>
      <c r="E286" s="2"/>
      <c r="F286" s="2"/>
      <c r="G286" s="2"/>
      <c r="H286" s="2"/>
      <c r="I286" s="2"/>
      <c r="J286" s="2"/>
      <c r="K286" s="2"/>
      <c r="L286" s="2"/>
      <c r="M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2"/>
      <c r="FD286" s="2"/>
      <c r="FE286" s="2"/>
      <c r="FF286" s="2"/>
      <c r="FG286" s="2"/>
      <c r="FH286" s="2"/>
      <c r="FI286" s="2"/>
      <c r="FJ286" s="2"/>
      <c r="FK286" s="2"/>
      <c r="FL286" s="2"/>
      <c r="FM286" s="2"/>
      <c r="FN286" s="2"/>
      <c r="FO286" s="2"/>
      <c r="FP286" s="2"/>
      <c r="FQ286" s="2"/>
      <c r="FR286" s="2"/>
      <c r="FS286" s="2"/>
      <c r="FT286" s="2"/>
      <c r="FU286" s="2"/>
      <c r="FV286" s="2"/>
      <c r="FW286" s="2"/>
      <c r="FX286" s="2"/>
      <c r="FY286" s="2"/>
      <c r="FZ286" s="2"/>
      <c r="GA286" s="2"/>
      <c r="GB286" s="2"/>
      <c r="GC286" s="2"/>
      <c r="GD286" s="2"/>
      <c r="GE286" s="2"/>
      <c r="GF286" s="2"/>
      <c r="GG286" s="2"/>
      <c r="GH286" s="2"/>
      <c r="GI286" s="2"/>
      <c r="GJ286" s="2"/>
      <c r="GK286" s="2"/>
      <c r="GL286" s="2"/>
      <c r="GM286" s="2"/>
      <c r="GN286" s="2"/>
      <c r="GO286" s="2"/>
      <c r="GP286" s="2"/>
      <c r="GQ286" s="2"/>
      <c r="GR286" s="2"/>
      <c r="GS286" s="2"/>
      <c r="GT286" s="2"/>
      <c r="GU286" s="2"/>
      <c r="GV286" s="2"/>
      <c r="GW286" s="2"/>
      <c r="GX286" s="2"/>
      <c r="GY286" s="2"/>
      <c r="GZ286" s="2"/>
      <c r="HA286" s="2"/>
      <c r="HB286" s="2"/>
      <c r="HC286" s="2"/>
      <c r="HD286" s="2"/>
      <c r="HE286" s="2"/>
      <c r="HF286" s="2"/>
      <c r="HG286" s="2"/>
      <c r="HH286" s="2"/>
      <c r="HI286" s="2"/>
      <c r="HJ286" s="2"/>
      <c r="HK286" s="2"/>
      <c r="HL286" s="2"/>
      <c r="HM286" s="2"/>
      <c r="HN286" s="2"/>
      <c r="HO286" s="2"/>
      <c r="HP286" s="2"/>
      <c r="HQ286" s="2"/>
      <c r="HR286" s="2"/>
      <c r="HS286" s="2"/>
      <c r="HT286" s="2"/>
      <c r="HU286" s="2"/>
      <c r="HV286" s="2"/>
      <c r="HW286" s="2"/>
      <c r="HX286" s="2"/>
      <c r="HY286" s="2"/>
      <c r="HZ286" s="2"/>
      <c r="IA286" s="2"/>
      <c r="IB286" s="2"/>
      <c r="IC286" s="2"/>
      <c r="II286" s="18"/>
      <c r="IJ286" s="18"/>
    </row>
    <row r="287" spans="1:250">
      <c r="A287" s="2"/>
      <c r="B287" s="2"/>
      <c r="C287" s="2"/>
      <c r="D287" s="2"/>
      <c r="E287" s="2"/>
      <c r="F287" s="2"/>
      <c r="G287" s="2"/>
      <c r="H287" s="2"/>
      <c r="I287" s="2"/>
      <c r="J287" s="2"/>
      <c r="K287" s="2"/>
      <c r="L287" s="2"/>
      <c r="M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2"/>
      <c r="FD287" s="2"/>
      <c r="FE287" s="2"/>
      <c r="FF287" s="2"/>
      <c r="FG287" s="2"/>
      <c r="FH287" s="2"/>
      <c r="FI287" s="2"/>
      <c r="FJ287" s="2"/>
      <c r="FK287" s="2"/>
      <c r="FL287" s="2"/>
      <c r="FM287" s="2"/>
      <c r="FN287" s="2"/>
      <c r="FO287" s="2"/>
      <c r="FP287" s="2"/>
      <c r="FQ287" s="2"/>
      <c r="FR287" s="2"/>
      <c r="FS287" s="2"/>
      <c r="FT287" s="2"/>
      <c r="FU287" s="2"/>
      <c r="FV287" s="2"/>
      <c r="FW287" s="2"/>
      <c r="FX287" s="2"/>
      <c r="FY287" s="2"/>
      <c r="FZ287" s="2"/>
      <c r="GA287" s="2"/>
      <c r="GB287" s="2"/>
      <c r="GC287" s="2"/>
      <c r="GD287" s="2"/>
      <c r="GE287" s="2"/>
      <c r="GF287" s="2"/>
      <c r="GG287" s="2"/>
      <c r="GH287" s="2"/>
      <c r="GI287" s="2"/>
      <c r="GJ287" s="2"/>
      <c r="GK287" s="2"/>
      <c r="GL287" s="2"/>
      <c r="GM287" s="2"/>
      <c r="GN287" s="2"/>
      <c r="GO287" s="2"/>
      <c r="GP287" s="2"/>
      <c r="GQ287" s="2"/>
      <c r="GR287" s="2"/>
      <c r="GS287" s="2"/>
      <c r="GT287" s="2"/>
      <c r="GU287" s="2"/>
      <c r="GV287" s="2"/>
      <c r="GW287" s="2"/>
      <c r="GX287" s="2"/>
      <c r="GY287" s="2"/>
      <c r="GZ287" s="2"/>
      <c r="HA287" s="2"/>
      <c r="HB287" s="2"/>
      <c r="HC287" s="2"/>
      <c r="HD287" s="2"/>
      <c r="HE287" s="2"/>
      <c r="HF287" s="2"/>
      <c r="HG287" s="2"/>
      <c r="HH287" s="2"/>
      <c r="HI287" s="2"/>
      <c r="HJ287" s="2"/>
      <c r="HK287" s="2"/>
      <c r="HL287" s="2"/>
      <c r="HM287" s="2"/>
      <c r="HN287" s="2"/>
      <c r="HO287" s="2"/>
      <c r="HP287" s="2"/>
      <c r="HQ287" s="2"/>
      <c r="HR287" s="2"/>
      <c r="HS287" s="2"/>
      <c r="HT287" s="2"/>
      <c r="HU287" s="2"/>
      <c r="HV287" s="2"/>
      <c r="HW287" s="2"/>
      <c r="HX287" s="2"/>
      <c r="HY287" s="2"/>
      <c r="HZ287" s="2"/>
      <c r="IA287" s="2"/>
      <c r="IB287" s="2"/>
      <c r="IC287" s="2"/>
      <c r="II287" s="18"/>
      <c r="IJ287" s="18"/>
    </row>
    <row r="288" spans="1:250">
      <c r="A288" s="2"/>
      <c r="B288" s="2"/>
      <c r="C288" s="2"/>
      <c r="D288" s="2"/>
      <c r="E288" s="2"/>
      <c r="F288" s="2"/>
      <c r="G288" s="2"/>
      <c r="H288" s="2"/>
      <c r="I288" s="2"/>
      <c r="J288" s="2"/>
      <c r="K288" s="2"/>
      <c r="L288" s="2"/>
      <c r="M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2"/>
      <c r="FD288" s="2"/>
      <c r="FE288" s="2"/>
      <c r="FF288" s="2"/>
      <c r="FG288" s="2"/>
      <c r="FH288" s="2"/>
      <c r="FI288" s="2"/>
      <c r="FJ288" s="2"/>
      <c r="FK288" s="2"/>
      <c r="FL288" s="2"/>
      <c r="FM288" s="2"/>
      <c r="FN288" s="2"/>
      <c r="FO288" s="2"/>
      <c r="FP288" s="2"/>
      <c r="FQ288" s="2"/>
      <c r="FR288" s="2"/>
      <c r="FS288" s="2"/>
      <c r="FT288" s="2"/>
      <c r="FU288" s="2"/>
      <c r="FV288" s="2"/>
      <c r="FW288" s="2"/>
      <c r="FX288" s="2"/>
      <c r="FY288" s="2"/>
      <c r="FZ288" s="2"/>
      <c r="GA288" s="2"/>
      <c r="GB288" s="2"/>
      <c r="GC288" s="2"/>
      <c r="GD288" s="2"/>
      <c r="GE288" s="2"/>
      <c r="GF288" s="2"/>
      <c r="GG288" s="2"/>
      <c r="GH288" s="2"/>
      <c r="GI288" s="2"/>
      <c r="GJ288" s="2"/>
      <c r="GK288" s="2"/>
      <c r="GL288" s="2"/>
      <c r="GM288" s="2"/>
      <c r="GN288" s="2"/>
      <c r="GO288" s="2"/>
      <c r="GP288" s="2"/>
      <c r="GQ288" s="2"/>
      <c r="GR288" s="2"/>
      <c r="GS288" s="2"/>
      <c r="GT288" s="2"/>
      <c r="GU288" s="2"/>
      <c r="GV288" s="2"/>
      <c r="GW288" s="2"/>
      <c r="GX288" s="2"/>
      <c r="GY288" s="2"/>
      <c r="GZ288" s="2"/>
      <c r="HA288" s="2"/>
      <c r="HB288" s="2"/>
      <c r="HC288" s="2"/>
      <c r="HD288" s="2"/>
      <c r="HE288" s="2"/>
      <c r="HF288" s="2"/>
      <c r="HG288" s="2"/>
      <c r="HH288" s="2"/>
      <c r="HI288" s="2"/>
      <c r="HJ288" s="2"/>
      <c r="HK288" s="2"/>
      <c r="HL288" s="2"/>
      <c r="HM288" s="2"/>
      <c r="HN288" s="2"/>
      <c r="HO288" s="2"/>
      <c r="HP288" s="2"/>
      <c r="HQ288" s="2"/>
      <c r="HR288" s="2"/>
      <c r="HS288" s="2"/>
      <c r="HT288" s="2"/>
      <c r="HU288" s="2"/>
      <c r="HV288" s="2"/>
      <c r="HW288" s="2"/>
      <c r="HX288" s="2"/>
      <c r="HY288" s="2"/>
      <c r="HZ288" s="2"/>
      <c r="IA288" s="2"/>
      <c r="IB288" s="2"/>
      <c r="IC288" s="2"/>
      <c r="II288" s="18"/>
      <c r="IJ288" s="18"/>
    </row>
    <row r="289" spans="1:244">
      <c r="A289" s="2"/>
      <c r="B289" s="2"/>
      <c r="C289" s="2"/>
      <c r="D289" s="2"/>
      <c r="E289" s="2"/>
      <c r="F289" s="2"/>
      <c r="G289" s="2"/>
      <c r="H289" s="2"/>
      <c r="I289" s="2"/>
      <c r="J289" s="2"/>
      <c r="K289" s="2"/>
      <c r="L289" s="2"/>
      <c r="M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2"/>
      <c r="FD289" s="2"/>
      <c r="FE289" s="2"/>
      <c r="FF289" s="2"/>
      <c r="FG289" s="2"/>
      <c r="FH289" s="2"/>
      <c r="FI289" s="2"/>
      <c r="FJ289" s="2"/>
      <c r="FK289" s="2"/>
      <c r="FL289" s="2"/>
      <c r="FM289" s="2"/>
      <c r="FN289" s="2"/>
      <c r="FO289" s="2"/>
      <c r="FP289" s="2"/>
      <c r="FQ289" s="2"/>
      <c r="FR289" s="2"/>
      <c r="FS289" s="2"/>
      <c r="FT289" s="2"/>
      <c r="FU289" s="2"/>
      <c r="FV289" s="2"/>
      <c r="FW289" s="2"/>
      <c r="FX289" s="2"/>
      <c r="FY289" s="2"/>
      <c r="FZ289" s="2"/>
      <c r="GA289" s="2"/>
      <c r="GB289" s="2"/>
      <c r="GC289" s="2"/>
      <c r="GD289" s="2"/>
      <c r="GE289" s="2"/>
      <c r="GF289" s="2"/>
      <c r="GG289" s="2"/>
      <c r="GH289" s="2"/>
      <c r="GI289" s="2"/>
      <c r="GJ289" s="2"/>
      <c r="GK289" s="2"/>
      <c r="GL289" s="2"/>
      <c r="GM289" s="2"/>
      <c r="GN289" s="2"/>
      <c r="GO289" s="2"/>
      <c r="GP289" s="2"/>
      <c r="GQ289" s="2"/>
      <c r="GR289" s="2"/>
      <c r="GS289" s="2"/>
      <c r="GT289" s="2"/>
      <c r="GU289" s="2"/>
      <c r="GV289" s="2"/>
      <c r="GW289" s="2"/>
      <c r="GX289" s="2"/>
      <c r="GY289" s="2"/>
      <c r="GZ289" s="2"/>
      <c r="HA289" s="2"/>
      <c r="HB289" s="2"/>
      <c r="HC289" s="2"/>
      <c r="HD289" s="2"/>
      <c r="HE289" s="2"/>
      <c r="HF289" s="2"/>
      <c r="HG289" s="2"/>
      <c r="HH289" s="2"/>
      <c r="HI289" s="2"/>
      <c r="HJ289" s="2"/>
      <c r="HK289" s="2"/>
      <c r="HL289" s="2"/>
      <c r="HM289" s="2"/>
      <c r="HN289" s="2"/>
      <c r="HO289" s="2"/>
      <c r="HP289" s="2"/>
      <c r="HQ289" s="2"/>
      <c r="HR289" s="2"/>
      <c r="HS289" s="2"/>
      <c r="HT289" s="2"/>
      <c r="HU289" s="2"/>
      <c r="HV289" s="2"/>
      <c r="HW289" s="2"/>
      <c r="HX289" s="2"/>
      <c r="HY289" s="2"/>
      <c r="HZ289" s="2"/>
      <c r="IA289" s="2"/>
      <c r="IB289" s="2"/>
      <c r="IC289" s="2"/>
      <c r="II289" s="18"/>
      <c r="IJ289" s="18"/>
    </row>
    <row r="290" spans="1:244">
      <c r="A290" s="2"/>
      <c r="B290" s="2"/>
      <c r="C290" s="2"/>
      <c r="D290" s="2"/>
      <c r="E290" s="2"/>
      <c r="F290" s="2"/>
      <c r="G290" s="2"/>
      <c r="H290" s="2"/>
      <c r="I290" s="2"/>
      <c r="J290" s="2"/>
      <c r="K290" s="2"/>
      <c r="L290" s="2"/>
      <c r="M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2"/>
      <c r="FD290" s="2"/>
      <c r="FE290" s="2"/>
      <c r="FF290" s="2"/>
      <c r="FG290" s="2"/>
      <c r="FH290" s="2"/>
      <c r="FI290" s="2"/>
      <c r="FJ290" s="2"/>
      <c r="FK290" s="2"/>
      <c r="FL290" s="2"/>
      <c r="FM290" s="2"/>
      <c r="FN290" s="2"/>
      <c r="FO290" s="2"/>
      <c r="FP290" s="2"/>
      <c r="FQ290" s="2"/>
      <c r="FR290" s="2"/>
      <c r="FS290" s="2"/>
      <c r="FT290" s="2"/>
      <c r="FU290" s="2"/>
      <c r="FV290" s="2"/>
      <c r="FW290" s="2"/>
      <c r="FX290" s="2"/>
      <c r="FY290" s="2"/>
      <c r="FZ290" s="2"/>
      <c r="GA290" s="2"/>
      <c r="GB290" s="2"/>
      <c r="GC290" s="2"/>
      <c r="GD290" s="2"/>
      <c r="GE290" s="2"/>
      <c r="GF290" s="2"/>
      <c r="GG290" s="2"/>
      <c r="GH290" s="2"/>
      <c r="GI290" s="2"/>
      <c r="GJ290" s="2"/>
      <c r="GK290" s="2"/>
      <c r="GL290" s="2"/>
      <c r="GM290" s="2"/>
      <c r="GN290" s="2"/>
      <c r="GO290" s="2"/>
      <c r="GP290" s="2"/>
      <c r="GQ290" s="2"/>
      <c r="GR290" s="2"/>
      <c r="GS290" s="2"/>
      <c r="GT290" s="2"/>
      <c r="GU290" s="2"/>
      <c r="GV290" s="2"/>
      <c r="GW290" s="2"/>
      <c r="GX290" s="2"/>
      <c r="GY290" s="2"/>
      <c r="GZ290" s="2"/>
      <c r="HA290" s="2"/>
      <c r="HB290" s="2"/>
      <c r="HC290" s="2"/>
      <c r="HD290" s="2"/>
      <c r="HE290" s="2"/>
      <c r="HF290" s="2"/>
      <c r="HG290" s="2"/>
      <c r="HH290" s="2"/>
      <c r="HI290" s="2"/>
      <c r="HJ290" s="2"/>
      <c r="HK290" s="2"/>
      <c r="HL290" s="2"/>
      <c r="HM290" s="2"/>
      <c r="HN290" s="2"/>
      <c r="HO290" s="2"/>
      <c r="HP290" s="2"/>
      <c r="HQ290" s="2"/>
      <c r="HR290" s="2"/>
      <c r="HS290" s="2"/>
      <c r="HT290" s="2"/>
      <c r="HU290" s="2"/>
      <c r="HV290" s="2"/>
      <c r="HW290" s="2"/>
      <c r="HX290" s="2"/>
      <c r="HY290" s="2"/>
      <c r="HZ290" s="2"/>
      <c r="IA290" s="2"/>
      <c r="IB290" s="2"/>
      <c r="IC290" s="2"/>
      <c r="II290" s="18"/>
      <c r="IJ290" s="18"/>
    </row>
    <row r="291" spans="1:244">
      <c r="A291" s="2"/>
      <c r="B291" s="2"/>
      <c r="C291" s="2"/>
      <c r="D291" s="2"/>
      <c r="E291" s="2"/>
      <c r="F291" s="2"/>
      <c r="G291" s="2"/>
      <c r="H291" s="2"/>
      <c r="I291" s="2"/>
      <c r="J291" s="2"/>
      <c r="K291" s="2"/>
      <c r="L291" s="2"/>
      <c r="M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2"/>
      <c r="FD291" s="2"/>
      <c r="FE291" s="2"/>
      <c r="FF291" s="2"/>
      <c r="FG291" s="2"/>
      <c r="FH291" s="2"/>
      <c r="FI291" s="2"/>
      <c r="FJ291" s="2"/>
      <c r="FK291" s="2"/>
      <c r="FL291" s="2"/>
      <c r="FM291" s="2"/>
      <c r="FN291" s="2"/>
      <c r="FO291" s="2"/>
      <c r="FP291" s="2"/>
      <c r="FQ291" s="2"/>
      <c r="FR291" s="2"/>
      <c r="FS291" s="2"/>
      <c r="FT291" s="2"/>
      <c r="FU291" s="2"/>
      <c r="FV291" s="2"/>
      <c r="FW291" s="2"/>
      <c r="FX291" s="2"/>
      <c r="FY291" s="2"/>
      <c r="FZ291" s="2"/>
      <c r="GA291" s="2"/>
      <c r="GB291" s="2"/>
      <c r="GC291" s="2"/>
      <c r="GD291" s="2"/>
      <c r="GE291" s="2"/>
      <c r="GF291" s="2"/>
      <c r="GG291" s="2"/>
      <c r="GH291" s="2"/>
      <c r="GI291" s="2"/>
      <c r="GJ291" s="2"/>
      <c r="GK291" s="2"/>
      <c r="GL291" s="2"/>
      <c r="GM291" s="2"/>
      <c r="GN291" s="2"/>
      <c r="GO291" s="2"/>
      <c r="GP291" s="2"/>
      <c r="GQ291" s="2"/>
      <c r="GR291" s="2"/>
      <c r="GS291" s="2"/>
      <c r="GT291" s="2"/>
      <c r="GU291" s="2"/>
      <c r="GV291" s="2"/>
      <c r="GW291" s="2"/>
      <c r="GX291" s="2"/>
      <c r="GY291" s="2"/>
      <c r="GZ291" s="2"/>
      <c r="HA291" s="2"/>
      <c r="HB291" s="2"/>
      <c r="HC291" s="2"/>
      <c r="HD291" s="2"/>
      <c r="HE291" s="2"/>
      <c r="HF291" s="2"/>
      <c r="HG291" s="2"/>
      <c r="HH291" s="2"/>
      <c r="HI291" s="2"/>
      <c r="HJ291" s="2"/>
      <c r="HK291" s="2"/>
      <c r="HL291" s="2"/>
      <c r="HM291" s="2"/>
      <c r="HN291" s="2"/>
      <c r="HO291" s="2"/>
      <c r="HP291" s="2"/>
      <c r="HQ291" s="2"/>
      <c r="HR291" s="2"/>
      <c r="HS291" s="2"/>
      <c r="HT291" s="2"/>
      <c r="HU291" s="2"/>
      <c r="HV291" s="2"/>
      <c r="HW291" s="2"/>
      <c r="HX291" s="2"/>
      <c r="HY291" s="2"/>
      <c r="HZ291" s="2"/>
      <c r="IA291" s="2"/>
      <c r="IB291" s="2"/>
      <c r="IC291" s="2"/>
      <c r="II291" s="18"/>
      <c r="IJ291" s="18"/>
    </row>
    <row r="292" spans="1:244">
      <c r="A292" s="2"/>
      <c r="B292" s="2"/>
      <c r="C292" s="2"/>
      <c r="D292" s="2"/>
      <c r="E292" s="2"/>
      <c r="F292" s="2"/>
      <c r="G292" s="2"/>
      <c r="H292" s="2"/>
      <c r="I292" s="2"/>
      <c r="J292" s="2"/>
      <c r="K292" s="2"/>
      <c r="L292" s="2"/>
      <c r="M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2"/>
      <c r="FD292" s="2"/>
      <c r="FE292" s="2"/>
      <c r="FF292" s="2"/>
      <c r="FG292" s="2"/>
      <c r="FH292" s="2"/>
      <c r="FI292" s="2"/>
      <c r="FJ292" s="2"/>
      <c r="FK292" s="2"/>
      <c r="FL292" s="2"/>
      <c r="FM292" s="2"/>
      <c r="FN292" s="2"/>
      <c r="FO292" s="2"/>
      <c r="FP292" s="2"/>
      <c r="FQ292" s="2"/>
      <c r="FR292" s="2"/>
      <c r="FS292" s="2"/>
      <c r="FT292" s="2"/>
      <c r="FU292" s="2"/>
      <c r="FV292" s="2"/>
      <c r="FW292" s="2"/>
      <c r="FX292" s="2"/>
      <c r="FY292" s="2"/>
      <c r="FZ292" s="2"/>
      <c r="GA292" s="2"/>
      <c r="GB292" s="2"/>
      <c r="GC292" s="2"/>
      <c r="GD292" s="2"/>
      <c r="GE292" s="2"/>
      <c r="GF292" s="2"/>
      <c r="GG292" s="2"/>
      <c r="GH292" s="2"/>
      <c r="GI292" s="2"/>
      <c r="GJ292" s="2"/>
      <c r="GK292" s="2"/>
      <c r="GL292" s="2"/>
      <c r="GM292" s="2"/>
      <c r="GN292" s="2"/>
      <c r="GO292" s="2"/>
      <c r="GP292" s="2"/>
      <c r="GQ292" s="2"/>
      <c r="GR292" s="2"/>
      <c r="GS292" s="2"/>
      <c r="GT292" s="2"/>
      <c r="GU292" s="2"/>
      <c r="GV292" s="2"/>
      <c r="GW292" s="2"/>
      <c r="GX292" s="2"/>
      <c r="GY292" s="2"/>
      <c r="GZ292" s="2"/>
      <c r="HA292" s="2"/>
      <c r="HB292" s="2"/>
      <c r="HC292" s="2"/>
      <c r="HD292" s="2"/>
      <c r="HE292" s="2"/>
      <c r="HF292" s="2"/>
      <c r="HG292" s="2"/>
      <c r="HH292" s="2"/>
      <c r="HI292" s="2"/>
      <c r="HJ292" s="2"/>
      <c r="HK292" s="2"/>
      <c r="HL292" s="2"/>
      <c r="HM292" s="2"/>
      <c r="HN292" s="2"/>
      <c r="HO292" s="2"/>
      <c r="HP292" s="2"/>
      <c r="HQ292" s="2"/>
      <c r="HR292" s="2"/>
      <c r="HS292" s="2"/>
      <c r="HT292" s="2"/>
      <c r="HU292" s="2"/>
      <c r="HV292" s="2"/>
      <c r="HW292" s="2"/>
      <c r="HX292" s="2"/>
      <c r="HY292" s="2"/>
      <c r="HZ292" s="2"/>
      <c r="IA292" s="2"/>
      <c r="IB292" s="2"/>
      <c r="IC292" s="2"/>
      <c r="II292" s="18"/>
      <c r="IJ292" s="18"/>
    </row>
    <row r="293" spans="1:244">
      <c r="A293" s="2"/>
      <c r="B293" s="2"/>
      <c r="C293" s="2"/>
      <c r="D293" s="2"/>
      <c r="E293" s="2"/>
      <c r="F293" s="2"/>
      <c r="G293" s="2"/>
      <c r="H293" s="2"/>
      <c r="I293" s="2"/>
      <c r="J293" s="2"/>
      <c r="K293" s="2"/>
      <c r="L293" s="2"/>
      <c r="M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2"/>
      <c r="FD293" s="2"/>
      <c r="FE293" s="2"/>
      <c r="FF293" s="2"/>
      <c r="FG293" s="2"/>
      <c r="FH293" s="2"/>
      <c r="FI293" s="2"/>
      <c r="FJ293" s="2"/>
      <c r="FK293" s="2"/>
      <c r="FL293" s="2"/>
      <c r="FM293" s="2"/>
      <c r="FN293" s="2"/>
      <c r="FO293" s="2"/>
      <c r="FP293" s="2"/>
      <c r="FQ293" s="2"/>
      <c r="FR293" s="2"/>
      <c r="FS293" s="2"/>
      <c r="FT293" s="2"/>
      <c r="FU293" s="2"/>
      <c r="FV293" s="2"/>
      <c r="FW293" s="2"/>
      <c r="FX293" s="2"/>
      <c r="FY293" s="2"/>
      <c r="FZ293" s="2"/>
      <c r="GA293" s="2"/>
      <c r="GB293" s="2"/>
      <c r="GC293" s="2"/>
      <c r="GD293" s="2"/>
      <c r="GE293" s="2"/>
      <c r="GF293" s="2"/>
      <c r="GG293" s="2"/>
      <c r="GH293" s="2"/>
      <c r="GI293" s="2"/>
      <c r="GJ293" s="2"/>
      <c r="GK293" s="2"/>
      <c r="GL293" s="2"/>
      <c r="GM293" s="2"/>
      <c r="GN293" s="2"/>
      <c r="GO293" s="2"/>
      <c r="GP293" s="2"/>
      <c r="GQ293" s="2"/>
      <c r="GR293" s="2"/>
      <c r="GS293" s="2"/>
      <c r="GT293" s="2"/>
      <c r="GU293" s="2"/>
      <c r="GV293" s="2"/>
      <c r="GW293" s="2"/>
      <c r="GX293" s="2"/>
      <c r="GY293" s="2"/>
      <c r="GZ293" s="2"/>
      <c r="HA293" s="2"/>
      <c r="HB293" s="2"/>
      <c r="HC293" s="2"/>
      <c r="HD293" s="2"/>
      <c r="HE293" s="2"/>
      <c r="HF293" s="2"/>
      <c r="HG293" s="2"/>
      <c r="HH293" s="2"/>
      <c r="HI293" s="2"/>
      <c r="HJ293" s="2"/>
      <c r="HK293" s="2"/>
      <c r="HL293" s="2"/>
      <c r="HM293" s="2"/>
      <c r="HN293" s="2"/>
      <c r="HO293" s="2"/>
      <c r="HP293" s="2"/>
      <c r="HQ293" s="2"/>
      <c r="HR293" s="2"/>
      <c r="HS293" s="2"/>
      <c r="HT293" s="2"/>
      <c r="HU293" s="2"/>
      <c r="HV293" s="2"/>
      <c r="HW293" s="2"/>
      <c r="HX293" s="2"/>
      <c r="HY293" s="2"/>
      <c r="HZ293" s="2"/>
      <c r="IA293" s="2"/>
      <c r="IB293" s="2"/>
      <c r="IC293" s="2"/>
      <c r="II293" s="18"/>
      <c r="IJ293" s="18"/>
    </row>
    <row r="294" spans="1:244">
      <c r="A294" s="2"/>
      <c r="B294" s="2"/>
      <c r="C294" s="2"/>
      <c r="D294" s="2"/>
      <c r="E294" s="2"/>
      <c r="F294" s="2"/>
      <c r="G294" s="2"/>
      <c r="H294" s="2"/>
      <c r="I294" s="2"/>
      <c r="J294" s="2"/>
      <c r="K294" s="2"/>
      <c r="L294" s="2"/>
      <c r="M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2"/>
      <c r="FD294" s="2"/>
      <c r="FE294" s="2"/>
      <c r="FF294" s="2"/>
      <c r="FG294" s="2"/>
      <c r="FH294" s="2"/>
      <c r="FI294" s="2"/>
      <c r="FJ294" s="2"/>
      <c r="FK294" s="2"/>
      <c r="FL294" s="2"/>
      <c r="FM294" s="2"/>
      <c r="FN294" s="2"/>
      <c r="FO294" s="2"/>
      <c r="FP294" s="2"/>
      <c r="FQ294" s="2"/>
      <c r="FR294" s="2"/>
      <c r="FS294" s="2"/>
      <c r="FT294" s="2"/>
      <c r="FU294" s="2"/>
      <c r="FV294" s="2"/>
      <c r="FW294" s="2"/>
      <c r="FX294" s="2"/>
      <c r="FY294" s="2"/>
      <c r="FZ294" s="2"/>
      <c r="GA294" s="2"/>
      <c r="GB294" s="2"/>
      <c r="GC294" s="2"/>
      <c r="GD294" s="2"/>
      <c r="GE294" s="2"/>
      <c r="GF294" s="2"/>
      <c r="GG294" s="2"/>
      <c r="GH294" s="2"/>
      <c r="GI294" s="2"/>
      <c r="GJ294" s="2"/>
      <c r="GK294" s="2"/>
      <c r="GL294" s="2"/>
      <c r="GM294" s="2"/>
      <c r="GN294" s="2"/>
      <c r="GO294" s="2"/>
      <c r="GP294" s="2"/>
      <c r="GQ294" s="2"/>
      <c r="GR294" s="2"/>
      <c r="GS294" s="2"/>
      <c r="GT294" s="2"/>
      <c r="GU294" s="2"/>
      <c r="GV294" s="2"/>
      <c r="GW294" s="2"/>
      <c r="GX294" s="2"/>
      <c r="GY294" s="2"/>
      <c r="GZ294" s="2"/>
      <c r="HA294" s="2"/>
      <c r="HB294" s="2"/>
      <c r="HC294" s="2"/>
      <c r="HD294" s="2"/>
      <c r="HE294" s="2"/>
      <c r="HF294" s="2"/>
      <c r="HG294" s="2"/>
      <c r="HH294" s="2"/>
      <c r="HI294" s="2"/>
      <c r="HJ294" s="2"/>
      <c r="HK294" s="2"/>
      <c r="HL294" s="2"/>
      <c r="HM294" s="2"/>
      <c r="HN294" s="2"/>
      <c r="HO294" s="2"/>
      <c r="HP294" s="2"/>
      <c r="HQ294" s="2"/>
      <c r="HR294" s="2"/>
      <c r="HS294" s="2"/>
      <c r="HT294" s="2"/>
      <c r="HU294" s="2"/>
      <c r="HV294" s="2"/>
      <c r="HW294" s="2"/>
      <c r="HX294" s="2"/>
      <c r="HY294" s="2"/>
      <c r="HZ294" s="2"/>
      <c r="IA294" s="2"/>
      <c r="IB294" s="2"/>
      <c r="IC294" s="2"/>
      <c r="II294" s="18"/>
      <c r="IJ294" s="18"/>
    </row>
    <row r="295" spans="1:244">
      <c r="A295" s="2"/>
      <c r="B295" s="2"/>
      <c r="C295" s="2"/>
      <c r="D295" s="2"/>
      <c r="E295" s="2"/>
      <c r="F295" s="2"/>
      <c r="G295" s="2"/>
      <c r="H295" s="2"/>
      <c r="I295" s="2"/>
      <c r="J295" s="2"/>
      <c r="K295" s="2"/>
      <c r="L295" s="2"/>
      <c r="M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2"/>
      <c r="FD295" s="2"/>
      <c r="FE295" s="2"/>
      <c r="FF295" s="2"/>
      <c r="FG295" s="2"/>
      <c r="FH295" s="2"/>
      <c r="FI295" s="2"/>
      <c r="FJ295" s="2"/>
      <c r="FK295" s="2"/>
      <c r="FL295" s="2"/>
      <c r="FM295" s="2"/>
      <c r="FN295" s="2"/>
      <c r="FO295" s="2"/>
      <c r="FP295" s="2"/>
      <c r="FQ295" s="2"/>
      <c r="FR295" s="2"/>
      <c r="FS295" s="2"/>
      <c r="FT295" s="2"/>
      <c r="FU295" s="2"/>
      <c r="FV295" s="2"/>
      <c r="FW295" s="2"/>
      <c r="FX295" s="2"/>
      <c r="FY295" s="2"/>
      <c r="FZ295" s="2"/>
      <c r="GA295" s="2"/>
      <c r="GB295" s="2"/>
      <c r="GC295" s="2"/>
      <c r="GD295" s="2"/>
      <c r="GE295" s="2"/>
      <c r="GF295" s="2"/>
      <c r="GG295" s="2"/>
      <c r="GH295" s="2"/>
      <c r="GI295" s="2"/>
      <c r="GJ295" s="2"/>
      <c r="GK295" s="2"/>
      <c r="GL295" s="2"/>
      <c r="GM295" s="2"/>
      <c r="GN295" s="2"/>
      <c r="GO295" s="2"/>
      <c r="GP295" s="2"/>
      <c r="GQ295" s="2"/>
      <c r="GR295" s="2"/>
      <c r="GS295" s="2"/>
      <c r="GT295" s="2"/>
      <c r="GU295" s="2"/>
      <c r="GV295" s="2"/>
      <c r="GW295" s="2"/>
      <c r="GX295" s="2"/>
      <c r="GY295" s="2"/>
      <c r="GZ295" s="2"/>
      <c r="HA295" s="2"/>
      <c r="HB295" s="2"/>
      <c r="HC295" s="2"/>
      <c r="HD295" s="2"/>
      <c r="HE295" s="2"/>
      <c r="HF295" s="2"/>
      <c r="HG295" s="2"/>
      <c r="HH295" s="2"/>
      <c r="HI295" s="2"/>
      <c r="HJ295" s="2"/>
      <c r="HK295" s="2"/>
      <c r="HL295" s="2"/>
      <c r="HM295" s="2"/>
      <c r="HN295" s="2"/>
      <c r="HO295" s="2"/>
      <c r="HP295" s="2"/>
      <c r="HQ295" s="2"/>
      <c r="HR295" s="2"/>
      <c r="HS295" s="2"/>
      <c r="HT295" s="2"/>
      <c r="HU295" s="2"/>
      <c r="HV295" s="2"/>
      <c r="HW295" s="2"/>
      <c r="HX295" s="2"/>
      <c r="HY295" s="2"/>
      <c r="HZ295" s="2"/>
      <c r="IA295" s="2"/>
      <c r="IB295" s="2"/>
      <c r="IC295" s="2"/>
      <c r="II295" s="18"/>
      <c r="IJ295" s="18"/>
    </row>
    <row r="296" spans="1:244">
      <c r="A296" s="2"/>
      <c r="B296" s="2"/>
      <c r="C296" s="2"/>
      <c r="D296" s="2"/>
      <c r="E296" s="2"/>
      <c r="F296" s="2"/>
      <c r="G296" s="2"/>
      <c r="H296" s="2"/>
      <c r="I296" s="2"/>
      <c r="J296" s="2"/>
      <c r="K296" s="2"/>
      <c r="L296" s="2"/>
      <c r="M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2"/>
      <c r="FD296" s="2"/>
      <c r="FE296" s="2"/>
      <c r="FF296" s="2"/>
      <c r="FG296" s="2"/>
      <c r="FH296" s="2"/>
      <c r="FI296" s="2"/>
      <c r="FJ296" s="2"/>
      <c r="FK296" s="2"/>
      <c r="FL296" s="2"/>
      <c r="FM296" s="2"/>
      <c r="FN296" s="2"/>
      <c r="FO296" s="2"/>
      <c r="FP296" s="2"/>
      <c r="FQ296" s="2"/>
      <c r="FR296" s="2"/>
      <c r="FS296" s="2"/>
      <c r="FT296" s="2"/>
      <c r="FU296" s="2"/>
      <c r="FV296" s="2"/>
      <c r="FW296" s="2"/>
      <c r="FX296" s="2"/>
      <c r="FY296" s="2"/>
      <c r="FZ296" s="2"/>
      <c r="GA296" s="2"/>
      <c r="GB296" s="2"/>
      <c r="GC296" s="2"/>
      <c r="GD296" s="2"/>
      <c r="GE296" s="2"/>
      <c r="GF296" s="2"/>
      <c r="GG296" s="2"/>
      <c r="GH296" s="2"/>
      <c r="GI296" s="2"/>
      <c r="GJ296" s="2"/>
      <c r="GK296" s="2"/>
      <c r="GL296" s="2"/>
      <c r="GM296" s="2"/>
      <c r="GN296" s="2"/>
      <c r="GO296" s="2"/>
      <c r="GP296" s="2"/>
      <c r="GQ296" s="2"/>
      <c r="GR296" s="2"/>
      <c r="GS296" s="2"/>
      <c r="GT296" s="2"/>
      <c r="GU296" s="2"/>
      <c r="GV296" s="2"/>
      <c r="GW296" s="2"/>
      <c r="GX296" s="2"/>
      <c r="GY296" s="2"/>
      <c r="GZ296" s="2"/>
      <c r="HA296" s="2"/>
      <c r="HB296" s="2"/>
      <c r="HC296" s="2"/>
      <c r="HD296" s="2"/>
      <c r="HE296" s="2"/>
      <c r="HF296" s="2"/>
      <c r="HG296" s="2"/>
      <c r="HH296" s="2"/>
      <c r="HI296" s="2"/>
      <c r="HJ296" s="2"/>
      <c r="HK296" s="2"/>
      <c r="HL296" s="2"/>
      <c r="HM296" s="2"/>
      <c r="HN296" s="2"/>
      <c r="HO296" s="2"/>
      <c r="HP296" s="2"/>
      <c r="HQ296" s="2"/>
      <c r="HR296" s="2"/>
      <c r="HS296" s="2"/>
      <c r="HT296" s="2"/>
      <c r="HU296" s="2"/>
      <c r="HV296" s="2"/>
      <c r="HW296" s="2"/>
      <c r="HX296" s="2"/>
      <c r="HY296" s="2"/>
      <c r="HZ296" s="2"/>
      <c r="IA296" s="2"/>
      <c r="IB296" s="2"/>
      <c r="IC296" s="2"/>
      <c r="II296" s="18"/>
      <c r="IJ296" s="18"/>
    </row>
    <row r="297" spans="1:244">
      <c r="A297" s="2"/>
      <c r="B297" s="2"/>
      <c r="C297" s="2"/>
      <c r="D297" s="2"/>
      <c r="E297" s="2"/>
      <c r="F297" s="2"/>
      <c r="G297" s="2"/>
      <c r="H297" s="2"/>
      <c r="I297" s="2"/>
      <c r="J297" s="2"/>
      <c r="K297" s="2"/>
      <c r="L297" s="2"/>
      <c r="M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2"/>
      <c r="FD297" s="2"/>
      <c r="FE297" s="2"/>
      <c r="FF297" s="2"/>
      <c r="FG297" s="2"/>
      <c r="FH297" s="2"/>
      <c r="FI297" s="2"/>
      <c r="FJ297" s="2"/>
      <c r="FK297" s="2"/>
      <c r="FL297" s="2"/>
      <c r="FM297" s="2"/>
      <c r="FN297" s="2"/>
      <c r="FO297" s="2"/>
      <c r="FP297" s="2"/>
      <c r="FQ297" s="2"/>
      <c r="FR297" s="2"/>
      <c r="FS297" s="2"/>
      <c r="FT297" s="2"/>
      <c r="FU297" s="2"/>
      <c r="FV297" s="2"/>
      <c r="FW297" s="2"/>
      <c r="FX297" s="2"/>
      <c r="FY297" s="2"/>
      <c r="FZ297" s="2"/>
      <c r="GA297" s="2"/>
      <c r="GB297" s="2"/>
      <c r="GC297" s="2"/>
      <c r="GD297" s="2"/>
      <c r="GE297" s="2"/>
      <c r="GF297" s="2"/>
      <c r="GG297" s="2"/>
      <c r="GH297" s="2"/>
      <c r="GI297" s="2"/>
      <c r="GJ297" s="2"/>
      <c r="GK297" s="2"/>
      <c r="GL297" s="2"/>
      <c r="GM297" s="2"/>
      <c r="GN297" s="2"/>
      <c r="GO297" s="2"/>
      <c r="GP297" s="2"/>
      <c r="GQ297" s="2"/>
      <c r="GR297" s="2"/>
      <c r="GS297" s="2"/>
      <c r="GT297" s="2"/>
      <c r="GU297" s="2"/>
      <c r="GV297" s="2"/>
      <c r="GW297" s="2"/>
      <c r="GX297" s="2"/>
      <c r="GY297" s="2"/>
      <c r="GZ297" s="2"/>
      <c r="HA297" s="2"/>
      <c r="HB297" s="2"/>
      <c r="HC297" s="2"/>
      <c r="HD297" s="2"/>
      <c r="HE297" s="2"/>
      <c r="HF297" s="2"/>
      <c r="HG297" s="2"/>
      <c r="HH297" s="2"/>
      <c r="HI297" s="2"/>
      <c r="HJ297" s="2"/>
      <c r="HK297" s="2"/>
      <c r="HL297" s="2"/>
      <c r="HM297" s="2"/>
      <c r="HN297" s="2"/>
      <c r="HO297" s="2"/>
      <c r="HP297" s="2"/>
      <c r="HQ297" s="2"/>
      <c r="HR297" s="2"/>
      <c r="HS297" s="2"/>
      <c r="HT297" s="2"/>
      <c r="HU297" s="2"/>
      <c r="HV297" s="2"/>
      <c r="HW297" s="2"/>
      <c r="HX297" s="2"/>
      <c r="HY297" s="2"/>
      <c r="HZ297" s="2"/>
      <c r="IA297" s="2"/>
      <c r="IB297" s="2"/>
      <c r="IC297" s="2"/>
      <c r="II297" s="18"/>
      <c r="IJ297" s="18"/>
    </row>
    <row r="298" spans="1:244">
      <c r="A298" s="2"/>
      <c r="B298" s="2"/>
      <c r="C298" s="2"/>
      <c r="D298" s="2"/>
      <c r="E298" s="2"/>
      <c r="F298" s="2"/>
      <c r="G298" s="2"/>
      <c r="H298" s="2"/>
      <c r="I298" s="2"/>
      <c r="J298" s="2"/>
      <c r="K298" s="2"/>
      <c r="L298" s="2"/>
      <c r="M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2"/>
      <c r="FD298" s="2"/>
      <c r="FE298" s="2"/>
      <c r="FF298" s="2"/>
      <c r="FG298" s="2"/>
      <c r="FH298" s="2"/>
      <c r="FI298" s="2"/>
      <c r="FJ298" s="2"/>
      <c r="FK298" s="2"/>
      <c r="FL298" s="2"/>
      <c r="FM298" s="2"/>
      <c r="FN298" s="2"/>
      <c r="FO298" s="2"/>
      <c r="FP298" s="2"/>
      <c r="FQ298" s="2"/>
      <c r="FR298" s="2"/>
      <c r="FS298" s="2"/>
      <c r="FT298" s="2"/>
      <c r="FU298" s="2"/>
      <c r="FV298" s="2"/>
      <c r="FW298" s="2"/>
      <c r="FX298" s="2"/>
      <c r="FY298" s="2"/>
      <c r="FZ298" s="2"/>
      <c r="GA298" s="2"/>
      <c r="GB298" s="2"/>
      <c r="GC298" s="2"/>
      <c r="GD298" s="2"/>
      <c r="GE298" s="2"/>
      <c r="GF298" s="2"/>
      <c r="GG298" s="2"/>
      <c r="GH298" s="2"/>
      <c r="GI298" s="2"/>
      <c r="GJ298" s="2"/>
      <c r="GK298" s="2"/>
      <c r="GL298" s="2"/>
      <c r="GM298" s="2"/>
      <c r="GN298" s="2"/>
      <c r="GO298" s="2"/>
      <c r="GP298" s="2"/>
      <c r="GQ298" s="2"/>
      <c r="GR298" s="2"/>
      <c r="GS298" s="2"/>
      <c r="GT298" s="2"/>
      <c r="GU298" s="2"/>
      <c r="GV298" s="2"/>
      <c r="GW298" s="2"/>
      <c r="GX298" s="2"/>
      <c r="GY298" s="2"/>
      <c r="GZ298" s="2"/>
      <c r="HA298" s="2"/>
      <c r="HB298" s="2"/>
      <c r="HC298" s="2"/>
      <c r="HD298" s="2"/>
      <c r="HE298" s="2"/>
      <c r="HF298" s="2"/>
      <c r="HG298" s="2"/>
      <c r="HH298" s="2"/>
      <c r="HI298" s="2"/>
      <c r="HJ298" s="2"/>
      <c r="HK298" s="2"/>
      <c r="HL298" s="2"/>
      <c r="HM298" s="2"/>
      <c r="HN298" s="2"/>
      <c r="HO298" s="2"/>
      <c r="HP298" s="2"/>
      <c r="HQ298" s="2"/>
      <c r="HR298" s="2"/>
      <c r="HS298" s="2"/>
      <c r="HT298" s="2"/>
      <c r="HU298" s="2"/>
      <c r="HV298" s="2"/>
      <c r="HW298" s="2"/>
      <c r="HX298" s="2"/>
      <c r="HY298" s="2"/>
      <c r="HZ298" s="2"/>
      <c r="IA298" s="2"/>
      <c r="IB298" s="2"/>
      <c r="IC298" s="2"/>
      <c r="II298" s="18"/>
      <c r="IJ298" s="18"/>
    </row>
    <row r="299" spans="1:244">
      <c r="A299" s="2"/>
      <c r="B299" s="2"/>
      <c r="C299" s="2"/>
      <c r="D299" s="2"/>
      <c r="E299" s="2"/>
      <c r="F299" s="2"/>
      <c r="G299" s="2"/>
      <c r="H299" s="2"/>
      <c r="I299" s="2"/>
      <c r="J299" s="2"/>
      <c r="K299" s="2"/>
      <c r="L299" s="2"/>
      <c r="M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2"/>
      <c r="FD299" s="2"/>
      <c r="FE299" s="2"/>
      <c r="FF299" s="2"/>
      <c r="FG299" s="2"/>
      <c r="FH299" s="2"/>
      <c r="FI299" s="2"/>
      <c r="FJ299" s="2"/>
      <c r="FK299" s="2"/>
      <c r="FL299" s="2"/>
      <c r="FM299" s="2"/>
      <c r="FN299" s="2"/>
      <c r="FO299" s="2"/>
      <c r="FP299" s="2"/>
      <c r="FQ299" s="2"/>
      <c r="FR299" s="2"/>
      <c r="FS299" s="2"/>
      <c r="FT299" s="2"/>
      <c r="FU299" s="2"/>
      <c r="FV299" s="2"/>
      <c r="FW299" s="2"/>
      <c r="FX299" s="2"/>
      <c r="FY299" s="2"/>
      <c r="FZ299" s="2"/>
      <c r="GA299" s="2"/>
      <c r="GB299" s="2"/>
      <c r="GC299" s="2"/>
      <c r="GD299" s="2"/>
      <c r="GE299" s="2"/>
      <c r="GF299" s="2"/>
      <c r="GG299" s="2"/>
      <c r="GH299" s="2"/>
      <c r="GI299" s="2"/>
      <c r="GJ299" s="2"/>
      <c r="GK299" s="2"/>
      <c r="GL299" s="2"/>
      <c r="GM299" s="2"/>
      <c r="GN299" s="2"/>
      <c r="GO299" s="2"/>
      <c r="GP299" s="2"/>
      <c r="GQ299" s="2"/>
      <c r="GR299" s="2"/>
      <c r="GS299" s="2"/>
      <c r="GT299" s="2"/>
      <c r="GU299" s="2"/>
      <c r="GV299" s="2"/>
      <c r="GW299" s="2"/>
      <c r="GX299" s="2"/>
      <c r="GY299" s="2"/>
      <c r="GZ299" s="2"/>
      <c r="HA299" s="2"/>
      <c r="HB299" s="2"/>
      <c r="HC299" s="2"/>
      <c r="HD299" s="2"/>
      <c r="HE299" s="2"/>
      <c r="HF299" s="2"/>
      <c r="HG299" s="2"/>
      <c r="HH299" s="2"/>
      <c r="HI299" s="2"/>
      <c r="HJ299" s="2"/>
      <c r="HK299" s="2"/>
      <c r="HL299" s="2"/>
      <c r="HM299" s="2"/>
      <c r="HN299" s="2"/>
      <c r="HO299" s="2"/>
      <c r="HP299" s="2"/>
      <c r="HQ299" s="2"/>
      <c r="HR299" s="2"/>
      <c r="HS299" s="2"/>
      <c r="HT299" s="2"/>
      <c r="HU299" s="2"/>
      <c r="HV299" s="2"/>
      <c r="HW299" s="2"/>
      <c r="HX299" s="2"/>
      <c r="HY299" s="2"/>
      <c r="HZ299" s="2"/>
      <c r="IA299" s="2"/>
      <c r="IB299" s="2"/>
      <c r="IC299" s="2"/>
      <c r="II299" s="18"/>
      <c r="IJ299" s="18"/>
    </row>
    <row r="300" spans="1:244">
      <c r="A300" s="2"/>
      <c r="B300" s="2"/>
      <c r="C300" s="2"/>
      <c r="D300" s="2"/>
      <c r="E300" s="2"/>
      <c r="F300" s="2"/>
      <c r="G300" s="2"/>
      <c r="H300" s="2"/>
      <c r="I300" s="2"/>
      <c r="J300" s="2"/>
      <c r="K300" s="2"/>
      <c r="L300" s="2"/>
      <c r="M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2"/>
      <c r="FD300" s="2"/>
      <c r="FE300" s="2"/>
      <c r="FF300" s="2"/>
      <c r="FG300" s="2"/>
      <c r="FH300" s="2"/>
      <c r="FI300" s="2"/>
      <c r="FJ300" s="2"/>
      <c r="FK300" s="2"/>
      <c r="FL300" s="2"/>
      <c r="FM300" s="2"/>
      <c r="FN300" s="2"/>
      <c r="FO300" s="2"/>
      <c r="FP300" s="2"/>
      <c r="FQ300" s="2"/>
      <c r="FR300" s="2"/>
      <c r="FS300" s="2"/>
      <c r="FT300" s="2"/>
      <c r="FU300" s="2"/>
      <c r="FV300" s="2"/>
      <c r="FW300" s="2"/>
      <c r="FX300" s="2"/>
      <c r="FY300" s="2"/>
      <c r="FZ300" s="2"/>
      <c r="GA300" s="2"/>
      <c r="GB300" s="2"/>
      <c r="GC300" s="2"/>
      <c r="GD300" s="2"/>
      <c r="GE300" s="2"/>
      <c r="GF300" s="2"/>
      <c r="GG300" s="2"/>
      <c r="GH300" s="2"/>
      <c r="GI300" s="2"/>
      <c r="GJ300" s="2"/>
      <c r="GK300" s="2"/>
      <c r="GL300" s="2"/>
      <c r="GM300" s="2"/>
      <c r="GN300" s="2"/>
      <c r="GO300" s="2"/>
      <c r="GP300" s="2"/>
      <c r="GQ300" s="2"/>
      <c r="GR300" s="2"/>
      <c r="GS300" s="2"/>
      <c r="GT300" s="2"/>
      <c r="GU300" s="2"/>
      <c r="GV300" s="2"/>
      <c r="GW300" s="2"/>
      <c r="GX300" s="2"/>
      <c r="GY300" s="2"/>
      <c r="GZ300" s="2"/>
      <c r="HA300" s="2"/>
      <c r="HB300" s="2"/>
      <c r="HC300" s="2"/>
      <c r="HD300" s="2"/>
      <c r="HE300" s="2"/>
      <c r="HF300" s="2"/>
      <c r="HG300" s="2"/>
      <c r="HH300" s="2"/>
      <c r="HI300" s="2"/>
      <c r="HJ300" s="2"/>
      <c r="HK300" s="2"/>
      <c r="HL300" s="2"/>
      <c r="HM300" s="2"/>
      <c r="HN300" s="2"/>
      <c r="HO300" s="2"/>
      <c r="HP300" s="2"/>
      <c r="HQ300" s="2"/>
      <c r="HR300" s="2"/>
      <c r="HS300" s="2"/>
      <c r="HT300" s="2"/>
      <c r="HU300" s="2"/>
      <c r="HV300" s="2"/>
      <c r="HW300" s="2"/>
      <c r="HX300" s="2"/>
      <c r="HY300" s="2"/>
      <c r="HZ300" s="2"/>
      <c r="IA300" s="2"/>
      <c r="IB300" s="2"/>
      <c r="IC300" s="2"/>
      <c r="II300" s="18"/>
      <c r="IJ300" s="18"/>
    </row>
    <row r="301" spans="1:244">
      <c r="A301" s="2"/>
      <c r="B301" s="2"/>
      <c r="C301" s="2"/>
      <c r="D301" s="2"/>
      <c r="E301" s="2"/>
      <c r="F301" s="2"/>
      <c r="G301" s="2"/>
      <c r="H301" s="2"/>
      <c r="I301" s="2"/>
      <c r="J301" s="2"/>
      <c r="K301" s="2"/>
      <c r="L301" s="2"/>
      <c r="M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2"/>
      <c r="FD301" s="2"/>
      <c r="FE301" s="2"/>
      <c r="FF301" s="2"/>
      <c r="FG301" s="2"/>
      <c r="FH301" s="2"/>
      <c r="FI301" s="2"/>
      <c r="FJ301" s="2"/>
      <c r="FK301" s="2"/>
      <c r="FL301" s="2"/>
      <c r="FM301" s="2"/>
      <c r="FN301" s="2"/>
      <c r="FO301" s="2"/>
      <c r="FP301" s="2"/>
      <c r="FQ301" s="2"/>
      <c r="FR301" s="2"/>
      <c r="FS301" s="2"/>
      <c r="FT301" s="2"/>
      <c r="FU301" s="2"/>
      <c r="FV301" s="2"/>
      <c r="FW301" s="2"/>
      <c r="FX301" s="2"/>
      <c r="FY301" s="2"/>
      <c r="FZ301" s="2"/>
      <c r="GA301" s="2"/>
      <c r="GB301" s="2"/>
      <c r="GC301" s="2"/>
      <c r="GD301" s="2"/>
      <c r="GE301" s="2"/>
      <c r="GF301" s="2"/>
      <c r="GG301" s="2"/>
      <c r="GH301" s="2"/>
      <c r="GI301" s="2"/>
      <c r="GJ301" s="2"/>
      <c r="GK301" s="2"/>
      <c r="GL301" s="2"/>
      <c r="GM301" s="2"/>
      <c r="GN301" s="2"/>
      <c r="GO301" s="2"/>
      <c r="GP301" s="2"/>
      <c r="GQ301" s="2"/>
      <c r="GR301" s="2"/>
      <c r="GS301" s="2"/>
      <c r="GT301" s="2"/>
      <c r="GU301" s="2"/>
      <c r="GV301" s="2"/>
      <c r="GW301" s="2"/>
      <c r="GX301" s="2"/>
      <c r="GY301" s="2"/>
      <c r="GZ301" s="2"/>
      <c r="HA301" s="2"/>
      <c r="HB301" s="2"/>
      <c r="HC301" s="2"/>
      <c r="HD301" s="2"/>
      <c r="HE301" s="2"/>
      <c r="HF301" s="2"/>
      <c r="HG301" s="2"/>
      <c r="HH301" s="2"/>
      <c r="HI301" s="2"/>
      <c r="HJ301" s="2"/>
      <c r="HK301" s="2"/>
      <c r="HL301" s="2"/>
      <c r="HM301" s="2"/>
      <c r="HN301" s="2"/>
      <c r="HO301" s="2"/>
      <c r="HP301" s="2"/>
      <c r="HQ301" s="2"/>
      <c r="HR301" s="2"/>
      <c r="HS301" s="2"/>
      <c r="HT301" s="2"/>
      <c r="HU301" s="2"/>
      <c r="HV301" s="2"/>
      <c r="HW301" s="2"/>
      <c r="HX301" s="2"/>
      <c r="HY301" s="2"/>
      <c r="HZ301" s="2"/>
      <c r="IA301" s="2"/>
      <c r="IB301" s="2"/>
      <c r="IC301" s="2"/>
    </row>
    <row r="302" spans="1:244">
      <c r="A302" s="2"/>
      <c r="B302" s="2"/>
      <c r="C302" s="2"/>
      <c r="D302" s="2"/>
      <c r="E302" s="2"/>
      <c r="F302" s="2"/>
      <c r="G302" s="2"/>
      <c r="H302" s="2"/>
      <c r="I302" s="2"/>
      <c r="J302" s="2"/>
      <c r="K302" s="2"/>
      <c r="L302" s="2"/>
      <c r="M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2"/>
      <c r="FD302" s="2"/>
      <c r="FE302" s="2"/>
      <c r="FF302" s="2"/>
      <c r="FG302" s="2"/>
      <c r="FH302" s="2"/>
      <c r="FI302" s="2"/>
      <c r="FJ302" s="2"/>
      <c r="FK302" s="2"/>
      <c r="FL302" s="2"/>
      <c r="FM302" s="2"/>
      <c r="FN302" s="2"/>
      <c r="FO302" s="2"/>
      <c r="FP302" s="2"/>
      <c r="FQ302" s="2"/>
      <c r="FR302" s="2"/>
      <c r="FS302" s="2"/>
      <c r="FT302" s="2"/>
      <c r="FU302" s="2"/>
      <c r="FV302" s="2"/>
      <c r="FW302" s="2"/>
      <c r="FX302" s="2"/>
      <c r="FY302" s="2"/>
      <c r="FZ302" s="2"/>
      <c r="GA302" s="2"/>
      <c r="GB302" s="2"/>
      <c r="GC302" s="2"/>
      <c r="GD302" s="2"/>
      <c r="GE302" s="2"/>
      <c r="GF302" s="2"/>
      <c r="GG302" s="2"/>
      <c r="GH302" s="2"/>
      <c r="GI302" s="2"/>
      <c r="GJ302" s="2"/>
      <c r="GK302" s="2"/>
      <c r="GL302" s="2"/>
      <c r="GM302" s="2"/>
      <c r="GN302" s="2"/>
      <c r="GO302" s="2"/>
      <c r="GP302" s="2"/>
      <c r="GQ302" s="2"/>
      <c r="GR302" s="2"/>
      <c r="GS302" s="2"/>
      <c r="GT302" s="2"/>
      <c r="GU302" s="2"/>
      <c r="GV302" s="2"/>
      <c r="GW302" s="2"/>
      <c r="GX302" s="2"/>
      <c r="GY302" s="2"/>
      <c r="GZ302" s="2"/>
      <c r="HA302" s="2"/>
      <c r="HB302" s="2"/>
      <c r="HC302" s="2"/>
      <c r="HD302" s="2"/>
      <c r="HE302" s="2"/>
      <c r="HF302" s="2"/>
      <c r="HG302" s="2"/>
      <c r="HH302" s="2"/>
      <c r="HI302" s="2"/>
      <c r="HJ302" s="2"/>
      <c r="HK302" s="2"/>
      <c r="HL302" s="2"/>
      <c r="HM302" s="2"/>
      <c r="HN302" s="2"/>
      <c r="HO302" s="2"/>
      <c r="HP302" s="2"/>
      <c r="HQ302" s="2"/>
      <c r="HR302" s="2"/>
      <c r="HS302" s="2"/>
      <c r="HT302" s="2"/>
      <c r="HU302" s="2"/>
      <c r="HV302" s="2"/>
      <c r="HW302" s="2"/>
      <c r="HX302" s="2"/>
      <c r="HY302" s="2"/>
      <c r="HZ302" s="2"/>
      <c r="IA302" s="2"/>
      <c r="IB302" s="2"/>
      <c r="IC302" s="2"/>
    </row>
    <row r="303" spans="1:244">
      <c r="A303" s="2"/>
      <c r="B303" s="2"/>
      <c r="C303" s="2"/>
      <c r="D303" s="2"/>
      <c r="E303" s="2"/>
      <c r="F303" s="2"/>
      <c r="G303" s="2"/>
      <c r="H303" s="2"/>
      <c r="I303" s="2"/>
      <c r="J303" s="2"/>
      <c r="K303" s="2"/>
      <c r="L303" s="2"/>
      <c r="M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2"/>
      <c r="FD303" s="2"/>
      <c r="FE303" s="2"/>
      <c r="FF303" s="2"/>
      <c r="FG303" s="2"/>
      <c r="FH303" s="2"/>
      <c r="FI303" s="2"/>
      <c r="FJ303" s="2"/>
      <c r="FK303" s="2"/>
      <c r="FL303" s="2"/>
      <c r="FM303" s="2"/>
      <c r="FN303" s="2"/>
      <c r="FO303" s="2"/>
      <c r="FP303" s="2"/>
      <c r="FQ303" s="2"/>
      <c r="FR303" s="2"/>
      <c r="FS303" s="2"/>
      <c r="FT303" s="2"/>
      <c r="FU303" s="2"/>
      <c r="FV303" s="2"/>
      <c r="FW303" s="2"/>
      <c r="FX303" s="2"/>
      <c r="FY303" s="2"/>
      <c r="FZ303" s="2"/>
      <c r="GA303" s="2"/>
      <c r="GB303" s="2"/>
      <c r="GC303" s="2"/>
      <c r="GD303" s="2"/>
      <c r="GE303" s="2"/>
      <c r="GF303" s="2"/>
      <c r="GG303" s="2"/>
      <c r="GH303" s="2"/>
      <c r="GI303" s="2"/>
      <c r="GJ303" s="2"/>
      <c r="GK303" s="2"/>
      <c r="GL303" s="2"/>
      <c r="GM303" s="2"/>
      <c r="GN303" s="2"/>
      <c r="GO303" s="2"/>
      <c r="GP303" s="2"/>
      <c r="GQ303" s="2"/>
      <c r="GR303" s="2"/>
      <c r="GS303" s="2"/>
      <c r="GT303" s="2"/>
      <c r="GU303" s="2"/>
      <c r="GV303" s="2"/>
      <c r="GW303" s="2"/>
      <c r="GX303" s="2"/>
      <c r="GY303" s="2"/>
      <c r="GZ303" s="2"/>
      <c r="HA303" s="2"/>
      <c r="HB303" s="2"/>
      <c r="HC303" s="2"/>
      <c r="HD303" s="2"/>
      <c r="HE303" s="2"/>
      <c r="HF303" s="2"/>
      <c r="HG303" s="2"/>
      <c r="HH303" s="2"/>
      <c r="HI303" s="2"/>
      <c r="HJ303" s="2"/>
      <c r="HK303" s="2"/>
      <c r="HL303" s="2"/>
      <c r="HM303" s="2"/>
      <c r="HN303" s="2"/>
      <c r="HO303" s="2"/>
      <c r="HP303" s="2"/>
      <c r="HQ303" s="2"/>
      <c r="HR303" s="2"/>
      <c r="HS303" s="2"/>
      <c r="HT303" s="2"/>
      <c r="HU303" s="2"/>
      <c r="HV303" s="2"/>
      <c r="HW303" s="2"/>
      <c r="HX303" s="2"/>
      <c r="HY303" s="2"/>
      <c r="HZ303" s="2"/>
      <c r="IA303" s="2"/>
      <c r="IB303" s="2"/>
      <c r="IC303" s="2"/>
    </row>
    <row r="304" spans="1:244">
      <c r="A304" s="2"/>
      <c r="B304" s="2"/>
      <c r="C304" s="2"/>
      <c r="D304" s="2"/>
      <c r="E304" s="2"/>
      <c r="F304" s="2"/>
      <c r="G304" s="2"/>
      <c r="H304" s="2"/>
      <c r="I304" s="2"/>
      <c r="J304" s="2"/>
      <c r="K304" s="2"/>
      <c r="L304" s="2"/>
      <c r="M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2"/>
      <c r="FD304" s="2"/>
      <c r="FE304" s="2"/>
      <c r="FF304" s="2"/>
      <c r="FG304" s="2"/>
      <c r="FH304" s="2"/>
      <c r="FI304" s="2"/>
      <c r="FJ304" s="2"/>
      <c r="FK304" s="2"/>
      <c r="FL304" s="2"/>
      <c r="FM304" s="2"/>
      <c r="FN304" s="2"/>
      <c r="FO304" s="2"/>
      <c r="FP304" s="2"/>
      <c r="FQ304" s="2"/>
      <c r="FR304" s="2"/>
      <c r="FS304" s="2"/>
      <c r="FT304" s="2"/>
      <c r="FU304" s="2"/>
      <c r="FV304" s="2"/>
      <c r="FW304" s="2"/>
      <c r="FX304" s="2"/>
      <c r="FY304" s="2"/>
      <c r="FZ304" s="2"/>
      <c r="GA304" s="2"/>
      <c r="GB304" s="2"/>
      <c r="GC304" s="2"/>
      <c r="GD304" s="2"/>
      <c r="GE304" s="2"/>
      <c r="GF304" s="2"/>
      <c r="GG304" s="2"/>
      <c r="GH304" s="2"/>
      <c r="GI304" s="2"/>
      <c r="GJ304" s="2"/>
      <c r="GK304" s="2"/>
      <c r="GL304" s="2"/>
      <c r="GM304" s="2"/>
      <c r="GN304" s="2"/>
      <c r="GO304" s="2"/>
      <c r="GP304" s="2"/>
      <c r="GQ304" s="2"/>
      <c r="GR304" s="2"/>
      <c r="GS304" s="2"/>
      <c r="GT304" s="2"/>
      <c r="GU304" s="2"/>
      <c r="GV304" s="2"/>
      <c r="GW304" s="2"/>
      <c r="GX304" s="2"/>
      <c r="GY304" s="2"/>
      <c r="GZ304" s="2"/>
      <c r="HA304" s="2"/>
      <c r="HB304" s="2"/>
      <c r="HC304" s="2"/>
      <c r="HD304" s="2"/>
      <c r="HE304" s="2"/>
      <c r="HF304" s="2"/>
      <c r="HG304" s="2"/>
      <c r="HH304" s="2"/>
      <c r="HI304" s="2"/>
      <c r="HJ304" s="2"/>
      <c r="HK304" s="2"/>
      <c r="HL304" s="2"/>
      <c r="HM304" s="2"/>
      <c r="HN304" s="2"/>
      <c r="HO304" s="2"/>
      <c r="HP304" s="2"/>
      <c r="HQ304" s="2"/>
      <c r="HR304" s="2"/>
      <c r="HS304" s="2"/>
      <c r="HT304" s="2"/>
      <c r="HU304" s="2"/>
      <c r="HV304" s="2"/>
      <c r="HW304" s="2"/>
      <c r="HX304" s="2"/>
      <c r="HY304" s="2"/>
      <c r="HZ304" s="2"/>
      <c r="IA304" s="2"/>
      <c r="IB304" s="2"/>
      <c r="IC304" s="2"/>
    </row>
    <row r="305" spans="1:237">
      <c r="A305" s="2"/>
      <c r="B305" s="2"/>
      <c r="C305" s="2"/>
      <c r="D305" s="2"/>
      <c r="E305" s="2"/>
      <c r="F305" s="2"/>
      <c r="G305" s="2"/>
      <c r="H305" s="2"/>
      <c r="I305" s="2"/>
      <c r="J305" s="2"/>
      <c r="K305" s="2"/>
      <c r="L305" s="2"/>
      <c r="M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c r="A306" s="2"/>
      <c r="B306" s="2"/>
      <c r="C306" s="2"/>
      <c r="D306" s="2"/>
      <c r="E306" s="2"/>
      <c r="F306" s="2"/>
      <c r="G306" s="2"/>
      <c r="H306" s="2"/>
      <c r="I306" s="2"/>
      <c r="J306" s="2"/>
      <c r="K306" s="2"/>
      <c r="L306" s="2"/>
      <c r="M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c r="A307" s="2"/>
      <c r="B307" s="2"/>
      <c r="C307" s="2"/>
      <c r="D307" s="2"/>
      <c r="E307" s="2"/>
      <c r="F307" s="2"/>
      <c r="G307" s="2"/>
      <c r="H307" s="2"/>
      <c r="I307" s="2"/>
      <c r="J307" s="2"/>
      <c r="K307" s="2"/>
      <c r="L307" s="2"/>
      <c r="M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c r="A308" s="2"/>
      <c r="B308" s="2"/>
      <c r="C308" s="2"/>
      <c r="D308" s="2"/>
      <c r="E308" s="2"/>
      <c r="F308" s="2"/>
      <c r="G308" s="2"/>
      <c r="H308" s="2"/>
      <c r="I308" s="2"/>
      <c r="J308" s="2"/>
      <c r="K308" s="2"/>
      <c r="L308" s="2"/>
      <c r="M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c r="A309" s="2"/>
      <c r="B309" s="2"/>
      <c r="C309" s="2"/>
      <c r="D309" s="2"/>
      <c r="E309" s="2"/>
      <c r="F309" s="2"/>
      <c r="G309" s="2"/>
      <c r="H309" s="2"/>
      <c r="I309" s="2"/>
      <c r="J309" s="2"/>
      <c r="K309" s="2"/>
      <c r="L309" s="2"/>
      <c r="M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c r="A310" s="2"/>
      <c r="B310" s="2"/>
      <c r="C310" s="2"/>
      <c r="D310" s="2"/>
      <c r="E310" s="2"/>
      <c r="F310" s="2"/>
      <c r="G310" s="2"/>
      <c r="H310" s="2"/>
      <c r="I310" s="2"/>
      <c r="J310" s="2"/>
      <c r="K310" s="2"/>
      <c r="L310" s="2"/>
      <c r="M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c r="A311" s="2"/>
      <c r="B311" s="2"/>
      <c r="C311" s="2"/>
      <c r="D311" s="2"/>
      <c r="E311" s="2"/>
      <c r="F311" s="2"/>
      <c r="G311" s="2"/>
      <c r="H311" s="2"/>
      <c r="I311" s="2"/>
      <c r="J311" s="2"/>
      <c r="K311" s="2"/>
      <c r="L311" s="2"/>
      <c r="M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c r="A312" s="2"/>
      <c r="B312" s="2"/>
      <c r="C312" s="2"/>
      <c r="D312" s="2"/>
      <c r="E312" s="2"/>
      <c r="F312" s="2"/>
      <c r="G312" s="2"/>
      <c r="H312" s="2"/>
      <c r="I312" s="2"/>
      <c r="J312" s="2"/>
      <c r="K312" s="2"/>
      <c r="L312" s="2"/>
      <c r="M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c r="A313" s="2"/>
      <c r="B313" s="2"/>
      <c r="C313" s="2"/>
      <c r="D313" s="2"/>
      <c r="E313" s="2"/>
      <c r="F313" s="2"/>
      <c r="G313" s="2"/>
      <c r="H313" s="2"/>
      <c r="I313" s="2"/>
      <c r="J313" s="2"/>
      <c r="K313" s="2"/>
      <c r="L313" s="2"/>
      <c r="M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c r="A314" s="2"/>
      <c r="B314" s="2"/>
      <c r="C314" s="2"/>
      <c r="D314" s="2"/>
      <c r="E314" s="2"/>
      <c r="F314" s="2"/>
      <c r="G314" s="2"/>
      <c r="H314" s="2"/>
      <c r="I314" s="2"/>
      <c r="J314" s="2"/>
      <c r="K314" s="2"/>
      <c r="L314" s="2"/>
      <c r="M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c r="A315" s="2"/>
      <c r="B315" s="2"/>
      <c r="C315" s="2"/>
      <c r="D315" s="2"/>
      <c r="E315" s="2"/>
      <c r="F315" s="2"/>
      <c r="G315" s="2"/>
      <c r="H315" s="2"/>
      <c r="I315" s="2"/>
      <c r="J315" s="2"/>
      <c r="K315" s="2"/>
      <c r="L315" s="2"/>
      <c r="M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c r="A316" s="2"/>
      <c r="B316" s="2"/>
      <c r="C316" s="2"/>
      <c r="D316" s="2"/>
      <c r="E316" s="2"/>
      <c r="F316" s="2"/>
      <c r="G316" s="2"/>
      <c r="H316" s="2"/>
      <c r="I316" s="2"/>
      <c r="J316" s="2"/>
      <c r="K316" s="2"/>
      <c r="L316" s="2"/>
      <c r="M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c r="A317" s="2"/>
      <c r="B317" s="2"/>
      <c r="C317" s="2"/>
      <c r="D317" s="2"/>
      <c r="E317" s="2"/>
      <c r="F317" s="2"/>
      <c r="G317" s="2"/>
      <c r="H317" s="2"/>
      <c r="I317" s="2"/>
      <c r="J317" s="2"/>
      <c r="K317" s="2"/>
      <c r="L317" s="2"/>
      <c r="M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c r="A318" s="2"/>
      <c r="B318" s="2"/>
      <c r="C318" s="2"/>
      <c r="D318" s="2"/>
      <c r="E318" s="2"/>
      <c r="F318" s="2"/>
      <c r="G318" s="2"/>
      <c r="H318" s="2"/>
      <c r="I318" s="2"/>
      <c r="J318" s="2"/>
      <c r="K318" s="2"/>
      <c r="L318" s="2"/>
      <c r="M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c r="A319" s="2"/>
      <c r="B319" s="2"/>
      <c r="C319" s="2"/>
      <c r="D319" s="2"/>
      <c r="E319" s="2"/>
      <c r="F319" s="2"/>
      <c r="G319" s="2"/>
      <c r="H319" s="2"/>
      <c r="I319" s="2"/>
      <c r="J319" s="2"/>
      <c r="K319" s="2"/>
      <c r="L319" s="2"/>
      <c r="M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c r="A320" s="2"/>
      <c r="B320" s="2"/>
      <c r="C320" s="2"/>
      <c r="D320" s="2"/>
      <c r="E320" s="2"/>
      <c r="F320" s="2"/>
      <c r="G320" s="2"/>
      <c r="H320" s="2"/>
      <c r="I320" s="2"/>
      <c r="J320" s="2"/>
      <c r="K320" s="2"/>
      <c r="L320" s="2"/>
      <c r="M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c r="A321" s="2"/>
      <c r="B321" s="2"/>
      <c r="C321" s="2"/>
      <c r="D321" s="2"/>
      <c r="E321" s="2"/>
      <c r="F321" s="2"/>
      <c r="G321" s="2"/>
      <c r="H321" s="2"/>
      <c r="I321" s="2"/>
      <c r="J321" s="2"/>
      <c r="K321" s="2"/>
      <c r="L321" s="2"/>
      <c r="M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c r="A322" s="2"/>
      <c r="B322" s="2"/>
      <c r="C322" s="2"/>
      <c r="D322" s="2"/>
      <c r="E322" s="2"/>
      <c r="F322" s="2"/>
      <c r="G322" s="2"/>
      <c r="H322" s="2"/>
      <c r="I322" s="2"/>
      <c r="J322" s="2"/>
      <c r="K322" s="2"/>
      <c r="L322" s="2"/>
      <c r="M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c r="A323" s="2"/>
      <c r="B323" s="2"/>
      <c r="C323" s="2"/>
      <c r="D323" s="2"/>
      <c r="E323" s="2"/>
      <c r="F323" s="2"/>
      <c r="G323" s="2"/>
      <c r="H323" s="2"/>
      <c r="I323" s="2"/>
      <c r="J323" s="2"/>
      <c r="K323" s="2"/>
      <c r="L323" s="2"/>
      <c r="M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c r="A324" s="2"/>
      <c r="B324" s="2"/>
      <c r="C324" s="2"/>
      <c r="D324" s="2"/>
      <c r="E324" s="2"/>
      <c r="F324" s="2"/>
      <c r="G324" s="2"/>
      <c r="H324" s="2"/>
      <c r="I324" s="2"/>
      <c r="J324" s="2"/>
      <c r="K324" s="2"/>
      <c r="L324" s="2"/>
      <c r="M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c r="A325" s="2"/>
      <c r="B325" s="2"/>
      <c r="C325" s="2"/>
      <c r="D325" s="2"/>
      <c r="E325" s="2"/>
      <c r="F325" s="2"/>
      <c r="G325" s="2"/>
      <c r="H325" s="2"/>
      <c r="I325" s="2"/>
      <c r="J325" s="2"/>
      <c r="K325" s="2"/>
      <c r="L325" s="2"/>
      <c r="M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c r="A326" s="2"/>
      <c r="B326" s="2"/>
      <c r="C326" s="2"/>
      <c r="D326" s="2"/>
      <c r="E326" s="2"/>
      <c r="F326" s="2"/>
      <c r="G326" s="2"/>
      <c r="H326" s="2"/>
      <c r="I326" s="2"/>
      <c r="J326" s="2"/>
      <c r="K326" s="2"/>
      <c r="L326" s="2"/>
      <c r="M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c r="A327" s="2"/>
      <c r="B327" s="2"/>
      <c r="C327" s="2"/>
      <c r="D327" s="2"/>
      <c r="E327" s="2"/>
      <c r="F327" s="2"/>
      <c r="G327" s="2"/>
      <c r="H327" s="2"/>
      <c r="I327" s="2"/>
      <c r="J327" s="2"/>
      <c r="K327" s="2"/>
      <c r="L327" s="2"/>
      <c r="M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c r="A328" s="2"/>
      <c r="B328" s="2"/>
      <c r="C328" s="2"/>
      <c r="D328" s="2"/>
      <c r="E328" s="2"/>
      <c r="F328" s="2"/>
      <c r="G328" s="2"/>
      <c r="H328" s="2"/>
      <c r="I328" s="2"/>
      <c r="J328" s="2"/>
      <c r="K328" s="2"/>
      <c r="L328" s="2"/>
      <c r="M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c r="A329" s="2"/>
      <c r="B329" s="2"/>
      <c r="C329" s="2"/>
      <c r="D329" s="2"/>
      <c r="E329" s="2"/>
      <c r="F329" s="2"/>
      <c r="G329" s="2"/>
      <c r="H329" s="2"/>
      <c r="I329" s="2"/>
      <c r="J329" s="2"/>
      <c r="K329" s="2"/>
      <c r="L329" s="2"/>
      <c r="M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c r="A330" s="2"/>
      <c r="B330" s="2"/>
      <c r="C330" s="2"/>
      <c r="D330" s="2"/>
      <c r="E330" s="2"/>
      <c r="F330" s="2"/>
      <c r="G330" s="2"/>
      <c r="H330" s="2"/>
      <c r="I330" s="2"/>
      <c r="J330" s="2"/>
      <c r="K330" s="2"/>
      <c r="L330" s="2"/>
      <c r="M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c r="A331" s="2"/>
      <c r="B331" s="2"/>
      <c r="C331" s="2"/>
      <c r="D331" s="2"/>
      <c r="E331" s="2"/>
      <c r="F331" s="2"/>
      <c r="G331" s="2"/>
      <c r="H331" s="2"/>
      <c r="I331" s="2"/>
      <c r="J331" s="2"/>
      <c r="K331" s="2"/>
      <c r="L331" s="2"/>
      <c r="M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c r="A332" s="2"/>
      <c r="B332" s="2"/>
      <c r="C332" s="2"/>
      <c r="D332" s="2"/>
      <c r="E332" s="2"/>
      <c r="F332" s="2"/>
      <c r="G332" s="2"/>
      <c r="H332" s="2"/>
      <c r="I332" s="2"/>
      <c r="J332" s="2"/>
      <c r="K332" s="2"/>
      <c r="L332" s="2"/>
      <c r="M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c r="A333" s="2"/>
      <c r="B333" s="2"/>
      <c r="C333" s="2"/>
      <c r="D333" s="2"/>
      <c r="E333" s="2"/>
      <c r="F333" s="2"/>
      <c r="G333" s="2"/>
      <c r="H333" s="2"/>
      <c r="I333" s="2"/>
      <c r="J333" s="2"/>
      <c r="K333" s="2"/>
      <c r="L333" s="2"/>
      <c r="M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c r="A334" s="2"/>
      <c r="B334" s="2"/>
      <c r="C334" s="2"/>
      <c r="D334" s="2"/>
      <c r="E334" s="2"/>
      <c r="F334" s="2"/>
      <c r="G334" s="2"/>
      <c r="H334" s="2"/>
      <c r="I334" s="2"/>
      <c r="J334" s="2"/>
      <c r="K334" s="2"/>
      <c r="L334" s="2"/>
      <c r="M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c r="A335" s="2"/>
      <c r="B335" s="2"/>
      <c r="C335" s="2"/>
      <c r="D335" s="2"/>
      <c r="E335" s="2"/>
      <c r="F335" s="2"/>
      <c r="G335" s="2"/>
      <c r="H335" s="2"/>
      <c r="I335" s="2"/>
      <c r="J335" s="2"/>
      <c r="K335" s="2"/>
      <c r="L335" s="2"/>
      <c r="M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c r="A336" s="2"/>
      <c r="B336" s="2"/>
      <c r="C336" s="2"/>
      <c r="D336" s="2"/>
      <c r="E336" s="2"/>
      <c r="F336" s="2"/>
      <c r="G336" s="2"/>
      <c r="H336" s="2"/>
      <c r="I336" s="2"/>
      <c r="J336" s="2"/>
      <c r="K336" s="2"/>
      <c r="L336" s="2"/>
      <c r="M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c r="A337" s="2"/>
      <c r="B337" s="2"/>
      <c r="C337" s="2"/>
      <c r="D337" s="2"/>
      <c r="E337" s="2"/>
      <c r="F337" s="2"/>
      <c r="G337" s="2"/>
      <c r="H337" s="2"/>
      <c r="I337" s="2"/>
      <c r="J337" s="2"/>
      <c r="K337" s="2"/>
      <c r="L337" s="2"/>
      <c r="M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c r="A338" s="2"/>
      <c r="B338" s="2"/>
      <c r="C338" s="2"/>
      <c r="D338" s="2"/>
      <c r="E338" s="2"/>
      <c r="F338" s="2"/>
      <c r="G338" s="2"/>
      <c r="H338" s="2"/>
      <c r="I338" s="2"/>
      <c r="J338" s="2"/>
      <c r="K338" s="2"/>
      <c r="L338" s="2"/>
      <c r="M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c r="A339" s="2"/>
      <c r="B339" s="2"/>
      <c r="C339" s="2"/>
      <c r="D339" s="2"/>
      <c r="E339" s="2"/>
      <c r="F339" s="2"/>
      <c r="G339" s="2"/>
      <c r="H339" s="2"/>
      <c r="I339" s="2"/>
      <c r="J339" s="2"/>
      <c r="K339" s="2"/>
      <c r="L339" s="2"/>
      <c r="M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c r="A340" s="2"/>
      <c r="B340" s="2"/>
      <c r="C340" s="2"/>
      <c r="D340" s="2"/>
      <c r="E340" s="2"/>
      <c r="F340" s="2"/>
      <c r="G340" s="2"/>
      <c r="H340" s="2"/>
      <c r="I340" s="2"/>
      <c r="J340" s="2"/>
      <c r="K340" s="2"/>
      <c r="L340" s="2"/>
      <c r="M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c r="A341" s="2"/>
      <c r="B341" s="2"/>
      <c r="C341" s="2"/>
      <c r="D341" s="2"/>
      <c r="E341" s="2"/>
      <c r="F341" s="2"/>
      <c r="G341" s="2"/>
      <c r="H341" s="2"/>
      <c r="I341" s="2"/>
      <c r="J341" s="2"/>
      <c r="K341" s="2"/>
      <c r="L341" s="2"/>
      <c r="M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c r="A342" s="2"/>
      <c r="B342" s="2"/>
      <c r="C342" s="2"/>
      <c r="D342" s="2"/>
      <c r="E342" s="2"/>
      <c r="F342" s="2"/>
      <c r="G342" s="2"/>
      <c r="H342" s="2"/>
      <c r="I342" s="2"/>
      <c r="J342" s="2"/>
      <c r="K342" s="2"/>
      <c r="L342" s="2"/>
      <c r="M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c r="A343" s="2"/>
      <c r="B343" s="2"/>
      <c r="C343" s="2"/>
      <c r="D343" s="2"/>
      <c r="E343" s="2"/>
      <c r="F343" s="2"/>
      <c r="G343" s="2"/>
      <c r="H343" s="2"/>
      <c r="I343" s="2"/>
      <c r="J343" s="2"/>
      <c r="K343" s="2"/>
      <c r="L343" s="2"/>
      <c r="M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c r="A344" s="2"/>
      <c r="B344" s="2"/>
      <c r="C344" s="2"/>
      <c r="D344" s="2"/>
      <c r="E344" s="2"/>
      <c r="F344" s="2"/>
      <c r="G344" s="2"/>
      <c r="H344" s="2"/>
      <c r="I344" s="2"/>
      <c r="J344" s="2"/>
      <c r="K344" s="2"/>
      <c r="L344" s="2"/>
      <c r="M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c r="A345" s="2"/>
      <c r="B345" s="2"/>
      <c r="C345" s="2"/>
      <c r="D345" s="2"/>
      <c r="E345" s="2"/>
      <c r="F345" s="2"/>
      <c r="G345" s="2"/>
      <c r="H345" s="2"/>
      <c r="I345" s="2"/>
      <c r="J345" s="2"/>
      <c r="K345" s="2"/>
      <c r="L345" s="2"/>
      <c r="M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c r="A346" s="2"/>
      <c r="B346" s="2"/>
      <c r="C346" s="2"/>
      <c r="D346" s="2"/>
      <c r="E346" s="2"/>
      <c r="F346" s="2"/>
      <c r="G346" s="2"/>
      <c r="H346" s="2"/>
      <c r="I346" s="2"/>
      <c r="J346" s="2"/>
      <c r="K346" s="2"/>
      <c r="L346" s="2"/>
      <c r="M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c r="A347" s="2"/>
      <c r="B347" s="2"/>
      <c r="C347" s="2"/>
      <c r="D347" s="2"/>
      <c r="E347" s="2"/>
      <c r="F347" s="2"/>
      <c r="G347" s="2"/>
      <c r="H347" s="2"/>
      <c r="I347" s="2"/>
      <c r="J347" s="2"/>
      <c r="K347" s="2"/>
      <c r="L347" s="2"/>
      <c r="M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c r="A348" s="2"/>
      <c r="B348" s="2"/>
      <c r="C348" s="2"/>
      <c r="D348" s="2"/>
      <c r="E348" s="2"/>
      <c r="F348" s="2"/>
      <c r="G348" s="2"/>
      <c r="H348" s="2"/>
      <c r="I348" s="2"/>
      <c r="J348" s="2"/>
      <c r="K348" s="2"/>
      <c r="L348" s="2"/>
      <c r="M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c r="A349" s="2"/>
      <c r="B349" s="2"/>
      <c r="C349" s="2"/>
      <c r="D349" s="2"/>
      <c r="E349" s="2"/>
      <c r="F349" s="2"/>
      <c r="G349" s="2"/>
      <c r="H349" s="2"/>
      <c r="I349" s="2"/>
      <c r="J349" s="2"/>
      <c r="K349" s="2"/>
      <c r="L349" s="2"/>
      <c r="M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c r="A350" s="2"/>
      <c r="B350" s="2"/>
      <c r="C350" s="2"/>
      <c r="D350" s="2"/>
      <c r="E350" s="2"/>
      <c r="F350" s="2"/>
      <c r="G350" s="2"/>
      <c r="H350" s="2"/>
      <c r="I350" s="2"/>
      <c r="J350" s="2"/>
      <c r="K350" s="2"/>
      <c r="L350" s="2"/>
      <c r="M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c r="A351" s="2"/>
      <c r="B351" s="2"/>
      <c r="C351" s="2"/>
      <c r="D351" s="2"/>
      <c r="E351" s="2"/>
      <c r="F351" s="2"/>
      <c r="G351" s="2"/>
      <c r="H351" s="2"/>
      <c r="I351" s="2"/>
      <c r="J351" s="2"/>
      <c r="K351" s="2"/>
      <c r="L351" s="2"/>
      <c r="M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c r="A352" s="2"/>
      <c r="B352" s="2"/>
      <c r="C352" s="2"/>
      <c r="D352" s="2"/>
      <c r="E352" s="2"/>
      <c r="F352" s="2"/>
      <c r="G352" s="2"/>
      <c r="H352" s="2"/>
      <c r="I352" s="2"/>
      <c r="J352" s="2"/>
      <c r="K352" s="2"/>
      <c r="L352" s="2"/>
      <c r="M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c r="A353" s="2"/>
      <c r="B353" s="2"/>
      <c r="C353" s="2"/>
      <c r="D353" s="2"/>
      <c r="E353" s="2"/>
      <c r="F353" s="2"/>
      <c r="G353" s="2"/>
      <c r="H353" s="2"/>
      <c r="I353" s="2"/>
      <c r="J353" s="2"/>
      <c r="K353" s="2"/>
      <c r="L353" s="2"/>
      <c r="M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c r="A354" s="2"/>
      <c r="B354" s="2"/>
      <c r="C354" s="2"/>
      <c r="D354" s="2"/>
      <c r="E354" s="2"/>
      <c r="F354" s="2"/>
      <c r="G354" s="2"/>
      <c r="H354" s="2"/>
      <c r="I354" s="2"/>
      <c r="J354" s="2"/>
      <c r="K354" s="2"/>
      <c r="L354" s="2"/>
      <c r="M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c r="A355" s="2"/>
      <c r="B355" s="2"/>
      <c r="C355" s="2"/>
      <c r="D355" s="2"/>
      <c r="E355" s="2"/>
      <c r="F355" s="2"/>
      <c r="G355" s="2"/>
      <c r="H355" s="2"/>
      <c r="I355" s="2"/>
      <c r="J355" s="2"/>
      <c r="K355" s="2"/>
      <c r="L355" s="2"/>
      <c r="M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c r="A356" s="2"/>
      <c r="B356" s="2"/>
      <c r="C356" s="2"/>
      <c r="D356" s="2"/>
      <c r="E356" s="2"/>
      <c r="F356" s="2"/>
      <c r="G356" s="2"/>
      <c r="H356" s="2"/>
      <c r="I356" s="2"/>
      <c r="J356" s="2"/>
      <c r="K356" s="2"/>
      <c r="L356" s="2"/>
      <c r="M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c r="A357" s="2"/>
      <c r="B357" s="2"/>
      <c r="C357" s="2"/>
      <c r="D357" s="2"/>
      <c r="E357" s="2"/>
      <c r="F357" s="2"/>
      <c r="G357" s="2"/>
      <c r="H357" s="2"/>
      <c r="I357" s="2"/>
      <c r="J357" s="2"/>
      <c r="K357" s="2"/>
      <c r="L357" s="2"/>
      <c r="M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c r="A358" s="2"/>
      <c r="B358" s="2"/>
      <c r="C358" s="2"/>
      <c r="D358" s="2"/>
      <c r="E358" s="2"/>
      <c r="F358" s="2"/>
      <c r="G358" s="2"/>
      <c r="H358" s="2"/>
      <c r="I358" s="2"/>
      <c r="J358" s="2"/>
      <c r="K358" s="2"/>
      <c r="L358" s="2"/>
      <c r="M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c r="A359" s="2"/>
      <c r="B359" s="2"/>
      <c r="C359" s="2"/>
      <c r="D359" s="2"/>
      <c r="E359" s="2"/>
      <c r="F359" s="2"/>
      <c r="G359" s="2"/>
      <c r="H359" s="2"/>
      <c r="I359" s="2"/>
      <c r="J359" s="2"/>
      <c r="K359" s="2"/>
      <c r="L359" s="2"/>
      <c r="M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c r="A360" s="2"/>
      <c r="B360" s="2"/>
      <c r="C360" s="2"/>
      <c r="D360" s="2"/>
      <c r="E360" s="2"/>
      <c r="F360" s="2"/>
      <c r="G360" s="2"/>
      <c r="H360" s="2"/>
      <c r="I360" s="2"/>
      <c r="J360" s="2"/>
      <c r="K360" s="2"/>
      <c r="L360" s="2"/>
      <c r="M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c r="A361" s="2"/>
      <c r="B361" s="2"/>
      <c r="C361" s="2"/>
      <c r="D361" s="2"/>
      <c r="E361" s="2"/>
      <c r="F361" s="2"/>
      <c r="G361" s="2"/>
      <c r="H361" s="2"/>
      <c r="I361" s="2"/>
      <c r="J361" s="2"/>
      <c r="K361" s="2"/>
      <c r="L361" s="2"/>
      <c r="M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c r="A362" s="2"/>
      <c r="B362" s="2"/>
      <c r="C362" s="2"/>
      <c r="D362" s="2"/>
      <c r="E362" s="2"/>
      <c r="F362" s="2"/>
      <c r="G362" s="2"/>
      <c r="H362" s="2"/>
      <c r="I362" s="2"/>
      <c r="J362" s="2"/>
      <c r="K362" s="2"/>
      <c r="L362" s="2"/>
      <c r="M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c r="A363" s="2"/>
      <c r="B363" s="2"/>
      <c r="C363" s="2"/>
      <c r="D363" s="2"/>
      <c r="E363" s="2"/>
      <c r="F363" s="2"/>
      <c r="G363" s="2"/>
      <c r="H363" s="2"/>
      <c r="I363" s="2"/>
      <c r="J363" s="2"/>
      <c r="K363" s="2"/>
      <c r="L363" s="2"/>
      <c r="M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c r="A364" s="2"/>
      <c r="B364" s="2"/>
      <c r="C364" s="2"/>
      <c r="D364" s="2"/>
      <c r="E364" s="2"/>
      <c r="F364" s="2"/>
      <c r="G364" s="2"/>
      <c r="H364" s="2"/>
      <c r="I364" s="2"/>
      <c r="J364" s="2"/>
      <c r="K364" s="2"/>
      <c r="L364" s="2"/>
      <c r="M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c r="A365" s="2"/>
      <c r="B365" s="2"/>
      <c r="C365" s="2"/>
      <c r="D365" s="2"/>
      <c r="E365" s="2"/>
      <c r="F365" s="2"/>
      <c r="G365" s="2"/>
      <c r="H365" s="2"/>
      <c r="I365" s="2"/>
      <c r="J365" s="2"/>
      <c r="K365" s="2"/>
      <c r="L365" s="2"/>
      <c r="M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c r="A366" s="2"/>
      <c r="B366" s="2"/>
      <c r="C366" s="2"/>
      <c r="D366" s="2"/>
      <c r="E366" s="2"/>
      <c r="F366" s="2"/>
      <c r="G366" s="2"/>
      <c r="H366" s="2"/>
      <c r="I366" s="2"/>
      <c r="J366" s="2"/>
      <c r="K366" s="2"/>
      <c r="L366" s="2"/>
      <c r="M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c r="A367" s="2"/>
      <c r="B367" s="2"/>
      <c r="C367" s="2"/>
      <c r="D367" s="2"/>
      <c r="E367" s="2"/>
      <c r="F367" s="2"/>
      <c r="G367" s="2"/>
      <c r="H367" s="2"/>
      <c r="I367" s="2"/>
      <c r="J367" s="2"/>
      <c r="K367" s="2"/>
      <c r="L367" s="2"/>
      <c r="M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c r="A368" s="2"/>
      <c r="B368" s="2"/>
      <c r="C368" s="2"/>
      <c r="D368" s="2"/>
      <c r="E368" s="2"/>
      <c r="F368" s="2"/>
      <c r="G368" s="2"/>
      <c r="H368" s="2"/>
      <c r="I368" s="2"/>
      <c r="J368" s="2"/>
      <c r="K368" s="2"/>
      <c r="L368" s="2"/>
      <c r="M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c r="A369" s="2"/>
      <c r="B369" s="2"/>
      <c r="C369" s="2"/>
      <c r="D369" s="2"/>
      <c r="E369" s="2"/>
      <c r="F369" s="2"/>
      <c r="G369" s="2"/>
      <c r="H369" s="2"/>
      <c r="I369" s="2"/>
      <c r="J369" s="2"/>
      <c r="K369" s="2"/>
      <c r="L369" s="2"/>
      <c r="M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c r="A370" s="2"/>
      <c r="B370" s="2"/>
      <c r="C370" s="2"/>
      <c r="D370" s="2"/>
      <c r="E370" s="2"/>
      <c r="F370" s="2"/>
      <c r="G370" s="2"/>
      <c r="H370" s="2"/>
      <c r="I370" s="2"/>
      <c r="J370" s="2"/>
      <c r="K370" s="2"/>
      <c r="L370" s="2"/>
      <c r="M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c r="A371" s="2"/>
      <c r="B371" s="2"/>
      <c r="C371" s="2"/>
      <c r="D371" s="2"/>
      <c r="E371" s="2"/>
      <c r="F371" s="2"/>
      <c r="G371" s="2"/>
      <c r="H371" s="2"/>
      <c r="I371" s="2"/>
      <c r="J371" s="2"/>
      <c r="K371" s="2"/>
      <c r="L371" s="2"/>
      <c r="M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c r="A372" s="2"/>
      <c r="B372" s="2"/>
      <c r="C372" s="2"/>
      <c r="D372" s="2"/>
      <c r="E372" s="2"/>
      <c r="F372" s="2"/>
      <c r="G372" s="2"/>
      <c r="H372" s="2"/>
      <c r="I372" s="2"/>
      <c r="J372" s="2"/>
      <c r="K372" s="2"/>
      <c r="L372" s="2"/>
      <c r="M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c r="A373" s="2"/>
      <c r="B373" s="2"/>
      <c r="C373" s="2"/>
      <c r="D373" s="2"/>
      <c r="E373" s="2"/>
      <c r="F373" s="2"/>
      <c r="G373" s="2"/>
      <c r="H373" s="2"/>
      <c r="I373" s="2"/>
      <c r="J373" s="2"/>
      <c r="K373" s="2"/>
      <c r="L373" s="2"/>
      <c r="M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c r="A374" s="2"/>
      <c r="B374" s="2"/>
      <c r="C374" s="2"/>
      <c r="D374" s="2"/>
      <c r="E374" s="2"/>
      <c r="F374" s="2"/>
      <c r="G374" s="2"/>
      <c r="H374" s="2"/>
      <c r="I374" s="2"/>
      <c r="J374" s="2"/>
      <c r="K374" s="2"/>
      <c r="L374" s="2"/>
      <c r="M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c r="A375" s="2"/>
      <c r="B375" s="2"/>
      <c r="C375" s="2"/>
      <c r="D375" s="2"/>
      <c r="E375" s="2"/>
      <c r="F375" s="2"/>
      <c r="G375" s="2"/>
      <c r="H375" s="2"/>
      <c r="I375" s="2"/>
      <c r="J375" s="2"/>
      <c r="K375" s="2"/>
      <c r="L375" s="2"/>
      <c r="M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c r="A376" s="2"/>
      <c r="B376" s="2"/>
      <c r="C376" s="2"/>
      <c r="D376" s="2"/>
      <c r="E376" s="2"/>
      <c r="F376" s="2"/>
      <c r="G376" s="2"/>
      <c r="H376" s="2"/>
      <c r="I376" s="2"/>
      <c r="J376" s="2"/>
      <c r="K376" s="2"/>
      <c r="L376" s="2"/>
      <c r="M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c r="A377" s="2"/>
      <c r="B377" s="2"/>
      <c r="C377" s="2"/>
      <c r="D377" s="2"/>
      <c r="E377" s="2"/>
      <c r="F377" s="2"/>
      <c r="G377" s="2"/>
      <c r="H377" s="2"/>
      <c r="I377" s="2"/>
      <c r="J377" s="2"/>
      <c r="K377" s="2"/>
      <c r="L377" s="2"/>
      <c r="M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c r="A378" s="2"/>
      <c r="B378" s="2"/>
      <c r="C378" s="2"/>
      <c r="D378" s="2"/>
      <c r="E378" s="2"/>
      <c r="F378" s="2"/>
      <c r="G378" s="2"/>
      <c r="H378" s="2"/>
      <c r="I378" s="2"/>
      <c r="J378" s="2"/>
      <c r="K378" s="2"/>
      <c r="L378" s="2"/>
      <c r="M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c r="A379" s="2"/>
      <c r="B379" s="2"/>
      <c r="C379" s="2"/>
      <c r="D379" s="2"/>
      <c r="E379" s="2"/>
      <c r="F379" s="2"/>
      <c r="G379" s="2"/>
      <c r="H379" s="2"/>
      <c r="I379" s="2"/>
      <c r="J379" s="2"/>
      <c r="K379" s="2"/>
      <c r="L379" s="2"/>
      <c r="M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c r="A380" s="2"/>
      <c r="B380" s="2"/>
      <c r="C380" s="2"/>
      <c r="D380" s="2"/>
      <c r="E380" s="2"/>
      <c r="F380" s="2"/>
      <c r="G380" s="2"/>
      <c r="H380" s="2"/>
      <c r="I380" s="2"/>
      <c r="J380" s="2"/>
      <c r="K380" s="2"/>
      <c r="L380" s="2"/>
      <c r="M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c r="A381" s="2"/>
      <c r="B381" s="2"/>
      <c r="C381" s="2"/>
      <c r="D381" s="2"/>
      <c r="E381" s="2"/>
      <c r="F381" s="2"/>
      <c r="G381" s="2"/>
      <c r="H381" s="2"/>
      <c r="I381" s="2"/>
      <c r="J381" s="2"/>
      <c r="K381" s="2"/>
      <c r="L381" s="2"/>
      <c r="M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c r="A382" s="2"/>
      <c r="B382" s="2"/>
      <c r="C382" s="2"/>
      <c r="D382" s="2"/>
      <c r="E382" s="2"/>
      <c r="F382" s="2"/>
      <c r="G382" s="2"/>
      <c r="H382" s="2"/>
      <c r="I382" s="2"/>
      <c r="J382" s="2"/>
      <c r="K382" s="2"/>
      <c r="L382" s="2"/>
      <c r="M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c r="A383" s="2"/>
      <c r="B383" s="2"/>
      <c r="C383" s="2"/>
      <c r="D383" s="2"/>
      <c r="E383" s="2"/>
      <c r="F383" s="2"/>
      <c r="G383" s="2"/>
      <c r="H383" s="2"/>
      <c r="I383" s="2"/>
      <c r="J383" s="2"/>
      <c r="K383" s="2"/>
      <c r="L383" s="2"/>
      <c r="M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c r="A384" s="2"/>
      <c r="B384" s="2"/>
      <c r="C384" s="2"/>
      <c r="D384" s="2"/>
      <c r="E384" s="2"/>
      <c r="F384" s="2"/>
      <c r="G384" s="2"/>
      <c r="H384" s="2"/>
      <c r="I384" s="2"/>
      <c r="J384" s="2"/>
      <c r="K384" s="2"/>
      <c r="L384" s="2"/>
      <c r="M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c r="A385" s="2"/>
      <c r="B385" s="2"/>
      <c r="C385" s="2"/>
      <c r="D385" s="2"/>
      <c r="E385" s="2"/>
      <c r="F385" s="2"/>
      <c r="G385" s="2"/>
      <c r="H385" s="2"/>
      <c r="I385" s="2"/>
      <c r="J385" s="2"/>
      <c r="K385" s="2"/>
      <c r="L385" s="2"/>
      <c r="M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c r="A386" s="2"/>
      <c r="B386" s="2"/>
      <c r="C386" s="2"/>
      <c r="D386" s="2"/>
      <c r="E386" s="2"/>
      <c r="F386" s="2"/>
      <c r="G386" s="2"/>
      <c r="H386" s="2"/>
      <c r="I386" s="2"/>
      <c r="J386" s="2"/>
      <c r="K386" s="2"/>
      <c r="L386" s="2"/>
      <c r="M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c r="A387" s="2"/>
      <c r="B387" s="2"/>
      <c r="C387" s="2"/>
      <c r="D387" s="2"/>
      <c r="E387" s="2"/>
      <c r="F387" s="2"/>
      <c r="G387" s="2"/>
      <c r="H387" s="2"/>
      <c r="I387" s="2"/>
      <c r="J387" s="2"/>
      <c r="K387" s="2"/>
      <c r="L387" s="2"/>
      <c r="M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c r="A388" s="2"/>
      <c r="B388" s="2"/>
      <c r="C388" s="2"/>
      <c r="D388" s="2"/>
      <c r="E388" s="2"/>
      <c r="F388" s="2"/>
      <c r="G388" s="2"/>
      <c r="H388" s="2"/>
      <c r="I388" s="2"/>
      <c r="J388" s="2"/>
      <c r="K388" s="2"/>
      <c r="L388" s="2"/>
      <c r="M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c r="A389" s="2"/>
      <c r="B389" s="2"/>
      <c r="C389" s="2"/>
      <c r="D389" s="2"/>
      <c r="E389" s="2"/>
      <c r="F389" s="2"/>
      <c r="G389" s="2"/>
      <c r="H389" s="2"/>
      <c r="I389" s="2"/>
      <c r="J389" s="2"/>
      <c r="K389" s="2"/>
      <c r="L389" s="2"/>
      <c r="M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c r="A390" s="2"/>
      <c r="B390" s="2"/>
      <c r="C390" s="2"/>
      <c r="D390" s="2"/>
      <c r="E390" s="2"/>
      <c r="F390" s="2"/>
      <c r="G390" s="2"/>
      <c r="H390" s="2"/>
      <c r="I390" s="2"/>
      <c r="J390" s="2"/>
      <c r="K390" s="2"/>
      <c r="L390" s="2"/>
      <c r="M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c r="A391" s="2"/>
      <c r="B391" s="2"/>
      <c r="C391" s="2"/>
      <c r="D391" s="2"/>
      <c r="E391" s="2"/>
      <c r="F391" s="2"/>
      <c r="G391" s="2"/>
      <c r="H391" s="2"/>
      <c r="I391" s="2"/>
      <c r="J391" s="2"/>
      <c r="K391" s="2"/>
      <c r="L391" s="2"/>
      <c r="M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c r="A392" s="2"/>
      <c r="B392" s="2"/>
      <c r="C392" s="2"/>
      <c r="D392" s="2"/>
      <c r="E392" s="2"/>
      <c r="F392" s="2"/>
      <c r="G392" s="2"/>
      <c r="H392" s="2"/>
      <c r="I392" s="2"/>
      <c r="J392" s="2"/>
      <c r="K392" s="2"/>
      <c r="L392" s="2"/>
      <c r="M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c r="A393" s="2"/>
      <c r="B393" s="2"/>
      <c r="C393" s="2"/>
      <c r="D393" s="2"/>
      <c r="E393" s="2"/>
      <c r="F393" s="2"/>
      <c r="G393" s="2"/>
      <c r="H393" s="2"/>
      <c r="I393" s="2"/>
      <c r="J393" s="2"/>
      <c r="K393" s="2"/>
      <c r="L393" s="2"/>
      <c r="M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c r="A394" s="2"/>
      <c r="B394" s="2"/>
      <c r="C394" s="2"/>
      <c r="D394" s="2"/>
      <c r="E394" s="2"/>
      <c r="F394" s="2"/>
      <c r="G394" s="2"/>
      <c r="H394" s="2"/>
      <c r="I394" s="2"/>
      <c r="J394" s="2"/>
      <c r="K394" s="2"/>
      <c r="L394" s="2"/>
      <c r="M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c r="A395" s="2"/>
      <c r="B395" s="2"/>
      <c r="C395" s="2"/>
      <c r="D395" s="2"/>
      <c r="E395" s="2"/>
      <c r="F395" s="2"/>
      <c r="G395" s="2"/>
      <c r="H395" s="2"/>
      <c r="I395" s="2"/>
      <c r="J395" s="2"/>
      <c r="K395" s="2"/>
      <c r="L395" s="2"/>
      <c r="M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c r="A396" s="2"/>
      <c r="B396" s="2"/>
      <c r="C396" s="2"/>
      <c r="D396" s="2"/>
      <c r="E396" s="2"/>
      <c r="F396" s="2"/>
      <c r="G396" s="2"/>
      <c r="H396" s="2"/>
      <c r="I396" s="2"/>
      <c r="J396" s="2"/>
      <c r="K396" s="2"/>
      <c r="L396" s="2"/>
      <c r="M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c r="A397" s="2"/>
      <c r="B397" s="2"/>
      <c r="C397" s="2"/>
      <c r="D397" s="2"/>
      <c r="E397" s="2"/>
      <c r="F397" s="2"/>
      <c r="G397" s="2"/>
      <c r="H397" s="2"/>
      <c r="I397" s="2"/>
      <c r="J397" s="2"/>
      <c r="K397" s="2"/>
      <c r="L397" s="2"/>
      <c r="M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c r="A398" s="2"/>
      <c r="B398" s="2"/>
      <c r="C398" s="2"/>
      <c r="D398" s="2"/>
      <c r="E398" s="2"/>
      <c r="F398" s="2"/>
      <c r="G398" s="2"/>
      <c r="H398" s="2"/>
      <c r="I398" s="2"/>
      <c r="J398" s="2"/>
      <c r="K398" s="2"/>
      <c r="L398" s="2"/>
      <c r="M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c r="A399" s="2"/>
      <c r="B399" s="2"/>
      <c r="C399" s="2"/>
      <c r="D399" s="2"/>
      <c r="E399" s="2"/>
      <c r="F399" s="2"/>
      <c r="G399" s="2"/>
      <c r="H399" s="2"/>
      <c r="I399" s="2"/>
      <c r="J399" s="2"/>
      <c r="K399" s="2"/>
      <c r="L399" s="2"/>
      <c r="M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c r="A400" s="2"/>
      <c r="B400" s="2"/>
      <c r="C400" s="2"/>
      <c r="D400" s="2"/>
      <c r="E400" s="2"/>
      <c r="F400" s="2"/>
      <c r="G400" s="2"/>
      <c r="H400" s="2"/>
      <c r="I400" s="2"/>
      <c r="J400" s="2"/>
      <c r="K400" s="2"/>
      <c r="L400" s="2"/>
      <c r="M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c r="A401" s="2"/>
      <c r="B401" s="2"/>
      <c r="C401" s="2"/>
      <c r="D401" s="2"/>
      <c r="E401" s="2"/>
      <c r="F401" s="2"/>
      <c r="G401" s="2"/>
      <c r="H401" s="2"/>
      <c r="I401" s="2"/>
      <c r="J401" s="2"/>
      <c r="K401" s="2"/>
      <c r="L401" s="2"/>
      <c r="M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c r="A402" s="2"/>
      <c r="B402" s="2"/>
      <c r="C402" s="2"/>
      <c r="D402" s="2"/>
      <c r="E402" s="2"/>
      <c r="F402" s="2"/>
      <c r="G402" s="2"/>
      <c r="H402" s="2"/>
      <c r="I402" s="2"/>
      <c r="J402" s="2"/>
      <c r="K402" s="2"/>
      <c r="L402" s="2"/>
      <c r="M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c r="A403" s="2"/>
      <c r="B403" s="2"/>
      <c r="C403" s="2"/>
      <c r="D403" s="2"/>
      <c r="E403" s="2"/>
      <c r="F403" s="2"/>
      <c r="G403" s="2"/>
      <c r="H403" s="2"/>
      <c r="I403" s="2"/>
      <c r="J403" s="2"/>
      <c r="K403" s="2"/>
      <c r="L403" s="2"/>
      <c r="M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c r="A404" s="2"/>
      <c r="B404" s="2"/>
      <c r="C404" s="2"/>
      <c r="D404" s="2"/>
      <c r="E404" s="2"/>
      <c r="F404" s="2"/>
      <c r="G404" s="2"/>
      <c r="H404" s="2"/>
      <c r="I404" s="2"/>
      <c r="J404" s="2"/>
      <c r="K404" s="2"/>
      <c r="L404" s="2"/>
      <c r="M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c r="A405" s="2"/>
      <c r="B405" s="2"/>
      <c r="C405" s="2"/>
      <c r="D405" s="2"/>
      <c r="E405" s="2"/>
      <c r="F405" s="2"/>
      <c r="G405" s="2"/>
      <c r="H405" s="2"/>
      <c r="I405" s="2"/>
      <c r="J405" s="2"/>
      <c r="K405" s="2"/>
      <c r="L405" s="2"/>
      <c r="M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c r="A406" s="2"/>
      <c r="B406" s="2"/>
      <c r="C406" s="2"/>
      <c r="D406" s="2"/>
      <c r="E406" s="2"/>
      <c r="F406" s="2"/>
      <c r="G406" s="2"/>
      <c r="H406" s="2"/>
      <c r="I406" s="2"/>
      <c r="J406" s="2"/>
      <c r="K406" s="2"/>
      <c r="L406" s="2"/>
      <c r="M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c r="A407" s="2"/>
      <c r="B407" s="2"/>
      <c r="C407" s="2"/>
      <c r="D407" s="2"/>
      <c r="E407" s="2"/>
      <c r="F407" s="2"/>
      <c r="G407" s="2"/>
      <c r="H407" s="2"/>
      <c r="I407" s="2"/>
      <c r="J407" s="2"/>
      <c r="K407" s="2"/>
      <c r="L407" s="2"/>
      <c r="M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c r="A408" s="2"/>
      <c r="B408" s="2"/>
      <c r="C408" s="2"/>
      <c r="D408" s="2"/>
      <c r="E408" s="2"/>
      <c r="F408" s="2"/>
      <c r="G408" s="2"/>
      <c r="H408" s="2"/>
      <c r="I408" s="2"/>
      <c r="J408" s="2"/>
      <c r="K408" s="2"/>
      <c r="L408" s="2"/>
      <c r="M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c r="A409" s="2"/>
      <c r="B409" s="2"/>
      <c r="C409" s="2"/>
      <c r="D409" s="2"/>
      <c r="E409" s="2"/>
      <c r="F409" s="2"/>
      <c r="G409" s="2"/>
      <c r="H409" s="2"/>
      <c r="I409" s="2"/>
      <c r="J409" s="2"/>
      <c r="K409" s="2"/>
      <c r="L409" s="2"/>
      <c r="M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c r="A410" s="2"/>
      <c r="B410" s="2"/>
      <c r="C410" s="2"/>
      <c r="D410" s="2"/>
      <c r="E410" s="2"/>
      <c r="F410" s="2"/>
      <c r="G410" s="2"/>
      <c r="H410" s="2"/>
      <c r="I410" s="2"/>
      <c r="J410" s="2"/>
      <c r="K410" s="2"/>
      <c r="L410" s="2"/>
      <c r="M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c r="A411" s="2"/>
      <c r="B411" s="2"/>
      <c r="C411" s="2"/>
      <c r="D411" s="2"/>
      <c r="E411" s="2"/>
      <c r="F411" s="2"/>
      <c r="G411" s="2"/>
      <c r="H411" s="2"/>
      <c r="I411" s="2"/>
      <c r="J411" s="2"/>
      <c r="K411" s="2"/>
      <c r="L411" s="2"/>
      <c r="M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c r="A412" s="2"/>
      <c r="B412" s="2"/>
      <c r="C412" s="2"/>
      <c r="D412" s="2"/>
      <c r="E412" s="2"/>
      <c r="F412" s="2"/>
      <c r="G412" s="2"/>
      <c r="H412" s="2"/>
      <c r="I412" s="2"/>
      <c r="J412" s="2"/>
      <c r="K412" s="2"/>
      <c r="L412" s="2"/>
      <c r="M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c r="A413" s="2"/>
      <c r="B413" s="2"/>
      <c r="C413" s="2"/>
      <c r="D413" s="2"/>
      <c r="E413" s="2"/>
      <c r="F413" s="2"/>
      <c r="G413" s="2"/>
      <c r="H413" s="2"/>
      <c r="I413" s="2"/>
      <c r="J413" s="2"/>
      <c r="K413" s="2"/>
      <c r="L413" s="2"/>
      <c r="M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c r="A414" s="2"/>
      <c r="B414" s="2"/>
      <c r="C414" s="2"/>
      <c r="D414" s="2"/>
      <c r="E414" s="2"/>
      <c r="F414" s="2"/>
      <c r="G414" s="2"/>
      <c r="H414" s="2"/>
      <c r="I414" s="2"/>
      <c r="J414" s="2"/>
      <c r="K414" s="2"/>
      <c r="L414" s="2"/>
      <c r="M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c r="A415" s="2"/>
      <c r="B415" s="2"/>
      <c r="C415" s="2"/>
      <c r="D415" s="2"/>
      <c r="E415" s="2"/>
      <c r="F415" s="2"/>
      <c r="G415" s="2"/>
      <c r="H415" s="2"/>
      <c r="I415" s="2"/>
      <c r="J415" s="2"/>
      <c r="K415" s="2"/>
      <c r="L415" s="2"/>
      <c r="M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c r="A416" s="2"/>
      <c r="B416" s="2"/>
      <c r="C416" s="2"/>
      <c r="D416" s="2"/>
      <c r="E416" s="2"/>
      <c r="F416" s="2"/>
      <c r="G416" s="2"/>
      <c r="H416" s="2"/>
      <c r="I416" s="2"/>
      <c r="J416" s="2"/>
      <c r="K416" s="2"/>
      <c r="L416" s="2"/>
      <c r="M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c r="A417" s="2"/>
      <c r="B417" s="2"/>
      <c r="C417" s="2"/>
      <c r="D417" s="2"/>
      <c r="E417" s="2"/>
      <c r="F417" s="2"/>
      <c r="G417" s="2"/>
      <c r="H417" s="2"/>
      <c r="I417" s="2"/>
      <c r="J417" s="2"/>
      <c r="K417" s="2"/>
      <c r="L417" s="2"/>
      <c r="M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c r="A418" s="2"/>
      <c r="B418" s="2"/>
      <c r="C418" s="2"/>
      <c r="D418" s="2"/>
      <c r="E418" s="2"/>
      <c r="F418" s="2"/>
      <c r="G418" s="2"/>
      <c r="H418" s="2"/>
      <c r="I418" s="2"/>
      <c r="J418" s="2"/>
      <c r="K418" s="2"/>
      <c r="L418" s="2"/>
      <c r="M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c r="A419" s="2"/>
      <c r="B419" s="2"/>
      <c r="C419" s="2"/>
      <c r="D419" s="2"/>
      <c r="E419" s="2"/>
      <c r="F419" s="2"/>
      <c r="G419" s="2"/>
      <c r="H419" s="2"/>
      <c r="I419" s="2"/>
      <c r="J419" s="2"/>
      <c r="K419" s="2"/>
      <c r="L419" s="2"/>
      <c r="M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c r="A420" s="2"/>
      <c r="B420" s="2"/>
      <c r="C420" s="2"/>
      <c r="D420" s="2"/>
      <c r="E420" s="2"/>
      <c r="F420" s="2"/>
      <c r="G420" s="2"/>
      <c r="H420" s="2"/>
      <c r="I420" s="2"/>
      <c r="J420" s="2"/>
      <c r="K420" s="2"/>
      <c r="L420" s="2"/>
      <c r="M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c r="A421" s="2"/>
      <c r="B421" s="2"/>
      <c r="C421" s="2"/>
      <c r="D421" s="2"/>
      <c r="E421" s="2"/>
      <c r="F421" s="2"/>
      <c r="G421" s="2"/>
      <c r="H421" s="2"/>
      <c r="I421" s="2"/>
      <c r="J421" s="2"/>
      <c r="K421" s="2"/>
      <c r="L421" s="2"/>
      <c r="M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c r="A422" s="2"/>
      <c r="B422" s="2"/>
      <c r="C422" s="2"/>
      <c r="D422" s="2"/>
      <c r="E422" s="2"/>
      <c r="F422" s="2"/>
      <c r="G422" s="2"/>
      <c r="H422" s="2"/>
      <c r="I422" s="2"/>
      <c r="J422" s="2"/>
      <c r="K422" s="2"/>
      <c r="L422" s="2"/>
      <c r="M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c r="A423" s="2"/>
      <c r="B423" s="2"/>
      <c r="C423" s="2"/>
      <c r="D423" s="2"/>
      <c r="E423" s="2"/>
      <c r="F423" s="2"/>
      <c r="G423" s="2"/>
      <c r="H423" s="2"/>
      <c r="I423" s="2"/>
      <c r="J423" s="2"/>
      <c r="K423" s="2"/>
      <c r="L423" s="2"/>
      <c r="M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c r="A424" s="2"/>
      <c r="B424" s="2"/>
      <c r="C424" s="2"/>
      <c r="D424" s="2"/>
      <c r="E424" s="2"/>
      <c r="F424" s="2"/>
      <c r="G424" s="2"/>
      <c r="H424" s="2"/>
      <c r="I424" s="2"/>
      <c r="J424" s="2"/>
      <c r="K424" s="2"/>
      <c r="L424" s="2"/>
      <c r="M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c r="A425" s="2"/>
      <c r="B425" s="2"/>
      <c r="C425" s="2"/>
      <c r="D425" s="2"/>
      <c r="E425" s="2"/>
      <c r="F425" s="2"/>
      <c r="G425" s="2"/>
      <c r="H425" s="2"/>
      <c r="I425" s="2"/>
      <c r="J425" s="2"/>
      <c r="K425" s="2"/>
      <c r="L425" s="2"/>
      <c r="M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c r="A426" s="2"/>
      <c r="B426" s="2"/>
      <c r="C426" s="2"/>
      <c r="D426" s="2"/>
      <c r="E426" s="2"/>
      <c r="F426" s="2"/>
      <c r="G426" s="2"/>
      <c r="H426" s="2"/>
      <c r="I426" s="2"/>
      <c r="J426" s="2"/>
      <c r="K426" s="2"/>
      <c r="L426" s="2"/>
      <c r="M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c r="A427" s="2"/>
      <c r="B427" s="2"/>
      <c r="C427" s="2"/>
      <c r="D427" s="2"/>
      <c r="E427" s="2"/>
      <c r="F427" s="2"/>
      <c r="G427" s="2"/>
      <c r="H427" s="2"/>
      <c r="I427" s="2"/>
      <c r="J427" s="2"/>
      <c r="K427" s="2"/>
      <c r="L427" s="2"/>
      <c r="M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c r="A428" s="2"/>
      <c r="B428" s="2"/>
      <c r="C428" s="2"/>
      <c r="D428" s="2"/>
      <c r="E428" s="2"/>
      <c r="F428" s="2"/>
      <c r="G428" s="2"/>
      <c r="H428" s="2"/>
      <c r="I428" s="2"/>
      <c r="J428" s="2"/>
      <c r="K428" s="2"/>
      <c r="L428" s="2"/>
      <c r="M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c r="A429" s="2"/>
      <c r="B429" s="2"/>
      <c r="C429" s="2"/>
      <c r="D429" s="2"/>
      <c r="E429" s="2"/>
      <c r="F429" s="2"/>
      <c r="G429" s="2"/>
      <c r="H429" s="2"/>
      <c r="I429" s="2"/>
      <c r="J429" s="2"/>
      <c r="K429" s="2"/>
      <c r="L429" s="2"/>
      <c r="M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c r="A430" s="2"/>
      <c r="B430" s="2"/>
      <c r="C430" s="2"/>
      <c r="D430" s="2"/>
      <c r="E430" s="2"/>
      <c r="F430" s="2"/>
      <c r="G430" s="2"/>
      <c r="H430" s="2"/>
      <c r="I430" s="2"/>
      <c r="J430" s="2"/>
      <c r="K430" s="2"/>
      <c r="L430" s="2"/>
      <c r="M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c r="A431" s="2"/>
      <c r="B431" s="2"/>
      <c r="C431" s="2"/>
      <c r="D431" s="2"/>
      <c r="E431" s="2"/>
      <c r="F431" s="2"/>
      <c r="G431" s="2"/>
      <c r="H431" s="2"/>
      <c r="I431" s="2"/>
      <c r="J431" s="2"/>
      <c r="K431" s="2"/>
      <c r="L431" s="2"/>
      <c r="M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c r="A432" s="2"/>
      <c r="B432" s="2"/>
      <c r="C432" s="2"/>
      <c r="D432" s="2"/>
      <c r="E432" s="2"/>
      <c r="F432" s="2"/>
      <c r="G432" s="2"/>
      <c r="H432" s="2"/>
      <c r="I432" s="2"/>
      <c r="J432" s="2"/>
      <c r="K432" s="2"/>
      <c r="L432" s="2"/>
      <c r="M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c r="A433" s="2"/>
      <c r="B433" s="2"/>
      <c r="C433" s="2"/>
      <c r="D433" s="2"/>
      <c r="E433" s="2"/>
      <c r="F433" s="2"/>
      <c r="G433" s="2"/>
      <c r="H433" s="2"/>
      <c r="I433" s="2"/>
      <c r="J433" s="2"/>
      <c r="K433" s="2"/>
      <c r="L433" s="2"/>
      <c r="M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c r="A434" s="2"/>
      <c r="B434" s="2"/>
      <c r="C434" s="2"/>
      <c r="D434" s="2"/>
      <c r="E434" s="2"/>
      <c r="F434" s="2"/>
      <c r="G434" s="2"/>
      <c r="H434" s="2"/>
      <c r="I434" s="2"/>
      <c r="J434" s="2"/>
      <c r="K434" s="2"/>
      <c r="L434" s="2"/>
      <c r="M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c r="A435" s="2"/>
      <c r="B435" s="2"/>
      <c r="C435" s="2"/>
      <c r="D435" s="2"/>
      <c r="E435" s="2"/>
      <c r="F435" s="2"/>
      <c r="G435" s="2"/>
      <c r="H435" s="2"/>
      <c r="I435" s="2"/>
      <c r="J435" s="2"/>
      <c r="K435" s="2"/>
      <c r="L435" s="2"/>
      <c r="M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c r="A436" s="2"/>
      <c r="B436" s="2"/>
      <c r="C436" s="2"/>
      <c r="D436" s="2"/>
      <c r="E436" s="2"/>
      <c r="F436" s="2"/>
      <c r="G436" s="2"/>
      <c r="H436" s="2"/>
      <c r="I436" s="2"/>
      <c r="J436" s="2"/>
      <c r="K436" s="2"/>
      <c r="L436" s="2"/>
      <c r="M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c r="A437" s="2"/>
      <c r="B437" s="2"/>
      <c r="C437" s="2"/>
      <c r="D437" s="2"/>
      <c r="E437" s="2"/>
      <c r="F437" s="2"/>
      <c r="G437" s="2"/>
      <c r="H437" s="2"/>
      <c r="I437" s="2"/>
      <c r="J437" s="2"/>
      <c r="K437" s="2"/>
      <c r="L437" s="2"/>
      <c r="M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c r="A438" s="2"/>
      <c r="B438" s="2"/>
      <c r="C438" s="2"/>
      <c r="D438" s="2"/>
      <c r="E438" s="2"/>
      <c r="F438" s="2"/>
      <c r="G438" s="2"/>
      <c r="H438" s="2"/>
      <c r="I438" s="2"/>
      <c r="J438" s="2"/>
      <c r="K438" s="2"/>
      <c r="L438" s="2"/>
      <c r="M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c r="A439" s="2"/>
      <c r="B439" s="2"/>
      <c r="C439" s="2"/>
      <c r="D439" s="2"/>
      <c r="E439" s="2"/>
      <c r="F439" s="2"/>
      <c r="G439" s="2"/>
      <c r="H439" s="2"/>
      <c r="I439" s="2"/>
      <c r="J439" s="2"/>
      <c r="K439" s="2"/>
      <c r="L439" s="2"/>
      <c r="M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c r="A440" s="2"/>
      <c r="B440" s="2"/>
      <c r="C440" s="2"/>
      <c r="D440" s="2"/>
      <c r="E440" s="2"/>
      <c r="F440" s="2"/>
      <c r="G440" s="2"/>
      <c r="H440" s="2"/>
      <c r="I440" s="2"/>
      <c r="J440" s="2"/>
      <c r="K440" s="2"/>
      <c r="L440" s="2"/>
      <c r="M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c r="A441" s="2"/>
      <c r="B441" s="2"/>
      <c r="C441" s="2"/>
      <c r="D441" s="2"/>
      <c r="E441" s="2"/>
      <c r="F441" s="2"/>
      <c r="G441" s="2"/>
      <c r="H441" s="2"/>
      <c r="I441" s="2"/>
      <c r="J441" s="2"/>
      <c r="K441" s="2"/>
      <c r="L441" s="2"/>
      <c r="M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c r="A442" s="2"/>
      <c r="B442" s="2"/>
      <c r="C442" s="2"/>
      <c r="D442" s="2"/>
      <c r="E442" s="2"/>
      <c r="F442" s="2"/>
      <c r="G442" s="2"/>
      <c r="H442" s="2"/>
      <c r="I442" s="2"/>
      <c r="J442" s="2"/>
      <c r="K442" s="2"/>
      <c r="L442" s="2"/>
      <c r="M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c r="A443" s="2"/>
      <c r="B443" s="2"/>
      <c r="C443" s="2"/>
      <c r="D443" s="2"/>
      <c r="E443" s="2"/>
      <c r="F443" s="2"/>
      <c r="G443" s="2"/>
      <c r="H443" s="2"/>
      <c r="I443" s="2"/>
      <c r="J443" s="2"/>
      <c r="K443" s="2"/>
      <c r="L443" s="2"/>
      <c r="M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c r="A444" s="2"/>
      <c r="B444" s="2"/>
      <c r="C444" s="2"/>
      <c r="D444" s="2"/>
      <c r="E444" s="2"/>
      <c r="F444" s="2"/>
      <c r="G444" s="2"/>
      <c r="H444" s="2"/>
      <c r="I444" s="2"/>
      <c r="J444" s="2"/>
      <c r="K444" s="2"/>
      <c r="L444" s="2"/>
      <c r="M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c r="A445" s="2"/>
      <c r="B445" s="2"/>
      <c r="C445" s="2"/>
      <c r="D445" s="2"/>
      <c r="E445" s="2"/>
      <c r="F445" s="2"/>
      <c r="G445" s="2"/>
      <c r="H445" s="2"/>
      <c r="I445" s="2"/>
      <c r="J445" s="2"/>
      <c r="K445" s="2"/>
      <c r="L445" s="2"/>
      <c r="M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c r="A446" s="2"/>
      <c r="B446" s="2"/>
      <c r="C446" s="2"/>
      <c r="D446" s="2"/>
      <c r="E446" s="2"/>
      <c r="F446" s="2"/>
      <c r="G446" s="2"/>
      <c r="H446" s="2"/>
      <c r="I446" s="2"/>
      <c r="J446" s="2"/>
      <c r="K446" s="2"/>
      <c r="L446" s="2"/>
      <c r="M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c r="A447" s="2"/>
      <c r="B447" s="2"/>
      <c r="C447" s="2"/>
      <c r="D447" s="2"/>
      <c r="E447" s="2"/>
      <c r="F447" s="2"/>
      <c r="G447" s="2"/>
      <c r="H447" s="2"/>
      <c r="I447" s="2"/>
      <c r="J447" s="2"/>
      <c r="K447" s="2"/>
      <c r="L447" s="2"/>
      <c r="M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c r="A448" s="2"/>
      <c r="B448" s="2"/>
      <c r="C448" s="2"/>
      <c r="D448" s="2"/>
      <c r="E448" s="2"/>
      <c r="F448" s="2"/>
      <c r="G448" s="2"/>
      <c r="H448" s="2"/>
      <c r="I448" s="2"/>
      <c r="J448" s="2"/>
      <c r="K448" s="2"/>
      <c r="L448" s="2"/>
      <c r="M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c r="A449" s="2"/>
      <c r="B449" s="2"/>
      <c r="C449" s="2"/>
      <c r="D449" s="2"/>
      <c r="E449" s="2"/>
      <c r="F449" s="2"/>
      <c r="G449" s="2"/>
      <c r="H449" s="2"/>
      <c r="I449" s="2"/>
      <c r="J449" s="2"/>
      <c r="K449" s="2"/>
      <c r="L449" s="2"/>
      <c r="M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c r="A450" s="2"/>
      <c r="B450" s="2"/>
      <c r="C450" s="2"/>
      <c r="D450" s="2"/>
      <c r="E450" s="2"/>
      <c r="F450" s="2"/>
      <c r="G450" s="2"/>
      <c r="H450" s="2"/>
      <c r="I450" s="2"/>
      <c r="J450" s="2"/>
      <c r="K450" s="2"/>
      <c r="L450" s="2"/>
      <c r="M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c r="A451" s="2"/>
      <c r="B451" s="2"/>
      <c r="C451" s="2"/>
      <c r="D451" s="2"/>
      <c r="E451" s="2"/>
      <c r="F451" s="2"/>
      <c r="G451" s="2"/>
      <c r="H451" s="2"/>
      <c r="I451" s="2"/>
      <c r="J451" s="2"/>
      <c r="K451" s="2"/>
      <c r="L451" s="2"/>
      <c r="M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c r="A452" s="2"/>
      <c r="B452" s="2"/>
      <c r="C452" s="2"/>
      <c r="D452" s="2"/>
      <c r="E452" s="2"/>
      <c r="F452" s="2"/>
      <c r="G452" s="2"/>
      <c r="H452" s="2"/>
      <c r="I452" s="2"/>
      <c r="J452" s="2"/>
      <c r="K452" s="2"/>
      <c r="L452" s="2"/>
      <c r="M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c r="A453" s="2"/>
      <c r="B453" s="2"/>
      <c r="C453" s="2"/>
      <c r="D453" s="2"/>
      <c r="E453" s="2"/>
      <c r="F453" s="2"/>
      <c r="G453" s="2"/>
      <c r="H453" s="2"/>
      <c r="I453" s="2"/>
      <c r="J453" s="2"/>
      <c r="K453" s="2"/>
      <c r="L453" s="2"/>
      <c r="M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c r="A454" s="2"/>
      <c r="B454" s="2"/>
      <c r="C454" s="2"/>
      <c r="D454" s="2"/>
      <c r="E454" s="2"/>
      <c r="F454" s="2"/>
      <c r="G454" s="2"/>
      <c r="H454" s="2"/>
      <c r="I454" s="2"/>
      <c r="J454" s="2"/>
      <c r="K454" s="2"/>
      <c r="L454" s="2"/>
      <c r="M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c r="A455" s="2"/>
      <c r="B455" s="2"/>
      <c r="C455" s="2"/>
      <c r="D455" s="2"/>
      <c r="E455" s="2"/>
      <c r="F455" s="2"/>
      <c r="G455" s="2"/>
      <c r="H455" s="2"/>
      <c r="I455" s="2"/>
      <c r="J455" s="2"/>
      <c r="K455" s="2"/>
      <c r="L455" s="2"/>
      <c r="M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c r="A456" s="2"/>
      <c r="B456" s="2"/>
      <c r="C456" s="2"/>
      <c r="D456" s="2"/>
      <c r="E456" s="2"/>
      <c r="F456" s="2"/>
      <c r="G456" s="2"/>
      <c r="H456" s="2"/>
      <c r="I456" s="2"/>
      <c r="J456" s="2"/>
      <c r="K456" s="2"/>
      <c r="L456" s="2"/>
      <c r="M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c r="A457" s="2"/>
      <c r="B457" s="2"/>
      <c r="C457" s="2"/>
      <c r="D457" s="2"/>
      <c r="E457" s="2"/>
      <c r="F457" s="2"/>
      <c r="G457" s="2"/>
      <c r="H457" s="2"/>
      <c r="I457" s="2"/>
      <c r="J457" s="2"/>
      <c r="K457" s="2"/>
      <c r="L457" s="2"/>
      <c r="M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c r="A458" s="2"/>
      <c r="B458" s="2"/>
      <c r="C458" s="2"/>
      <c r="D458" s="2"/>
      <c r="E458" s="2"/>
      <c r="F458" s="2"/>
      <c r="G458" s="2"/>
      <c r="H458" s="2"/>
      <c r="I458" s="2"/>
      <c r="J458" s="2"/>
      <c r="K458" s="2"/>
      <c r="L458" s="2"/>
      <c r="M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c r="A459" s="2"/>
      <c r="B459" s="2"/>
      <c r="C459" s="2"/>
      <c r="D459" s="2"/>
      <c r="E459" s="2"/>
      <c r="F459" s="2"/>
      <c r="G459" s="2"/>
      <c r="H459" s="2"/>
      <c r="I459" s="2"/>
      <c r="J459" s="2"/>
      <c r="K459" s="2"/>
      <c r="L459" s="2"/>
      <c r="M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c r="A460" s="2"/>
      <c r="B460" s="2"/>
      <c r="C460" s="2"/>
      <c r="D460" s="2"/>
      <c r="E460" s="2"/>
      <c r="F460" s="2"/>
      <c r="G460" s="2"/>
      <c r="H460" s="2"/>
      <c r="I460" s="2"/>
      <c r="J460" s="2"/>
      <c r="K460" s="2"/>
      <c r="L460" s="2"/>
      <c r="M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c r="A461" s="2"/>
      <c r="B461" s="2"/>
      <c r="C461" s="2"/>
      <c r="D461" s="2"/>
      <c r="E461" s="2"/>
      <c r="F461" s="2"/>
      <c r="G461" s="2"/>
      <c r="H461" s="2"/>
      <c r="I461" s="2"/>
      <c r="J461" s="2"/>
      <c r="K461" s="2"/>
      <c r="L461" s="2"/>
      <c r="M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c r="A462" s="2"/>
      <c r="B462" s="2"/>
      <c r="C462" s="2"/>
      <c r="D462" s="2"/>
      <c r="E462" s="2"/>
      <c r="F462" s="2"/>
      <c r="G462" s="2"/>
      <c r="H462" s="2"/>
      <c r="I462" s="2"/>
      <c r="J462" s="2"/>
      <c r="K462" s="2"/>
      <c r="L462" s="2"/>
      <c r="M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c r="A463" s="2"/>
      <c r="B463" s="2"/>
      <c r="C463" s="2"/>
      <c r="D463" s="2"/>
      <c r="E463" s="2"/>
      <c r="F463" s="2"/>
      <c r="G463" s="2"/>
      <c r="H463" s="2"/>
      <c r="I463" s="2"/>
      <c r="J463" s="2"/>
      <c r="K463" s="2"/>
      <c r="L463" s="2"/>
      <c r="M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c r="A464" s="2"/>
      <c r="B464" s="2"/>
      <c r="C464" s="2"/>
      <c r="D464" s="2"/>
      <c r="E464" s="2"/>
      <c r="F464" s="2"/>
      <c r="G464" s="2"/>
      <c r="H464" s="2"/>
      <c r="I464" s="2"/>
      <c r="J464" s="2"/>
      <c r="K464" s="2"/>
      <c r="L464" s="2"/>
      <c r="M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c r="A465" s="2"/>
      <c r="B465" s="2"/>
      <c r="C465" s="2"/>
      <c r="D465" s="2"/>
      <c r="E465" s="2"/>
      <c r="F465" s="2"/>
      <c r="G465" s="2"/>
      <c r="H465" s="2"/>
      <c r="I465" s="2"/>
      <c r="J465" s="2"/>
      <c r="K465" s="2"/>
      <c r="L465" s="2"/>
      <c r="M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c r="A466" s="2"/>
      <c r="B466" s="2"/>
      <c r="C466" s="2"/>
      <c r="D466" s="2"/>
      <c r="E466" s="2"/>
      <c r="F466" s="2"/>
      <c r="G466" s="2"/>
      <c r="H466" s="2"/>
      <c r="I466" s="2"/>
      <c r="J466" s="2"/>
      <c r="K466" s="2"/>
      <c r="L466" s="2"/>
      <c r="M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c r="A467" s="2"/>
      <c r="B467" s="2"/>
      <c r="C467" s="2"/>
      <c r="D467" s="2"/>
      <c r="E467" s="2"/>
      <c r="F467" s="2"/>
      <c r="G467" s="2"/>
      <c r="H467" s="2"/>
      <c r="I467" s="2"/>
      <c r="J467" s="2"/>
      <c r="K467" s="2"/>
      <c r="L467" s="2"/>
      <c r="M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c r="A468" s="2"/>
      <c r="B468" s="2"/>
      <c r="C468" s="2"/>
      <c r="D468" s="2"/>
      <c r="E468" s="2"/>
      <c r="F468" s="2"/>
      <c r="G468" s="2"/>
      <c r="H468" s="2"/>
      <c r="I468" s="2"/>
      <c r="J468" s="2"/>
      <c r="K468" s="2"/>
      <c r="L468" s="2"/>
      <c r="M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c r="A469" s="2"/>
      <c r="B469" s="2"/>
      <c r="C469" s="2"/>
      <c r="D469" s="2"/>
      <c r="E469" s="2"/>
      <c r="F469" s="2"/>
      <c r="G469" s="2"/>
      <c r="H469" s="2"/>
      <c r="I469" s="2"/>
      <c r="J469" s="2"/>
      <c r="K469" s="2"/>
      <c r="L469" s="2"/>
      <c r="M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c r="A470" s="2"/>
      <c r="B470" s="2"/>
      <c r="C470" s="2"/>
      <c r="D470" s="2"/>
      <c r="E470" s="2"/>
      <c r="F470" s="2"/>
      <c r="G470" s="2"/>
      <c r="H470" s="2"/>
      <c r="I470" s="2"/>
      <c r="J470" s="2"/>
      <c r="K470" s="2"/>
      <c r="L470" s="2"/>
      <c r="M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c r="A471" s="2"/>
      <c r="B471" s="2"/>
      <c r="C471" s="2"/>
      <c r="D471" s="2"/>
      <c r="E471" s="2"/>
      <c r="F471" s="2"/>
      <c r="G471" s="2"/>
      <c r="H471" s="2"/>
      <c r="I471" s="2"/>
      <c r="J471" s="2"/>
      <c r="K471" s="2"/>
      <c r="L471" s="2"/>
      <c r="M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c r="A472" s="2"/>
      <c r="B472" s="2"/>
      <c r="C472" s="2"/>
      <c r="D472" s="2"/>
      <c r="E472" s="2"/>
      <c r="F472" s="2"/>
      <c r="G472" s="2"/>
      <c r="H472" s="2"/>
      <c r="I472" s="2"/>
      <c r="J472" s="2"/>
      <c r="K472" s="2"/>
      <c r="L472" s="2"/>
      <c r="M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c r="A473" s="2"/>
      <c r="B473" s="2"/>
      <c r="C473" s="2"/>
      <c r="D473" s="2"/>
      <c r="E473" s="2"/>
      <c r="F473" s="2"/>
      <c r="G473" s="2"/>
      <c r="H473" s="2"/>
      <c r="I473" s="2"/>
      <c r="J473" s="2"/>
      <c r="K473" s="2"/>
      <c r="L473" s="2"/>
      <c r="M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c r="A474" s="2"/>
      <c r="B474" s="2"/>
      <c r="C474" s="2"/>
      <c r="D474" s="2"/>
      <c r="E474" s="2"/>
      <c r="F474" s="2"/>
      <c r="G474" s="2"/>
      <c r="H474" s="2"/>
      <c r="I474" s="2"/>
      <c r="J474" s="2"/>
      <c r="K474" s="2"/>
      <c r="L474" s="2"/>
      <c r="M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c r="A475" s="2"/>
      <c r="B475" s="2"/>
      <c r="C475" s="2"/>
      <c r="D475" s="2"/>
      <c r="E475" s="2"/>
      <c r="F475" s="2"/>
      <c r="G475" s="2"/>
      <c r="H475" s="2"/>
      <c r="I475" s="2"/>
      <c r="J475" s="2"/>
      <c r="K475" s="2"/>
      <c r="L475" s="2"/>
      <c r="M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c r="A476" s="2"/>
      <c r="B476" s="2"/>
      <c r="C476" s="2"/>
      <c r="D476" s="2"/>
      <c r="E476" s="2"/>
      <c r="F476" s="2"/>
      <c r="G476" s="2"/>
      <c r="H476" s="2"/>
      <c r="I476" s="2"/>
      <c r="J476" s="2"/>
      <c r="K476" s="2"/>
      <c r="L476" s="2"/>
      <c r="M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c r="A477" s="2"/>
      <c r="B477" s="2"/>
      <c r="C477" s="2"/>
      <c r="D477" s="2"/>
      <c r="E477" s="2"/>
      <c r="F477" s="2"/>
      <c r="G477" s="2"/>
      <c r="H477" s="2"/>
      <c r="I477" s="2"/>
      <c r="J477" s="2"/>
      <c r="K477" s="2"/>
      <c r="L477" s="2"/>
      <c r="M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c r="A478" s="2"/>
      <c r="B478" s="2"/>
      <c r="C478" s="2"/>
      <c r="D478" s="2"/>
      <c r="E478" s="2"/>
      <c r="F478" s="2"/>
      <c r="G478" s="2"/>
      <c r="H478" s="2"/>
      <c r="I478" s="2"/>
      <c r="J478" s="2"/>
      <c r="K478" s="2"/>
      <c r="L478" s="2"/>
      <c r="M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c r="A479" s="2"/>
      <c r="B479" s="2"/>
      <c r="C479" s="2"/>
      <c r="D479" s="2"/>
      <c r="E479" s="2"/>
      <c r="F479" s="2"/>
      <c r="G479" s="2"/>
      <c r="H479" s="2"/>
      <c r="I479" s="2"/>
      <c r="J479" s="2"/>
      <c r="K479" s="2"/>
      <c r="L479" s="2"/>
      <c r="M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c r="A480" s="2"/>
      <c r="B480" s="2"/>
      <c r="C480" s="2"/>
      <c r="D480" s="2"/>
      <c r="E480" s="2"/>
      <c r="F480" s="2"/>
      <c r="G480" s="2"/>
      <c r="H480" s="2"/>
      <c r="I480" s="2"/>
      <c r="J480" s="2"/>
      <c r="K480" s="2"/>
      <c r="L480" s="2"/>
      <c r="M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c r="A481" s="2"/>
      <c r="B481" s="2"/>
      <c r="C481" s="2"/>
      <c r="D481" s="2"/>
      <c r="E481" s="2"/>
      <c r="F481" s="2"/>
      <c r="G481" s="2"/>
      <c r="H481" s="2"/>
      <c r="I481" s="2"/>
      <c r="J481" s="2"/>
      <c r="K481" s="2"/>
      <c r="L481" s="2"/>
      <c r="M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c r="A482" s="2"/>
      <c r="B482" s="2"/>
      <c r="C482" s="2"/>
      <c r="D482" s="2"/>
      <c r="E482" s="2"/>
      <c r="F482" s="2"/>
      <c r="G482" s="2"/>
      <c r="H482" s="2"/>
      <c r="I482" s="2"/>
      <c r="J482" s="2"/>
      <c r="K482" s="2"/>
      <c r="L482" s="2"/>
      <c r="M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c r="A483" s="2"/>
      <c r="B483" s="2"/>
      <c r="C483" s="2"/>
      <c r="D483" s="2"/>
      <c r="E483" s="2"/>
      <c r="F483" s="2"/>
      <c r="G483" s="2"/>
      <c r="H483" s="2"/>
      <c r="I483" s="2"/>
      <c r="J483" s="2"/>
      <c r="K483" s="2"/>
      <c r="L483" s="2"/>
      <c r="M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c r="A484" s="2"/>
      <c r="B484" s="2"/>
      <c r="C484" s="2"/>
      <c r="D484" s="2"/>
      <c r="E484" s="2"/>
      <c r="F484" s="2"/>
      <c r="G484" s="2"/>
      <c r="H484" s="2"/>
      <c r="I484" s="2"/>
      <c r="J484" s="2"/>
      <c r="K484" s="2"/>
      <c r="L484" s="2"/>
      <c r="M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c r="A485" s="2"/>
      <c r="B485" s="2"/>
      <c r="C485" s="2"/>
      <c r="D485" s="2"/>
      <c r="E485" s="2"/>
      <c r="F485" s="2"/>
      <c r="G485" s="2"/>
      <c r="H485" s="2"/>
      <c r="I485" s="2"/>
      <c r="J485" s="2"/>
      <c r="K485" s="2"/>
      <c r="L485" s="2"/>
      <c r="M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c r="A486" s="2"/>
      <c r="B486" s="2"/>
      <c r="C486" s="2"/>
      <c r="D486" s="2"/>
      <c r="E486" s="2"/>
      <c r="F486" s="2"/>
      <c r="G486" s="2"/>
      <c r="H486" s="2"/>
      <c r="I486" s="2"/>
      <c r="J486" s="2"/>
      <c r="K486" s="2"/>
      <c r="L486" s="2"/>
      <c r="M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c r="A487" s="2"/>
      <c r="B487" s="2"/>
      <c r="C487" s="2"/>
      <c r="D487" s="2"/>
      <c r="E487" s="2"/>
      <c r="F487" s="2"/>
      <c r="G487" s="2"/>
      <c r="H487" s="2"/>
      <c r="I487" s="2"/>
      <c r="J487" s="2"/>
      <c r="K487" s="2"/>
      <c r="L487" s="2"/>
      <c r="M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c r="A488" s="2"/>
      <c r="B488" s="2"/>
      <c r="C488" s="2"/>
      <c r="D488" s="2"/>
      <c r="E488" s="2"/>
      <c r="F488" s="2"/>
      <c r="G488" s="2"/>
      <c r="H488" s="2"/>
      <c r="I488" s="2"/>
      <c r="J488" s="2"/>
      <c r="K488" s="2"/>
      <c r="L488" s="2"/>
      <c r="M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c r="A489" s="2"/>
      <c r="B489" s="2"/>
      <c r="C489" s="2"/>
      <c r="D489" s="2"/>
      <c r="E489" s="2"/>
      <c r="F489" s="2"/>
      <c r="G489" s="2"/>
      <c r="H489" s="2"/>
      <c r="I489" s="2"/>
      <c r="J489" s="2"/>
      <c r="K489" s="2"/>
      <c r="L489" s="2"/>
      <c r="M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c r="A490" s="2"/>
      <c r="B490" s="2"/>
      <c r="C490" s="2"/>
      <c r="D490" s="2"/>
      <c r="E490" s="2"/>
      <c r="F490" s="2"/>
      <c r="G490" s="2"/>
      <c r="H490" s="2"/>
      <c r="I490" s="2"/>
      <c r="J490" s="2"/>
      <c r="K490" s="2"/>
      <c r="L490" s="2"/>
      <c r="M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c r="A491" s="2"/>
      <c r="B491" s="2"/>
      <c r="C491" s="2"/>
      <c r="D491" s="2"/>
      <c r="E491" s="2"/>
      <c r="F491" s="2"/>
      <c r="G491" s="2"/>
      <c r="H491" s="2"/>
      <c r="I491" s="2"/>
      <c r="J491" s="2"/>
      <c r="K491" s="2"/>
      <c r="L491" s="2"/>
      <c r="M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c r="A492" s="2"/>
      <c r="B492" s="2"/>
      <c r="C492" s="2"/>
      <c r="D492" s="2"/>
      <c r="E492" s="2"/>
      <c r="F492" s="2"/>
      <c r="G492" s="2"/>
      <c r="H492" s="2"/>
      <c r="I492" s="2"/>
      <c r="J492" s="2"/>
      <c r="K492" s="2"/>
      <c r="L492" s="2"/>
      <c r="M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c r="A493" s="2"/>
      <c r="B493" s="2"/>
      <c r="C493" s="2"/>
      <c r="D493" s="2"/>
      <c r="E493" s="2"/>
      <c r="F493" s="2"/>
      <c r="G493" s="2"/>
      <c r="H493" s="2"/>
      <c r="I493" s="2"/>
      <c r="J493" s="2"/>
      <c r="K493" s="2"/>
      <c r="L493" s="2"/>
      <c r="M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c r="A494" s="2"/>
      <c r="B494" s="2"/>
      <c r="C494" s="2"/>
      <c r="D494" s="2"/>
      <c r="E494" s="2"/>
      <c r="F494" s="2"/>
      <c r="G494" s="2"/>
      <c r="H494" s="2"/>
      <c r="I494" s="2"/>
      <c r="J494" s="2"/>
      <c r="K494" s="2"/>
      <c r="L494" s="2"/>
      <c r="M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c r="A495" s="2"/>
      <c r="B495" s="2"/>
      <c r="C495" s="2"/>
      <c r="D495" s="2"/>
      <c r="E495" s="2"/>
      <c r="F495" s="2"/>
      <c r="G495" s="2"/>
      <c r="H495" s="2"/>
      <c r="I495" s="2"/>
      <c r="J495" s="2"/>
      <c r="K495" s="2"/>
      <c r="L495" s="2"/>
      <c r="M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c r="A496" s="2"/>
      <c r="B496" s="2"/>
      <c r="C496" s="2"/>
      <c r="D496" s="2"/>
      <c r="E496" s="2"/>
      <c r="F496" s="2"/>
      <c r="G496" s="2"/>
      <c r="H496" s="2"/>
      <c r="I496" s="2"/>
      <c r="J496" s="2"/>
      <c r="K496" s="2"/>
      <c r="L496" s="2"/>
      <c r="M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c r="A497" s="2"/>
      <c r="B497" s="2"/>
      <c r="C497" s="2"/>
      <c r="D497" s="2"/>
      <c r="E497" s="2"/>
      <c r="F497" s="2"/>
      <c r="G497" s="2"/>
      <c r="H497" s="2"/>
      <c r="I497" s="2"/>
      <c r="J497" s="2"/>
      <c r="K497" s="2"/>
      <c r="L497" s="2"/>
      <c r="M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c r="A498" s="2"/>
      <c r="B498" s="2"/>
      <c r="C498" s="2"/>
      <c r="D498" s="2"/>
      <c r="E498" s="2"/>
      <c r="F498" s="2"/>
      <c r="G498" s="2"/>
      <c r="H498" s="2"/>
      <c r="I498" s="2"/>
      <c r="J498" s="2"/>
      <c r="K498" s="2"/>
      <c r="L498" s="2"/>
      <c r="M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c r="A499" s="2"/>
      <c r="B499" s="2"/>
      <c r="C499" s="2"/>
      <c r="D499" s="2"/>
      <c r="E499" s="2"/>
      <c r="F499" s="2"/>
      <c r="G499" s="2"/>
      <c r="H499" s="2"/>
      <c r="I499" s="2"/>
      <c r="J499" s="2"/>
      <c r="K499" s="2"/>
      <c r="L499" s="2"/>
      <c r="M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c r="A500" s="2"/>
      <c r="B500" s="2"/>
      <c r="C500" s="2"/>
      <c r="D500" s="2"/>
      <c r="E500" s="2"/>
      <c r="F500" s="2"/>
      <c r="G500" s="2"/>
      <c r="H500" s="2"/>
      <c r="I500" s="2"/>
      <c r="J500" s="2"/>
      <c r="K500" s="2"/>
      <c r="L500" s="2"/>
      <c r="M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c r="A501" s="2"/>
      <c r="B501" s="2"/>
      <c r="C501" s="2"/>
      <c r="D501" s="2"/>
      <c r="E501" s="2"/>
      <c r="F501" s="2"/>
      <c r="G501" s="2"/>
      <c r="H501" s="2"/>
      <c r="I501" s="2"/>
      <c r="J501" s="2"/>
      <c r="K501" s="2"/>
      <c r="L501" s="2"/>
      <c r="M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c r="A502" s="2"/>
      <c r="B502" s="2"/>
      <c r="C502" s="2"/>
      <c r="D502" s="2"/>
      <c r="E502" s="2"/>
      <c r="F502" s="2"/>
      <c r="G502" s="2"/>
      <c r="H502" s="2"/>
      <c r="I502" s="2"/>
      <c r="J502" s="2"/>
      <c r="K502" s="2"/>
      <c r="L502" s="2"/>
      <c r="M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c r="A503" s="2"/>
      <c r="B503" s="2"/>
      <c r="C503" s="2"/>
      <c r="D503" s="2"/>
      <c r="E503" s="2"/>
      <c r="F503" s="2"/>
      <c r="G503" s="2"/>
      <c r="H503" s="2"/>
      <c r="I503" s="2"/>
      <c r="J503" s="2"/>
      <c r="K503" s="2"/>
      <c r="L503" s="2"/>
      <c r="M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c r="A504" s="2"/>
      <c r="B504" s="2"/>
      <c r="C504" s="2"/>
      <c r="D504" s="2"/>
      <c r="E504" s="2"/>
      <c r="F504" s="2"/>
      <c r="G504" s="2"/>
      <c r="H504" s="2"/>
      <c r="I504" s="2"/>
      <c r="J504" s="2"/>
      <c r="K504" s="2"/>
      <c r="L504" s="2"/>
      <c r="M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c r="A505" s="2"/>
      <c r="B505" s="2"/>
      <c r="C505" s="2"/>
      <c r="D505" s="2"/>
      <c r="E505" s="2"/>
      <c r="F505" s="2"/>
      <c r="G505" s="2"/>
      <c r="H505" s="2"/>
      <c r="I505" s="2"/>
      <c r="J505" s="2"/>
      <c r="K505" s="2"/>
      <c r="L505" s="2"/>
      <c r="M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c r="A506" s="2"/>
      <c r="B506" s="2"/>
      <c r="C506" s="2"/>
      <c r="D506" s="2"/>
      <c r="E506" s="2"/>
      <c r="F506" s="2"/>
      <c r="G506" s="2"/>
      <c r="H506" s="2"/>
      <c r="I506" s="2"/>
      <c r="J506" s="2"/>
      <c r="K506" s="2"/>
      <c r="L506" s="2"/>
      <c r="M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c r="A507" s="2"/>
      <c r="B507" s="2"/>
      <c r="C507" s="2"/>
      <c r="D507" s="2"/>
      <c r="E507" s="2"/>
      <c r="F507" s="2"/>
      <c r="G507" s="2"/>
      <c r="H507" s="2"/>
      <c r="I507" s="2"/>
      <c r="J507" s="2"/>
      <c r="K507" s="2"/>
      <c r="L507" s="2"/>
      <c r="M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c r="A508" s="2"/>
      <c r="B508" s="2"/>
      <c r="C508" s="2"/>
      <c r="D508" s="2"/>
      <c r="E508" s="2"/>
      <c r="F508" s="2"/>
      <c r="G508" s="2"/>
      <c r="H508" s="2"/>
      <c r="I508" s="2"/>
      <c r="J508" s="2"/>
      <c r="K508" s="2"/>
      <c r="L508" s="2"/>
      <c r="M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c r="A509" s="2"/>
      <c r="B509" s="2"/>
      <c r="C509" s="2"/>
      <c r="D509" s="2"/>
      <c r="E509" s="2"/>
      <c r="F509" s="2"/>
      <c r="G509" s="2"/>
      <c r="H509" s="2"/>
      <c r="I509" s="2"/>
      <c r="J509" s="2"/>
      <c r="K509" s="2"/>
      <c r="L509" s="2"/>
      <c r="M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c r="A510" s="2"/>
      <c r="B510" s="2"/>
      <c r="C510" s="2"/>
      <c r="D510" s="2"/>
      <c r="E510" s="2"/>
      <c r="F510" s="2"/>
      <c r="G510" s="2"/>
      <c r="H510" s="2"/>
      <c r="I510" s="2"/>
      <c r="J510" s="2"/>
      <c r="K510" s="2"/>
      <c r="L510" s="2"/>
      <c r="M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c r="A511" s="2"/>
      <c r="B511" s="2"/>
      <c r="C511" s="2"/>
      <c r="D511" s="2"/>
      <c r="E511" s="2"/>
      <c r="F511" s="2"/>
      <c r="G511" s="2"/>
      <c r="H511" s="2"/>
      <c r="I511" s="2"/>
      <c r="J511" s="2"/>
      <c r="K511" s="2"/>
      <c r="L511" s="2"/>
      <c r="M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c r="A512" s="2"/>
      <c r="B512" s="2"/>
      <c r="C512" s="2"/>
      <c r="D512" s="2"/>
      <c r="E512" s="2"/>
      <c r="F512" s="2"/>
      <c r="G512" s="2"/>
      <c r="H512" s="2"/>
      <c r="I512" s="2"/>
      <c r="J512" s="2"/>
      <c r="K512" s="2"/>
      <c r="L512" s="2"/>
      <c r="M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c r="A513" s="2"/>
      <c r="B513" s="2"/>
      <c r="C513" s="2"/>
      <c r="D513" s="2"/>
      <c r="E513" s="2"/>
      <c r="F513" s="2"/>
      <c r="G513" s="2"/>
      <c r="H513" s="2"/>
      <c r="I513" s="2"/>
      <c r="J513" s="2"/>
      <c r="K513" s="2"/>
      <c r="L513" s="2"/>
      <c r="M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c r="A514" s="2"/>
      <c r="B514" s="2"/>
      <c r="C514" s="2"/>
      <c r="D514" s="2"/>
      <c r="E514" s="2"/>
      <c r="F514" s="2"/>
      <c r="G514" s="2"/>
      <c r="H514" s="2"/>
      <c r="I514" s="2"/>
      <c r="J514" s="2"/>
      <c r="K514" s="2"/>
      <c r="L514" s="2"/>
      <c r="M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c r="A515" s="2"/>
      <c r="B515" s="2"/>
      <c r="C515" s="2"/>
      <c r="D515" s="2"/>
      <c r="E515" s="2"/>
      <c r="F515" s="2"/>
      <c r="G515" s="2"/>
      <c r="H515" s="2"/>
      <c r="I515" s="2"/>
      <c r="J515" s="2"/>
      <c r="K515" s="2"/>
      <c r="L515" s="2"/>
      <c r="M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c r="A516" s="2"/>
      <c r="B516" s="2"/>
      <c r="C516" s="2"/>
      <c r="D516" s="2"/>
      <c r="E516" s="2"/>
      <c r="F516" s="2"/>
      <c r="G516" s="2"/>
      <c r="H516" s="2"/>
      <c r="I516" s="2"/>
      <c r="J516" s="2"/>
      <c r="K516" s="2"/>
      <c r="L516" s="2"/>
      <c r="M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c r="A517" s="2"/>
      <c r="B517" s="2"/>
      <c r="C517" s="2"/>
      <c r="D517" s="2"/>
      <c r="E517" s="2"/>
      <c r="F517" s="2"/>
      <c r="G517" s="2"/>
      <c r="H517" s="2"/>
      <c r="I517" s="2"/>
      <c r="J517" s="2"/>
      <c r="K517" s="2"/>
      <c r="L517" s="2"/>
      <c r="M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c r="A518" s="2"/>
      <c r="B518" s="2"/>
      <c r="C518" s="2"/>
      <c r="D518" s="2"/>
      <c r="E518" s="2"/>
      <c r="F518" s="2"/>
      <c r="G518" s="2"/>
      <c r="H518" s="2"/>
      <c r="I518" s="2"/>
      <c r="J518" s="2"/>
      <c r="K518" s="2"/>
      <c r="L518" s="2"/>
      <c r="M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c r="A519" s="2"/>
      <c r="B519" s="2"/>
      <c r="C519" s="2"/>
      <c r="D519" s="2"/>
      <c r="E519" s="2"/>
      <c r="F519" s="2"/>
      <c r="G519" s="2"/>
      <c r="H519" s="2"/>
      <c r="I519" s="2"/>
      <c r="J519" s="2"/>
      <c r="K519" s="2"/>
      <c r="L519" s="2"/>
      <c r="M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c r="A520" s="2"/>
      <c r="B520" s="2"/>
      <c r="C520" s="2"/>
      <c r="D520" s="2"/>
      <c r="E520" s="2"/>
      <c r="F520" s="2"/>
      <c r="G520" s="2"/>
      <c r="H520" s="2"/>
      <c r="I520" s="2"/>
      <c r="J520" s="2"/>
      <c r="K520" s="2"/>
      <c r="L520" s="2"/>
      <c r="M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c r="A521" s="2"/>
      <c r="B521" s="2"/>
      <c r="C521" s="2"/>
      <c r="D521" s="2"/>
      <c r="E521" s="2"/>
      <c r="F521" s="2"/>
      <c r="G521" s="2"/>
      <c r="H521" s="2"/>
      <c r="I521" s="2"/>
      <c r="J521" s="2"/>
      <c r="K521" s="2"/>
      <c r="L521" s="2"/>
      <c r="M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c r="A522" s="2"/>
      <c r="B522" s="2"/>
      <c r="C522" s="2"/>
      <c r="D522" s="2"/>
      <c r="E522" s="2"/>
      <c r="F522" s="2"/>
      <c r="G522" s="2"/>
      <c r="H522" s="2"/>
      <c r="I522" s="2"/>
      <c r="J522" s="2"/>
      <c r="K522" s="2"/>
      <c r="L522" s="2"/>
      <c r="M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c r="A523" s="2"/>
      <c r="B523" s="2"/>
      <c r="C523" s="2"/>
      <c r="D523" s="2"/>
      <c r="E523" s="2"/>
      <c r="F523" s="2"/>
      <c r="G523" s="2"/>
      <c r="H523" s="2"/>
      <c r="I523" s="2"/>
      <c r="J523" s="2"/>
      <c r="K523" s="2"/>
      <c r="L523" s="2"/>
      <c r="M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c r="A524" s="2"/>
      <c r="B524" s="2"/>
      <c r="C524" s="2"/>
      <c r="D524" s="2"/>
      <c r="E524" s="2"/>
      <c r="F524" s="2"/>
      <c r="G524" s="2"/>
      <c r="H524" s="2"/>
      <c r="I524" s="2"/>
      <c r="J524" s="2"/>
      <c r="K524" s="2"/>
      <c r="L524" s="2"/>
      <c r="M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c r="A525" s="2"/>
      <c r="B525" s="2"/>
      <c r="C525" s="2"/>
      <c r="D525" s="2"/>
      <c r="E525" s="2"/>
      <c r="F525" s="2"/>
      <c r="G525" s="2"/>
      <c r="H525" s="2"/>
      <c r="I525" s="2"/>
      <c r="J525" s="2"/>
      <c r="K525" s="2"/>
      <c r="L525" s="2"/>
      <c r="M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c r="A526" s="2"/>
      <c r="B526" s="2"/>
      <c r="C526" s="2"/>
      <c r="D526" s="2"/>
      <c r="E526" s="2"/>
      <c r="F526" s="2"/>
      <c r="G526" s="2"/>
      <c r="H526" s="2"/>
      <c r="I526" s="2"/>
      <c r="J526" s="2"/>
      <c r="K526" s="2"/>
      <c r="L526" s="2"/>
      <c r="M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c r="A527" s="2"/>
      <c r="B527" s="2"/>
      <c r="C527" s="2"/>
      <c r="D527" s="2"/>
      <c r="E527" s="2"/>
      <c r="F527" s="2"/>
      <c r="G527" s="2"/>
      <c r="H527" s="2"/>
      <c r="I527" s="2"/>
      <c r="J527" s="2"/>
      <c r="K527" s="2"/>
      <c r="L527" s="2"/>
      <c r="M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c r="A528" s="2"/>
      <c r="B528" s="2"/>
      <c r="C528" s="2"/>
      <c r="D528" s="2"/>
      <c r="E528" s="2"/>
      <c r="F528" s="2"/>
      <c r="G528" s="2"/>
      <c r="H528" s="2"/>
      <c r="I528" s="2"/>
      <c r="J528" s="2"/>
      <c r="K528" s="2"/>
      <c r="L528" s="2"/>
      <c r="M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c r="A529" s="2"/>
      <c r="B529" s="2"/>
      <c r="C529" s="2"/>
      <c r="D529" s="2"/>
      <c r="E529" s="2"/>
      <c r="F529" s="2"/>
      <c r="G529" s="2"/>
      <c r="H529" s="2"/>
      <c r="I529" s="2"/>
      <c r="J529" s="2"/>
      <c r="K529" s="2"/>
      <c r="L529" s="2"/>
      <c r="M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c r="A530" s="2"/>
      <c r="B530" s="2"/>
      <c r="C530" s="2"/>
      <c r="D530" s="2"/>
      <c r="E530" s="2"/>
      <c r="F530" s="2"/>
      <c r="G530" s="2"/>
      <c r="H530" s="2"/>
      <c r="I530" s="2"/>
      <c r="J530" s="2"/>
      <c r="K530" s="2"/>
      <c r="L530" s="2"/>
      <c r="M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c r="A531" s="2"/>
      <c r="B531" s="2"/>
      <c r="C531" s="2"/>
      <c r="D531" s="2"/>
      <c r="E531" s="2"/>
      <c r="F531" s="2"/>
      <c r="G531" s="2"/>
      <c r="H531" s="2"/>
      <c r="I531" s="2"/>
      <c r="J531" s="2"/>
      <c r="K531" s="2"/>
      <c r="L531" s="2"/>
      <c r="M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c r="A532" s="2"/>
      <c r="B532" s="2"/>
      <c r="C532" s="2"/>
      <c r="D532" s="2"/>
      <c r="E532" s="2"/>
      <c r="F532" s="2"/>
      <c r="G532" s="2"/>
      <c r="H532" s="2"/>
      <c r="I532" s="2"/>
      <c r="J532" s="2"/>
      <c r="K532" s="2"/>
      <c r="L532" s="2"/>
      <c r="M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c r="A533" s="2"/>
      <c r="B533" s="2"/>
      <c r="C533" s="2"/>
      <c r="D533" s="2"/>
      <c r="E533" s="2"/>
      <c r="F533" s="2"/>
      <c r="G533" s="2"/>
      <c r="H533" s="2"/>
      <c r="I533" s="2"/>
      <c r="J533" s="2"/>
      <c r="K533" s="2"/>
      <c r="L533" s="2"/>
      <c r="M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c r="A534" s="2"/>
      <c r="B534" s="2"/>
      <c r="C534" s="2"/>
      <c r="D534" s="2"/>
      <c r="E534" s="2"/>
      <c r="F534" s="2"/>
      <c r="G534" s="2"/>
      <c r="H534" s="2"/>
      <c r="I534" s="2"/>
      <c r="J534" s="2"/>
      <c r="K534" s="2"/>
      <c r="L534" s="2"/>
      <c r="M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c r="A535" s="2"/>
      <c r="B535" s="2"/>
      <c r="C535" s="2"/>
      <c r="D535" s="2"/>
      <c r="E535" s="2"/>
      <c r="F535" s="2"/>
      <c r="G535" s="2"/>
      <c r="H535" s="2"/>
      <c r="I535" s="2"/>
      <c r="J535" s="2"/>
      <c r="K535" s="2"/>
      <c r="L535" s="2"/>
      <c r="M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c r="A536" s="2"/>
      <c r="B536" s="2"/>
      <c r="C536" s="2"/>
      <c r="D536" s="2"/>
      <c r="E536" s="2"/>
      <c r="F536" s="2"/>
      <c r="G536" s="2"/>
      <c r="H536" s="2"/>
      <c r="I536" s="2"/>
      <c r="J536" s="2"/>
      <c r="K536" s="2"/>
      <c r="L536" s="2"/>
      <c r="M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c r="A537" s="2"/>
      <c r="B537" s="2"/>
      <c r="C537" s="2"/>
      <c r="D537" s="2"/>
      <c r="E537" s="2"/>
      <c r="F537" s="2"/>
      <c r="G537" s="2"/>
      <c r="H537" s="2"/>
      <c r="I537" s="2"/>
      <c r="J537" s="2"/>
      <c r="K537" s="2"/>
      <c r="L537" s="2"/>
      <c r="M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c r="A538" s="2"/>
      <c r="B538" s="2"/>
      <c r="C538" s="2"/>
      <c r="D538" s="2"/>
      <c r="E538" s="2"/>
      <c r="F538" s="2"/>
      <c r="G538" s="2"/>
      <c r="H538" s="2"/>
      <c r="I538" s="2"/>
      <c r="J538" s="2"/>
      <c r="K538" s="2"/>
      <c r="L538" s="2"/>
      <c r="M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c r="A539" s="2"/>
      <c r="B539" s="2"/>
      <c r="C539" s="2"/>
      <c r="D539" s="2"/>
      <c r="E539" s="2"/>
      <c r="F539" s="2"/>
      <c r="G539" s="2"/>
      <c r="H539" s="2"/>
      <c r="I539" s="2"/>
      <c r="J539" s="2"/>
      <c r="K539" s="2"/>
      <c r="L539" s="2"/>
      <c r="M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c r="A540" s="2"/>
      <c r="B540" s="2"/>
      <c r="C540" s="2"/>
      <c r="D540" s="2"/>
      <c r="E540" s="2"/>
      <c r="F540" s="2"/>
      <c r="G540" s="2"/>
      <c r="H540" s="2"/>
      <c r="I540" s="2"/>
      <c r="J540" s="2"/>
      <c r="K540" s="2"/>
      <c r="L540" s="2"/>
      <c r="M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c r="A541" s="2"/>
      <c r="B541" s="2"/>
      <c r="C541" s="2"/>
      <c r="D541" s="2"/>
      <c r="E541" s="2"/>
      <c r="F541" s="2"/>
      <c r="G541" s="2"/>
      <c r="H541" s="2"/>
      <c r="I541" s="2"/>
      <c r="J541" s="2"/>
      <c r="K541" s="2"/>
      <c r="L541" s="2"/>
      <c r="M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c r="A542" s="2"/>
      <c r="B542" s="2"/>
      <c r="C542" s="2"/>
      <c r="D542" s="2"/>
      <c r="E542" s="2"/>
      <c r="F542" s="2"/>
      <c r="G542" s="2"/>
      <c r="H542" s="2"/>
      <c r="I542" s="2"/>
      <c r="J542" s="2"/>
      <c r="K542" s="2"/>
      <c r="L542" s="2"/>
      <c r="M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c r="A543" s="2"/>
      <c r="B543" s="2"/>
      <c r="C543" s="2"/>
      <c r="D543" s="2"/>
      <c r="E543" s="2"/>
      <c r="F543" s="2"/>
      <c r="G543" s="2"/>
      <c r="H543" s="2"/>
      <c r="I543" s="2"/>
      <c r="J543" s="2"/>
      <c r="K543" s="2"/>
      <c r="L543" s="2"/>
      <c r="M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c r="A544" s="2"/>
      <c r="B544" s="2"/>
      <c r="C544" s="2"/>
      <c r="D544" s="2"/>
      <c r="E544" s="2"/>
      <c r="F544" s="2"/>
      <c r="G544" s="2"/>
      <c r="H544" s="2"/>
      <c r="I544" s="2"/>
      <c r="J544" s="2"/>
      <c r="K544" s="2"/>
      <c r="L544" s="2"/>
      <c r="M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c r="A545" s="2"/>
      <c r="B545" s="2"/>
      <c r="C545" s="2"/>
      <c r="D545" s="2"/>
      <c r="E545" s="2"/>
      <c r="F545" s="2"/>
      <c r="G545" s="2"/>
      <c r="H545" s="2"/>
      <c r="I545" s="2"/>
      <c r="J545" s="2"/>
      <c r="K545" s="2"/>
      <c r="L545" s="2"/>
      <c r="M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c r="A546" s="2"/>
      <c r="B546" s="2"/>
      <c r="C546" s="2"/>
      <c r="D546" s="2"/>
      <c r="E546" s="2"/>
      <c r="F546" s="2"/>
      <c r="G546" s="2"/>
      <c r="H546" s="2"/>
      <c r="I546" s="2"/>
      <c r="J546" s="2"/>
      <c r="K546" s="2"/>
      <c r="L546" s="2"/>
      <c r="M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c r="A547" s="2"/>
      <c r="B547" s="2"/>
      <c r="C547" s="2"/>
      <c r="D547" s="2"/>
      <c r="E547" s="2"/>
      <c r="F547" s="2"/>
      <c r="G547" s="2"/>
      <c r="H547" s="2"/>
      <c r="I547" s="2"/>
      <c r="J547" s="2"/>
      <c r="K547" s="2"/>
      <c r="L547" s="2"/>
      <c r="M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c r="A548" s="2"/>
      <c r="B548" s="2"/>
      <c r="C548" s="2"/>
      <c r="D548" s="2"/>
      <c r="E548" s="2"/>
      <c r="F548" s="2"/>
      <c r="G548" s="2"/>
      <c r="H548" s="2"/>
      <c r="I548" s="2"/>
      <c r="J548" s="2"/>
      <c r="K548" s="2"/>
      <c r="L548" s="2"/>
      <c r="M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c r="A549" s="2"/>
      <c r="B549" s="2"/>
      <c r="C549" s="2"/>
      <c r="D549" s="2"/>
      <c r="E549" s="2"/>
      <c r="F549" s="2"/>
      <c r="G549" s="2"/>
      <c r="H549" s="2"/>
      <c r="I549" s="2"/>
      <c r="J549" s="2"/>
      <c r="K549" s="2"/>
      <c r="L549" s="2"/>
      <c r="M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c r="A550" s="2"/>
      <c r="B550" s="2"/>
      <c r="C550" s="2"/>
      <c r="D550" s="2"/>
      <c r="E550" s="2"/>
      <c r="F550" s="2"/>
      <c r="G550" s="2"/>
      <c r="H550" s="2"/>
      <c r="I550" s="2"/>
      <c r="J550" s="2"/>
      <c r="K550" s="2"/>
      <c r="L550" s="2"/>
      <c r="M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2204" spans="1:248">
      <c r="A2204" s="2"/>
      <c r="B2204" s="2"/>
      <c r="C2204" s="2"/>
      <c r="D2204" s="2"/>
      <c r="E2204" s="2"/>
      <c r="F2204" s="2"/>
      <c r="G2204" s="2"/>
      <c r="H2204" s="2"/>
      <c r="I2204" s="2"/>
      <c r="J2204" s="2"/>
      <c r="K2204" s="2"/>
      <c r="L2204" s="2"/>
      <c r="M2204" s="2"/>
      <c r="AP2204" s="2"/>
      <c r="AQ2204" s="2"/>
      <c r="AR2204" s="2"/>
      <c r="AS2204" s="2"/>
      <c r="AT2204" s="2"/>
      <c r="AU2204" s="2"/>
      <c r="AV2204" s="2"/>
      <c r="AW2204" s="2"/>
      <c r="AX2204" s="2"/>
      <c r="AY2204" s="2"/>
      <c r="AZ2204" s="2"/>
      <c r="BA2204" s="2"/>
      <c r="BB2204" s="2"/>
      <c r="BC2204" s="2"/>
      <c r="BD2204" s="2"/>
      <c r="BE2204" s="2"/>
      <c r="BF2204" s="2"/>
      <c r="BG2204" s="2"/>
      <c r="BH2204" s="2"/>
      <c r="BI2204" s="2"/>
      <c r="BJ2204" s="2"/>
      <c r="BK2204" s="2"/>
      <c r="BL2204" s="2"/>
      <c r="BM2204" s="2"/>
      <c r="BN2204" s="2"/>
      <c r="BO2204" s="2"/>
      <c r="BP2204" s="2"/>
      <c r="BQ2204" s="2"/>
      <c r="BR2204" s="2"/>
      <c r="BS2204" s="2"/>
      <c r="BT2204" s="2"/>
      <c r="BU2204" s="2"/>
      <c r="BV2204" s="2"/>
      <c r="BW2204" s="2"/>
      <c r="BX2204" s="2"/>
      <c r="BY2204" s="2"/>
      <c r="BZ2204" s="2"/>
      <c r="CA2204" s="2"/>
      <c r="CB2204" s="2"/>
      <c r="CC2204" s="2"/>
      <c r="CD2204" s="2"/>
      <c r="CE2204" s="2"/>
      <c r="CF2204" s="2"/>
      <c r="CG2204" s="2"/>
      <c r="CH2204" s="2"/>
      <c r="CI2204" s="2"/>
      <c r="CJ2204" s="2"/>
      <c r="CK2204" s="2"/>
      <c r="CL2204" s="2"/>
      <c r="CM2204" s="2"/>
      <c r="CN2204" s="2"/>
      <c r="CO2204" s="2"/>
      <c r="CP2204" s="2"/>
      <c r="CQ2204" s="2"/>
      <c r="CR2204" s="2"/>
      <c r="CS2204" s="2"/>
      <c r="CT2204" s="2"/>
      <c r="CU2204" s="2"/>
      <c r="CV2204" s="2"/>
      <c r="CW2204" s="2"/>
      <c r="CX2204" s="2"/>
      <c r="CY2204" s="2"/>
      <c r="CZ2204" s="2"/>
      <c r="DA2204" s="2"/>
      <c r="DB2204" s="2"/>
      <c r="DC2204" s="2"/>
      <c r="DD2204" s="2"/>
      <c r="DE2204" s="2"/>
      <c r="DF2204" s="2"/>
      <c r="DG2204" s="2"/>
      <c r="DH2204" s="2"/>
      <c r="DI2204" s="2"/>
      <c r="DJ2204" s="2"/>
      <c r="DK2204" s="2"/>
      <c r="DL2204" s="2"/>
      <c r="DM2204" s="2"/>
      <c r="DN2204" s="2"/>
      <c r="DO2204" s="2"/>
      <c r="DP2204" s="2"/>
      <c r="DQ2204" s="2"/>
      <c r="DR2204" s="2"/>
      <c r="DS2204" s="2"/>
      <c r="DT2204" s="2"/>
      <c r="DU2204" s="2"/>
      <c r="DV2204" s="2"/>
      <c r="DW2204" s="2"/>
      <c r="DX2204" s="2"/>
      <c r="DY2204" s="2"/>
      <c r="DZ2204" s="2"/>
      <c r="EA2204" s="2"/>
      <c r="EB2204" s="2"/>
      <c r="EC2204" s="2"/>
      <c r="ED2204" s="2"/>
      <c r="EE2204" s="2"/>
      <c r="EF2204" s="2"/>
      <c r="EG2204" s="2"/>
      <c r="EH2204" s="2"/>
      <c r="EI2204" s="2"/>
      <c r="EJ2204" s="2"/>
      <c r="EK2204" s="2"/>
      <c r="EL2204" s="2"/>
      <c r="EM2204" s="2"/>
      <c r="EN2204" s="2"/>
      <c r="EO2204" s="2"/>
      <c r="EP2204" s="2"/>
      <c r="EQ2204" s="2"/>
      <c r="ER2204" s="2"/>
      <c r="ES2204" s="2"/>
      <c r="ET2204" s="2"/>
      <c r="EU2204" s="2"/>
      <c r="EV2204" s="2"/>
      <c r="EW2204" s="2"/>
      <c r="EX2204" s="2"/>
      <c r="EY2204" s="2"/>
      <c r="EZ2204" s="2"/>
      <c r="FA2204" s="2"/>
      <c r="FB2204" s="2"/>
      <c r="FC2204" s="2"/>
      <c r="FD2204" s="2"/>
      <c r="FE2204" s="2"/>
      <c r="FF2204" s="2"/>
      <c r="FG2204" s="2"/>
      <c r="FH2204" s="2"/>
      <c r="FI2204" s="2"/>
      <c r="FJ2204" s="2"/>
      <c r="FK2204" s="2"/>
      <c r="FL2204" s="2"/>
      <c r="FM2204" s="2"/>
      <c r="FN2204" s="2"/>
      <c r="FO2204" s="2"/>
      <c r="FP2204" s="2"/>
      <c r="FQ2204" s="2"/>
      <c r="FR2204" s="2"/>
      <c r="FS2204" s="2"/>
      <c r="FT2204" s="2"/>
      <c r="FU2204" s="2"/>
      <c r="FV2204" s="2"/>
      <c r="FW2204" s="2"/>
      <c r="FX2204" s="2"/>
      <c r="FY2204" s="2"/>
      <c r="FZ2204" s="2"/>
      <c r="GA2204" s="2"/>
      <c r="GB2204" s="2"/>
      <c r="GC2204" s="2"/>
      <c r="GD2204" s="2"/>
      <c r="GE2204" s="2"/>
      <c r="GF2204" s="2"/>
      <c r="GG2204" s="2"/>
      <c r="GH2204" s="2"/>
      <c r="GI2204" s="2"/>
      <c r="GJ2204" s="2"/>
      <c r="GK2204" s="2"/>
      <c r="GL2204" s="2"/>
      <c r="GM2204" s="2"/>
      <c r="GN2204" s="2"/>
      <c r="GO2204" s="2"/>
      <c r="GP2204" s="2"/>
      <c r="GQ2204" s="2"/>
      <c r="GR2204" s="2"/>
      <c r="GS2204" s="2"/>
      <c r="GT2204" s="2"/>
      <c r="GU2204" s="2"/>
      <c r="GV2204" s="2"/>
      <c r="GW2204" s="2"/>
      <c r="GX2204" s="2"/>
      <c r="GY2204" s="2"/>
      <c r="GZ2204" s="2"/>
      <c r="HA2204" s="2"/>
      <c r="HB2204" s="2"/>
      <c r="HC2204" s="2"/>
      <c r="HD2204" s="2"/>
      <c r="HE2204" s="2"/>
      <c r="HF2204" s="2"/>
      <c r="HG2204" s="2"/>
      <c r="HH2204" s="2"/>
      <c r="HI2204" s="2"/>
      <c r="HJ2204" s="2"/>
      <c r="HK2204" s="2"/>
      <c r="HL2204" s="2"/>
      <c r="HM2204" s="2"/>
      <c r="HN2204" s="2"/>
      <c r="HO2204" s="2"/>
      <c r="HP2204" s="2"/>
      <c r="HQ2204" s="2"/>
      <c r="HR2204" s="2"/>
      <c r="HS2204" s="2"/>
      <c r="HT2204" s="2"/>
      <c r="HU2204" s="2"/>
      <c r="HV2204" s="2"/>
      <c r="HW2204" s="2"/>
      <c r="HX2204" s="2"/>
      <c r="HY2204" s="2"/>
      <c r="HZ2204" s="2"/>
      <c r="IA2204" s="2"/>
      <c r="IB2204" s="2"/>
      <c r="IC2204" s="2"/>
      <c r="IL2204" s="17" t="e">
        <f>#REF!</f>
        <v>#REF!</v>
      </c>
      <c r="IM2204" s="17" t="e">
        <f>#REF!</f>
        <v>#REF!</v>
      </c>
      <c r="IN2204" s="17" t="e">
        <f>#REF!</f>
        <v>#REF!</v>
      </c>
    </row>
    <row r="2998" spans="67:67">
      <c r="BO2998" s="1">
        <v>1</v>
      </c>
    </row>
    <row r="29998" spans="1:244">
      <c r="A29998" s="2"/>
      <c r="B29998" s="2"/>
      <c r="C29998" s="2"/>
      <c r="D29998" s="2"/>
      <c r="E29998" s="2"/>
      <c r="F29998" s="2"/>
      <c r="G29998" s="2"/>
      <c r="H29998" s="2"/>
      <c r="I29998" s="2"/>
      <c r="J29998" s="2"/>
      <c r="K29998" s="2"/>
      <c r="L29998" s="2"/>
      <c r="M29998" s="2"/>
      <c r="AP29998" s="2"/>
      <c r="AQ29998" s="2"/>
      <c r="AR29998" s="2"/>
      <c r="AS29998" s="2"/>
      <c r="AT29998" s="2"/>
      <c r="AU29998" s="2"/>
      <c r="AV29998" s="2"/>
      <c r="AW29998" s="2"/>
      <c r="AX29998" s="2"/>
      <c r="AY29998" s="2"/>
      <c r="AZ29998" s="2"/>
      <c r="BA29998" s="2"/>
      <c r="BB29998" s="2"/>
      <c r="BC29998" s="2"/>
      <c r="BD29998" s="2"/>
      <c r="BE29998" s="2"/>
      <c r="BF29998" s="2"/>
      <c r="BG29998" s="2"/>
      <c r="BH29998" s="2"/>
      <c r="BI29998" s="2"/>
      <c r="BJ29998" s="2"/>
      <c r="BK29998" s="2"/>
      <c r="BL29998" s="2"/>
      <c r="BM29998" s="2"/>
      <c r="BN29998" s="2"/>
      <c r="BO29998" s="2"/>
      <c r="BP29998" s="2"/>
      <c r="BQ29998" s="2"/>
      <c r="BR29998" s="2"/>
      <c r="BS29998" s="2"/>
      <c r="BT29998" s="2"/>
      <c r="BU29998" s="2"/>
      <c r="BV29998" s="2"/>
      <c r="BW29998" s="2"/>
      <c r="BX29998" s="2"/>
      <c r="BY29998" s="2"/>
      <c r="BZ29998" s="2"/>
      <c r="CA29998" s="2"/>
      <c r="CB29998" s="2"/>
      <c r="CC29998" s="2"/>
      <c r="CD29998" s="2"/>
      <c r="CE29998" s="2"/>
      <c r="CF29998" s="2"/>
      <c r="CG29998" s="2"/>
      <c r="CH29998" s="2"/>
      <c r="CI29998" s="2"/>
      <c r="CJ29998" s="2"/>
      <c r="CK29998" s="2"/>
      <c r="CL29998" s="2"/>
      <c r="CM29998" s="2"/>
      <c r="CN29998" s="2"/>
      <c r="CO29998" s="2"/>
      <c r="CP29998" s="2"/>
      <c r="CQ29998" s="2"/>
      <c r="CR29998" s="2"/>
      <c r="CS29998" s="2"/>
      <c r="CT29998" s="2"/>
      <c r="CU29998" s="2"/>
      <c r="CV29998" s="2"/>
      <c r="CW29998" s="2"/>
      <c r="CX29998" s="2"/>
      <c r="CY29998" s="2"/>
      <c r="CZ29998" s="2"/>
      <c r="DA29998" s="2"/>
      <c r="DB29998" s="2"/>
      <c r="DC29998" s="2"/>
      <c r="DD29998" s="2"/>
      <c r="DE29998" s="2"/>
      <c r="DF29998" s="2"/>
      <c r="DG29998" s="2"/>
      <c r="DH29998" s="2"/>
      <c r="DI29998" s="2"/>
      <c r="DJ29998" s="2"/>
      <c r="DK29998" s="2"/>
      <c r="DL29998" s="2"/>
      <c r="DM29998" s="2"/>
      <c r="DN29998" s="2"/>
      <c r="DO29998" s="2"/>
      <c r="DP29998" s="2"/>
      <c r="DQ29998" s="2"/>
      <c r="DR29998" s="2"/>
      <c r="DS29998" s="2"/>
      <c r="DT29998" s="2"/>
      <c r="DU29998" s="2"/>
      <c r="DV29998" s="2"/>
      <c r="DW29998" s="2"/>
      <c r="DX29998" s="2"/>
      <c r="DY29998" s="2"/>
      <c r="DZ29998" s="2"/>
      <c r="EA29998" s="2"/>
      <c r="EB29998" s="2"/>
      <c r="EC29998" s="2"/>
      <c r="ED29998" s="2"/>
      <c r="EE29998" s="2"/>
      <c r="EF29998" s="2"/>
      <c r="EG29998" s="2"/>
      <c r="EH29998" s="2"/>
      <c r="EI29998" s="2"/>
      <c r="EJ29998" s="2"/>
      <c r="EK29998" s="2"/>
      <c r="EL29998" s="2"/>
      <c r="EM29998" s="2"/>
      <c r="EN29998" s="2"/>
      <c r="EO29998" s="2"/>
      <c r="EP29998" s="2"/>
      <c r="EQ29998" s="2"/>
      <c r="ER29998" s="2"/>
      <c r="ES29998" s="2"/>
      <c r="ET29998" s="2"/>
      <c r="EU29998" s="2"/>
      <c r="EV29998" s="2"/>
      <c r="EW29998" s="2"/>
      <c r="EX29998" s="2"/>
      <c r="EY29998" s="2"/>
      <c r="EZ29998" s="2"/>
      <c r="FA29998" s="2"/>
      <c r="FB29998" s="2"/>
      <c r="FC29998" s="2"/>
      <c r="FD29998" s="2"/>
      <c r="FE29998" s="2"/>
      <c r="FF29998" s="2"/>
      <c r="FG29998" s="2"/>
      <c r="FH29998" s="2"/>
      <c r="FI29998" s="2"/>
      <c r="FJ29998" s="2"/>
      <c r="FK29998" s="2"/>
      <c r="FL29998" s="2"/>
      <c r="FM29998" s="2"/>
      <c r="FN29998" s="2"/>
      <c r="FO29998" s="2"/>
      <c r="FP29998" s="2"/>
      <c r="FQ29998" s="2"/>
      <c r="FR29998" s="2"/>
      <c r="FS29998" s="2"/>
      <c r="FT29998" s="2"/>
      <c r="FU29998" s="2"/>
      <c r="FV29998" s="2"/>
      <c r="FW29998" s="2"/>
      <c r="FX29998" s="2"/>
      <c r="FY29998" s="2"/>
      <c r="FZ29998" s="2"/>
      <c r="GA29998" s="2"/>
      <c r="GB29998" s="2"/>
      <c r="GC29998" s="2"/>
      <c r="GD29998" s="2"/>
      <c r="GE29998" s="2"/>
      <c r="GF29998" s="2"/>
      <c r="GG29998" s="2"/>
      <c r="GH29998" s="2"/>
      <c r="GI29998" s="2"/>
      <c r="GJ29998" s="2"/>
      <c r="GK29998" s="2"/>
      <c r="GL29998" s="2"/>
      <c r="GM29998" s="2"/>
      <c r="GN29998" s="2"/>
      <c r="GO29998" s="2"/>
      <c r="GP29998" s="2"/>
      <c r="GQ29998" s="2"/>
      <c r="GR29998" s="2"/>
      <c r="GS29998" s="2"/>
      <c r="GT29998" s="2"/>
      <c r="GU29998" s="2"/>
      <c r="GV29998" s="2"/>
      <c r="GW29998" s="2"/>
      <c r="GX29998" s="2"/>
      <c r="GY29998" s="2"/>
      <c r="GZ29998" s="2"/>
      <c r="HA29998" s="2"/>
      <c r="HB29998" s="2"/>
      <c r="HC29998" s="2"/>
      <c r="HD29998" s="2"/>
      <c r="HE29998" s="2"/>
      <c r="HF29998" s="2"/>
      <c r="HG29998" s="2"/>
      <c r="HH29998" s="2"/>
      <c r="HI29998" s="2"/>
      <c r="HJ29998" s="2"/>
      <c r="HK29998" s="2"/>
      <c r="HL29998" s="2"/>
      <c r="HM29998" s="2"/>
      <c r="HN29998" s="2"/>
      <c r="HO29998" s="2"/>
      <c r="HP29998" s="2"/>
      <c r="HQ29998" s="2"/>
      <c r="HR29998" s="2"/>
      <c r="HS29998" s="2"/>
      <c r="HT29998" s="2"/>
      <c r="HU29998" s="2"/>
      <c r="HV29998" s="2"/>
      <c r="HW29998" s="2"/>
      <c r="HX29998" s="2"/>
      <c r="HY29998" s="2"/>
      <c r="HZ29998" s="2"/>
      <c r="IA29998" s="2"/>
      <c r="IB29998" s="2"/>
      <c r="IC29998" s="2"/>
      <c r="IJ29998" s="6" t="s">
        <v>5</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odule1.openhwk">
                <anchor moveWithCells="1" sizeWithCells="1">
                  <from>
                    <xdr:col>2</xdr:col>
                    <xdr:colOff>4318000</xdr:colOff>
                    <xdr:row>0</xdr:row>
                    <xdr:rowOff>190500</xdr:rowOff>
                  </from>
                  <to>
                    <xdr:col>2</xdr:col>
                    <xdr:colOff>6223000</xdr:colOff>
                    <xdr:row>3</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35FE2-3F16-014C-8B34-FCE8EF15D95D}">
  <sheetPr codeName="Sheet3"/>
  <dimension ref="A1:GN37519"/>
  <sheetViews>
    <sheetView zoomScaleNormal="100" zoomScalePageLayoutView="85" workbookViewId="0">
      <selection sqref="A1:B1"/>
    </sheetView>
  </sheetViews>
  <sheetFormatPr baseColWidth="10" defaultColWidth="8.83203125" defaultRowHeight="29"/>
  <cols>
    <col min="1" max="1" width="10" style="29" customWidth="1"/>
    <col min="2" max="2" width="7" style="67" customWidth="1"/>
    <col min="3" max="3" width="33.1640625" style="72" customWidth="1"/>
    <col min="4" max="4" width="40.5" style="72" customWidth="1"/>
    <col min="5" max="5" width="36.5" style="67" customWidth="1"/>
    <col min="6" max="6" width="18.83203125" style="67" customWidth="1"/>
    <col min="7" max="7" width="23.33203125" style="45" bestFit="1" customWidth="1"/>
    <col min="8" max="8" width="14" style="45" bestFit="1" customWidth="1"/>
    <col min="9" max="9" width="14.83203125" style="45" customWidth="1"/>
    <col min="10" max="10" width="26" style="45" bestFit="1" customWidth="1"/>
    <col min="11" max="13" width="8.83203125" style="45"/>
    <col min="14" max="38" width="8.83203125" style="66"/>
    <col min="39" max="65" width="8.83203125" style="68"/>
    <col min="66" max="68" width="0" style="68" hidden="1" customWidth="1"/>
    <col min="69" max="208" width="8.83203125" style="68"/>
    <col min="209" max="256" width="0" style="68" hidden="1" customWidth="1"/>
    <col min="257" max="16384" width="8.83203125" style="68"/>
  </cols>
  <sheetData>
    <row r="1" spans="1:38" s="67" customFormat="1" ht="32" customHeight="1">
      <c r="A1" s="131" t="s">
        <v>43</v>
      </c>
      <c r="B1" s="131"/>
      <c r="C1" s="37" t="s">
        <v>44</v>
      </c>
      <c r="D1" s="33"/>
      <c r="E1" s="65"/>
      <c r="F1" s="65"/>
      <c r="G1" s="45"/>
      <c r="H1" s="45"/>
      <c r="I1" s="45"/>
      <c r="J1" s="45"/>
      <c r="K1" s="45"/>
      <c r="L1" s="45"/>
      <c r="M1" s="45"/>
      <c r="N1" s="66"/>
      <c r="O1" s="66"/>
      <c r="P1" s="66"/>
      <c r="Q1" s="66"/>
      <c r="R1" s="66"/>
      <c r="S1" s="66"/>
      <c r="T1" s="66"/>
      <c r="U1" s="66"/>
      <c r="V1" s="66"/>
      <c r="W1" s="66"/>
      <c r="X1" s="66"/>
      <c r="Y1" s="66"/>
      <c r="Z1" s="66"/>
      <c r="AA1" s="66"/>
      <c r="AB1" s="66"/>
      <c r="AC1" s="66"/>
      <c r="AD1" s="66"/>
      <c r="AE1" s="66"/>
      <c r="AF1" s="66"/>
      <c r="AG1" s="66"/>
      <c r="AH1" s="66"/>
      <c r="AI1" s="66"/>
      <c r="AJ1" s="66"/>
      <c r="AK1" s="66"/>
      <c r="AL1" s="66"/>
    </row>
    <row r="2" spans="1:38" s="67" customFormat="1" ht="41" customHeight="1" thickBot="1">
      <c r="A2" s="64"/>
      <c r="B2" s="64"/>
      <c r="C2" s="132" t="s">
        <v>1483</v>
      </c>
      <c r="D2" s="132"/>
      <c r="E2" s="132"/>
      <c r="F2" s="65"/>
      <c r="G2" s="45"/>
      <c r="H2" s="45"/>
      <c r="I2" s="45"/>
      <c r="J2" s="45"/>
      <c r="K2" s="45"/>
      <c r="L2" s="45"/>
      <c r="M2" s="45"/>
      <c r="N2" s="66"/>
      <c r="O2" s="66"/>
      <c r="P2" s="66"/>
      <c r="Q2" s="66"/>
      <c r="R2" s="66"/>
      <c r="S2" s="66"/>
      <c r="T2" s="66"/>
      <c r="U2" s="66"/>
      <c r="V2" s="66"/>
      <c r="W2" s="66"/>
      <c r="X2" s="66"/>
      <c r="Y2" s="66"/>
      <c r="Z2" s="66"/>
      <c r="AA2" s="66"/>
      <c r="AB2" s="66"/>
      <c r="AC2" s="66"/>
      <c r="AD2" s="66"/>
      <c r="AE2" s="66"/>
      <c r="AF2" s="66"/>
      <c r="AG2" s="66"/>
      <c r="AH2" s="66"/>
      <c r="AI2" s="66"/>
      <c r="AJ2" s="66"/>
      <c r="AK2" s="66"/>
      <c r="AL2" s="66"/>
    </row>
    <row r="3" spans="1:38" ht="25" customHeight="1" thickBot="1">
      <c r="A3" s="35" t="str">
        <f>CONCATENATE(A36," Points")</f>
        <v>18 Points</v>
      </c>
      <c r="B3" s="43" t="s">
        <v>0</v>
      </c>
      <c r="C3" s="133" t="s">
        <v>1516</v>
      </c>
      <c r="D3" s="134"/>
      <c r="E3" s="134"/>
      <c r="F3" s="56" t="s">
        <v>32</v>
      </c>
      <c r="G3" s="46"/>
    </row>
    <row r="4" spans="1:38" ht="20" customHeight="1">
      <c r="A4" s="123">
        <v>0.25</v>
      </c>
      <c r="B4" s="54" t="s">
        <v>21</v>
      </c>
      <c r="C4" s="135" t="s">
        <v>1494</v>
      </c>
      <c r="D4" s="136"/>
      <c r="E4" s="137"/>
      <c r="F4" s="57"/>
    </row>
    <row r="5" spans="1:38" ht="20" customHeight="1">
      <c r="A5" s="123">
        <v>0.25</v>
      </c>
      <c r="B5" s="54" t="s">
        <v>22</v>
      </c>
      <c r="C5" s="128" t="s">
        <v>1495</v>
      </c>
      <c r="D5" s="129"/>
      <c r="E5" s="130"/>
      <c r="F5" s="58"/>
    </row>
    <row r="6" spans="1:38" ht="20" customHeight="1">
      <c r="A6" s="123">
        <v>0.25</v>
      </c>
      <c r="B6" s="54" t="s">
        <v>23</v>
      </c>
      <c r="C6" s="128" t="s">
        <v>1496</v>
      </c>
      <c r="D6" s="129"/>
      <c r="E6" s="130"/>
      <c r="F6" s="58"/>
    </row>
    <row r="7" spans="1:38" ht="20" customHeight="1">
      <c r="A7" s="123">
        <v>0.25</v>
      </c>
      <c r="B7" s="54" t="s">
        <v>24</v>
      </c>
      <c r="C7" s="128" t="s">
        <v>1497</v>
      </c>
      <c r="D7" s="129"/>
      <c r="E7" s="130"/>
      <c r="F7" s="58"/>
    </row>
    <row r="8" spans="1:38" ht="20" customHeight="1" thickBot="1">
      <c r="A8" s="123">
        <v>0.25</v>
      </c>
      <c r="B8" s="55" t="s">
        <v>25</v>
      </c>
      <c r="C8" s="140" t="s">
        <v>1498</v>
      </c>
      <c r="D8" s="141"/>
      <c r="E8" s="142"/>
      <c r="F8" s="58"/>
    </row>
    <row r="9" spans="1:38" ht="27" thickBot="1">
      <c r="A9" s="123"/>
      <c r="B9" s="43" t="s">
        <v>1</v>
      </c>
      <c r="C9" s="138" t="s">
        <v>1517</v>
      </c>
      <c r="D9" s="139"/>
      <c r="E9" s="143"/>
      <c r="F9" s="59"/>
    </row>
    <row r="10" spans="1:38" ht="22.75" customHeight="1">
      <c r="A10" s="123">
        <v>0.5</v>
      </c>
      <c r="B10" s="54" t="s">
        <v>21</v>
      </c>
      <c r="C10" s="144" t="s">
        <v>1499</v>
      </c>
      <c r="D10" s="145"/>
      <c r="E10" s="145"/>
      <c r="F10" s="58" t="s">
        <v>1486</v>
      </c>
    </row>
    <row r="11" spans="1:38" ht="22.75" customHeight="1">
      <c r="A11" s="123">
        <v>0.75</v>
      </c>
      <c r="B11" s="54" t="s">
        <v>22</v>
      </c>
      <c r="C11" s="146" t="s">
        <v>1500</v>
      </c>
      <c r="D11" s="147"/>
      <c r="E11" s="147"/>
      <c r="F11" s="58"/>
    </row>
    <row r="12" spans="1:38" ht="26">
      <c r="A12" s="123">
        <v>0.75</v>
      </c>
      <c r="B12" s="54" t="s">
        <v>23</v>
      </c>
      <c r="C12" s="146" t="s">
        <v>1501</v>
      </c>
      <c r="D12" s="147"/>
      <c r="E12" s="147"/>
      <c r="F12" s="58"/>
    </row>
    <row r="13" spans="1:38" ht="22.75" customHeight="1">
      <c r="A13" s="123">
        <v>0.75</v>
      </c>
      <c r="B13" s="54" t="s">
        <v>24</v>
      </c>
      <c r="C13" s="146" t="s">
        <v>1502</v>
      </c>
      <c r="D13" s="147"/>
      <c r="E13" s="147"/>
      <c r="F13" s="58"/>
    </row>
    <row r="14" spans="1:38" ht="24" customHeight="1" thickBot="1">
      <c r="A14" s="123">
        <v>1.5</v>
      </c>
      <c r="B14" s="54" t="s">
        <v>25</v>
      </c>
      <c r="C14" s="146" t="s">
        <v>56</v>
      </c>
      <c r="D14" s="147"/>
      <c r="E14" s="147"/>
      <c r="F14" s="77" t="s">
        <v>1487</v>
      </c>
    </row>
    <row r="15" spans="1:38" ht="34" customHeight="1" thickBot="1">
      <c r="A15" s="123"/>
      <c r="B15" s="43" t="s">
        <v>8</v>
      </c>
      <c r="C15" s="138" t="s">
        <v>1503</v>
      </c>
      <c r="D15" s="139"/>
      <c r="E15" s="139"/>
      <c r="F15" s="60"/>
      <c r="G15" s="46"/>
      <c r="H15" s="26"/>
      <c r="I15" s="46"/>
    </row>
    <row r="16" spans="1:38" ht="30" customHeight="1">
      <c r="A16" s="123">
        <v>1</v>
      </c>
      <c r="B16" s="54" t="s">
        <v>21</v>
      </c>
      <c r="C16" s="135" t="s">
        <v>1504</v>
      </c>
      <c r="D16" s="136"/>
      <c r="E16" s="137"/>
      <c r="F16" s="77"/>
      <c r="G16" s="47"/>
      <c r="H16" s="26"/>
      <c r="I16" s="47"/>
      <c r="M16" s="47"/>
    </row>
    <row r="17" spans="1:13" ht="32" customHeight="1">
      <c r="A17" s="123">
        <v>1</v>
      </c>
      <c r="B17" s="54" t="s">
        <v>22</v>
      </c>
      <c r="C17" s="128" t="s">
        <v>1505</v>
      </c>
      <c r="D17" s="129"/>
      <c r="E17" s="130"/>
      <c r="F17" s="58"/>
      <c r="G17" s="47"/>
      <c r="H17" s="26"/>
      <c r="I17" s="47"/>
      <c r="M17" s="47"/>
    </row>
    <row r="18" spans="1:13" ht="33" customHeight="1" thickBot="1">
      <c r="A18" s="123">
        <v>1</v>
      </c>
      <c r="B18" s="55" t="s">
        <v>23</v>
      </c>
      <c r="C18" s="140" t="s">
        <v>1506</v>
      </c>
      <c r="D18" s="141"/>
      <c r="E18" s="142"/>
      <c r="F18" s="77"/>
      <c r="G18" s="47"/>
      <c r="H18" s="26"/>
      <c r="I18" s="47"/>
      <c r="M18" s="47"/>
    </row>
    <row r="19" spans="1:13" ht="39" customHeight="1" thickBot="1">
      <c r="A19" s="123"/>
      <c r="B19" s="43" t="s">
        <v>16</v>
      </c>
      <c r="C19" s="155" t="s">
        <v>1507</v>
      </c>
      <c r="D19" s="139"/>
      <c r="E19" s="139"/>
      <c r="F19" s="44"/>
      <c r="G19" s="47"/>
      <c r="I19" s="47"/>
      <c r="M19" s="47"/>
    </row>
    <row r="20" spans="1:13" ht="20" customHeight="1">
      <c r="A20" s="123">
        <v>0.5</v>
      </c>
      <c r="B20" s="54" t="s">
        <v>21</v>
      </c>
      <c r="C20" s="156" t="s">
        <v>1508</v>
      </c>
      <c r="D20" s="157"/>
      <c r="E20" s="157"/>
      <c r="F20" s="61"/>
      <c r="G20" s="47"/>
      <c r="H20" s="47"/>
      <c r="I20" s="47"/>
      <c r="J20" s="47"/>
      <c r="M20" s="47"/>
    </row>
    <row r="21" spans="1:13" ht="20" customHeight="1">
      <c r="A21" s="123">
        <v>0.5</v>
      </c>
      <c r="B21" s="54" t="s">
        <v>22</v>
      </c>
      <c r="C21" s="158" t="s">
        <v>1509</v>
      </c>
      <c r="D21" s="159"/>
      <c r="E21" s="159"/>
      <c r="F21" s="58"/>
    </row>
    <row r="22" spans="1:13" ht="20" customHeight="1">
      <c r="A22" s="123">
        <v>0.5</v>
      </c>
      <c r="B22" s="54" t="s">
        <v>23</v>
      </c>
      <c r="C22" s="160" t="s">
        <v>57</v>
      </c>
      <c r="D22" s="161"/>
      <c r="E22" s="161"/>
      <c r="F22" s="58"/>
    </row>
    <row r="23" spans="1:13" ht="20" customHeight="1">
      <c r="A23" s="123">
        <v>1</v>
      </c>
      <c r="B23" s="54" t="s">
        <v>24</v>
      </c>
      <c r="C23" s="158" t="s">
        <v>1510</v>
      </c>
      <c r="D23" s="159"/>
      <c r="E23" s="159"/>
      <c r="F23" s="58"/>
    </row>
    <row r="24" spans="1:13" ht="20" customHeight="1" thickBot="1">
      <c r="A24" s="123">
        <v>0.5</v>
      </c>
      <c r="B24" s="54" t="s">
        <v>25</v>
      </c>
      <c r="C24" s="160" t="s">
        <v>1511</v>
      </c>
      <c r="D24" s="161"/>
      <c r="E24" s="161"/>
      <c r="F24" s="77" t="s">
        <v>1493</v>
      </c>
    </row>
    <row r="25" spans="1:13" ht="25" customHeight="1" thickBot="1">
      <c r="A25" s="123"/>
      <c r="B25" s="43" t="s">
        <v>19</v>
      </c>
      <c r="C25" s="138" t="s">
        <v>58</v>
      </c>
      <c r="D25" s="139"/>
      <c r="E25" s="139"/>
      <c r="F25" s="38"/>
    </row>
    <row r="26" spans="1:13" ht="20" customHeight="1">
      <c r="A26" s="123">
        <v>1.75</v>
      </c>
      <c r="B26" s="54" t="s">
        <v>21</v>
      </c>
      <c r="C26" s="160" t="s">
        <v>1512</v>
      </c>
      <c r="D26" s="161"/>
      <c r="E26" s="161"/>
      <c r="F26" s="77" t="s">
        <v>1473</v>
      </c>
      <c r="J26" s="48"/>
    </row>
    <row r="27" spans="1:13" ht="20" customHeight="1">
      <c r="A27" s="123"/>
      <c r="B27" s="54" t="s">
        <v>22</v>
      </c>
      <c r="C27" s="162" t="s">
        <v>1513</v>
      </c>
      <c r="D27" s="163"/>
      <c r="E27" s="163"/>
      <c r="F27" s="164"/>
      <c r="J27" s="48"/>
    </row>
    <row r="28" spans="1:13" ht="18" customHeight="1">
      <c r="A28" s="123">
        <v>0.25</v>
      </c>
      <c r="B28" s="54"/>
      <c r="C28" s="152" t="s">
        <v>84</v>
      </c>
      <c r="D28" s="153"/>
      <c r="E28" s="154"/>
      <c r="F28" s="77" t="s">
        <v>1474</v>
      </c>
      <c r="H28" s="48"/>
      <c r="J28" s="48"/>
    </row>
    <row r="29" spans="1:13" ht="18" customHeight="1">
      <c r="A29" s="123">
        <v>0.25</v>
      </c>
      <c r="B29" s="54"/>
      <c r="C29" s="152" t="s">
        <v>59</v>
      </c>
      <c r="D29" s="153"/>
      <c r="E29" s="154"/>
      <c r="F29" s="77" t="s">
        <v>1474</v>
      </c>
      <c r="H29" s="48"/>
      <c r="J29" s="48"/>
    </row>
    <row r="30" spans="1:13" ht="18" customHeight="1">
      <c r="A30" s="123">
        <v>0.25</v>
      </c>
      <c r="B30" s="54"/>
      <c r="C30" s="152" t="s">
        <v>61</v>
      </c>
      <c r="D30" s="153"/>
      <c r="E30" s="154"/>
      <c r="F30" s="77" t="s">
        <v>1474</v>
      </c>
      <c r="H30" s="48"/>
      <c r="J30" s="48"/>
    </row>
    <row r="31" spans="1:13" ht="18" customHeight="1">
      <c r="A31" s="123">
        <v>0.25</v>
      </c>
      <c r="B31" s="54"/>
      <c r="C31" s="152" t="s">
        <v>62</v>
      </c>
      <c r="D31" s="153"/>
      <c r="E31" s="154"/>
      <c r="F31" s="77" t="s">
        <v>1474</v>
      </c>
      <c r="H31" s="48"/>
      <c r="J31" s="48"/>
    </row>
    <row r="32" spans="1:13" ht="18" customHeight="1" thickBot="1">
      <c r="A32" s="123">
        <v>0.25</v>
      </c>
      <c r="B32" s="54"/>
      <c r="C32" s="165" t="s">
        <v>92</v>
      </c>
      <c r="D32" s="166"/>
      <c r="E32" s="167"/>
      <c r="F32" s="77" t="s">
        <v>1474</v>
      </c>
      <c r="H32" s="48"/>
      <c r="J32" s="48"/>
    </row>
    <row r="33" spans="1:13" ht="37" customHeight="1" thickBot="1">
      <c r="A33" s="123"/>
      <c r="B33" s="36" t="s">
        <v>26</v>
      </c>
      <c r="C33" s="138" t="s">
        <v>64</v>
      </c>
      <c r="D33" s="139"/>
      <c r="E33" s="139"/>
      <c r="F33" s="38"/>
    </row>
    <row r="34" spans="1:13" ht="20" customHeight="1">
      <c r="A34" s="123">
        <v>1</v>
      </c>
      <c r="B34" s="54" t="s">
        <v>21</v>
      </c>
      <c r="C34" s="148" t="s">
        <v>1514</v>
      </c>
      <c r="D34" s="149"/>
      <c r="E34" s="149"/>
      <c r="F34" s="61"/>
    </row>
    <row r="35" spans="1:13" ht="35" customHeight="1" thickBot="1">
      <c r="A35" s="123">
        <v>2.5</v>
      </c>
      <c r="B35" s="55" t="s">
        <v>22</v>
      </c>
      <c r="C35" s="150" t="s">
        <v>1515</v>
      </c>
      <c r="D35" s="151"/>
      <c r="E35" s="151"/>
      <c r="F35" s="120" t="s">
        <v>1474</v>
      </c>
    </row>
    <row r="36" spans="1:13" s="40" customFormat="1" ht="18" customHeight="1">
      <c r="A36" s="42">
        <f>SUM(A4:A35)</f>
        <v>18</v>
      </c>
      <c r="B36" s="69"/>
      <c r="G36" s="49"/>
      <c r="H36" s="49"/>
      <c r="I36" s="49"/>
      <c r="J36" s="49"/>
      <c r="K36" s="49"/>
      <c r="L36" s="49"/>
      <c r="M36" s="49"/>
    </row>
    <row r="37" spans="1:13" s="40" customFormat="1" ht="19">
      <c r="B37" s="69"/>
      <c r="G37" s="49"/>
      <c r="H37" s="49"/>
      <c r="I37" s="49"/>
      <c r="J37" s="49"/>
      <c r="K37" s="49"/>
      <c r="L37" s="49"/>
      <c r="M37" s="49"/>
    </row>
    <row r="38" spans="1:13" s="40" customFormat="1" ht="19">
      <c r="A38" s="41"/>
      <c r="C38" s="70"/>
      <c r="D38" s="70"/>
      <c r="G38" s="49"/>
      <c r="H38" s="49"/>
      <c r="I38" s="49"/>
      <c r="J38" s="49"/>
      <c r="K38" s="49"/>
      <c r="L38" s="49"/>
      <c r="M38" s="49"/>
    </row>
    <row r="39" spans="1:13" s="40" customFormat="1" ht="19">
      <c r="A39" s="41"/>
      <c r="C39" s="70"/>
      <c r="D39" s="70"/>
      <c r="G39" s="49"/>
      <c r="H39" s="49"/>
      <c r="I39" s="49"/>
      <c r="J39" s="49"/>
      <c r="K39" s="49"/>
      <c r="L39" s="49"/>
      <c r="M39" s="49"/>
    </row>
    <row r="40" spans="1:13" s="40" customFormat="1" ht="19">
      <c r="A40" s="41"/>
      <c r="C40" s="70"/>
      <c r="D40" s="70"/>
      <c r="G40" s="49"/>
      <c r="H40" s="49"/>
      <c r="I40" s="49"/>
      <c r="J40" s="49"/>
      <c r="K40" s="49"/>
      <c r="L40" s="49"/>
      <c r="M40" s="49"/>
    </row>
    <row r="41" spans="1:13" s="40" customFormat="1" ht="19">
      <c r="A41" s="41"/>
      <c r="C41" s="70"/>
      <c r="D41" s="70"/>
      <c r="G41" s="49"/>
      <c r="H41" s="49"/>
      <c r="I41" s="49"/>
      <c r="J41" s="49"/>
      <c r="K41" s="49"/>
      <c r="L41" s="49"/>
      <c r="M41" s="49"/>
    </row>
    <row r="42" spans="1:13" s="40" customFormat="1" ht="19">
      <c r="A42" s="41"/>
      <c r="C42" s="70"/>
      <c r="D42" s="70"/>
      <c r="G42" s="49"/>
      <c r="H42" s="49"/>
      <c r="I42" s="49"/>
      <c r="J42" s="49"/>
      <c r="K42" s="49"/>
      <c r="L42" s="49"/>
      <c r="M42" s="49"/>
    </row>
    <row r="43" spans="1:13" s="40" customFormat="1" ht="19">
      <c r="A43" s="41"/>
      <c r="C43" s="70"/>
      <c r="D43" s="70"/>
      <c r="G43" s="49"/>
      <c r="H43" s="49"/>
      <c r="I43" s="49"/>
      <c r="J43" s="49"/>
      <c r="K43" s="49"/>
      <c r="L43" s="49"/>
      <c r="M43" s="49"/>
    </row>
    <row r="44" spans="1:13" s="40" customFormat="1" ht="19">
      <c r="A44" s="41"/>
      <c r="C44" s="70"/>
      <c r="D44" s="70"/>
      <c r="G44" s="49"/>
      <c r="H44" s="49"/>
      <c r="I44" s="49"/>
      <c r="J44" s="49"/>
      <c r="K44" s="49"/>
      <c r="L44" s="49"/>
      <c r="M44" s="49"/>
    </row>
    <row r="45" spans="1:13" s="40" customFormat="1" ht="19">
      <c r="A45" s="41"/>
      <c r="C45" s="70"/>
      <c r="D45" s="70"/>
      <c r="G45" s="49"/>
      <c r="H45" s="49"/>
      <c r="I45" s="49"/>
      <c r="J45" s="49"/>
      <c r="K45" s="49"/>
      <c r="L45" s="49"/>
      <c r="M45" s="49"/>
    </row>
    <row r="46" spans="1:13" s="40" customFormat="1" ht="19">
      <c r="A46" s="41"/>
      <c r="C46" s="70"/>
      <c r="D46" s="70"/>
      <c r="G46" s="49"/>
      <c r="H46" s="49"/>
      <c r="I46" s="49"/>
      <c r="J46" s="49"/>
      <c r="K46" s="49"/>
      <c r="L46" s="49"/>
      <c r="M46" s="49"/>
    </row>
    <row r="47" spans="1:13" s="40" customFormat="1" ht="19">
      <c r="A47" s="41"/>
      <c r="C47" s="70"/>
      <c r="D47" s="70"/>
      <c r="G47" s="49"/>
      <c r="H47" s="49"/>
      <c r="I47" s="49"/>
      <c r="J47" s="49"/>
      <c r="K47" s="49"/>
      <c r="L47" s="49"/>
      <c r="M47" s="49"/>
    </row>
    <row r="48" spans="1:13" s="40" customFormat="1" ht="19">
      <c r="A48" s="41"/>
      <c r="C48" s="70"/>
      <c r="D48" s="70"/>
      <c r="G48" s="49"/>
      <c r="H48" s="49"/>
      <c r="I48" s="49"/>
      <c r="J48" s="49"/>
      <c r="K48" s="49"/>
      <c r="L48" s="49"/>
      <c r="M48" s="49"/>
    </row>
    <row r="49" spans="1:13" s="40" customFormat="1" ht="19">
      <c r="A49" s="41"/>
      <c r="C49" s="70"/>
      <c r="D49" s="70"/>
      <c r="G49" s="49"/>
      <c r="H49" s="49"/>
      <c r="I49" s="49"/>
      <c r="J49" s="49"/>
      <c r="K49" s="49"/>
      <c r="L49" s="49"/>
      <c r="M49" s="49"/>
    </row>
    <row r="50" spans="1:13" s="40" customFormat="1" ht="19">
      <c r="A50" s="41"/>
      <c r="C50" s="70"/>
      <c r="D50" s="70"/>
      <c r="G50" s="49"/>
      <c r="H50" s="49"/>
      <c r="I50" s="49"/>
      <c r="J50" s="49"/>
      <c r="K50" s="49"/>
      <c r="L50" s="49"/>
      <c r="M50" s="49"/>
    </row>
    <row r="51" spans="1:13" s="40" customFormat="1" ht="19">
      <c r="A51" s="41"/>
      <c r="C51" s="70"/>
      <c r="D51" s="70"/>
      <c r="G51" s="49"/>
      <c r="H51" s="49"/>
      <c r="I51" s="49"/>
      <c r="J51" s="49"/>
      <c r="K51" s="49"/>
      <c r="L51" s="49"/>
      <c r="M51" s="49"/>
    </row>
    <row r="52" spans="1:13" s="40" customFormat="1" ht="19">
      <c r="A52" s="41"/>
      <c r="C52" s="70"/>
      <c r="D52" s="70"/>
      <c r="G52" s="49"/>
      <c r="H52" s="49"/>
      <c r="I52" s="49"/>
      <c r="J52" s="49"/>
      <c r="K52" s="49"/>
      <c r="L52" s="49"/>
      <c r="M52" s="49"/>
    </row>
    <row r="53" spans="1:13" s="40" customFormat="1" ht="19">
      <c r="A53" s="41"/>
      <c r="C53" s="70"/>
      <c r="D53" s="70"/>
      <c r="G53" s="49"/>
      <c r="H53" s="49"/>
      <c r="I53" s="49"/>
      <c r="J53" s="49"/>
      <c r="K53" s="49"/>
      <c r="L53" s="49"/>
      <c r="M53" s="49"/>
    </row>
    <row r="54" spans="1:13" s="40" customFormat="1" ht="19">
      <c r="A54" s="41"/>
      <c r="C54" s="70"/>
      <c r="D54" s="70"/>
      <c r="G54" s="49"/>
      <c r="H54" s="49"/>
      <c r="I54" s="49"/>
      <c r="J54" s="49"/>
      <c r="K54" s="49"/>
      <c r="L54" s="49"/>
      <c r="M54" s="49"/>
    </row>
    <row r="55" spans="1:13" s="40" customFormat="1" ht="19">
      <c r="A55" s="41"/>
      <c r="C55" s="70"/>
      <c r="D55" s="70"/>
      <c r="G55" s="49"/>
      <c r="H55" s="49"/>
      <c r="I55" s="49"/>
      <c r="J55" s="49"/>
      <c r="K55" s="49"/>
      <c r="L55" s="49"/>
      <c r="M55" s="49"/>
    </row>
    <row r="56" spans="1:13" s="40" customFormat="1" ht="19">
      <c r="A56" s="41"/>
      <c r="C56" s="70"/>
      <c r="D56" s="70"/>
      <c r="G56" s="49"/>
      <c r="H56" s="49"/>
      <c r="I56" s="49"/>
      <c r="J56" s="49"/>
      <c r="K56" s="49"/>
      <c r="L56" s="49"/>
      <c r="M56" s="49"/>
    </row>
    <row r="57" spans="1:13" s="40" customFormat="1" ht="19">
      <c r="A57" s="41"/>
      <c r="C57" s="70"/>
      <c r="D57" s="70"/>
      <c r="G57" s="49"/>
      <c r="H57" s="49"/>
      <c r="I57" s="49"/>
      <c r="J57" s="49"/>
      <c r="K57" s="49"/>
      <c r="L57" s="49"/>
      <c r="M57" s="49"/>
    </row>
    <row r="58" spans="1:13" s="40" customFormat="1" ht="19">
      <c r="A58" s="41"/>
      <c r="C58" s="70"/>
      <c r="D58" s="70"/>
      <c r="G58" s="49"/>
      <c r="H58" s="49"/>
      <c r="I58" s="49"/>
      <c r="J58" s="49"/>
      <c r="K58" s="49"/>
      <c r="L58" s="49"/>
      <c r="M58" s="49"/>
    </row>
    <row r="59" spans="1:13" s="40" customFormat="1" ht="19">
      <c r="A59" s="41"/>
      <c r="C59" s="70"/>
      <c r="D59" s="70"/>
      <c r="G59" s="49"/>
      <c r="H59" s="49"/>
      <c r="I59" s="49"/>
      <c r="J59" s="49"/>
      <c r="K59" s="49"/>
      <c r="L59" s="49"/>
      <c r="M59" s="49"/>
    </row>
    <row r="60" spans="1:13" s="40" customFormat="1" ht="19">
      <c r="A60" s="41"/>
      <c r="C60" s="70"/>
      <c r="D60" s="70"/>
      <c r="G60" s="49"/>
      <c r="H60" s="49"/>
      <c r="I60" s="49"/>
      <c r="J60" s="49"/>
      <c r="K60" s="49"/>
      <c r="L60" s="49"/>
      <c r="M60" s="49"/>
    </row>
    <row r="61" spans="1:13" s="40" customFormat="1" ht="19">
      <c r="A61" s="41"/>
      <c r="C61" s="70"/>
      <c r="D61" s="70"/>
      <c r="G61" s="49"/>
      <c r="H61" s="49"/>
      <c r="I61" s="49"/>
      <c r="J61" s="49"/>
      <c r="K61" s="49"/>
      <c r="L61" s="49"/>
      <c r="M61" s="49"/>
    </row>
    <row r="62" spans="1:13" s="40" customFormat="1" ht="19">
      <c r="A62" s="41"/>
      <c r="C62" s="70"/>
      <c r="D62" s="70"/>
      <c r="G62" s="49"/>
      <c r="H62" s="49"/>
      <c r="I62" s="49"/>
      <c r="J62" s="49"/>
      <c r="K62" s="49"/>
      <c r="L62" s="49"/>
      <c r="M62" s="49"/>
    </row>
    <row r="63" spans="1:13" s="40" customFormat="1" ht="19">
      <c r="A63" s="41"/>
      <c r="C63" s="70"/>
      <c r="D63" s="70"/>
      <c r="G63" s="49"/>
      <c r="H63" s="49"/>
      <c r="I63" s="49"/>
      <c r="J63" s="49"/>
      <c r="K63" s="49"/>
      <c r="L63" s="49"/>
      <c r="M63" s="49"/>
    </row>
    <row r="64" spans="1:13" s="40" customFormat="1" ht="19">
      <c r="A64" s="41"/>
      <c r="C64" s="70"/>
      <c r="D64" s="70"/>
      <c r="G64" s="49"/>
      <c r="H64" s="49"/>
      <c r="I64" s="49"/>
      <c r="J64" s="49"/>
      <c r="K64" s="49"/>
      <c r="L64" s="49"/>
      <c r="M64" s="49"/>
    </row>
    <row r="65" spans="1:13" s="40" customFormat="1" ht="19">
      <c r="A65" s="41"/>
      <c r="C65" s="70"/>
      <c r="D65" s="70"/>
      <c r="G65" s="49"/>
      <c r="H65" s="49"/>
      <c r="I65" s="49"/>
      <c r="J65" s="49"/>
      <c r="K65" s="49"/>
      <c r="L65" s="49"/>
      <c r="M65" s="49"/>
    </row>
    <row r="66" spans="1:13" s="40" customFormat="1" ht="19">
      <c r="A66" s="41"/>
      <c r="C66" s="70"/>
      <c r="D66" s="70"/>
      <c r="G66" s="49"/>
      <c r="H66" s="49"/>
      <c r="I66" s="49"/>
      <c r="J66" s="49"/>
      <c r="K66" s="49"/>
      <c r="L66" s="49"/>
      <c r="M66" s="49"/>
    </row>
    <row r="67" spans="1:13" s="40" customFormat="1" ht="19">
      <c r="A67" s="41"/>
      <c r="C67" s="70"/>
      <c r="D67" s="70"/>
      <c r="G67" s="49"/>
      <c r="H67" s="49"/>
      <c r="I67" s="49"/>
      <c r="J67" s="49"/>
      <c r="K67" s="49"/>
      <c r="L67" s="49"/>
      <c r="M67" s="49"/>
    </row>
    <row r="68" spans="1:13" s="40" customFormat="1" ht="19">
      <c r="A68" s="41"/>
      <c r="C68" s="70"/>
      <c r="D68" s="70"/>
      <c r="G68" s="49"/>
      <c r="H68" s="49"/>
      <c r="I68" s="49"/>
      <c r="J68" s="49"/>
      <c r="K68" s="49"/>
      <c r="L68" s="49"/>
      <c r="M68" s="49"/>
    </row>
    <row r="69" spans="1:13" s="40" customFormat="1" ht="19">
      <c r="A69" s="41"/>
      <c r="C69" s="70"/>
      <c r="D69" s="70"/>
      <c r="G69" s="49"/>
      <c r="H69" s="49"/>
      <c r="I69" s="49"/>
      <c r="J69" s="49"/>
      <c r="K69" s="49"/>
      <c r="L69" s="49"/>
      <c r="M69" s="49"/>
    </row>
    <row r="70" spans="1:13" s="40" customFormat="1" ht="19">
      <c r="A70" s="41"/>
      <c r="C70" s="70"/>
      <c r="D70" s="70"/>
      <c r="G70" s="49"/>
      <c r="H70" s="49"/>
      <c r="I70" s="49"/>
      <c r="J70" s="49"/>
      <c r="K70" s="49"/>
      <c r="L70" s="49"/>
      <c r="M70" s="49"/>
    </row>
    <row r="71" spans="1:13" s="40" customFormat="1" ht="19">
      <c r="A71" s="41"/>
      <c r="C71" s="70"/>
      <c r="D71" s="70"/>
      <c r="G71" s="49"/>
      <c r="H71" s="49"/>
      <c r="I71" s="49"/>
      <c r="J71" s="49"/>
      <c r="K71" s="49"/>
      <c r="L71" s="49"/>
      <c r="M71" s="49"/>
    </row>
    <row r="72" spans="1:13" s="40" customFormat="1" ht="19">
      <c r="A72" s="41"/>
      <c r="C72" s="70"/>
      <c r="D72" s="70"/>
      <c r="G72" s="49"/>
      <c r="H72" s="49"/>
      <c r="I72" s="49"/>
      <c r="J72" s="49"/>
      <c r="K72" s="49"/>
      <c r="L72" s="49"/>
      <c r="M72" s="49"/>
    </row>
    <row r="73" spans="1:13" s="40" customFormat="1" ht="19">
      <c r="A73" s="41"/>
      <c r="C73" s="70"/>
      <c r="D73" s="70"/>
      <c r="G73" s="49"/>
      <c r="H73" s="49"/>
      <c r="I73" s="49"/>
      <c r="J73" s="49"/>
      <c r="K73" s="49"/>
      <c r="L73" s="49"/>
      <c r="M73" s="49"/>
    </row>
    <row r="74" spans="1:13" s="40" customFormat="1" ht="19">
      <c r="A74" s="41"/>
      <c r="C74" s="70"/>
      <c r="D74" s="70"/>
      <c r="G74" s="49"/>
      <c r="H74" s="49"/>
      <c r="I74" s="49"/>
      <c r="J74" s="49"/>
      <c r="K74" s="49"/>
      <c r="L74" s="49"/>
      <c r="M74" s="49"/>
    </row>
    <row r="75" spans="1:13" s="40" customFormat="1" ht="19">
      <c r="A75" s="41"/>
      <c r="C75" s="70"/>
      <c r="D75" s="70"/>
      <c r="G75" s="49"/>
      <c r="H75" s="49"/>
      <c r="I75" s="49"/>
      <c r="J75" s="49"/>
      <c r="K75" s="49"/>
      <c r="L75" s="49"/>
      <c r="M75" s="49"/>
    </row>
    <row r="76" spans="1:13" s="40" customFormat="1" ht="19">
      <c r="A76" s="41"/>
      <c r="C76" s="70"/>
      <c r="D76" s="70"/>
      <c r="G76" s="49"/>
      <c r="H76" s="49"/>
      <c r="I76" s="49"/>
      <c r="J76" s="49"/>
      <c r="K76" s="49"/>
      <c r="L76" s="49"/>
      <c r="M76" s="49"/>
    </row>
    <row r="77" spans="1:13" s="40" customFormat="1" ht="19">
      <c r="A77" s="41"/>
      <c r="C77" s="70"/>
      <c r="D77" s="70"/>
      <c r="G77" s="49"/>
      <c r="H77" s="49"/>
      <c r="I77" s="49"/>
      <c r="J77" s="49"/>
      <c r="K77" s="49"/>
      <c r="L77" s="49"/>
      <c r="M77" s="49"/>
    </row>
    <row r="78" spans="1:13" s="40" customFormat="1" ht="19">
      <c r="A78" s="41"/>
      <c r="C78" s="70"/>
      <c r="D78" s="70"/>
      <c r="G78" s="49"/>
      <c r="H78" s="49"/>
      <c r="I78" s="49"/>
      <c r="J78" s="49"/>
      <c r="K78" s="49"/>
      <c r="L78" s="49"/>
      <c r="M78" s="49"/>
    </row>
    <row r="79" spans="1:13" s="40" customFormat="1" ht="19">
      <c r="A79" s="41"/>
      <c r="C79" s="70"/>
      <c r="D79" s="70"/>
      <c r="G79" s="49"/>
      <c r="H79" s="49"/>
      <c r="I79" s="49"/>
      <c r="J79" s="49"/>
      <c r="K79" s="49"/>
      <c r="L79" s="49"/>
      <c r="M79" s="49"/>
    </row>
    <row r="80" spans="1:13" s="40" customFormat="1" ht="19">
      <c r="A80" s="41"/>
      <c r="C80" s="70"/>
      <c r="D80" s="70"/>
      <c r="G80" s="49"/>
      <c r="H80" s="49"/>
      <c r="I80" s="49"/>
      <c r="J80" s="49"/>
      <c r="K80" s="49"/>
      <c r="L80" s="49"/>
      <c r="M80" s="49"/>
    </row>
    <row r="81" spans="1:13" s="40" customFormat="1" ht="19">
      <c r="A81" s="41"/>
      <c r="C81" s="70"/>
      <c r="D81" s="70"/>
      <c r="G81" s="49"/>
      <c r="H81" s="49"/>
      <c r="I81" s="49"/>
      <c r="J81" s="49"/>
      <c r="K81" s="49"/>
      <c r="L81" s="49"/>
      <c r="M81" s="49"/>
    </row>
    <row r="82" spans="1:13" s="40" customFormat="1" ht="19">
      <c r="A82" s="41"/>
      <c r="C82" s="70"/>
      <c r="D82" s="70"/>
      <c r="G82" s="49"/>
      <c r="H82" s="49"/>
      <c r="I82" s="49"/>
      <c r="J82" s="49"/>
      <c r="K82" s="49"/>
      <c r="L82" s="49"/>
      <c r="M82" s="49"/>
    </row>
    <row r="83" spans="1:13" s="40" customFormat="1" ht="19">
      <c r="A83" s="41"/>
      <c r="C83" s="70"/>
      <c r="D83" s="70"/>
      <c r="G83" s="49"/>
      <c r="H83" s="49"/>
      <c r="I83" s="49"/>
      <c r="J83" s="49"/>
      <c r="K83" s="49"/>
      <c r="L83" s="49"/>
      <c r="M83" s="49"/>
    </row>
    <row r="84" spans="1:13" s="40" customFormat="1" ht="19">
      <c r="A84" s="41"/>
      <c r="C84" s="70"/>
      <c r="D84" s="70"/>
      <c r="G84" s="49"/>
      <c r="H84" s="49"/>
      <c r="I84" s="49"/>
      <c r="J84" s="49"/>
      <c r="K84" s="49"/>
      <c r="L84" s="49"/>
      <c r="M84" s="49"/>
    </row>
    <row r="85" spans="1:13" s="40" customFormat="1" ht="19">
      <c r="A85" s="41"/>
      <c r="C85" s="70"/>
      <c r="D85" s="70"/>
      <c r="G85" s="49"/>
      <c r="H85" s="49"/>
      <c r="I85" s="49"/>
      <c r="J85" s="49"/>
      <c r="K85" s="49"/>
      <c r="L85" s="49"/>
      <c r="M85" s="49"/>
    </row>
    <row r="86" spans="1:13" s="40" customFormat="1" ht="19">
      <c r="A86" s="41"/>
      <c r="C86" s="70"/>
      <c r="D86" s="70"/>
      <c r="G86" s="49"/>
      <c r="H86" s="49"/>
      <c r="I86" s="49"/>
      <c r="J86" s="49"/>
      <c r="K86" s="49"/>
      <c r="L86" s="49"/>
      <c r="M86" s="49"/>
    </row>
    <row r="87" spans="1:13" s="40" customFormat="1" ht="19">
      <c r="A87" s="41"/>
      <c r="C87" s="70"/>
      <c r="D87" s="70"/>
      <c r="G87" s="49"/>
      <c r="H87" s="49"/>
      <c r="I87" s="49"/>
      <c r="J87" s="49"/>
      <c r="K87" s="49"/>
      <c r="L87" s="49"/>
      <c r="M87" s="49"/>
    </row>
    <row r="88" spans="1:13" s="40" customFormat="1" ht="19">
      <c r="A88" s="41"/>
      <c r="C88" s="70"/>
      <c r="D88" s="70"/>
      <c r="G88" s="49"/>
      <c r="H88" s="49"/>
      <c r="I88" s="49"/>
      <c r="J88" s="49"/>
      <c r="K88" s="49"/>
      <c r="L88" s="49"/>
      <c r="M88" s="49"/>
    </row>
    <row r="89" spans="1:13" s="40" customFormat="1" ht="19">
      <c r="A89" s="41"/>
      <c r="C89" s="70"/>
      <c r="D89" s="70"/>
      <c r="G89" s="49"/>
      <c r="H89" s="49"/>
      <c r="I89" s="49"/>
      <c r="J89" s="49"/>
      <c r="K89" s="49"/>
      <c r="L89" s="49"/>
      <c r="M89" s="49"/>
    </row>
    <row r="90" spans="1:13" s="40" customFormat="1" ht="19">
      <c r="A90" s="41"/>
      <c r="C90" s="70"/>
      <c r="D90" s="70"/>
      <c r="G90" s="49"/>
      <c r="H90" s="49"/>
      <c r="I90" s="49"/>
      <c r="J90" s="49"/>
      <c r="K90" s="49"/>
      <c r="L90" s="49"/>
      <c r="M90" s="49"/>
    </row>
    <row r="91" spans="1:13" s="40" customFormat="1" ht="19">
      <c r="A91" s="41"/>
      <c r="C91" s="70"/>
      <c r="D91" s="70"/>
      <c r="G91" s="49"/>
      <c r="H91" s="49"/>
      <c r="I91" s="49"/>
      <c r="J91" s="49"/>
      <c r="K91" s="49"/>
      <c r="L91" s="49"/>
      <c r="M91" s="49"/>
    </row>
    <row r="92" spans="1:13" s="40" customFormat="1" ht="19">
      <c r="A92" s="41"/>
      <c r="C92" s="70"/>
      <c r="D92" s="70"/>
      <c r="G92" s="49"/>
      <c r="H92" s="49"/>
      <c r="I92" s="49"/>
      <c r="J92" s="49"/>
      <c r="K92" s="49"/>
      <c r="L92" s="49"/>
      <c r="M92" s="49"/>
    </row>
    <row r="93" spans="1:13" s="40" customFormat="1" ht="19">
      <c r="A93" s="41"/>
      <c r="C93" s="70"/>
      <c r="D93" s="70"/>
      <c r="G93" s="49"/>
      <c r="H93" s="49"/>
      <c r="I93" s="49"/>
      <c r="J93" s="49"/>
      <c r="K93" s="49"/>
      <c r="L93" s="49"/>
      <c r="M93" s="49"/>
    </row>
    <row r="94" spans="1:13" s="40" customFormat="1" ht="19">
      <c r="A94" s="41"/>
      <c r="C94" s="70"/>
      <c r="D94" s="70"/>
      <c r="G94" s="49"/>
      <c r="H94" s="49"/>
      <c r="I94" s="49"/>
      <c r="J94" s="49"/>
      <c r="K94" s="49"/>
      <c r="L94" s="49"/>
      <c r="M94" s="49"/>
    </row>
    <row r="95" spans="1:13" s="40" customFormat="1" ht="19">
      <c r="A95" s="41"/>
      <c r="C95" s="70"/>
      <c r="D95" s="70"/>
      <c r="G95" s="49"/>
      <c r="H95" s="49"/>
      <c r="I95" s="49"/>
      <c r="J95" s="49"/>
      <c r="K95" s="49"/>
      <c r="L95" s="49"/>
      <c r="M95" s="49"/>
    </row>
    <row r="96" spans="1:13" s="40" customFormat="1" ht="19">
      <c r="A96" s="41"/>
      <c r="C96" s="70"/>
      <c r="D96" s="70"/>
      <c r="G96" s="49"/>
      <c r="H96" s="49"/>
      <c r="I96" s="49"/>
      <c r="J96" s="49"/>
      <c r="K96" s="49"/>
      <c r="L96" s="49"/>
      <c r="M96" s="49"/>
    </row>
    <row r="97" spans="1:13" s="40" customFormat="1" ht="19">
      <c r="A97" s="41"/>
      <c r="C97" s="70"/>
      <c r="D97" s="70"/>
      <c r="G97" s="49"/>
      <c r="H97" s="49"/>
      <c r="I97" s="49"/>
      <c r="J97" s="49"/>
      <c r="K97" s="49"/>
      <c r="L97" s="49"/>
      <c r="M97" s="49"/>
    </row>
    <row r="98" spans="1:13" s="40" customFormat="1" ht="19">
      <c r="A98" s="41"/>
      <c r="C98" s="70"/>
      <c r="D98" s="70"/>
      <c r="G98" s="49"/>
      <c r="H98" s="49"/>
      <c r="I98" s="49"/>
      <c r="J98" s="49"/>
      <c r="K98" s="49"/>
      <c r="L98" s="49"/>
      <c r="M98" s="49"/>
    </row>
    <row r="99" spans="1:13" s="40" customFormat="1" ht="19">
      <c r="A99" s="41"/>
      <c r="C99" s="70"/>
      <c r="D99" s="70"/>
      <c r="G99" s="49"/>
      <c r="H99" s="49"/>
      <c r="I99" s="49"/>
      <c r="J99" s="49"/>
      <c r="K99" s="49"/>
      <c r="L99" s="49"/>
      <c r="M99" s="49"/>
    </row>
    <row r="100" spans="1:13" s="40" customFormat="1" ht="19">
      <c r="A100" s="41"/>
      <c r="C100" s="70"/>
      <c r="D100" s="70"/>
      <c r="G100" s="49"/>
      <c r="H100" s="49"/>
      <c r="I100" s="49"/>
      <c r="J100" s="49"/>
      <c r="K100" s="49"/>
      <c r="L100" s="49"/>
      <c r="M100" s="49"/>
    </row>
    <row r="101" spans="1:13" s="40" customFormat="1" ht="19">
      <c r="A101" s="41"/>
      <c r="C101" s="70"/>
      <c r="D101" s="70"/>
      <c r="G101" s="49"/>
      <c r="H101" s="49"/>
      <c r="I101" s="49"/>
      <c r="J101" s="49"/>
      <c r="K101" s="49"/>
      <c r="L101" s="49"/>
      <c r="M101" s="49"/>
    </row>
    <row r="102" spans="1:13" s="40" customFormat="1" ht="19">
      <c r="A102" s="41"/>
      <c r="C102" s="70"/>
      <c r="D102" s="70"/>
      <c r="G102" s="49"/>
      <c r="H102" s="49"/>
      <c r="I102" s="49"/>
      <c r="J102" s="49"/>
      <c r="K102" s="49"/>
      <c r="L102" s="49"/>
      <c r="M102" s="49"/>
    </row>
    <row r="103" spans="1:13" s="40" customFormat="1" ht="19">
      <c r="A103" s="41"/>
      <c r="C103" s="70"/>
      <c r="D103" s="70"/>
      <c r="G103" s="49"/>
      <c r="H103" s="49"/>
      <c r="I103" s="49"/>
      <c r="J103" s="49"/>
      <c r="K103" s="49"/>
      <c r="L103" s="49"/>
      <c r="M103" s="49"/>
    </row>
    <row r="104" spans="1:13" s="40" customFormat="1" ht="19">
      <c r="A104" s="41"/>
      <c r="C104" s="70"/>
      <c r="D104" s="70"/>
      <c r="G104" s="49"/>
      <c r="H104" s="49"/>
      <c r="I104" s="49"/>
      <c r="J104" s="49"/>
      <c r="K104" s="49"/>
      <c r="L104" s="49"/>
      <c r="M104" s="49"/>
    </row>
    <row r="105" spans="1:13" s="40" customFormat="1" ht="19">
      <c r="A105" s="41"/>
      <c r="C105" s="70"/>
      <c r="D105" s="70"/>
      <c r="G105" s="49"/>
      <c r="H105" s="49"/>
      <c r="I105" s="49"/>
      <c r="J105" s="49"/>
      <c r="K105" s="49"/>
      <c r="L105" s="49"/>
      <c r="M105" s="49"/>
    </row>
    <row r="106" spans="1:13" s="40" customFormat="1" ht="19">
      <c r="A106" s="41"/>
      <c r="C106" s="70"/>
      <c r="D106" s="70"/>
      <c r="G106" s="49"/>
      <c r="H106" s="49"/>
      <c r="I106" s="49"/>
      <c r="J106" s="49"/>
      <c r="K106" s="49"/>
      <c r="L106" s="49"/>
      <c r="M106" s="49"/>
    </row>
    <row r="107" spans="1:13" s="40" customFormat="1" ht="19">
      <c r="A107" s="41"/>
      <c r="C107" s="70"/>
      <c r="D107" s="70"/>
      <c r="G107" s="49"/>
      <c r="H107" s="49"/>
      <c r="I107" s="49"/>
      <c r="J107" s="49"/>
      <c r="K107" s="49"/>
      <c r="L107" s="49"/>
      <c r="M107" s="49"/>
    </row>
    <row r="2996" spans="67:67">
      <c r="BO2996" s="68">
        <v>1</v>
      </c>
    </row>
    <row r="5435" spans="20:20">
      <c r="T5435" s="71"/>
    </row>
    <row r="5436" spans="20:20">
      <c r="T5436" s="71"/>
    </row>
    <row r="37516" spans="196:196">
      <c r="GN37516" s="68">
        <v>1</v>
      </c>
    </row>
    <row r="37519" spans="196:196">
      <c r="GN37519" s="68">
        <v>1</v>
      </c>
    </row>
  </sheetData>
  <mergeCells count="35">
    <mergeCell ref="C34:E34"/>
    <mergeCell ref="C35:E35"/>
    <mergeCell ref="C29:E29"/>
    <mergeCell ref="C19:E19"/>
    <mergeCell ref="C20:E20"/>
    <mergeCell ref="C21:E21"/>
    <mergeCell ref="C22:E22"/>
    <mergeCell ref="C23:E23"/>
    <mergeCell ref="C24:E24"/>
    <mergeCell ref="C25:E25"/>
    <mergeCell ref="C26:E26"/>
    <mergeCell ref="C27:F27"/>
    <mergeCell ref="C28:E28"/>
    <mergeCell ref="C30:E30"/>
    <mergeCell ref="C31:E31"/>
    <mergeCell ref="C32:E32"/>
    <mergeCell ref="C33:E33"/>
    <mergeCell ref="C18:E18"/>
    <mergeCell ref="C7:E7"/>
    <mergeCell ref="C8:E8"/>
    <mergeCell ref="C9:E9"/>
    <mergeCell ref="C10:E10"/>
    <mergeCell ref="C11:E11"/>
    <mergeCell ref="C12:E12"/>
    <mergeCell ref="C13:E13"/>
    <mergeCell ref="C14:E14"/>
    <mergeCell ref="C15:E15"/>
    <mergeCell ref="C16:E16"/>
    <mergeCell ref="C17:E17"/>
    <mergeCell ref="C6:E6"/>
    <mergeCell ref="A1:B1"/>
    <mergeCell ref="C2:E2"/>
    <mergeCell ref="C3:E3"/>
    <mergeCell ref="C4:E4"/>
    <mergeCell ref="C5:E5"/>
  </mergeCells>
  <phoneticPr fontId="4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35385-7542-F44E-9305-5FC4A246FDC1}">
  <sheetPr codeName="Sheet2"/>
  <dimension ref="A1:L1292"/>
  <sheetViews>
    <sheetView zoomScaleNormal="100" workbookViewId="0"/>
  </sheetViews>
  <sheetFormatPr baseColWidth="10" defaultRowHeight="15"/>
  <cols>
    <col min="1" max="1" width="59" bestFit="1" customWidth="1"/>
    <col min="2" max="2" width="19" bestFit="1" customWidth="1"/>
    <col min="3" max="3" width="21.83203125" bestFit="1" customWidth="1"/>
    <col min="4" max="4" width="30.6640625" bestFit="1" customWidth="1"/>
    <col min="5" max="5" width="31.33203125" bestFit="1" customWidth="1"/>
    <col min="6" max="6" width="19.6640625" bestFit="1" customWidth="1"/>
    <col min="7" max="7" width="40.83203125" bestFit="1" customWidth="1"/>
    <col min="8" max="8" width="18.5" bestFit="1" customWidth="1"/>
    <col min="9" max="9" width="24.5" bestFit="1" customWidth="1"/>
    <col min="10" max="10" width="18.5" bestFit="1" customWidth="1"/>
  </cols>
  <sheetData>
    <row r="1" spans="1:12" ht="21">
      <c r="A1" s="90" t="s">
        <v>65</v>
      </c>
      <c r="B1" s="91" t="s">
        <v>66</v>
      </c>
      <c r="C1" s="91" t="s">
        <v>67</v>
      </c>
      <c r="D1" s="91" t="s">
        <v>68</v>
      </c>
      <c r="E1" s="91" t="s">
        <v>1492</v>
      </c>
      <c r="F1" s="91" t="s">
        <v>69</v>
      </c>
      <c r="G1" s="91" t="s">
        <v>70</v>
      </c>
      <c r="H1" s="91" t="s">
        <v>71</v>
      </c>
      <c r="I1" s="91" t="s">
        <v>72</v>
      </c>
      <c r="J1" s="92" t="s">
        <v>73</v>
      </c>
    </row>
    <row r="2" spans="1:12" ht="16">
      <c r="A2" s="93" t="s">
        <v>335</v>
      </c>
      <c r="B2" s="94" t="s">
        <v>336</v>
      </c>
      <c r="C2" s="95" t="s">
        <v>76</v>
      </c>
      <c r="D2" s="96" t="s">
        <v>82</v>
      </c>
      <c r="E2" s="97">
        <v>16340</v>
      </c>
      <c r="F2" s="97">
        <v>1201</v>
      </c>
      <c r="G2" s="97">
        <v>2451</v>
      </c>
      <c r="H2" s="98">
        <v>39.1</v>
      </c>
      <c r="I2" s="97">
        <v>34061</v>
      </c>
      <c r="J2" s="99">
        <v>28.5</v>
      </c>
      <c r="L2" s="12"/>
    </row>
    <row r="3" spans="1:12" ht="16">
      <c r="A3" s="100" t="s">
        <v>368</v>
      </c>
      <c r="B3" s="101" t="s">
        <v>369</v>
      </c>
      <c r="C3" s="102" t="s">
        <v>107</v>
      </c>
      <c r="D3" s="103" t="s">
        <v>59</v>
      </c>
      <c r="E3" s="104">
        <v>12195</v>
      </c>
      <c r="F3" s="104">
        <v>656</v>
      </c>
      <c r="G3" s="104">
        <v>3171</v>
      </c>
      <c r="H3" s="105">
        <v>39.4</v>
      </c>
      <c r="I3" s="104">
        <v>30276</v>
      </c>
      <c r="J3" s="106">
        <v>41.8</v>
      </c>
    </row>
    <row r="4" spans="1:12" ht="16">
      <c r="A4" s="93" t="s">
        <v>337</v>
      </c>
      <c r="B4" s="94" t="s">
        <v>336</v>
      </c>
      <c r="C4" s="95" t="s">
        <v>76</v>
      </c>
      <c r="D4" s="96" t="s">
        <v>60</v>
      </c>
      <c r="E4" s="97">
        <v>26842</v>
      </c>
      <c r="F4" s="97">
        <v>1864</v>
      </c>
      <c r="G4" s="97">
        <v>2416</v>
      </c>
      <c r="H4" s="98">
        <v>54</v>
      </c>
      <c r="I4" s="97">
        <v>46171</v>
      </c>
      <c r="J4" s="99">
        <v>37.200000000000003</v>
      </c>
    </row>
    <row r="5" spans="1:12" ht="16">
      <c r="A5" s="100" t="s">
        <v>1189</v>
      </c>
      <c r="B5" s="101" t="s">
        <v>1190</v>
      </c>
      <c r="C5" s="102" t="s">
        <v>107</v>
      </c>
      <c r="D5" s="103" t="s">
        <v>61</v>
      </c>
      <c r="E5" s="104">
        <v>6866</v>
      </c>
      <c r="F5" s="104">
        <v>424</v>
      </c>
      <c r="G5" s="104">
        <v>1305</v>
      </c>
      <c r="H5" s="105">
        <v>22.9</v>
      </c>
      <c r="I5" s="104">
        <v>15196</v>
      </c>
      <c r="J5" s="106">
        <v>24.8</v>
      </c>
    </row>
    <row r="6" spans="1:12" ht="16">
      <c r="A6" s="93" t="s">
        <v>473</v>
      </c>
      <c r="B6" s="94" t="s">
        <v>474</v>
      </c>
      <c r="C6" s="95" t="s">
        <v>107</v>
      </c>
      <c r="D6" s="96" t="s">
        <v>59</v>
      </c>
      <c r="E6" s="97">
        <v>4792</v>
      </c>
      <c r="F6" s="97">
        <v>383</v>
      </c>
      <c r="G6" s="97">
        <v>288</v>
      </c>
      <c r="H6" s="98">
        <v>9.1999999999999993</v>
      </c>
      <c r="I6" s="97">
        <v>1445</v>
      </c>
      <c r="J6" s="99">
        <v>39.9</v>
      </c>
    </row>
    <row r="7" spans="1:12" ht="16">
      <c r="A7" s="100" t="s">
        <v>1141</v>
      </c>
      <c r="B7" s="101" t="s">
        <v>1142</v>
      </c>
      <c r="C7" s="102" t="s">
        <v>76</v>
      </c>
      <c r="D7" s="103" t="s">
        <v>63</v>
      </c>
      <c r="E7" s="104">
        <v>2342</v>
      </c>
      <c r="F7" s="104">
        <v>545</v>
      </c>
      <c r="G7" s="104">
        <v>47</v>
      </c>
      <c r="H7" s="105">
        <v>8.6</v>
      </c>
      <c r="I7" s="104">
        <v>646</v>
      </c>
      <c r="J7" s="106">
        <v>22</v>
      </c>
    </row>
    <row r="8" spans="1:12" ht="16">
      <c r="A8" s="93" t="s">
        <v>878</v>
      </c>
      <c r="B8" s="94" t="s">
        <v>879</v>
      </c>
      <c r="C8" s="95" t="s">
        <v>76</v>
      </c>
      <c r="D8" s="96" t="s">
        <v>92</v>
      </c>
      <c r="E8" s="97">
        <v>37634</v>
      </c>
      <c r="F8" s="97">
        <v>2650</v>
      </c>
      <c r="G8" s="97">
        <v>753</v>
      </c>
      <c r="H8" s="98">
        <v>13.4</v>
      </c>
      <c r="I8" s="97">
        <v>4413</v>
      </c>
      <c r="J8" s="99">
        <v>18.100000000000001</v>
      </c>
    </row>
    <row r="9" spans="1:12" ht="16">
      <c r="A9" s="100" t="s">
        <v>880</v>
      </c>
      <c r="B9" s="101" t="s">
        <v>879</v>
      </c>
      <c r="C9" s="102" t="s">
        <v>107</v>
      </c>
      <c r="D9" s="103" t="s">
        <v>84</v>
      </c>
      <c r="E9" s="104">
        <v>28620</v>
      </c>
      <c r="F9" s="104">
        <v>2202</v>
      </c>
      <c r="G9" s="104">
        <v>572</v>
      </c>
      <c r="H9" s="105">
        <v>13.5</v>
      </c>
      <c r="I9" s="104">
        <v>3195</v>
      </c>
      <c r="J9" s="106">
        <v>17.7</v>
      </c>
    </row>
    <row r="10" spans="1:12" ht="16">
      <c r="A10" s="93" t="s">
        <v>641</v>
      </c>
      <c r="B10" s="94" t="s">
        <v>642</v>
      </c>
      <c r="C10" s="95" t="s">
        <v>76</v>
      </c>
      <c r="D10" s="96" t="s">
        <v>84</v>
      </c>
      <c r="E10" s="97">
        <v>1288</v>
      </c>
      <c r="F10" s="97">
        <v>460</v>
      </c>
      <c r="G10" s="97">
        <v>13</v>
      </c>
      <c r="H10" s="98">
        <v>10.8</v>
      </c>
      <c r="I10" s="97">
        <v>3515</v>
      </c>
      <c r="J10" s="99">
        <v>26</v>
      </c>
    </row>
    <row r="11" spans="1:12" ht="16">
      <c r="A11" s="100" t="s">
        <v>343</v>
      </c>
      <c r="B11" s="101" t="s">
        <v>344</v>
      </c>
      <c r="C11" s="102" t="s">
        <v>76</v>
      </c>
      <c r="D11" s="103" t="s">
        <v>60</v>
      </c>
      <c r="E11" s="104">
        <v>179636</v>
      </c>
      <c r="F11" s="104">
        <v>10629</v>
      </c>
      <c r="G11" s="104">
        <v>5389</v>
      </c>
      <c r="H11" s="105">
        <v>10.1</v>
      </c>
      <c r="I11" s="104">
        <v>3211</v>
      </c>
      <c r="J11" s="106">
        <v>21</v>
      </c>
    </row>
    <row r="12" spans="1:12" ht="16">
      <c r="A12" s="93" t="s">
        <v>376</v>
      </c>
      <c r="B12" s="94" t="s">
        <v>377</v>
      </c>
      <c r="C12" s="95" t="s">
        <v>76</v>
      </c>
      <c r="D12" s="96" t="s">
        <v>63</v>
      </c>
      <c r="E12" s="97">
        <v>67857</v>
      </c>
      <c r="F12" s="97">
        <v>4088</v>
      </c>
      <c r="G12" s="97">
        <v>8143</v>
      </c>
      <c r="H12" s="98">
        <v>25.3</v>
      </c>
      <c r="I12" s="97">
        <v>17041</v>
      </c>
      <c r="J12" s="99">
        <v>41.3</v>
      </c>
    </row>
    <row r="13" spans="1:12" ht="16">
      <c r="A13" s="100" t="s">
        <v>987</v>
      </c>
      <c r="B13" s="101" t="s">
        <v>988</v>
      </c>
      <c r="C13" s="102" t="s">
        <v>76</v>
      </c>
      <c r="D13" s="103" t="s">
        <v>130</v>
      </c>
      <c r="E13" s="104">
        <v>9906</v>
      </c>
      <c r="F13" s="104">
        <v>877</v>
      </c>
      <c r="G13" s="104">
        <v>693</v>
      </c>
      <c r="H13" s="105">
        <v>23.4</v>
      </c>
      <c r="I13" s="104">
        <v>6999</v>
      </c>
      <c r="J13" s="106">
        <v>23.9</v>
      </c>
    </row>
    <row r="14" spans="1:12" ht="16">
      <c r="A14" s="93" t="s">
        <v>1143</v>
      </c>
      <c r="B14" s="94" t="s">
        <v>1142</v>
      </c>
      <c r="C14" s="95" t="s">
        <v>107</v>
      </c>
      <c r="D14" s="96" t="s">
        <v>82</v>
      </c>
      <c r="E14" s="97">
        <v>42862</v>
      </c>
      <c r="F14" s="97">
        <v>1194</v>
      </c>
      <c r="G14" s="97">
        <v>429</v>
      </c>
      <c r="H14" s="98">
        <v>9</v>
      </c>
      <c r="I14" s="97">
        <v>1255</v>
      </c>
      <c r="J14" s="99">
        <v>15.2</v>
      </c>
    </row>
    <row r="15" spans="1:12" ht="16">
      <c r="A15" s="100" t="s">
        <v>643</v>
      </c>
      <c r="B15" s="101" t="s">
        <v>642</v>
      </c>
      <c r="C15" s="102" t="s">
        <v>107</v>
      </c>
      <c r="D15" s="103" t="s">
        <v>63</v>
      </c>
      <c r="E15" s="104">
        <v>4942</v>
      </c>
      <c r="F15" s="104">
        <v>504</v>
      </c>
      <c r="G15" s="104">
        <v>198</v>
      </c>
      <c r="H15" s="105">
        <v>10.7</v>
      </c>
      <c r="I15" s="104">
        <v>985</v>
      </c>
      <c r="J15" s="106">
        <v>21</v>
      </c>
    </row>
    <row r="16" spans="1:12" ht="16">
      <c r="A16" s="93" t="s">
        <v>345</v>
      </c>
      <c r="B16" s="94" t="s">
        <v>344</v>
      </c>
      <c r="C16" s="95" t="s">
        <v>107</v>
      </c>
      <c r="D16" s="96" t="s">
        <v>84</v>
      </c>
      <c r="E16" s="97">
        <v>342151</v>
      </c>
      <c r="F16" s="97">
        <v>10495</v>
      </c>
      <c r="G16" s="97">
        <v>20529</v>
      </c>
      <c r="H16" s="98">
        <v>8.3000000000000007</v>
      </c>
      <c r="I16" s="97">
        <v>1382</v>
      </c>
      <c r="J16" s="99">
        <v>15.2</v>
      </c>
    </row>
    <row r="17" spans="1:10" ht="16">
      <c r="A17" s="100" t="s">
        <v>752</v>
      </c>
      <c r="B17" s="101" t="s">
        <v>753</v>
      </c>
      <c r="C17" s="102" t="s">
        <v>76</v>
      </c>
      <c r="D17" s="103" t="s">
        <v>59</v>
      </c>
      <c r="E17" s="104">
        <v>33918</v>
      </c>
      <c r="F17" s="104">
        <v>1084</v>
      </c>
      <c r="G17" s="104">
        <v>1357</v>
      </c>
      <c r="H17" s="105">
        <v>8.9</v>
      </c>
      <c r="I17" s="104">
        <v>4735</v>
      </c>
      <c r="J17" s="106">
        <v>11.9</v>
      </c>
    </row>
    <row r="18" spans="1:10" ht="16">
      <c r="A18" s="93" t="s">
        <v>758</v>
      </c>
      <c r="B18" s="94" t="s">
        <v>759</v>
      </c>
      <c r="C18" s="95" t="s">
        <v>76</v>
      </c>
      <c r="D18" s="96" t="s">
        <v>80</v>
      </c>
      <c r="E18" s="97">
        <v>21138</v>
      </c>
      <c r="F18" s="97">
        <v>3775</v>
      </c>
      <c r="G18" s="97">
        <v>2325</v>
      </c>
      <c r="H18" s="98">
        <v>9.6</v>
      </c>
      <c r="I18" s="97">
        <v>2008</v>
      </c>
      <c r="J18" s="99">
        <v>24.3</v>
      </c>
    </row>
    <row r="19" spans="1:10" ht="16">
      <c r="A19" s="100" t="s">
        <v>346</v>
      </c>
      <c r="B19" s="101" t="s">
        <v>344</v>
      </c>
      <c r="C19" s="102" t="s">
        <v>76</v>
      </c>
      <c r="D19" s="103" t="s">
        <v>92</v>
      </c>
      <c r="E19" s="104">
        <v>182129</v>
      </c>
      <c r="F19" s="104">
        <v>6647</v>
      </c>
      <c r="G19" s="104">
        <v>5464</v>
      </c>
      <c r="H19" s="105">
        <v>13.1</v>
      </c>
      <c r="I19" s="104">
        <v>3176</v>
      </c>
      <c r="J19" s="106">
        <v>18.899999999999999</v>
      </c>
    </row>
    <row r="20" spans="1:10" ht="16">
      <c r="A20" s="93" t="s">
        <v>908</v>
      </c>
      <c r="B20" s="94" t="s">
        <v>909</v>
      </c>
      <c r="C20" s="95" t="s">
        <v>76</v>
      </c>
      <c r="D20" s="96" t="s">
        <v>59</v>
      </c>
      <c r="E20" s="97">
        <v>23124</v>
      </c>
      <c r="F20" s="97">
        <v>1278</v>
      </c>
      <c r="G20" s="97">
        <v>1387</v>
      </c>
      <c r="H20" s="98">
        <v>11.1</v>
      </c>
      <c r="I20" s="97">
        <v>1077</v>
      </c>
      <c r="J20" s="99">
        <v>16.7</v>
      </c>
    </row>
    <row r="21" spans="1:10" ht="16">
      <c r="A21" s="100" t="s">
        <v>958</v>
      </c>
      <c r="B21" s="101" t="s">
        <v>959</v>
      </c>
      <c r="C21" s="102" t="s">
        <v>76</v>
      </c>
      <c r="D21" s="103" t="s">
        <v>59</v>
      </c>
      <c r="E21" s="104">
        <v>2566</v>
      </c>
      <c r="F21" s="104">
        <v>247</v>
      </c>
      <c r="G21" s="104">
        <v>872</v>
      </c>
      <c r="H21" s="105">
        <v>21.2</v>
      </c>
      <c r="I21" s="104">
        <v>20172</v>
      </c>
      <c r="J21" s="106">
        <v>19.600000000000001</v>
      </c>
    </row>
    <row r="22" spans="1:10" ht="16">
      <c r="A22" s="93" t="s">
        <v>475</v>
      </c>
      <c r="B22" s="94" t="s">
        <v>474</v>
      </c>
      <c r="C22" s="95" t="s">
        <v>107</v>
      </c>
      <c r="D22" s="96" t="s">
        <v>80</v>
      </c>
      <c r="E22" s="97">
        <v>18783</v>
      </c>
      <c r="F22" s="97">
        <v>1391</v>
      </c>
      <c r="G22" s="97">
        <v>376</v>
      </c>
      <c r="H22" s="98">
        <v>10.4</v>
      </c>
      <c r="I22" s="97">
        <v>4301</v>
      </c>
      <c r="J22" s="99">
        <v>29</v>
      </c>
    </row>
    <row r="23" spans="1:10" ht="16">
      <c r="A23" s="100" t="s">
        <v>536</v>
      </c>
      <c r="B23" s="101" t="s">
        <v>537</v>
      </c>
      <c r="C23" s="102" t="s">
        <v>76</v>
      </c>
      <c r="D23" s="103" t="s">
        <v>82</v>
      </c>
      <c r="E23" s="104">
        <v>10110</v>
      </c>
      <c r="F23" s="104">
        <v>449</v>
      </c>
      <c r="G23" s="104">
        <v>101</v>
      </c>
      <c r="H23" s="105">
        <v>9.9</v>
      </c>
      <c r="I23" s="104">
        <v>1671</v>
      </c>
      <c r="J23" s="106">
        <v>18.100000000000001</v>
      </c>
    </row>
    <row r="24" spans="1:10" ht="16">
      <c r="A24" s="93" t="s">
        <v>597</v>
      </c>
      <c r="B24" s="94" t="s">
        <v>598</v>
      </c>
      <c r="C24" s="95" t="s">
        <v>76</v>
      </c>
      <c r="D24" s="96" t="s">
        <v>60</v>
      </c>
      <c r="E24" s="97">
        <v>13447</v>
      </c>
      <c r="F24" s="97">
        <v>372</v>
      </c>
      <c r="G24" s="97">
        <v>807</v>
      </c>
      <c r="H24" s="98">
        <v>18.899999999999999</v>
      </c>
      <c r="I24" s="97">
        <v>12516</v>
      </c>
      <c r="J24" s="99">
        <v>14.7</v>
      </c>
    </row>
    <row r="25" spans="1:10" ht="16">
      <c r="A25" s="100" t="s">
        <v>1287</v>
      </c>
      <c r="B25" s="101" t="s">
        <v>1288</v>
      </c>
      <c r="C25" s="102" t="s">
        <v>76</v>
      </c>
      <c r="D25" s="103" t="s">
        <v>77</v>
      </c>
      <c r="E25" s="104">
        <v>11750</v>
      </c>
      <c r="F25" s="104">
        <v>1068</v>
      </c>
      <c r="G25" s="104">
        <v>1410</v>
      </c>
      <c r="H25" s="105">
        <v>19.5</v>
      </c>
      <c r="I25" s="104">
        <v>12836</v>
      </c>
      <c r="J25" s="106">
        <v>40.9</v>
      </c>
    </row>
    <row r="26" spans="1:10" ht="16">
      <c r="A26" s="93" t="s">
        <v>347</v>
      </c>
      <c r="B26" s="94" t="s">
        <v>344</v>
      </c>
      <c r="C26" s="95" t="s">
        <v>76</v>
      </c>
      <c r="D26" s="96" t="s">
        <v>61</v>
      </c>
      <c r="E26" s="97">
        <v>5936</v>
      </c>
      <c r="F26" s="97">
        <v>433</v>
      </c>
      <c r="G26" s="97">
        <v>297</v>
      </c>
      <c r="H26" s="98">
        <v>25.1</v>
      </c>
      <c r="I26" s="97">
        <v>5089</v>
      </c>
      <c r="J26" s="99">
        <v>27</v>
      </c>
    </row>
    <row r="27" spans="1:10" ht="16">
      <c r="A27" s="100" t="s">
        <v>769</v>
      </c>
      <c r="B27" s="101" t="s">
        <v>770</v>
      </c>
      <c r="C27" s="102" t="s">
        <v>76</v>
      </c>
      <c r="D27" s="103" t="s">
        <v>80</v>
      </c>
      <c r="E27" s="104">
        <v>8401</v>
      </c>
      <c r="F27" s="104">
        <v>988</v>
      </c>
      <c r="G27" s="104">
        <v>1764</v>
      </c>
      <c r="H27" s="105">
        <v>14.9</v>
      </c>
      <c r="I27" s="104">
        <v>11544</v>
      </c>
      <c r="J27" s="106">
        <v>28.7</v>
      </c>
    </row>
    <row r="28" spans="1:10" ht="16">
      <c r="A28" s="93" t="s">
        <v>1184</v>
      </c>
      <c r="B28" s="94" t="s">
        <v>1185</v>
      </c>
      <c r="C28" s="95" t="s">
        <v>107</v>
      </c>
      <c r="D28" s="96" t="s">
        <v>84</v>
      </c>
      <c r="E28" s="97">
        <v>5652</v>
      </c>
      <c r="F28" s="97">
        <v>404</v>
      </c>
      <c r="G28" s="97">
        <v>4691</v>
      </c>
      <c r="H28" s="98">
        <v>14.8</v>
      </c>
      <c r="I28" s="97">
        <v>3407</v>
      </c>
      <c r="J28" s="99">
        <v>19.2</v>
      </c>
    </row>
    <row r="29" spans="1:10" ht="16">
      <c r="A29" s="100" t="s">
        <v>538</v>
      </c>
      <c r="B29" s="101" t="s">
        <v>537</v>
      </c>
      <c r="C29" s="102" t="s">
        <v>107</v>
      </c>
      <c r="D29" s="103" t="s">
        <v>77</v>
      </c>
      <c r="E29" s="104">
        <v>11580</v>
      </c>
      <c r="F29" s="104">
        <v>536</v>
      </c>
      <c r="G29" s="104">
        <v>232</v>
      </c>
      <c r="H29" s="105">
        <v>31.8</v>
      </c>
      <c r="I29" s="104">
        <v>13740</v>
      </c>
      <c r="J29" s="106">
        <v>34.200000000000003</v>
      </c>
    </row>
    <row r="30" spans="1:10" ht="16">
      <c r="A30" s="93" t="s">
        <v>476</v>
      </c>
      <c r="B30" s="94" t="s">
        <v>474</v>
      </c>
      <c r="C30" s="95" t="s">
        <v>107</v>
      </c>
      <c r="D30" s="96" t="s">
        <v>84</v>
      </c>
      <c r="E30" s="97">
        <v>29623</v>
      </c>
      <c r="F30" s="97">
        <v>1975</v>
      </c>
      <c r="G30" s="97">
        <v>1185</v>
      </c>
      <c r="H30" s="98">
        <v>9.3000000000000007</v>
      </c>
      <c r="I30" s="97">
        <v>1764</v>
      </c>
      <c r="J30" s="99">
        <v>15.7</v>
      </c>
    </row>
    <row r="31" spans="1:10" ht="16">
      <c r="A31" s="100" t="s">
        <v>477</v>
      </c>
      <c r="B31" s="101" t="s">
        <v>474</v>
      </c>
      <c r="C31" s="102" t="s">
        <v>107</v>
      </c>
      <c r="D31" s="103" t="s">
        <v>84</v>
      </c>
      <c r="E31" s="104">
        <v>14689</v>
      </c>
      <c r="F31" s="104">
        <v>1234</v>
      </c>
      <c r="G31" s="104">
        <v>1763</v>
      </c>
      <c r="H31" s="105">
        <v>17</v>
      </c>
      <c r="I31" s="104">
        <v>8136</v>
      </c>
      <c r="J31" s="106">
        <v>26.1</v>
      </c>
    </row>
    <row r="32" spans="1:10" ht="16">
      <c r="A32" s="93" t="s">
        <v>1144</v>
      </c>
      <c r="B32" s="94" t="s">
        <v>1142</v>
      </c>
      <c r="C32" s="95" t="s">
        <v>107</v>
      </c>
      <c r="D32" s="96" t="s">
        <v>59</v>
      </c>
      <c r="E32" s="97">
        <v>830104</v>
      </c>
      <c r="F32" s="97">
        <v>1682</v>
      </c>
      <c r="G32" s="97">
        <v>8301</v>
      </c>
      <c r="H32" s="98">
        <v>24.1</v>
      </c>
      <c r="I32" s="97">
        <v>3979</v>
      </c>
      <c r="J32" s="99">
        <v>13</v>
      </c>
    </row>
    <row r="33" spans="1:10" ht="16">
      <c r="A33" s="100" t="s">
        <v>478</v>
      </c>
      <c r="B33" s="101" t="s">
        <v>474</v>
      </c>
      <c r="C33" s="102" t="s">
        <v>76</v>
      </c>
      <c r="D33" s="103" t="s">
        <v>130</v>
      </c>
      <c r="E33" s="104">
        <v>9785</v>
      </c>
      <c r="F33" s="104">
        <v>589</v>
      </c>
      <c r="G33" s="104">
        <v>196</v>
      </c>
      <c r="H33" s="105">
        <v>10.8</v>
      </c>
      <c r="I33" s="104">
        <v>870</v>
      </c>
      <c r="J33" s="106">
        <v>37.4</v>
      </c>
    </row>
    <row r="34" spans="1:10" ht="16">
      <c r="A34" s="93" t="s">
        <v>1191</v>
      </c>
      <c r="B34" s="94" t="s">
        <v>1190</v>
      </c>
      <c r="C34" s="95" t="s">
        <v>76</v>
      </c>
      <c r="D34" s="96" t="s">
        <v>77</v>
      </c>
      <c r="E34" s="97">
        <v>18022</v>
      </c>
      <c r="F34" s="97">
        <v>780</v>
      </c>
      <c r="G34" s="97">
        <v>5407</v>
      </c>
      <c r="H34" s="98">
        <v>14.4</v>
      </c>
      <c r="I34" s="97">
        <v>14431</v>
      </c>
      <c r="J34" s="99">
        <v>17.899999999999999</v>
      </c>
    </row>
    <row r="35" spans="1:10" ht="16">
      <c r="A35" s="100" t="s">
        <v>1145</v>
      </c>
      <c r="B35" s="101" t="s">
        <v>1142</v>
      </c>
      <c r="C35" s="102" t="s">
        <v>107</v>
      </c>
      <c r="D35" s="103" t="s">
        <v>63</v>
      </c>
      <c r="E35" s="104">
        <v>69737</v>
      </c>
      <c r="F35" s="104">
        <v>3651</v>
      </c>
      <c r="G35" s="104">
        <v>2789</v>
      </c>
      <c r="H35" s="105">
        <v>10</v>
      </c>
      <c r="I35" s="104">
        <v>1391</v>
      </c>
      <c r="J35" s="106">
        <v>19.2</v>
      </c>
    </row>
    <row r="36" spans="1:10" ht="16">
      <c r="A36" s="93" t="s">
        <v>479</v>
      </c>
      <c r="B36" s="94" t="s">
        <v>474</v>
      </c>
      <c r="C36" s="95" t="s">
        <v>107</v>
      </c>
      <c r="D36" s="96" t="s">
        <v>62</v>
      </c>
      <c r="E36" s="97">
        <v>14428</v>
      </c>
      <c r="F36" s="97">
        <v>925</v>
      </c>
      <c r="G36" s="97">
        <v>144</v>
      </c>
      <c r="H36" s="98">
        <v>14.1</v>
      </c>
      <c r="I36" s="97">
        <v>2625</v>
      </c>
      <c r="J36" s="99">
        <v>22.6</v>
      </c>
    </row>
    <row r="37" spans="1:10" ht="16">
      <c r="A37" s="100" t="s">
        <v>480</v>
      </c>
      <c r="B37" s="101" t="s">
        <v>474</v>
      </c>
      <c r="C37" s="102" t="s">
        <v>107</v>
      </c>
      <c r="D37" s="103" t="s">
        <v>84</v>
      </c>
      <c r="E37" s="104">
        <v>23098</v>
      </c>
      <c r="F37" s="104">
        <v>1638</v>
      </c>
      <c r="G37" s="104">
        <v>462</v>
      </c>
      <c r="H37" s="105">
        <v>8.6</v>
      </c>
      <c r="I37" s="104">
        <v>1611</v>
      </c>
      <c r="J37" s="106">
        <v>29.2</v>
      </c>
    </row>
    <row r="38" spans="1:10" ht="16">
      <c r="A38" s="93" t="s">
        <v>644</v>
      </c>
      <c r="B38" s="94" t="s">
        <v>642</v>
      </c>
      <c r="C38" s="95" t="s">
        <v>107</v>
      </c>
      <c r="D38" s="96" t="s">
        <v>80</v>
      </c>
      <c r="E38" s="97">
        <v>19143</v>
      </c>
      <c r="F38" s="97">
        <v>1679</v>
      </c>
      <c r="G38" s="97">
        <v>574</v>
      </c>
      <c r="H38" s="98">
        <v>7.9</v>
      </c>
      <c r="I38" s="97">
        <v>1659</v>
      </c>
      <c r="J38" s="99">
        <v>16.3</v>
      </c>
    </row>
    <row r="39" spans="1:10" ht="16">
      <c r="A39" s="100" t="s">
        <v>447</v>
      </c>
      <c r="B39" s="101" t="s">
        <v>448</v>
      </c>
      <c r="C39" s="102" t="s">
        <v>76</v>
      </c>
      <c r="D39" s="103" t="s">
        <v>61</v>
      </c>
      <c r="E39" s="104">
        <v>46505</v>
      </c>
      <c r="F39" s="104">
        <v>1735</v>
      </c>
      <c r="G39" s="104">
        <v>2325</v>
      </c>
      <c r="H39" s="105">
        <v>16.8</v>
      </c>
      <c r="I39" s="104">
        <v>10856</v>
      </c>
      <c r="J39" s="106">
        <v>19.2</v>
      </c>
    </row>
    <row r="40" spans="1:10" ht="16">
      <c r="A40" s="93" t="s">
        <v>1289</v>
      </c>
      <c r="B40" s="94" t="s">
        <v>1288</v>
      </c>
      <c r="C40" s="95" t="s">
        <v>107</v>
      </c>
      <c r="D40" s="96" t="s">
        <v>62</v>
      </c>
      <c r="E40" s="97">
        <v>46683</v>
      </c>
      <c r="F40" s="97">
        <v>2212</v>
      </c>
      <c r="G40" s="97">
        <v>9803</v>
      </c>
      <c r="H40" s="98">
        <v>50.7</v>
      </c>
      <c r="I40" s="97">
        <v>41424</v>
      </c>
      <c r="J40" s="99">
        <v>39.299999999999997</v>
      </c>
    </row>
    <row r="41" spans="1:10" ht="16">
      <c r="A41" s="100" t="s">
        <v>1080</v>
      </c>
      <c r="B41" s="101" t="s">
        <v>1081</v>
      </c>
      <c r="C41" s="102" t="s">
        <v>76</v>
      </c>
      <c r="D41" s="103" t="s">
        <v>77</v>
      </c>
      <c r="E41" s="104">
        <v>11779</v>
      </c>
      <c r="F41" s="104">
        <v>395</v>
      </c>
      <c r="G41" s="104">
        <v>589</v>
      </c>
      <c r="H41" s="105">
        <v>33.700000000000003</v>
      </c>
      <c r="I41" s="104">
        <v>7758</v>
      </c>
      <c r="J41" s="106">
        <v>17.3</v>
      </c>
    </row>
    <row r="42" spans="1:10" ht="16">
      <c r="A42" s="93" t="s">
        <v>348</v>
      </c>
      <c r="B42" s="94" t="s">
        <v>344</v>
      </c>
      <c r="C42" s="95" t="s">
        <v>107</v>
      </c>
      <c r="D42" s="96" t="s">
        <v>92</v>
      </c>
      <c r="E42" s="97">
        <v>87471</v>
      </c>
      <c r="F42" s="97">
        <v>4440</v>
      </c>
      <c r="G42" s="97">
        <v>875</v>
      </c>
      <c r="H42" s="98">
        <v>9</v>
      </c>
      <c r="I42" s="97">
        <v>2337</v>
      </c>
      <c r="J42" s="99">
        <v>15.2</v>
      </c>
    </row>
    <row r="43" spans="1:10" ht="16">
      <c r="A43" s="100" t="s">
        <v>1192</v>
      </c>
      <c r="B43" s="101" t="s">
        <v>1190</v>
      </c>
      <c r="C43" s="102" t="s">
        <v>107</v>
      </c>
      <c r="D43" s="103" t="s">
        <v>84</v>
      </c>
      <c r="E43" s="104">
        <v>11113</v>
      </c>
      <c r="F43" s="104">
        <v>527</v>
      </c>
      <c r="G43" s="104">
        <v>2889</v>
      </c>
      <c r="H43" s="105">
        <v>24.2</v>
      </c>
      <c r="I43" s="104">
        <v>13336</v>
      </c>
      <c r="J43" s="106">
        <v>21</v>
      </c>
    </row>
    <row r="44" spans="1:10" ht="16">
      <c r="A44" s="93" t="s">
        <v>349</v>
      </c>
      <c r="B44" s="94" t="s">
        <v>344</v>
      </c>
      <c r="C44" s="95" t="s">
        <v>76</v>
      </c>
      <c r="D44" s="96" t="s">
        <v>63</v>
      </c>
      <c r="E44" s="97">
        <v>22393</v>
      </c>
      <c r="F44" s="97">
        <v>549</v>
      </c>
      <c r="G44" s="97">
        <v>501</v>
      </c>
      <c r="H44" s="98">
        <v>8.6999999999999993</v>
      </c>
      <c r="I44" s="97">
        <v>8776</v>
      </c>
      <c r="J44" s="99">
        <v>11.9</v>
      </c>
    </row>
    <row r="45" spans="1:10" ht="16">
      <c r="A45" s="100" t="s">
        <v>449</v>
      </c>
      <c r="B45" s="101" t="s">
        <v>448</v>
      </c>
      <c r="C45" s="102" t="s">
        <v>107</v>
      </c>
      <c r="D45" s="103" t="s">
        <v>63</v>
      </c>
      <c r="E45" s="104">
        <v>9678</v>
      </c>
      <c r="F45" s="104">
        <v>218</v>
      </c>
      <c r="G45" s="104">
        <v>484</v>
      </c>
      <c r="H45" s="105">
        <v>21.2</v>
      </c>
      <c r="I45" s="104">
        <v>8367</v>
      </c>
      <c r="J45" s="106">
        <v>17.8</v>
      </c>
    </row>
    <row r="46" spans="1:10" ht="16">
      <c r="A46" s="93" t="s">
        <v>1146</v>
      </c>
      <c r="B46" s="94" t="s">
        <v>1142</v>
      </c>
      <c r="C46" s="95" t="s">
        <v>107</v>
      </c>
      <c r="D46" s="96" t="s">
        <v>130</v>
      </c>
      <c r="E46" s="97">
        <v>9862</v>
      </c>
      <c r="F46" s="97">
        <v>587</v>
      </c>
      <c r="G46" s="97">
        <v>592</v>
      </c>
      <c r="H46" s="98">
        <v>8.8000000000000007</v>
      </c>
      <c r="I46" s="97">
        <v>3470</v>
      </c>
      <c r="J46" s="99">
        <v>14.7</v>
      </c>
    </row>
    <row r="47" spans="1:10" ht="16">
      <c r="A47" s="100" t="s">
        <v>1290</v>
      </c>
      <c r="B47" s="101" t="s">
        <v>1288</v>
      </c>
      <c r="C47" s="102" t="s">
        <v>76</v>
      </c>
      <c r="D47" s="103" t="s">
        <v>80</v>
      </c>
      <c r="E47" s="104">
        <v>26641</v>
      </c>
      <c r="F47" s="104">
        <v>1417</v>
      </c>
      <c r="G47" s="104">
        <v>2398</v>
      </c>
      <c r="H47" s="105">
        <v>21.1</v>
      </c>
      <c r="I47" s="104">
        <v>9174</v>
      </c>
      <c r="J47" s="106">
        <v>32.700000000000003</v>
      </c>
    </row>
    <row r="48" spans="1:10" ht="16">
      <c r="A48" s="93" t="s">
        <v>833</v>
      </c>
      <c r="B48" s="94" t="s">
        <v>834</v>
      </c>
      <c r="C48" s="95" t="s">
        <v>76</v>
      </c>
      <c r="D48" s="96" t="s">
        <v>92</v>
      </c>
      <c r="E48" s="97">
        <v>18035</v>
      </c>
      <c r="F48" s="97">
        <v>1055</v>
      </c>
      <c r="G48" s="97">
        <v>8476</v>
      </c>
      <c r="H48" s="98">
        <v>18.399999999999999</v>
      </c>
      <c r="I48" s="97">
        <v>18053</v>
      </c>
      <c r="J48" s="99">
        <v>19.7</v>
      </c>
    </row>
    <row r="49" spans="1:10" ht="16">
      <c r="A49" s="100" t="s">
        <v>211</v>
      </c>
      <c r="B49" s="101" t="s">
        <v>212</v>
      </c>
      <c r="C49" s="102" t="s">
        <v>107</v>
      </c>
      <c r="D49" s="103" t="s">
        <v>82</v>
      </c>
      <c r="E49" s="104">
        <v>15575</v>
      </c>
      <c r="F49" s="104">
        <v>880</v>
      </c>
      <c r="G49" s="104">
        <v>312</v>
      </c>
      <c r="H49" s="105">
        <v>12.2</v>
      </c>
      <c r="I49" s="104">
        <v>2792</v>
      </c>
      <c r="J49" s="106">
        <v>15</v>
      </c>
    </row>
    <row r="50" spans="1:10" ht="16">
      <c r="A50" s="93" t="s">
        <v>88</v>
      </c>
      <c r="B50" s="94" t="s">
        <v>89</v>
      </c>
      <c r="C50" s="95" t="s">
        <v>76</v>
      </c>
      <c r="D50" s="96" t="s">
        <v>59</v>
      </c>
      <c r="E50" s="97">
        <v>23886</v>
      </c>
      <c r="F50" s="97">
        <v>549</v>
      </c>
      <c r="G50" s="97">
        <v>2866</v>
      </c>
      <c r="H50" s="98">
        <v>27.5</v>
      </c>
      <c r="I50" s="97">
        <v>20231</v>
      </c>
      <c r="J50" s="99">
        <v>20.6</v>
      </c>
    </row>
    <row r="51" spans="1:10" ht="16">
      <c r="A51" s="100" t="s">
        <v>90</v>
      </c>
      <c r="B51" s="101" t="s">
        <v>89</v>
      </c>
      <c r="C51" s="102" t="s">
        <v>76</v>
      </c>
      <c r="D51" s="103" t="s">
        <v>80</v>
      </c>
      <c r="E51" s="104">
        <v>17359</v>
      </c>
      <c r="F51" s="104">
        <v>975</v>
      </c>
      <c r="G51" s="104">
        <v>7638</v>
      </c>
      <c r="H51" s="105">
        <v>69.7</v>
      </c>
      <c r="I51" s="104">
        <v>61684</v>
      </c>
      <c r="J51" s="106">
        <v>54.4</v>
      </c>
    </row>
    <row r="52" spans="1:10" ht="16">
      <c r="A52" s="93" t="s">
        <v>797</v>
      </c>
      <c r="B52" s="94" t="s">
        <v>798</v>
      </c>
      <c r="C52" s="95" t="s">
        <v>76</v>
      </c>
      <c r="D52" s="96" t="s">
        <v>130</v>
      </c>
      <c r="E52" s="97">
        <v>59507</v>
      </c>
      <c r="F52" s="97">
        <v>3362</v>
      </c>
      <c r="G52" s="97">
        <v>1190</v>
      </c>
      <c r="H52" s="98">
        <v>8.8000000000000007</v>
      </c>
      <c r="I52" s="97">
        <v>683</v>
      </c>
      <c r="J52" s="99">
        <v>13.7</v>
      </c>
    </row>
    <row r="53" spans="1:10" ht="16">
      <c r="A53" s="100" t="s">
        <v>1019</v>
      </c>
      <c r="B53" s="101" t="s">
        <v>1020</v>
      </c>
      <c r="C53" s="102" t="s">
        <v>76</v>
      </c>
      <c r="D53" s="103" t="s">
        <v>92</v>
      </c>
      <c r="E53" s="104">
        <v>31877</v>
      </c>
      <c r="F53" s="104">
        <v>2530</v>
      </c>
      <c r="G53" s="104">
        <v>5100</v>
      </c>
      <c r="H53" s="105">
        <v>36.1</v>
      </c>
      <c r="I53" s="104">
        <v>33625</v>
      </c>
      <c r="J53" s="106">
        <v>40.9</v>
      </c>
    </row>
    <row r="54" spans="1:10" ht="16">
      <c r="A54" s="93" t="s">
        <v>799</v>
      </c>
      <c r="B54" s="94" t="s">
        <v>798</v>
      </c>
      <c r="C54" s="95" t="s">
        <v>76</v>
      </c>
      <c r="D54" s="96" t="s">
        <v>77</v>
      </c>
      <c r="E54" s="97">
        <v>34995</v>
      </c>
      <c r="F54" s="97">
        <v>1923</v>
      </c>
      <c r="G54" s="97">
        <v>350</v>
      </c>
      <c r="H54" s="98">
        <v>8.1999999999999993</v>
      </c>
      <c r="I54" s="97">
        <v>692</v>
      </c>
      <c r="J54" s="99">
        <v>15</v>
      </c>
    </row>
    <row r="55" spans="1:10" ht="16">
      <c r="A55" s="100" t="s">
        <v>1021</v>
      </c>
      <c r="B55" s="101" t="s">
        <v>1020</v>
      </c>
      <c r="C55" s="102" t="s">
        <v>76</v>
      </c>
      <c r="D55" s="103" t="s">
        <v>63</v>
      </c>
      <c r="E55" s="104">
        <v>29576</v>
      </c>
      <c r="F55" s="104">
        <v>2207</v>
      </c>
      <c r="G55" s="104">
        <v>4141</v>
      </c>
      <c r="H55" s="105">
        <v>28.7</v>
      </c>
      <c r="I55" s="104">
        <v>21435</v>
      </c>
      <c r="J55" s="106">
        <v>40.1</v>
      </c>
    </row>
    <row r="56" spans="1:10" ht="16">
      <c r="A56" s="93" t="s">
        <v>800</v>
      </c>
      <c r="B56" s="94" t="s">
        <v>798</v>
      </c>
      <c r="C56" s="95" t="s">
        <v>76</v>
      </c>
      <c r="D56" s="96" t="s">
        <v>63</v>
      </c>
      <c r="E56" s="97">
        <v>69982</v>
      </c>
      <c r="F56" s="97">
        <v>2108</v>
      </c>
      <c r="G56" s="97">
        <v>700</v>
      </c>
      <c r="H56" s="98">
        <v>7.9</v>
      </c>
      <c r="I56" s="97">
        <v>968</v>
      </c>
      <c r="J56" s="99">
        <v>16</v>
      </c>
    </row>
    <row r="57" spans="1:10" ht="16">
      <c r="A57" s="100" t="s">
        <v>801</v>
      </c>
      <c r="B57" s="101" t="s">
        <v>798</v>
      </c>
      <c r="C57" s="102" t="s">
        <v>76</v>
      </c>
      <c r="D57" s="103" t="s">
        <v>80</v>
      </c>
      <c r="E57" s="104">
        <v>32012</v>
      </c>
      <c r="F57" s="104">
        <v>3370</v>
      </c>
      <c r="G57" s="104">
        <v>320</v>
      </c>
      <c r="H57" s="105">
        <v>7.4</v>
      </c>
      <c r="I57" s="104">
        <v>888</v>
      </c>
      <c r="J57" s="106">
        <v>17.8</v>
      </c>
    </row>
    <row r="58" spans="1:10" ht="16">
      <c r="A58" s="93" t="s">
        <v>802</v>
      </c>
      <c r="B58" s="94" t="s">
        <v>798</v>
      </c>
      <c r="C58" s="95" t="s">
        <v>76</v>
      </c>
      <c r="D58" s="96" t="s">
        <v>63</v>
      </c>
      <c r="E58" s="97">
        <v>72792</v>
      </c>
      <c r="F58" s="97">
        <v>3386</v>
      </c>
      <c r="G58" s="97">
        <v>5065</v>
      </c>
      <c r="H58" s="98">
        <v>7.9</v>
      </c>
      <c r="I58" s="97">
        <v>1141</v>
      </c>
      <c r="J58" s="99">
        <v>13.3</v>
      </c>
    </row>
    <row r="59" spans="1:10" ht="16">
      <c r="A59" s="100" t="s">
        <v>803</v>
      </c>
      <c r="B59" s="101" t="s">
        <v>798</v>
      </c>
      <c r="C59" s="102" t="s">
        <v>76</v>
      </c>
      <c r="D59" s="103" t="s">
        <v>130</v>
      </c>
      <c r="E59" s="104">
        <v>57588</v>
      </c>
      <c r="F59" s="104">
        <v>2594</v>
      </c>
      <c r="G59" s="104">
        <v>576</v>
      </c>
      <c r="H59" s="105">
        <v>9.1999999999999993</v>
      </c>
      <c r="I59" s="104">
        <v>636</v>
      </c>
      <c r="J59" s="106">
        <v>14.4</v>
      </c>
    </row>
    <row r="60" spans="1:10" ht="16">
      <c r="A60" s="93" t="s">
        <v>539</v>
      </c>
      <c r="B60" s="94" t="s">
        <v>537</v>
      </c>
      <c r="C60" s="95" t="s">
        <v>76</v>
      </c>
      <c r="D60" s="96" t="s">
        <v>80</v>
      </c>
      <c r="E60" s="97">
        <v>6329</v>
      </c>
      <c r="F60" s="97">
        <v>265</v>
      </c>
      <c r="G60" s="97">
        <v>291</v>
      </c>
      <c r="H60" s="98">
        <v>12.6</v>
      </c>
      <c r="I60" s="97">
        <v>2992</v>
      </c>
      <c r="J60" s="99">
        <v>18.100000000000001</v>
      </c>
    </row>
    <row r="61" spans="1:10" ht="16">
      <c r="A61" s="100" t="s">
        <v>910</v>
      </c>
      <c r="B61" s="101" t="s">
        <v>909</v>
      </c>
      <c r="C61" s="102" t="s">
        <v>76</v>
      </c>
      <c r="D61" s="103" t="s">
        <v>59</v>
      </c>
      <c r="E61" s="104">
        <v>37168</v>
      </c>
      <c r="F61" s="104">
        <v>1511</v>
      </c>
      <c r="G61" s="104">
        <v>1487</v>
      </c>
      <c r="H61" s="105">
        <v>14.1</v>
      </c>
      <c r="I61" s="104">
        <v>5208</v>
      </c>
      <c r="J61" s="106">
        <v>16.7</v>
      </c>
    </row>
    <row r="62" spans="1:10" ht="16">
      <c r="A62" s="93" t="s">
        <v>540</v>
      </c>
      <c r="B62" s="94" t="s">
        <v>537</v>
      </c>
      <c r="C62" s="95" t="s">
        <v>107</v>
      </c>
      <c r="D62" s="96" t="s">
        <v>59</v>
      </c>
      <c r="E62" s="97">
        <v>5744</v>
      </c>
      <c r="F62" s="97">
        <v>194</v>
      </c>
      <c r="G62" s="97">
        <v>400</v>
      </c>
      <c r="H62" s="98">
        <v>21.2</v>
      </c>
      <c r="I62" s="97">
        <v>21203</v>
      </c>
      <c r="J62" s="99">
        <v>15.3</v>
      </c>
    </row>
    <row r="63" spans="1:10" ht="16">
      <c r="A63" s="100" t="s">
        <v>857</v>
      </c>
      <c r="B63" s="101" t="s">
        <v>858</v>
      </c>
      <c r="C63" s="102" t="s">
        <v>107</v>
      </c>
      <c r="D63" s="103" t="s">
        <v>77</v>
      </c>
      <c r="E63" s="104">
        <v>28135</v>
      </c>
      <c r="F63" s="104">
        <v>816</v>
      </c>
      <c r="G63" s="104">
        <v>1958</v>
      </c>
      <c r="H63" s="105">
        <v>9</v>
      </c>
      <c r="I63" s="104">
        <v>1791</v>
      </c>
      <c r="J63" s="106">
        <v>13.6</v>
      </c>
    </row>
    <row r="64" spans="1:10" ht="16">
      <c r="A64" s="93" t="s">
        <v>1147</v>
      </c>
      <c r="B64" s="94" t="s">
        <v>1142</v>
      </c>
      <c r="C64" s="95" t="s">
        <v>107</v>
      </c>
      <c r="D64" s="96" t="s">
        <v>61</v>
      </c>
      <c r="E64" s="97">
        <v>16458</v>
      </c>
      <c r="F64" s="97">
        <v>430</v>
      </c>
      <c r="G64" s="97">
        <v>1975</v>
      </c>
      <c r="H64" s="98">
        <v>14.8</v>
      </c>
      <c r="I64" s="97">
        <v>2185</v>
      </c>
      <c r="J64" s="99">
        <v>18.5</v>
      </c>
    </row>
    <row r="65" spans="1:10" ht="16">
      <c r="A65" s="100" t="s">
        <v>481</v>
      </c>
      <c r="B65" s="101" t="s">
        <v>474</v>
      </c>
      <c r="C65" s="102" t="s">
        <v>107</v>
      </c>
      <c r="D65" s="103" t="s">
        <v>84</v>
      </c>
      <c r="E65" s="104">
        <v>14953</v>
      </c>
      <c r="F65" s="104">
        <v>1323</v>
      </c>
      <c r="G65" s="104">
        <v>449</v>
      </c>
      <c r="H65" s="105">
        <v>16.399999999999999</v>
      </c>
      <c r="I65" s="104">
        <v>7671</v>
      </c>
      <c r="J65" s="106">
        <v>30.8</v>
      </c>
    </row>
    <row r="66" spans="1:10" ht="16">
      <c r="A66" s="93" t="s">
        <v>482</v>
      </c>
      <c r="B66" s="94" t="s">
        <v>474</v>
      </c>
      <c r="C66" s="95" t="s">
        <v>76</v>
      </c>
      <c r="D66" s="96" t="s">
        <v>77</v>
      </c>
      <c r="E66" s="97">
        <v>10355</v>
      </c>
      <c r="F66" s="97">
        <v>542</v>
      </c>
      <c r="G66" s="97">
        <v>414</v>
      </c>
      <c r="H66" s="98">
        <v>10</v>
      </c>
      <c r="I66" s="97">
        <v>1110</v>
      </c>
      <c r="J66" s="99">
        <v>33</v>
      </c>
    </row>
    <row r="67" spans="1:10" ht="16">
      <c r="A67" s="100" t="s">
        <v>529</v>
      </c>
      <c r="B67" s="101" t="s">
        <v>530</v>
      </c>
      <c r="C67" s="102" t="s">
        <v>107</v>
      </c>
      <c r="D67" s="103" t="s">
        <v>59</v>
      </c>
      <c r="E67" s="104">
        <v>17382</v>
      </c>
      <c r="F67" s="104">
        <v>1655</v>
      </c>
      <c r="G67" s="104">
        <v>348</v>
      </c>
      <c r="H67" s="105">
        <v>16.7</v>
      </c>
      <c r="I67" s="104">
        <v>2731</v>
      </c>
      <c r="J67" s="106">
        <v>22</v>
      </c>
    </row>
    <row r="68" spans="1:10" ht="16">
      <c r="A68" s="93" t="s">
        <v>1193</v>
      </c>
      <c r="B68" s="94" t="s">
        <v>1190</v>
      </c>
      <c r="C68" s="95" t="s">
        <v>76</v>
      </c>
      <c r="D68" s="96" t="s">
        <v>59</v>
      </c>
      <c r="E68" s="97">
        <v>9590</v>
      </c>
      <c r="F68" s="97">
        <v>588</v>
      </c>
      <c r="G68" s="97">
        <v>2206</v>
      </c>
      <c r="H68" s="98">
        <v>20.7</v>
      </c>
      <c r="I68" s="97">
        <v>13766</v>
      </c>
      <c r="J68" s="99">
        <v>22.4</v>
      </c>
    </row>
    <row r="69" spans="1:10" ht="16">
      <c r="A69" s="100" t="s">
        <v>590</v>
      </c>
      <c r="B69" s="101" t="s">
        <v>591</v>
      </c>
      <c r="C69" s="102" t="s">
        <v>76</v>
      </c>
      <c r="D69" s="103" t="s">
        <v>62</v>
      </c>
      <c r="E69" s="104">
        <v>16723</v>
      </c>
      <c r="F69" s="104">
        <v>956</v>
      </c>
      <c r="G69" s="104">
        <v>836</v>
      </c>
      <c r="H69" s="105">
        <v>36.5</v>
      </c>
      <c r="I69" s="104">
        <v>16176</v>
      </c>
      <c r="J69" s="106">
        <v>29.9</v>
      </c>
    </row>
    <row r="70" spans="1:10" ht="16">
      <c r="A70" s="93" t="s">
        <v>918</v>
      </c>
      <c r="B70" s="94" t="s">
        <v>919</v>
      </c>
      <c r="C70" s="95" t="s">
        <v>76</v>
      </c>
      <c r="D70" s="96" t="s">
        <v>130</v>
      </c>
      <c r="E70" s="97">
        <v>15236</v>
      </c>
      <c r="F70" s="97">
        <v>1373</v>
      </c>
      <c r="G70" s="97">
        <v>457</v>
      </c>
      <c r="H70" s="98">
        <v>8.1</v>
      </c>
      <c r="I70" s="97">
        <v>365</v>
      </c>
      <c r="J70" s="99">
        <v>17</v>
      </c>
    </row>
    <row r="71" spans="1:10" ht="16">
      <c r="A71" s="100" t="s">
        <v>1148</v>
      </c>
      <c r="B71" s="101" t="s">
        <v>1142</v>
      </c>
      <c r="C71" s="102" t="s">
        <v>76</v>
      </c>
      <c r="D71" s="103" t="s">
        <v>80</v>
      </c>
      <c r="E71" s="104">
        <v>12516</v>
      </c>
      <c r="F71" s="104">
        <v>1138</v>
      </c>
      <c r="G71" s="104">
        <v>1188</v>
      </c>
      <c r="H71" s="105">
        <v>10.9</v>
      </c>
      <c r="I71" s="104">
        <v>524</v>
      </c>
      <c r="J71" s="106">
        <v>21.4</v>
      </c>
    </row>
    <row r="72" spans="1:10" ht="16">
      <c r="A72" s="93" t="s">
        <v>920</v>
      </c>
      <c r="B72" s="94" t="s">
        <v>919</v>
      </c>
      <c r="C72" s="95" t="s">
        <v>107</v>
      </c>
      <c r="D72" s="96" t="s">
        <v>84</v>
      </c>
      <c r="E72" s="97">
        <v>19785</v>
      </c>
      <c r="F72" s="97">
        <v>4122</v>
      </c>
      <c r="G72" s="97">
        <v>1583</v>
      </c>
      <c r="H72" s="98">
        <v>17.399999999999999</v>
      </c>
      <c r="I72" s="97">
        <v>2929</v>
      </c>
      <c r="J72" s="99">
        <v>34</v>
      </c>
    </row>
    <row r="73" spans="1:10" ht="16">
      <c r="A73" s="100" t="s">
        <v>1291</v>
      </c>
      <c r="B73" s="101" t="s">
        <v>1288</v>
      </c>
      <c r="C73" s="102" t="s">
        <v>76</v>
      </c>
      <c r="D73" s="103" t="s">
        <v>77</v>
      </c>
      <c r="E73" s="104">
        <v>17078</v>
      </c>
      <c r="F73" s="104">
        <v>1054</v>
      </c>
      <c r="G73" s="104">
        <v>1025</v>
      </c>
      <c r="H73" s="105">
        <v>18.2</v>
      </c>
      <c r="I73" s="104">
        <v>9831</v>
      </c>
      <c r="J73" s="106">
        <v>32.1</v>
      </c>
    </row>
    <row r="74" spans="1:10" ht="16">
      <c r="A74" s="93" t="s">
        <v>222</v>
      </c>
      <c r="B74" s="94" t="s">
        <v>223</v>
      </c>
      <c r="C74" s="95" t="s">
        <v>107</v>
      </c>
      <c r="D74" s="96" t="s">
        <v>130</v>
      </c>
      <c r="E74" s="97">
        <v>29952</v>
      </c>
      <c r="F74" s="97">
        <v>2186</v>
      </c>
      <c r="G74" s="97">
        <v>1797</v>
      </c>
      <c r="H74" s="98">
        <v>34.200000000000003</v>
      </c>
      <c r="I74" s="97">
        <v>13065</v>
      </c>
      <c r="J74" s="99">
        <v>30.4</v>
      </c>
    </row>
    <row r="75" spans="1:10" ht="16">
      <c r="A75" s="100" t="s">
        <v>224</v>
      </c>
      <c r="B75" s="101" t="s">
        <v>223</v>
      </c>
      <c r="C75" s="102" t="s">
        <v>107</v>
      </c>
      <c r="D75" s="103" t="s">
        <v>80</v>
      </c>
      <c r="E75" s="104">
        <v>30608</v>
      </c>
      <c r="F75" s="104">
        <v>2301</v>
      </c>
      <c r="G75" s="104">
        <v>2449</v>
      </c>
      <c r="H75" s="105">
        <v>32.1</v>
      </c>
      <c r="I75" s="104">
        <v>10528</v>
      </c>
      <c r="J75" s="106">
        <v>30.6</v>
      </c>
    </row>
    <row r="76" spans="1:10" ht="16">
      <c r="A76" s="93" t="s">
        <v>225</v>
      </c>
      <c r="B76" s="94" t="s">
        <v>223</v>
      </c>
      <c r="C76" s="95" t="s">
        <v>76</v>
      </c>
      <c r="D76" s="96" t="s">
        <v>62</v>
      </c>
      <c r="E76" s="97">
        <v>26457</v>
      </c>
      <c r="F76" s="97">
        <v>1890</v>
      </c>
      <c r="G76" s="97">
        <v>2117</v>
      </c>
      <c r="H76" s="98">
        <v>23.5</v>
      </c>
      <c r="I76" s="97">
        <v>4782</v>
      </c>
      <c r="J76" s="99">
        <v>23.4</v>
      </c>
    </row>
    <row r="77" spans="1:10" ht="16">
      <c r="A77" s="100" t="s">
        <v>226</v>
      </c>
      <c r="B77" s="101" t="s">
        <v>223</v>
      </c>
      <c r="C77" s="102" t="s">
        <v>76</v>
      </c>
      <c r="D77" s="103" t="s">
        <v>62</v>
      </c>
      <c r="E77" s="104">
        <v>23524</v>
      </c>
      <c r="F77" s="104">
        <v>1528</v>
      </c>
      <c r="G77" s="104">
        <v>2588</v>
      </c>
      <c r="H77" s="105">
        <v>39.6</v>
      </c>
      <c r="I77" s="104">
        <v>19278</v>
      </c>
      <c r="J77" s="106">
        <v>46.5</v>
      </c>
    </row>
    <row r="78" spans="1:10" ht="16">
      <c r="A78" s="93" t="s">
        <v>141</v>
      </c>
      <c r="B78" s="94" t="s">
        <v>142</v>
      </c>
      <c r="C78" s="95" t="s">
        <v>76</v>
      </c>
      <c r="D78" s="96" t="s">
        <v>60</v>
      </c>
      <c r="E78" s="97">
        <v>27101</v>
      </c>
      <c r="F78" s="97">
        <v>3226</v>
      </c>
      <c r="G78" s="97">
        <v>2439</v>
      </c>
      <c r="H78" s="98">
        <v>9.6999999999999993</v>
      </c>
      <c r="I78" s="97">
        <v>1300</v>
      </c>
      <c r="J78" s="99">
        <v>21.3</v>
      </c>
    </row>
    <row r="79" spans="1:10" ht="16">
      <c r="A79" s="100" t="s">
        <v>921</v>
      </c>
      <c r="B79" s="101" t="s">
        <v>919</v>
      </c>
      <c r="C79" s="102" t="s">
        <v>76</v>
      </c>
      <c r="D79" s="103" t="s">
        <v>61</v>
      </c>
      <c r="E79" s="104">
        <v>13175</v>
      </c>
      <c r="F79" s="104">
        <v>983</v>
      </c>
      <c r="G79" s="104">
        <v>2372</v>
      </c>
      <c r="H79" s="105">
        <v>9.9</v>
      </c>
      <c r="I79" s="104">
        <v>2039</v>
      </c>
      <c r="J79" s="106">
        <v>19.100000000000001</v>
      </c>
    </row>
    <row r="80" spans="1:10" ht="16">
      <c r="A80" s="93" t="s">
        <v>350</v>
      </c>
      <c r="B80" s="94" t="s">
        <v>344</v>
      </c>
      <c r="C80" s="95" t="s">
        <v>107</v>
      </c>
      <c r="D80" s="96" t="s">
        <v>63</v>
      </c>
      <c r="E80" s="97">
        <v>97843</v>
      </c>
      <c r="F80" s="97">
        <v>3208</v>
      </c>
      <c r="G80" s="97">
        <v>4892</v>
      </c>
      <c r="H80" s="98">
        <v>7.5</v>
      </c>
      <c r="I80" s="97">
        <v>4097</v>
      </c>
      <c r="J80" s="99">
        <v>14.8</v>
      </c>
    </row>
    <row r="81" spans="1:10" ht="16">
      <c r="A81" s="100" t="s">
        <v>351</v>
      </c>
      <c r="B81" s="101" t="s">
        <v>344</v>
      </c>
      <c r="C81" s="102" t="s">
        <v>107</v>
      </c>
      <c r="D81" s="103" t="s">
        <v>82</v>
      </c>
      <c r="E81" s="104">
        <v>67981</v>
      </c>
      <c r="F81" s="104">
        <v>2687</v>
      </c>
      <c r="G81" s="104">
        <v>680</v>
      </c>
      <c r="H81" s="105">
        <v>7.4</v>
      </c>
      <c r="I81" s="104">
        <v>4508</v>
      </c>
      <c r="J81" s="106">
        <v>14.7</v>
      </c>
    </row>
    <row r="82" spans="1:10" ht="16">
      <c r="A82" s="93" t="s">
        <v>401</v>
      </c>
      <c r="B82" s="94" t="s">
        <v>402</v>
      </c>
      <c r="C82" s="95" t="s">
        <v>76</v>
      </c>
      <c r="D82" s="96" t="s">
        <v>77</v>
      </c>
      <c r="E82" s="97">
        <v>24875</v>
      </c>
      <c r="F82" s="97">
        <v>321</v>
      </c>
      <c r="G82" s="97">
        <v>1990</v>
      </c>
      <c r="H82" s="98">
        <v>42.7</v>
      </c>
      <c r="I82" s="97">
        <v>38912</v>
      </c>
      <c r="J82" s="99">
        <v>36.1</v>
      </c>
    </row>
    <row r="83" spans="1:10" ht="16">
      <c r="A83" s="100" t="s">
        <v>1149</v>
      </c>
      <c r="B83" s="101" t="s">
        <v>1142</v>
      </c>
      <c r="C83" s="102" t="s">
        <v>107</v>
      </c>
      <c r="D83" s="103" t="s">
        <v>62</v>
      </c>
      <c r="E83" s="104">
        <v>10374</v>
      </c>
      <c r="F83" s="104">
        <v>715</v>
      </c>
      <c r="G83" s="104">
        <v>934</v>
      </c>
      <c r="H83" s="105">
        <v>24.7</v>
      </c>
      <c r="I83" s="104">
        <v>13150</v>
      </c>
      <c r="J83" s="106">
        <v>24.5</v>
      </c>
    </row>
    <row r="84" spans="1:10" ht="16">
      <c r="A84" s="93" t="s">
        <v>1292</v>
      </c>
      <c r="B84" s="94" t="s">
        <v>1288</v>
      </c>
      <c r="C84" s="95" t="s">
        <v>107</v>
      </c>
      <c r="D84" s="96" t="s">
        <v>60</v>
      </c>
      <c r="E84" s="97">
        <v>17848</v>
      </c>
      <c r="F84" s="97">
        <v>766</v>
      </c>
      <c r="G84" s="97">
        <v>2499</v>
      </c>
      <c r="H84" s="98">
        <v>21.9</v>
      </c>
      <c r="I84" s="97">
        <v>13604</v>
      </c>
      <c r="J84" s="99">
        <v>22.8</v>
      </c>
    </row>
    <row r="85" spans="1:10" ht="16">
      <c r="A85" s="100" t="s">
        <v>1194</v>
      </c>
      <c r="B85" s="101" t="s">
        <v>1190</v>
      </c>
      <c r="C85" s="102" t="s">
        <v>76</v>
      </c>
      <c r="D85" s="103" t="s">
        <v>62</v>
      </c>
      <c r="E85" s="104">
        <v>8631</v>
      </c>
      <c r="F85" s="104">
        <v>546</v>
      </c>
      <c r="G85" s="104">
        <v>3280</v>
      </c>
      <c r="H85" s="105">
        <v>31.5</v>
      </c>
      <c r="I85" s="104">
        <v>19835</v>
      </c>
      <c r="J85" s="106">
        <v>27.6</v>
      </c>
    </row>
    <row r="86" spans="1:10" ht="16">
      <c r="A86" s="93" t="s">
        <v>483</v>
      </c>
      <c r="B86" s="94" t="s">
        <v>474</v>
      </c>
      <c r="C86" s="95" t="s">
        <v>107</v>
      </c>
      <c r="D86" s="96" t="s">
        <v>60</v>
      </c>
      <c r="E86" s="97">
        <v>13535</v>
      </c>
      <c r="F86" s="97">
        <v>778</v>
      </c>
      <c r="G86" s="97">
        <v>135</v>
      </c>
      <c r="H86" s="98">
        <v>10.9</v>
      </c>
      <c r="I86" s="97">
        <v>3381</v>
      </c>
      <c r="J86" s="99">
        <v>19.7</v>
      </c>
    </row>
    <row r="87" spans="1:10" ht="16">
      <c r="A87" s="100" t="s">
        <v>1195</v>
      </c>
      <c r="B87" s="101" t="s">
        <v>1190</v>
      </c>
      <c r="C87" s="102" t="s">
        <v>76</v>
      </c>
      <c r="D87" s="103" t="s">
        <v>84</v>
      </c>
      <c r="E87" s="104">
        <v>19975</v>
      </c>
      <c r="F87" s="104">
        <v>1104</v>
      </c>
      <c r="G87" s="104">
        <v>4594</v>
      </c>
      <c r="H87" s="105">
        <v>10.3</v>
      </c>
      <c r="I87" s="104">
        <v>3879</v>
      </c>
      <c r="J87" s="106">
        <v>16</v>
      </c>
    </row>
    <row r="88" spans="1:10" ht="16">
      <c r="A88" s="93" t="s">
        <v>1150</v>
      </c>
      <c r="B88" s="94" t="s">
        <v>1142</v>
      </c>
      <c r="C88" s="95" t="s">
        <v>107</v>
      </c>
      <c r="D88" s="96" t="s">
        <v>77</v>
      </c>
      <c r="E88" s="97">
        <v>13202</v>
      </c>
      <c r="F88" s="97">
        <v>569</v>
      </c>
      <c r="G88" s="97">
        <v>396</v>
      </c>
      <c r="H88" s="98">
        <v>21.2</v>
      </c>
      <c r="I88" s="97">
        <v>10521</v>
      </c>
      <c r="J88" s="99">
        <v>23.2</v>
      </c>
    </row>
    <row r="89" spans="1:10" ht="16">
      <c r="A89" s="100" t="s">
        <v>531</v>
      </c>
      <c r="B89" s="101" t="s">
        <v>530</v>
      </c>
      <c r="C89" s="102" t="s">
        <v>76</v>
      </c>
      <c r="D89" s="103" t="s">
        <v>62</v>
      </c>
      <c r="E89" s="104">
        <v>22289</v>
      </c>
      <c r="F89" s="104">
        <v>1798</v>
      </c>
      <c r="G89" s="104">
        <v>669</v>
      </c>
      <c r="H89" s="105">
        <v>10.6</v>
      </c>
      <c r="I89" s="104">
        <v>946</v>
      </c>
      <c r="J89" s="106">
        <v>19</v>
      </c>
    </row>
    <row r="90" spans="1:10" ht="16">
      <c r="A90" s="93" t="s">
        <v>91</v>
      </c>
      <c r="B90" s="94" t="s">
        <v>89</v>
      </c>
      <c r="C90" s="95" t="s">
        <v>76</v>
      </c>
      <c r="D90" s="96" t="s">
        <v>92</v>
      </c>
      <c r="E90" s="97">
        <v>3341</v>
      </c>
      <c r="F90" s="97">
        <v>324</v>
      </c>
      <c r="G90" s="97">
        <v>1437</v>
      </c>
      <c r="H90" s="98">
        <v>19.600000000000001</v>
      </c>
      <c r="I90" s="97">
        <v>12667</v>
      </c>
      <c r="J90" s="99">
        <v>21.1</v>
      </c>
    </row>
    <row r="91" spans="1:10" ht="16">
      <c r="A91" s="100" t="s">
        <v>1293</v>
      </c>
      <c r="B91" s="101" t="s">
        <v>1288</v>
      </c>
      <c r="C91" s="102" t="s">
        <v>76</v>
      </c>
      <c r="D91" s="103" t="s">
        <v>59</v>
      </c>
      <c r="E91" s="104">
        <v>12904</v>
      </c>
      <c r="F91" s="104">
        <v>822</v>
      </c>
      <c r="G91" s="104">
        <v>1419</v>
      </c>
      <c r="H91" s="105">
        <v>33.700000000000003</v>
      </c>
      <c r="I91" s="104">
        <v>23388</v>
      </c>
      <c r="J91" s="106">
        <v>36.700000000000003</v>
      </c>
    </row>
    <row r="92" spans="1:10" ht="16">
      <c r="A92" s="93" t="s">
        <v>1294</v>
      </c>
      <c r="B92" s="94" t="s">
        <v>1288</v>
      </c>
      <c r="C92" s="95" t="s">
        <v>76</v>
      </c>
      <c r="D92" s="96" t="s">
        <v>77</v>
      </c>
      <c r="E92" s="97">
        <v>25662</v>
      </c>
      <c r="F92" s="97">
        <v>2212</v>
      </c>
      <c r="G92" s="97">
        <v>6929</v>
      </c>
      <c r="H92" s="98">
        <v>55.6</v>
      </c>
      <c r="I92" s="97">
        <v>53302</v>
      </c>
      <c r="J92" s="99">
        <v>57.3</v>
      </c>
    </row>
    <row r="93" spans="1:10" ht="16">
      <c r="A93" s="100" t="s">
        <v>1196</v>
      </c>
      <c r="B93" s="101" t="s">
        <v>1190</v>
      </c>
      <c r="C93" s="102" t="s">
        <v>76</v>
      </c>
      <c r="D93" s="103" t="s">
        <v>92</v>
      </c>
      <c r="E93" s="104">
        <v>13692</v>
      </c>
      <c r="F93" s="104">
        <v>801</v>
      </c>
      <c r="G93" s="104">
        <v>2465</v>
      </c>
      <c r="H93" s="105">
        <v>18.7</v>
      </c>
      <c r="I93" s="104">
        <v>10429</v>
      </c>
      <c r="J93" s="106">
        <v>33.200000000000003</v>
      </c>
    </row>
    <row r="94" spans="1:10" ht="16">
      <c r="A94" s="93" t="s">
        <v>1295</v>
      </c>
      <c r="B94" s="94" t="s">
        <v>1288</v>
      </c>
      <c r="C94" s="95" t="s">
        <v>76</v>
      </c>
      <c r="D94" s="96" t="s">
        <v>61</v>
      </c>
      <c r="E94" s="97">
        <v>5375</v>
      </c>
      <c r="F94" s="97">
        <v>441</v>
      </c>
      <c r="G94" s="97">
        <v>1451</v>
      </c>
      <c r="H94" s="98">
        <v>22.9</v>
      </c>
      <c r="I94" s="97">
        <v>22937</v>
      </c>
      <c r="J94" s="99">
        <v>28.5</v>
      </c>
    </row>
    <row r="95" spans="1:10" ht="16">
      <c r="A95" s="100" t="s">
        <v>1197</v>
      </c>
      <c r="B95" s="101" t="s">
        <v>1190</v>
      </c>
      <c r="C95" s="102" t="s">
        <v>76</v>
      </c>
      <c r="D95" s="103" t="s">
        <v>130</v>
      </c>
      <c r="E95" s="104">
        <v>879</v>
      </c>
      <c r="F95" s="104">
        <v>78</v>
      </c>
      <c r="G95" s="104">
        <v>132</v>
      </c>
      <c r="H95" s="105">
        <v>19.899999999999999</v>
      </c>
      <c r="I95" s="104">
        <v>19983</v>
      </c>
      <c r="J95" s="106">
        <v>15.9</v>
      </c>
    </row>
    <row r="96" spans="1:10" ht="16">
      <c r="A96" s="93" t="s">
        <v>321</v>
      </c>
      <c r="B96" s="94" t="s">
        <v>322</v>
      </c>
      <c r="C96" s="95" t="s">
        <v>107</v>
      </c>
      <c r="D96" s="96" t="s">
        <v>130</v>
      </c>
      <c r="E96" s="97">
        <v>20275</v>
      </c>
      <c r="F96" s="97">
        <v>1034</v>
      </c>
      <c r="G96" s="97">
        <v>4461</v>
      </c>
      <c r="H96" s="98">
        <v>15.6</v>
      </c>
      <c r="I96" s="97">
        <v>3399</v>
      </c>
      <c r="J96" s="99">
        <v>18.600000000000001</v>
      </c>
    </row>
    <row r="97" spans="1:10" ht="16">
      <c r="A97" s="100" t="s">
        <v>1296</v>
      </c>
      <c r="B97" s="101" t="s">
        <v>1288</v>
      </c>
      <c r="C97" s="102" t="s">
        <v>107</v>
      </c>
      <c r="D97" s="103" t="s">
        <v>61</v>
      </c>
      <c r="E97" s="104">
        <v>9391</v>
      </c>
      <c r="F97" s="104">
        <v>870</v>
      </c>
      <c r="G97" s="104">
        <v>1878</v>
      </c>
      <c r="H97" s="105">
        <v>56.1</v>
      </c>
      <c r="I97" s="104">
        <v>53282</v>
      </c>
      <c r="J97" s="106">
        <v>64</v>
      </c>
    </row>
    <row r="98" spans="1:10" ht="16">
      <c r="A98" s="93" t="s">
        <v>1198</v>
      </c>
      <c r="B98" s="94" t="s">
        <v>1190</v>
      </c>
      <c r="C98" s="95" t="s">
        <v>107</v>
      </c>
      <c r="D98" s="96" t="s">
        <v>61</v>
      </c>
      <c r="E98" s="97">
        <v>10961</v>
      </c>
      <c r="F98" s="97">
        <v>672</v>
      </c>
      <c r="G98" s="97">
        <v>3946</v>
      </c>
      <c r="H98" s="98">
        <v>26.9</v>
      </c>
      <c r="I98" s="97">
        <v>17046</v>
      </c>
      <c r="J98" s="99">
        <v>26.9</v>
      </c>
    </row>
    <row r="99" spans="1:10" ht="16">
      <c r="A99" s="100" t="s">
        <v>541</v>
      </c>
      <c r="B99" s="101" t="s">
        <v>537</v>
      </c>
      <c r="C99" s="102" t="s">
        <v>76</v>
      </c>
      <c r="D99" s="103" t="s">
        <v>59</v>
      </c>
      <c r="E99" s="104">
        <v>11609</v>
      </c>
      <c r="F99" s="104">
        <v>441</v>
      </c>
      <c r="G99" s="104">
        <v>116</v>
      </c>
      <c r="H99" s="105">
        <v>15.3</v>
      </c>
      <c r="I99" s="104">
        <v>3967</v>
      </c>
      <c r="J99" s="106">
        <v>22.2</v>
      </c>
    </row>
    <row r="100" spans="1:10" ht="16">
      <c r="A100" s="93" t="s">
        <v>911</v>
      </c>
      <c r="B100" s="94" t="s">
        <v>909</v>
      </c>
      <c r="C100" s="95" t="s">
        <v>76</v>
      </c>
      <c r="D100" s="96" t="s">
        <v>59</v>
      </c>
      <c r="E100" s="97">
        <v>22022</v>
      </c>
      <c r="F100" s="97">
        <v>1488</v>
      </c>
      <c r="G100" s="97">
        <v>661</v>
      </c>
      <c r="H100" s="98">
        <v>10</v>
      </c>
      <c r="I100" s="97">
        <v>5325</v>
      </c>
      <c r="J100" s="99">
        <v>15.4</v>
      </c>
    </row>
    <row r="101" spans="1:10" ht="16">
      <c r="A101" s="100" t="s">
        <v>465</v>
      </c>
      <c r="B101" s="101" t="s">
        <v>466</v>
      </c>
      <c r="C101" s="102" t="s">
        <v>107</v>
      </c>
      <c r="D101" s="103" t="s">
        <v>82</v>
      </c>
      <c r="E101" s="104">
        <v>18219</v>
      </c>
      <c r="F101" s="104">
        <v>1078</v>
      </c>
      <c r="G101" s="104">
        <v>1275</v>
      </c>
      <c r="H101" s="105">
        <v>15.8</v>
      </c>
      <c r="I101" s="104">
        <v>4016</v>
      </c>
      <c r="J101" s="106">
        <v>17.399999999999999</v>
      </c>
    </row>
    <row r="102" spans="1:10" ht="16">
      <c r="A102" s="93" t="s">
        <v>352</v>
      </c>
      <c r="B102" s="94" t="s">
        <v>344</v>
      </c>
      <c r="C102" s="95" t="s">
        <v>107</v>
      </c>
      <c r="D102" s="96" t="s">
        <v>80</v>
      </c>
      <c r="E102" s="97">
        <v>223275</v>
      </c>
      <c r="F102" s="97">
        <v>5499</v>
      </c>
      <c r="G102" s="97">
        <v>4466</v>
      </c>
      <c r="H102" s="98">
        <v>13.7</v>
      </c>
      <c r="I102" s="97">
        <v>7101</v>
      </c>
      <c r="J102" s="99">
        <v>21.8</v>
      </c>
    </row>
    <row r="103" spans="1:10" ht="16">
      <c r="A103" s="100" t="s">
        <v>1297</v>
      </c>
      <c r="B103" s="101" t="s">
        <v>1288</v>
      </c>
      <c r="C103" s="102" t="s">
        <v>107</v>
      </c>
      <c r="D103" s="103" t="s">
        <v>130</v>
      </c>
      <c r="E103" s="104">
        <v>2240</v>
      </c>
      <c r="F103" s="104">
        <v>350</v>
      </c>
      <c r="G103" s="104">
        <v>672</v>
      </c>
      <c r="H103" s="105">
        <v>97.2</v>
      </c>
      <c r="I103" s="104">
        <v>95230</v>
      </c>
      <c r="J103" s="106">
        <v>92.1</v>
      </c>
    </row>
    <row r="104" spans="1:10" ht="16">
      <c r="A104" s="93" t="s">
        <v>1298</v>
      </c>
      <c r="B104" s="94" t="s">
        <v>1288</v>
      </c>
      <c r="C104" s="95" t="s">
        <v>76</v>
      </c>
      <c r="D104" s="96" t="s">
        <v>77</v>
      </c>
      <c r="E104" s="97">
        <v>30595</v>
      </c>
      <c r="F104" s="97">
        <v>1553</v>
      </c>
      <c r="G104" s="97">
        <v>1224</v>
      </c>
      <c r="H104" s="98">
        <v>10.1</v>
      </c>
      <c r="I104" s="97">
        <v>2773</v>
      </c>
      <c r="J104" s="99">
        <v>23.1</v>
      </c>
    </row>
    <row r="105" spans="1:10" ht="16">
      <c r="A105" s="100" t="s">
        <v>1151</v>
      </c>
      <c r="B105" s="101" t="s">
        <v>1142</v>
      </c>
      <c r="C105" s="102" t="s">
        <v>107</v>
      </c>
      <c r="D105" s="103" t="s">
        <v>62</v>
      </c>
      <c r="E105" s="104">
        <v>9164</v>
      </c>
      <c r="F105" s="104">
        <v>323</v>
      </c>
      <c r="G105" s="104">
        <v>183</v>
      </c>
      <c r="H105" s="105">
        <v>11.4</v>
      </c>
      <c r="I105" s="104">
        <v>11423</v>
      </c>
      <c r="J105" s="106">
        <v>14.9</v>
      </c>
    </row>
    <row r="106" spans="1:10" ht="16">
      <c r="A106" s="93" t="s">
        <v>1199</v>
      </c>
      <c r="B106" s="94" t="s">
        <v>1190</v>
      </c>
      <c r="C106" s="95" t="s">
        <v>76</v>
      </c>
      <c r="D106" s="96" t="s">
        <v>59</v>
      </c>
      <c r="E106" s="97">
        <v>11386</v>
      </c>
      <c r="F106" s="97">
        <v>674</v>
      </c>
      <c r="G106" s="97">
        <v>1366</v>
      </c>
      <c r="H106" s="98">
        <v>11.3</v>
      </c>
      <c r="I106" s="97">
        <v>2286</v>
      </c>
      <c r="J106" s="99">
        <v>16.399999999999999</v>
      </c>
    </row>
    <row r="107" spans="1:10" ht="16">
      <c r="A107" s="100" t="s">
        <v>227</v>
      </c>
      <c r="B107" s="101" t="s">
        <v>223</v>
      </c>
      <c r="C107" s="102" t="s">
        <v>76</v>
      </c>
      <c r="D107" s="103" t="s">
        <v>80</v>
      </c>
      <c r="E107" s="104">
        <v>13178</v>
      </c>
      <c r="F107" s="104">
        <v>1938</v>
      </c>
      <c r="G107" s="104">
        <v>659</v>
      </c>
      <c r="H107" s="105">
        <v>20.2</v>
      </c>
      <c r="I107" s="104">
        <v>4991</v>
      </c>
      <c r="J107" s="106">
        <v>30.2</v>
      </c>
    </row>
    <row r="108" spans="1:10" ht="16">
      <c r="A108" s="93" t="s">
        <v>1200</v>
      </c>
      <c r="B108" s="94" t="s">
        <v>1190</v>
      </c>
      <c r="C108" s="95" t="s">
        <v>76</v>
      </c>
      <c r="D108" s="96" t="s">
        <v>60</v>
      </c>
      <c r="E108" s="97">
        <v>8661</v>
      </c>
      <c r="F108" s="97">
        <v>525</v>
      </c>
      <c r="G108" s="97">
        <v>1472</v>
      </c>
      <c r="H108" s="98">
        <v>10.8</v>
      </c>
      <c r="I108" s="97">
        <v>4441</v>
      </c>
      <c r="J108" s="99">
        <v>16.5</v>
      </c>
    </row>
    <row r="109" spans="1:10" ht="16">
      <c r="A109" s="100" t="s">
        <v>1201</v>
      </c>
      <c r="B109" s="101" t="s">
        <v>1190</v>
      </c>
      <c r="C109" s="102" t="s">
        <v>76</v>
      </c>
      <c r="D109" s="103" t="s">
        <v>80</v>
      </c>
      <c r="E109" s="104">
        <v>25501</v>
      </c>
      <c r="F109" s="104">
        <v>1889</v>
      </c>
      <c r="G109" s="104">
        <v>6885</v>
      </c>
      <c r="H109" s="105">
        <v>35.5</v>
      </c>
      <c r="I109" s="104">
        <v>30992</v>
      </c>
      <c r="J109" s="106">
        <v>32.5</v>
      </c>
    </row>
    <row r="110" spans="1:10" ht="16">
      <c r="A110" s="93" t="s">
        <v>183</v>
      </c>
      <c r="B110" s="94" t="s">
        <v>184</v>
      </c>
      <c r="C110" s="95" t="s">
        <v>107</v>
      </c>
      <c r="D110" s="96" t="s">
        <v>130</v>
      </c>
      <c r="E110" s="97">
        <v>27570</v>
      </c>
      <c r="F110" s="97">
        <v>928</v>
      </c>
      <c r="G110" s="97">
        <v>5790</v>
      </c>
      <c r="H110" s="98">
        <v>27.2</v>
      </c>
      <c r="I110" s="97">
        <v>15584</v>
      </c>
      <c r="J110" s="99">
        <v>20.2</v>
      </c>
    </row>
    <row r="111" spans="1:10" ht="16">
      <c r="A111" s="100" t="s">
        <v>1022</v>
      </c>
      <c r="B111" s="101" t="s">
        <v>1020</v>
      </c>
      <c r="C111" s="102" t="s">
        <v>107</v>
      </c>
      <c r="D111" s="103" t="s">
        <v>59</v>
      </c>
      <c r="E111" s="104">
        <v>17265</v>
      </c>
      <c r="F111" s="104">
        <v>1570</v>
      </c>
      <c r="G111" s="104">
        <v>2590</v>
      </c>
      <c r="H111" s="105">
        <v>16.3</v>
      </c>
      <c r="I111" s="104">
        <v>5699</v>
      </c>
      <c r="J111" s="106">
        <v>24.4</v>
      </c>
    </row>
    <row r="112" spans="1:10" ht="16">
      <c r="A112" s="93" t="s">
        <v>1299</v>
      </c>
      <c r="B112" s="94" t="s">
        <v>1288</v>
      </c>
      <c r="C112" s="95" t="s">
        <v>107</v>
      </c>
      <c r="D112" s="96" t="s">
        <v>77</v>
      </c>
      <c r="E112" s="97">
        <v>13430</v>
      </c>
      <c r="F112" s="97">
        <v>988</v>
      </c>
      <c r="G112" s="97">
        <v>6446</v>
      </c>
      <c r="H112" s="98">
        <v>82.7</v>
      </c>
      <c r="I112" s="97">
        <v>81228</v>
      </c>
      <c r="J112" s="99">
        <v>65.900000000000006</v>
      </c>
    </row>
    <row r="113" spans="1:10" ht="16">
      <c r="A113" s="100" t="s">
        <v>1300</v>
      </c>
      <c r="B113" s="101" t="s">
        <v>1288</v>
      </c>
      <c r="C113" s="102" t="s">
        <v>107</v>
      </c>
      <c r="D113" s="103" t="s">
        <v>61</v>
      </c>
      <c r="E113" s="104">
        <v>10654</v>
      </c>
      <c r="F113" s="104">
        <v>1211</v>
      </c>
      <c r="G113" s="104">
        <v>2450</v>
      </c>
      <c r="H113" s="105">
        <v>39.9</v>
      </c>
      <c r="I113" s="104">
        <v>38101</v>
      </c>
      <c r="J113" s="106">
        <v>48.4</v>
      </c>
    </row>
    <row r="114" spans="1:10" ht="16">
      <c r="A114" s="93" t="s">
        <v>892</v>
      </c>
      <c r="B114" s="94" t="s">
        <v>893</v>
      </c>
      <c r="C114" s="95" t="s">
        <v>76</v>
      </c>
      <c r="D114" s="96" t="s">
        <v>63</v>
      </c>
      <c r="E114" s="97">
        <v>10998</v>
      </c>
      <c r="F114" s="97">
        <v>412</v>
      </c>
      <c r="G114" s="97">
        <v>1100</v>
      </c>
      <c r="H114" s="98">
        <v>15</v>
      </c>
      <c r="I114" s="97">
        <v>14234</v>
      </c>
      <c r="J114" s="99">
        <v>18.3</v>
      </c>
    </row>
    <row r="115" spans="1:10" ht="16">
      <c r="A115" s="100" t="s">
        <v>213</v>
      </c>
      <c r="B115" s="101" t="s">
        <v>212</v>
      </c>
      <c r="C115" s="102" t="s">
        <v>107</v>
      </c>
      <c r="D115" s="103" t="s">
        <v>84</v>
      </c>
      <c r="E115" s="104">
        <v>11871</v>
      </c>
      <c r="F115" s="104">
        <v>606</v>
      </c>
      <c r="G115" s="104">
        <v>237</v>
      </c>
      <c r="H115" s="105">
        <v>14.2</v>
      </c>
      <c r="I115" s="104">
        <v>2689</v>
      </c>
      <c r="J115" s="106">
        <v>14.8</v>
      </c>
    </row>
    <row r="116" spans="1:10" ht="16">
      <c r="A116" s="93" t="s">
        <v>599</v>
      </c>
      <c r="B116" s="94" t="s">
        <v>598</v>
      </c>
      <c r="C116" s="95" t="s">
        <v>76</v>
      </c>
      <c r="D116" s="96" t="s">
        <v>82</v>
      </c>
      <c r="E116" s="97">
        <v>28725</v>
      </c>
      <c r="F116" s="97">
        <v>1330</v>
      </c>
      <c r="G116" s="97">
        <v>2011</v>
      </c>
      <c r="H116" s="98">
        <v>20.9</v>
      </c>
      <c r="I116" s="97">
        <v>15220</v>
      </c>
      <c r="J116" s="99">
        <v>18.399999999999999</v>
      </c>
    </row>
    <row r="117" spans="1:10" ht="16">
      <c r="A117" s="100" t="s">
        <v>93</v>
      </c>
      <c r="B117" s="101" t="s">
        <v>89</v>
      </c>
      <c r="C117" s="102" t="s">
        <v>76</v>
      </c>
      <c r="D117" s="103" t="s">
        <v>82</v>
      </c>
      <c r="E117" s="104">
        <v>14701</v>
      </c>
      <c r="F117" s="104">
        <v>707</v>
      </c>
      <c r="G117" s="104">
        <v>4557</v>
      </c>
      <c r="H117" s="105">
        <v>12.9</v>
      </c>
      <c r="I117" s="104">
        <v>6477</v>
      </c>
      <c r="J117" s="106">
        <v>16.899999999999999</v>
      </c>
    </row>
    <row r="118" spans="1:10" ht="16">
      <c r="A118" s="93" t="s">
        <v>228</v>
      </c>
      <c r="B118" s="94" t="s">
        <v>223</v>
      </c>
      <c r="C118" s="95" t="s">
        <v>76</v>
      </c>
      <c r="D118" s="96" t="s">
        <v>130</v>
      </c>
      <c r="E118" s="97">
        <v>51546</v>
      </c>
      <c r="F118" s="97">
        <v>2801</v>
      </c>
      <c r="G118" s="97">
        <v>1031</v>
      </c>
      <c r="H118" s="98">
        <v>33.9</v>
      </c>
      <c r="I118" s="97">
        <v>19006</v>
      </c>
      <c r="J118" s="99">
        <v>32</v>
      </c>
    </row>
    <row r="119" spans="1:10" ht="16">
      <c r="A119" s="100" t="s">
        <v>378</v>
      </c>
      <c r="B119" s="101" t="s">
        <v>377</v>
      </c>
      <c r="C119" s="102" t="s">
        <v>107</v>
      </c>
      <c r="D119" s="103" t="s">
        <v>63</v>
      </c>
      <c r="E119" s="104">
        <v>1706</v>
      </c>
      <c r="F119" s="104">
        <v>106</v>
      </c>
      <c r="G119" s="104">
        <v>768</v>
      </c>
      <c r="H119" s="105">
        <v>29.6</v>
      </c>
      <c r="I119" s="104">
        <v>14393</v>
      </c>
      <c r="J119" s="106">
        <v>30.4</v>
      </c>
    </row>
    <row r="120" spans="1:10" ht="16">
      <c r="A120" s="93" t="s">
        <v>1061</v>
      </c>
      <c r="B120" s="94" t="s">
        <v>1062</v>
      </c>
      <c r="C120" s="95" t="s">
        <v>107</v>
      </c>
      <c r="D120" s="96" t="s">
        <v>62</v>
      </c>
      <c r="E120" s="97">
        <v>9209</v>
      </c>
      <c r="F120" s="97">
        <v>737</v>
      </c>
      <c r="G120" s="97">
        <v>1566</v>
      </c>
      <c r="H120" s="98">
        <v>42.1</v>
      </c>
      <c r="I120" s="97">
        <v>25304</v>
      </c>
      <c r="J120" s="99">
        <v>36.1</v>
      </c>
    </row>
    <row r="121" spans="1:10" ht="16">
      <c r="A121" s="100" t="s">
        <v>1082</v>
      </c>
      <c r="B121" s="101" t="s">
        <v>1081</v>
      </c>
      <c r="C121" s="102" t="s">
        <v>107</v>
      </c>
      <c r="D121" s="103" t="s">
        <v>63</v>
      </c>
      <c r="E121" s="104">
        <v>7556</v>
      </c>
      <c r="F121" s="104">
        <v>614</v>
      </c>
      <c r="G121" s="104">
        <v>378</v>
      </c>
      <c r="H121" s="105">
        <v>26.3</v>
      </c>
      <c r="I121" s="104">
        <v>7852</v>
      </c>
      <c r="J121" s="106">
        <v>23.3</v>
      </c>
    </row>
    <row r="122" spans="1:10" ht="16">
      <c r="A122" s="93" t="s">
        <v>1083</v>
      </c>
      <c r="B122" s="94" t="s">
        <v>1081</v>
      </c>
      <c r="C122" s="95" t="s">
        <v>76</v>
      </c>
      <c r="D122" s="96" t="s">
        <v>63</v>
      </c>
      <c r="E122" s="97">
        <v>16787</v>
      </c>
      <c r="F122" s="97">
        <v>401</v>
      </c>
      <c r="G122" s="97">
        <v>1343</v>
      </c>
      <c r="H122" s="98">
        <v>12.2</v>
      </c>
      <c r="I122" s="97">
        <v>867</v>
      </c>
      <c r="J122" s="99">
        <v>13.7</v>
      </c>
    </row>
    <row r="123" spans="1:10" ht="16">
      <c r="A123" s="100" t="s">
        <v>94</v>
      </c>
      <c r="B123" s="101" t="s">
        <v>89</v>
      </c>
      <c r="C123" s="102" t="s">
        <v>76</v>
      </c>
      <c r="D123" s="103" t="s">
        <v>84</v>
      </c>
      <c r="E123" s="104">
        <v>6314</v>
      </c>
      <c r="F123" s="104">
        <v>277</v>
      </c>
      <c r="G123" s="104">
        <v>2020</v>
      </c>
      <c r="H123" s="105">
        <v>24.3</v>
      </c>
      <c r="I123" s="104">
        <v>12541</v>
      </c>
      <c r="J123" s="106">
        <v>19.899999999999999</v>
      </c>
    </row>
    <row r="124" spans="1:10" ht="16">
      <c r="A124" s="93" t="s">
        <v>323</v>
      </c>
      <c r="B124" s="94" t="s">
        <v>322</v>
      </c>
      <c r="C124" s="95" t="s">
        <v>76</v>
      </c>
      <c r="D124" s="96" t="s">
        <v>82</v>
      </c>
      <c r="E124" s="97">
        <v>48623</v>
      </c>
      <c r="F124" s="97">
        <v>3829</v>
      </c>
      <c r="G124" s="97">
        <v>8752</v>
      </c>
      <c r="H124" s="98">
        <v>25.9</v>
      </c>
      <c r="I124" s="97">
        <v>13748</v>
      </c>
      <c r="J124" s="99">
        <v>32.9</v>
      </c>
    </row>
    <row r="125" spans="1:10" ht="16">
      <c r="A125" s="100" t="s">
        <v>403</v>
      </c>
      <c r="B125" s="101" t="s">
        <v>402</v>
      </c>
      <c r="C125" s="102" t="s">
        <v>107</v>
      </c>
      <c r="D125" s="103" t="s">
        <v>59</v>
      </c>
      <c r="E125" s="104">
        <v>10473</v>
      </c>
      <c r="F125" s="104">
        <v>229</v>
      </c>
      <c r="G125" s="104">
        <v>2514</v>
      </c>
      <c r="H125" s="105">
        <v>26.5</v>
      </c>
      <c r="I125" s="104">
        <v>7119</v>
      </c>
      <c r="J125" s="106">
        <v>33</v>
      </c>
    </row>
    <row r="126" spans="1:10" ht="16">
      <c r="A126" s="93" t="s">
        <v>1119</v>
      </c>
      <c r="B126" s="94" t="s">
        <v>1120</v>
      </c>
      <c r="C126" s="95" t="s">
        <v>76</v>
      </c>
      <c r="D126" s="96" t="s">
        <v>82</v>
      </c>
      <c r="E126" s="97">
        <v>35013</v>
      </c>
      <c r="F126" s="97">
        <v>2259</v>
      </c>
      <c r="G126" s="97">
        <v>700</v>
      </c>
      <c r="H126" s="98">
        <v>14.2</v>
      </c>
      <c r="I126" s="97">
        <v>2563</v>
      </c>
      <c r="J126" s="99">
        <v>20.8</v>
      </c>
    </row>
    <row r="127" spans="1:10" ht="16">
      <c r="A127" s="100" t="s">
        <v>645</v>
      </c>
      <c r="B127" s="101" t="s">
        <v>642</v>
      </c>
      <c r="C127" s="102" t="s">
        <v>107</v>
      </c>
      <c r="D127" s="103" t="s">
        <v>59</v>
      </c>
      <c r="E127" s="104">
        <v>9763</v>
      </c>
      <c r="F127" s="104">
        <v>321</v>
      </c>
      <c r="G127" s="104">
        <v>98</v>
      </c>
      <c r="H127" s="105">
        <v>9.1</v>
      </c>
      <c r="I127" s="104">
        <v>625</v>
      </c>
      <c r="J127" s="106">
        <v>14.6</v>
      </c>
    </row>
    <row r="128" spans="1:10" ht="16">
      <c r="A128" s="93" t="s">
        <v>646</v>
      </c>
      <c r="B128" s="94" t="s">
        <v>642</v>
      </c>
      <c r="C128" s="95" t="s">
        <v>107</v>
      </c>
      <c r="D128" s="96" t="s">
        <v>92</v>
      </c>
      <c r="E128" s="97">
        <v>13764</v>
      </c>
      <c r="F128" s="97">
        <v>1404</v>
      </c>
      <c r="G128" s="97">
        <v>688</v>
      </c>
      <c r="H128" s="98">
        <v>19.100000000000001</v>
      </c>
      <c r="I128" s="97">
        <v>6266</v>
      </c>
      <c r="J128" s="99">
        <v>28.7</v>
      </c>
    </row>
    <row r="129" spans="1:10" ht="16">
      <c r="A129" s="100" t="s">
        <v>229</v>
      </c>
      <c r="B129" s="101" t="s">
        <v>223</v>
      </c>
      <c r="C129" s="102" t="s">
        <v>76</v>
      </c>
      <c r="D129" s="103" t="s">
        <v>63</v>
      </c>
      <c r="E129" s="104">
        <v>19586</v>
      </c>
      <c r="F129" s="104">
        <v>1688</v>
      </c>
      <c r="G129" s="104">
        <v>196</v>
      </c>
      <c r="H129" s="105">
        <v>26.2</v>
      </c>
      <c r="I129" s="104">
        <v>10672</v>
      </c>
      <c r="J129" s="106">
        <v>34.9</v>
      </c>
    </row>
    <row r="130" spans="1:10" ht="16">
      <c r="A130" s="93" t="s">
        <v>1084</v>
      </c>
      <c r="B130" s="94" t="s">
        <v>1081</v>
      </c>
      <c r="C130" s="95" t="s">
        <v>76</v>
      </c>
      <c r="D130" s="96" t="s">
        <v>82</v>
      </c>
      <c r="E130" s="97">
        <v>7603</v>
      </c>
      <c r="F130" s="97">
        <v>461</v>
      </c>
      <c r="G130" s="97">
        <v>608</v>
      </c>
      <c r="H130" s="98">
        <v>32.4</v>
      </c>
      <c r="I130" s="97">
        <v>14907</v>
      </c>
      <c r="J130" s="99">
        <v>25.8</v>
      </c>
    </row>
    <row r="131" spans="1:10" ht="16">
      <c r="A131" s="100" t="s">
        <v>230</v>
      </c>
      <c r="B131" s="101" t="s">
        <v>223</v>
      </c>
      <c r="C131" s="102" t="s">
        <v>76</v>
      </c>
      <c r="D131" s="103" t="s">
        <v>61</v>
      </c>
      <c r="E131" s="104">
        <v>16144</v>
      </c>
      <c r="F131" s="104">
        <v>897</v>
      </c>
      <c r="G131" s="104">
        <v>484</v>
      </c>
      <c r="H131" s="105">
        <v>13.1</v>
      </c>
      <c r="I131" s="104">
        <v>4661</v>
      </c>
      <c r="J131" s="106">
        <v>22.9</v>
      </c>
    </row>
    <row r="132" spans="1:10" ht="16">
      <c r="A132" s="93" t="s">
        <v>231</v>
      </c>
      <c r="B132" s="94" t="s">
        <v>223</v>
      </c>
      <c r="C132" s="95" t="s">
        <v>107</v>
      </c>
      <c r="D132" s="96" t="s">
        <v>63</v>
      </c>
      <c r="E132" s="97">
        <v>17752</v>
      </c>
      <c r="F132" s="97">
        <v>1168</v>
      </c>
      <c r="G132" s="97">
        <v>178</v>
      </c>
      <c r="H132" s="98">
        <v>14.2</v>
      </c>
      <c r="I132" s="97">
        <v>5639</v>
      </c>
      <c r="J132" s="99">
        <v>24.7</v>
      </c>
    </row>
    <row r="133" spans="1:10" ht="16">
      <c r="A133" s="100" t="s">
        <v>232</v>
      </c>
      <c r="B133" s="101" t="s">
        <v>223</v>
      </c>
      <c r="C133" s="102" t="s">
        <v>76</v>
      </c>
      <c r="D133" s="103" t="s">
        <v>63</v>
      </c>
      <c r="E133" s="104">
        <v>28934</v>
      </c>
      <c r="F133" s="104">
        <v>1733</v>
      </c>
      <c r="G133" s="104">
        <v>1157</v>
      </c>
      <c r="H133" s="105">
        <v>17.2</v>
      </c>
      <c r="I133" s="104">
        <v>7418</v>
      </c>
      <c r="J133" s="106">
        <v>20.5</v>
      </c>
    </row>
    <row r="134" spans="1:10" ht="16">
      <c r="A134" s="93" t="s">
        <v>233</v>
      </c>
      <c r="B134" s="94" t="s">
        <v>223</v>
      </c>
      <c r="C134" s="95" t="s">
        <v>107</v>
      </c>
      <c r="D134" s="96" t="s">
        <v>80</v>
      </c>
      <c r="E134" s="97">
        <v>47225</v>
      </c>
      <c r="F134" s="97">
        <v>2539</v>
      </c>
      <c r="G134" s="97">
        <v>945</v>
      </c>
      <c r="H134" s="98">
        <v>13.6</v>
      </c>
      <c r="I134" s="97">
        <v>6472</v>
      </c>
      <c r="J134" s="99">
        <v>19.899999999999999</v>
      </c>
    </row>
    <row r="135" spans="1:10" ht="16">
      <c r="A135" s="100" t="s">
        <v>234</v>
      </c>
      <c r="B135" s="101" t="s">
        <v>223</v>
      </c>
      <c r="C135" s="102" t="s">
        <v>107</v>
      </c>
      <c r="D135" s="103" t="s">
        <v>84</v>
      </c>
      <c r="E135" s="104">
        <v>15150</v>
      </c>
      <c r="F135" s="104">
        <v>810</v>
      </c>
      <c r="G135" s="104">
        <v>606</v>
      </c>
      <c r="H135" s="105">
        <v>26.1</v>
      </c>
      <c r="I135" s="104">
        <v>10265</v>
      </c>
      <c r="J135" s="106">
        <v>24</v>
      </c>
    </row>
    <row r="136" spans="1:10" ht="16">
      <c r="A136" s="93" t="s">
        <v>458</v>
      </c>
      <c r="B136" s="94" t="s">
        <v>459</v>
      </c>
      <c r="C136" s="95" t="s">
        <v>107</v>
      </c>
      <c r="D136" s="96" t="s">
        <v>130</v>
      </c>
      <c r="E136" s="97">
        <v>18340</v>
      </c>
      <c r="F136" s="97">
        <v>986</v>
      </c>
      <c r="G136" s="97">
        <v>5869</v>
      </c>
      <c r="H136" s="98">
        <v>62.8</v>
      </c>
      <c r="I136" s="97">
        <v>53115</v>
      </c>
      <c r="J136" s="99">
        <v>55.8</v>
      </c>
    </row>
    <row r="137" spans="1:10" ht="16">
      <c r="A137" s="100" t="s">
        <v>989</v>
      </c>
      <c r="B137" s="101" t="s">
        <v>988</v>
      </c>
      <c r="C137" s="102" t="s">
        <v>107</v>
      </c>
      <c r="D137" s="103" t="s">
        <v>84</v>
      </c>
      <c r="E137" s="104">
        <v>20601</v>
      </c>
      <c r="F137" s="104">
        <v>995</v>
      </c>
      <c r="G137" s="104">
        <v>1030</v>
      </c>
      <c r="H137" s="105">
        <v>20.399999999999999</v>
      </c>
      <c r="I137" s="104">
        <v>4867</v>
      </c>
      <c r="J137" s="106">
        <v>22.9</v>
      </c>
    </row>
    <row r="138" spans="1:10" ht="16">
      <c r="A138" s="93" t="s">
        <v>235</v>
      </c>
      <c r="B138" s="94" t="s">
        <v>223</v>
      </c>
      <c r="C138" s="95" t="s">
        <v>76</v>
      </c>
      <c r="D138" s="96" t="s">
        <v>130</v>
      </c>
      <c r="E138" s="97">
        <v>44394</v>
      </c>
      <c r="F138" s="97">
        <v>2775</v>
      </c>
      <c r="G138" s="97">
        <v>1776</v>
      </c>
      <c r="H138" s="98">
        <v>21.3</v>
      </c>
      <c r="I138" s="97">
        <v>7529</v>
      </c>
      <c r="J138" s="99">
        <v>23.2</v>
      </c>
    </row>
    <row r="139" spans="1:10" ht="16">
      <c r="A139" s="100" t="s">
        <v>990</v>
      </c>
      <c r="B139" s="101" t="s">
        <v>988</v>
      </c>
      <c r="C139" s="102" t="s">
        <v>107</v>
      </c>
      <c r="D139" s="103" t="s">
        <v>62</v>
      </c>
      <c r="E139" s="104">
        <v>22469</v>
      </c>
      <c r="F139" s="104">
        <v>1330</v>
      </c>
      <c r="G139" s="104">
        <v>1348</v>
      </c>
      <c r="H139" s="105">
        <v>20.2</v>
      </c>
      <c r="I139" s="104">
        <v>5994</v>
      </c>
      <c r="J139" s="106">
        <v>21.3</v>
      </c>
    </row>
    <row r="140" spans="1:10" ht="16">
      <c r="A140" s="93" t="s">
        <v>647</v>
      </c>
      <c r="B140" s="94" t="s">
        <v>642</v>
      </c>
      <c r="C140" s="95" t="s">
        <v>107</v>
      </c>
      <c r="D140" s="96" t="s">
        <v>59</v>
      </c>
      <c r="E140" s="97">
        <v>12533</v>
      </c>
      <c r="F140" s="97">
        <v>520</v>
      </c>
      <c r="G140" s="97">
        <v>125</v>
      </c>
      <c r="H140" s="98">
        <v>9.6999999999999993</v>
      </c>
      <c r="I140" s="97">
        <v>1713</v>
      </c>
      <c r="J140" s="99">
        <v>13.6</v>
      </c>
    </row>
    <row r="141" spans="1:10" ht="16">
      <c r="A141" s="100" t="s">
        <v>1121</v>
      </c>
      <c r="B141" s="101" t="s">
        <v>1120</v>
      </c>
      <c r="C141" s="102" t="s">
        <v>76</v>
      </c>
      <c r="D141" s="103" t="s">
        <v>59</v>
      </c>
      <c r="E141" s="104">
        <v>38531</v>
      </c>
      <c r="F141" s="104">
        <v>2752</v>
      </c>
      <c r="G141" s="104">
        <v>1541</v>
      </c>
      <c r="H141" s="105">
        <v>21.7</v>
      </c>
      <c r="I141" s="104">
        <v>4825</v>
      </c>
      <c r="J141" s="106">
        <v>31.5</v>
      </c>
    </row>
    <row r="142" spans="1:10" ht="16">
      <c r="A142" s="93" t="s">
        <v>1085</v>
      </c>
      <c r="B142" s="94" t="s">
        <v>1081</v>
      </c>
      <c r="C142" s="95" t="s">
        <v>107</v>
      </c>
      <c r="D142" s="96" t="s">
        <v>77</v>
      </c>
      <c r="E142" s="97">
        <v>15926</v>
      </c>
      <c r="F142" s="97">
        <v>484</v>
      </c>
      <c r="G142" s="97">
        <v>1752</v>
      </c>
      <c r="H142" s="98">
        <v>24.6</v>
      </c>
      <c r="I142" s="97">
        <v>3648</v>
      </c>
      <c r="J142" s="99">
        <v>16.8</v>
      </c>
    </row>
    <row r="143" spans="1:10" ht="16">
      <c r="A143" s="100" t="s">
        <v>991</v>
      </c>
      <c r="B143" s="101" t="s">
        <v>988</v>
      </c>
      <c r="C143" s="102" t="s">
        <v>107</v>
      </c>
      <c r="D143" s="103" t="s">
        <v>84</v>
      </c>
      <c r="E143" s="104">
        <v>16681</v>
      </c>
      <c r="F143" s="104">
        <v>755</v>
      </c>
      <c r="G143" s="104">
        <v>3003</v>
      </c>
      <c r="H143" s="105">
        <v>37</v>
      </c>
      <c r="I143" s="104">
        <v>9328</v>
      </c>
      <c r="J143" s="106">
        <v>37.9</v>
      </c>
    </row>
    <row r="144" spans="1:10" ht="16">
      <c r="A144" s="93" t="s">
        <v>992</v>
      </c>
      <c r="B144" s="94" t="s">
        <v>988</v>
      </c>
      <c r="C144" s="95" t="s">
        <v>107</v>
      </c>
      <c r="D144" s="96" t="s">
        <v>63</v>
      </c>
      <c r="E144" s="97">
        <v>21908</v>
      </c>
      <c r="F144" s="97">
        <v>1101</v>
      </c>
      <c r="G144" s="97">
        <v>876</v>
      </c>
      <c r="H144" s="98">
        <v>21.1</v>
      </c>
      <c r="I144" s="97">
        <v>2556</v>
      </c>
      <c r="J144" s="99">
        <v>22.7</v>
      </c>
    </row>
    <row r="145" spans="1:10" ht="16">
      <c r="A145" s="100" t="s">
        <v>648</v>
      </c>
      <c r="B145" s="101" t="s">
        <v>642</v>
      </c>
      <c r="C145" s="102" t="s">
        <v>107</v>
      </c>
      <c r="D145" s="103" t="s">
        <v>82</v>
      </c>
      <c r="E145" s="104">
        <v>26302</v>
      </c>
      <c r="F145" s="104">
        <v>707</v>
      </c>
      <c r="G145" s="104">
        <v>1052</v>
      </c>
      <c r="H145" s="105">
        <v>10.3</v>
      </c>
      <c r="I145" s="104">
        <v>2380</v>
      </c>
      <c r="J145" s="106">
        <v>27.2</v>
      </c>
    </row>
    <row r="146" spans="1:10" ht="16">
      <c r="A146" s="93" t="s">
        <v>460</v>
      </c>
      <c r="B146" s="94" t="s">
        <v>459</v>
      </c>
      <c r="C146" s="95" t="s">
        <v>76</v>
      </c>
      <c r="D146" s="96" t="s">
        <v>60</v>
      </c>
      <c r="E146" s="97">
        <v>9587</v>
      </c>
      <c r="F146" s="97">
        <v>872</v>
      </c>
      <c r="G146" s="97">
        <v>4314</v>
      </c>
      <c r="H146" s="98">
        <v>48.9</v>
      </c>
      <c r="I146" s="97">
        <v>38021</v>
      </c>
      <c r="J146" s="99">
        <v>41</v>
      </c>
    </row>
    <row r="147" spans="1:10" ht="16">
      <c r="A147" s="100" t="s">
        <v>1202</v>
      </c>
      <c r="B147" s="101" t="s">
        <v>1190</v>
      </c>
      <c r="C147" s="102" t="s">
        <v>76</v>
      </c>
      <c r="D147" s="103" t="s">
        <v>84</v>
      </c>
      <c r="E147" s="104">
        <v>14362</v>
      </c>
      <c r="F147" s="104">
        <v>776</v>
      </c>
      <c r="G147" s="104">
        <v>7325</v>
      </c>
      <c r="H147" s="105">
        <v>27.8</v>
      </c>
      <c r="I147" s="104">
        <v>16091</v>
      </c>
      <c r="J147" s="106">
        <v>26.1</v>
      </c>
    </row>
    <row r="148" spans="1:10" ht="16">
      <c r="A148" s="93" t="s">
        <v>1301</v>
      </c>
      <c r="B148" s="94" t="s">
        <v>1288</v>
      </c>
      <c r="C148" s="95" t="s">
        <v>76</v>
      </c>
      <c r="D148" s="96" t="s">
        <v>84</v>
      </c>
      <c r="E148" s="97">
        <v>3045</v>
      </c>
      <c r="F148" s="97">
        <v>265</v>
      </c>
      <c r="G148" s="97">
        <v>700</v>
      </c>
      <c r="H148" s="98">
        <v>22.7</v>
      </c>
      <c r="I148" s="97">
        <v>18039</v>
      </c>
      <c r="J148" s="99">
        <v>24</v>
      </c>
    </row>
    <row r="149" spans="1:10" ht="16">
      <c r="A149" s="100" t="s">
        <v>379</v>
      </c>
      <c r="B149" s="101" t="s">
        <v>377</v>
      </c>
      <c r="C149" s="102" t="s">
        <v>76</v>
      </c>
      <c r="D149" s="103" t="s">
        <v>60</v>
      </c>
      <c r="E149" s="104">
        <v>26875</v>
      </c>
      <c r="F149" s="104">
        <v>2116</v>
      </c>
      <c r="G149" s="104">
        <v>3494</v>
      </c>
      <c r="H149" s="105">
        <v>24</v>
      </c>
      <c r="I149" s="104">
        <v>13971</v>
      </c>
      <c r="J149" s="106">
        <v>26</v>
      </c>
    </row>
    <row r="150" spans="1:10" ht="16">
      <c r="A150" s="93" t="s">
        <v>1302</v>
      </c>
      <c r="B150" s="94" t="s">
        <v>1288</v>
      </c>
      <c r="C150" s="95" t="s">
        <v>107</v>
      </c>
      <c r="D150" s="96" t="s">
        <v>92</v>
      </c>
      <c r="E150" s="97">
        <v>21436</v>
      </c>
      <c r="F150" s="97">
        <v>1261</v>
      </c>
      <c r="G150" s="97">
        <v>1501</v>
      </c>
      <c r="H150" s="98">
        <v>21.2</v>
      </c>
      <c r="I150" s="97">
        <v>9156</v>
      </c>
      <c r="J150" s="99">
        <v>25</v>
      </c>
    </row>
    <row r="151" spans="1:10" ht="16">
      <c r="A151" s="100" t="s">
        <v>484</v>
      </c>
      <c r="B151" s="101" t="s">
        <v>474</v>
      </c>
      <c r="C151" s="102" t="s">
        <v>107</v>
      </c>
      <c r="D151" s="103" t="s">
        <v>84</v>
      </c>
      <c r="E151" s="104">
        <v>8271</v>
      </c>
      <c r="F151" s="104">
        <v>447</v>
      </c>
      <c r="G151" s="104">
        <v>185</v>
      </c>
      <c r="H151" s="105">
        <v>10.7</v>
      </c>
      <c r="I151" s="104">
        <v>830</v>
      </c>
      <c r="J151" s="106">
        <v>23.3</v>
      </c>
    </row>
    <row r="152" spans="1:10" ht="16">
      <c r="A152" s="93" t="s">
        <v>1303</v>
      </c>
      <c r="B152" s="94" t="s">
        <v>1288</v>
      </c>
      <c r="C152" s="95" t="s">
        <v>107</v>
      </c>
      <c r="D152" s="96" t="s">
        <v>62</v>
      </c>
      <c r="E152" s="97">
        <v>5768</v>
      </c>
      <c r="F152" s="97">
        <v>345</v>
      </c>
      <c r="G152" s="97">
        <v>634</v>
      </c>
      <c r="H152" s="98">
        <v>25.1</v>
      </c>
      <c r="I152" s="97">
        <v>20033</v>
      </c>
      <c r="J152" s="99">
        <v>30.1</v>
      </c>
    </row>
    <row r="153" spans="1:10" ht="16">
      <c r="A153" s="100" t="s">
        <v>1304</v>
      </c>
      <c r="B153" s="101" t="s">
        <v>1288</v>
      </c>
      <c r="C153" s="102" t="s">
        <v>76</v>
      </c>
      <c r="D153" s="103" t="s">
        <v>130</v>
      </c>
      <c r="E153" s="104">
        <v>26014</v>
      </c>
      <c r="F153" s="104">
        <v>1596</v>
      </c>
      <c r="G153" s="104">
        <v>1561</v>
      </c>
      <c r="H153" s="105">
        <v>25.3</v>
      </c>
      <c r="I153" s="104">
        <v>16243</v>
      </c>
      <c r="J153" s="106">
        <v>27.8</v>
      </c>
    </row>
    <row r="154" spans="1:10" ht="16">
      <c r="A154" s="93" t="s">
        <v>1305</v>
      </c>
      <c r="B154" s="94" t="s">
        <v>1288</v>
      </c>
      <c r="C154" s="95" t="s">
        <v>107</v>
      </c>
      <c r="D154" s="96" t="s">
        <v>130</v>
      </c>
      <c r="E154" s="97">
        <v>26586</v>
      </c>
      <c r="F154" s="97">
        <v>4584</v>
      </c>
      <c r="G154" s="97">
        <v>9837</v>
      </c>
      <c r="H154" s="98">
        <v>82.6</v>
      </c>
      <c r="I154" s="97">
        <v>81149</v>
      </c>
      <c r="J154" s="99">
        <v>85.6</v>
      </c>
    </row>
    <row r="155" spans="1:10" ht="16">
      <c r="A155" s="100" t="s">
        <v>969</v>
      </c>
      <c r="B155" s="101" t="s">
        <v>970</v>
      </c>
      <c r="C155" s="102" t="s">
        <v>76</v>
      </c>
      <c r="D155" s="103" t="s">
        <v>77</v>
      </c>
      <c r="E155" s="104">
        <v>20056</v>
      </c>
      <c r="F155" s="104">
        <v>2047</v>
      </c>
      <c r="G155" s="104">
        <v>2808</v>
      </c>
      <c r="H155" s="105">
        <v>13.1</v>
      </c>
      <c r="I155" s="104">
        <v>2924</v>
      </c>
      <c r="J155" s="106">
        <v>22.2</v>
      </c>
    </row>
    <row r="156" spans="1:10" ht="16">
      <c r="A156" s="93" t="s">
        <v>1023</v>
      </c>
      <c r="B156" s="94" t="s">
        <v>1020</v>
      </c>
      <c r="C156" s="95" t="s">
        <v>76</v>
      </c>
      <c r="D156" s="96" t="s">
        <v>60</v>
      </c>
      <c r="E156" s="97">
        <v>62624</v>
      </c>
      <c r="F156" s="97">
        <v>3179</v>
      </c>
      <c r="G156" s="97">
        <v>8141</v>
      </c>
      <c r="H156" s="98">
        <v>28.9</v>
      </c>
      <c r="I156" s="97">
        <v>13688</v>
      </c>
      <c r="J156" s="99">
        <v>35.4</v>
      </c>
    </row>
    <row r="157" spans="1:10" ht="16">
      <c r="A157" s="100" t="s">
        <v>859</v>
      </c>
      <c r="B157" s="101" t="s">
        <v>858</v>
      </c>
      <c r="C157" s="102" t="s">
        <v>107</v>
      </c>
      <c r="D157" s="103" t="s">
        <v>60</v>
      </c>
      <c r="E157" s="104">
        <v>33030</v>
      </c>
      <c r="F157" s="104">
        <v>2897</v>
      </c>
      <c r="G157" s="104">
        <v>330</v>
      </c>
      <c r="H157" s="105">
        <v>9.9</v>
      </c>
      <c r="I157" s="104">
        <v>6547</v>
      </c>
      <c r="J157" s="106">
        <v>16.899999999999999</v>
      </c>
    </row>
    <row r="158" spans="1:10" ht="16">
      <c r="A158" s="93" t="s">
        <v>185</v>
      </c>
      <c r="B158" s="94" t="s">
        <v>184</v>
      </c>
      <c r="C158" s="95" t="s">
        <v>107</v>
      </c>
      <c r="D158" s="96" t="s">
        <v>130</v>
      </c>
      <c r="E158" s="97">
        <v>33543</v>
      </c>
      <c r="F158" s="97">
        <v>1038</v>
      </c>
      <c r="G158" s="97">
        <v>9727</v>
      </c>
      <c r="H158" s="98">
        <v>25.9</v>
      </c>
      <c r="I158" s="97">
        <v>11948</v>
      </c>
      <c r="J158" s="99">
        <v>20.9</v>
      </c>
    </row>
    <row r="159" spans="1:10" ht="16">
      <c r="A159" s="100" t="s">
        <v>338</v>
      </c>
      <c r="B159" s="101" t="s">
        <v>336</v>
      </c>
      <c r="C159" s="102" t="s">
        <v>107</v>
      </c>
      <c r="D159" s="103" t="s">
        <v>130</v>
      </c>
      <c r="E159" s="104">
        <v>16317</v>
      </c>
      <c r="F159" s="104">
        <v>528</v>
      </c>
      <c r="G159" s="104">
        <v>4079</v>
      </c>
      <c r="H159" s="105">
        <v>32.4</v>
      </c>
      <c r="I159" s="104">
        <v>27181</v>
      </c>
      <c r="J159" s="106">
        <v>25.3</v>
      </c>
    </row>
    <row r="160" spans="1:10" ht="16">
      <c r="A160" s="93" t="s">
        <v>1306</v>
      </c>
      <c r="B160" s="94" t="s">
        <v>1288</v>
      </c>
      <c r="C160" s="95" t="s">
        <v>107</v>
      </c>
      <c r="D160" s="96" t="s">
        <v>84</v>
      </c>
      <c r="E160" s="97">
        <v>22319</v>
      </c>
      <c r="F160" s="97">
        <v>2277</v>
      </c>
      <c r="G160" s="97">
        <v>5580</v>
      </c>
      <c r="H160" s="98">
        <v>86</v>
      </c>
      <c r="I160" s="97">
        <v>83113</v>
      </c>
      <c r="J160" s="99">
        <v>79.7</v>
      </c>
    </row>
    <row r="161" spans="1:10" ht="16">
      <c r="A161" s="100" t="s">
        <v>467</v>
      </c>
      <c r="B161" s="101" t="s">
        <v>466</v>
      </c>
      <c r="C161" s="102" t="s">
        <v>76</v>
      </c>
      <c r="D161" s="103" t="s">
        <v>62</v>
      </c>
      <c r="E161" s="104">
        <v>11023</v>
      </c>
      <c r="F161" s="104">
        <v>475</v>
      </c>
      <c r="G161" s="104">
        <v>1653</v>
      </c>
      <c r="H161" s="105">
        <v>13.7</v>
      </c>
      <c r="I161" s="104">
        <v>3255</v>
      </c>
      <c r="J161" s="106">
        <v>17.8</v>
      </c>
    </row>
    <row r="162" spans="1:10" ht="16">
      <c r="A162" s="93" t="s">
        <v>842</v>
      </c>
      <c r="B162" s="94" t="s">
        <v>843</v>
      </c>
      <c r="C162" s="95" t="s">
        <v>107</v>
      </c>
      <c r="D162" s="96" t="s">
        <v>92</v>
      </c>
      <c r="E162" s="97">
        <v>8768</v>
      </c>
      <c r="F162" s="97">
        <v>558</v>
      </c>
      <c r="G162" s="97">
        <v>610</v>
      </c>
      <c r="H162" s="98">
        <v>14.7</v>
      </c>
      <c r="I162" s="97">
        <v>11538</v>
      </c>
      <c r="J162" s="99">
        <v>27.2</v>
      </c>
    </row>
    <row r="163" spans="1:10" ht="16">
      <c r="A163" s="100" t="s">
        <v>1203</v>
      </c>
      <c r="B163" s="101" t="s">
        <v>1190</v>
      </c>
      <c r="C163" s="102" t="s">
        <v>107</v>
      </c>
      <c r="D163" s="103" t="s">
        <v>80</v>
      </c>
      <c r="E163" s="104">
        <v>27531</v>
      </c>
      <c r="F163" s="104">
        <v>1679</v>
      </c>
      <c r="G163" s="104">
        <v>12664</v>
      </c>
      <c r="H163" s="105">
        <v>12.7</v>
      </c>
      <c r="I163" s="104">
        <v>5634</v>
      </c>
      <c r="J163" s="106">
        <v>17.399999999999999</v>
      </c>
    </row>
    <row r="164" spans="1:10" ht="16">
      <c r="A164" s="93" t="s">
        <v>1307</v>
      </c>
      <c r="B164" s="94" t="s">
        <v>1288</v>
      </c>
      <c r="C164" s="95" t="s">
        <v>76</v>
      </c>
      <c r="D164" s="96" t="s">
        <v>62</v>
      </c>
      <c r="E164" s="97">
        <v>8228</v>
      </c>
      <c r="F164" s="97">
        <v>741</v>
      </c>
      <c r="G164" s="97">
        <v>658</v>
      </c>
      <c r="H164" s="98">
        <v>11.6</v>
      </c>
      <c r="I164" s="97">
        <v>4847</v>
      </c>
      <c r="J164" s="99">
        <v>42</v>
      </c>
    </row>
    <row r="165" spans="1:10" ht="16">
      <c r="A165" s="100" t="s">
        <v>1152</v>
      </c>
      <c r="B165" s="101" t="s">
        <v>1142</v>
      </c>
      <c r="C165" s="102" t="s">
        <v>107</v>
      </c>
      <c r="D165" s="103" t="s">
        <v>77</v>
      </c>
      <c r="E165" s="104">
        <v>42418</v>
      </c>
      <c r="F165" s="104">
        <v>2164</v>
      </c>
      <c r="G165" s="104">
        <v>1273</v>
      </c>
      <c r="H165" s="105">
        <v>12.5</v>
      </c>
      <c r="I165" s="104">
        <v>1956</v>
      </c>
      <c r="J165" s="106">
        <v>15.2</v>
      </c>
    </row>
    <row r="166" spans="1:10" ht="16">
      <c r="A166" s="93" t="s">
        <v>95</v>
      </c>
      <c r="B166" s="94" t="s">
        <v>89</v>
      </c>
      <c r="C166" s="95" t="s">
        <v>76</v>
      </c>
      <c r="D166" s="96" t="s">
        <v>62</v>
      </c>
      <c r="E166" s="97">
        <v>29214</v>
      </c>
      <c r="F166" s="97">
        <v>1446</v>
      </c>
      <c r="G166" s="97">
        <v>9056</v>
      </c>
      <c r="H166" s="98">
        <v>30.4</v>
      </c>
      <c r="I166" s="97">
        <v>25325</v>
      </c>
      <c r="J166" s="99">
        <v>23.4</v>
      </c>
    </row>
    <row r="167" spans="1:10" ht="16">
      <c r="A167" s="100" t="s">
        <v>318</v>
      </c>
      <c r="B167" s="101" t="s">
        <v>319</v>
      </c>
      <c r="C167" s="102" t="s">
        <v>76</v>
      </c>
      <c r="D167" s="103" t="s">
        <v>82</v>
      </c>
      <c r="E167" s="104">
        <v>3228</v>
      </c>
      <c r="F167" s="104">
        <v>186</v>
      </c>
      <c r="G167" s="104">
        <v>258</v>
      </c>
      <c r="H167" s="105">
        <v>16.3</v>
      </c>
      <c r="I167" s="104">
        <v>16071</v>
      </c>
      <c r="J167" s="106">
        <v>17.2</v>
      </c>
    </row>
    <row r="168" spans="1:10" ht="16">
      <c r="A168" s="93" t="s">
        <v>324</v>
      </c>
      <c r="B168" s="94" t="s">
        <v>322</v>
      </c>
      <c r="C168" s="95" t="s">
        <v>107</v>
      </c>
      <c r="D168" s="96" t="s">
        <v>62</v>
      </c>
      <c r="E168" s="97">
        <v>19499</v>
      </c>
      <c r="F168" s="97">
        <v>1840</v>
      </c>
      <c r="G168" s="97">
        <v>3705</v>
      </c>
      <c r="H168" s="98">
        <v>17.399999999999999</v>
      </c>
      <c r="I168" s="97">
        <v>4093</v>
      </c>
      <c r="J168" s="99">
        <v>20.8</v>
      </c>
    </row>
    <row r="169" spans="1:10" ht="16">
      <c r="A169" s="100" t="s">
        <v>325</v>
      </c>
      <c r="B169" s="101" t="s">
        <v>322</v>
      </c>
      <c r="C169" s="102" t="s">
        <v>76</v>
      </c>
      <c r="D169" s="103" t="s">
        <v>84</v>
      </c>
      <c r="E169" s="104">
        <v>17065</v>
      </c>
      <c r="F169" s="104">
        <v>837</v>
      </c>
      <c r="G169" s="104">
        <v>3413</v>
      </c>
      <c r="H169" s="105">
        <v>13.1</v>
      </c>
      <c r="I169" s="104">
        <v>2451</v>
      </c>
      <c r="J169" s="106">
        <v>17.399999999999999</v>
      </c>
    </row>
    <row r="170" spans="1:10" ht="16">
      <c r="A170" s="93" t="s">
        <v>186</v>
      </c>
      <c r="B170" s="94" t="s">
        <v>184</v>
      </c>
      <c r="C170" s="95" t="s">
        <v>76</v>
      </c>
      <c r="D170" s="96" t="s">
        <v>82</v>
      </c>
      <c r="E170" s="97">
        <v>15196</v>
      </c>
      <c r="F170" s="97">
        <v>1034</v>
      </c>
      <c r="G170" s="97">
        <v>3495</v>
      </c>
      <c r="H170" s="98">
        <v>29.6</v>
      </c>
      <c r="I170" s="97">
        <v>23604</v>
      </c>
      <c r="J170" s="99">
        <v>27.7</v>
      </c>
    </row>
    <row r="171" spans="1:10" ht="16">
      <c r="A171" s="100" t="s">
        <v>236</v>
      </c>
      <c r="B171" s="101" t="s">
        <v>223</v>
      </c>
      <c r="C171" s="102" t="s">
        <v>107</v>
      </c>
      <c r="D171" s="103" t="s">
        <v>82</v>
      </c>
      <c r="E171" s="104">
        <v>39665</v>
      </c>
      <c r="F171" s="104">
        <v>2526</v>
      </c>
      <c r="G171" s="104">
        <v>1190</v>
      </c>
      <c r="H171" s="105">
        <v>23.7</v>
      </c>
      <c r="I171" s="104">
        <v>9541</v>
      </c>
      <c r="J171" s="106">
        <v>24.6</v>
      </c>
    </row>
    <row r="172" spans="1:10" ht="16">
      <c r="A172" s="93" t="s">
        <v>1308</v>
      </c>
      <c r="B172" s="94" t="s">
        <v>1288</v>
      </c>
      <c r="C172" s="95" t="s">
        <v>107</v>
      </c>
      <c r="D172" s="96" t="s">
        <v>62</v>
      </c>
      <c r="E172" s="97">
        <v>6247</v>
      </c>
      <c r="F172" s="97">
        <v>811</v>
      </c>
      <c r="G172" s="97">
        <v>937</v>
      </c>
      <c r="H172" s="98">
        <v>39.9</v>
      </c>
      <c r="I172" s="97">
        <v>38557</v>
      </c>
      <c r="J172" s="99">
        <v>58.4</v>
      </c>
    </row>
    <row r="173" spans="1:10" ht="16">
      <c r="A173" s="100" t="s">
        <v>875</v>
      </c>
      <c r="B173" s="101" t="s">
        <v>876</v>
      </c>
      <c r="C173" s="102" t="s">
        <v>107</v>
      </c>
      <c r="D173" s="103" t="s">
        <v>59</v>
      </c>
      <c r="E173" s="104">
        <v>15604</v>
      </c>
      <c r="F173" s="104">
        <v>877</v>
      </c>
      <c r="G173" s="104">
        <v>468</v>
      </c>
      <c r="H173" s="105">
        <v>12.9</v>
      </c>
      <c r="I173" s="104">
        <v>3417</v>
      </c>
      <c r="J173" s="106">
        <v>17.100000000000001</v>
      </c>
    </row>
    <row r="174" spans="1:10" ht="16">
      <c r="A174" s="93" t="s">
        <v>1204</v>
      </c>
      <c r="B174" s="94" t="s">
        <v>1190</v>
      </c>
      <c r="C174" s="95" t="s">
        <v>76</v>
      </c>
      <c r="D174" s="96" t="s">
        <v>61</v>
      </c>
      <c r="E174" s="97">
        <v>19093</v>
      </c>
      <c r="F174" s="97">
        <v>979</v>
      </c>
      <c r="G174" s="97">
        <v>5155</v>
      </c>
      <c r="H174" s="98">
        <v>13.8</v>
      </c>
      <c r="I174" s="97">
        <v>6974</v>
      </c>
      <c r="J174" s="99">
        <v>16.899999999999999</v>
      </c>
    </row>
    <row r="175" spans="1:10" ht="16">
      <c r="A175" s="100" t="s">
        <v>96</v>
      </c>
      <c r="B175" s="101" t="s">
        <v>89</v>
      </c>
      <c r="C175" s="102" t="s">
        <v>76</v>
      </c>
      <c r="D175" s="103" t="s">
        <v>77</v>
      </c>
      <c r="E175" s="104">
        <v>39305</v>
      </c>
      <c r="F175" s="104">
        <v>1374</v>
      </c>
      <c r="G175" s="104">
        <v>8647</v>
      </c>
      <c r="H175" s="105">
        <v>29.6</v>
      </c>
      <c r="I175" s="104">
        <v>21820</v>
      </c>
      <c r="J175" s="106">
        <v>23.8</v>
      </c>
    </row>
    <row r="176" spans="1:10" ht="16">
      <c r="A176" s="93" t="s">
        <v>303</v>
      </c>
      <c r="B176" s="94" t="s">
        <v>304</v>
      </c>
      <c r="C176" s="95" t="s">
        <v>76</v>
      </c>
      <c r="D176" s="96" t="s">
        <v>63</v>
      </c>
      <c r="E176" s="97">
        <v>10339</v>
      </c>
      <c r="F176" s="97">
        <v>801</v>
      </c>
      <c r="G176" s="97">
        <v>103</v>
      </c>
      <c r="H176" s="98">
        <v>9.6</v>
      </c>
      <c r="I176" s="97">
        <v>1482</v>
      </c>
      <c r="J176" s="99">
        <v>16.5</v>
      </c>
    </row>
    <row r="177" spans="1:10" ht="16">
      <c r="A177" s="100" t="s">
        <v>819</v>
      </c>
      <c r="B177" s="101" t="s">
        <v>820</v>
      </c>
      <c r="C177" s="102" t="s">
        <v>107</v>
      </c>
      <c r="D177" s="103" t="s">
        <v>80</v>
      </c>
      <c r="E177" s="104">
        <v>18743</v>
      </c>
      <c r="F177" s="104">
        <v>928</v>
      </c>
      <c r="G177" s="104">
        <v>5623</v>
      </c>
      <c r="H177" s="105">
        <v>72.3</v>
      </c>
      <c r="I177" s="104">
        <v>45705</v>
      </c>
      <c r="J177" s="106">
        <v>55.3</v>
      </c>
    </row>
    <row r="178" spans="1:10" ht="16">
      <c r="A178" s="93" t="s">
        <v>485</v>
      </c>
      <c r="B178" s="94" t="s">
        <v>474</v>
      </c>
      <c r="C178" s="95" t="s">
        <v>107</v>
      </c>
      <c r="D178" s="96" t="s">
        <v>59</v>
      </c>
      <c r="E178" s="97">
        <v>8242</v>
      </c>
      <c r="F178" s="97">
        <v>354</v>
      </c>
      <c r="G178" s="97">
        <v>379</v>
      </c>
      <c r="H178" s="98">
        <v>13.1</v>
      </c>
      <c r="I178" s="97">
        <v>4915</v>
      </c>
      <c r="J178" s="99">
        <v>15.8</v>
      </c>
    </row>
    <row r="179" spans="1:10" ht="16">
      <c r="A179" s="100" t="s">
        <v>450</v>
      </c>
      <c r="B179" s="101" t="s">
        <v>448</v>
      </c>
      <c r="C179" s="102" t="s">
        <v>76</v>
      </c>
      <c r="D179" s="103" t="s">
        <v>82</v>
      </c>
      <c r="E179" s="104">
        <v>30414</v>
      </c>
      <c r="F179" s="104">
        <v>611</v>
      </c>
      <c r="G179" s="104">
        <v>912</v>
      </c>
      <c r="H179" s="105">
        <v>11.6</v>
      </c>
      <c r="I179" s="104">
        <v>3737</v>
      </c>
      <c r="J179" s="106">
        <v>14.9</v>
      </c>
    </row>
    <row r="180" spans="1:10" ht="16">
      <c r="A180" s="93" t="s">
        <v>214</v>
      </c>
      <c r="B180" s="94" t="s">
        <v>212</v>
      </c>
      <c r="C180" s="95" t="s">
        <v>107</v>
      </c>
      <c r="D180" s="96" t="s">
        <v>92</v>
      </c>
      <c r="E180" s="97">
        <v>17287</v>
      </c>
      <c r="F180" s="97">
        <v>1160</v>
      </c>
      <c r="G180" s="97">
        <v>346</v>
      </c>
      <c r="H180" s="98">
        <v>10.5</v>
      </c>
      <c r="I180" s="97">
        <v>10089</v>
      </c>
      <c r="J180" s="99">
        <v>14.7</v>
      </c>
    </row>
    <row r="181" spans="1:10" ht="16">
      <c r="A181" s="100" t="s">
        <v>1153</v>
      </c>
      <c r="B181" s="101" t="s">
        <v>1142</v>
      </c>
      <c r="C181" s="102" t="s">
        <v>107</v>
      </c>
      <c r="D181" s="103" t="s">
        <v>62</v>
      </c>
      <c r="E181" s="104">
        <v>62844</v>
      </c>
      <c r="F181" s="104">
        <v>3256</v>
      </c>
      <c r="G181" s="104">
        <v>1257</v>
      </c>
      <c r="H181" s="105">
        <v>9.5</v>
      </c>
      <c r="I181" s="104">
        <v>1883</v>
      </c>
      <c r="J181" s="106">
        <v>15.1</v>
      </c>
    </row>
    <row r="182" spans="1:10" ht="16">
      <c r="A182" s="93" t="s">
        <v>649</v>
      </c>
      <c r="B182" s="94" t="s">
        <v>642</v>
      </c>
      <c r="C182" s="95" t="s">
        <v>107</v>
      </c>
      <c r="D182" s="96" t="s">
        <v>84</v>
      </c>
      <c r="E182" s="97">
        <v>28309</v>
      </c>
      <c r="F182" s="97">
        <v>1506</v>
      </c>
      <c r="G182" s="97">
        <v>1132</v>
      </c>
      <c r="H182" s="98">
        <v>9.8000000000000007</v>
      </c>
      <c r="I182" s="97">
        <v>755</v>
      </c>
      <c r="J182" s="99">
        <v>15.6</v>
      </c>
    </row>
    <row r="183" spans="1:10" ht="16">
      <c r="A183" s="100" t="s">
        <v>1309</v>
      </c>
      <c r="B183" s="101" t="s">
        <v>1288</v>
      </c>
      <c r="C183" s="102" t="s">
        <v>107</v>
      </c>
      <c r="D183" s="103" t="s">
        <v>60</v>
      </c>
      <c r="E183" s="104">
        <v>19801</v>
      </c>
      <c r="F183" s="104">
        <v>1784</v>
      </c>
      <c r="G183" s="104">
        <v>3366</v>
      </c>
      <c r="H183" s="105">
        <v>20.399999999999999</v>
      </c>
      <c r="I183" s="104">
        <v>13205</v>
      </c>
      <c r="J183" s="106">
        <v>35.799999999999997</v>
      </c>
    </row>
    <row r="184" spans="1:10" ht="16">
      <c r="A184" s="93" t="s">
        <v>580</v>
      </c>
      <c r="B184" s="94" t="s">
        <v>581</v>
      </c>
      <c r="C184" s="95" t="s">
        <v>76</v>
      </c>
      <c r="D184" s="96" t="s">
        <v>60</v>
      </c>
      <c r="E184" s="97">
        <v>12619</v>
      </c>
      <c r="F184" s="97">
        <v>526</v>
      </c>
      <c r="G184" s="97">
        <v>1262</v>
      </c>
      <c r="H184" s="98">
        <v>25.2</v>
      </c>
      <c r="I184" s="97">
        <v>12547</v>
      </c>
      <c r="J184" s="99">
        <v>21</v>
      </c>
    </row>
    <row r="185" spans="1:10" ht="16">
      <c r="A185" s="100" t="s">
        <v>1310</v>
      </c>
      <c r="B185" s="101" t="s">
        <v>1288</v>
      </c>
      <c r="C185" s="102" t="s">
        <v>107</v>
      </c>
      <c r="D185" s="103" t="s">
        <v>62</v>
      </c>
      <c r="E185" s="104">
        <v>15309</v>
      </c>
      <c r="F185" s="104">
        <v>3560</v>
      </c>
      <c r="G185" s="104">
        <v>2909</v>
      </c>
      <c r="H185" s="105">
        <v>76.8</v>
      </c>
      <c r="I185" s="104">
        <v>74544</v>
      </c>
      <c r="J185" s="106">
        <v>82.4</v>
      </c>
    </row>
    <row r="186" spans="1:10" ht="16">
      <c r="A186" s="93" t="s">
        <v>1205</v>
      </c>
      <c r="B186" s="94" t="s">
        <v>1190</v>
      </c>
      <c r="C186" s="95" t="s">
        <v>76</v>
      </c>
      <c r="D186" s="96" t="s">
        <v>61</v>
      </c>
      <c r="E186" s="97">
        <v>16963</v>
      </c>
      <c r="F186" s="97">
        <v>1146</v>
      </c>
      <c r="G186" s="97">
        <v>5089</v>
      </c>
      <c r="H186" s="98">
        <v>47.8</v>
      </c>
      <c r="I186" s="97">
        <v>36117</v>
      </c>
      <c r="J186" s="99">
        <v>45.5</v>
      </c>
    </row>
    <row r="187" spans="1:10" ht="16">
      <c r="A187" s="100" t="s">
        <v>237</v>
      </c>
      <c r="B187" s="101" t="s">
        <v>223</v>
      </c>
      <c r="C187" s="102" t="s">
        <v>76</v>
      </c>
      <c r="D187" s="103" t="s">
        <v>63</v>
      </c>
      <c r="E187" s="104">
        <v>25747</v>
      </c>
      <c r="F187" s="104">
        <v>2239</v>
      </c>
      <c r="G187" s="104">
        <v>4377</v>
      </c>
      <c r="H187" s="105">
        <v>23.5</v>
      </c>
      <c r="I187" s="104">
        <v>11917</v>
      </c>
      <c r="J187" s="106">
        <v>30.5</v>
      </c>
    </row>
    <row r="188" spans="1:10" ht="16">
      <c r="A188" s="93" t="s">
        <v>238</v>
      </c>
      <c r="B188" s="94" t="s">
        <v>223</v>
      </c>
      <c r="C188" s="95" t="s">
        <v>107</v>
      </c>
      <c r="D188" s="96" t="s">
        <v>61</v>
      </c>
      <c r="E188" s="97">
        <v>25519</v>
      </c>
      <c r="F188" s="97">
        <v>1636</v>
      </c>
      <c r="G188" s="97">
        <v>510</v>
      </c>
      <c r="H188" s="98">
        <v>19.100000000000001</v>
      </c>
      <c r="I188" s="97">
        <v>8430</v>
      </c>
      <c r="J188" s="99">
        <v>22</v>
      </c>
    </row>
    <row r="189" spans="1:10" ht="16">
      <c r="A189" s="100" t="s">
        <v>847</v>
      </c>
      <c r="B189" s="101" t="s">
        <v>848</v>
      </c>
      <c r="C189" s="102" t="s">
        <v>107</v>
      </c>
      <c r="D189" s="103" t="s">
        <v>62</v>
      </c>
      <c r="E189" s="104">
        <v>18865</v>
      </c>
      <c r="F189" s="104">
        <v>696</v>
      </c>
      <c r="G189" s="104">
        <v>15658</v>
      </c>
      <c r="H189" s="105">
        <v>11.7</v>
      </c>
      <c r="I189" s="104">
        <v>3592</v>
      </c>
      <c r="J189" s="106">
        <v>17</v>
      </c>
    </row>
    <row r="190" spans="1:10" ht="16">
      <c r="A190" s="93" t="s">
        <v>1206</v>
      </c>
      <c r="B190" s="94" t="s">
        <v>1190</v>
      </c>
      <c r="C190" s="95" t="s">
        <v>76</v>
      </c>
      <c r="D190" s="96" t="s">
        <v>84</v>
      </c>
      <c r="E190" s="97">
        <v>12185</v>
      </c>
      <c r="F190" s="97">
        <v>786</v>
      </c>
      <c r="G190" s="97">
        <v>609</v>
      </c>
      <c r="H190" s="98">
        <v>10.199999999999999</v>
      </c>
      <c r="I190" s="97">
        <v>3382</v>
      </c>
      <c r="J190" s="99">
        <v>14.8</v>
      </c>
    </row>
    <row r="191" spans="1:10" ht="16">
      <c r="A191" s="100" t="s">
        <v>1207</v>
      </c>
      <c r="B191" s="101" t="s">
        <v>1190</v>
      </c>
      <c r="C191" s="102" t="s">
        <v>76</v>
      </c>
      <c r="D191" s="103" t="s">
        <v>77</v>
      </c>
      <c r="E191" s="104">
        <v>10668</v>
      </c>
      <c r="F191" s="104">
        <v>567</v>
      </c>
      <c r="G191" s="104">
        <v>3520</v>
      </c>
      <c r="H191" s="105">
        <v>13.9</v>
      </c>
      <c r="I191" s="104">
        <v>5634</v>
      </c>
      <c r="J191" s="106">
        <v>16.7</v>
      </c>
    </row>
    <row r="192" spans="1:10" ht="16">
      <c r="A192" s="93" t="s">
        <v>97</v>
      </c>
      <c r="B192" s="94" t="s">
        <v>89</v>
      </c>
      <c r="C192" s="95" t="s">
        <v>76</v>
      </c>
      <c r="D192" s="96" t="s">
        <v>82</v>
      </c>
      <c r="E192" s="97">
        <v>17560</v>
      </c>
      <c r="F192" s="97">
        <v>561</v>
      </c>
      <c r="G192" s="97">
        <v>4566</v>
      </c>
      <c r="H192" s="98">
        <v>21.9</v>
      </c>
      <c r="I192" s="97">
        <v>14849</v>
      </c>
      <c r="J192" s="99">
        <v>18.7</v>
      </c>
    </row>
    <row r="193" spans="1:10" ht="16">
      <c r="A193" s="100" t="s">
        <v>1154</v>
      </c>
      <c r="B193" s="101" t="s">
        <v>1142</v>
      </c>
      <c r="C193" s="102" t="s">
        <v>107</v>
      </c>
      <c r="D193" s="103" t="s">
        <v>84</v>
      </c>
      <c r="E193" s="104">
        <v>46056</v>
      </c>
      <c r="F193" s="104">
        <v>2193</v>
      </c>
      <c r="G193" s="104">
        <v>1382</v>
      </c>
      <c r="H193" s="105">
        <v>10.199999999999999</v>
      </c>
      <c r="I193" s="104">
        <v>1384</v>
      </c>
      <c r="J193" s="106">
        <v>17.2</v>
      </c>
    </row>
    <row r="194" spans="1:10" ht="16">
      <c r="A194" s="93" t="s">
        <v>650</v>
      </c>
      <c r="B194" s="94" t="s">
        <v>642</v>
      </c>
      <c r="C194" s="95" t="s">
        <v>107</v>
      </c>
      <c r="D194" s="96" t="s">
        <v>84</v>
      </c>
      <c r="E194" s="97">
        <v>9333</v>
      </c>
      <c r="F194" s="97">
        <v>712</v>
      </c>
      <c r="G194" s="97">
        <v>187</v>
      </c>
      <c r="H194" s="98">
        <v>14.6</v>
      </c>
      <c r="I194" s="97">
        <v>3011</v>
      </c>
      <c r="J194" s="99">
        <v>21.3</v>
      </c>
    </row>
    <row r="195" spans="1:10" ht="16">
      <c r="A195" s="100" t="s">
        <v>821</v>
      </c>
      <c r="B195" s="101" t="s">
        <v>820</v>
      </c>
      <c r="C195" s="102" t="s">
        <v>107</v>
      </c>
      <c r="D195" s="103" t="s">
        <v>80</v>
      </c>
      <c r="E195" s="104">
        <v>8917</v>
      </c>
      <c r="F195" s="104">
        <v>431</v>
      </c>
      <c r="G195" s="104">
        <v>1694</v>
      </c>
      <c r="H195" s="105">
        <v>48.8</v>
      </c>
      <c r="I195" s="104">
        <v>29782</v>
      </c>
      <c r="J195" s="106">
        <v>44.6</v>
      </c>
    </row>
    <row r="196" spans="1:10" ht="16">
      <c r="A196" s="93" t="s">
        <v>1311</v>
      </c>
      <c r="B196" s="94" t="s">
        <v>1288</v>
      </c>
      <c r="C196" s="95" t="s">
        <v>107</v>
      </c>
      <c r="D196" s="96" t="s">
        <v>77</v>
      </c>
      <c r="E196" s="97">
        <v>16340</v>
      </c>
      <c r="F196" s="97">
        <v>973</v>
      </c>
      <c r="G196" s="97">
        <v>1471</v>
      </c>
      <c r="H196" s="98">
        <v>9.1999999999999993</v>
      </c>
      <c r="I196" s="97">
        <v>4112</v>
      </c>
      <c r="J196" s="99">
        <v>16.899999999999999</v>
      </c>
    </row>
    <row r="197" spans="1:10" ht="16">
      <c r="A197" s="100" t="s">
        <v>1312</v>
      </c>
      <c r="B197" s="101" t="s">
        <v>1288</v>
      </c>
      <c r="C197" s="102" t="s">
        <v>76</v>
      </c>
      <c r="D197" s="103" t="s">
        <v>60</v>
      </c>
      <c r="E197" s="104">
        <v>12735</v>
      </c>
      <c r="F197" s="104">
        <v>3184</v>
      </c>
      <c r="G197" s="104">
        <v>2547</v>
      </c>
      <c r="H197" s="105">
        <v>40.4</v>
      </c>
      <c r="I197" s="104">
        <v>40010</v>
      </c>
      <c r="J197" s="106">
        <v>56</v>
      </c>
    </row>
    <row r="198" spans="1:10" ht="16">
      <c r="A198" s="93" t="s">
        <v>822</v>
      </c>
      <c r="B198" s="94" t="s">
        <v>820</v>
      </c>
      <c r="C198" s="95" t="s">
        <v>76</v>
      </c>
      <c r="D198" s="96" t="s">
        <v>63</v>
      </c>
      <c r="E198" s="97">
        <v>23167</v>
      </c>
      <c r="F198" s="97">
        <v>1136</v>
      </c>
      <c r="G198" s="97">
        <v>5328</v>
      </c>
      <c r="H198" s="98">
        <v>57.3</v>
      </c>
      <c r="I198" s="97">
        <v>55656</v>
      </c>
      <c r="J198" s="99">
        <v>39.4</v>
      </c>
    </row>
    <row r="199" spans="1:10" ht="16">
      <c r="A199" s="100" t="s">
        <v>1155</v>
      </c>
      <c r="B199" s="101" t="s">
        <v>1142</v>
      </c>
      <c r="C199" s="102" t="s">
        <v>107</v>
      </c>
      <c r="D199" s="103" t="s">
        <v>84</v>
      </c>
      <c r="E199" s="104">
        <v>39178</v>
      </c>
      <c r="F199" s="104">
        <v>1346</v>
      </c>
      <c r="G199" s="104">
        <v>1175</v>
      </c>
      <c r="H199" s="105">
        <v>16.3</v>
      </c>
      <c r="I199" s="104">
        <v>3358</v>
      </c>
      <c r="J199" s="106">
        <v>19.7</v>
      </c>
    </row>
    <row r="200" spans="1:10" ht="16">
      <c r="A200" s="93" t="s">
        <v>1071</v>
      </c>
      <c r="B200" s="94" t="s">
        <v>1072</v>
      </c>
      <c r="C200" s="95" t="s">
        <v>107</v>
      </c>
      <c r="D200" s="96" t="s">
        <v>61</v>
      </c>
      <c r="E200" s="97">
        <v>18956</v>
      </c>
      <c r="F200" s="97">
        <v>1516</v>
      </c>
      <c r="G200" s="97">
        <v>7393</v>
      </c>
      <c r="H200" s="98">
        <v>92.8</v>
      </c>
      <c r="I200" s="97">
        <v>83855</v>
      </c>
      <c r="J200" s="99">
        <v>81.8</v>
      </c>
    </row>
    <row r="201" spans="1:10" ht="16">
      <c r="A201" s="100" t="s">
        <v>993</v>
      </c>
      <c r="B201" s="101" t="s">
        <v>988</v>
      </c>
      <c r="C201" s="102" t="s">
        <v>107</v>
      </c>
      <c r="D201" s="103" t="s">
        <v>80</v>
      </c>
      <c r="E201" s="104">
        <v>14510</v>
      </c>
      <c r="F201" s="104">
        <v>859</v>
      </c>
      <c r="G201" s="104">
        <v>2177</v>
      </c>
      <c r="H201" s="105">
        <v>30.8</v>
      </c>
      <c r="I201" s="104">
        <v>9701</v>
      </c>
      <c r="J201" s="106">
        <v>29.9</v>
      </c>
    </row>
    <row r="202" spans="1:10" ht="16">
      <c r="A202" s="93" t="s">
        <v>922</v>
      </c>
      <c r="B202" s="94" t="s">
        <v>919</v>
      </c>
      <c r="C202" s="95" t="s">
        <v>107</v>
      </c>
      <c r="D202" s="96" t="s">
        <v>130</v>
      </c>
      <c r="E202" s="97">
        <v>15601</v>
      </c>
      <c r="F202" s="97">
        <v>1515</v>
      </c>
      <c r="G202" s="97">
        <v>2964</v>
      </c>
      <c r="H202" s="98">
        <v>11.1</v>
      </c>
      <c r="I202" s="97">
        <v>1329</v>
      </c>
      <c r="J202" s="99">
        <v>21.2</v>
      </c>
    </row>
    <row r="203" spans="1:10" ht="16">
      <c r="A203" s="100" t="s">
        <v>353</v>
      </c>
      <c r="B203" s="101" t="s">
        <v>344</v>
      </c>
      <c r="C203" s="102" t="s">
        <v>107</v>
      </c>
      <c r="D203" s="103" t="s">
        <v>77</v>
      </c>
      <c r="E203" s="104">
        <v>33084</v>
      </c>
      <c r="F203" s="104">
        <v>2346</v>
      </c>
      <c r="G203" s="104">
        <v>331</v>
      </c>
      <c r="H203" s="105">
        <v>9.8000000000000007</v>
      </c>
      <c r="I203" s="104">
        <v>3205</v>
      </c>
      <c r="J203" s="106">
        <v>15.7</v>
      </c>
    </row>
    <row r="204" spans="1:10" ht="16">
      <c r="A204" s="93" t="s">
        <v>149</v>
      </c>
      <c r="B204" s="94" t="s">
        <v>150</v>
      </c>
      <c r="C204" s="95" t="s">
        <v>107</v>
      </c>
      <c r="D204" s="96" t="s">
        <v>61</v>
      </c>
      <c r="E204" s="97">
        <v>5872</v>
      </c>
      <c r="F204" s="97">
        <v>763</v>
      </c>
      <c r="G204" s="97">
        <v>404</v>
      </c>
      <c r="H204" s="98">
        <v>7.7</v>
      </c>
      <c r="I204" s="97">
        <v>132</v>
      </c>
      <c r="J204" s="99">
        <v>27.5</v>
      </c>
    </row>
    <row r="205" spans="1:10" ht="16">
      <c r="A205" s="100" t="s">
        <v>151</v>
      </c>
      <c r="B205" s="101" t="s">
        <v>150</v>
      </c>
      <c r="C205" s="102" t="s">
        <v>107</v>
      </c>
      <c r="D205" s="103" t="s">
        <v>92</v>
      </c>
      <c r="E205" s="104">
        <v>14422</v>
      </c>
      <c r="F205" s="104">
        <v>690</v>
      </c>
      <c r="G205" s="104">
        <v>144</v>
      </c>
      <c r="H205" s="105">
        <v>11.8</v>
      </c>
      <c r="I205" s="104">
        <v>2862</v>
      </c>
      <c r="J205" s="106">
        <v>15.9</v>
      </c>
    </row>
    <row r="206" spans="1:10" ht="16">
      <c r="A206" s="93" t="s">
        <v>152</v>
      </c>
      <c r="B206" s="94" t="s">
        <v>150</v>
      </c>
      <c r="C206" s="95" t="s">
        <v>76</v>
      </c>
      <c r="D206" s="96" t="s">
        <v>82</v>
      </c>
      <c r="E206" s="97">
        <v>24077</v>
      </c>
      <c r="F206" s="97">
        <v>1824</v>
      </c>
      <c r="G206" s="97">
        <v>1204</v>
      </c>
      <c r="H206" s="98">
        <v>6.8</v>
      </c>
      <c r="I206" s="97">
        <v>841</v>
      </c>
      <c r="J206" s="99">
        <v>16.5</v>
      </c>
    </row>
    <row r="207" spans="1:10" ht="16">
      <c r="A207" s="100" t="s">
        <v>153</v>
      </c>
      <c r="B207" s="101" t="s">
        <v>150</v>
      </c>
      <c r="C207" s="102" t="s">
        <v>76</v>
      </c>
      <c r="D207" s="103" t="s">
        <v>62</v>
      </c>
      <c r="E207" s="104">
        <v>40848</v>
      </c>
      <c r="F207" s="104">
        <v>2569</v>
      </c>
      <c r="G207" s="104">
        <v>2812</v>
      </c>
      <c r="H207" s="105">
        <v>13.7</v>
      </c>
      <c r="I207" s="104">
        <v>2580</v>
      </c>
      <c r="J207" s="106">
        <v>21.8</v>
      </c>
    </row>
    <row r="208" spans="1:10" ht="16">
      <c r="A208" s="93" t="s">
        <v>154</v>
      </c>
      <c r="B208" s="94" t="s">
        <v>150</v>
      </c>
      <c r="C208" s="95" t="s">
        <v>76</v>
      </c>
      <c r="D208" s="96" t="s">
        <v>61</v>
      </c>
      <c r="E208" s="97">
        <v>3621</v>
      </c>
      <c r="F208" s="97">
        <v>338</v>
      </c>
      <c r="G208" s="97">
        <v>72</v>
      </c>
      <c r="H208" s="98">
        <v>10.5</v>
      </c>
      <c r="I208" s="97">
        <v>1366</v>
      </c>
      <c r="J208" s="99">
        <v>20.3</v>
      </c>
    </row>
    <row r="209" spans="1:10" ht="16">
      <c r="A209" s="100" t="s">
        <v>155</v>
      </c>
      <c r="B209" s="101" t="s">
        <v>150</v>
      </c>
      <c r="C209" s="102" t="s">
        <v>107</v>
      </c>
      <c r="D209" s="103" t="s">
        <v>62</v>
      </c>
      <c r="E209" s="104">
        <v>14024</v>
      </c>
      <c r="F209" s="104">
        <v>723</v>
      </c>
      <c r="G209" s="104">
        <v>140</v>
      </c>
      <c r="H209" s="105">
        <v>16.8</v>
      </c>
      <c r="I209" s="104">
        <v>1885</v>
      </c>
      <c r="J209" s="106">
        <v>23.9</v>
      </c>
    </row>
    <row r="210" spans="1:10" ht="16">
      <c r="A210" s="93" t="s">
        <v>156</v>
      </c>
      <c r="B210" s="94" t="s">
        <v>150</v>
      </c>
      <c r="C210" s="95" t="s">
        <v>107</v>
      </c>
      <c r="D210" s="96" t="s">
        <v>82</v>
      </c>
      <c r="E210" s="97">
        <v>25018</v>
      </c>
      <c r="F210" s="97">
        <v>1390</v>
      </c>
      <c r="G210" s="97">
        <v>1722</v>
      </c>
      <c r="H210" s="98">
        <v>6.9</v>
      </c>
      <c r="I210" s="97">
        <v>515</v>
      </c>
      <c r="J210" s="99">
        <v>17.100000000000001</v>
      </c>
    </row>
    <row r="211" spans="1:10" ht="16">
      <c r="A211" s="100" t="s">
        <v>157</v>
      </c>
      <c r="B211" s="101" t="s">
        <v>150</v>
      </c>
      <c r="C211" s="102" t="s">
        <v>76</v>
      </c>
      <c r="D211" s="103" t="s">
        <v>130</v>
      </c>
      <c r="E211" s="104">
        <v>43899</v>
      </c>
      <c r="F211" s="104">
        <v>3484</v>
      </c>
      <c r="G211" s="104">
        <v>878</v>
      </c>
      <c r="H211" s="105">
        <v>17.899999999999999</v>
      </c>
      <c r="I211" s="104">
        <v>9338</v>
      </c>
      <c r="J211" s="106">
        <v>30.2</v>
      </c>
    </row>
    <row r="212" spans="1:10" ht="16">
      <c r="A212" s="93" t="s">
        <v>158</v>
      </c>
      <c r="B212" s="94" t="s">
        <v>150</v>
      </c>
      <c r="C212" s="95" t="s">
        <v>76</v>
      </c>
      <c r="D212" s="96" t="s">
        <v>80</v>
      </c>
      <c r="E212" s="97">
        <v>13823</v>
      </c>
      <c r="F212" s="97">
        <v>848</v>
      </c>
      <c r="G212" s="97">
        <v>138</v>
      </c>
      <c r="H212" s="98">
        <v>9.6</v>
      </c>
      <c r="I212" s="97">
        <v>1868</v>
      </c>
      <c r="J212" s="99">
        <v>16.3</v>
      </c>
    </row>
    <row r="213" spans="1:10" ht="16">
      <c r="A213" s="100" t="s">
        <v>159</v>
      </c>
      <c r="B213" s="101" t="s">
        <v>150</v>
      </c>
      <c r="C213" s="102" t="s">
        <v>76</v>
      </c>
      <c r="D213" s="103" t="s">
        <v>84</v>
      </c>
      <c r="E213" s="104">
        <v>23198</v>
      </c>
      <c r="F213" s="104">
        <v>1333</v>
      </c>
      <c r="G213" s="104">
        <v>1160</v>
      </c>
      <c r="H213" s="105">
        <v>11</v>
      </c>
      <c r="I213" s="104">
        <v>5368</v>
      </c>
      <c r="J213" s="106">
        <v>17.899999999999999</v>
      </c>
    </row>
    <row r="214" spans="1:10" ht="16">
      <c r="A214" s="93" t="s">
        <v>160</v>
      </c>
      <c r="B214" s="94" t="s">
        <v>150</v>
      </c>
      <c r="C214" s="95" t="s">
        <v>107</v>
      </c>
      <c r="D214" s="96" t="s">
        <v>84</v>
      </c>
      <c r="E214" s="97">
        <v>34072</v>
      </c>
      <c r="F214" s="97">
        <v>2662</v>
      </c>
      <c r="G214" s="97">
        <v>341</v>
      </c>
      <c r="H214" s="98">
        <v>9.1999999999999993</v>
      </c>
      <c r="I214" s="97">
        <v>1328</v>
      </c>
      <c r="J214" s="99">
        <v>26.9</v>
      </c>
    </row>
    <row r="215" spans="1:10" ht="16">
      <c r="A215" s="100" t="s">
        <v>161</v>
      </c>
      <c r="B215" s="101" t="s">
        <v>150</v>
      </c>
      <c r="C215" s="102" t="s">
        <v>76</v>
      </c>
      <c r="D215" s="103" t="s">
        <v>82</v>
      </c>
      <c r="E215" s="104">
        <v>48675</v>
      </c>
      <c r="F215" s="104">
        <v>3957</v>
      </c>
      <c r="G215" s="104">
        <v>974</v>
      </c>
      <c r="H215" s="105">
        <v>22</v>
      </c>
      <c r="I215" s="104">
        <v>5765</v>
      </c>
      <c r="J215" s="106">
        <v>34.4</v>
      </c>
    </row>
    <row r="216" spans="1:10" ht="16">
      <c r="A216" s="93" t="s">
        <v>162</v>
      </c>
      <c r="B216" s="94" t="s">
        <v>150</v>
      </c>
      <c r="C216" s="95" t="s">
        <v>76</v>
      </c>
      <c r="D216" s="96" t="s">
        <v>63</v>
      </c>
      <c r="E216" s="97">
        <v>42573</v>
      </c>
      <c r="F216" s="97">
        <v>2490</v>
      </c>
      <c r="G216" s="97">
        <v>2931</v>
      </c>
      <c r="H216" s="98">
        <v>8.6999999999999993</v>
      </c>
      <c r="I216" s="97">
        <v>1669</v>
      </c>
      <c r="J216" s="99">
        <v>19.600000000000001</v>
      </c>
    </row>
    <row r="217" spans="1:10" ht="16">
      <c r="A217" s="100" t="s">
        <v>163</v>
      </c>
      <c r="B217" s="101" t="s">
        <v>150</v>
      </c>
      <c r="C217" s="102" t="s">
        <v>76</v>
      </c>
      <c r="D217" s="103" t="s">
        <v>130</v>
      </c>
      <c r="E217" s="104">
        <v>52579</v>
      </c>
      <c r="F217" s="104">
        <v>2710</v>
      </c>
      <c r="G217" s="104">
        <v>526</v>
      </c>
      <c r="H217" s="105">
        <v>18.3</v>
      </c>
      <c r="I217" s="104">
        <v>9024</v>
      </c>
      <c r="J217" s="106">
        <v>29.6</v>
      </c>
    </row>
    <row r="218" spans="1:10" ht="16">
      <c r="A218" s="93" t="s">
        <v>164</v>
      </c>
      <c r="B218" s="94" t="s">
        <v>150</v>
      </c>
      <c r="C218" s="95" t="s">
        <v>107</v>
      </c>
      <c r="D218" s="96" t="s">
        <v>82</v>
      </c>
      <c r="E218" s="97">
        <v>38719</v>
      </c>
      <c r="F218" s="97">
        <v>2332</v>
      </c>
      <c r="G218" s="97">
        <v>774</v>
      </c>
      <c r="H218" s="98">
        <v>13.1</v>
      </c>
      <c r="I218" s="97">
        <v>6898</v>
      </c>
      <c r="J218" s="99">
        <v>28.4</v>
      </c>
    </row>
    <row r="219" spans="1:10" ht="16">
      <c r="A219" s="100" t="s">
        <v>165</v>
      </c>
      <c r="B219" s="101" t="s">
        <v>150</v>
      </c>
      <c r="C219" s="102" t="s">
        <v>76</v>
      </c>
      <c r="D219" s="103" t="s">
        <v>61</v>
      </c>
      <c r="E219" s="104">
        <v>27285</v>
      </c>
      <c r="F219" s="104">
        <v>1935</v>
      </c>
      <c r="G219" s="104">
        <v>1879</v>
      </c>
      <c r="H219" s="105">
        <v>8.8000000000000007</v>
      </c>
      <c r="I219" s="104">
        <v>1191</v>
      </c>
      <c r="J219" s="106">
        <v>20.399999999999999</v>
      </c>
    </row>
    <row r="220" spans="1:10" ht="16">
      <c r="A220" s="93" t="s">
        <v>1086</v>
      </c>
      <c r="B220" s="94" t="s">
        <v>1081</v>
      </c>
      <c r="C220" s="95" t="s">
        <v>107</v>
      </c>
      <c r="D220" s="96" t="s">
        <v>80</v>
      </c>
      <c r="E220" s="97">
        <v>19840</v>
      </c>
      <c r="F220" s="97">
        <v>859</v>
      </c>
      <c r="G220" s="97">
        <v>3174</v>
      </c>
      <c r="H220" s="98">
        <v>17.3</v>
      </c>
      <c r="I220" s="97">
        <v>2984</v>
      </c>
      <c r="J220" s="99">
        <v>17.7</v>
      </c>
    </row>
    <row r="221" spans="1:10" ht="16">
      <c r="A221" s="100" t="s">
        <v>542</v>
      </c>
      <c r="B221" s="101" t="s">
        <v>537</v>
      </c>
      <c r="C221" s="102" t="s">
        <v>76</v>
      </c>
      <c r="D221" s="103" t="s">
        <v>63</v>
      </c>
      <c r="E221" s="104">
        <v>23992</v>
      </c>
      <c r="F221" s="104">
        <v>813</v>
      </c>
      <c r="G221" s="104">
        <v>1200</v>
      </c>
      <c r="H221" s="105">
        <v>18.5</v>
      </c>
      <c r="I221" s="104">
        <v>4285</v>
      </c>
      <c r="J221" s="106">
        <v>25.9</v>
      </c>
    </row>
    <row r="222" spans="1:10" ht="16">
      <c r="A222" s="93" t="s">
        <v>98</v>
      </c>
      <c r="B222" s="94" t="s">
        <v>89</v>
      </c>
      <c r="C222" s="95" t="s">
        <v>76</v>
      </c>
      <c r="D222" s="96" t="s">
        <v>62</v>
      </c>
      <c r="E222" s="97">
        <v>16844</v>
      </c>
      <c r="F222" s="97">
        <v>653</v>
      </c>
      <c r="G222" s="97">
        <v>5727</v>
      </c>
      <c r="H222" s="98">
        <v>29.9</v>
      </c>
      <c r="I222" s="97">
        <v>25246</v>
      </c>
      <c r="J222" s="99">
        <v>22.5</v>
      </c>
    </row>
    <row r="223" spans="1:10" ht="16">
      <c r="A223" s="100" t="s">
        <v>1313</v>
      </c>
      <c r="B223" s="101" t="s">
        <v>1288</v>
      </c>
      <c r="C223" s="102" t="s">
        <v>76</v>
      </c>
      <c r="D223" s="103" t="s">
        <v>62</v>
      </c>
      <c r="E223" s="104">
        <v>23658</v>
      </c>
      <c r="F223" s="104">
        <v>1293</v>
      </c>
      <c r="G223" s="104">
        <v>2366</v>
      </c>
      <c r="H223" s="105">
        <v>19.100000000000001</v>
      </c>
      <c r="I223" s="104">
        <v>7190</v>
      </c>
      <c r="J223" s="106">
        <v>21</v>
      </c>
    </row>
    <row r="224" spans="1:10" ht="16">
      <c r="A224" s="93" t="s">
        <v>1314</v>
      </c>
      <c r="B224" s="94" t="s">
        <v>1288</v>
      </c>
      <c r="C224" s="95" t="s">
        <v>107</v>
      </c>
      <c r="D224" s="96" t="s">
        <v>60</v>
      </c>
      <c r="E224" s="97">
        <v>5344</v>
      </c>
      <c r="F224" s="97">
        <v>379</v>
      </c>
      <c r="G224" s="97">
        <v>1764</v>
      </c>
      <c r="H224" s="98">
        <v>14.6</v>
      </c>
      <c r="I224" s="97">
        <v>4601</v>
      </c>
      <c r="J224" s="99">
        <v>22.7</v>
      </c>
    </row>
    <row r="225" spans="1:10" ht="16">
      <c r="A225" s="100" t="s">
        <v>1315</v>
      </c>
      <c r="B225" s="101" t="s">
        <v>1288</v>
      </c>
      <c r="C225" s="102" t="s">
        <v>76</v>
      </c>
      <c r="D225" s="103" t="s">
        <v>63</v>
      </c>
      <c r="E225" s="104">
        <v>34203</v>
      </c>
      <c r="F225" s="104">
        <v>1437</v>
      </c>
      <c r="G225" s="104">
        <v>2736</v>
      </c>
      <c r="H225" s="105">
        <v>22.6</v>
      </c>
      <c r="I225" s="104">
        <v>14100</v>
      </c>
      <c r="J225" s="106">
        <v>30.4</v>
      </c>
    </row>
    <row r="226" spans="1:10" ht="16">
      <c r="A226" s="93" t="s">
        <v>1316</v>
      </c>
      <c r="B226" s="94" t="s">
        <v>1288</v>
      </c>
      <c r="C226" s="95" t="s">
        <v>76</v>
      </c>
      <c r="D226" s="96" t="s">
        <v>84</v>
      </c>
      <c r="E226" s="97">
        <v>38520</v>
      </c>
      <c r="F226" s="97">
        <v>1598</v>
      </c>
      <c r="G226" s="97">
        <v>2696</v>
      </c>
      <c r="H226" s="98">
        <v>40.1</v>
      </c>
      <c r="I226" s="97">
        <v>27749</v>
      </c>
      <c r="J226" s="99">
        <v>38</v>
      </c>
    </row>
    <row r="227" spans="1:10" ht="16">
      <c r="A227" s="100" t="s">
        <v>166</v>
      </c>
      <c r="B227" s="101" t="s">
        <v>150</v>
      </c>
      <c r="C227" s="102" t="s">
        <v>107</v>
      </c>
      <c r="D227" s="103" t="s">
        <v>80</v>
      </c>
      <c r="E227" s="104">
        <v>55502</v>
      </c>
      <c r="F227" s="104">
        <v>3604</v>
      </c>
      <c r="G227" s="104">
        <v>3821</v>
      </c>
      <c r="H227" s="105">
        <v>11.3</v>
      </c>
      <c r="I227" s="104">
        <v>1680</v>
      </c>
      <c r="J227" s="106">
        <v>20</v>
      </c>
    </row>
    <row r="228" spans="1:10" ht="16">
      <c r="A228" s="93" t="s">
        <v>404</v>
      </c>
      <c r="B228" s="94" t="s">
        <v>402</v>
      </c>
      <c r="C228" s="95" t="s">
        <v>76</v>
      </c>
      <c r="D228" s="96" t="s">
        <v>60</v>
      </c>
      <c r="E228" s="97">
        <v>35894</v>
      </c>
      <c r="F228" s="97">
        <v>617</v>
      </c>
      <c r="G228" s="97">
        <v>7538</v>
      </c>
      <c r="H228" s="98">
        <v>63.3</v>
      </c>
      <c r="I228" s="97">
        <v>36991</v>
      </c>
      <c r="J228" s="99">
        <v>57.2</v>
      </c>
    </row>
    <row r="229" spans="1:10" ht="16">
      <c r="A229" s="100" t="s">
        <v>600</v>
      </c>
      <c r="B229" s="101" t="s">
        <v>598</v>
      </c>
      <c r="C229" s="102" t="s">
        <v>76</v>
      </c>
      <c r="D229" s="103" t="s">
        <v>84</v>
      </c>
      <c r="E229" s="104">
        <v>3891</v>
      </c>
      <c r="F229" s="104">
        <v>324</v>
      </c>
      <c r="G229" s="104">
        <v>506</v>
      </c>
      <c r="H229" s="105">
        <v>13.1</v>
      </c>
      <c r="I229" s="104">
        <v>10265</v>
      </c>
      <c r="J229" s="106">
        <v>20.6</v>
      </c>
    </row>
    <row r="230" spans="1:10" ht="16">
      <c r="A230" s="93" t="s">
        <v>1087</v>
      </c>
      <c r="B230" s="94" t="s">
        <v>1081</v>
      </c>
      <c r="C230" s="95" t="s">
        <v>76</v>
      </c>
      <c r="D230" s="96" t="s">
        <v>62</v>
      </c>
      <c r="E230" s="97">
        <v>20450</v>
      </c>
      <c r="F230" s="97">
        <v>988</v>
      </c>
      <c r="G230" s="97">
        <v>1841</v>
      </c>
      <c r="H230" s="98">
        <v>19.899999999999999</v>
      </c>
      <c r="I230" s="97">
        <v>6247</v>
      </c>
      <c r="J230" s="99">
        <v>18.7</v>
      </c>
    </row>
    <row r="231" spans="1:10" ht="16">
      <c r="A231" s="100" t="s">
        <v>239</v>
      </c>
      <c r="B231" s="101" t="s">
        <v>223</v>
      </c>
      <c r="C231" s="102" t="s">
        <v>76</v>
      </c>
      <c r="D231" s="103" t="s">
        <v>84</v>
      </c>
      <c r="E231" s="104">
        <v>32537</v>
      </c>
      <c r="F231" s="104">
        <v>2905</v>
      </c>
      <c r="G231" s="104">
        <v>3904</v>
      </c>
      <c r="H231" s="105">
        <v>58.6</v>
      </c>
      <c r="I231" s="104">
        <v>39951</v>
      </c>
      <c r="J231" s="106">
        <v>61.9</v>
      </c>
    </row>
    <row r="232" spans="1:10" ht="16">
      <c r="A232" s="93" t="s">
        <v>651</v>
      </c>
      <c r="B232" s="94" t="s">
        <v>642</v>
      </c>
      <c r="C232" s="95" t="s">
        <v>76</v>
      </c>
      <c r="D232" s="96" t="s">
        <v>77</v>
      </c>
      <c r="E232" s="97">
        <v>2942</v>
      </c>
      <c r="F232" s="97">
        <v>919</v>
      </c>
      <c r="G232" s="97">
        <v>205</v>
      </c>
      <c r="H232" s="98">
        <v>9.6999999999999993</v>
      </c>
      <c r="I232" s="97">
        <v>8904</v>
      </c>
      <c r="J232" s="99">
        <v>24.5</v>
      </c>
    </row>
    <row r="233" spans="1:10" ht="16">
      <c r="A233" s="100" t="s">
        <v>240</v>
      </c>
      <c r="B233" s="101" t="s">
        <v>223</v>
      </c>
      <c r="C233" s="102" t="s">
        <v>107</v>
      </c>
      <c r="D233" s="103" t="s">
        <v>62</v>
      </c>
      <c r="E233" s="104">
        <v>34979</v>
      </c>
      <c r="F233" s="104">
        <v>2200</v>
      </c>
      <c r="G233" s="104">
        <v>700</v>
      </c>
      <c r="H233" s="105">
        <v>12.1</v>
      </c>
      <c r="I233" s="104">
        <v>6642</v>
      </c>
      <c r="J233" s="106">
        <v>16.600000000000001</v>
      </c>
    </row>
    <row r="234" spans="1:10" ht="16">
      <c r="A234" s="93" t="s">
        <v>1156</v>
      </c>
      <c r="B234" s="94" t="s">
        <v>1142</v>
      </c>
      <c r="C234" s="95" t="s">
        <v>107</v>
      </c>
      <c r="D234" s="96" t="s">
        <v>62</v>
      </c>
      <c r="E234" s="97">
        <v>77346</v>
      </c>
      <c r="F234" s="97">
        <v>2553</v>
      </c>
      <c r="G234" s="97">
        <v>2320</v>
      </c>
      <c r="H234" s="98">
        <v>10.6</v>
      </c>
      <c r="I234" s="97">
        <v>1408</v>
      </c>
      <c r="J234" s="99">
        <v>18.8</v>
      </c>
    </row>
    <row r="235" spans="1:10" ht="16">
      <c r="A235" s="100" t="s">
        <v>1157</v>
      </c>
      <c r="B235" s="101" t="s">
        <v>1142</v>
      </c>
      <c r="C235" s="102" t="s">
        <v>107</v>
      </c>
      <c r="D235" s="103" t="s">
        <v>62</v>
      </c>
      <c r="E235" s="104">
        <v>37903</v>
      </c>
      <c r="F235" s="104">
        <v>995</v>
      </c>
      <c r="G235" s="104">
        <v>2274</v>
      </c>
      <c r="H235" s="105">
        <v>9</v>
      </c>
      <c r="I235" s="104">
        <v>1415</v>
      </c>
      <c r="J235" s="106">
        <v>17.3</v>
      </c>
    </row>
    <row r="236" spans="1:10" ht="16">
      <c r="A236" s="93" t="s">
        <v>881</v>
      </c>
      <c r="B236" s="94" t="s">
        <v>879</v>
      </c>
      <c r="C236" s="95" t="s">
        <v>107</v>
      </c>
      <c r="D236" s="96" t="s">
        <v>63</v>
      </c>
      <c r="E236" s="97">
        <v>16834</v>
      </c>
      <c r="F236" s="97">
        <v>1137</v>
      </c>
      <c r="G236" s="97">
        <v>673</v>
      </c>
      <c r="H236" s="98">
        <v>12.1</v>
      </c>
      <c r="I236" s="97">
        <v>4495</v>
      </c>
      <c r="J236" s="99">
        <v>17.100000000000001</v>
      </c>
    </row>
    <row r="237" spans="1:10" ht="16">
      <c r="A237" s="100" t="s">
        <v>1158</v>
      </c>
      <c r="B237" s="101" t="s">
        <v>1142</v>
      </c>
      <c r="C237" s="102" t="s">
        <v>107</v>
      </c>
      <c r="D237" s="103" t="s">
        <v>63</v>
      </c>
      <c r="E237" s="104">
        <v>7487</v>
      </c>
      <c r="F237" s="104">
        <v>273</v>
      </c>
      <c r="G237" s="104">
        <v>150</v>
      </c>
      <c r="H237" s="105">
        <v>14.1</v>
      </c>
      <c r="I237" s="104">
        <v>2745</v>
      </c>
      <c r="J237" s="106">
        <v>21</v>
      </c>
    </row>
    <row r="238" spans="1:10" ht="16">
      <c r="A238" s="93" t="s">
        <v>1317</v>
      </c>
      <c r="B238" s="94" t="s">
        <v>1288</v>
      </c>
      <c r="C238" s="95" t="s">
        <v>76</v>
      </c>
      <c r="D238" s="96" t="s">
        <v>80</v>
      </c>
      <c r="E238" s="97">
        <v>29377</v>
      </c>
      <c r="F238" s="97">
        <v>1632</v>
      </c>
      <c r="G238" s="97">
        <v>2938</v>
      </c>
      <c r="H238" s="98">
        <v>26.3</v>
      </c>
      <c r="I238" s="97">
        <v>23586</v>
      </c>
      <c r="J238" s="99">
        <v>29.9</v>
      </c>
    </row>
    <row r="239" spans="1:10" ht="16">
      <c r="A239" s="100" t="s">
        <v>1318</v>
      </c>
      <c r="B239" s="101" t="s">
        <v>1288</v>
      </c>
      <c r="C239" s="102" t="s">
        <v>76</v>
      </c>
      <c r="D239" s="103" t="s">
        <v>84</v>
      </c>
      <c r="E239" s="104">
        <v>23488</v>
      </c>
      <c r="F239" s="104">
        <v>1793</v>
      </c>
      <c r="G239" s="104">
        <v>4228</v>
      </c>
      <c r="H239" s="105">
        <v>32.4</v>
      </c>
      <c r="I239" s="104">
        <v>26462</v>
      </c>
      <c r="J239" s="106">
        <v>48.6</v>
      </c>
    </row>
    <row r="240" spans="1:10" ht="16">
      <c r="A240" s="93" t="s">
        <v>1319</v>
      </c>
      <c r="B240" s="94" t="s">
        <v>1288</v>
      </c>
      <c r="C240" s="95" t="s">
        <v>76</v>
      </c>
      <c r="D240" s="96" t="s">
        <v>61</v>
      </c>
      <c r="E240" s="97">
        <v>16279</v>
      </c>
      <c r="F240" s="97">
        <v>1915</v>
      </c>
      <c r="G240" s="97">
        <v>2930</v>
      </c>
      <c r="H240" s="98">
        <v>37.9</v>
      </c>
      <c r="I240" s="97">
        <v>35669</v>
      </c>
      <c r="J240" s="99">
        <v>57.3</v>
      </c>
    </row>
    <row r="241" spans="1:10" ht="16">
      <c r="A241" s="100" t="s">
        <v>1320</v>
      </c>
      <c r="B241" s="101" t="s">
        <v>1288</v>
      </c>
      <c r="C241" s="102" t="s">
        <v>107</v>
      </c>
      <c r="D241" s="103" t="s">
        <v>84</v>
      </c>
      <c r="E241" s="104">
        <v>21372</v>
      </c>
      <c r="F241" s="104">
        <v>1168</v>
      </c>
      <c r="G241" s="104">
        <v>5770</v>
      </c>
      <c r="H241" s="105">
        <v>76.400000000000006</v>
      </c>
      <c r="I241" s="104">
        <v>69090</v>
      </c>
      <c r="J241" s="106">
        <v>60.2</v>
      </c>
    </row>
    <row r="242" spans="1:10" ht="16">
      <c r="A242" s="93" t="s">
        <v>1321</v>
      </c>
      <c r="B242" s="94" t="s">
        <v>1288</v>
      </c>
      <c r="C242" s="95" t="s">
        <v>76</v>
      </c>
      <c r="D242" s="96" t="s">
        <v>82</v>
      </c>
      <c r="E242" s="97">
        <v>29290</v>
      </c>
      <c r="F242" s="97">
        <v>2034</v>
      </c>
      <c r="G242" s="97">
        <v>1757</v>
      </c>
      <c r="H242" s="98">
        <v>27.2</v>
      </c>
      <c r="I242" s="97">
        <v>17154</v>
      </c>
      <c r="J242" s="99">
        <v>33.9</v>
      </c>
    </row>
    <row r="243" spans="1:10" ht="16">
      <c r="A243" s="100" t="s">
        <v>143</v>
      </c>
      <c r="B243" s="101" t="s">
        <v>144</v>
      </c>
      <c r="C243" s="102" t="s">
        <v>76</v>
      </c>
      <c r="D243" s="103" t="s">
        <v>59</v>
      </c>
      <c r="E243" s="104">
        <v>38080</v>
      </c>
      <c r="F243" s="104">
        <v>1029</v>
      </c>
      <c r="G243" s="104">
        <v>3808</v>
      </c>
      <c r="H243" s="105">
        <v>55.5</v>
      </c>
      <c r="I243" s="104">
        <v>43558</v>
      </c>
      <c r="J243" s="106">
        <v>43.3</v>
      </c>
    </row>
    <row r="244" spans="1:10" ht="16">
      <c r="A244" s="93" t="s">
        <v>652</v>
      </c>
      <c r="B244" s="94" t="s">
        <v>642</v>
      </c>
      <c r="C244" s="95" t="s">
        <v>107</v>
      </c>
      <c r="D244" s="96" t="s">
        <v>62</v>
      </c>
      <c r="E244" s="97">
        <v>7194</v>
      </c>
      <c r="F244" s="97">
        <v>947</v>
      </c>
      <c r="G244" s="97">
        <v>288</v>
      </c>
      <c r="H244" s="98">
        <v>11.8</v>
      </c>
      <c r="I244" s="97">
        <v>2000</v>
      </c>
      <c r="J244" s="99">
        <v>23.5</v>
      </c>
    </row>
    <row r="245" spans="1:10" ht="16">
      <c r="A245" s="100" t="s">
        <v>486</v>
      </c>
      <c r="B245" s="101" t="s">
        <v>474</v>
      </c>
      <c r="C245" s="102" t="s">
        <v>107</v>
      </c>
      <c r="D245" s="103" t="s">
        <v>77</v>
      </c>
      <c r="E245" s="104">
        <v>17226</v>
      </c>
      <c r="F245" s="104">
        <v>1213</v>
      </c>
      <c r="G245" s="104">
        <v>345</v>
      </c>
      <c r="H245" s="105">
        <v>7.7</v>
      </c>
      <c r="I245" s="104">
        <v>1160</v>
      </c>
      <c r="J245" s="106">
        <v>16.7</v>
      </c>
    </row>
    <row r="246" spans="1:10" ht="16">
      <c r="A246" s="93" t="s">
        <v>1208</v>
      </c>
      <c r="B246" s="94" t="s">
        <v>1190</v>
      </c>
      <c r="C246" s="95" t="s">
        <v>76</v>
      </c>
      <c r="D246" s="96" t="s">
        <v>92</v>
      </c>
      <c r="E246" s="97">
        <v>12637</v>
      </c>
      <c r="F246" s="97">
        <v>635</v>
      </c>
      <c r="G246" s="97">
        <v>2148</v>
      </c>
      <c r="H246" s="98">
        <v>12.2</v>
      </c>
      <c r="I246" s="97">
        <v>6865</v>
      </c>
      <c r="J246" s="99">
        <v>15.7</v>
      </c>
    </row>
    <row r="247" spans="1:10" ht="16">
      <c r="A247" s="100" t="s">
        <v>405</v>
      </c>
      <c r="B247" s="101" t="s">
        <v>402</v>
      </c>
      <c r="C247" s="102" t="s">
        <v>76</v>
      </c>
      <c r="D247" s="103" t="s">
        <v>77</v>
      </c>
      <c r="E247" s="104">
        <v>47141</v>
      </c>
      <c r="F247" s="104">
        <v>2405</v>
      </c>
      <c r="G247" s="104">
        <v>7071</v>
      </c>
      <c r="H247" s="105">
        <v>29.5</v>
      </c>
      <c r="I247" s="104">
        <v>22344</v>
      </c>
      <c r="J247" s="106">
        <v>31.7</v>
      </c>
    </row>
    <row r="248" spans="1:10" ht="16">
      <c r="A248" s="93" t="s">
        <v>1209</v>
      </c>
      <c r="B248" s="94" t="s">
        <v>1190</v>
      </c>
      <c r="C248" s="95" t="s">
        <v>76</v>
      </c>
      <c r="D248" s="96" t="s">
        <v>130</v>
      </c>
      <c r="E248" s="97">
        <v>8486</v>
      </c>
      <c r="F248" s="97">
        <v>555</v>
      </c>
      <c r="G248" s="97">
        <v>2970</v>
      </c>
      <c r="H248" s="98">
        <v>28.6</v>
      </c>
      <c r="I248" s="97">
        <v>17330</v>
      </c>
      <c r="J248" s="99">
        <v>33.799999999999997</v>
      </c>
    </row>
    <row r="249" spans="1:10" ht="16">
      <c r="A249" s="100" t="s">
        <v>860</v>
      </c>
      <c r="B249" s="101" t="s">
        <v>858</v>
      </c>
      <c r="C249" s="102" t="s">
        <v>107</v>
      </c>
      <c r="D249" s="103" t="s">
        <v>130</v>
      </c>
      <c r="E249" s="104">
        <v>9986</v>
      </c>
      <c r="F249" s="104">
        <v>414</v>
      </c>
      <c r="G249" s="104">
        <v>100</v>
      </c>
      <c r="H249" s="105">
        <v>9.1</v>
      </c>
      <c r="I249" s="104">
        <v>519</v>
      </c>
      <c r="J249" s="106">
        <v>14</v>
      </c>
    </row>
    <row r="250" spans="1:10" ht="16">
      <c r="A250" s="93" t="s">
        <v>126</v>
      </c>
      <c r="B250" s="94" t="s">
        <v>127</v>
      </c>
      <c r="C250" s="95" t="s">
        <v>107</v>
      </c>
      <c r="D250" s="96" t="s">
        <v>60</v>
      </c>
      <c r="E250" s="97">
        <v>6370</v>
      </c>
      <c r="F250" s="97">
        <v>637</v>
      </c>
      <c r="G250" s="97">
        <v>1274</v>
      </c>
      <c r="H250" s="98">
        <v>17.5</v>
      </c>
      <c r="I250" s="97">
        <v>8800</v>
      </c>
      <c r="J250" s="99">
        <v>30.5</v>
      </c>
    </row>
    <row r="251" spans="1:10" ht="16">
      <c r="A251" s="100" t="s">
        <v>380</v>
      </c>
      <c r="B251" s="101" t="s">
        <v>377</v>
      </c>
      <c r="C251" s="102" t="s">
        <v>76</v>
      </c>
      <c r="D251" s="103" t="s">
        <v>61</v>
      </c>
      <c r="E251" s="104">
        <v>41411</v>
      </c>
      <c r="F251" s="104">
        <v>2353</v>
      </c>
      <c r="G251" s="104">
        <v>5383</v>
      </c>
      <c r="H251" s="105">
        <v>30.4</v>
      </c>
      <c r="I251" s="104">
        <v>21249</v>
      </c>
      <c r="J251" s="106">
        <v>34</v>
      </c>
    </row>
    <row r="252" spans="1:10" ht="16">
      <c r="A252" s="93" t="s">
        <v>99</v>
      </c>
      <c r="B252" s="94" t="s">
        <v>89</v>
      </c>
      <c r="C252" s="95" t="s">
        <v>76</v>
      </c>
      <c r="D252" s="96" t="s">
        <v>92</v>
      </c>
      <c r="E252" s="97">
        <v>34120</v>
      </c>
      <c r="F252" s="97">
        <v>1446</v>
      </c>
      <c r="G252" s="97">
        <v>5800</v>
      </c>
      <c r="H252" s="98">
        <v>32.700000000000003</v>
      </c>
      <c r="I252" s="97">
        <v>28137</v>
      </c>
      <c r="J252" s="99">
        <v>25.5</v>
      </c>
    </row>
    <row r="253" spans="1:10" ht="16">
      <c r="A253" s="100" t="s">
        <v>912</v>
      </c>
      <c r="B253" s="101" t="s">
        <v>909</v>
      </c>
      <c r="C253" s="102" t="s">
        <v>76</v>
      </c>
      <c r="D253" s="103" t="s">
        <v>60</v>
      </c>
      <c r="E253" s="104">
        <v>9375</v>
      </c>
      <c r="F253" s="104">
        <v>845</v>
      </c>
      <c r="G253" s="104">
        <v>2625</v>
      </c>
      <c r="H253" s="105">
        <v>7.7</v>
      </c>
      <c r="I253" s="104">
        <v>1124</v>
      </c>
      <c r="J253" s="106">
        <v>17.600000000000001</v>
      </c>
    </row>
    <row r="254" spans="1:10" ht="16">
      <c r="A254" s="93" t="s">
        <v>241</v>
      </c>
      <c r="B254" s="94" t="s">
        <v>223</v>
      </c>
      <c r="C254" s="95" t="s">
        <v>107</v>
      </c>
      <c r="D254" s="96" t="s">
        <v>60</v>
      </c>
      <c r="E254" s="97">
        <v>43815</v>
      </c>
      <c r="F254" s="97">
        <v>2224</v>
      </c>
      <c r="G254" s="97">
        <v>3017</v>
      </c>
      <c r="H254" s="98">
        <v>13.1</v>
      </c>
      <c r="I254" s="97">
        <v>7207</v>
      </c>
      <c r="J254" s="99">
        <v>14.2</v>
      </c>
    </row>
    <row r="255" spans="1:10" ht="16">
      <c r="A255" s="100" t="s">
        <v>242</v>
      </c>
      <c r="B255" s="101" t="s">
        <v>223</v>
      </c>
      <c r="C255" s="102" t="s">
        <v>107</v>
      </c>
      <c r="D255" s="103" t="s">
        <v>61</v>
      </c>
      <c r="E255" s="104">
        <v>36083</v>
      </c>
      <c r="F255" s="104">
        <v>2135</v>
      </c>
      <c r="G255" s="104">
        <v>1443</v>
      </c>
      <c r="H255" s="105">
        <v>11.3</v>
      </c>
      <c r="I255" s="104">
        <v>2038</v>
      </c>
      <c r="J255" s="106">
        <v>16.100000000000001</v>
      </c>
    </row>
    <row r="256" spans="1:10" ht="16">
      <c r="A256" s="93" t="s">
        <v>923</v>
      </c>
      <c r="B256" s="94" t="s">
        <v>919</v>
      </c>
      <c r="C256" s="95" t="s">
        <v>107</v>
      </c>
      <c r="D256" s="96" t="s">
        <v>84</v>
      </c>
      <c r="E256" s="97">
        <v>8406</v>
      </c>
      <c r="F256" s="97">
        <v>712</v>
      </c>
      <c r="G256" s="97">
        <v>588</v>
      </c>
      <c r="H256" s="98">
        <v>11.5</v>
      </c>
      <c r="I256" s="97">
        <v>949</v>
      </c>
      <c r="J256" s="99">
        <v>17.8</v>
      </c>
    </row>
    <row r="257" spans="1:10" ht="16">
      <c r="A257" s="100" t="s">
        <v>653</v>
      </c>
      <c r="B257" s="101" t="s">
        <v>642</v>
      </c>
      <c r="C257" s="102" t="s">
        <v>107</v>
      </c>
      <c r="D257" s="103" t="s">
        <v>92</v>
      </c>
      <c r="E257" s="104">
        <v>6473</v>
      </c>
      <c r="F257" s="104">
        <v>841</v>
      </c>
      <c r="G257" s="104">
        <v>194</v>
      </c>
      <c r="H257" s="105">
        <v>12.9</v>
      </c>
      <c r="I257" s="104">
        <v>2312</v>
      </c>
      <c r="J257" s="106">
        <v>27.4</v>
      </c>
    </row>
    <row r="258" spans="1:10" ht="16">
      <c r="A258" s="93" t="s">
        <v>994</v>
      </c>
      <c r="B258" s="94" t="s">
        <v>988</v>
      </c>
      <c r="C258" s="95" t="s">
        <v>107</v>
      </c>
      <c r="D258" s="96" t="s">
        <v>92</v>
      </c>
      <c r="E258" s="97">
        <v>2098</v>
      </c>
      <c r="F258" s="97">
        <v>173</v>
      </c>
      <c r="G258" s="97">
        <v>126</v>
      </c>
      <c r="H258" s="98">
        <v>39.299999999999997</v>
      </c>
      <c r="I258" s="97">
        <v>15462</v>
      </c>
      <c r="J258" s="99">
        <v>40</v>
      </c>
    </row>
    <row r="259" spans="1:10" ht="16">
      <c r="A259" s="100" t="s">
        <v>1159</v>
      </c>
      <c r="B259" s="101" t="s">
        <v>1142</v>
      </c>
      <c r="C259" s="102" t="s">
        <v>107</v>
      </c>
      <c r="D259" s="103" t="s">
        <v>60</v>
      </c>
      <c r="E259" s="104">
        <v>48591</v>
      </c>
      <c r="F259" s="104">
        <v>2505</v>
      </c>
      <c r="G259" s="104">
        <v>1944</v>
      </c>
      <c r="H259" s="105">
        <v>8.5</v>
      </c>
      <c r="I259" s="104">
        <v>1518</v>
      </c>
      <c r="J259" s="106">
        <v>15.5</v>
      </c>
    </row>
    <row r="260" spans="1:10" ht="16">
      <c r="A260" s="93" t="s">
        <v>995</v>
      </c>
      <c r="B260" s="94" t="s">
        <v>988</v>
      </c>
      <c r="C260" s="95" t="s">
        <v>107</v>
      </c>
      <c r="D260" s="96" t="s">
        <v>84</v>
      </c>
      <c r="E260" s="97">
        <v>8108</v>
      </c>
      <c r="F260" s="97">
        <v>827</v>
      </c>
      <c r="G260" s="97">
        <v>405</v>
      </c>
      <c r="H260" s="98">
        <v>15.2</v>
      </c>
      <c r="I260" s="97">
        <v>2443</v>
      </c>
      <c r="J260" s="99">
        <v>19</v>
      </c>
    </row>
    <row r="261" spans="1:10" ht="16">
      <c r="A261" s="100" t="s">
        <v>654</v>
      </c>
      <c r="B261" s="101" t="s">
        <v>642</v>
      </c>
      <c r="C261" s="102" t="s">
        <v>107</v>
      </c>
      <c r="D261" s="103" t="s">
        <v>59</v>
      </c>
      <c r="E261" s="104">
        <v>1210</v>
      </c>
      <c r="F261" s="104">
        <v>318</v>
      </c>
      <c r="G261" s="104">
        <v>12</v>
      </c>
      <c r="H261" s="105">
        <v>13.7</v>
      </c>
      <c r="I261" s="104">
        <v>3332</v>
      </c>
      <c r="J261" s="106">
        <v>29</v>
      </c>
    </row>
    <row r="262" spans="1:10" ht="16">
      <c r="A262" s="93" t="s">
        <v>406</v>
      </c>
      <c r="B262" s="94" t="s">
        <v>402</v>
      </c>
      <c r="C262" s="95" t="s">
        <v>107</v>
      </c>
      <c r="D262" s="96" t="s">
        <v>59</v>
      </c>
      <c r="E262" s="97">
        <v>5216</v>
      </c>
      <c r="F262" s="97">
        <v>148</v>
      </c>
      <c r="G262" s="97">
        <v>991</v>
      </c>
      <c r="H262" s="98">
        <v>23.9</v>
      </c>
      <c r="I262" s="97">
        <v>10182</v>
      </c>
      <c r="J262" s="99">
        <v>36.200000000000003</v>
      </c>
    </row>
    <row r="263" spans="1:10" ht="16">
      <c r="A263" s="100" t="s">
        <v>1460</v>
      </c>
      <c r="B263" s="101" t="s">
        <v>1461</v>
      </c>
      <c r="C263" s="102" t="s">
        <v>107</v>
      </c>
      <c r="D263" s="103" t="s">
        <v>130</v>
      </c>
      <c r="E263" s="104">
        <v>32161</v>
      </c>
      <c r="F263" s="104">
        <v>1503</v>
      </c>
      <c r="G263" s="104">
        <v>322</v>
      </c>
      <c r="H263" s="105">
        <v>8.4</v>
      </c>
      <c r="I263" s="104">
        <v>3553</v>
      </c>
      <c r="J263" s="106">
        <v>14.7</v>
      </c>
    </row>
    <row r="264" spans="1:10" ht="16">
      <c r="A264" s="93" t="s">
        <v>996</v>
      </c>
      <c r="B264" s="94" t="s">
        <v>988</v>
      </c>
      <c r="C264" s="95" t="s">
        <v>76</v>
      </c>
      <c r="D264" s="96" t="s">
        <v>80</v>
      </c>
      <c r="E264" s="97">
        <v>20087</v>
      </c>
      <c r="F264" s="97">
        <v>1279</v>
      </c>
      <c r="G264" s="97">
        <v>4218</v>
      </c>
      <c r="H264" s="98">
        <v>40</v>
      </c>
      <c r="I264" s="97">
        <v>16059</v>
      </c>
      <c r="J264" s="99">
        <v>39.1</v>
      </c>
    </row>
    <row r="265" spans="1:10" ht="16">
      <c r="A265" s="100" t="s">
        <v>243</v>
      </c>
      <c r="B265" s="101" t="s">
        <v>223</v>
      </c>
      <c r="C265" s="102" t="s">
        <v>107</v>
      </c>
      <c r="D265" s="103" t="s">
        <v>77</v>
      </c>
      <c r="E265" s="104">
        <v>29603</v>
      </c>
      <c r="F265" s="104">
        <v>2990</v>
      </c>
      <c r="G265" s="104">
        <v>3552</v>
      </c>
      <c r="H265" s="105">
        <v>36.799999999999997</v>
      </c>
      <c r="I265" s="104">
        <v>16232</v>
      </c>
      <c r="J265" s="106">
        <v>39.5</v>
      </c>
    </row>
    <row r="266" spans="1:10" ht="16">
      <c r="A266" s="93" t="s">
        <v>1322</v>
      </c>
      <c r="B266" s="94" t="s">
        <v>1288</v>
      </c>
      <c r="C266" s="95" t="s">
        <v>107</v>
      </c>
      <c r="D266" s="96" t="s">
        <v>60</v>
      </c>
      <c r="E266" s="97">
        <v>20823</v>
      </c>
      <c r="F266" s="97">
        <v>2263</v>
      </c>
      <c r="G266" s="97">
        <v>4998</v>
      </c>
      <c r="H266" s="98">
        <v>98.6</v>
      </c>
      <c r="I266" s="97">
        <v>97781</v>
      </c>
      <c r="J266" s="99">
        <v>89.2</v>
      </c>
    </row>
    <row r="267" spans="1:10" ht="16">
      <c r="A267" s="100" t="s">
        <v>754</v>
      </c>
      <c r="B267" s="101" t="s">
        <v>753</v>
      </c>
      <c r="C267" s="102" t="s">
        <v>76</v>
      </c>
      <c r="D267" s="103" t="s">
        <v>130</v>
      </c>
      <c r="E267" s="104">
        <v>15654</v>
      </c>
      <c r="F267" s="104">
        <v>879</v>
      </c>
      <c r="G267" s="104">
        <v>1096</v>
      </c>
      <c r="H267" s="105">
        <v>11.3</v>
      </c>
      <c r="I267" s="104">
        <v>944</v>
      </c>
      <c r="J267" s="106">
        <v>13.5</v>
      </c>
    </row>
    <row r="268" spans="1:10" ht="16">
      <c r="A268" s="93" t="s">
        <v>145</v>
      </c>
      <c r="B268" s="94" t="s">
        <v>144</v>
      </c>
      <c r="C268" s="95" t="s">
        <v>107</v>
      </c>
      <c r="D268" s="96" t="s">
        <v>80</v>
      </c>
      <c r="E268" s="97">
        <v>5189</v>
      </c>
      <c r="F268" s="97">
        <v>167</v>
      </c>
      <c r="G268" s="97">
        <v>675</v>
      </c>
      <c r="H268" s="98">
        <v>38.1</v>
      </c>
      <c r="I268" s="97">
        <v>21572</v>
      </c>
      <c r="J268" s="99">
        <v>28.3</v>
      </c>
    </row>
    <row r="269" spans="1:10" ht="16">
      <c r="A269" s="100" t="s">
        <v>592</v>
      </c>
      <c r="B269" s="101" t="s">
        <v>591</v>
      </c>
      <c r="C269" s="102" t="s">
        <v>76</v>
      </c>
      <c r="D269" s="103" t="s">
        <v>82</v>
      </c>
      <c r="E269" s="104">
        <v>16137</v>
      </c>
      <c r="F269" s="104">
        <v>1345</v>
      </c>
      <c r="G269" s="104">
        <v>807</v>
      </c>
      <c r="H269" s="105">
        <v>45.1</v>
      </c>
      <c r="I269" s="104">
        <v>28117</v>
      </c>
      <c r="J269" s="106">
        <v>48.2</v>
      </c>
    </row>
    <row r="270" spans="1:10" ht="16">
      <c r="A270" s="93" t="s">
        <v>407</v>
      </c>
      <c r="B270" s="94" t="s">
        <v>402</v>
      </c>
      <c r="C270" s="95" t="s">
        <v>76</v>
      </c>
      <c r="D270" s="96" t="s">
        <v>60</v>
      </c>
      <c r="E270" s="97">
        <v>20800</v>
      </c>
      <c r="F270" s="97">
        <v>1292</v>
      </c>
      <c r="G270" s="97">
        <v>3744</v>
      </c>
      <c r="H270" s="98">
        <v>60.3</v>
      </c>
      <c r="I270" s="97">
        <v>58011</v>
      </c>
      <c r="J270" s="99">
        <v>67.099999999999994</v>
      </c>
    </row>
    <row r="271" spans="1:10" ht="16">
      <c r="A271" s="100" t="s">
        <v>354</v>
      </c>
      <c r="B271" s="101" t="s">
        <v>344</v>
      </c>
      <c r="C271" s="102" t="s">
        <v>76</v>
      </c>
      <c r="D271" s="103" t="s">
        <v>59</v>
      </c>
      <c r="E271" s="104">
        <v>113043</v>
      </c>
      <c r="F271" s="104">
        <v>5162</v>
      </c>
      <c r="G271" s="104">
        <v>1130</v>
      </c>
      <c r="H271" s="105">
        <v>8.6</v>
      </c>
      <c r="I271" s="104">
        <v>1734</v>
      </c>
      <c r="J271" s="106">
        <v>14.7</v>
      </c>
    </row>
    <row r="272" spans="1:10" ht="16">
      <c r="A272" s="93" t="s">
        <v>1210</v>
      </c>
      <c r="B272" s="94" t="s">
        <v>1190</v>
      </c>
      <c r="C272" s="95" t="s">
        <v>107</v>
      </c>
      <c r="D272" s="96" t="s">
        <v>59</v>
      </c>
      <c r="E272" s="97">
        <v>9189</v>
      </c>
      <c r="F272" s="97">
        <v>534</v>
      </c>
      <c r="G272" s="97">
        <v>3216</v>
      </c>
      <c r="H272" s="98">
        <v>26.7</v>
      </c>
      <c r="I272" s="97">
        <v>20141</v>
      </c>
      <c r="J272" s="99">
        <v>28.4</v>
      </c>
    </row>
    <row r="273" spans="1:10" ht="16">
      <c r="A273" s="100" t="s">
        <v>924</v>
      </c>
      <c r="B273" s="101" t="s">
        <v>919</v>
      </c>
      <c r="C273" s="102" t="s">
        <v>76</v>
      </c>
      <c r="D273" s="103" t="s">
        <v>82</v>
      </c>
      <c r="E273" s="104">
        <v>22111</v>
      </c>
      <c r="F273" s="104">
        <v>1688</v>
      </c>
      <c r="G273" s="104">
        <v>1990</v>
      </c>
      <c r="H273" s="105">
        <v>37.299999999999997</v>
      </c>
      <c r="I273" s="104">
        <v>29165</v>
      </c>
      <c r="J273" s="106">
        <v>35.9</v>
      </c>
    </row>
    <row r="274" spans="1:10" ht="16">
      <c r="A274" s="93" t="s">
        <v>655</v>
      </c>
      <c r="B274" s="94" t="s">
        <v>642</v>
      </c>
      <c r="C274" s="95" t="s">
        <v>107</v>
      </c>
      <c r="D274" s="96" t="s">
        <v>59</v>
      </c>
      <c r="E274" s="97">
        <v>15077</v>
      </c>
      <c r="F274" s="97">
        <v>1675</v>
      </c>
      <c r="G274" s="97">
        <v>1508</v>
      </c>
      <c r="H274" s="98">
        <v>22.4</v>
      </c>
      <c r="I274" s="97">
        <v>7084</v>
      </c>
      <c r="J274" s="99">
        <v>28.9</v>
      </c>
    </row>
    <row r="275" spans="1:10" ht="16">
      <c r="A275" s="100" t="s">
        <v>1323</v>
      </c>
      <c r="B275" s="101" t="s">
        <v>1288</v>
      </c>
      <c r="C275" s="102" t="s">
        <v>76</v>
      </c>
      <c r="D275" s="103" t="s">
        <v>60</v>
      </c>
      <c r="E275" s="104">
        <v>10066</v>
      </c>
      <c r="F275" s="104">
        <v>724</v>
      </c>
      <c r="G275" s="104">
        <v>906</v>
      </c>
      <c r="H275" s="105">
        <v>13.2</v>
      </c>
      <c r="I275" s="104">
        <v>10535</v>
      </c>
      <c r="J275" s="106">
        <v>38.4</v>
      </c>
    </row>
    <row r="276" spans="1:10" ht="16">
      <c r="A276" s="93" t="s">
        <v>656</v>
      </c>
      <c r="B276" s="94" t="s">
        <v>642</v>
      </c>
      <c r="C276" s="95" t="s">
        <v>107</v>
      </c>
      <c r="D276" s="96" t="s">
        <v>130</v>
      </c>
      <c r="E276" s="97">
        <v>18225</v>
      </c>
      <c r="F276" s="97">
        <v>2250</v>
      </c>
      <c r="G276" s="97">
        <v>2005</v>
      </c>
      <c r="H276" s="98">
        <v>40.1</v>
      </c>
      <c r="I276" s="97">
        <v>12038</v>
      </c>
      <c r="J276" s="99">
        <v>45.7</v>
      </c>
    </row>
    <row r="277" spans="1:10" ht="16">
      <c r="A277" s="100" t="s">
        <v>461</v>
      </c>
      <c r="B277" s="101" t="s">
        <v>459</v>
      </c>
      <c r="C277" s="102" t="s">
        <v>76</v>
      </c>
      <c r="D277" s="103" t="s">
        <v>92</v>
      </c>
      <c r="E277" s="104">
        <v>8759</v>
      </c>
      <c r="F277" s="104">
        <v>755</v>
      </c>
      <c r="G277" s="104">
        <v>3942</v>
      </c>
      <c r="H277" s="105">
        <v>22</v>
      </c>
      <c r="I277" s="104">
        <v>12809</v>
      </c>
      <c r="J277" s="106">
        <v>27.9</v>
      </c>
    </row>
    <row r="278" spans="1:10" ht="16">
      <c r="A278" s="93" t="s">
        <v>462</v>
      </c>
      <c r="B278" s="94" t="s">
        <v>459</v>
      </c>
      <c r="C278" s="95" t="s">
        <v>76</v>
      </c>
      <c r="D278" s="96" t="s">
        <v>61</v>
      </c>
      <c r="E278" s="97">
        <v>20388</v>
      </c>
      <c r="F278" s="97">
        <v>883</v>
      </c>
      <c r="G278" s="97">
        <v>5097</v>
      </c>
      <c r="H278" s="98">
        <v>46.6</v>
      </c>
      <c r="I278" s="97">
        <v>33485</v>
      </c>
      <c r="J278" s="99">
        <v>41</v>
      </c>
    </row>
    <row r="279" spans="1:10" ht="16">
      <c r="A279" s="100" t="s">
        <v>657</v>
      </c>
      <c r="B279" s="101" t="s">
        <v>642</v>
      </c>
      <c r="C279" s="102" t="s">
        <v>107</v>
      </c>
      <c r="D279" s="103" t="s">
        <v>77</v>
      </c>
      <c r="E279" s="104">
        <v>30969</v>
      </c>
      <c r="F279" s="104">
        <v>761</v>
      </c>
      <c r="G279" s="104">
        <v>619</v>
      </c>
      <c r="H279" s="105">
        <v>9.6999999999999993</v>
      </c>
      <c r="I279" s="104">
        <v>2515</v>
      </c>
      <c r="J279" s="106">
        <v>16.8</v>
      </c>
    </row>
    <row r="280" spans="1:10" ht="16">
      <c r="A280" s="93" t="s">
        <v>1324</v>
      </c>
      <c r="B280" s="94" t="s">
        <v>1288</v>
      </c>
      <c r="C280" s="95" t="s">
        <v>76</v>
      </c>
      <c r="D280" s="96" t="s">
        <v>61</v>
      </c>
      <c r="E280" s="97">
        <v>8449</v>
      </c>
      <c r="F280" s="97">
        <v>1127</v>
      </c>
      <c r="G280" s="97">
        <v>676</v>
      </c>
      <c r="H280" s="98">
        <v>15.3</v>
      </c>
      <c r="I280" s="97">
        <v>15187</v>
      </c>
      <c r="J280" s="99">
        <v>42.8</v>
      </c>
    </row>
    <row r="281" spans="1:10" ht="16">
      <c r="A281" s="100" t="s">
        <v>244</v>
      </c>
      <c r="B281" s="101" t="s">
        <v>223</v>
      </c>
      <c r="C281" s="102" t="s">
        <v>107</v>
      </c>
      <c r="D281" s="103" t="s">
        <v>82</v>
      </c>
      <c r="E281" s="104">
        <v>30491</v>
      </c>
      <c r="F281" s="104">
        <v>1723</v>
      </c>
      <c r="G281" s="104">
        <v>3354</v>
      </c>
      <c r="H281" s="105">
        <v>11.3</v>
      </c>
      <c r="I281" s="104">
        <v>3086</v>
      </c>
      <c r="J281" s="106">
        <v>14.7</v>
      </c>
    </row>
    <row r="282" spans="1:10" ht="16">
      <c r="A282" s="93" t="s">
        <v>245</v>
      </c>
      <c r="B282" s="94" t="s">
        <v>223</v>
      </c>
      <c r="C282" s="95" t="s">
        <v>76</v>
      </c>
      <c r="D282" s="96" t="s">
        <v>59</v>
      </c>
      <c r="E282" s="97">
        <v>25956</v>
      </c>
      <c r="F282" s="97">
        <v>1492</v>
      </c>
      <c r="G282" s="97">
        <v>519</v>
      </c>
      <c r="H282" s="98">
        <v>15.1</v>
      </c>
      <c r="I282" s="97">
        <v>7543</v>
      </c>
      <c r="J282" s="99">
        <v>21.8</v>
      </c>
    </row>
    <row r="283" spans="1:10" ht="16">
      <c r="A283" s="100" t="s">
        <v>246</v>
      </c>
      <c r="B283" s="101" t="s">
        <v>223</v>
      </c>
      <c r="C283" s="102" t="s">
        <v>107</v>
      </c>
      <c r="D283" s="103" t="s">
        <v>84</v>
      </c>
      <c r="E283" s="104">
        <v>56379</v>
      </c>
      <c r="F283" s="104">
        <v>3417</v>
      </c>
      <c r="G283" s="104">
        <v>2819</v>
      </c>
      <c r="H283" s="105">
        <v>39.1</v>
      </c>
      <c r="I283" s="104">
        <v>23438</v>
      </c>
      <c r="J283" s="106">
        <v>41</v>
      </c>
    </row>
    <row r="284" spans="1:10" ht="16">
      <c r="A284" s="93" t="s">
        <v>408</v>
      </c>
      <c r="B284" s="94" t="s">
        <v>402</v>
      </c>
      <c r="C284" s="95" t="s">
        <v>107</v>
      </c>
      <c r="D284" s="96" t="s">
        <v>62</v>
      </c>
      <c r="E284" s="97">
        <v>33463</v>
      </c>
      <c r="F284" s="97">
        <v>596</v>
      </c>
      <c r="G284" s="97">
        <v>5689</v>
      </c>
      <c r="H284" s="98">
        <v>66.8</v>
      </c>
      <c r="I284" s="97">
        <v>45360</v>
      </c>
      <c r="J284" s="99">
        <v>61.8</v>
      </c>
    </row>
    <row r="285" spans="1:10" ht="16">
      <c r="A285" s="100" t="s">
        <v>247</v>
      </c>
      <c r="B285" s="101" t="s">
        <v>223</v>
      </c>
      <c r="C285" s="102" t="s">
        <v>107</v>
      </c>
      <c r="D285" s="103" t="s">
        <v>60</v>
      </c>
      <c r="E285" s="104">
        <v>40715</v>
      </c>
      <c r="F285" s="104">
        <v>1996</v>
      </c>
      <c r="G285" s="104">
        <v>814</v>
      </c>
      <c r="H285" s="105">
        <v>24.1</v>
      </c>
      <c r="I285" s="104">
        <v>18124</v>
      </c>
      <c r="J285" s="106">
        <v>23.6</v>
      </c>
    </row>
    <row r="286" spans="1:10" ht="16">
      <c r="A286" s="93" t="s">
        <v>658</v>
      </c>
      <c r="B286" s="94" t="s">
        <v>642</v>
      </c>
      <c r="C286" s="95" t="s">
        <v>107</v>
      </c>
      <c r="D286" s="96" t="s">
        <v>77</v>
      </c>
      <c r="E286" s="97">
        <v>888</v>
      </c>
      <c r="F286" s="97">
        <v>444</v>
      </c>
      <c r="G286" s="97">
        <v>9</v>
      </c>
      <c r="H286" s="98">
        <v>12.4</v>
      </c>
      <c r="I286" s="97">
        <v>5430</v>
      </c>
      <c r="J286" s="99">
        <v>30.2</v>
      </c>
    </row>
    <row r="287" spans="1:10" ht="16">
      <c r="A287" s="100" t="s">
        <v>1088</v>
      </c>
      <c r="B287" s="101" t="s">
        <v>1081</v>
      </c>
      <c r="C287" s="102" t="s">
        <v>107</v>
      </c>
      <c r="D287" s="103" t="s">
        <v>77</v>
      </c>
      <c r="E287" s="104">
        <v>13970</v>
      </c>
      <c r="F287" s="104">
        <v>490</v>
      </c>
      <c r="G287" s="104">
        <v>1956</v>
      </c>
      <c r="H287" s="105">
        <v>17</v>
      </c>
      <c r="I287" s="104">
        <v>2262</v>
      </c>
      <c r="J287" s="106">
        <v>15.1</v>
      </c>
    </row>
    <row r="288" spans="1:10" ht="16">
      <c r="A288" s="93" t="s">
        <v>659</v>
      </c>
      <c r="B288" s="94" t="s">
        <v>642</v>
      </c>
      <c r="C288" s="95" t="s">
        <v>107</v>
      </c>
      <c r="D288" s="96" t="s">
        <v>59</v>
      </c>
      <c r="E288" s="97">
        <v>8181</v>
      </c>
      <c r="F288" s="97">
        <v>538</v>
      </c>
      <c r="G288" s="97">
        <v>245</v>
      </c>
      <c r="H288" s="98">
        <v>10</v>
      </c>
      <c r="I288" s="97">
        <v>818</v>
      </c>
      <c r="J288" s="99">
        <v>16.399999999999999</v>
      </c>
    </row>
    <row r="289" spans="1:10" ht="16">
      <c r="A289" s="100" t="s">
        <v>593</v>
      </c>
      <c r="B289" s="101" t="s">
        <v>591</v>
      </c>
      <c r="C289" s="102" t="s">
        <v>76</v>
      </c>
      <c r="D289" s="103" t="s">
        <v>77</v>
      </c>
      <c r="E289" s="104">
        <v>6908</v>
      </c>
      <c r="F289" s="104">
        <v>147</v>
      </c>
      <c r="G289" s="104">
        <v>1658</v>
      </c>
      <c r="H289" s="105">
        <v>10.1</v>
      </c>
      <c r="I289" s="104">
        <v>6337</v>
      </c>
      <c r="J289" s="106">
        <v>14.1</v>
      </c>
    </row>
    <row r="290" spans="1:10" ht="16">
      <c r="A290" s="93" t="s">
        <v>409</v>
      </c>
      <c r="B290" s="94" t="s">
        <v>402</v>
      </c>
      <c r="C290" s="95" t="s">
        <v>107</v>
      </c>
      <c r="D290" s="96" t="s">
        <v>61</v>
      </c>
      <c r="E290" s="97">
        <v>5807</v>
      </c>
      <c r="F290" s="97">
        <v>328</v>
      </c>
      <c r="G290" s="97">
        <v>1278</v>
      </c>
      <c r="H290" s="98">
        <v>16.8</v>
      </c>
      <c r="I290" s="97">
        <v>5030</v>
      </c>
      <c r="J290" s="99">
        <v>25.1</v>
      </c>
    </row>
    <row r="291" spans="1:10" ht="16">
      <c r="A291" s="100" t="s">
        <v>960</v>
      </c>
      <c r="B291" s="101" t="s">
        <v>959</v>
      </c>
      <c r="C291" s="102" t="s">
        <v>76</v>
      </c>
      <c r="D291" s="103" t="s">
        <v>62</v>
      </c>
      <c r="E291" s="104">
        <v>24763</v>
      </c>
      <c r="F291" s="104">
        <v>2913</v>
      </c>
      <c r="G291" s="104">
        <v>991</v>
      </c>
      <c r="H291" s="105">
        <v>8</v>
      </c>
      <c r="I291" s="104">
        <v>1235</v>
      </c>
      <c r="J291" s="106">
        <v>21.1</v>
      </c>
    </row>
    <row r="292" spans="1:10" ht="16">
      <c r="A292" s="93" t="s">
        <v>543</v>
      </c>
      <c r="B292" s="94" t="s">
        <v>537</v>
      </c>
      <c r="C292" s="95" t="s">
        <v>76</v>
      </c>
      <c r="D292" s="96" t="s">
        <v>63</v>
      </c>
      <c r="E292" s="97">
        <v>8330</v>
      </c>
      <c r="F292" s="97">
        <v>291</v>
      </c>
      <c r="G292" s="97">
        <v>583</v>
      </c>
      <c r="H292" s="98">
        <v>8.5</v>
      </c>
      <c r="I292" s="97">
        <v>6691</v>
      </c>
      <c r="J292" s="99">
        <v>12.3</v>
      </c>
    </row>
    <row r="293" spans="1:10" ht="16">
      <c r="A293" s="100" t="s">
        <v>1211</v>
      </c>
      <c r="B293" s="101" t="s">
        <v>1190</v>
      </c>
      <c r="C293" s="102" t="s">
        <v>107</v>
      </c>
      <c r="D293" s="103" t="s">
        <v>59</v>
      </c>
      <c r="E293" s="104">
        <v>16760</v>
      </c>
      <c r="F293" s="104">
        <v>1432</v>
      </c>
      <c r="G293" s="104">
        <v>9386</v>
      </c>
      <c r="H293" s="105">
        <v>87.6</v>
      </c>
      <c r="I293" s="104">
        <v>85011</v>
      </c>
      <c r="J293" s="106">
        <v>84.5</v>
      </c>
    </row>
    <row r="294" spans="1:10" ht="16">
      <c r="A294" s="93" t="s">
        <v>381</v>
      </c>
      <c r="B294" s="94" t="s">
        <v>377</v>
      </c>
      <c r="C294" s="95" t="s">
        <v>107</v>
      </c>
      <c r="D294" s="96" t="s">
        <v>77</v>
      </c>
      <c r="E294" s="97">
        <v>1676</v>
      </c>
      <c r="F294" s="97">
        <v>204</v>
      </c>
      <c r="G294" s="97">
        <v>737</v>
      </c>
      <c r="H294" s="98">
        <v>28.5</v>
      </c>
      <c r="I294" s="97">
        <v>15157</v>
      </c>
      <c r="J294" s="99">
        <v>34.4</v>
      </c>
    </row>
    <row r="295" spans="1:10" ht="16">
      <c r="A295" s="100" t="s">
        <v>997</v>
      </c>
      <c r="B295" s="101" t="s">
        <v>988</v>
      </c>
      <c r="C295" s="102" t="s">
        <v>107</v>
      </c>
      <c r="D295" s="103" t="s">
        <v>77</v>
      </c>
      <c r="E295" s="104">
        <v>13499</v>
      </c>
      <c r="F295" s="104">
        <v>605</v>
      </c>
      <c r="G295" s="104">
        <v>405</v>
      </c>
      <c r="H295" s="105">
        <v>17</v>
      </c>
      <c r="I295" s="104">
        <v>3725</v>
      </c>
      <c r="J295" s="106">
        <v>16.100000000000001</v>
      </c>
    </row>
    <row r="296" spans="1:10" ht="16">
      <c r="A296" s="93" t="s">
        <v>487</v>
      </c>
      <c r="B296" s="94" t="s">
        <v>474</v>
      </c>
      <c r="C296" s="95" t="s">
        <v>107</v>
      </c>
      <c r="D296" s="96" t="s">
        <v>60</v>
      </c>
      <c r="E296" s="97">
        <v>4128</v>
      </c>
      <c r="F296" s="97">
        <v>430</v>
      </c>
      <c r="G296" s="97">
        <v>41</v>
      </c>
      <c r="H296" s="98">
        <v>55.3</v>
      </c>
      <c r="I296" s="97">
        <v>17929</v>
      </c>
      <c r="J296" s="99">
        <v>58.6</v>
      </c>
    </row>
    <row r="297" spans="1:10" ht="16">
      <c r="A297" s="100" t="s">
        <v>488</v>
      </c>
      <c r="B297" s="101" t="s">
        <v>474</v>
      </c>
      <c r="C297" s="102" t="s">
        <v>107</v>
      </c>
      <c r="D297" s="103" t="s">
        <v>130</v>
      </c>
      <c r="E297" s="104">
        <v>1335</v>
      </c>
      <c r="F297" s="104">
        <v>113</v>
      </c>
      <c r="G297" s="104">
        <v>30</v>
      </c>
      <c r="H297" s="105">
        <v>10.8</v>
      </c>
      <c r="I297" s="104">
        <v>3102</v>
      </c>
      <c r="J297" s="106">
        <v>28.1</v>
      </c>
    </row>
    <row r="298" spans="1:10" ht="16">
      <c r="A298" s="93" t="s">
        <v>489</v>
      </c>
      <c r="B298" s="94" t="s">
        <v>474</v>
      </c>
      <c r="C298" s="95" t="s">
        <v>107</v>
      </c>
      <c r="D298" s="96" t="s">
        <v>63</v>
      </c>
      <c r="E298" s="97">
        <v>1274</v>
      </c>
      <c r="F298" s="97">
        <v>134</v>
      </c>
      <c r="G298" s="97">
        <v>29</v>
      </c>
      <c r="H298" s="98">
        <v>19.5</v>
      </c>
      <c r="I298" s="97">
        <v>10575</v>
      </c>
      <c r="J298" s="99">
        <v>31.7</v>
      </c>
    </row>
    <row r="299" spans="1:10" ht="16">
      <c r="A299" s="100" t="s">
        <v>490</v>
      </c>
      <c r="B299" s="101" t="s">
        <v>474</v>
      </c>
      <c r="C299" s="102" t="s">
        <v>107</v>
      </c>
      <c r="D299" s="103" t="s">
        <v>92</v>
      </c>
      <c r="E299" s="104">
        <v>7833</v>
      </c>
      <c r="F299" s="104">
        <v>312</v>
      </c>
      <c r="G299" s="104">
        <v>78</v>
      </c>
      <c r="H299" s="105">
        <v>13.5</v>
      </c>
      <c r="I299" s="104">
        <v>5057</v>
      </c>
      <c r="J299" s="106">
        <v>21.5</v>
      </c>
    </row>
    <row r="300" spans="1:10" ht="16">
      <c r="A300" s="93" t="s">
        <v>491</v>
      </c>
      <c r="B300" s="94" t="s">
        <v>474</v>
      </c>
      <c r="C300" s="95" t="s">
        <v>107</v>
      </c>
      <c r="D300" s="96" t="s">
        <v>92</v>
      </c>
      <c r="E300" s="97">
        <v>1237</v>
      </c>
      <c r="F300" s="97">
        <v>116</v>
      </c>
      <c r="G300" s="97">
        <v>57</v>
      </c>
      <c r="H300" s="98">
        <v>11.3</v>
      </c>
      <c r="I300" s="97">
        <v>6008</v>
      </c>
      <c r="J300" s="99">
        <v>27</v>
      </c>
    </row>
    <row r="301" spans="1:10" ht="16">
      <c r="A301" s="100" t="s">
        <v>492</v>
      </c>
      <c r="B301" s="101" t="s">
        <v>474</v>
      </c>
      <c r="C301" s="102" t="s">
        <v>107</v>
      </c>
      <c r="D301" s="103" t="s">
        <v>130</v>
      </c>
      <c r="E301" s="104">
        <v>10267</v>
      </c>
      <c r="F301" s="104">
        <v>638</v>
      </c>
      <c r="G301" s="104">
        <v>103</v>
      </c>
      <c r="H301" s="105">
        <v>39.6</v>
      </c>
      <c r="I301" s="104">
        <v>13843</v>
      </c>
      <c r="J301" s="106">
        <v>44.7</v>
      </c>
    </row>
    <row r="302" spans="1:10" ht="16">
      <c r="A302" s="93" t="s">
        <v>493</v>
      </c>
      <c r="B302" s="94" t="s">
        <v>474</v>
      </c>
      <c r="C302" s="95" t="s">
        <v>107</v>
      </c>
      <c r="D302" s="96" t="s">
        <v>130</v>
      </c>
      <c r="E302" s="97">
        <v>7284</v>
      </c>
      <c r="F302" s="97">
        <v>492</v>
      </c>
      <c r="G302" s="97">
        <v>73</v>
      </c>
      <c r="H302" s="98">
        <v>27.9</v>
      </c>
      <c r="I302" s="97">
        <v>13710</v>
      </c>
      <c r="J302" s="99">
        <v>48.5</v>
      </c>
    </row>
    <row r="303" spans="1:10" ht="16">
      <c r="A303" s="100" t="s">
        <v>494</v>
      </c>
      <c r="B303" s="101" t="s">
        <v>474</v>
      </c>
      <c r="C303" s="102" t="s">
        <v>107</v>
      </c>
      <c r="D303" s="103" t="s">
        <v>62</v>
      </c>
      <c r="E303" s="104">
        <v>1222</v>
      </c>
      <c r="F303" s="104">
        <v>109</v>
      </c>
      <c r="G303" s="104">
        <v>27</v>
      </c>
      <c r="H303" s="105">
        <v>11.5</v>
      </c>
      <c r="I303" s="104">
        <v>8796</v>
      </c>
      <c r="J303" s="106">
        <v>21.1</v>
      </c>
    </row>
    <row r="304" spans="1:10" ht="16">
      <c r="A304" s="93" t="s">
        <v>495</v>
      </c>
      <c r="B304" s="94" t="s">
        <v>474</v>
      </c>
      <c r="C304" s="95" t="s">
        <v>107</v>
      </c>
      <c r="D304" s="96" t="s">
        <v>130</v>
      </c>
      <c r="E304" s="97">
        <v>5699</v>
      </c>
      <c r="F304" s="97">
        <v>422</v>
      </c>
      <c r="G304" s="97">
        <v>57</v>
      </c>
      <c r="H304" s="98">
        <v>22</v>
      </c>
      <c r="I304" s="97">
        <v>8190</v>
      </c>
      <c r="J304" s="99">
        <v>33.700000000000003</v>
      </c>
    </row>
    <row r="305" spans="1:10" ht="16">
      <c r="A305" s="100" t="s">
        <v>496</v>
      </c>
      <c r="B305" s="101" t="s">
        <v>474</v>
      </c>
      <c r="C305" s="102" t="s">
        <v>107</v>
      </c>
      <c r="D305" s="103" t="s">
        <v>92</v>
      </c>
      <c r="E305" s="104">
        <v>2088</v>
      </c>
      <c r="F305" s="104">
        <v>175</v>
      </c>
      <c r="G305" s="104">
        <v>96</v>
      </c>
      <c r="H305" s="105">
        <v>18</v>
      </c>
      <c r="I305" s="104">
        <v>9478</v>
      </c>
      <c r="J305" s="106">
        <v>25.3</v>
      </c>
    </row>
    <row r="306" spans="1:10" ht="16">
      <c r="A306" s="93" t="s">
        <v>497</v>
      </c>
      <c r="B306" s="94" t="s">
        <v>474</v>
      </c>
      <c r="C306" s="95" t="s">
        <v>107</v>
      </c>
      <c r="D306" s="96" t="s">
        <v>84</v>
      </c>
      <c r="E306" s="97">
        <v>1128</v>
      </c>
      <c r="F306" s="97">
        <v>116</v>
      </c>
      <c r="G306" s="97">
        <v>52</v>
      </c>
      <c r="H306" s="98">
        <v>23.7</v>
      </c>
      <c r="I306" s="97">
        <v>18333</v>
      </c>
      <c r="J306" s="99">
        <v>32.5</v>
      </c>
    </row>
    <row r="307" spans="1:10" ht="16">
      <c r="A307" s="100" t="s">
        <v>498</v>
      </c>
      <c r="B307" s="101" t="s">
        <v>474</v>
      </c>
      <c r="C307" s="102" t="s">
        <v>107</v>
      </c>
      <c r="D307" s="103" t="s">
        <v>84</v>
      </c>
      <c r="E307" s="104">
        <v>6860</v>
      </c>
      <c r="F307" s="104">
        <v>504</v>
      </c>
      <c r="G307" s="104">
        <v>315</v>
      </c>
      <c r="H307" s="105">
        <v>24.5</v>
      </c>
      <c r="I307" s="104">
        <v>8641</v>
      </c>
      <c r="J307" s="106">
        <v>37.799999999999997</v>
      </c>
    </row>
    <row r="308" spans="1:10" ht="16">
      <c r="A308" s="93" t="s">
        <v>499</v>
      </c>
      <c r="B308" s="94" t="s">
        <v>474</v>
      </c>
      <c r="C308" s="95" t="s">
        <v>107</v>
      </c>
      <c r="D308" s="96" t="s">
        <v>59</v>
      </c>
      <c r="E308" s="97">
        <v>9167</v>
      </c>
      <c r="F308" s="97">
        <v>745</v>
      </c>
      <c r="G308" s="97">
        <v>421</v>
      </c>
      <c r="H308" s="98">
        <v>38.9</v>
      </c>
      <c r="I308" s="97">
        <v>15208</v>
      </c>
      <c r="J308" s="99">
        <v>41.3</v>
      </c>
    </row>
    <row r="309" spans="1:10" ht="16">
      <c r="A309" s="100" t="s">
        <v>500</v>
      </c>
      <c r="B309" s="101" t="s">
        <v>474</v>
      </c>
      <c r="C309" s="102" t="s">
        <v>107</v>
      </c>
      <c r="D309" s="103" t="s">
        <v>60</v>
      </c>
      <c r="E309" s="104">
        <v>9241</v>
      </c>
      <c r="F309" s="104">
        <v>592</v>
      </c>
      <c r="G309" s="104">
        <v>92</v>
      </c>
      <c r="H309" s="105">
        <v>30.6</v>
      </c>
      <c r="I309" s="104">
        <v>7774</v>
      </c>
      <c r="J309" s="106">
        <v>44.9</v>
      </c>
    </row>
    <row r="310" spans="1:10" ht="16">
      <c r="A310" s="93" t="s">
        <v>501</v>
      </c>
      <c r="B310" s="94" t="s">
        <v>474</v>
      </c>
      <c r="C310" s="95" t="s">
        <v>107</v>
      </c>
      <c r="D310" s="96" t="s">
        <v>92</v>
      </c>
      <c r="E310" s="97">
        <v>1387</v>
      </c>
      <c r="F310" s="97">
        <v>110</v>
      </c>
      <c r="G310" s="97">
        <v>64</v>
      </c>
      <c r="H310" s="98">
        <v>8.3000000000000007</v>
      </c>
      <c r="I310" s="97">
        <v>3500</v>
      </c>
      <c r="J310" s="99">
        <v>17.600000000000001</v>
      </c>
    </row>
    <row r="311" spans="1:10" ht="16">
      <c r="A311" s="100" t="s">
        <v>502</v>
      </c>
      <c r="B311" s="101" t="s">
        <v>474</v>
      </c>
      <c r="C311" s="102" t="s">
        <v>107</v>
      </c>
      <c r="D311" s="103" t="s">
        <v>61</v>
      </c>
      <c r="E311" s="104">
        <v>7561</v>
      </c>
      <c r="F311" s="104">
        <v>461</v>
      </c>
      <c r="G311" s="104">
        <v>151</v>
      </c>
      <c r="H311" s="105">
        <v>28.2</v>
      </c>
      <c r="I311" s="104">
        <v>13162</v>
      </c>
      <c r="J311" s="106">
        <v>38.9</v>
      </c>
    </row>
    <row r="312" spans="1:10" ht="16">
      <c r="A312" s="93" t="s">
        <v>503</v>
      </c>
      <c r="B312" s="94" t="s">
        <v>474</v>
      </c>
      <c r="C312" s="95" t="s">
        <v>107</v>
      </c>
      <c r="D312" s="96" t="s">
        <v>63</v>
      </c>
      <c r="E312" s="97">
        <v>1119</v>
      </c>
      <c r="F312" s="97">
        <v>147</v>
      </c>
      <c r="G312" s="97">
        <v>51</v>
      </c>
      <c r="H312" s="98">
        <v>12.8</v>
      </c>
      <c r="I312" s="97">
        <v>12828</v>
      </c>
      <c r="J312" s="99">
        <v>28.1</v>
      </c>
    </row>
    <row r="313" spans="1:10" ht="16">
      <c r="A313" s="100" t="s">
        <v>1325</v>
      </c>
      <c r="B313" s="101" t="s">
        <v>1288</v>
      </c>
      <c r="C313" s="102" t="s">
        <v>76</v>
      </c>
      <c r="D313" s="103" t="s">
        <v>59</v>
      </c>
      <c r="E313" s="104">
        <v>66872</v>
      </c>
      <c r="F313" s="104">
        <v>4917</v>
      </c>
      <c r="G313" s="104">
        <v>10031</v>
      </c>
      <c r="H313" s="105">
        <v>49.7</v>
      </c>
      <c r="I313" s="104">
        <v>38163</v>
      </c>
      <c r="J313" s="106">
        <v>50.8</v>
      </c>
    </row>
    <row r="314" spans="1:10" ht="16">
      <c r="A314" s="93" t="s">
        <v>305</v>
      </c>
      <c r="B314" s="94" t="s">
        <v>304</v>
      </c>
      <c r="C314" s="95" t="s">
        <v>107</v>
      </c>
      <c r="D314" s="96" t="s">
        <v>130</v>
      </c>
      <c r="E314" s="97">
        <v>20851</v>
      </c>
      <c r="F314" s="97">
        <v>851</v>
      </c>
      <c r="G314" s="97">
        <v>1436</v>
      </c>
      <c r="H314" s="98">
        <v>9.9</v>
      </c>
      <c r="I314" s="97">
        <v>3494</v>
      </c>
      <c r="J314" s="99">
        <v>14.5</v>
      </c>
    </row>
    <row r="315" spans="1:10" ht="16">
      <c r="A315" s="100" t="s">
        <v>998</v>
      </c>
      <c r="B315" s="101" t="s">
        <v>988</v>
      </c>
      <c r="C315" s="102" t="s">
        <v>107</v>
      </c>
      <c r="D315" s="103" t="s">
        <v>80</v>
      </c>
      <c r="E315" s="104">
        <v>19196</v>
      </c>
      <c r="F315" s="104">
        <v>817</v>
      </c>
      <c r="G315" s="104">
        <v>1152</v>
      </c>
      <c r="H315" s="105">
        <v>20.7</v>
      </c>
      <c r="I315" s="104">
        <v>4931</v>
      </c>
      <c r="J315" s="106">
        <v>23.8</v>
      </c>
    </row>
    <row r="316" spans="1:10" ht="16">
      <c r="A316" s="93" t="s">
        <v>504</v>
      </c>
      <c r="B316" s="94" t="s">
        <v>474</v>
      </c>
      <c r="C316" s="95" t="s">
        <v>107</v>
      </c>
      <c r="D316" s="96" t="s">
        <v>77</v>
      </c>
      <c r="E316" s="97">
        <v>2146</v>
      </c>
      <c r="F316" s="97">
        <v>118</v>
      </c>
      <c r="G316" s="97">
        <v>48</v>
      </c>
      <c r="H316" s="98">
        <v>24.1</v>
      </c>
      <c r="I316" s="97">
        <v>11376</v>
      </c>
      <c r="J316" s="99">
        <v>38.299999999999997</v>
      </c>
    </row>
    <row r="317" spans="1:10" ht="16">
      <c r="A317" s="100" t="s">
        <v>861</v>
      </c>
      <c r="B317" s="101" t="s">
        <v>858</v>
      </c>
      <c r="C317" s="102" t="s">
        <v>107</v>
      </c>
      <c r="D317" s="103" t="s">
        <v>62</v>
      </c>
      <c r="E317" s="104">
        <v>30614</v>
      </c>
      <c r="F317" s="104">
        <v>1554</v>
      </c>
      <c r="G317" s="104">
        <v>2449</v>
      </c>
      <c r="H317" s="105">
        <v>7.5</v>
      </c>
      <c r="I317" s="104">
        <v>3999</v>
      </c>
      <c r="J317" s="106">
        <v>14.4</v>
      </c>
    </row>
    <row r="318" spans="1:10" ht="16">
      <c r="A318" s="93" t="s">
        <v>1326</v>
      </c>
      <c r="B318" s="94" t="s">
        <v>1288</v>
      </c>
      <c r="C318" s="95" t="s">
        <v>107</v>
      </c>
      <c r="D318" s="96" t="s">
        <v>59</v>
      </c>
      <c r="E318" s="97">
        <v>32469</v>
      </c>
      <c r="F318" s="97">
        <v>1727</v>
      </c>
      <c r="G318" s="97">
        <v>3896</v>
      </c>
      <c r="H318" s="98">
        <v>33</v>
      </c>
      <c r="I318" s="97">
        <v>19984</v>
      </c>
      <c r="J318" s="99">
        <v>29.5</v>
      </c>
    </row>
    <row r="319" spans="1:10" ht="16">
      <c r="A319" s="100" t="s">
        <v>544</v>
      </c>
      <c r="B319" s="101" t="s">
        <v>537</v>
      </c>
      <c r="C319" s="102" t="s">
        <v>76</v>
      </c>
      <c r="D319" s="103" t="s">
        <v>59</v>
      </c>
      <c r="E319" s="104">
        <v>8673</v>
      </c>
      <c r="F319" s="104">
        <v>964</v>
      </c>
      <c r="G319" s="104">
        <v>260</v>
      </c>
      <c r="H319" s="105">
        <v>10</v>
      </c>
      <c r="I319" s="104">
        <v>5312</v>
      </c>
      <c r="J319" s="106">
        <v>37.700000000000003</v>
      </c>
    </row>
    <row r="320" spans="1:10" ht="16">
      <c r="A320" s="93" t="s">
        <v>545</v>
      </c>
      <c r="B320" s="94" t="s">
        <v>537</v>
      </c>
      <c r="C320" s="95" t="s">
        <v>107</v>
      </c>
      <c r="D320" s="96" t="s">
        <v>82</v>
      </c>
      <c r="E320" s="97">
        <v>13273</v>
      </c>
      <c r="F320" s="97">
        <v>419</v>
      </c>
      <c r="G320" s="97">
        <v>133</v>
      </c>
      <c r="H320" s="98">
        <v>33</v>
      </c>
      <c r="I320" s="97">
        <v>14100</v>
      </c>
      <c r="J320" s="99">
        <v>27.8</v>
      </c>
    </row>
    <row r="321" spans="1:10" ht="16">
      <c r="A321" s="100" t="s">
        <v>894</v>
      </c>
      <c r="B321" s="101" t="s">
        <v>893</v>
      </c>
      <c r="C321" s="102" t="s">
        <v>107</v>
      </c>
      <c r="D321" s="103" t="s">
        <v>80</v>
      </c>
      <c r="E321" s="104">
        <v>8898</v>
      </c>
      <c r="F321" s="104">
        <v>368</v>
      </c>
      <c r="G321" s="104">
        <v>1068</v>
      </c>
      <c r="H321" s="105">
        <v>26.4</v>
      </c>
      <c r="I321" s="104">
        <v>7750</v>
      </c>
      <c r="J321" s="106">
        <v>23</v>
      </c>
    </row>
    <row r="322" spans="1:10" ht="16">
      <c r="A322" s="93" t="s">
        <v>546</v>
      </c>
      <c r="B322" s="94" t="s">
        <v>537</v>
      </c>
      <c r="C322" s="95" t="s">
        <v>76</v>
      </c>
      <c r="D322" s="96" t="s">
        <v>130</v>
      </c>
      <c r="E322" s="97">
        <v>11340</v>
      </c>
      <c r="F322" s="97">
        <v>922</v>
      </c>
      <c r="G322" s="97">
        <v>113</v>
      </c>
      <c r="H322" s="98">
        <v>11.9</v>
      </c>
      <c r="I322" s="97">
        <v>2680</v>
      </c>
      <c r="J322" s="99">
        <v>40.9</v>
      </c>
    </row>
    <row r="323" spans="1:10" ht="16">
      <c r="A323" s="100" t="s">
        <v>547</v>
      </c>
      <c r="B323" s="101" t="s">
        <v>537</v>
      </c>
      <c r="C323" s="102" t="s">
        <v>107</v>
      </c>
      <c r="D323" s="103" t="s">
        <v>63</v>
      </c>
      <c r="E323" s="104">
        <v>10064</v>
      </c>
      <c r="F323" s="104">
        <v>486</v>
      </c>
      <c r="G323" s="104">
        <v>101</v>
      </c>
      <c r="H323" s="105">
        <v>23.4</v>
      </c>
      <c r="I323" s="104">
        <v>9766</v>
      </c>
      <c r="J323" s="106">
        <v>25.4</v>
      </c>
    </row>
    <row r="324" spans="1:10" ht="16">
      <c r="A324" s="93" t="s">
        <v>1160</v>
      </c>
      <c r="B324" s="94" t="s">
        <v>1142</v>
      </c>
      <c r="C324" s="95" t="s">
        <v>76</v>
      </c>
      <c r="D324" s="96" t="s">
        <v>130</v>
      </c>
      <c r="E324" s="97">
        <v>26215</v>
      </c>
      <c r="F324" s="97">
        <v>892</v>
      </c>
      <c r="G324" s="97">
        <v>524</v>
      </c>
      <c r="H324" s="98">
        <v>9.3000000000000007</v>
      </c>
      <c r="I324" s="97">
        <v>1011</v>
      </c>
      <c r="J324" s="99">
        <v>12.5</v>
      </c>
    </row>
    <row r="325" spans="1:10" ht="16">
      <c r="A325" s="100" t="s">
        <v>1161</v>
      </c>
      <c r="B325" s="101" t="s">
        <v>1142</v>
      </c>
      <c r="C325" s="102" t="s">
        <v>107</v>
      </c>
      <c r="D325" s="103" t="s">
        <v>130</v>
      </c>
      <c r="E325" s="104">
        <v>34825</v>
      </c>
      <c r="F325" s="104">
        <v>1514</v>
      </c>
      <c r="G325" s="104">
        <v>1393</v>
      </c>
      <c r="H325" s="105">
        <v>28</v>
      </c>
      <c r="I325" s="104">
        <v>8461</v>
      </c>
      <c r="J325" s="106">
        <v>25.2</v>
      </c>
    </row>
    <row r="326" spans="1:10" ht="16">
      <c r="A326" s="93" t="s">
        <v>1162</v>
      </c>
      <c r="B326" s="94" t="s">
        <v>1142</v>
      </c>
      <c r="C326" s="95" t="s">
        <v>76</v>
      </c>
      <c r="D326" s="96" t="s">
        <v>63</v>
      </c>
      <c r="E326" s="97">
        <v>122002</v>
      </c>
      <c r="F326" s="97">
        <v>2044</v>
      </c>
      <c r="G326" s="97">
        <v>7320</v>
      </c>
      <c r="H326" s="98">
        <v>24.4</v>
      </c>
      <c r="I326" s="97">
        <v>5772</v>
      </c>
      <c r="J326" s="99">
        <v>25.8</v>
      </c>
    </row>
    <row r="327" spans="1:10" ht="16">
      <c r="A327" s="100" t="s">
        <v>925</v>
      </c>
      <c r="B327" s="101" t="s">
        <v>919</v>
      </c>
      <c r="C327" s="102" t="s">
        <v>107</v>
      </c>
      <c r="D327" s="103" t="s">
        <v>82</v>
      </c>
      <c r="E327" s="104">
        <v>10206</v>
      </c>
      <c r="F327" s="104">
        <v>779</v>
      </c>
      <c r="G327" s="104">
        <v>1633</v>
      </c>
      <c r="H327" s="105">
        <v>28</v>
      </c>
      <c r="I327" s="104">
        <v>13974</v>
      </c>
      <c r="J327" s="106">
        <v>30.6</v>
      </c>
    </row>
    <row r="328" spans="1:10" ht="16">
      <c r="A328" s="93" t="s">
        <v>1177</v>
      </c>
      <c r="B328" s="94" t="s">
        <v>1178</v>
      </c>
      <c r="C328" s="95" t="s">
        <v>76</v>
      </c>
      <c r="D328" s="96" t="s">
        <v>82</v>
      </c>
      <c r="E328" s="97">
        <v>16220</v>
      </c>
      <c r="F328" s="97">
        <v>1886</v>
      </c>
      <c r="G328" s="97">
        <v>162</v>
      </c>
      <c r="H328" s="98">
        <v>7.9</v>
      </c>
      <c r="I328" s="97">
        <v>341</v>
      </c>
      <c r="J328" s="99">
        <v>21.6</v>
      </c>
    </row>
    <row r="329" spans="1:10" ht="16">
      <c r="A329" s="100" t="s">
        <v>399</v>
      </c>
      <c r="B329" s="101" t="s">
        <v>400</v>
      </c>
      <c r="C329" s="102" t="s">
        <v>76</v>
      </c>
      <c r="D329" s="103" t="s">
        <v>60</v>
      </c>
      <c r="E329" s="104">
        <v>19670</v>
      </c>
      <c r="F329" s="104">
        <v>823</v>
      </c>
      <c r="G329" s="104">
        <v>393</v>
      </c>
      <c r="H329" s="105">
        <v>9.4</v>
      </c>
      <c r="I329" s="104">
        <v>436</v>
      </c>
      <c r="J329" s="106">
        <v>14.7</v>
      </c>
    </row>
    <row r="330" spans="1:10" ht="16">
      <c r="A330" s="93" t="s">
        <v>660</v>
      </c>
      <c r="B330" s="94" t="s">
        <v>642</v>
      </c>
      <c r="C330" s="95" t="s">
        <v>107</v>
      </c>
      <c r="D330" s="96" t="s">
        <v>82</v>
      </c>
      <c r="E330" s="97">
        <v>5516</v>
      </c>
      <c r="F330" s="97">
        <v>400</v>
      </c>
      <c r="G330" s="97">
        <v>165</v>
      </c>
      <c r="H330" s="98">
        <v>9.8000000000000007</v>
      </c>
      <c r="I330" s="97">
        <v>1185</v>
      </c>
      <c r="J330" s="99">
        <v>19.5</v>
      </c>
    </row>
    <row r="331" spans="1:10" ht="16">
      <c r="A331" s="100" t="s">
        <v>1163</v>
      </c>
      <c r="B331" s="101" t="s">
        <v>1142</v>
      </c>
      <c r="C331" s="102" t="s">
        <v>107</v>
      </c>
      <c r="D331" s="103" t="s">
        <v>80</v>
      </c>
      <c r="E331" s="104">
        <v>5090</v>
      </c>
      <c r="F331" s="104">
        <v>260</v>
      </c>
      <c r="G331" s="104">
        <v>204</v>
      </c>
      <c r="H331" s="105">
        <v>11</v>
      </c>
      <c r="I331" s="104">
        <v>3258</v>
      </c>
      <c r="J331" s="106">
        <v>19.399999999999999</v>
      </c>
    </row>
    <row r="332" spans="1:10" ht="16">
      <c r="A332" s="93" t="s">
        <v>410</v>
      </c>
      <c r="B332" s="94" t="s">
        <v>402</v>
      </c>
      <c r="C332" s="95" t="s">
        <v>107</v>
      </c>
      <c r="D332" s="96" t="s">
        <v>82</v>
      </c>
      <c r="E332" s="97">
        <v>1142</v>
      </c>
      <c r="F332" s="97">
        <v>70</v>
      </c>
      <c r="G332" s="97">
        <v>868</v>
      </c>
      <c r="H332" s="98">
        <v>33.200000000000003</v>
      </c>
      <c r="I332" s="97">
        <v>16838</v>
      </c>
      <c r="J332" s="99">
        <v>40.6</v>
      </c>
    </row>
    <row r="333" spans="1:10" ht="16">
      <c r="A333" s="100" t="s">
        <v>505</v>
      </c>
      <c r="B333" s="101" t="s">
        <v>474</v>
      </c>
      <c r="C333" s="102" t="s">
        <v>107</v>
      </c>
      <c r="D333" s="103" t="s">
        <v>92</v>
      </c>
      <c r="E333" s="104">
        <v>11528</v>
      </c>
      <c r="F333" s="104">
        <v>627</v>
      </c>
      <c r="G333" s="104">
        <v>115</v>
      </c>
      <c r="H333" s="105">
        <v>22.3</v>
      </c>
      <c r="I333" s="104">
        <v>6357</v>
      </c>
      <c r="J333" s="106">
        <v>33.799999999999997</v>
      </c>
    </row>
    <row r="334" spans="1:10" ht="16">
      <c r="A334" s="93" t="s">
        <v>882</v>
      </c>
      <c r="B334" s="94" t="s">
        <v>879</v>
      </c>
      <c r="C334" s="95" t="s">
        <v>76</v>
      </c>
      <c r="D334" s="96" t="s">
        <v>82</v>
      </c>
      <c r="E334" s="97">
        <v>40608</v>
      </c>
      <c r="F334" s="97">
        <v>3726</v>
      </c>
      <c r="G334" s="97">
        <v>3655</v>
      </c>
      <c r="H334" s="98">
        <v>17</v>
      </c>
      <c r="I334" s="97">
        <v>10444</v>
      </c>
      <c r="J334" s="99">
        <v>25.5</v>
      </c>
    </row>
    <row r="335" spans="1:10" ht="16">
      <c r="A335" s="100" t="s">
        <v>100</v>
      </c>
      <c r="B335" s="101" t="s">
        <v>89</v>
      </c>
      <c r="C335" s="102" t="s">
        <v>76</v>
      </c>
      <c r="D335" s="103" t="s">
        <v>60</v>
      </c>
      <c r="E335" s="104">
        <v>11491</v>
      </c>
      <c r="F335" s="104">
        <v>542</v>
      </c>
      <c r="G335" s="104">
        <v>1264</v>
      </c>
      <c r="H335" s="105">
        <v>28.4</v>
      </c>
      <c r="I335" s="104">
        <v>26522</v>
      </c>
      <c r="J335" s="106">
        <v>23.3</v>
      </c>
    </row>
    <row r="336" spans="1:10" ht="16">
      <c r="A336" s="93" t="s">
        <v>506</v>
      </c>
      <c r="B336" s="94" t="s">
        <v>474</v>
      </c>
      <c r="C336" s="95" t="s">
        <v>107</v>
      </c>
      <c r="D336" s="96" t="s">
        <v>62</v>
      </c>
      <c r="E336" s="97">
        <v>10653</v>
      </c>
      <c r="F336" s="97">
        <v>1098</v>
      </c>
      <c r="G336" s="97">
        <v>320</v>
      </c>
      <c r="H336" s="98">
        <v>8.6999999999999993</v>
      </c>
      <c r="I336" s="97">
        <v>4156</v>
      </c>
      <c r="J336" s="99">
        <v>29.4</v>
      </c>
    </row>
    <row r="337" spans="1:10" ht="16">
      <c r="A337" s="100" t="s">
        <v>1024</v>
      </c>
      <c r="B337" s="101" t="s">
        <v>1020</v>
      </c>
      <c r="C337" s="102" t="s">
        <v>76</v>
      </c>
      <c r="D337" s="103" t="s">
        <v>62</v>
      </c>
      <c r="E337" s="104">
        <v>12182</v>
      </c>
      <c r="F337" s="104">
        <v>781</v>
      </c>
      <c r="G337" s="104">
        <v>1096</v>
      </c>
      <c r="H337" s="105">
        <v>16.3</v>
      </c>
      <c r="I337" s="104">
        <v>8128</v>
      </c>
      <c r="J337" s="106">
        <v>22.5</v>
      </c>
    </row>
    <row r="338" spans="1:10" ht="16">
      <c r="A338" s="93" t="s">
        <v>507</v>
      </c>
      <c r="B338" s="94" t="s">
        <v>474</v>
      </c>
      <c r="C338" s="95" t="s">
        <v>76</v>
      </c>
      <c r="D338" s="96" t="s">
        <v>60</v>
      </c>
      <c r="E338" s="97">
        <v>7938</v>
      </c>
      <c r="F338" s="97">
        <v>571</v>
      </c>
      <c r="G338" s="97">
        <v>318</v>
      </c>
      <c r="H338" s="98">
        <v>17.3</v>
      </c>
      <c r="I338" s="97">
        <v>4617</v>
      </c>
      <c r="J338" s="99">
        <v>43.9</v>
      </c>
    </row>
    <row r="339" spans="1:10" ht="16">
      <c r="A339" s="100" t="s">
        <v>248</v>
      </c>
      <c r="B339" s="101" t="s">
        <v>223</v>
      </c>
      <c r="C339" s="102" t="s">
        <v>107</v>
      </c>
      <c r="D339" s="103" t="s">
        <v>82</v>
      </c>
      <c r="E339" s="104">
        <v>21455</v>
      </c>
      <c r="F339" s="104">
        <v>1500</v>
      </c>
      <c r="G339" s="104">
        <v>429</v>
      </c>
      <c r="H339" s="105">
        <v>11</v>
      </c>
      <c r="I339" s="104">
        <v>6705</v>
      </c>
      <c r="J339" s="106">
        <v>15.1</v>
      </c>
    </row>
    <row r="340" spans="1:10" ht="16">
      <c r="A340" s="93" t="s">
        <v>249</v>
      </c>
      <c r="B340" s="94" t="s">
        <v>223</v>
      </c>
      <c r="C340" s="95" t="s">
        <v>107</v>
      </c>
      <c r="D340" s="96" t="s">
        <v>82</v>
      </c>
      <c r="E340" s="97">
        <v>35335</v>
      </c>
      <c r="F340" s="97">
        <v>3719</v>
      </c>
      <c r="G340" s="97">
        <v>1767</v>
      </c>
      <c r="H340" s="98">
        <v>10.4</v>
      </c>
      <c r="I340" s="97">
        <v>3469</v>
      </c>
      <c r="J340" s="99">
        <v>18.8</v>
      </c>
    </row>
    <row r="341" spans="1:10" ht="16">
      <c r="A341" s="100" t="s">
        <v>661</v>
      </c>
      <c r="B341" s="101" t="s">
        <v>642</v>
      </c>
      <c r="C341" s="102" t="s">
        <v>107</v>
      </c>
      <c r="D341" s="103" t="s">
        <v>80</v>
      </c>
      <c r="E341" s="104">
        <v>1078</v>
      </c>
      <c r="F341" s="104">
        <v>1198</v>
      </c>
      <c r="G341" s="104">
        <v>11</v>
      </c>
      <c r="H341" s="105">
        <v>8.6</v>
      </c>
      <c r="I341" s="104">
        <v>4459</v>
      </c>
      <c r="J341" s="106">
        <v>28.4</v>
      </c>
    </row>
    <row r="342" spans="1:10" ht="16">
      <c r="A342" s="93" t="s">
        <v>250</v>
      </c>
      <c r="B342" s="94" t="s">
        <v>223</v>
      </c>
      <c r="C342" s="95" t="s">
        <v>107</v>
      </c>
      <c r="D342" s="96" t="s">
        <v>84</v>
      </c>
      <c r="E342" s="97">
        <v>70450</v>
      </c>
      <c r="F342" s="97">
        <v>6523</v>
      </c>
      <c r="G342" s="97">
        <v>2114</v>
      </c>
      <c r="H342" s="98">
        <v>16.2</v>
      </c>
      <c r="I342" s="97">
        <v>4441</v>
      </c>
      <c r="J342" s="99">
        <v>27.3</v>
      </c>
    </row>
    <row r="343" spans="1:10" ht="16">
      <c r="A343" s="100" t="s">
        <v>251</v>
      </c>
      <c r="B343" s="101" t="s">
        <v>223</v>
      </c>
      <c r="C343" s="102" t="s">
        <v>76</v>
      </c>
      <c r="D343" s="103" t="s">
        <v>60</v>
      </c>
      <c r="E343" s="104">
        <v>34904</v>
      </c>
      <c r="F343" s="104">
        <v>2493</v>
      </c>
      <c r="G343" s="104">
        <v>11867</v>
      </c>
      <c r="H343" s="105">
        <v>14.9</v>
      </c>
      <c r="I343" s="104">
        <v>5741</v>
      </c>
      <c r="J343" s="106">
        <v>21.6</v>
      </c>
    </row>
    <row r="344" spans="1:10" ht="16">
      <c r="A344" s="93" t="s">
        <v>411</v>
      </c>
      <c r="B344" s="94" t="s">
        <v>402</v>
      </c>
      <c r="C344" s="95" t="s">
        <v>76</v>
      </c>
      <c r="D344" s="96" t="s">
        <v>84</v>
      </c>
      <c r="E344" s="97">
        <v>31919</v>
      </c>
      <c r="F344" s="97">
        <v>1187</v>
      </c>
      <c r="G344" s="97">
        <v>3511</v>
      </c>
      <c r="H344" s="98">
        <v>22.6</v>
      </c>
      <c r="I344" s="97">
        <v>17543</v>
      </c>
      <c r="J344" s="99">
        <v>35.200000000000003</v>
      </c>
    </row>
    <row r="345" spans="1:10" ht="16">
      <c r="A345" s="100" t="s">
        <v>128</v>
      </c>
      <c r="B345" s="101" t="s">
        <v>127</v>
      </c>
      <c r="C345" s="102" t="s">
        <v>76</v>
      </c>
      <c r="D345" s="103" t="s">
        <v>59</v>
      </c>
      <c r="E345" s="104">
        <v>6122</v>
      </c>
      <c r="F345" s="104">
        <v>583</v>
      </c>
      <c r="G345" s="104">
        <v>673</v>
      </c>
      <c r="H345" s="105">
        <v>19.7</v>
      </c>
      <c r="I345" s="104">
        <v>9265</v>
      </c>
      <c r="J345" s="106">
        <v>28.1</v>
      </c>
    </row>
    <row r="346" spans="1:10" ht="16">
      <c r="A346" s="93" t="s">
        <v>1327</v>
      </c>
      <c r="B346" s="94" t="s">
        <v>1288</v>
      </c>
      <c r="C346" s="95" t="s">
        <v>76</v>
      </c>
      <c r="D346" s="96" t="s">
        <v>80</v>
      </c>
      <c r="E346" s="97">
        <v>16171</v>
      </c>
      <c r="F346" s="97">
        <v>3594</v>
      </c>
      <c r="G346" s="97">
        <v>4204</v>
      </c>
      <c r="H346" s="98">
        <v>91.4</v>
      </c>
      <c r="I346" s="97">
        <v>89899</v>
      </c>
      <c r="J346" s="99">
        <v>81.7</v>
      </c>
    </row>
    <row r="347" spans="1:10" ht="16">
      <c r="A347" s="100" t="s">
        <v>755</v>
      </c>
      <c r="B347" s="101" t="s">
        <v>753</v>
      </c>
      <c r="C347" s="102" t="s">
        <v>76</v>
      </c>
      <c r="D347" s="103" t="s">
        <v>63</v>
      </c>
      <c r="E347" s="104">
        <v>21512</v>
      </c>
      <c r="F347" s="104">
        <v>1605</v>
      </c>
      <c r="G347" s="104">
        <v>3657</v>
      </c>
      <c r="H347" s="105">
        <v>9</v>
      </c>
      <c r="I347" s="104">
        <v>9092</v>
      </c>
      <c r="J347" s="106">
        <v>15.8</v>
      </c>
    </row>
    <row r="348" spans="1:10" ht="16">
      <c r="A348" s="93" t="s">
        <v>662</v>
      </c>
      <c r="B348" s="94" t="s">
        <v>642</v>
      </c>
      <c r="C348" s="95" t="s">
        <v>76</v>
      </c>
      <c r="D348" s="96" t="s">
        <v>60</v>
      </c>
      <c r="E348" s="97">
        <v>4653</v>
      </c>
      <c r="F348" s="97">
        <v>1224</v>
      </c>
      <c r="G348" s="97">
        <v>93</v>
      </c>
      <c r="H348" s="98">
        <v>13.5</v>
      </c>
      <c r="I348" s="97">
        <v>3769</v>
      </c>
      <c r="J348" s="99">
        <v>34.6</v>
      </c>
    </row>
    <row r="349" spans="1:10" ht="16">
      <c r="A349" s="100" t="s">
        <v>412</v>
      </c>
      <c r="B349" s="101" t="s">
        <v>402</v>
      </c>
      <c r="C349" s="102" t="s">
        <v>76</v>
      </c>
      <c r="D349" s="103" t="s">
        <v>77</v>
      </c>
      <c r="E349" s="104">
        <v>28575</v>
      </c>
      <c r="F349" s="104">
        <v>611</v>
      </c>
      <c r="G349" s="104">
        <v>2572</v>
      </c>
      <c r="H349" s="105">
        <v>34.1</v>
      </c>
      <c r="I349" s="104">
        <v>18350</v>
      </c>
      <c r="J349" s="106">
        <v>37.700000000000003</v>
      </c>
    </row>
    <row r="350" spans="1:10" ht="16">
      <c r="A350" s="93" t="s">
        <v>548</v>
      </c>
      <c r="B350" s="94" t="s">
        <v>537</v>
      </c>
      <c r="C350" s="95" t="s">
        <v>107</v>
      </c>
      <c r="D350" s="96" t="s">
        <v>59</v>
      </c>
      <c r="E350" s="97">
        <v>6582</v>
      </c>
      <c r="F350" s="97">
        <v>295</v>
      </c>
      <c r="G350" s="97">
        <v>66</v>
      </c>
      <c r="H350" s="98">
        <v>23.7</v>
      </c>
      <c r="I350" s="97">
        <v>5958</v>
      </c>
      <c r="J350" s="99">
        <v>24.6</v>
      </c>
    </row>
    <row r="351" spans="1:10" ht="16">
      <c r="A351" s="100" t="s">
        <v>355</v>
      </c>
      <c r="B351" s="101" t="s">
        <v>344</v>
      </c>
      <c r="C351" s="102" t="s">
        <v>76</v>
      </c>
      <c r="D351" s="103" t="s">
        <v>59</v>
      </c>
      <c r="E351" s="104">
        <v>74546</v>
      </c>
      <c r="F351" s="104">
        <v>1878</v>
      </c>
      <c r="G351" s="104">
        <v>745</v>
      </c>
      <c r="H351" s="105">
        <v>7.9</v>
      </c>
      <c r="I351" s="104">
        <v>5354</v>
      </c>
      <c r="J351" s="106">
        <v>13</v>
      </c>
    </row>
    <row r="352" spans="1:10" ht="16">
      <c r="A352" s="93" t="s">
        <v>663</v>
      </c>
      <c r="B352" s="94" t="s">
        <v>642</v>
      </c>
      <c r="C352" s="95" t="s">
        <v>107</v>
      </c>
      <c r="D352" s="96" t="s">
        <v>80</v>
      </c>
      <c r="E352" s="97">
        <v>6392</v>
      </c>
      <c r="F352" s="97">
        <v>659</v>
      </c>
      <c r="G352" s="97">
        <v>128</v>
      </c>
      <c r="H352" s="98">
        <v>11.7</v>
      </c>
      <c r="I352" s="97">
        <v>3357</v>
      </c>
      <c r="J352" s="99">
        <v>20.9</v>
      </c>
    </row>
    <row r="353" spans="1:10" ht="16">
      <c r="A353" s="100" t="s">
        <v>664</v>
      </c>
      <c r="B353" s="101" t="s">
        <v>642</v>
      </c>
      <c r="C353" s="102" t="s">
        <v>107</v>
      </c>
      <c r="D353" s="103" t="s">
        <v>130</v>
      </c>
      <c r="E353" s="104">
        <v>10541</v>
      </c>
      <c r="F353" s="104">
        <v>1044</v>
      </c>
      <c r="G353" s="104">
        <v>316</v>
      </c>
      <c r="H353" s="105">
        <v>11.4</v>
      </c>
      <c r="I353" s="104">
        <v>2053</v>
      </c>
      <c r="J353" s="106">
        <v>21.4</v>
      </c>
    </row>
    <row r="354" spans="1:10" ht="16">
      <c r="A354" s="93" t="s">
        <v>665</v>
      </c>
      <c r="B354" s="94" t="s">
        <v>642</v>
      </c>
      <c r="C354" s="95" t="s">
        <v>107</v>
      </c>
      <c r="D354" s="96" t="s">
        <v>80</v>
      </c>
      <c r="E354" s="97">
        <v>18104</v>
      </c>
      <c r="F354" s="97">
        <v>1240</v>
      </c>
      <c r="G354" s="97">
        <v>543</v>
      </c>
      <c r="H354" s="98">
        <v>7.5</v>
      </c>
      <c r="I354" s="97">
        <v>932</v>
      </c>
      <c r="J354" s="99">
        <v>14.6</v>
      </c>
    </row>
    <row r="355" spans="1:10" ht="16">
      <c r="A355" s="100" t="s">
        <v>666</v>
      </c>
      <c r="B355" s="101" t="s">
        <v>642</v>
      </c>
      <c r="C355" s="102" t="s">
        <v>107</v>
      </c>
      <c r="D355" s="103" t="s">
        <v>84</v>
      </c>
      <c r="E355" s="104">
        <v>10420</v>
      </c>
      <c r="F355" s="104">
        <v>1063</v>
      </c>
      <c r="G355" s="104">
        <v>521</v>
      </c>
      <c r="H355" s="105">
        <v>17.7</v>
      </c>
      <c r="I355" s="104">
        <v>5043</v>
      </c>
      <c r="J355" s="106">
        <v>26.8</v>
      </c>
    </row>
    <row r="356" spans="1:10" ht="16">
      <c r="A356" s="93" t="s">
        <v>999</v>
      </c>
      <c r="B356" s="94" t="s">
        <v>988</v>
      </c>
      <c r="C356" s="95" t="s">
        <v>107</v>
      </c>
      <c r="D356" s="96" t="s">
        <v>80</v>
      </c>
      <c r="E356" s="97">
        <v>23127</v>
      </c>
      <c r="F356" s="97">
        <v>1001</v>
      </c>
      <c r="G356" s="97">
        <v>694</v>
      </c>
      <c r="H356" s="98">
        <v>15</v>
      </c>
      <c r="I356" s="97">
        <v>2683</v>
      </c>
      <c r="J356" s="99">
        <v>17.600000000000001</v>
      </c>
    </row>
    <row r="357" spans="1:10" ht="16">
      <c r="A357" s="100" t="s">
        <v>667</v>
      </c>
      <c r="B357" s="101" t="s">
        <v>642</v>
      </c>
      <c r="C357" s="102" t="s">
        <v>107</v>
      </c>
      <c r="D357" s="103" t="s">
        <v>60</v>
      </c>
      <c r="E357" s="104">
        <v>841</v>
      </c>
      <c r="F357" s="104">
        <v>765</v>
      </c>
      <c r="G357" s="104">
        <v>25</v>
      </c>
      <c r="H357" s="105">
        <v>8.6999999999999993</v>
      </c>
      <c r="I357" s="104">
        <v>6117</v>
      </c>
      <c r="J357" s="106">
        <v>32.299999999999997</v>
      </c>
    </row>
    <row r="358" spans="1:10" ht="16">
      <c r="A358" s="93" t="s">
        <v>668</v>
      </c>
      <c r="B358" s="94" t="s">
        <v>642</v>
      </c>
      <c r="C358" s="95" t="s">
        <v>107</v>
      </c>
      <c r="D358" s="96" t="s">
        <v>82</v>
      </c>
      <c r="E358" s="97">
        <v>30346</v>
      </c>
      <c r="F358" s="97">
        <v>2709</v>
      </c>
      <c r="G358" s="97">
        <v>910</v>
      </c>
      <c r="H358" s="98">
        <v>8</v>
      </c>
      <c r="I358" s="97">
        <v>556</v>
      </c>
      <c r="J358" s="99">
        <v>24.3</v>
      </c>
    </row>
    <row r="359" spans="1:10" ht="16">
      <c r="A359" s="100" t="s">
        <v>1328</v>
      </c>
      <c r="B359" s="101" t="s">
        <v>1288</v>
      </c>
      <c r="C359" s="102" t="s">
        <v>107</v>
      </c>
      <c r="D359" s="103" t="s">
        <v>92</v>
      </c>
      <c r="E359" s="104">
        <v>21536</v>
      </c>
      <c r="F359" s="104">
        <v>1506</v>
      </c>
      <c r="G359" s="104">
        <v>1938</v>
      </c>
      <c r="H359" s="105">
        <v>20.399999999999999</v>
      </c>
      <c r="I359" s="104">
        <v>9375</v>
      </c>
      <c r="J359" s="106">
        <v>25</v>
      </c>
    </row>
    <row r="360" spans="1:10" ht="16">
      <c r="A360" s="93" t="s">
        <v>1089</v>
      </c>
      <c r="B360" s="94" t="s">
        <v>1081</v>
      </c>
      <c r="C360" s="95" t="s">
        <v>76</v>
      </c>
      <c r="D360" s="96" t="s">
        <v>61</v>
      </c>
      <c r="E360" s="97">
        <v>6881</v>
      </c>
      <c r="F360" s="97">
        <v>564</v>
      </c>
      <c r="G360" s="97">
        <v>482</v>
      </c>
      <c r="H360" s="98">
        <v>23.3</v>
      </c>
      <c r="I360" s="97">
        <v>6045</v>
      </c>
      <c r="J360" s="99">
        <v>22.5</v>
      </c>
    </row>
    <row r="361" spans="1:10" ht="16">
      <c r="A361" s="100" t="s">
        <v>413</v>
      </c>
      <c r="B361" s="101" t="s">
        <v>402</v>
      </c>
      <c r="C361" s="102" t="s">
        <v>107</v>
      </c>
      <c r="D361" s="103" t="s">
        <v>63</v>
      </c>
      <c r="E361" s="104">
        <v>27255</v>
      </c>
      <c r="F361" s="104">
        <v>1065</v>
      </c>
      <c r="G361" s="104">
        <v>5996</v>
      </c>
      <c r="H361" s="105">
        <v>47.8</v>
      </c>
      <c r="I361" s="104">
        <v>31826</v>
      </c>
      <c r="J361" s="106">
        <v>45.4</v>
      </c>
    </row>
    <row r="362" spans="1:10" ht="16">
      <c r="A362" s="93" t="s">
        <v>1063</v>
      </c>
      <c r="B362" s="94" t="s">
        <v>1062</v>
      </c>
      <c r="C362" s="95" t="s">
        <v>76</v>
      </c>
      <c r="D362" s="96" t="s">
        <v>61</v>
      </c>
      <c r="E362" s="97">
        <v>8552</v>
      </c>
      <c r="F362" s="97">
        <v>668</v>
      </c>
      <c r="G362" s="97">
        <v>7184</v>
      </c>
      <c r="H362" s="98">
        <v>13.2</v>
      </c>
      <c r="I362" s="97">
        <v>6308</v>
      </c>
      <c r="J362" s="99">
        <v>16.8</v>
      </c>
    </row>
    <row r="363" spans="1:10" ht="16">
      <c r="A363" s="100" t="s">
        <v>1064</v>
      </c>
      <c r="B363" s="101" t="s">
        <v>1062</v>
      </c>
      <c r="C363" s="102" t="s">
        <v>76</v>
      </c>
      <c r="D363" s="103" t="s">
        <v>130</v>
      </c>
      <c r="E363" s="104">
        <v>7777</v>
      </c>
      <c r="F363" s="104">
        <v>864</v>
      </c>
      <c r="G363" s="104">
        <v>1555</v>
      </c>
      <c r="H363" s="105">
        <v>71.400000000000006</v>
      </c>
      <c r="I363" s="104">
        <v>68703</v>
      </c>
      <c r="J363" s="106">
        <v>55.4</v>
      </c>
    </row>
    <row r="364" spans="1:10" ht="16">
      <c r="A364" s="93" t="s">
        <v>1122</v>
      </c>
      <c r="B364" s="94" t="s">
        <v>1120</v>
      </c>
      <c r="C364" s="95" t="s">
        <v>76</v>
      </c>
      <c r="D364" s="96" t="s">
        <v>59</v>
      </c>
      <c r="E364" s="97">
        <v>68067</v>
      </c>
      <c r="F364" s="97">
        <v>3066</v>
      </c>
      <c r="G364" s="97">
        <v>681</v>
      </c>
      <c r="H364" s="98">
        <v>12.8</v>
      </c>
      <c r="I364" s="97">
        <v>1320</v>
      </c>
      <c r="J364" s="99">
        <v>18.600000000000001</v>
      </c>
    </row>
    <row r="365" spans="1:10" ht="16">
      <c r="A365" s="100" t="s">
        <v>772</v>
      </c>
      <c r="B365" s="101" t="s">
        <v>773</v>
      </c>
      <c r="C365" s="102" t="s">
        <v>107</v>
      </c>
      <c r="D365" s="103" t="s">
        <v>63</v>
      </c>
      <c r="E365" s="104">
        <v>9956</v>
      </c>
      <c r="F365" s="104">
        <v>677</v>
      </c>
      <c r="G365" s="104">
        <v>597</v>
      </c>
      <c r="H365" s="105">
        <v>11.4</v>
      </c>
      <c r="I365" s="104">
        <v>640</v>
      </c>
      <c r="J365" s="106">
        <v>16.5</v>
      </c>
    </row>
    <row r="366" spans="1:10" ht="16">
      <c r="A366" s="93" t="s">
        <v>926</v>
      </c>
      <c r="B366" s="94" t="s">
        <v>919</v>
      </c>
      <c r="C366" s="95" t="s">
        <v>76</v>
      </c>
      <c r="D366" s="96" t="s">
        <v>84</v>
      </c>
      <c r="E366" s="97">
        <v>26670</v>
      </c>
      <c r="F366" s="97">
        <v>2469</v>
      </c>
      <c r="G366" s="97">
        <v>3467</v>
      </c>
      <c r="H366" s="98">
        <v>16.899999999999999</v>
      </c>
      <c r="I366" s="97">
        <v>8096</v>
      </c>
      <c r="J366" s="99">
        <v>28.7</v>
      </c>
    </row>
    <row r="367" spans="1:10" ht="16">
      <c r="A367" s="100" t="s">
        <v>927</v>
      </c>
      <c r="B367" s="101" t="s">
        <v>919</v>
      </c>
      <c r="C367" s="102" t="s">
        <v>107</v>
      </c>
      <c r="D367" s="103" t="s">
        <v>92</v>
      </c>
      <c r="E367" s="104">
        <v>15260</v>
      </c>
      <c r="F367" s="104">
        <v>1426</v>
      </c>
      <c r="G367" s="104">
        <v>1679</v>
      </c>
      <c r="H367" s="105">
        <v>8.4</v>
      </c>
      <c r="I367" s="104">
        <v>886</v>
      </c>
      <c r="J367" s="106">
        <v>17.8</v>
      </c>
    </row>
    <row r="368" spans="1:10" ht="16">
      <c r="A368" s="93" t="s">
        <v>1212</v>
      </c>
      <c r="B368" s="94" t="s">
        <v>1190</v>
      </c>
      <c r="C368" s="95" t="s">
        <v>76</v>
      </c>
      <c r="D368" s="96" t="s">
        <v>62</v>
      </c>
      <c r="E368" s="97">
        <v>9004</v>
      </c>
      <c r="F368" s="97">
        <v>600</v>
      </c>
      <c r="G368" s="97">
        <v>1711</v>
      </c>
      <c r="H368" s="98">
        <v>22.4</v>
      </c>
      <c r="I368" s="97">
        <v>14399</v>
      </c>
      <c r="J368" s="99">
        <v>20.3</v>
      </c>
    </row>
    <row r="369" spans="1:10" ht="16">
      <c r="A369" s="100" t="s">
        <v>669</v>
      </c>
      <c r="B369" s="101" t="s">
        <v>642</v>
      </c>
      <c r="C369" s="102" t="s">
        <v>107</v>
      </c>
      <c r="D369" s="103" t="s">
        <v>77</v>
      </c>
      <c r="E369" s="104">
        <v>34916</v>
      </c>
      <c r="F369" s="104">
        <v>3357</v>
      </c>
      <c r="G369" s="104">
        <v>2793</v>
      </c>
      <c r="H369" s="105">
        <v>25.7</v>
      </c>
      <c r="I369" s="104">
        <v>9492</v>
      </c>
      <c r="J369" s="106">
        <v>32.1</v>
      </c>
    </row>
    <row r="370" spans="1:10" ht="16">
      <c r="A370" s="93" t="s">
        <v>1329</v>
      </c>
      <c r="B370" s="94" t="s">
        <v>1288</v>
      </c>
      <c r="C370" s="95" t="s">
        <v>76</v>
      </c>
      <c r="D370" s="96" t="s">
        <v>84</v>
      </c>
      <c r="E370" s="97">
        <v>24559</v>
      </c>
      <c r="F370" s="97">
        <v>1204</v>
      </c>
      <c r="G370" s="97">
        <v>2210</v>
      </c>
      <c r="H370" s="98">
        <v>19</v>
      </c>
      <c r="I370" s="97">
        <v>10610</v>
      </c>
      <c r="J370" s="99">
        <v>23.6</v>
      </c>
    </row>
    <row r="371" spans="1:10" ht="16">
      <c r="A371" s="100" t="s">
        <v>1186</v>
      </c>
      <c r="B371" s="101" t="s">
        <v>1185</v>
      </c>
      <c r="C371" s="102" t="s">
        <v>76</v>
      </c>
      <c r="D371" s="103" t="s">
        <v>84</v>
      </c>
      <c r="E371" s="104">
        <v>3651</v>
      </c>
      <c r="F371" s="104">
        <v>384</v>
      </c>
      <c r="G371" s="104">
        <v>949</v>
      </c>
      <c r="H371" s="105">
        <v>32.9</v>
      </c>
      <c r="I371" s="104">
        <v>17780</v>
      </c>
      <c r="J371" s="106">
        <v>27.7</v>
      </c>
    </row>
    <row r="372" spans="1:10" ht="16">
      <c r="A372" s="93" t="s">
        <v>549</v>
      </c>
      <c r="B372" s="94" t="s">
        <v>537</v>
      </c>
      <c r="C372" s="95" t="s">
        <v>76</v>
      </c>
      <c r="D372" s="96" t="s">
        <v>80</v>
      </c>
      <c r="E372" s="97">
        <v>12656</v>
      </c>
      <c r="F372" s="97">
        <v>606</v>
      </c>
      <c r="G372" s="97">
        <v>127</v>
      </c>
      <c r="H372" s="98">
        <v>12.7</v>
      </c>
      <c r="I372" s="97">
        <v>2696</v>
      </c>
      <c r="J372" s="99">
        <v>28</v>
      </c>
    </row>
    <row r="373" spans="1:10" ht="16">
      <c r="A373" s="100" t="s">
        <v>1123</v>
      </c>
      <c r="B373" s="101" t="s">
        <v>1120</v>
      </c>
      <c r="C373" s="102" t="s">
        <v>76</v>
      </c>
      <c r="D373" s="103" t="s">
        <v>84</v>
      </c>
      <c r="E373" s="104">
        <v>38655</v>
      </c>
      <c r="F373" s="104">
        <v>1962</v>
      </c>
      <c r="G373" s="104">
        <v>773</v>
      </c>
      <c r="H373" s="105">
        <v>12</v>
      </c>
      <c r="I373" s="104">
        <v>2173</v>
      </c>
      <c r="J373" s="106">
        <v>21.6</v>
      </c>
    </row>
    <row r="374" spans="1:10" ht="16">
      <c r="A374" s="93" t="s">
        <v>508</v>
      </c>
      <c r="B374" s="94" t="s">
        <v>474</v>
      </c>
      <c r="C374" s="95" t="s">
        <v>107</v>
      </c>
      <c r="D374" s="96" t="s">
        <v>84</v>
      </c>
      <c r="E374" s="97">
        <v>21390</v>
      </c>
      <c r="F374" s="97">
        <v>1633</v>
      </c>
      <c r="G374" s="97">
        <v>428</v>
      </c>
      <c r="H374" s="98">
        <v>11.5</v>
      </c>
      <c r="I374" s="97">
        <v>2982</v>
      </c>
      <c r="J374" s="99">
        <v>16.899999999999999</v>
      </c>
    </row>
    <row r="375" spans="1:10" ht="16">
      <c r="A375" s="100" t="s">
        <v>670</v>
      </c>
      <c r="B375" s="101" t="s">
        <v>642</v>
      </c>
      <c r="C375" s="102" t="s">
        <v>107</v>
      </c>
      <c r="D375" s="103" t="s">
        <v>63</v>
      </c>
      <c r="E375" s="104">
        <v>33125</v>
      </c>
      <c r="F375" s="104">
        <v>2436</v>
      </c>
      <c r="G375" s="104">
        <v>663</v>
      </c>
      <c r="H375" s="105">
        <v>11.4</v>
      </c>
      <c r="I375" s="104">
        <v>6681</v>
      </c>
      <c r="J375" s="106">
        <v>20.100000000000001</v>
      </c>
    </row>
    <row r="376" spans="1:10" ht="16">
      <c r="A376" s="93" t="s">
        <v>961</v>
      </c>
      <c r="B376" s="94" t="s">
        <v>959</v>
      </c>
      <c r="C376" s="95" t="s">
        <v>76</v>
      </c>
      <c r="D376" s="96" t="s">
        <v>63</v>
      </c>
      <c r="E376" s="97">
        <v>32853</v>
      </c>
      <c r="F376" s="97">
        <v>4159</v>
      </c>
      <c r="G376" s="97">
        <v>6899</v>
      </c>
      <c r="H376" s="98">
        <v>16.5</v>
      </c>
      <c r="I376" s="97">
        <v>15961</v>
      </c>
      <c r="J376" s="99">
        <v>29.5</v>
      </c>
    </row>
    <row r="377" spans="1:10" ht="16">
      <c r="A377" s="100" t="s">
        <v>962</v>
      </c>
      <c r="B377" s="101" t="s">
        <v>959</v>
      </c>
      <c r="C377" s="102" t="s">
        <v>107</v>
      </c>
      <c r="D377" s="103" t="s">
        <v>130</v>
      </c>
      <c r="E377" s="104">
        <v>6882</v>
      </c>
      <c r="F377" s="104">
        <v>1012</v>
      </c>
      <c r="G377" s="104">
        <v>895</v>
      </c>
      <c r="H377" s="105">
        <v>15.9</v>
      </c>
      <c r="I377" s="104">
        <v>8226</v>
      </c>
      <c r="J377" s="106">
        <v>27.2</v>
      </c>
    </row>
    <row r="378" spans="1:10" ht="16">
      <c r="A378" s="93" t="s">
        <v>963</v>
      </c>
      <c r="B378" s="94" t="s">
        <v>959</v>
      </c>
      <c r="C378" s="95" t="s">
        <v>76</v>
      </c>
      <c r="D378" s="96" t="s">
        <v>92</v>
      </c>
      <c r="E378" s="97">
        <v>38865</v>
      </c>
      <c r="F378" s="97">
        <v>4798</v>
      </c>
      <c r="G378" s="97">
        <v>4275</v>
      </c>
      <c r="H378" s="98">
        <v>7.1</v>
      </c>
      <c r="I378" s="97">
        <v>3825</v>
      </c>
      <c r="J378" s="99">
        <v>21.6</v>
      </c>
    </row>
    <row r="379" spans="1:10" ht="16">
      <c r="A379" s="100" t="s">
        <v>1124</v>
      </c>
      <c r="B379" s="101" t="s">
        <v>1120</v>
      </c>
      <c r="C379" s="102" t="s">
        <v>107</v>
      </c>
      <c r="D379" s="103" t="s">
        <v>84</v>
      </c>
      <c r="E379" s="104">
        <v>26846</v>
      </c>
      <c r="F379" s="104">
        <v>1078</v>
      </c>
      <c r="G379" s="104">
        <v>2549</v>
      </c>
      <c r="H379" s="105">
        <v>9.9</v>
      </c>
      <c r="I379" s="104">
        <v>1004</v>
      </c>
      <c r="J379" s="106">
        <v>15.1</v>
      </c>
    </row>
    <row r="380" spans="1:10" ht="16">
      <c r="A380" s="93" t="s">
        <v>964</v>
      </c>
      <c r="B380" s="94" t="s">
        <v>959</v>
      </c>
      <c r="C380" s="95" t="s">
        <v>76</v>
      </c>
      <c r="D380" s="96" t="s">
        <v>62</v>
      </c>
      <c r="E380" s="97">
        <v>11708</v>
      </c>
      <c r="F380" s="97">
        <v>1697</v>
      </c>
      <c r="G380" s="97">
        <v>117</v>
      </c>
      <c r="H380" s="98">
        <v>7.7</v>
      </c>
      <c r="I380" s="97">
        <v>5221</v>
      </c>
      <c r="J380" s="99">
        <v>29.9</v>
      </c>
    </row>
    <row r="381" spans="1:10" ht="16">
      <c r="A381" s="100" t="s">
        <v>965</v>
      </c>
      <c r="B381" s="101" t="s">
        <v>959</v>
      </c>
      <c r="C381" s="102" t="s">
        <v>76</v>
      </c>
      <c r="D381" s="103" t="s">
        <v>62</v>
      </c>
      <c r="E381" s="104">
        <v>38971</v>
      </c>
      <c r="F381" s="104">
        <v>3747</v>
      </c>
      <c r="G381" s="104">
        <v>3897</v>
      </c>
      <c r="H381" s="105">
        <v>25.8</v>
      </c>
      <c r="I381" s="104">
        <v>12833</v>
      </c>
      <c r="J381" s="106">
        <v>24.6</v>
      </c>
    </row>
    <row r="382" spans="1:10" ht="16">
      <c r="A382" s="93" t="s">
        <v>1213</v>
      </c>
      <c r="B382" s="94" t="s">
        <v>1190</v>
      </c>
      <c r="C382" s="95" t="s">
        <v>76</v>
      </c>
      <c r="D382" s="96" t="s">
        <v>84</v>
      </c>
      <c r="E382" s="97">
        <v>15700</v>
      </c>
      <c r="F382" s="97">
        <v>892</v>
      </c>
      <c r="G382" s="97">
        <v>5652</v>
      </c>
      <c r="H382" s="98">
        <v>15.6</v>
      </c>
      <c r="I382" s="97">
        <v>5200</v>
      </c>
      <c r="J382" s="99">
        <v>17.600000000000001</v>
      </c>
    </row>
    <row r="383" spans="1:10" ht="16">
      <c r="A383" s="100" t="s">
        <v>671</v>
      </c>
      <c r="B383" s="101" t="s">
        <v>642</v>
      </c>
      <c r="C383" s="102" t="s">
        <v>76</v>
      </c>
      <c r="D383" s="103" t="s">
        <v>130</v>
      </c>
      <c r="E383" s="104">
        <v>8503</v>
      </c>
      <c r="F383" s="104">
        <v>1575</v>
      </c>
      <c r="G383" s="104">
        <v>592</v>
      </c>
      <c r="H383" s="105">
        <v>9.9</v>
      </c>
      <c r="I383" s="104">
        <v>1819</v>
      </c>
      <c r="J383" s="106">
        <v>24</v>
      </c>
    </row>
    <row r="384" spans="1:10" ht="16">
      <c r="A384" s="93" t="s">
        <v>672</v>
      </c>
      <c r="B384" s="94" t="s">
        <v>642</v>
      </c>
      <c r="C384" s="95" t="s">
        <v>107</v>
      </c>
      <c r="D384" s="96" t="s">
        <v>80</v>
      </c>
      <c r="E384" s="97">
        <v>15593</v>
      </c>
      <c r="F384" s="97">
        <v>1641</v>
      </c>
      <c r="G384" s="97">
        <v>1092</v>
      </c>
      <c r="H384" s="98">
        <v>22.8</v>
      </c>
      <c r="I384" s="97">
        <v>7117</v>
      </c>
      <c r="J384" s="99">
        <v>32.4</v>
      </c>
    </row>
    <row r="385" spans="1:10" ht="16">
      <c r="A385" s="100" t="s">
        <v>1164</v>
      </c>
      <c r="B385" s="101" t="s">
        <v>1142</v>
      </c>
      <c r="C385" s="102" t="s">
        <v>76</v>
      </c>
      <c r="D385" s="103" t="s">
        <v>84</v>
      </c>
      <c r="E385" s="104">
        <v>5381</v>
      </c>
      <c r="F385" s="104">
        <v>345</v>
      </c>
      <c r="G385" s="104">
        <v>323</v>
      </c>
      <c r="H385" s="105">
        <v>34.4</v>
      </c>
      <c r="I385" s="104">
        <v>16937</v>
      </c>
      <c r="J385" s="106">
        <v>26.9</v>
      </c>
    </row>
    <row r="386" spans="1:10" ht="16">
      <c r="A386" s="93" t="s">
        <v>673</v>
      </c>
      <c r="B386" s="94" t="s">
        <v>642</v>
      </c>
      <c r="C386" s="95" t="s">
        <v>107</v>
      </c>
      <c r="D386" s="96" t="s">
        <v>80</v>
      </c>
      <c r="E386" s="97">
        <v>5469</v>
      </c>
      <c r="F386" s="97">
        <v>675</v>
      </c>
      <c r="G386" s="97">
        <v>55</v>
      </c>
      <c r="H386" s="98">
        <v>10.7</v>
      </c>
      <c r="I386" s="97">
        <v>2225</v>
      </c>
      <c r="J386" s="99">
        <v>19.899999999999999</v>
      </c>
    </row>
    <row r="387" spans="1:10" ht="16">
      <c r="A387" s="100" t="s">
        <v>674</v>
      </c>
      <c r="B387" s="101" t="s">
        <v>642</v>
      </c>
      <c r="C387" s="102" t="s">
        <v>107</v>
      </c>
      <c r="D387" s="103" t="s">
        <v>63</v>
      </c>
      <c r="E387" s="104">
        <v>6505</v>
      </c>
      <c r="F387" s="104">
        <v>374</v>
      </c>
      <c r="G387" s="104">
        <v>65</v>
      </c>
      <c r="H387" s="105">
        <v>9.8000000000000007</v>
      </c>
      <c r="I387" s="104">
        <v>869</v>
      </c>
      <c r="J387" s="106">
        <v>17.2</v>
      </c>
    </row>
    <row r="388" spans="1:10" ht="16">
      <c r="A388" s="93" t="s">
        <v>1000</v>
      </c>
      <c r="B388" s="94" t="s">
        <v>988</v>
      </c>
      <c r="C388" s="95" t="s">
        <v>76</v>
      </c>
      <c r="D388" s="96" t="s">
        <v>92</v>
      </c>
      <c r="E388" s="97">
        <v>12225</v>
      </c>
      <c r="F388" s="97">
        <v>527</v>
      </c>
      <c r="G388" s="97">
        <v>1956</v>
      </c>
      <c r="H388" s="98">
        <v>37.9</v>
      </c>
      <c r="I388" s="97">
        <v>10440</v>
      </c>
      <c r="J388" s="99">
        <v>33</v>
      </c>
    </row>
    <row r="389" spans="1:10" ht="16">
      <c r="A389" s="100" t="s">
        <v>1001</v>
      </c>
      <c r="B389" s="101" t="s">
        <v>988</v>
      </c>
      <c r="C389" s="102" t="s">
        <v>107</v>
      </c>
      <c r="D389" s="103" t="s">
        <v>82</v>
      </c>
      <c r="E389" s="104">
        <v>17081</v>
      </c>
      <c r="F389" s="104">
        <v>1512</v>
      </c>
      <c r="G389" s="104">
        <v>1708</v>
      </c>
      <c r="H389" s="105">
        <v>10.4</v>
      </c>
      <c r="I389" s="104">
        <v>1707</v>
      </c>
      <c r="J389" s="106">
        <v>18.2</v>
      </c>
    </row>
    <row r="390" spans="1:10" ht="16">
      <c r="A390" s="93" t="s">
        <v>1002</v>
      </c>
      <c r="B390" s="94" t="s">
        <v>988</v>
      </c>
      <c r="C390" s="95" t="s">
        <v>107</v>
      </c>
      <c r="D390" s="96" t="s">
        <v>60</v>
      </c>
      <c r="E390" s="97">
        <v>9481</v>
      </c>
      <c r="F390" s="97">
        <v>930</v>
      </c>
      <c r="G390" s="97">
        <v>758</v>
      </c>
      <c r="H390" s="98">
        <v>66.400000000000006</v>
      </c>
      <c r="I390" s="97">
        <v>38617</v>
      </c>
      <c r="J390" s="99">
        <v>62.6</v>
      </c>
    </row>
    <row r="391" spans="1:10" ht="16">
      <c r="A391" s="100" t="s">
        <v>1003</v>
      </c>
      <c r="B391" s="101" t="s">
        <v>988</v>
      </c>
      <c r="C391" s="102" t="s">
        <v>107</v>
      </c>
      <c r="D391" s="103" t="s">
        <v>82</v>
      </c>
      <c r="E391" s="104">
        <v>22965</v>
      </c>
      <c r="F391" s="104">
        <v>1435</v>
      </c>
      <c r="G391" s="104">
        <v>5052</v>
      </c>
      <c r="H391" s="105">
        <v>50.2</v>
      </c>
      <c r="I391" s="104">
        <v>32385</v>
      </c>
      <c r="J391" s="106">
        <v>48.4</v>
      </c>
    </row>
    <row r="392" spans="1:10" ht="16">
      <c r="A392" s="93" t="s">
        <v>1065</v>
      </c>
      <c r="B392" s="94" t="s">
        <v>1062</v>
      </c>
      <c r="C392" s="95" t="s">
        <v>107</v>
      </c>
      <c r="D392" s="96" t="s">
        <v>62</v>
      </c>
      <c r="E392" s="97">
        <v>12659</v>
      </c>
      <c r="F392" s="97">
        <v>806</v>
      </c>
      <c r="G392" s="97">
        <v>2532</v>
      </c>
      <c r="H392" s="98">
        <v>42.7</v>
      </c>
      <c r="I392" s="97">
        <v>26647</v>
      </c>
      <c r="J392" s="99">
        <v>40.5</v>
      </c>
    </row>
    <row r="393" spans="1:10" ht="16">
      <c r="A393" s="100" t="s">
        <v>146</v>
      </c>
      <c r="B393" s="101" t="s">
        <v>144</v>
      </c>
      <c r="C393" s="102" t="s">
        <v>107</v>
      </c>
      <c r="D393" s="103" t="s">
        <v>80</v>
      </c>
      <c r="E393" s="104">
        <v>45049</v>
      </c>
      <c r="F393" s="104">
        <v>1241</v>
      </c>
      <c r="G393" s="104">
        <v>6757</v>
      </c>
      <c r="H393" s="105">
        <v>73.900000000000006</v>
      </c>
      <c r="I393" s="104">
        <v>63102</v>
      </c>
      <c r="J393" s="106">
        <v>58.7</v>
      </c>
    </row>
    <row r="394" spans="1:10" ht="16">
      <c r="A394" s="93" t="s">
        <v>675</v>
      </c>
      <c r="B394" s="94" t="s">
        <v>642</v>
      </c>
      <c r="C394" s="95" t="s">
        <v>107</v>
      </c>
      <c r="D394" s="96" t="s">
        <v>60</v>
      </c>
      <c r="E394" s="97">
        <v>10032</v>
      </c>
      <c r="F394" s="97">
        <v>1320</v>
      </c>
      <c r="G394" s="97">
        <v>702</v>
      </c>
      <c r="H394" s="98">
        <v>14.1</v>
      </c>
      <c r="I394" s="97">
        <v>3291</v>
      </c>
      <c r="J394" s="99">
        <v>26</v>
      </c>
    </row>
    <row r="395" spans="1:10" ht="16">
      <c r="A395" s="100" t="s">
        <v>676</v>
      </c>
      <c r="B395" s="101" t="s">
        <v>642</v>
      </c>
      <c r="C395" s="102" t="s">
        <v>107</v>
      </c>
      <c r="D395" s="103" t="s">
        <v>130</v>
      </c>
      <c r="E395" s="104">
        <v>4850</v>
      </c>
      <c r="F395" s="104">
        <v>664</v>
      </c>
      <c r="G395" s="104">
        <v>97</v>
      </c>
      <c r="H395" s="105">
        <v>10.1</v>
      </c>
      <c r="I395" s="104">
        <v>5550</v>
      </c>
      <c r="J395" s="106">
        <v>21.5</v>
      </c>
    </row>
    <row r="396" spans="1:10" ht="16">
      <c r="A396" s="93" t="s">
        <v>763</v>
      </c>
      <c r="B396" s="94" t="s">
        <v>764</v>
      </c>
      <c r="C396" s="95" t="s">
        <v>76</v>
      </c>
      <c r="D396" s="96" t="s">
        <v>63</v>
      </c>
      <c r="E396" s="97">
        <v>36551</v>
      </c>
      <c r="F396" s="97">
        <v>1549</v>
      </c>
      <c r="G396" s="97">
        <v>5483</v>
      </c>
      <c r="H396" s="98">
        <v>9.9</v>
      </c>
      <c r="I396" s="97">
        <v>3151</v>
      </c>
      <c r="J396" s="99">
        <v>19.100000000000001</v>
      </c>
    </row>
    <row r="397" spans="1:10" ht="16">
      <c r="A397" s="100" t="s">
        <v>677</v>
      </c>
      <c r="B397" s="101" t="s">
        <v>642</v>
      </c>
      <c r="C397" s="102" t="s">
        <v>107</v>
      </c>
      <c r="D397" s="103" t="s">
        <v>84</v>
      </c>
      <c r="E397" s="104">
        <v>24766</v>
      </c>
      <c r="F397" s="104">
        <v>1041</v>
      </c>
      <c r="G397" s="104">
        <v>743</v>
      </c>
      <c r="H397" s="105">
        <v>9</v>
      </c>
      <c r="I397" s="104">
        <v>1210</v>
      </c>
      <c r="J397" s="106">
        <v>15.4</v>
      </c>
    </row>
    <row r="398" spans="1:10" ht="16">
      <c r="A398" s="93" t="s">
        <v>678</v>
      </c>
      <c r="B398" s="94" t="s">
        <v>642</v>
      </c>
      <c r="C398" s="95" t="s">
        <v>107</v>
      </c>
      <c r="D398" s="96" t="s">
        <v>59</v>
      </c>
      <c r="E398" s="97">
        <v>3989</v>
      </c>
      <c r="F398" s="97">
        <v>307</v>
      </c>
      <c r="G398" s="97">
        <v>199</v>
      </c>
      <c r="H398" s="98">
        <v>15.9</v>
      </c>
      <c r="I398" s="97">
        <v>1644</v>
      </c>
      <c r="J398" s="99">
        <v>21.5</v>
      </c>
    </row>
    <row r="399" spans="1:10" ht="16">
      <c r="A399" s="100" t="s">
        <v>679</v>
      </c>
      <c r="B399" s="101" t="s">
        <v>642</v>
      </c>
      <c r="C399" s="102" t="s">
        <v>107</v>
      </c>
      <c r="D399" s="103" t="s">
        <v>77</v>
      </c>
      <c r="E399" s="104">
        <v>1330</v>
      </c>
      <c r="F399" s="104">
        <v>391</v>
      </c>
      <c r="G399" s="104">
        <v>13</v>
      </c>
      <c r="H399" s="105">
        <v>13.3</v>
      </c>
      <c r="I399" s="104">
        <v>4515</v>
      </c>
      <c r="J399" s="106">
        <v>32.6</v>
      </c>
    </row>
    <row r="400" spans="1:10" ht="16">
      <c r="A400" s="93" t="s">
        <v>680</v>
      </c>
      <c r="B400" s="94" t="s">
        <v>642</v>
      </c>
      <c r="C400" s="95" t="s">
        <v>107</v>
      </c>
      <c r="D400" s="96" t="s">
        <v>62</v>
      </c>
      <c r="E400" s="97">
        <v>22566</v>
      </c>
      <c r="F400" s="97">
        <v>2507</v>
      </c>
      <c r="G400" s="97">
        <v>2031</v>
      </c>
      <c r="H400" s="98">
        <v>78.099999999999994</v>
      </c>
      <c r="I400" s="97">
        <v>46829</v>
      </c>
      <c r="J400" s="99">
        <v>73.7</v>
      </c>
    </row>
    <row r="401" spans="1:10" ht="16">
      <c r="A401" s="100" t="s">
        <v>1004</v>
      </c>
      <c r="B401" s="101" t="s">
        <v>988</v>
      </c>
      <c r="C401" s="102" t="s">
        <v>76</v>
      </c>
      <c r="D401" s="103" t="s">
        <v>84</v>
      </c>
      <c r="E401" s="104">
        <v>22102</v>
      </c>
      <c r="F401" s="104">
        <v>1278</v>
      </c>
      <c r="G401" s="104">
        <v>4862</v>
      </c>
      <c r="H401" s="105">
        <v>40.5</v>
      </c>
      <c r="I401" s="104">
        <v>22885</v>
      </c>
      <c r="J401" s="106">
        <v>33.799999999999997</v>
      </c>
    </row>
    <row r="402" spans="1:10" ht="16">
      <c r="A402" s="93" t="s">
        <v>1005</v>
      </c>
      <c r="B402" s="94" t="s">
        <v>988</v>
      </c>
      <c r="C402" s="95" t="s">
        <v>107</v>
      </c>
      <c r="D402" s="96" t="s">
        <v>80</v>
      </c>
      <c r="E402" s="97">
        <v>24155</v>
      </c>
      <c r="F402" s="97">
        <v>1028</v>
      </c>
      <c r="G402" s="97">
        <v>1449</v>
      </c>
      <c r="H402" s="98">
        <v>28</v>
      </c>
      <c r="I402" s="97">
        <v>7019</v>
      </c>
      <c r="J402" s="99">
        <v>24.5</v>
      </c>
    </row>
    <row r="403" spans="1:10" ht="16">
      <c r="A403" s="100" t="s">
        <v>681</v>
      </c>
      <c r="B403" s="101" t="s">
        <v>642</v>
      </c>
      <c r="C403" s="102" t="s">
        <v>107</v>
      </c>
      <c r="D403" s="103" t="s">
        <v>60</v>
      </c>
      <c r="E403" s="104">
        <v>5653</v>
      </c>
      <c r="F403" s="104">
        <v>349</v>
      </c>
      <c r="G403" s="104">
        <v>226</v>
      </c>
      <c r="H403" s="105">
        <v>12.4</v>
      </c>
      <c r="I403" s="104">
        <v>3853</v>
      </c>
      <c r="J403" s="106">
        <v>18.7</v>
      </c>
    </row>
    <row r="404" spans="1:10" ht="16">
      <c r="A404" s="93" t="s">
        <v>682</v>
      </c>
      <c r="B404" s="94" t="s">
        <v>642</v>
      </c>
      <c r="C404" s="95" t="s">
        <v>107</v>
      </c>
      <c r="D404" s="96" t="s">
        <v>82</v>
      </c>
      <c r="E404" s="97">
        <v>18643</v>
      </c>
      <c r="F404" s="97">
        <v>2119</v>
      </c>
      <c r="G404" s="97">
        <v>2424</v>
      </c>
      <c r="H404" s="98">
        <v>39.200000000000003</v>
      </c>
      <c r="I404" s="97">
        <v>13448</v>
      </c>
      <c r="J404" s="99">
        <v>44.2</v>
      </c>
    </row>
    <row r="405" spans="1:10" ht="16">
      <c r="A405" s="100" t="s">
        <v>760</v>
      </c>
      <c r="B405" s="101" t="s">
        <v>759</v>
      </c>
      <c r="C405" s="102" t="s">
        <v>107</v>
      </c>
      <c r="D405" s="103" t="s">
        <v>77</v>
      </c>
      <c r="E405" s="104">
        <v>17205</v>
      </c>
      <c r="F405" s="104">
        <v>3246</v>
      </c>
      <c r="G405" s="104">
        <v>688</v>
      </c>
      <c r="H405" s="105">
        <v>7.5</v>
      </c>
      <c r="I405" s="104">
        <v>1257</v>
      </c>
      <c r="J405" s="106">
        <v>21.6</v>
      </c>
    </row>
    <row r="406" spans="1:10" ht="16">
      <c r="A406" s="93" t="s">
        <v>101</v>
      </c>
      <c r="B406" s="94" t="s">
        <v>89</v>
      </c>
      <c r="C406" s="95" t="s">
        <v>76</v>
      </c>
      <c r="D406" s="96" t="s">
        <v>84</v>
      </c>
      <c r="E406" s="97">
        <v>22292</v>
      </c>
      <c r="F406" s="97">
        <v>658</v>
      </c>
      <c r="G406" s="97">
        <v>6465</v>
      </c>
      <c r="H406" s="98">
        <v>33.1</v>
      </c>
      <c r="I406" s="97">
        <v>24272</v>
      </c>
      <c r="J406" s="99">
        <v>27.1</v>
      </c>
    </row>
    <row r="407" spans="1:10" ht="16">
      <c r="A407" s="100" t="s">
        <v>862</v>
      </c>
      <c r="B407" s="101" t="s">
        <v>858</v>
      </c>
      <c r="C407" s="102" t="s">
        <v>107</v>
      </c>
      <c r="D407" s="103" t="s">
        <v>92</v>
      </c>
      <c r="E407" s="104">
        <v>3859</v>
      </c>
      <c r="F407" s="104">
        <v>264</v>
      </c>
      <c r="G407" s="104">
        <v>39</v>
      </c>
      <c r="H407" s="105">
        <v>12.7</v>
      </c>
      <c r="I407" s="104">
        <v>4332</v>
      </c>
      <c r="J407" s="106">
        <v>19.5</v>
      </c>
    </row>
    <row r="408" spans="1:10" ht="16">
      <c r="A408" s="93" t="s">
        <v>187</v>
      </c>
      <c r="B408" s="94" t="s">
        <v>184</v>
      </c>
      <c r="C408" s="95" t="s">
        <v>76</v>
      </c>
      <c r="D408" s="96" t="s">
        <v>60</v>
      </c>
      <c r="E408" s="97">
        <v>8050</v>
      </c>
      <c r="F408" s="97">
        <v>329</v>
      </c>
      <c r="G408" s="97">
        <v>1047</v>
      </c>
      <c r="H408" s="98">
        <v>19.5</v>
      </c>
      <c r="I408" s="97">
        <v>9167</v>
      </c>
      <c r="J408" s="99">
        <v>17.600000000000001</v>
      </c>
    </row>
    <row r="409" spans="1:10" ht="16">
      <c r="A409" s="100" t="s">
        <v>1214</v>
      </c>
      <c r="B409" s="101" t="s">
        <v>1190</v>
      </c>
      <c r="C409" s="102" t="s">
        <v>76</v>
      </c>
      <c r="D409" s="103" t="s">
        <v>60</v>
      </c>
      <c r="E409" s="104">
        <v>12657</v>
      </c>
      <c r="F409" s="104">
        <v>1013</v>
      </c>
      <c r="G409" s="104">
        <v>4810</v>
      </c>
      <c r="H409" s="105">
        <v>39.4</v>
      </c>
      <c r="I409" s="104">
        <v>36457</v>
      </c>
      <c r="J409" s="106">
        <v>34.700000000000003</v>
      </c>
    </row>
    <row r="410" spans="1:10" ht="16">
      <c r="A410" s="93" t="s">
        <v>370</v>
      </c>
      <c r="B410" s="94" t="s">
        <v>369</v>
      </c>
      <c r="C410" s="95" t="s">
        <v>107</v>
      </c>
      <c r="D410" s="96" t="s">
        <v>62</v>
      </c>
      <c r="E410" s="97">
        <v>3851</v>
      </c>
      <c r="F410" s="97">
        <v>137</v>
      </c>
      <c r="G410" s="97">
        <v>732</v>
      </c>
      <c r="H410" s="98">
        <v>30.1</v>
      </c>
      <c r="I410" s="97">
        <v>13001</v>
      </c>
      <c r="J410" s="99">
        <v>28.3</v>
      </c>
    </row>
    <row r="411" spans="1:10" ht="16">
      <c r="A411" s="100" t="s">
        <v>765</v>
      </c>
      <c r="B411" s="101" t="s">
        <v>766</v>
      </c>
      <c r="C411" s="102" t="s">
        <v>107</v>
      </c>
      <c r="D411" s="103" t="s">
        <v>130</v>
      </c>
      <c r="E411" s="104">
        <v>4216</v>
      </c>
      <c r="F411" s="104">
        <v>114</v>
      </c>
      <c r="G411" s="104">
        <v>42</v>
      </c>
      <c r="H411" s="105">
        <v>17.600000000000001</v>
      </c>
      <c r="I411" s="104">
        <v>919</v>
      </c>
      <c r="J411" s="106">
        <v>17.399999999999999</v>
      </c>
    </row>
    <row r="412" spans="1:10" ht="16">
      <c r="A412" s="93" t="s">
        <v>188</v>
      </c>
      <c r="B412" s="94" t="s">
        <v>184</v>
      </c>
      <c r="C412" s="95" t="s">
        <v>76</v>
      </c>
      <c r="D412" s="96" t="s">
        <v>60</v>
      </c>
      <c r="E412" s="97">
        <v>29250</v>
      </c>
      <c r="F412" s="97">
        <v>1691</v>
      </c>
      <c r="G412" s="97">
        <v>3803</v>
      </c>
      <c r="H412" s="98">
        <v>31.8</v>
      </c>
      <c r="I412" s="97">
        <v>21508</v>
      </c>
      <c r="J412" s="99">
        <v>40.1</v>
      </c>
    </row>
    <row r="413" spans="1:10" ht="16">
      <c r="A413" s="100" t="s">
        <v>771</v>
      </c>
      <c r="B413" s="101" t="s">
        <v>770</v>
      </c>
      <c r="C413" s="102" t="s">
        <v>107</v>
      </c>
      <c r="D413" s="103" t="s">
        <v>63</v>
      </c>
      <c r="E413" s="104">
        <v>7866</v>
      </c>
      <c r="F413" s="104">
        <v>587</v>
      </c>
      <c r="G413" s="104">
        <v>1416</v>
      </c>
      <c r="H413" s="105">
        <v>10.1</v>
      </c>
      <c r="I413" s="104">
        <v>2542</v>
      </c>
      <c r="J413" s="106">
        <v>30.5</v>
      </c>
    </row>
    <row r="414" spans="1:10" ht="16">
      <c r="A414" s="93" t="s">
        <v>1215</v>
      </c>
      <c r="B414" s="94" t="s">
        <v>1190</v>
      </c>
      <c r="C414" s="95" t="s">
        <v>76</v>
      </c>
      <c r="D414" s="96" t="s">
        <v>84</v>
      </c>
      <c r="E414" s="97">
        <v>19726</v>
      </c>
      <c r="F414" s="97">
        <v>1012</v>
      </c>
      <c r="G414" s="97">
        <v>2367</v>
      </c>
      <c r="H414" s="98">
        <v>13.9</v>
      </c>
      <c r="I414" s="97">
        <v>5512</v>
      </c>
      <c r="J414" s="99">
        <v>16.600000000000001</v>
      </c>
    </row>
    <row r="415" spans="1:10" ht="16">
      <c r="A415" s="100" t="s">
        <v>1330</v>
      </c>
      <c r="B415" s="101" t="s">
        <v>1288</v>
      </c>
      <c r="C415" s="102" t="s">
        <v>107</v>
      </c>
      <c r="D415" s="103" t="s">
        <v>82</v>
      </c>
      <c r="E415" s="104">
        <v>6462</v>
      </c>
      <c r="F415" s="104">
        <v>598</v>
      </c>
      <c r="G415" s="104">
        <v>1099</v>
      </c>
      <c r="H415" s="105">
        <v>20.8</v>
      </c>
      <c r="I415" s="104">
        <v>10611</v>
      </c>
      <c r="J415" s="106">
        <v>27.4</v>
      </c>
    </row>
    <row r="416" spans="1:10" ht="16">
      <c r="A416" s="93" t="s">
        <v>414</v>
      </c>
      <c r="B416" s="94" t="s">
        <v>402</v>
      </c>
      <c r="C416" s="95" t="s">
        <v>107</v>
      </c>
      <c r="D416" s="96" t="s">
        <v>61</v>
      </c>
      <c r="E416" s="97">
        <v>27625</v>
      </c>
      <c r="F416" s="97">
        <v>512</v>
      </c>
      <c r="G416" s="97">
        <v>3868</v>
      </c>
      <c r="H416" s="98">
        <v>29.9</v>
      </c>
      <c r="I416" s="97">
        <v>13814</v>
      </c>
      <c r="J416" s="99">
        <v>36.799999999999997</v>
      </c>
    </row>
    <row r="417" spans="1:10" ht="16">
      <c r="A417" s="100" t="s">
        <v>823</v>
      </c>
      <c r="B417" s="101" t="s">
        <v>820</v>
      </c>
      <c r="C417" s="102" t="s">
        <v>76</v>
      </c>
      <c r="D417" s="103" t="s">
        <v>77</v>
      </c>
      <c r="E417" s="104">
        <v>28741</v>
      </c>
      <c r="F417" s="104">
        <v>1537</v>
      </c>
      <c r="G417" s="104">
        <v>4599</v>
      </c>
      <c r="H417" s="105">
        <v>65</v>
      </c>
      <c r="I417" s="104">
        <v>54077</v>
      </c>
      <c r="J417" s="106">
        <v>48.3</v>
      </c>
    </row>
    <row r="418" spans="1:10" ht="16">
      <c r="A418" s="93" t="s">
        <v>835</v>
      </c>
      <c r="B418" s="94" t="s">
        <v>834</v>
      </c>
      <c r="C418" s="95" t="s">
        <v>107</v>
      </c>
      <c r="D418" s="96" t="s">
        <v>80</v>
      </c>
      <c r="E418" s="97">
        <v>2476</v>
      </c>
      <c r="F418" s="97">
        <v>183</v>
      </c>
      <c r="G418" s="97">
        <v>966</v>
      </c>
      <c r="H418" s="98">
        <v>19.899999999999999</v>
      </c>
      <c r="I418" s="97">
        <v>9562</v>
      </c>
      <c r="J418" s="99">
        <v>24.4</v>
      </c>
    </row>
    <row r="419" spans="1:10" ht="16">
      <c r="A419" s="100" t="s">
        <v>1216</v>
      </c>
      <c r="B419" s="101" t="s">
        <v>1190</v>
      </c>
      <c r="C419" s="102" t="s">
        <v>76</v>
      </c>
      <c r="D419" s="103" t="s">
        <v>82</v>
      </c>
      <c r="E419" s="104">
        <v>19461</v>
      </c>
      <c r="F419" s="104">
        <v>1118</v>
      </c>
      <c r="G419" s="104">
        <v>2725</v>
      </c>
      <c r="H419" s="105">
        <v>17.5</v>
      </c>
      <c r="I419" s="104">
        <v>13688</v>
      </c>
      <c r="J419" s="106">
        <v>17.7</v>
      </c>
    </row>
    <row r="420" spans="1:10" ht="16">
      <c r="A420" s="93" t="s">
        <v>415</v>
      </c>
      <c r="B420" s="94" t="s">
        <v>402</v>
      </c>
      <c r="C420" s="95" t="s">
        <v>76</v>
      </c>
      <c r="D420" s="96" t="s">
        <v>84</v>
      </c>
      <c r="E420" s="97">
        <v>34519</v>
      </c>
      <c r="F420" s="97">
        <v>995</v>
      </c>
      <c r="G420" s="97">
        <v>5868</v>
      </c>
      <c r="H420" s="98">
        <v>77</v>
      </c>
      <c r="I420" s="97">
        <v>68455</v>
      </c>
      <c r="J420" s="99">
        <v>68.400000000000006</v>
      </c>
    </row>
    <row r="421" spans="1:10" ht="16">
      <c r="A421" s="100" t="s">
        <v>928</v>
      </c>
      <c r="B421" s="101" t="s">
        <v>919</v>
      </c>
      <c r="C421" s="102" t="s">
        <v>76</v>
      </c>
      <c r="D421" s="103" t="s">
        <v>61</v>
      </c>
      <c r="E421" s="104">
        <v>18077</v>
      </c>
      <c r="F421" s="104">
        <v>2288</v>
      </c>
      <c r="G421" s="104">
        <v>1265</v>
      </c>
      <c r="H421" s="105">
        <v>11.6</v>
      </c>
      <c r="I421" s="104">
        <v>1446</v>
      </c>
      <c r="J421" s="106">
        <v>25.6</v>
      </c>
    </row>
    <row r="422" spans="1:10" ht="16">
      <c r="A422" s="93" t="s">
        <v>883</v>
      </c>
      <c r="B422" s="94" t="s">
        <v>879</v>
      </c>
      <c r="C422" s="95" t="s">
        <v>107</v>
      </c>
      <c r="D422" s="96" t="s">
        <v>82</v>
      </c>
      <c r="E422" s="97">
        <v>16372</v>
      </c>
      <c r="F422" s="97">
        <v>1259</v>
      </c>
      <c r="G422" s="97">
        <v>655</v>
      </c>
      <c r="H422" s="98">
        <v>11.1</v>
      </c>
      <c r="I422" s="97">
        <v>2003</v>
      </c>
      <c r="J422" s="99">
        <v>16.3</v>
      </c>
    </row>
    <row r="423" spans="1:10" ht="16">
      <c r="A423" s="100" t="s">
        <v>929</v>
      </c>
      <c r="B423" s="101" t="s">
        <v>919</v>
      </c>
      <c r="C423" s="102" t="s">
        <v>107</v>
      </c>
      <c r="D423" s="103" t="s">
        <v>60</v>
      </c>
      <c r="E423" s="104">
        <v>29235</v>
      </c>
      <c r="F423" s="104">
        <v>4005</v>
      </c>
      <c r="G423" s="104">
        <v>8478</v>
      </c>
      <c r="H423" s="105">
        <v>63</v>
      </c>
      <c r="I423" s="104">
        <v>9840</v>
      </c>
      <c r="J423" s="106">
        <v>78.2</v>
      </c>
    </row>
    <row r="424" spans="1:10" ht="16">
      <c r="A424" s="93" t="s">
        <v>1217</v>
      </c>
      <c r="B424" s="94" t="s">
        <v>1190</v>
      </c>
      <c r="C424" s="95" t="s">
        <v>76</v>
      </c>
      <c r="D424" s="96" t="s">
        <v>84</v>
      </c>
      <c r="E424" s="97">
        <v>10570</v>
      </c>
      <c r="F424" s="97">
        <v>874</v>
      </c>
      <c r="G424" s="97">
        <v>7505</v>
      </c>
      <c r="H424" s="98">
        <v>83</v>
      </c>
      <c r="I424" s="97">
        <v>77081</v>
      </c>
      <c r="J424" s="99">
        <v>69</v>
      </c>
    </row>
    <row r="425" spans="1:10" ht="16">
      <c r="A425" s="100" t="s">
        <v>1218</v>
      </c>
      <c r="B425" s="101" t="s">
        <v>1190</v>
      </c>
      <c r="C425" s="102" t="s">
        <v>76</v>
      </c>
      <c r="D425" s="103" t="s">
        <v>63</v>
      </c>
      <c r="E425" s="104">
        <v>12168</v>
      </c>
      <c r="F425" s="104">
        <v>737</v>
      </c>
      <c r="G425" s="104">
        <v>4015</v>
      </c>
      <c r="H425" s="105">
        <v>10.4</v>
      </c>
      <c r="I425" s="104">
        <v>1887</v>
      </c>
      <c r="J425" s="106">
        <v>15.4</v>
      </c>
    </row>
    <row r="426" spans="1:10" ht="16">
      <c r="A426" s="93" t="s">
        <v>167</v>
      </c>
      <c r="B426" s="94" t="s">
        <v>150</v>
      </c>
      <c r="C426" s="95" t="s">
        <v>76</v>
      </c>
      <c r="D426" s="96" t="s">
        <v>62</v>
      </c>
      <c r="E426" s="97">
        <v>26685</v>
      </c>
      <c r="F426" s="97">
        <v>1744</v>
      </c>
      <c r="G426" s="97">
        <v>267</v>
      </c>
      <c r="H426" s="98">
        <v>13.3</v>
      </c>
      <c r="I426" s="97">
        <v>2172</v>
      </c>
      <c r="J426" s="99">
        <v>21.4</v>
      </c>
    </row>
    <row r="427" spans="1:10" ht="16">
      <c r="A427" s="100" t="s">
        <v>1219</v>
      </c>
      <c r="B427" s="101" t="s">
        <v>1190</v>
      </c>
      <c r="C427" s="102" t="s">
        <v>107</v>
      </c>
      <c r="D427" s="103" t="s">
        <v>60</v>
      </c>
      <c r="E427" s="104">
        <v>14749</v>
      </c>
      <c r="F427" s="104">
        <v>1031</v>
      </c>
      <c r="G427" s="104">
        <v>3687</v>
      </c>
      <c r="H427" s="105">
        <v>34.299999999999997</v>
      </c>
      <c r="I427" s="104">
        <v>18194</v>
      </c>
      <c r="J427" s="106">
        <v>33.799999999999997</v>
      </c>
    </row>
    <row r="428" spans="1:10" ht="16">
      <c r="A428" s="93" t="s">
        <v>1331</v>
      </c>
      <c r="B428" s="94" t="s">
        <v>1288</v>
      </c>
      <c r="C428" s="95" t="s">
        <v>76</v>
      </c>
      <c r="D428" s="96" t="s">
        <v>84</v>
      </c>
      <c r="E428" s="97">
        <v>29169</v>
      </c>
      <c r="F428" s="97">
        <v>1409</v>
      </c>
      <c r="G428" s="97">
        <v>1750</v>
      </c>
      <c r="H428" s="98">
        <v>26.3</v>
      </c>
      <c r="I428" s="97">
        <v>14569</v>
      </c>
      <c r="J428" s="99">
        <v>34.5</v>
      </c>
    </row>
    <row r="429" spans="1:10" ht="16">
      <c r="A429" s="100" t="s">
        <v>1332</v>
      </c>
      <c r="B429" s="101" t="s">
        <v>1288</v>
      </c>
      <c r="C429" s="102" t="s">
        <v>107</v>
      </c>
      <c r="D429" s="103" t="s">
        <v>84</v>
      </c>
      <c r="E429" s="104">
        <v>11210</v>
      </c>
      <c r="F429" s="104">
        <v>496</v>
      </c>
      <c r="G429" s="104">
        <v>448</v>
      </c>
      <c r="H429" s="105">
        <v>9.6999999999999993</v>
      </c>
      <c r="I429" s="104">
        <v>4279</v>
      </c>
      <c r="J429" s="106">
        <v>17.3</v>
      </c>
    </row>
    <row r="430" spans="1:10" ht="16">
      <c r="A430" s="93" t="s">
        <v>1066</v>
      </c>
      <c r="B430" s="94" t="s">
        <v>1062</v>
      </c>
      <c r="C430" s="95" t="s">
        <v>76</v>
      </c>
      <c r="D430" s="96" t="s">
        <v>61</v>
      </c>
      <c r="E430" s="97">
        <v>27266</v>
      </c>
      <c r="F430" s="97">
        <v>2253</v>
      </c>
      <c r="G430" s="97">
        <v>5181</v>
      </c>
      <c r="H430" s="98">
        <v>54.3</v>
      </c>
      <c r="I430" s="97">
        <v>46868</v>
      </c>
      <c r="J430" s="99">
        <v>40.700000000000003</v>
      </c>
    </row>
    <row r="431" spans="1:10" ht="16">
      <c r="A431" s="100" t="s">
        <v>1179</v>
      </c>
      <c r="B431" s="101" t="s">
        <v>1178</v>
      </c>
      <c r="C431" s="102" t="s">
        <v>107</v>
      </c>
      <c r="D431" s="103" t="s">
        <v>63</v>
      </c>
      <c r="E431" s="104">
        <v>21560</v>
      </c>
      <c r="F431" s="104">
        <v>2053</v>
      </c>
      <c r="G431" s="104">
        <v>216</v>
      </c>
      <c r="H431" s="105">
        <v>8.6999999999999993</v>
      </c>
      <c r="I431" s="104">
        <v>4346</v>
      </c>
      <c r="J431" s="106">
        <v>17.899999999999999</v>
      </c>
    </row>
    <row r="432" spans="1:10" ht="16">
      <c r="A432" s="93" t="s">
        <v>824</v>
      </c>
      <c r="B432" s="94" t="s">
        <v>820</v>
      </c>
      <c r="C432" s="95" t="s">
        <v>76</v>
      </c>
      <c r="D432" s="96" t="s">
        <v>84</v>
      </c>
      <c r="E432" s="97">
        <v>16857</v>
      </c>
      <c r="F432" s="97">
        <v>906</v>
      </c>
      <c r="G432" s="97">
        <v>9103</v>
      </c>
      <c r="H432" s="98">
        <v>48.3</v>
      </c>
      <c r="I432" s="97">
        <v>37247</v>
      </c>
      <c r="J432" s="99">
        <v>40.200000000000003</v>
      </c>
    </row>
    <row r="433" spans="1:10" ht="16">
      <c r="A433" s="100" t="s">
        <v>778</v>
      </c>
      <c r="B433" s="101" t="s">
        <v>779</v>
      </c>
      <c r="C433" s="102" t="s">
        <v>76</v>
      </c>
      <c r="D433" s="103" t="s">
        <v>77</v>
      </c>
      <c r="E433" s="104">
        <v>9924</v>
      </c>
      <c r="F433" s="104">
        <v>407</v>
      </c>
      <c r="G433" s="104">
        <v>7840</v>
      </c>
      <c r="H433" s="105">
        <v>22.4</v>
      </c>
      <c r="I433" s="104">
        <v>18636</v>
      </c>
      <c r="J433" s="106">
        <v>27.1</v>
      </c>
    </row>
    <row r="434" spans="1:10" ht="16">
      <c r="A434" s="93" t="s">
        <v>102</v>
      </c>
      <c r="B434" s="94" t="s">
        <v>89</v>
      </c>
      <c r="C434" s="95" t="s">
        <v>76</v>
      </c>
      <c r="D434" s="96" t="s">
        <v>63</v>
      </c>
      <c r="E434" s="97">
        <v>30234</v>
      </c>
      <c r="F434" s="97">
        <v>441</v>
      </c>
      <c r="G434" s="97">
        <v>8768</v>
      </c>
      <c r="H434" s="98">
        <v>42.6</v>
      </c>
      <c r="I434" s="97">
        <v>30616</v>
      </c>
      <c r="J434" s="99">
        <v>37.799999999999997</v>
      </c>
    </row>
    <row r="435" spans="1:10" ht="16">
      <c r="A435" s="100" t="s">
        <v>1125</v>
      </c>
      <c r="B435" s="101" t="s">
        <v>1120</v>
      </c>
      <c r="C435" s="102" t="s">
        <v>76</v>
      </c>
      <c r="D435" s="103" t="s">
        <v>84</v>
      </c>
      <c r="E435" s="104">
        <v>13534</v>
      </c>
      <c r="F435" s="104">
        <v>607</v>
      </c>
      <c r="G435" s="104">
        <v>541</v>
      </c>
      <c r="H435" s="105">
        <v>9</v>
      </c>
      <c r="I435" s="104">
        <v>6720</v>
      </c>
      <c r="J435" s="106">
        <v>14.4</v>
      </c>
    </row>
    <row r="436" spans="1:10" ht="16">
      <c r="A436" s="93" t="s">
        <v>509</v>
      </c>
      <c r="B436" s="94" t="s">
        <v>474</v>
      </c>
      <c r="C436" s="95" t="s">
        <v>76</v>
      </c>
      <c r="D436" s="96" t="s">
        <v>84</v>
      </c>
      <c r="E436" s="97">
        <v>39252</v>
      </c>
      <c r="F436" s="97">
        <v>1443</v>
      </c>
      <c r="G436" s="97">
        <v>879</v>
      </c>
      <c r="H436" s="98">
        <v>9.3000000000000007</v>
      </c>
      <c r="I436" s="97">
        <v>1607</v>
      </c>
      <c r="J436" s="99">
        <v>14.1</v>
      </c>
    </row>
    <row r="437" spans="1:10" ht="16">
      <c r="A437" s="100" t="s">
        <v>1126</v>
      </c>
      <c r="B437" s="101" t="s">
        <v>1120</v>
      </c>
      <c r="C437" s="102" t="s">
        <v>76</v>
      </c>
      <c r="D437" s="103" t="s">
        <v>82</v>
      </c>
      <c r="E437" s="104">
        <v>38192</v>
      </c>
      <c r="F437" s="104">
        <v>1303</v>
      </c>
      <c r="G437" s="104">
        <v>3626</v>
      </c>
      <c r="H437" s="105">
        <v>8</v>
      </c>
      <c r="I437" s="104">
        <v>883</v>
      </c>
      <c r="J437" s="106">
        <v>18.5</v>
      </c>
    </row>
    <row r="438" spans="1:10" ht="16">
      <c r="A438" s="93" t="s">
        <v>1127</v>
      </c>
      <c r="B438" s="94" t="s">
        <v>1120</v>
      </c>
      <c r="C438" s="95" t="s">
        <v>107</v>
      </c>
      <c r="D438" s="96" t="s">
        <v>63</v>
      </c>
      <c r="E438" s="97">
        <v>28476</v>
      </c>
      <c r="F438" s="97">
        <v>2792</v>
      </c>
      <c r="G438" s="97">
        <v>1139</v>
      </c>
      <c r="H438" s="98">
        <v>21</v>
      </c>
      <c r="I438" s="97">
        <v>9510</v>
      </c>
      <c r="J438" s="99">
        <v>31.6</v>
      </c>
    </row>
    <row r="439" spans="1:10" ht="16">
      <c r="A439" s="100" t="s">
        <v>1175</v>
      </c>
      <c r="B439" s="101" t="s">
        <v>1176</v>
      </c>
      <c r="C439" s="102" t="s">
        <v>107</v>
      </c>
      <c r="D439" s="103" t="s">
        <v>80</v>
      </c>
      <c r="E439" s="104">
        <v>34651</v>
      </c>
      <c r="F439" s="104">
        <v>1468</v>
      </c>
      <c r="G439" s="104">
        <v>2772</v>
      </c>
      <c r="H439" s="105">
        <v>12.7</v>
      </c>
      <c r="I439" s="104">
        <v>8869</v>
      </c>
      <c r="J439" s="106">
        <v>16.7</v>
      </c>
    </row>
    <row r="440" spans="1:10" ht="16">
      <c r="A440" s="93" t="s">
        <v>1220</v>
      </c>
      <c r="B440" s="94" t="s">
        <v>1190</v>
      </c>
      <c r="C440" s="95" t="s">
        <v>76</v>
      </c>
      <c r="D440" s="96" t="s">
        <v>61</v>
      </c>
      <c r="E440" s="97">
        <v>28146</v>
      </c>
      <c r="F440" s="97">
        <v>1864</v>
      </c>
      <c r="G440" s="97">
        <v>4503</v>
      </c>
      <c r="H440" s="98">
        <v>14.2</v>
      </c>
      <c r="I440" s="97">
        <v>7902</v>
      </c>
      <c r="J440" s="99">
        <v>20.100000000000001</v>
      </c>
    </row>
    <row r="441" spans="1:10" ht="16">
      <c r="A441" s="100" t="s">
        <v>510</v>
      </c>
      <c r="B441" s="101" t="s">
        <v>474</v>
      </c>
      <c r="C441" s="102" t="s">
        <v>107</v>
      </c>
      <c r="D441" s="103" t="s">
        <v>60</v>
      </c>
      <c r="E441" s="104">
        <v>23082</v>
      </c>
      <c r="F441" s="104">
        <v>2684</v>
      </c>
      <c r="G441" s="104">
        <v>2539</v>
      </c>
      <c r="H441" s="105">
        <v>11.6</v>
      </c>
      <c r="I441" s="104">
        <v>1081</v>
      </c>
      <c r="J441" s="106">
        <v>24.1</v>
      </c>
    </row>
    <row r="442" spans="1:10" ht="16">
      <c r="A442" s="93" t="s">
        <v>356</v>
      </c>
      <c r="B442" s="94" t="s">
        <v>344</v>
      </c>
      <c r="C442" s="95" t="s">
        <v>76</v>
      </c>
      <c r="D442" s="96" t="s">
        <v>80</v>
      </c>
      <c r="E442" s="97">
        <v>140126</v>
      </c>
      <c r="F442" s="97">
        <v>5628</v>
      </c>
      <c r="G442" s="97">
        <v>4204</v>
      </c>
      <c r="H442" s="98">
        <v>9.1999999999999993</v>
      </c>
      <c r="I442" s="97">
        <v>8153</v>
      </c>
      <c r="J442" s="99">
        <v>19.100000000000001</v>
      </c>
    </row>
    <row r="443" spans="1:10" ht="16">
      <c r="A443" s="100" t="s">
        <v>601</v>
      </c>
      <c r="B443" s="101" t="s">
        <v>598</v>
      </c>
      <c r="C443" s="102" t="s">
        <v>107</v>
      </c>
      <c r="D443" s="103" t="s">
        <v>82</v>
      </c>
      <c r="E443" s="104">
        <v>10603</v>
      </c>
      <c r="F443" s="104">
        <v>512</v>
      </c>
      <c r="G443" s="104">
        <v>424</v>
      </c>
      <c r="H443" s="105">
        <v>18.899999999999999</v>
      </c>
      <c r="I443" s="104">
        <v>12453</v>
      </c>
      <c r="J443" s="106">
        <v>22.1</v>
      </c>
    </row>
    <row r="444" spans="1:10" ht="16">
      <c r="A444" s="93" t="s">
        <v>1165</v>
      </c>
      <c r="B444" s="94" t="s">
        <v>1142</v>
      </c>
      <c r="C444" s="95" t="s">
        <v>107</v>
      </c>
      <c r="D444" s="96" t="s">
        <v>82</v>
      </c>
      <c r="E444" s="97">
        <v>59480</v>
      </c>
      <c r="F444" s="97">
        <v>2044</v>
      </c>
      <c r="G444" s="97">
        <v>2379</v>
      </c>
      <c r="H444" s="98">
        <v>8.9</v>
      </c>
      <c r="I444" s="97">
        <v>1736</v>
      </c>
      <c r="J444" s="99">
        <v>21.3</v>
      </c>
    </row>
    <row r="445" spans="1:10" ht="16">
      <c r="A445" s="100" t="s">
        <v>1333</v>
      </c>
      <c r="B445" s="101" t="s">
        <v>1288</v>
      </c>
      <c r="C445" s="102" t="s">
        <v>76</v>
      </c>
      <c r="D445" s="103" t="s">
        <v>63</v>
      </c>
      <c r="E445" s="104">
        <v>10472</v>
      </c>
      <c r="F445" s="104">
        <v>873</v>
      </c>
      <c r="G445" s="104">
        <v>419</v>
      </c>
      <c r="H445" s="105">
        <v>14.4</v>
      </c>
      <c r="I445" s="104">
        <v>4953</v>
      </c>
      <c r="J445" s="106">
        <v>36</v>
      </c>
    </row>
    <row r="446" spans="1:10" ht="16">
      <c r="A446" s="93" t="s">
        <v>326</v>
      </c>
      <c r="B446" s="94" t="s">
        <v>322</v>
      </c>
      <c r="C446" s="95" t="s">
        <v>76</v>
      </c>
      <c r="D446" s="96" t="s">
        <v>60</v>
      </c>
      <c r="E446" s="97">
        <v>31611</v>
      </c>
      <c r="F446" s="97">
        <v>1565</v>
      </c>
      <c r="G446" s="97">
        <v>6638</v>
      </c>
      <c r="H446" s="98">
        <v>25.4</v>
      </c>
      <c r="I446" s="97">
        <v>9244</v>
      </c>
      <c r="J446" s="99">
        <v>22.6</v>
      </c>
    </row>
    <row r="447" spans="1:10" ht="16">
      <c r="A447" s="100" t="s">
        <v>550</v>
      </c>
      <c r="B447" s="101" t="s">
        <v>537</v>
      </c>
      <c r="C447" s="102" t="s">
        <v>76</v>
      </c>
      <c r="D447" s="103" t="s">
        <v>61</v>
      </c>
      <c r="E447" s="104">
        <v>9134</v>
      </c>
      <c r="F447" s="104">
        <v>862</v>
      </c>
      <c r="G447" s="104">
        <v>274</v>
      </c>
      <c r="H447" s="105">
        <v>12.3</v>
      </c>
      <c r="I447" s="104">
        <v>8995</v>
      </c>
      <c r="J447" s="106">
        <v>28.1</v>
      </c>
    </row>
    <row r="448" spans="1:10" ht="16">
      <c r="A448" s="93" t="s">
        <v>1334</v>
      </c>
      <c r="B448" s="94" t="s">
        <v>1288</v>
      </c>
      <c r="C448" s="95" t="s">
        <v>107</v>
      </c>
      <c r="D448" s="96" t="s">
        <v>84</v>
      </c>
      <c r="E448" s="97">
        <v>11247</v>
      </c>
      <c r="F448" s="97">
        <v>1308</v>
      </c>
      <c r="G448" s="97">
        <v>3824</v>
      </c>
      <c r="H448" s="98">
        <v>92.4</v>
      </c>
      <c r="I448" s="97">
        <v>91974</v>
      </c>
      <c r="J448" s="99">
        <v>90.5</v>
      </c>
    </row>
    <row r="449" spans="1:10" ht="16">
      <c r="A449" s="100" t="s">
        <v>836</v>
      </c>
      <c r="B449" s="101" t="s">
        <v>834</v>
      </c>
      <c r="C449" s="102" t="s">
        <v>76</v>
      </c>
      <c r="D449" s="103" t="s">
        <v>61</v>
      </c>
      <c r="E449" s="104">
        <v>18653</v>
      </c>
      <c r="F449" s="104">
        <v>1151</v>
      </c>
      <c r="G449" s="104">
        <v>5782</v>
      </c>
      <c r="H449" s="105">
        <v>18.899999999999999</v>
      </c>
      <c r="I449" s="104">
        <v>9291</v>
      </c>
      <c r="J449" s="106">
        <v>22.9</v>
      </c>
    </row>
    <row r="450" spans="1:10" ht="16">
      <c r="A450" s="93" t="s">
        <v>582</v>
      </c>
      <c r="B450" s="94" t="s">
        <v>581</v>
      </c>
      <c r="C450" s="95" t="s">
        <v>76</v>
      </c>
      <c r="D450" s="96" t="s">
        <v>60</v>
      </c>
      <c r="E450" s="97">
        <v>9291</v>
      </c>
      <c r="F450" s="97">
        <v>328</v>
      </c>
      <c r="G450" s="97">
        <v>1115</v>
      </c>
      <c r="H450" s="98">
        <v>29.8</v>
      </c>
      <c r="I450" s="97">
        <v>24010</v>
      </c>
      <c r="J450" s="99">
        <v>20.3</v>
      </c>
    </row>
    <row r="451" spans="1:10" ht="16">
      <c r="A451" s="100" t="s">
        <v>189</v>
      </c>
      <c r="B451" s="101" t="s">
        <v>184</v>
      </c>
      <c r="C451" s="102" t="s">
        <v>76</v>
      </c>
      <c r="D451" s="103" t="s">
        <v>82</v>
      </c>
      <c r="E451" s="104">
        <v>31294</v>
      </c>
      <c r="F451" s="104">
        <v>2407</v>
      </c>
      <c r="G451" s="104">
        <v>9075</v>
      </c>
      <c r="H451" s="105">
        <v>71.900000000000006</v>
      </c>
      <c r="I451" s="104">
        <v>60974</v>
      </c>
      <c r="J451" s="106">
        <v>65</v>
      </c>
    </row>
    <row r="452" spans="1:10" ht="16">
      <c r="A452" s="93" t="s">
        <v>190</v>
      </c>
      <c r="B452" s="94" t="s">
        <v>184</v>
      </c>
      <c r="C452" s="95" t="s">
        <v>76</v>
      </c>
      <c r="D452" s="96" t="s">
        <v>80</v>
      </c>
      <c r="E452" s="97">
        <v>24412</v>
      </c>
      <c r="F452" s="97">
        <v>869</v>
      </c>
      <c r="G452" s="97">
        <v>4150</v>
      </c>
      <c r="H452" s="98">
        <v>50.1</v>
      </c>
      <c r="I452" s="97">
        <v>47566</v>
      </c>
      <c r="J452" s="99">
        <v>44.5</v>
      </c>
    </row>
    <row r="453" spans="1:10" ht="16">
      <c r="A453" s="100" t="s">
        <v>129</v>
      </c>
      <c r="B453" s="101" t="s">
        <v>127</v>
      </c>
      <c r="C453" s="102" t="s">
        <v>76</v>
      </c>
      <c r="D453" s="103" t="s">
        <v>130</v>
      </c>
      <c r="E453" s="104">
        <v>3352</v>
      </c>
      <c r="F453" s="104">
        <v>308</v>
      </c>
      <c r="G453" s="104">
        <v>804</v>
      </c>
      <c r="H453" s="105">
        <v>25.1</v>
      </c>
      <c r="I453" s="104">
        <v>23081</v>
      </c>
      <c r="J453" s="106">
        <v>30.9</v>
      </c>
    </row>
    <row r="454" spans="1:10" ht="16">
      <c r="A454" s="93" t="s">
        <v>131</v>
      </c>
      <c r="B454" s="94" t="s">
        <v>127</v>
      </c>
      <c r="C454" s="95" t="s">
        <v>76</v>
      </c>
      <c r="D454" s="96" t="s">
        <v>63</v>
      </c>
      <c r="E454" s="97">
        <v>2966</v>
      </c>
      <c r="F454" s="97">
        <v>690</v>
      </c>
      <c r="G454" s="97">
        <v>1305</v>
      </c>
      <c r="H454" s="98">
        <v>14.2</v>
      </c>
      <c r="I454" s="97">
        <v>12725</v>
      </c>
      <c r="J454" s="99">
        <v>30.5</v>
      </c>
    </row>
    <row r="455" spans="1:10" ht="16">
      <c r="A455" s="100" t="s">
        <v>132</v>
      </c>
      <c r="B455" s="101" t="s">
        <v>127</v>
      </c>
      <c r="C455" s="102" t="s">
        <v>76</v>
      </c>
      <c r="D455" s="103" t="s">
        <v>130</v>
      </c>
      <c r="E455" s="104">
        <v>7142</v>
      </c>
      <c r="F455" s="104">
        <v>882</v>
      </c>
      <c r="G455" s="104">
        <v>2143</v>
      </c>
      <c r="H455" s="105">
        <v>23.5</v>
      </c>
      <c r="I455" s="104">
        <v>21264</v>
      </c>
      <c r="J455" s="106">
        <v>33.4</v>
      </c>
    </row>
    <row r="456" spans="1:10" ht="16">
      <c r="A456" s="93" t="s">
        <v>683</v>
      </c>
      <c r="B456" s="94" t="s">
        <v>642</v>
      </c>
      <c r="C456" s="95" t="s">
        <v>107</v>
      </c>
      <c r="D456" s="96" t="s">
        <v>92</v>
      </c>
      <c r="E456" s="97">
        <v>33309</v>
      </c>
      <c r="F456" s="97">
        <v>2847</v>
      </c>
      <c r="G456" s="97">
        <v>1332</v>
      </c>
      <c r="H456" s="98">
        <v>8.6</v>
      </c>
      <c r="I456" s="97">
        <v>982</v>
      </c>
      <c r="J456" s="99">
        <v>17.7</v>
      </c>
    </row>
    <row r="457" spans="1:10" ht="16">
      <c r="A457" s="100" t="s">
        <v>684</v>
      </c>
      <c r="B457" s="101" t="s">
        <v>642</v>
      </c>
      <c r="C457" s="102" t="s">
        <v>107</v>
      </c>
      <c r="D457" s="103" t="s">
        <v>92</v>
      </c>
      <c r="E457" s="104">
        <v>15412</v>
      </c>
      <c r="F457" s="104">
        <v>491</v>
      </c>
      <c r="G457" s="104">
        <v>154</v>
      </c>
      <c r="H457" s="105">
        <v>10</v>
      </c>
      <c r="I457" s="104">
        <v>1165</v>
      </c>
      <c r="J457" s="106">
        <v>15.6</v>
      </c>
    </row>
    <row r="458" spans="1:10" ht="16">
      <c r="A458" s="93" t="s">
        <v>191</v>
      </c>
      <c r="B458" s="94" t="s">
        <v>184</v>
      </c>
      <c r="C458" s="95" t="s">
        <v>76</v>
      </c>
      <c r="D458" s="96" t="s">
        <v>80</v>
      </c>
      <c r="E458" s="97">
        <v>15127</v>
      </c>
      <c r="F458" s="97">
        <v>1104</v>
      </c>
      <c r="G458" s="97">
        <v>2723</v>
      </c>
      <c r="H458" s="98">
        <v>19.899999999999999</v>
      </c>
      <c r="I458" s="97">
        <v>11514</v>
      </c>
      <c r="J458" s="99">
        <v>20.5</v>
      </c>
    </row>
    <row r="459" spans="1:10" ht="16">
      <c r="A459" s="100" t="s">
        <v>327</v>
      </c>
      <c r="B459" s="101" t="s">
        <v>322</v>
      </c>
      <c r="C459" s="102" t="s">
        <v>76</v>
      </c>
      <c r="D459" s="103" t="s">
        <v>63</v>
      </c>
      <c r="E459" s="104">
        <v>7215</v>
      </c>
      <c r="F459" s="104">
        <v>501</v>
      </c>
      <c r="G459" s="104">
        <v>1154</v>
      </c>
      <c r="H459" s="105">
        <v>14.7</v>
      </c>
      <c r="I459" s="104">
        <v>1079</v>
      </c>
      <c r="J459" s="106">
        <v>18.399999999999999</v>
      </c>
    </row>
    <row r="460" spans="1:10" ht="16">
      <c r="A460" s="93" t="s">
        <v>357</v>
      </c>
      <c r="B460" s="94" t="s">
        <v>344</v>
      </c>
      <c r="C460" s="95" t="s">
        <v>107</v>
      </c>
      <c r="D460" s="96" t="s">
        <v>60</v>
      </c>
      <c r="E460" s="97">
        <v>84587</v>
      </c>
      <c r="F460" s="97">
        <v>2324</v>
      </c>
      <c r="G460" s="97">
        <v>846</v>
      </c>
      <c r="H460" s="98">
        <v>7.9</v>
      </c>
      <c r="I460" s="97">
        <v>1989</v>
      </c>
      <c r="J460" s="99">
        <v>15</v>
      </c>
    </row>
    <row r="461" spans="1:10" ht="16">
      <c r="A461" s="100" t="s">
        <v>804</v>
      </c>
      <c r="B461" s="101" t="s">
        <v>798</v>
      </c>
      <c r="C461" s="102" t="s">
        <v>107</v>
      </c>
      <c r="D461" s="103" t="s">
        <v>63</v>
      </c>
      <c r="E461" s="104">
        <v>57827</v>
      </c>
      <c r="F461" s="104">
        <v>2891</v>
      </c>
      <c r="G461" s="104">
        <v>4024</v>
      </c>
      <c r="H461" s="105">
        <v>16.3</v>
      </c>
      <c r="I461" s="104">
        <v>11249</v>
      </c>
      <c r="J461" s="106">
        <v>16.600000000000001</v>
      </c>
    </row>
    <row r="462" spans="1:10" ht="16">
      <c r="A462" s="93" t="s">
        <v>1335</v>
      </c>
      <c r="B462" s="94" t="s">
        <v>1288</v>
      </c>
      <c r="C462" s="95" t="s">
        <v>76</v>
      </c>
      <c r="D462" s="96" t="s">
        <v>77</v>
      </c>
      <c r="E462" s="97">
        <v>44789</v>
      </c>
      <c r="F462" s="97">
        <v>2714</v>
      </c>
      <c r="G462" s="97">
        <v>7166</v>
      </c>
      <c r="H462" s="98">
        <v>57.4</v>
      </c>
      <c r="I462" s="97">
        <v>45990</v>
      </c>
      <c r="J462" s="99">
        <v>56.6</v>
      </c>
    </row>
    <row r="463" spans="1:10" ht="16">
      <c r="A463" s="100" t="s">
        <v>1166</v>
      </c>
      <c r="B463" s="101" t="s">
        <v>1142</v>
      </c>
      <c r="C463" s="102" t="s">
        <v>107</v>
      </c>
      <c r="D463" s="103" t="s">
        <v>80</v>
      </c>
      <c r="E463" s="104">
        <v>27455</v>
      </c>
      <c r="F463" s="104">
        <v>869</v>
      </c>
      <c r="G463" s="104">
        <v>1647</v>
      </c>
      <c r="H463" s="105">
        <v>23.2</v>
      </c>
      <c r="I463" s="104">
        <v>7148</v>
      </c>
      <c r="J463" s="106">
        <v>28.7</v>
      </c>
    </row>
    <row r="464" spans="1:10" ht="16">
      <c r="A464" s="93" t="s">
        <v>1221</v>
      </c>
      <c r="B464" s="94" t="s">
        <v>1190</v>
      </c>
      <c r="C464" s="95" t="s">
        <v>76</v>
      </c>
      <c r="D464" s="96" t="s">
        <v>92</v>
      </c>
      <c r="E464" s="97">
        <v>15649</v>
      </c>
      <c r="F464" s="97">
        <v>869</v>
      </c>
      <c r="G464" s="97">
        <v>7042</v>
      </c>
      <c r="H464" s="98">
        <v>17.3</v>
      </c>
      <c r="I464" s="97">
        <v>12864</v>
      </c>
      <c r="J464" s="99">
        <v>19.399999999999999</v>
      </c>
    </row>
    <row r="465" spans="1:10" ht="16">
      <c r="A465" s="100" t="s">
        <v>685</v>
      </c>
      <c r="B465" s="101" t="s">
        <v>642</v>
      </c>
      <c r="C465" s="102" t="s">
        <v>107</v>
      </c>
      <c r="D465" s="103" t="s">
        <v>63</v>
      </c>
      <c r="E465" s="104">
        <v>7118</v>
      </c>
      <c r="F465" s="104">
        <v>749</v>
      </c>
      <c r="G465" s="104">
        <v>214</v>
      </c>
      <c r="H465" s="105">
        <v>11.8</v>
      </c>
      <c r="I465" s="104">
        <v>2444</v>
      </c>
      <c r="J465" s="106">
        <v>20.9</v>
      </c>
    </row>
    <row r="466" spans="1:10" ht="16">
      <c r="A466" s="93" t="s">
        <v>1090</v>
      </c>
      <c r="B466" s="94" t="s">
        <v>1081</v>
      </c>
      <c r="C466" s="95" t="s">
        <v>76</v>
      </c>
      <c r="D466" s="96" t="s">
        <v>63</v>
      </c>
      <c r="E466" s="97">
        <v>18590</v>
      </c>
      <c r="F466" s="97">
        <v>819</v>
      </c>
      <c r="G466" s="97">
        <v>2231</v>
      </c>
      <c r="H466" s="98">
        <v>11.1</v>
      </c>
      <c r="I466" s="97">
        <v>1146</v>
      </c>
      <c r="J466" s="99">
        <v>13.6</v>
      </c>
    </row>
    <row r="467" spans="1:10" ht="16">
      <c r="A467" s="100" t="s">
        <v>358</v>
      </c>
      <c r="B467" s="101" t="s">
        <v>344</v>
      </c>
      <c r="C467" s="102" t="s">
        <v>76</v>
      </c>
      <c r="D467" s="103" t="s">
        <v>59</v>
      </c>
      <c r="E467" s="104">
        <v>59181</v>
      </c>
      <c r="F467" s="104">
        <v>3794</v>
      </c>
      <c r="G467" s="104">
        <v>592</v>
      </c>
      <c r="H467" s="105">
        <v>7.2</v>
      </c>
      <c r="I467" s="104">
        <v>1714</v>
      </c>
      <c r="J467" s="106">
        <v>15.5</v>
      </c>
    </row>
    <row r="468" spans="1:10" ht="16">
      <c r="A468" s="93" t="s">
        <v>930</v>
      </c>
      <c r="B468" s="94" t="s">
        <v>919</v>
      </c>
      <c r="C468" s="95" t="s">
        <v>107</v>
      </c>
      <c r="D468" s="96" t="s">
        <v>92</v>
      </c>
      <c r="E468" s="97">
        <v>19965</v>
      </c>
      <c r="F468" s="97">
        <v>1174</v>
      </c>
      <c r="G468" s="97">
        <v>599</v>
      </c>
      <c r="H468" s="98">
        <v>9.6</v>
      </c>
      <c r="I468" s="97">
        <v>413</v>
      </c>
      <c r="J468" s="99">
        <v>15.1</v>
      </c>
    </row>
    <row r="469" spans="1:10" ht="16">
      <c r="A469" s="100" t="s">
        <v>1336</v>
      </c>
      <c r="B469" s="101" t="s">
        <v>1288</v>
      </c>
      <c r="C469" s="102" t="s">
        <v>76</v>
      </c>
      <c r="D469" s="103" t="s">
        <v>59</v>
      </c>
      <c r="E469" s="104">
        <v>26121</v>
      </c>
      <c r="F469" s="104">
        <v>1375</v>
      </c>
      <c r="G469" s="104">
        <v>784</v>
      </c>
      <c r="H469" s="105">
        <v>15.8</v>
      </c>
      <c r="I469" s="104">
        <v>6911</v>
      </c>
      <c r="J469" s="106">
        <v>21.8</v>
      </c>
    </row>
    <row r="470" spans="1:10" ht="16">
      <c r="A470" s="93" t="s">
        <v>1337</v>
      </c>
      <c r="B470" s="94" t="s">
        <v>1288</v>
      </c>
      <c r="C470" s="95" t="s">
        <v>107</v>
      </c>
      <c r="D470" s="96" t="s">
        <v>59</v>
      </c>
      <c r="E470" s="97">
        <v>8084</v>
      </c>
      <c r="F470" s="97">
        <v>364</v>
      </c>
      <c r="G470" s="97">
        <v>1132</v>
      </c>
      <c r="H470" s="98">
        <v>24.6</v>
      </c>
      <c r="I470" s="97">
        <v>14584</v>
      </c>
      <c r="J470" s="99">
        <v>24.2</v>
      </c>
    </row>
    <row r="471" spans="1:10" ht="16">
      <c r="A471" s="100" t="s">
        <v>813</v>
      </c>
      <c r="B471" s="101" t="s">
        <v>814</v>
      </c>
      <c r="C471" s="102" t="s">
        <v>76</v>
      </c>
      <c r="D471" s="103" t="s">
        <v>61</v>
      </c>
      <c r="E471" s="104">
        <v>81914</v>
      </c>
      <c r="F471" s="104">
        <v>2453</v>
      </c>
      <c r="G471" s="104">
        <v>4096</v>
      </c>
      <c r="H471" s="105">
        <v>9.9</v>
      </c>
      <c r="I471" s="104">
        <v>1665</v>
      </c>
      <c r="J471" s="106">
        <v>28.2</v>
      </c>
    </row>
    <row r="472" spans="1:10" ht="16">
      <c r="A472" s="93" t="s">
        <v>103</v>
      </c>
      <c r="B472" s="94" t="s">
        <v>89</v>
      </c>
      <c r="C472" s="95" t="s">
        <v>76</v>
      </c>
      <c r="D472" s="96" t="s">
        <v>80</v>
      </c>
      <c r="E472" s="97">
        <v>52989</v>
      </c>
      <c r="F472" s="97">
        <v>1563</v>
      </c>
      <c r="G472" s="97">
        <v>20666</v>
      </c>
      <c r="H472" s="98">
        <v>56.6</v>
      </c>
      <c r="I472" s="97">
        <v>47439</v>
      </c>
      <c r="J472" s="99">
        <v>47.3</v>
      </c>
    </row>
    <row r="473" spans="1:10" ht="16">
      <c r="A473" s="100" t="s">
        <v>1338</v>
      </c>
      <c r="B473" s="101" t="s">
        <v>1288</v>
      </c>
      <c r="C473" s="102" t="s">
        <v>107</v>
      </c>
      <c r="D473" s="103" t="s">
        <v>61</v>
      </c>
      <c r="E473" s="104">
        <v>14357</v>
      </c>
      <c r="F473" s="104">
        <v>740</v>
      </c>
      <c r="G473" s="104">
        <v>431</v>
      </c>
      <c r="H473" s="105">
        <v>19.399999999999999</v>
      </c>
      <c r="I473" s="104">
        <v>13063</v>
      </c>
      <c r="J473" s="106">
        <v>18.600000000000001</v>
      </c>
    </row>
    <row r="474" spans="1:10" ht="16">
      <c r="A474" s="93" t="s">
        <v>805</v>
      </c>
      <c r="B474" s="94" t="s">
        <v>798</v>
      </c>
      <c r="C474" s="95" t="s">
        <v>107</v>
      </c>
      <c r="D474" s="96" t="s">
        <v>130</v>
      </c>
      <c r="E474" s="97">
        <v>14343</v>
      </c>
      <c r="F474" s="97">
        <v>885</v>
      </c>
      <c r="G474" s="97">
        <v>1578</v>
      </c>
      <c r="H474" s="98">
        <v>18.2</v>
      </c>
      <c r="I474" s="97">
        <v>7623</v>
      </c>
      <c r="J474" s="99">
        <v>20.5</v>
      </c>
    </row>
    <row r="475" spans="1:10" ht="16">
      <c r="A475" s="100" t="s">
        <v>382</v>
      </c>
      <c r="B475" s="101" t="s">
        <v>377</v>
      </c>
      <c r="C475" s="102" t="s">
        <v>76</v>
      </c>
      <c r="D475" s="103" t="s">
        <v>60</v>
      </c>
      <c r="E475" s="104">
        <v>39405</v>
      </c>
      <c r="F475" s="104">
        <v>2021</v>
      </c>
      <c r="G475" s="104">
        <v>5911</v>
      </c>
      <c r="H475" s="105">
        <v>27.1</v>
      </c>
      <c r="I475" s="104">
        <v>18224</v>
      </c>
      <c r="J475" s="106">
        <v>36.299999999999997</v>
      </c>
    </row>
    <row r="476" spans="1:10" ht="16">
      <c r="A476" s="93" t="s">
        <v>931</v>
      </c>
      <c r="B476" s="94" t="s">
        <v>919</v>
      </c>
      <c r="C476" s="95" t="s">
        <v>107</v>
      </c>
      <c r="D476" s="96" t="s">
        <v>63</v>
      </c>
      <c r="E476" s="97">
        <v>15248</v>
      </c>
      <c r="F476" s="97">
        <v>1303</v>
      </c>
      <c r="G476" s="97">
        <v>1372</v>
      </c>
      <c r="H476" s="98">
        <v>11.7</v>
      </c>
      <c r="I476" s="97">
        <v>353</v>
      </c>
      <c r="J476" s="99">
        <v>24.1</v>
      </c>
    </row>
    <row r="477" spans="1:10" ht="16">
      <c r="A477" s="100" t="s">
        <v>932</v>
      </c>
      <c r="B477" s="101" t="s">
        <v>919</v>
      </c>
      <c r="C477" s="102" t="s">
        <v>107</v>
      </c>
      <c r="D477" s="103" t="s">
        <v>61</v>
      </c>
      <c r="E477" s="104">
        <v>5716</v>
      </c>
      <c r="F477" s="104">
        <v>510</v>
      </c>
      <c r="G477" s="104">
        <v>857</v>
      </c>
      <c r="H477" s="105">
        <v>45.6</v>
      </c>
      <c r="I477" s="104">
        <v>21558</v>
      </c>
      <c r="J477" s="106">
        <v>53.3</v>
      </c>
    </row>
    <row r="478" spans="1:10" ht="16">
      <c r="A478" s="93" t="s">
        <v>933</v>
      </c>
      <c r="B478" s="94" t="s">
        <v>919</v>
      </c>
      <c r="C478" s="95" t="s">
        <v>107</v>
      </c>
      <c r="D478" s="96" t="s">
        <v>63</v>
      </c>
      <c r="E478" s="97">
        <v>11422</v>
      </c>
      <c r="F478" s="97">
        <v>777</v>
      </c>
      <c r="G478" s="97">
        <v>1142</v>
      </c>
      <c r="H478" s="98">
        <v>10.7</v>
      </c>
      <c r="I478" s="97">
        <v>623</v>
      </c>
      <c r="J478" s="99">
        <v>18.7</v>
      </c>
    </row>
    <row r="479" spans="1:10" ht="16">
      <c r="A479" s="100" t="s">
        <v>781</v>
      </c>
      <c r="B479" s="101" t="s">
        <v>782</v>
      </c>
      <c r="C479" s="102" t="s">
        <v>107</v>
      </c>
      <c r="D479" s="103" t="s">
        <v>61</v>
      </c>
      <c r="E479" s="104">
        <v>11080</v>
      </c>
      <c r="F479" s="104">
        <v>833</v>
      </c>
      <c r="G479" s="104">
        <v>997</v>
      </c>
      <c r="H479" s="105">
        <v>9.6</v>
      </c>
      <c r="I479" s="104">
        <v>1095</v>
      </c>
      <c r="J479" s="106">
        <v>16.5</v>
      </c>
    </row>
    <row r="480" spans="1:10" ht="16">
      <c r="A480" s="93" t="s">
        <v>104</v>
      </c>
      <c r="B480" s="94" t="s">
        <v>89</v>
      </c>
      <c r="C480" s="95" t="s">
        <v>76</v>
      </c>
      <c r="D480" s="96" t="s">
        <v>82</v>
      </c>
      <c r="E480" s="97">
        <v>14905</v>
      </c>
      <c r="F480" s="97">
        <v>538</v>
      </c>
      <c r="G480" s="97">
        <v>5515</v>
      </c>
      <c r="H480" s="98">
        <v>24.9</v>
      </c>
      <c r="I480" s="97">
        <v>15430</v>
      </c>
      <c r="J480" s="99">
        <v>18.5</v>
      </c>
    </row>
    <row r="481" spans="1:10" ht="16">
      <c r="A481" s="100" t="s">
        <v>686</v>
      </c>
      <c r="B481" s="101" t="s">
        <v>642</v>
      </c>
      <c r="C481" s="102" t="s">
        <v>107</v>
      </c>
      <c r="D481" s="103" t="s">
        <v>130</v>
      </c>
      <c r="E481" s="104">
        <v>3365</v>
      </c>
      <c r="F481" s="104">
        <v>192</v>
      </c>
      <c r="G481" s="104">
        <v>135</v>
      </c>
      <c r="H481" s="105">
        <v>9.4</v>
      </c>
      <c r="I481" s="104">
        <v>4019</v>
      </c>
      <c r="J481" s="106">
        <v>15.4</v>
      </c>
    </row>
    <row r="482" spans="1:10" ht="16">
      <c r="A482" s="93" t="s">
        <v>687</v>
      </c>
      <c r="B482" s="94" t="s">
        <v>642</v>
      </c>
      <c r="C482" s="95" t="s">
        <v>107</v>
      </c>
      <c r="D482" s="96" t="s">
        <v>61</v>
      </c>
      <c r="E482" s="97">
        <v>2300</v>
      </c>
      <c r="F482" s="97">
        <v>215</v>
      </c>
      <c r="G482" s="97">
        <v>276</v>
      </c>
      <c r="H482" s="98">
        <v>14.6</v>
      </c>
      <c r="I482" s="97">
        <v>1720</v>
      </c>
      <c r="J482" s="99">
        <v>24.7</v>
      </c>
    </row>
    <row r="483" spans="1:10" ht="16">
      <c r="A483" s="100" t="s">
        <v>688</v>
      </c>
      <c r="B483" s="101" t="s">
        <v>642</v>
      </c>
      <c r="C483" s="102" t="s">
        <v>107</v>
      </c>
      <c r="D483" s="103" t="s">
        <v>84</v>
      </c>
      <c r="E483" s="104">
        <v>9163</v>
      </c>
      <c r="F483" s="104">
        <v>1309</v>
      </c>
      <c r="G483" s="104">
        <v>367</v>
      </c>
      <c r="H483" s="105">
        <v>14.4</v>
      </c>
      <c r="I483" s="104">
        <v>3366</v>
      </c>
      <c r="J483" s="106">
        <v>25.9</v>
      </c>
    </row>
    <row r="484" spans="1:10" ht="16">
      <c r="A484" s="93" t="s">
        <v>689</v>
      </c>
      <c r="B484" s="94" t="s">
        <v>642</v>
      </c>
      <c r="C484" s="95" t="s">
        <v>76</v>
      </c>
      <c r="D484" s="96" t="s">
        <v>62</v>
      </c>
      <c r="E484" s="97">
        <v>4444</v>
      </c>
      <c r="F484" s="97">
        <v>585</v>
      </c>
      <c r="G484" s="97">
        <v>89</v>
      </c>
      <c r="H484" s="98">
        <v>14</v>
      </c>
      <c r="I484" s="97">
        <v>3883</v>
      </c>
      <c r="J484" s="99">
        <v>23.2</v>
      </c>
    </row>
    <row r="485" spans="1:10" ht="16">
      <c r="A485" s="100" t="s">
        <v>690</v>
      </c>
      <c r="B485" s="101" t="s">
        <v>642</v>
      </c>
      <c r="C485" s="102" t="s">
        <v>107</v>
      </c>
      <c r="D485" s="103" t="s">
        <v>130</v>
      </c>
      <c r="E485" s="104">
        <v>5661</v>
      </c>
      <c r="F485" s="104">
        <v>349</v>
      </c>
      <c r="G485" s="104">
        <v>226</v>
      </c>
      <c r="H485" s="105">
        <v>19.399999999999999</v>
      </c>
      <c r="I485" s="104">
        <v>2490</v>
      </c>
      <c r="J485" s="106">
        <v>18.8</v>
      </c>
    </row>
    <row r="486" spans="1:10" ht="16">
      <c r="A486" s="93" t="s">
        <v>691</v>
      </c>
      <c r="B486" s="94" t="s">
        <v>642</v>
      </c>
      <c r="C486" s="95" t="s">
        <v>107</v>
      </c>
      <c r="D486" s="96" t="s">
        <v>59</v>
      </c>
      <c r="E486" s="97">
        <v>15676</v>
      </c>
      <c r="F486" s="97">
        <v>1704</v>
      </c>
      <c r="G486" s="97">
        <v>1724</v>
      </c>
      <c r="H486" s="98">
        <v>47.8</v>
      </c>
      <c r="I486" s="97">
        <v>20768</v>
      </c>
      <c r="J486" s="99">
        <v>47.8</v>
      </c>
    </row>
    <row r="487" spans="1:10" ht="16">
      <c r="A487" s="100" t="s">
        <v>252</v>
      </c>
      <c r="B487" s="101" t="s">
        <v>223</v>
      </c>
      <c r="C487" s="102" t="s">
        <v>76</v>
      </c>
      <c r="D487" s="103" t="s">
        <v>92</v>
      </c>
      <c r="E487" s="104">
        <v>25963</v>
      </c>
      <c r="F487" s="104">
        <v>1633</v>
      </c>
      <c r="G487" s="104">
        <v>779</v>
      </c>
      <c r="H487" s="105">
        <v>17.2</v>
      </c>
      <c r="I487" s="104">
        <v>7439</v>
      </c>
      <c r="J487" s="106">
        <v>23.4</v>
      </c>
    </row>
    <row r="488" spans="1:10" ht="16">
      <c r="A488" s="93" t="s">
        <v>253</v>
      </c>
      <c r="B488" s="94" t="s">
        <v>223</v>
      </c>
      <c r="C488" s="95" t="s">
        <v>107</v>
      </c>
      <c r="D488" s="96" t="s">
        <v>62</v>
      </c>
      <c r="E488" s="97">
        <v>15420</v>
      </c>
      <c r="F488" s="97">
        <v>1713</v>
      </c>
      <c r="G488" s="97">
        <v>771</v>
      </c>
      <c r="H488" s="98">
        <v>25.9</v>
      </c>
      <c r="I488" s="97">
        <v>9348</v>
      </c>
      <c r="J488" s="99">
        <v>38.200000000000003</v>
      </c>
    </row>
    <row r="489" spans="1:10" ht="16">
      <c r="A489" s="100" t="s">
        <v>254</v>
      </c>
      <c r="B489" s="101" t="s">
        <v>223</v>
      </c>
      <c r="C489" s="102" t="s">
        <v>76</v>
      </c>
      <c r="D489" s="103" t="s">
        <v>130</v>
      </c>
      <c r="E489" s="104">
        <v>27490</v>
      </c>
      <c r="F489" s="104">
        <v>2083</v>
      </c>
      <c r="G489" s="104">
        <v>825</v>
      </c>
      <c r="H489" s="105">
        <v>12.1</v>
      </c>
      <c r="I489" s="104">
        <v>6610</v>
      </c>
      <c r="J489" s="106">
        <v>20.2</v>
      </c>
    </row>
    <row r="490" spans="1:10" ht="16">
      <c r="A490" s="93" t="s">
        <v>255</v>
      </c>
      <c r="B490" s="94" t="s">
        <v>223</v>
      </c>
      <c r="C490" s="95" t="s">
        <v>76</v>
      </c>
      <c r="D490" s="96" t="s">
        <v>61</v>
      </c>
      <c r="E490" s="97">
        <v>33175</v>
      </c>
      <c r="F490" s="97">
        <v>2387</v>
      </c>
      <c r="G490" s="97">
        <v>664</v>
      </c>
      <c r="H490" s="98">
        <v>12.1</v>
      </c>
      <c r="I490" s="97">
        <v>6454</v>
      </c>
      <c r="J490" s="99">
        <v>17.7</v>
      </c>
    </row>
    <row r="491" spans="1:10" ht="16">
      <c r="A491" s="100" t="s">
        <v>256</v>
      </c>
      <c r="B491" s="101" t="s">
        <v>223</v>
      </c>
      <c r="C491" s="102" t="s">
        <v>107</v>
      </c>
      <c r="D491" s="103" t="s">
        <v>77</v>
      </c>
      <c r="E491" s="104">
        <v>34569</v>
      </c>
      <c r="F491" s="104">
        <v>2230</v>
      </c>
      <c r="G491" s="104">
        <v>3457</v>
      </c>
      <c r="H491" s="105">
        <v>48</v>
      </c>
      <c r="I491" s="104">
        <v>34482</v>
      </c>
      <c r="J491" s="106">
        <v>50.7</v>
      </c>
    </row>
    <row r="492" spans="1:10" ht="16">
      <c r="A492" s="93" t="s">
        <v>257</v>
      </c>
      <c r="B492" s="94" t="s">
        <v>223</v>
      </c>
      <c r="C492" s="95" t="s">
        <v>107</v>
      </c>
      <c r="D492" s="96" t="s">
        <v>77</v>
      </c>
      <c r="E492" s="97">
        <v>29542</v>
      </c>
      <c r="F492" s="97">
        <v>1780</v>
      </c>
      <c r="G492" s="97">
        <v>886</v>
      </c>
      <c r="H492" s="98">
        <v>21.1</v>
      </c>
      <c r="I492" s="97">
        <v>4195</v>
      </c>
      <c r="J492" s="99">
        <v>20.8</v>
      </c>
    </row>
    <row r="493" spans="1:10" ht="16">
      <c r="A493" s="100" t="s">
        <v>258</v>
      </c>
      <c r="B493" s="101" t="s">
        <v>223</v>
      </c>
      <c r="C493" s="102" t="s">
        <v>107</v>
      </c>
      <c r="D493" s="103" t="s">
        <v>80</v>
      </c>
      <c r="E493" s="104">
        <v>21857</v>
      </c>
      <c r="F493" s="104">
        <v>1410</v>
      </c>
      <c r="G493" s="104">
        <v>656</v>
      </c>
      <c r="H493" s="105">
        <v>14.9</v>
      </c>
      <c r="I493" s="104">
        <v>10478</v>
      </c>
      <c r="J493" s="106">
        <v>16.7</v>
      </c>
    </row>
    <row r="494" spans="1:10" ht="16">
      <c r="A494" s="93" t="s">
        <v>259</v>
      </c>
      <c r="B494" s="94" t="s">
        <v>223</v>
      </c>
      <c r="C494" s="95" t="s">
        <v>76</v>
      </c>
      <c r="D494" s="96" t="s">
        <v>92</v>
      </c>
      <c r="E494" s="97">
        <v>28061</v>
      </c>
      <c r="F494" s="97">
        <v>2110</v>
      </c>
      <c r="G494" s="97">
        <v>1964</v>
      </c>
      <c r="H494" s="98">
        <v>21.8</v>
      </c>
      <c r="I494" s="97">
        <v>16526</v>
      </c>
      <c r="J494" s="99">
        <v>35.700000000000003</v>
      </c>
    </row>
    <row r="495" spans="1:10" ht="16">
      <c r="A495" s="100" t="s">
        <v>966</v>
      </c>
      <c r="B495" s="101" t="s">
        <v>967</v>
      </c>
      <c r="C495" s="102" t="s">
        <v>107</v>
      </c>
      <c r="D495" s="103" t="s">
        <v>63</v>
      </c>
      <c r="E495" s="104">
        <v>25088</v>
      </c>
      <c r="F495" s="104">
        <v>1578</v>
      </c>
      <c r="G495" s="104">
        <v>6774</v>
      </c>
      <c r="H495" s="105">
        <v>70.400000000000006</v>
      </c>
      <c r="I495" s="104">
        <v>59780</v>
      </c>
      <c r="J495" s="106">
        <v>57.6</v>
      </c>
    </row>
    <row r="496" spans="1:10" ht="16">
      <c r="A496" s="93" t="s">
        <v>692</v>
      </c>
      <c r="B496" s="94" t="s">
        <v>642</v>
      </c>
      <c r="C496" s="95" t="s">
        <v>107</v>
      </c>
      <c r="D496" s="96" t="s">
        <v>92</v>
      </c>
      <c r="E496" s="97">
        <v>1240</v>
      </c>
      <c r="F496" s="97">
        <v>376</v>
      </c>
      <c r="G496" s="97">
        <v>12</v>
      </c>
      <c r="H496" s="98">
        <v>11</v>
      </c>
      <c r="I496" s="97">
        <v>2348</v>
      </c>
      <c r="J496" s="99">
        <v>24.8</v>
      </c>
    </row>
    <row r="497" spans="1:10" ht="16">
      <c r="A497" s="100" t="s">
        <v>1128</v>
      </c>
      <c r="B497" s="101" t="s">
        <v>1120</v>
      </c>
      <c r="C497" s="102" t="s">
        <v>76</v>
      </c>
      <c r="D497" s="103" t="s">
        <v>63</v>
      </c>
      <c r="E497" s="104">
        <v>22863</v>
      </c>
      <c r="F497" s="104">
        <v>1466</v>
      </c>
      <c r="G497" s="104">
        <v>229</v>
      </c>
      <c r="H497" s="105">
        <v>7.8</v>
      </c>
      <c r="I497" s="104">
        <v>987</v>
      </c>
      <c r="J497" s="106">
        <v>16.7</v>
      </c>
    </row>
    <row r="498" spans="1:10" ht="16">
      <c r="A498" s="93" t="s">
        <v>451</v>
      </c>
      <c r="B498" s="94" t="s">
        <v>448</v>
      </c>
      <c r="C498" s="95" t="s">
        <v>76</v>
      </c>
      <c r="D498" s="96" t="s">
        <v>130</v>
      </c>
      <c r="E498" s="97">
        <v>57697</v>
      </c>
      <c r="F498" s="97">
        <v>2032</v>
      </c>
      <c r="G498" s="97">
        <v>5770</v>
      </c>
      <c r="H498" s="98">
        <v>15</v>
      </c>
      <c r="I498" s="97">
        <v>10958</v>
      </c>
      <c r="J498" s="99">
        <v>21.8</v>
      </c>
    </row>
    <row r="499" spans="1:10" ht="16">
      <c r="A499" s="100" t="s">
        <v>806</v>
      </c>
      <c r="B499" s="101" t="s">
        <v>798</v>
      </c>
      <c r="C499" s="102" t="s">
        <v>76</v>
      </c>
      <c r="D499" s="103" t="s">
        <v>84</v>
      </c>
      <c r="E499" s="104">
        <v>161718</v>
      </c>
      <c r="F499" s="104">
        <v>9457</v>
      </c>
      <c r="G499" s="104">
        <v>12937</v>
      </c>
      <c r="H499" s="105">
        <v>30.4</v>
      </c>
      <c r="I499" s="104">
        <v>5753</v>
      </c>
      <c r="J499" s="106">
        <v>31.9</v>
      </c>
    </row>
    <row r="500" spans="1:10" ht="16">
      <c r="A500" s="93" t="s">
        <v>1091</v>
      </c>
      <c r="B500" s="94" t="s">
        <v>1081</v>
      </c>
      <c r="C500" s="95" t="s">
        <v>107</v>
      </c>
      <c r="D500" s="96" t="s">
        <v>63</v>
      </c>
      <c r="E500" s="97">
        <v>10838</v>
      </c>
      <c r="F500" s="97">
        <v>1153</v>
      </c>
      <c r="G500" s="97">
        <v>1084</v>
      </c>
      <c r="H500" s="98">
        <v>22.6</v>
      </c>
      <c r="I500" s="97">
        <v>5014</v>
      </c>
      <c r="J500" s="99">
        <v>25</v>
      </c>
    </row>
    <row r="501" spans="1:10" ht="16">
      <c r="A501" s="100" t="s">
        <v>1092</v>
      </c>
      <c r="B501" s="101" t="s">
        <v>1081</v>
      </c>
      <c r="C501" s="102" t="s">
        <v>76</v>
      </c>
      <c r="D501" s="103" t="s">
        <v>59</v>
      </c>
      <c r="E501" s="104">
        <v>8180</v>
      </c>
      <c r="F501" s="104">
        <v>375</v>
      </c>
      <c r="G501" s="104">
        <v>654</v>
      </c>
      <c r="H501" s="105">
        <v>18.600000000000001</v>
      </c>
      <c r="I501" s="104">
        <v>2253</v>
      </c>
      <c r="J501" s="106">
        <v>20.3</v>
      </c>
    </row>
    <row r="502" spans="1:10" ht="16">
      <c r="A502" s="93" t="s">
        <v>1093</v>
      </c>
      <c r="B502" s="94" t="s">
        <v>1081</v>
      </c>
      <c r="C502" s="95" t="s">
        <v>107</v>
      </c>
      <c r="D502" s="96" t="s">
        <v>84</v>
      </c>
      <c r="E502" s="97">
        <v>20663</v>
      </c>
      <c r="F502" s="97">
        <v>1508</v>
      </c>
      <c r="G502" s="97">
        <v>2686</v>
      </c>
      <c r="H502" s="98">
        <v>41.1</v>
      </c>
      <c r="I502" s="97">
        <v>9423</v>
      </c>
      <c r="J502" s="99">
        <v>32.799999999999997</v>
      </c>
    </row>
    <row r="503" spans="1:10" ht="16">
      <c r="A503" s="100" t="s">
        <v>1094</v>
      </c>
      <c r="B503" s="101" t="s">
        <v>1081</v>
      </c>
      <c r="C503" s="102" t="s">
        <v>76</v>
      </c>
      <c r="D503" s="103" t="s">
        <v>92</v>
      </c>
      <c r="E503" s="104">
        <v>13558</v>
      </c>
      <c r="F503" s="104">
        <v>869</v>
      </c>
      <c r="G503" s="104">
        <v>2169</v>
      </c>
      <c r="H503" s="105">
        <v>29.3</v>
      </c>
      <c r="I503" s="104">
        <v>3877</v>
      </c>
      <c r="J503" s="106">
        <v>23.4</v>
      </c>
    </row>
    <row r="504" spans="1:10" ht="16">
      <c r="A504" s="93" t="s">
        <v>1095</v>
      </c>
      <c r="B504" s="94" t="s">
        <v>1081</v>
      </c>
      <c r="C504" s="95" t="s">
        <v>107</v>
      </c>
      <c r="D504" s="96" t="s">
        <v>63</v>
      </c>
      <c r="E504" s="97">
        <v>12017</v>
      </c>
      <c r="F504" s="97">
        <v>720</v>
      </c>
      <c r="G504" s="97">
        <v>1442</v>
      </c>
      <c r="H504" s="98">
        <v>43.3</v>
      </c>
      <c r="I504" s="97">
        <v>11107</v>
      </c>
      <c r="J504" s="99">
        <v>35.799999999999997</v>
      </c>
    </row>
    <row r="505" spans="1:10" ht="16">
      <c r="A505" s="100" t="s">
        <v>1096</v>
      </c>
      <c r="B505" s="101" t="s">
        <v>1081</v>
      </c>
      <c r="C505" s="102" t="s">
        <v>107</v>
      </c>
      <c r="D505" s="103" t="s">
        <v>82</v>
      </c>
      <c r="E505" s="104">
        <v>12219</v>
      </c>
      <c r="F505" s="104">
        <v>465</v>
      </c>
      <c r="G505" s="104">
        <v>367</v>
      </c>
      <c r="H505" s="105">
        <v>12.1</v>
      </c>
      <c r="I505" s="104">
        <v>994</v>
      </c>
      <c r="J505" s="106">
        <v>14.8</v>
      </c>
    </row>
    <row r="506" spans="1:10" ht="16">
      <c r="A506" s="93" t="s">
        <v>1097</v>
      </c>
      <c r="B506" s="94" t="s">
        <v>1081</v>
      </c>
      <c r="C506" s="95" t="s">
        <v>107</v>
      </c>
      <c r="D506" s="96" t="s">
        <v>80</v>
      </c>
      <c r="E506" s="97">
        <v>7158</v>
      </c>
      <c r="F506" s="97">
        <v>287</v>
      </c>
      <c r="G506" s="97">
        <v>286</v>
      </c>
      <c r="H506" s="98">
        <v>19.399999999999999</v>
      </c>
      <c r="I506" s="97">
        <v>857</v>
      </c>
      <c r="J506" s="99">
        <v>14</v>
      </c>
    </row>
    <row r="507" spans="1:10" ht="16">
      <c r="A507" s="100" t="s">
        <v>1098</v>
      </c>
      <c r="B507" s="101" t="s">
        <v>1081</v>
      </c>
      <c r="C507" s="102" t="s">
        <v>107</v>
      </c>
      <c r="D507" s="103" t="s">
        <v>92</v>
      </c>
      <c r="E507" s="104">
        <v>10161</v>
      </c>
      <c r="F507" s="104">
        <v>682</v>
      </c>
      <c r="G507" s="104">
        <v>508</v>
      </c>
      <c r="H507" s="105">
        <v>18.3</v>
      </c>
      <c r="I507" s="104">
        <v>2508</v>
      </c>
      <c r="J507" s="106">
        <v>19.100000000000001</v>
      </c>
    </row>
    <row r="508" spans="1:10" ht="16">
      <c r="A508" s="93" t="s">
        <v>1099</v>
      </c>
      <c r="B508" s="94" t="s">
        <v>1081</v>
      </c>
      <c r="C508" s="95" t="s">
        <v>107</v>
      </c>
      <c r="D508" s="96" t="s">
        <v>62</v>
      </c>
      <c r="E508" s="97">
        <v>15077</v>
      </c>
      <c r="F508" s="97">
        <v>1012</v>
      </c>
      <c r="G508" s="97">
        <v>754</v>
      </c>
      <c r="H508" s="98">
        <v>16.5</v>
      </c>
      <c r="I508" s="97">
        <v>3143</v>
      </c>
      <c r="J508" s="99">
        <v>20.8</v>
      </c>
    </row>
    <row r="509" spans="1:10" ht="16">
      <c r="A509" s="100" t="s">
        <v>1100</v>
      </c>
      <c r="B509" s="101" t="s">
        <v>1081</v>
      </c>
      <c r="C509" s="102" t="s">
        <v>76</v>
      </c>
      <c r="D509" s="103" t="s">
        <v>80</v>
      </c>
      <c r="E509" s="104">
        <v>10269</v>
      </c>
      <c r="F509" s="104">
        <v>567</v>
      </c>
      <c r="G509" s="104">
        <v>924</v>
      </c>
      <c r="H509" s="105">
        <v>24.6</v>
      </c>
      <c r="I509" s="104">
        <v>7126</v>
      </c>
      <c r="J509" s="106">
        <v>16.3</v>
      </c>
    </row>
    <row r="510" spans="1:10" ht="16">
      <c r="A510" s="93" t="s">
        <v>383</v>
      </c>
      <c r="B510" s="94" t="s">
        <v>377</v>
      </c>
      <c r="C510" s="95" t="s">
        <v>107</v>
      </c>
      <c r="D510" s="96" t="s">
        <v>84</v>
      </c>
      <c r="E510" s="97">
        <v>6173</v>
      </c>
      <c r="F510" s="97">
        <v>315</v>
      </c>
      <c r="G510" s="97">
        <v>1728</v>
      </c>
      <c r="H510" s="98">
        <v>25.5</v>
      </c>
      <c r="I510" s="97">
        <v>8626</v>
      </c>
      <c r="J510" s="99">
        <v>29.8</v>
      </c>
    </row>
    <row r="511" spans="1:10" ht="16">
      <c r="A511" s="100" t="s">
        <v>511</v>
      </c>
      <c r="B511" s="101" t="s">
        <v>474</v>
      </c>
      <c r="C511" s="102" t="s">
        <v>107</v>
      </c>
      <c r="D511" s="103" t="s">
        <v>63</v>
      </c>
      <c r="E511" s="104">
        <v>5851</v>
      </c>
      <c r="F511" s="104">
        <v>311</v>
      </c>
      <c r="G511" s="104">
        <v>234</v>
      </c>
      <c r="H511" s="105">
        <v>15.1</v>
      </c>
      <c r="I511" s="104">
        <v>6785</v>
      </c>
      <c r="J511" s="106">
        <v>26.4</v>
      </c>
    </row>
    <row r="512" spans="1:10" ht="16">
      <c r="A512" s="93" t="s">
        <v>512</v>
      </c>
      <c r="B512" s="94" t="s">
        <v>474</v>
      </c>
      <c r="C512" s="95" t="s">
        <v>107</v>
      </c>
      <c r="D512" s="96" t="s">
        <v>80</v>
      </c>
      <c r="E512" s="97">
        <v>6081</v>
      </c>
      <c r="F512" s="97">
        <v>318</v>
      </c>
      <c r="G512" s="97">
        <v>486</v>
      </c>
      <c r="H512" s="98">
        <v>17.399999999999999</v>
      </c>
      <c r="I512" s="97">
        <v>5735</v>
      </c>
      <c r="J512" s="99">
        <v>25</v>
      </c>
    </row>
    <row r="513" spans="1:10" ht="16">
      <c r="A513" s="100" t="s">
        <v>807</v>
      </c>
      <c r="B513" s="101" t="s">
        <v>798</v>
      </c>
      <c r="C513" s="102" t="s">
        <v>107</v>
      </c>
      <c r="D513" s="103" t="s">
        <v>63</v>
      </c>
      <c r="E513" s="104">
        <v>177983</v>
      </c>
      <c r="F513" s="104">
        <v>16480</v>
      </c>
      <c r="G513" s="104">
        <v>12385</v>
      </c>
      <c r="H513" s="105">
        <v>9</v>
      </c>
      <c r="I513" s="104">
        <v>971</v>
      </c>
      <c r="J513" s="106">
        <v>17.600000000000001</v>
      </c>
    </row>
    <row r="514" spans="1:10" ht="16">
      <c r="A514" s="93" t="s">
        <v>934</v>
      </c>
      <c r="B514" s="94" t="s">
        <v>919</v>
      </c>
      <c r="C514" s="95" t="s">
        <v>107</v>
      </c>
      <c r="D514" s="96" t="s">
        <v>92</v>
      </c>
      <c r="E514" s="97">
        <v>6489</v>
      </c>
      <c r="F514" s="97">
        <v>601</v>
      </c>
      <c r="G514" s="97">
        <v>1557</v>
      </c>
      <c r="H514" s="98">
        <v>36.1</v>
      </c>
      <c r="I514" s="97">
        <v>12155</v>
      </c>
      <c r="J514" s="99">
        <v>37.5</v>
      </c>
    </row>
    <row r="515" spans="1:10" ht="16">
      <c r="A515" s="100" t="s">
        <v>935</v>
      </c>
      <c r="B515" s="101" t="s">
        <v>919</v>
      </c>
      <c r="C515" s="102" t="s">
        <v>76</v>
      </c>
      <c r="D515" s="103" t="s">
        <v>77</v>
      </c>
      <c r="E515" s="104">
        <v>9847</v>
      </c>
      <c r="F515" s="104">
        <v>1015</v>
      </c>
      <c r="G515" s="104">
        <v>689</v>
      </c>
      <c r="H515" s="105">
        <v>11.7</v>
      </c>
      <c r="I515" s="104">
        <v>3011</v>
      </c>
      <c r="J515" s="106">
        <v>20.7</v>
      </c>
    </row>
    <row r="516" spans="1:10" ht="16">
      <c r="A516" s="93" t="s">
        <v>1101</v>
      </c>
      <c r="B516" s="94" t="s">
        <v>1081</v>
      </c>
      <c r="C516" s="95" t="s">
        <v>107</v>
      </c>
      <c r="D516" s="96" t="s">
        <v>61</v>
      </c>
      <c r="E516" s="97">
        <v>9190</v>
      </c>
      <c r="F516" s="97">
        <v>696</v>
      </c>
      <c r="G516" s="97">
        <v>551</v>
      </c>
      <c r="H516" s="98">
        <v>28</v>
      </c>
      <c r="I516" s="97">
        <v>6139</v>
      </c>
      <c r="J516" s="99">
        <v>24.4</v>
      </c>
    </row>
    <row r="517" spans="1:10" ht="16">
      <c r="A517" s="100" t="s">
        <v>1102</v>
      </c>
      <c r="B517" s="101" t="s">
        <v>1081</v>
      </c>
      <c r="C517" s="102" t="s">
        <v>76</v>
      </c>
      <c r="D517" s="103" t="s">
        <v>84</v>
      </c>
      <c r="E517" s="104">
        <v>8645</v>
      </c>
      <c r="F517" s="104">
        <v>509</v>
      </c>
      <c r="G517" s="104">
        <v>346</v>
      </c>
      <c r="H517" s="105">
        <v>14.9</v>
      </c>
      <c r="I517" s="104">
        <v>3770</v>
      </c>
      <c r="J517" s="106">
        <v>19.5</v>
      </c>
    </row>
    <row r="518" spans="1:10" ht="16">
      <c r="A518" s="93" t="s">
        <v>1103</v>
      </c>
      <c r="B518" s="94" t="s">
        <v>1081</v>
      </c>
      <c r="C518" s="95" t="s">
        <v>107</v>
      </c>
      <c r="D518" s="96" t="s">
        <v>82</v>
      </c>
      <c r="E518" s="97">
        <v>9994</v>
      </c>
      <c r="F518" s="97">
        <v>629</v>
      </c>
      <c r="G518" s="97">
        <v>800</v>
      </c>
      <c r="H518" s="98">
        <v>20.2</v>
      </c>
      <c r="I518" s="97">
        <v>4545</v>
      </c>
      <c r="J518" s="99">
        <v>21.8</v>
      </c>
    </row>
    <row r="519" spans="1:10" ht="16">
      <c r="A519" s="100" t="s">
        <v>1104</v>
      </c>
      <c r="B519" s="101" t="s">
        <v>1081</v>
      </c>
      <c r="C519" s="102" t="s">
        <v>107</v>
      </c>
      <c r="D519" s="103" t="s">
        <v>130</v>
      </c>
      <c r="E519" s="104">
        <v>10789</v>
      </c>
      <c r="F519" s="104">
        <v>892</v>
      </c>
      <c r="G519" s="104">
        <v>2589</v>
      </c>
      <c r="H519" s="105">
        <v>37.299999999999997</v>
      </c>
      <c r="I519" s="104">
        <v>8513</v>
      </c>
      <c r="J519" s="106">
        <v>32</v>
      </c>
    </row>
    <row r="520" spans="1:10" ht="16">
      <c r="A520" s="93" t="s">
        <v>1105</v>
      </c>
      <c r="B520" s="94" t="s">
        <v>1081</v>
      </c>
      <c r="C520" s="95" t="s">
        <v>107</v>
      </c>
      <c r="D520" s="96" t="s">
        <v>84</v>
      </c>
      <c r="E520" s="97">
        <v>8652</v>
      </c>
      <c r="F520" s="97">
        <v>401</v>
      </c>
      <c r="G520" s="97">
        <v>779</v>
      </c>
      <c r="H520" s="98">
        <v>21.5</v>
      </c>
      <c r="I520" s="97">
        <v>3684</v>
      </c>
      <c r="J520" s="99">
        <v>18.5</v>
      </c>
    </row>
    <row r="521" spans="1:10" ht="16">
      <c r="A521" s="100" t="s">
        <v>1106</v>
      </c>
      <c r="B521" s="101" t="s">
        <v>1081</v>
      </c>
      <c r="C521" s="102" t="s">
        <v>107</v>
      </c>
      <c r="D521" s="103" t="s">
        <v>61</v>
      </c>
      <c r="E521" s="104">
        <v>27254</v>
      </c>
      <c r="F521" s="104">
        <v>2455</v>
      </c>
      <c r="G521" s="104">
        <v>2998</v>
      </c>
      <c r="H521" s="105">
        <v>62.7</v>
      </c>
      <c r="I521" s="104">
        <v>40179</v>
      </c>
      <c r="J521" s="106">
        <v>57</v>
      </c>
    </row>
    <row r="522" spans="1:10" ht="16">
      <c r="A522" s="93" t="s">
        <v>1107</v>
      </c>
      <c r="B522" s="94" t="s">
        <v>1081</v>
      </c>
      <c r="C522" s="95" t="s">
        <v>107</v>
      </c>
      <c r="D522" s="96" t="s">
        <v>60</v>
      </c>
      <c r="E522" s="97">
        <v>8340</v>
      </c>
      <c r="F522" s="97">
        <v>428</v>
      </c>
      <c r="G522" s="97">
        <v>1251</v>
      </c>
      <c r="H522" s="98">
        <v>41.8</v>
      </c>
      <c r="I522" s="97">
        <v>16516</v>
      </c>
      <c r="J522" s="99">
        <v>29.7</v>
      </c>
    </row>
    <row r="523" spans="1:10" ht="16">
      <c r="A523" s="100" t="s">
        <v>1180</v>
      </c>
      <c r="B523" s="101" t="s">
        <v>1178</v>
      </c>
      <c r="C523" s="102" t="s">
        <v>107</v>
      </c>
      <c r="D523" s="103" t="s">
        <v>59</v>
      </c>
      <c r="E523" s="104">
        <v>13411</v>
      </c>
      <c r="F523" s="104">
        <v>1597</v>
      </c>
      <c r="G523" s="104">
        <v>1207</v>
      </c>
      <c r="H523" s="105">
        <v>7.8</v>
      </c>
      <c r="I523" s="104">
        <v>422</v>
      </c>
      <c r="J523" s="106">
        <v>19.600000000000001</v>
      </c>
    </row>
    <row r="524" spans="1:10" ht="16">
      <c r="A524" s="93" t="s">
        <v>452</v>
      </c>
      <c r="B524" s="94" t="s">
        <v>448</v>
      </c>
      <c r="C524" s="95" t="s">
        <v>107</v>
      </c>
      <c r="D524" s="96" t="s">
        <v>77</v>
      </c>
      <c r="E524" s="97">
        <v>14133</v>
      </c>
      <c r="F524" s="97">
        <v>686</v>
      </c>
      <c r="G524" s="97">
        <v>1131</v>
      </c>
      <c r="H524" s="98">
        <v>12.8</v>
      </c>
      <c r="I524" s="97">
        <v>5783</v>
      </c>
      <c r="J524" s="99">
        <v>23</v>
      </c>
    </row>
    <row r="525" spans="1:10" ht="16">
      <c r="A525" s="100" t="s">
        <v>1108</v>
      </c>
      <c r="B525" s="101" t="s">
        <v>1081</v>
      </c>
      <c r="C525" s="102" t="s">
        <v>107</v>
      </c>
      <c r="D525" s="103" t="s">
        <v>84</v>
      </c>
      <c r="E525" s="104">
        <v>14853</v>
      </c>
      <c r="F525" s="104">
        <v>825</v>
      </c>
      <c r="G525" s="104">
        <v>1485</v>
      </c>
      <c r="H525" s="105">
        <v>46.2</v>
      </c>
      <c r="I525" s="104">
        <v>23184</v>
      </c>
      <c r="J525" s="106">
        <v>35.4</v>
      </c>
    </row>
    <row r="526" spans="1:10" ht="16">
      <c r="A526" s="93" t="s">
        <v>306</v>
      </c>
      <c r="B526" s="94" t="s">
        <v>304</v>
      </c>
      <c r="C526" s="95" t="s">
        <v>107</v>
      </c>
      <c r="D526" s="96" t="s">
        <v>59</v>
      </c>
      <c r="E526" s="97">
        <v>52085</v>
      </c>
      <c r="F526" s="97">
        <v>2325</v>
      </c>
      <c r="G526" s="97">
        <v>521</v>
      </c>
      <c r="H526" s="98">
        <v>14.5</v>
      </c>
      <c r="I526" s="97">
        <v>3788</v>
      </c>
      <c r="J526" s="99">
        <v>19</v>
      </c>
    </row>
    <row r="527" spans="1:10" ht="16">
      <c r="A527" s="100" t="s">
        <v>85</v>
      </c>
      <c r="B527" s="101" t="s">
        <v>86</v>
      </c>
      <c r="C527" s="102" t="s">
        <v>76</v>
      </c>
      <c r="D527" s="103" t="s">
        <v>77</v>
      </c>
      <c r="E527" s="104">
        <v>46096</v>
      </c>
      <c r="F527" s="104">
        <v>4802</v>
      </c>
      <c r="G527" s="104">
        <v>922</v>
      </c>
      <c r="H527" s="105">
        <v>7.1</v>
      </c>
      <c r="I527" s="104">
        <v>1830</v>
      </c>
      <c r="J527" s="106">
        <v>18</v>
      </c>
    </row>
    <row r="528" spans="1:10" ht="16">
      <c r="A528" s="93" t="s">
        <v>583</v>
      </c>
      <c r="B528" s="94" t="s">
        <v>581</v>
      </c>
      <c r="C528" s="95" t="s">
        <v>76</v>
      </c>
      <c r="D528" s="96" t="s">
        <v>130</v>
      </c>
      <c r="E528" s="97">
        <v>13911</v>
      </c>
      <c r="F528" s="97">
        <v>523</v>
      </c>
      <c r="G528" s="97">
        <v>2365</v>
      </c>
      <c r="H528" s="98">
        <v>29.9</v>
      </c>
      <c r="I528" s="97">
        <v>22878</v>
      </c>
      <c r="J528" s="99">
        <v>27.1</v>
      </c>
    </row>
    <row r="529" spans="1:10" ht="16">
      <c r="A529" s="100" t="s">
        <v>1109</v>
      </c>
      <c r="B529" s="101" t="s">
        <v>1081</v>
      </c>
      <c r="C529" s="102" t="s">
        <v>107</v>
      </c>
      <c r="D529" s="103" t="s">
        <v>59</v>
      </c>
      <c r="E529" s="104">
        <v>5550</v>
      </c>
      <c r="F529" s="104">
        <v>238</v>
      </c>
      <c r="G529" s="104">
        <v>222</v>
      </c>
      <c r="H529" s="105">
        <v>16.100000000000001</v>
      </c>
      <c r="I529" s="104">
        <v>985</v>
      </c>
      <c r="J529" s="106">
        <v>13.6</v>
      </c>
    </row>
    <row r="530" spans="1:10" ht="16">
      <c r="A530" s="93" t="s">
        <v>936</v>
      </c>
      <c r="B530" s="94" t="s">
        <v>919</v>
      </c>
      <c r="C530" s="95" t="s">
        <v>107</v>
      </c>
      <c r="D530" s="96" t="s">
        <v>61</v>
      </c>
      <c r="E530" s="97">
        <v>7090</v>
      </c>
      <c r="F530" s="97">
        <v>627</v>
      </c>
      <c r="G530" s="97">
        <v>1843</v>
      </c>
      <c r="H530" s="98">
        <v>23.7</v>
      </c>
      <c r="I530" s="97">
        <v>6899</v>
      </c>
      <c r="J530" s="99">
        <v>24.3</v>
      </c>
    </row>
    <row r="531" spans="1:10" ht="16">
      <c r="A531" s="100" t="s">
        <v>863</v>
      </c>
      <c r="B531" s="101" t="s">
        <v>858</v>
      </c>
      <c r="C531" s="102" t="s">
        <v>107</v>
      </c>
      <c r="D531" s="103" t="s">
        <v>61</v>
      </c>
      <c r="E531" s="104">
        <v>10645</v>
      </c>
      <c r="F531" s="104">
        <v>1314</v>
      </c>
      <c r="G531" s="104">
        <v>319</v>
      </c>
      <c r="H531" s="105">
        <v>11.7</v>
      </c>
      <c r="I531" s="104">
        <v>4120</v>
      </c>
      <c r="J531" s="106">
        <v>21.1</v>
      </c>
    </row>
    <row r="532" spans="1:10" ht="16">
      <c r="A532" s="93" t="s">
        <v>968</v>
      </c>
      <c r="B532" s="94" t="s">
        <v>967</v>
      </c>
      <c r="C532" s="95" t="s">
        <v>76</v>
      </c>
      <c r="D532" s="96" t="s">
        <v>77</v>
      </c>
      <c r="E532" s="97">
        <v>30869</v>
      </c>
      <c r="F532" s="97">
        <v>1725</v>
      </c>
      <c r="G532" s="97">
        <v>8643</v>
      </c>
      <c r="H532" s="98">
        <v>90.4</v>
      </c>
      <c r="I532" s="97">
        <v>69580</v>
      </c>
      <c r="J532" s="99">
        <v>76.8</v>
      </c>
    </row>
    <row r="533" spans="1:10" ht="16">
      <c r="A533" s="100" t="s">
        <v>87</v>
      </c>
      <c r="B533" s="101" t="s">
        <v>86</v>
      </c>
      <c r="C533" s="102" t="s">
        <v>76</v>
      </c>
      <c r="D533" s="103" t="s">
        <v>59</v>
      </c>
      <c r="E533" s="104">
        <v>20987</v>
      </c>
      <c r="F533" s="104">
        <v>1312</v>
      </c>
      <c r="G533" s="104">
        <v>2099</v>
      </c>
      <c r="H533" s="105">
        <v>7.4</v>
      </c>
      <c r="I533" s="104">
        <v>574</v>
      </c>
      <c r="J533" s="106">
        <v>16.399999999999999</v>
      </c>
    </row>
    <row r="534" spans="1:10" ht="16">
      <c r="A534" s="93" t="s">
        <v>1110</v>
      </c>
      <c r="B534" s="94" t="s">
        <v>1081</v>
      </c>
      <c r="C534" s="95" t="s">
        <v>107</v>
      </c>
      <c r="D534" s="96" t="s">
        <v>77</v>
      </c>
      <c r="E534" s="97">
        <v>4258</v>
      </c>
      <c r="F534" s="97">
        <v>835</v>
      </c>
      <c r="G534" s="97">
        <v>85</v>
      </c>
      <c r="H534" s="98">
        <v>18.8</v>
      </c>
      <c r="I534" s="97">
        <v>11328</v>
      </c>
      <c r="J534" s="99">
        <v>38.700000000000003</v>
      </c>
    </row>
    <row r="535" spans="1:10" ht="16">
      <c r="A535" s="100" t="s">
        <v>1111</v>
      </c>
      <c r="B535" s="101" t="s">
        <v>1081</v>
      </c>
      <c r="C535" s="102" t="s">
        <v>107</v>
      </c>
      <c r="D535" s="103" t="s">
        <v>130</v>
      </c>
      <c r="E535" s="104">
        <v>9215</v>
      </c>
      <c r="F535" s="104">
        <v>370</v>
      </c>
      <c r="G535" s="104">
        <v>369</v>
      </c>
      <c r="H535" s="105">
        <v>26.4</v>
      </c>
      <c r="I535" s="104">
        <v>1928</v>
      </c>
      <c r="J535" s="106">
        <v>17.2</v>
      </c>
    </row>
    <row r="536" spans="1:10" ht="16">
      <c r="A536" s="93" t="s">
        <v>1339</v>
      </c>
      <c r="B536" s="94" t="s">
        <v>1288</v>
      </c>
      <c r="C536" s="95" t="s">
        <v>107</v>
      </c>
      <c r="D536" s="96" t="s">
        <v>92</v>
      </c>
      <c r="E536" s="97">
        <v>9279</v>
      </c>
      <c r="F536" s="97">
        <v>615</v>
      </c>
      <c r="G536" s="97">
        <v>1577</v>
      </c>
      <c r="H536" s="98">
        <v>19.2</v>
      </c>
      <c r="I536" s="97">
        <v>11190</v>
      </c>
      <c r="J536" s="99">
        <v>21.3</v>
      </c>
    </row>
    <row r="537" spans="1:10" ht="16">
      <c r="A537" s="100" t="s">
        <v>1340</v>
      </c>
      <c r="B537" s="101" t="s">
        <v>1288</v>
      </c>
      <c r="C537" s="102" t="s">
        <v>107</v>
      </c>
      <c r="D537" s="103" t="s">
        <v>62</v>
      </c>
      <c r="E537" s="104">
        <v>1809</v>
      </c>
      <c r="F537" s="104">
        <v>160</v>
      </c>
      <c r="G537" s="104">
        <v>145</v>
      </c>
      <c r="H537" s="105">
        <v>14.6</v>
      </c>
      <c r="I537" s="104">
        <v>10371</v>
      </c>
      <c r="J537" s="106">
        <v>22.3</v>
      </c>
    </row>
    <row r="538" spans="1:10" ht="16">
      <c r="A538" s="93" t="s">
        <v>1341</v>
      </c>
      <c r="B538" s="94" t="s">
        <v>1288</v>
      </c>
      <c r="C538" s="95" t="s">
        <v>76</v>
      </c>
      <c r="D538" s="96" t="s">
        <v>77</v>
      </c>
      <c r="E538" s="97">
        <v>12753</v>
      </c>
      <c r="F538" s="97">
        <v>773</v>
      </c>
      <c r="G538" s="97">
        <v>1020</v>
      </c>
      <c r="H538" s="98">
        <v>14.7</v>
      </c>
      <c r="I538" s="97">
        <v>7967</v>
      </c>
      <c r="J538" s="99">
        <v>21.5</v>
      </c>
    </row>
    <row r="539" spans="1:10" ht="16">
      <c r="A539" s="100" t="s">
        <v>1342</v>
      </c>
      <c r="B539" s="101" t="s">
        <v>1288</v>
      </c>
      <c r="C539" s="102" t="s">
        <v>76</v>
      </c>
      <c r="D539" s="103" t="s">
        <v>130</v>
      </c>
      <c r="E539" s="104">
        <v>44466</v>
      </c>
      <c r="F539" s="104">
        <v>4996</v>
      </c>
      <c r="G539" s="104">
        <v>14674</v>
      </c>
      <c r="H539" s="105">
        <v>77.5</v>
      </c>
      <c r="I539" s="104">
        <v>74848</v>
      </c>
      <c r="J539" s="106">
        <v>76.8</v>
      </c>
    </row>
    <row r="540" spans="1:10" ht="16">
      <c r="A540" s="93" t="s">
        <v>1222</v>
      </c>
      <c r="B540" s="94" t="s">
        <v>1190</v>
      </c>
      <c r="C540" s="95" t="s">
        <v>76</v>
      </c>
      <c r="D540" s="96" t="s">
        <v>92</v>
      </c>
      <c r="E540" s="97">
        <v>22691</v>
      </c>
      <c r="F540" s="97">
        <v>1609</v>
      </c>
      <c r="G540" s="97">
        <v>6127</v>
      </c>
      <c r="H540" s="98">
        <v>36.200000000000003</v>
      </c>
      <c r="I540" s="97">
        <v>31016</v>
      </c>
      <c r="J540" s="99">
        <v>31.5</v>
      </c>
    </row>
    <row r="541" spans="1:10" ht="16">
      <c r="A541" s="100" t="s">
        <v>884</v>
      </c>
      <c r="B541" s="101" t="s">
        <v>879</v>
      </c>
      <c r="C541" s="102" t="s">
        <v>76</v>
      </c>
      <c r="D541" s="103" t="s">
        <v>130</v>
      </c>
      <c r="E541" s="104">
        <v>22438</v>
      </c>
      <c r="F541" s="104">
        <v>2021</v>
      </c>
      <c r="G541" s="104">
        <v>449</v>
      </c>
      <c r="H541" s="105">
        <v>10.5</v>
      </c>
      <c r="I541" s="104">
        <v>2354</v>
      </c>
      <c r="J541" s="106">
        <v>18.8</v>
      </c>
    </row>
    <row r="542" spans="1:10" ht="16">
      <c r="A542" s="93" t="s">
        <v>693</v>
      </c>
      <c r="B542" s="94" t="s">
        <v>642</v>
      </c>
      <c r="C542" s="95" t="s">
        <v>107</v>
      </c>
      <c r="D542" s="96" t="s">
        <v>59</v>
      </c>
      <c r="E542" s="97">
        <v>12158</v>
      </c>
      <c r="F542" s="97">
        <v>1539</v>
      </c>
      <c r="G542" s="97">
        <v>243</v>
      </c>
      <c r="H542" s="98">
        <v>13</v>
      </c>
      <c r="I542" s="97">
        <v>5392</v>
      </c>
      <c r="J542" s="99">
        <v>23.9</v>
      </c>
    </row>
    <row r="543" spans="1:10" ht="16">
      <c r="A543" s="100" t="s">
        <v>694</v>
      </c>
      <c r="B543" s="101" t="s">
        <v>642</v>
      </c>
      <c r="C543" s="102" t="s">
        <v>107</v>
      </c>
      <c r="D543" s="103" t="s">
        <v>130</v>
      </c>
      <c r="E543" s="104">
        <v>850</v>
      </c>
      <c r="F543" s="104">
        <v>944</v>
      </c>
      <c r="G543" s="104">
        <v>59</v>
      </c>
      <c r="H543" s="105">
        <v>8.8000000000000007</v>
      </c>
      <c r="I543" s="104">
        <v>4877</v>
      </c>
      <c r="J543" s="106">
        <v>25.7</v>
      </c>
    </row>
    <row r="544" spans="1:10" ht="16">
      <c r="A544" s="93" t="s">
        <v>384</v>
      </c>
      <c r="B544" s="94" t="s">
        <v>377</v>
      </c>
      <c r="C544" s="95" t="s">
        <v>76</v>
      </c>
      <c r="D544" s="96" t="s">
        <v>92</v>
      </c>
      <c r="E544" s="97">
        <v>68013</v>
      </c>
      <c r="F544" s="97">
        <v>3350</v>
      </c>
      <c r="G544" s="97">
        <v>7481</v>
      </c>
      <c r="H544" s="98">
        <v>12.9</v>
      </c>
      <c r="I544" s="97">
        <v>5012</v>
      </c>
      <c r="J544" s="99">
        <v>17.399999999999999</v>
      </c>
    </row>
    <row r="545" spans="1:10" ht="16">
      <c r="A545" s="100" t="s">
        <v>1343</v>
      </c>
      <c r="B545" s="101" t="s">
        <v>1288</v>
      </c>
      <c r="C545" s="102" t="s">
        <v>107</v>
      </c>
      <c r="D545" s="103" t="s">
        <v>130</v>
      </c>
      <c r="E545" s="104">
        <v>30231</v>
      </c>
      <c r="F545" s="104">
        <v>2418</v>
      </c>
      <c r="G545" s="104">
        <v>4535</v>
      </c>
      <c r="H545" s="105">
        <v>35.299999999999997</v>
      </c>
      <c r="I545" s="104">
        <v>22886</v>
      </c>
      <c r="J545" s="106">
        <v>36.700000000000003</v>
      </c>
    </row>
    <row r="546" spans="1:10" ht="16">
      <c r="A546" s="93" t="s">
        <v>260</v>
      </c>
      <c r="B546" s="94" t="s">
        <v>223</v>
      </c>
      <c r="C546" s="95" t="s">
        <v>107</v>
      </c>
      <c r="D546" s="96" t="s">
        <v>84</v>
      </c>
      <c r="E546" s="97">
        <v>30733</v>
      </c>
      <c r="F546" s="97">
        <v>1851</v>
      </c>
      <c r="G546" s="97">
        <v>615</v>
      </c>
      <c r="H546" s="98">
        <v>11.9</v>
      </c>
      <c r="I546" s="97">
        <v>3406</v>
      </c>
      <c r="J546" s="99">
        <v>17.3</v>
      </c>
    </row>
    <row r="547" spans="1:10" ht="16">
      <c r="A547" s="100" t="s">
        <v>976</v>
      </c>
      <c r="B547" s="101" t="s">
        <v>977</v>
      </c>
      <c r="C547" s="102" t="s">
        <v>76</v>
      </c>
      <c r="D547" s="103" t="s">
        <v>59</v>
      </c>
      <c r="E547" s="104">
        <v>36749</v>
      </c>
      <c r="F547" s="104">
        <v>1229</v>
      </c>
      <c r="G547" s="104">
        <v>1470</v>
      </c>
      <c r="H547" s="105">
        <v>17.100000000000001</v>
      </c>
      <c r="I547" s="104">
        <v>12019</v>
      </c>
      <c r="J547" s="106">
        <v>20.100000000000001</v>
      </c>
    </row>
    <row r="548" spans="1:10" ht="16">
      <c r="A548" s="93" t="s">
        <v>261</v>
      </c>
      <c r="B548" s="94" t="s">
        <v>223</v>
      </c>
      <c r="C548" s="95" t="s">
        <v>76</v>
      </c>
      <c r="D548" s="96" t="s">
        <v>80</v>
      </c>
      <c r="E548" s="97">
        <v>25425</v>
      </c>
      <c r="F548" s="97">
        <v>1730</v>
      </c>
      <c r="G548" s="97">
        <v>509</v>
      </c>
      <c r="H548" s="98">
        <v>10.3</v>
      </c>
      <c r="I548" s="97">
        <v>5018</v>
      </c>
      <c r="J548" s="99">
        <v>24.3</v>
      </c>
    </row>
    <row r="549" spans="1:10" ht="16">
      <c r="A549" s="100" t="s">
        <v>262</v>
      </c>
      <c r="B549" s="101" t="s">
        <v>223</v>
      </c>
      <c r="C549" s="102" t="s">
        <v>76</v>
      </c>
      <c r="D549" s="103" t="s">
        <v>82</v>
      </c>
      <c r="E549" s="104">
        <v>36015</v>
      </c>
      <c r="F549" s="104">
        <v>2484</v>
      </c>
      <c r="G549" s="104">
        <v>1441</v>
      </c>
      <c r="H549" s="105">
        <v>22.1</v>
      </c>
      <c r="I549" s="104">
        <v>4275</v>
      </c>
      <c r="J549" s="106">
        <v>24.8</v>
      </c>
    </row>
    <row r="550" spans="1:10" ht="16">
      <c r="A550" s="93" t="s">
        <v>262</v>
      </c>
      <c r="B550" s="94" t="s">
        <v>1288</v>
      </c>
      <c r="C550" s="95" t="s">
        <v>107</v>
      </c>
      <c r="D550" s="96" t="s">
        <v>80</v>
      </c>
      <c r="E550" s="97">
        <v>19575</v>
      </c>
      <c r="F550" s="97">
        <v>1408</v>
      </c>
      <c r="G550" s="97">
        <v>6851</v>
      </c>
      <c r="H550" s="98">
        <v>27.9</v>
      </c>
      <c r="I550" s="97">
        <v>27246</v>
      </c>
      <c r="J550" s="99">
        <v>38</v>
      </c>
    </row>
    <row r="551" spans="1:10" ht="16">
      <c r="A551" s="100" t="s">
        <v>1344</v>
      </c>
      <c r="B551" s="101" t="s">
        <v>1288</v>
      </c>
      <c r="C551" s="102" t="s">
        <v>76</v>
      </c>
      <c r="D551" s="103" t="s">
        <v>80</v>
      </c>
      <c r="E551" s="104">
        <v>29684</v>
      </c>
      <c r="F551" s="104">
        <v>1056</v>
      </c>
      <c r="G551" s="104">
        <v>1484</v>
      </c>
      <c r="H551" s="105">
        <v>14.7</v>
      </c>
      <c r="I551" s="104">
        <v>12118</v>
      </c>
      <c r="J551" s="106">
        <v>20.2</v>
      </c>
    </row>
    <row r="552" spans="1:10" ht="16">
      <c r="A552" s="93" t="s">
        <v>1223</v>
      </c>
      <c r="B552" s="94" t="s">
        <v>1190</v>
      </c>
      <c r="C552" s="95" t="s">
        <v>76</v>
      </c>
      <c r="D552" s="96" t="s">
        <v>77</v>
      </c>
      <c r="E552" s="97">
        <v>21811</v>
      </c>
      <c r="F552" s="97">
        <v>1246</v>
      </c>
      <c r="G552" s="97">
        <v>3708</v>
      </c>
      <c r="H552" s="98">
        <v>18.100000000000001</v>
      </c>
      <c r="I552" s="97">
        <v>15508</v>
      </c>
      <c r="J552" s="99">
        <v>19.399999999999999</v>
      </c>
    </row>
    <row r="553" spans="1:10" ht="16">
      <c r="A553" s="100" t="s">
        <v>263</v>
      </c>
      <c r="B553" s="101" t="s">
        <v>223</v>
      </c>
      <c r="C553" s="102" t="s">
        <v>76</v>
      </c>
      <c r="D553" s="103" t="s">
        <v>61</v>
      </c>
      <c r="E553" s="104">
        <v>29327</v>
      </c>
      <c r="F553" s="104">
        <v>1917</v>
      </c>
      <c r="G553" s="104">
        <v>293</v>
      </c>
      <c r="H553" s="105">
        <v>13.1</v>
      </c>
      <c r="I553" s="104">
        <v>4959</v>
      </c>
      <c r="J553" s="106">
        <v>20.100000000000001</v>
      </c>
    </row>
    <row r="554" spans="1:10" ht="16">
      <c r="A554" s="93" t="s">
        <v>264</v>
      </c>
      <c r="B554" s="94" t="s">
        <v>223</v>
      </c>
      <c r="C554" s="95" t="s">
        <v>76</v>
      </c>
      <c r="D554" s="96" t="s">
        <v>77</v>
      </c>
      <c r="E554" s="97">
        <v>24237</v>
      </c>
      <c r="F554" s="97">
        <v>1638</v>
      </c>
      <c r="G554" s="97">
        <v>969</v>
      </c>
      <c r="H554" s="98">
        <v>12.7</v>
      </c>
      <c r="I554" s="97">
        <v>4788</v>
      </c>
      <c r="J554" s="99">
        <v>19.3</v>
      </c>
    </row>
    <row r="555" spans="1:10" ht="16">
      <c r="A555" s="100" t="s">
        <v>265</v>
      </c>
      <c r="B555" s="101" t="s">
        <v>223</v>
      </c>
      <c r="C555" s="102" t="s">
        <v>107</v>
      </c>
      <c r="D555" s="103" t="s">
        <v>130</v>
      </c>
      <c r="E555" s="104">
        <v>28432</v>
      </c>
      <c r="F555" s="104">
        <v>2045</v>
      </c>
      <c r="G555" s="104">
        <v>1137</v>
      </c>
      <c r="H555" s="105">
        <v>33.6</v>
      </c>
      <c r="I555" s="104">
        <v>13521</v>
      </c>
      <c r="J555" s="106">
        <v>26.2</v>
      </c>
    </row>
    <row r="556" spans="1:10" ht="16">
      <c r="A556" s="93" t="s">
        <v>1345</v>
      </c>
      <c r="B556" s="94" t="s">
        <v>1288</v>
      </c>
      <c r="C556" s="95" t="s">
        <v>107</v>
      </c>
      <c r="D556" s="96" t="s">
        <v>84</v>
      </c>
      <c r="E556" s="97">
        <v>17951</v>
      </c>
      <c r="F556" s="97">
        <v>1402</v>
      </c>
      <c r="G556" s="97">
        <v>3590</v>
      </c>
      <c r="H556" s="98">
        <v>83.8</v>
      </c>
      <c r="I556" s="97">
        <v>82042</v>
      </c>
      <c r="J556" s="99">
        <v>74.2</v>
      </c>
    </row>
    <row r="557" spans="1:10" ht="16">
      <c r="A557" s="100" t="s">
        <v>849</v>
      </c>
      <c r="B557" s="101" t="s">
        <v>850</v>
      </c>
      <c r="C557" s="102" t="s">
        <v>76</v>
      </c>
      <c r="D557" s="103" t="s">
        <v>59</v>
      </c>
      <c r="E557" s="104">
        <v>5790</v>
      </c>
      <c r="F557" s="104">
        <v>839</v>
      </c>
      <c r="G557" s="104">
        <v>1216</v>
      </c>
      <c r="H557" s="105">
        <v>10.5</v>
      </c>
      <c r="I557" s="104">
        <v>6992</v>
      </c>
      <c r="J557" s="106">
        <v>26.5</v>
      </c>
    </row>
    <row r="558" spans="1:10" ht="16">
      <c r="A558" s="93" t="s">
        <v>851</v>
      </c>
      <c r="B558" s="94" t="s">
        <v>850</v>
      </c>
      <c r="C558" s="95" t="s">
        <v>107</v>
      </c>
      <c r="D558" s="96" t="s">
        <v>84</v>
      </c>
      <c r="E558" s="97">
        <v>35181</v>
      </c>
      <c r="F558" s="97">
        <v>2227</v>
      </c>
      <c r="G558" s="97">
        <v>2814</v>
      </c>
      <c r="H558" s="98">
        <v>28.3</v>
      </c>
      <c r="I558" s="97">
        <v>18236</v>
      </c>
      <c r="J558" s="99">
        <v>26.2</v>
      </c>
    </row>
    <row r="559" spans="1:10" ht="16">
      <c r="A559" s="100" t="s">
        <v>1224</v>
      </c>
      <c r="B559" s="101" t="s">
        <v>1190</v>
      </c>
      <c r="C559" s="102" t="s">
        <v>76</v>
      </c>
      <c r="D559" s="103" t="s">
        <v>62</v>
      </c>
      <c r="E559" s="104">
        <v>24140</v>
      </c>
      <c r="F559" s="104">
        <v>1609</v>
      </c>
      <c r="G559" s="104">
        <v>4587</v>
      </c>
      <c r="H559" s="105">
        <v>12.9</v>
      </c>
      <c r="I559" s="104">
        <v>7684</v>
      </c>
      <c r="J559" s="106">
        <v>17.7</v>
      </c>
    </row>
    <row r="560" spans="1:10" ht="16">
      <c r="A560" s="93" t="s">
        <v>1346</v>
      </c>
      <c r="B560" s="94" t="s">
        <v>1288</v>
      </c>
      <c r="C560" s="95" t="s">
        <v>76</v>
      </c>
      <c r="D560" s="96" t="s">
        <v>63</v>
      </c>
      <c r="E560" s="97">
        <v>17785</v>
      </c>
      <c r="F560" s="97">
        <v>760</v>
      </c>
      <c r="G560" s="97">
        <v>1067</v>
      </c>
      <c r="H560" s="98">
        <v>10.3</v>
      </c>
      <c r="I560" s="97">
        <v>10275</v>
      </c>
      <c r="J560" s="99">
        <v>33.799999999999997</v>
      </c>
    </row>
    <row r="561" spans="1:10" ht="16">
      <c r="A561" s="100" t="s">
        <v>895</v>
      </c>
      <c r="B561" s="101" t="s">
        <v>893</v>
      </c>
      <c r="C561" s="102" t="s">
        <v>107</v>
      </c>
      <c r="D561" s="103" t="s">
        <v>82</v>
      </c>
      <c r="E561" s="104">
        <v>19694</v>
      </c>
      <c r="F561" s="104">
        <v>1088</v>
      </c>
      <c r="G561" s="104">
        <v>3348</v>
      </c>
      <c r="H561" s="105">
        <v>25.7</v>
      </c>
      <c r="I561" s="104">
        <v>12003</v>
      </c>
      <c r="J561" s="106">
        <v>24.9</v>
      </c>
    </row>
    <row r="562" spans="1:10" ht="16">
      <c r="A562" s="93" t="s">
        <v>937</v>
      </c>
      <c r="B562" s="94" t="s">
        <v>919</v>
      </c>
      <c r="C562" s="95" t="s">
        <v>107</v>
      </c>
      <c r="D562" s="96" t="s">
        <v>63</v>
      </c>
      <c r="E562" s="97">
        <v>11640</v>
      </c>
      <c r="F562" s="97">
        <v>1021</v>
      </c>
      <c r="G562" s="97">
        <v>2328</v>
      </c>
      <c r="H562" s="98">
        <v>12.6</v>
      </c>
      <c r="I562" s="97">
        <v>1886</v>
      </c>
      <c r="J562" s="99">
        <v>20.5</v>
      </c>
    </row>
    <row r="563" spans="1:10" ht="16">
      <c r="A563" s="100" t="s">
        <v>938</v>
      </c>
      <c r="B563" s="101" t="s">
        <v>919</v>
      </c>
      <c r="C563" s="102" t="s">
        <v>107</v>
      </c>
      <c r="D563" s="103" t="s">
        <v>80</v>
      </c>
      <c r="E563" s="104">
        <v>7123</v>
      </c>
      <c r="F563" s="104">
        <v>1149</v>
      </c>
      <c r="G563" s="104">
        <v>1425</v>
      </c>
      <c r="H563" s="105">
        <v>31.9</v>
      </c>
      <c r="I563" s="104">
        <v>9674</v>
      </c>
      <c r="J563" s="106">
        <v>42.8</v>
      </c>
    </row>
    <row r="564" spans="1:10" ht="16">
      <c r="A564" s="93" t="s">
        <v>1347</v>
      </c>
      <c r="B564" s="94" t="s">
        <v>1288</v>
      </c>
      <c r="C564" s="95" t="s">
        <v>76</v>
      </c>
      <c r="D564" s="96" t="s">
        <v>92</v>
      </c>
      <c r="E564" s="97">
        <v>15887</v>
      </c>
      <c r="F564" s="97">
        <v>841</v>
      </c>
      <c r="G564" s="97">
        <v>635</v>
      </c>
      <c r="H564" s="98">
        <v>12.7</v>
      </c>
      <c r="I564" s="97">
        <v>3114</v>
      </c>
      <c r="J564" s="99">
        <v>25.5</v>
      </c>
    </row>
    <row r="565" spans="1:10" ht="16">
      <c r="A565" s="100" t="s">
        <v>266</v>
      </c>
      <c r="B565" s="101" t="s">
        <v>223</v>
      </c>
      <c r="C565" s="102" t="s">
        <v>76</v>
      </c>
      <c r="D565" s="103" t="s">
        <v>130</v>
      </c>
      <c r="E565" s="104">
        <v>32059</v>
      </c>
      <c r="F565" s="104">
        <v>1832</v>
      </c>
      <c r="G565" s="104">
        <v>1282</v>
      </c>
      <c r="H565" s="105">
        <v>15.6</v>
      </c>
      <c r="I565" s="104">
        <v>4088</v>
      </c>
      <c r="J565" s="106">
        <v>20.3</v>
      </c>
    </row>
    <row r="566" spans="1:10" ht="16">
      <c r="A566" s="93" t="s">
        <v>695</v>
      </c>
      <c r="B566" s="94" t="s">
        <v>642</v>
      </c>
      <c r="C566" s="95" t="s">
        <v>107</v>
      </c>
      <c r="D566" s="96" t="s">
        <v>84</v>
      </c>
      <c r="E566" s="97">
        <v>2775</v>
      </c>
      <c r="F566" s="97">
        <v>188</v>
      </c>
      <c r="G566" s="97">
        <v>111</v>
      </c>
      <c r="H566" s="98">
        <v>12.7</v>
      </c>
      <c r="I566" s="97">
        <v>1658</v>
      </c>
      <c r="J566" s="99">
        <v>23.3</v>
      </c>
    </row>
    <row r="567" spans="1:10" ht="16">
      <c r="A567" s="100" t="s">
        <v>1348</v>
      </c>
      <c r="B567" s="101" t="s">
        <v>1288</v>
      </c>
      <c r="C567" s="102" t="s">
        <v>107</v>
      </c>
      <c r="D567" s="103" t="s">
        <v>62</v>
      </c>
      <c r="E567" s="104">
        <v>54372</v>
      </c>
      <c r="F567" s="104">
        <v>4350</v>
      </c>
      <c r="G567" s="104">
        <v>7068</v>
      </c>
      <c r="H567" s="105">
        <v>56.1</v>
      </c>
      <c r="I567" s="104">
        <v>48999</v>
      </c>
      <c r="J567" s="106">
        <v>57.5</v>
      </c>
    </row>
    <row r="568" spans="1:10" ht="16">
      <c r="A568" s="93" t="s">
        <v>1349</v>
      </c>
      <c r="B568" s="94" t="s">
        <v>1288</v>
      </c>
      <c r="C568" s="95" t="s">
        <v>76</v>
      </c>
      <c r="D568" s="96" t="s">
        <v>63</v>
      </c>
      <c r="E568" s="97">
        <v>25013</v>
      </c>
      <c r="F568" s="97">
        <v>1122</v>
      </c>
      <c r="G568" s="97">
        <v>1251</v>
      </c>
      <c r="H568" s="98">
        <v>17.399999999999999</v>
      </c>
      <c r="I568" s="97">
        <v>7585</v>
      </c>
      <c r="J568" s="99">
        <v>28.5</v>
      </c>
    </row>
    <row r="569" spans="1:10" ht="16">
      <c r="A569" s="100" t="s">
        <v>696</v>
      </c>
      <c r="B569" s="101" t="s">
        <v>642</v>
      </c>
      <c r="C569" s="102" t="s">
        <v>107</v>
      </c>
      <c r="D569" s="103" t="s">
        <v>84</v>
      </c>
      <c r="E569" s="104">
        <v>5693</v>
      </c>
      <c r="F569" s="104">
        <v>619</v>
      </c>
      <c r="G569" s="104">
        <v>57</v>
      </c>
      <c r="H569" s="105">
        <v>9.1999999999999993</v>
      </c>
      <c r="I569" s="104">
        <v>1895</v>
      </c>
      <c r="J569" s="106">
        <v>19.399999999999999</v>
      </c>
    </row>
    <row r="570" spans="1:10" ht="16">
      <c r="A570" s="93" t="s">
        <v>697</v>
      </c>
      <c r="B570" s="94" t="s">
        <v>642</v>
      </c>
      <c r="C570" s="95" t="s">
        <v>107</v>
      </c>
      <c r="D570" s="96" t="s">
        <v>82</v>
      </c>
      <c r="E570" s="97">
        <v>13099</v>
      </c>
      <c r="F570" s="97">
        <v>1637</v>
      </c>
      <c r="G570" s="97">
        <v>1048</v>
      </c>
      <c r="H570" s="98">
        <v>16.600000000000001</v>
      </c>
      <c r="I570" s="97">
        <v>4505</v>
      </c>
      <c r="J570" s="99">
        <v>25.6</v>
      </c>
    </row>
    <row r="571" spans="1:10" ht="16">
      <c r="A571" s="100" t="s">
        <v>1350</v>
      </c>
      <c r="B571" s="101" t="s">
        <v>1288</v>
      </c>
      <c r="C571" s="102" t="s">
        <v>107</v>
      </c>
      <c r="D571" s="103" t="s">
        <v>82</v>
      </c>
      <c r="E571" s="104">
        <v>21494</v>
      </c>
      <c r="F571" s="104">
        <v>1360</v>
      </c>
      <c r="G571" s="104">
        <v>1505</v>
      </c>
      <c r="H571" s="105">
        <v>21.5</v>
      </c>
      <c r="I571" s="104">
        <v>15322</v>
      </c>
      <c r="J571" s="106">
        <v>24.1</v>
      </c>
    </row>
    <row r="572" spans="1:10" ht="16">
      <c r="A572" s="93" t="s">
        <v>1351</v>
      </c>
      <c r="B572" s="94" t="s">
        <v>1288</v>
      </c>
      <c r="C572" s="95" t="s">
        <v>76</v>
      </c>
      <c r="D572" s="96" t="s">
        <v>92</v>
      </c>
      <c r="E572" s="97">
        <v>18878</v>
      </c>
      <c r="F572" s="97">
        <v>1037</v>
      </c>
      <c r="G572" s="97">
        <v>566</v>
      </c>
      <c r="H572" s="98">
        <v>19.2</v>
      </c>
      <c r="I572" s="97">
        <v>9982</v>
      </c>
      <c r="J572" s="99">
        <v>22.7</v>
      </c>
    </row>
    <row r="573" spans="1:10" ht="16">
      <c r="A573" s="100" t="s">
        <v>1167</v>
      </c>
      <c r="B573" s="101" t="s">
        <v>1142</v>
      </c>
      <c r="C573" s="102" t="s">
        <v>76</v>
      </c>
      <c r="D573" s="103" t="s">
        <v>82</v>
      </c>
      <c r="E573" s="104">
        <v>36179</v>
      </c>
      <c r="F573" s="104">
        <v>1096</v>
      </c>
      <c r="G573" s="104">
        <v>2171</v>
      </c>
      <c r="H573" s="105">
        <v>8.9</v>
      </c>
      <c r="I573" s="104">
        <v>601</v>
      </c>
      <c r="J573" s="106">
        <v>15.5</v>
      </c>
    </row>
    <row r="574" spans="1:10" ht="16">
      <c r="A574" s="93" t="s">
        <v>1025</v>
      </c>
      <c r="B574" s="94" t="s">
        <v>1020</v>
      </c>
      <c r="C574" s="95" t="s">
        <v>76</v>
      </c>
      <c r="D574" s="96" t="s">
        <v>80</v>
      </c>
      <c r="E574" s="97">
        <v>22962</v>
      </c>
      <c r="F574" s="97">
        <v>272</v>
      </c>
      <c r="G574" s="97">
        <v>459</v>
      </c>
      <c r="H574" s="98">
        <v>14.2</v>
      </c>
      <c r="I574" s="97">
        <v>10566</v>
      </c>
      <c r="J574" s="99">
        <v>16.5</v>
      </c>
    </row>
    <row r="575" spans="1:10" ht="16">
      <c r="A575" s="100" t="s">
        <v>1352</v>
      </c>
      <c r="B575" s="101" t="s">
        <v>1288</v>
      </c>
      <c r="C575" s="102" t="s">
        <v>76</v>
      </c>
      <c r="D575" s="103" t="s">
        <v>59</v>
      </c>
      <c r="E575" s="104">
        <v>2895</v>
      </c>
      <c r="F575" s="104">
        <v>2895</v>
      </c>
      <c r="G575" s="104">
        <v>87</v>
      </c>
      <c r="H575" s="105">
        <v>16.7</v>
      </c>
      <c r="I575" s="104">
        <v>16730</v>
      </c>
      <c r="J575" s="106">
        <v>35.700000000000003</v>
      </c>
    </row>
    <row r="576" spans="1:10" ht="16">
      <c r="A576" s="93" t="s">
        <v>1353</v>
      </c>
      <c r="B576" s="94" t="s">
        <v>1288</v>
      </c>
      <c r="C576" s="95" t="s">
        <v>107</v>
      </c>
      <c r="D576" s="96" t="s">
        <v>92</v>
      </c>
      <c r="E576" s="97">
        <v>24798</v>
      </c>
      <c r="F576" s="97">
        <v>1550</v>
      </c>
      <c r="G576" s="97">
        <v>2728</v>
      </c>
      <c r="H576" s="98">
        <v>30.1</v>
      </c>
      <c r="I576" s="97">
        <v>20274</v>
      </c>
      <c r="J576" s="99">
        <v>30.9</v>
      </c>
    </row>
    <row r="577" spans="1:10" ht="16">
      <c r="A577" s="100" t="s">
        <v>698</v>
      </c>
      <c r="B577" s="101" t="s">
        <v>642</v>
      </c>
      <c r="C577" s="102" t="s">
        <v>107</v>
      </c>
      <c r="D577" s="103" t="s">
        <v>62</v>
      </c>
      <c r="E577" s="104">
        <v>8279</v>
      </c>
      <c r="F577" s="104">
        <v>930</v>
      </c>
      <c r="G577" s="104">
        <v>331</v>
      </c>
      <c r="H577" s="105">
        <v>14.3</v>
      </c>
      <c r="I577" s="104">
        <v>3836</v>
      </c>
      <c r="J577" s="106">
        <v>24.9</v>
      </c>
    </row>
    <row r="578" spans="1:10" ht="16">
      <c r="A578" s="93" t="s">
        <v>699</v>
      </c>
      <c r="B578" s="94" t="s">
        <v>642</v>
      </c>
      <c r="C578" s="95" t="s">
        <v>107</v>
      </c>
      <c r="D578" s="96" t="s">
        <v>63</v>
      </c>
      <c r="E578" s="97">
        <v>1248</v>
      </c>
      <c r="F578" s="97">
        <v>462</v>
      </c>
      <c r="G578" s="97">
        <v>12</v>
      </c>
      <c r="H578" s="98">
        <v>10.3</v>
      </c>
      <c r="I578" s="97">
        <v>1284</v>
      </c>
      <c r="J578" s="99">
        <v>27.2</v>
      </c>
    </row>
    <row r="579" spans="1:10" ht="16">
      <c r="A579" s="100" t="s">
        <v>700</v>
      </c>
      <c r="B579" s="101" t="s">
        <v>642</v>
      </c>
      <c r="C579" s="102" t="s">
        <v>107</v>
      </c>
      <c r="D579" s="103" t="s">
        <v>63</v>
      </c>
      <c r="E579" s="104">
        <v>7746</v>
      </c>
      <c r="F579" s="104">
        <v>767</v>
      </c>
      <c r="G579" s="104">
        <v>310</v>
      </c>
      <c r="H579" s="105">
        <v>13.5</v>
      </c>
      <c r="I579" s="104">
        <v>2743</v>
      </c>
      <c r="J579" s="106">
        <v>22.4</v>
      </c>
    </row>
    <row r="580" spans="1:10" ht="16">
      <c r="A580" s="93" t="s">
        <v>701</v>
      </c>
      <c r="B580" s="94" t="s">
        <v>642</v>
      </c>
      <c r="C580" s="95" t="s">
        <v>107</v>
      </c>
      <c r="D580" s="96" t="s">
        <v>82</v>
      </c>
      <c r="E580" s="97">
        <v>22892</v>
      </c>
      <c r="F580" s="97">
        <v>3094</v>
      </c>
      <c r="G580" s="97">
        <v>2518</v>
      </c>
      <c r="H580" s="98">
        <v>49</v>
      </c>
      <c r="I580" s="97">
        <v>16958</v>
      </c>
      <c r="J580" s="99">
        <v>51.5</v>
      </c>
    </row>
    <row r="581" spans="1:10" ht="16">
      <c r="A581" s="100" t="s">
        <v>513</v>
      </c>
      <c r="B581" s="101" t="s">
        <v>474</v>
      </c>
      <c r="C581" s="102" t="s">
        <v>107</v>
      </c>
      <c r="D581" s="103" t="s">
        <v>77</v>
      </c>
      <c r="E581" s="104">
        <v>12454</v>
      </c>
      <c r="F581" s="104">
        <v>700</v>
      </c>
      <c r="G581" s="104">
        <v>249</v>
      </c>
      <c r="H581" s="105">
        <v>10.199999999999999</v>
      </c>
      <c r="I581" s="104">
        <v>3238</v>
      </c>
      <c r="J581" s="106">
        <v>36</v>
      </c>
    </row>
    <row r="582" spans="1:10" ht="16">
      <c r="A582" s="93" t="s">
        <v>1225</v>
      </c>
      <c r="B582" s="94" t="s">
        <v>1190</v>
      </c>
      <c r="C582" s="95" t="s">
        <v>76</v>
      </c>
      <c r="D582" s="96" t="s">
        <v>77</v>
      </c>
      <c r="E582" s="97">
        <v>13915</v>
      </c>
      <c r="F582" s="97">
        <v>859</v>
      </c>
      <c r="G582" s="97">
        <v>3896</v>
      </c>
      <c r="H582" s="98">
        <v>24</v>
      </c>
      <c r="I582" s="97">
        <v>9008</v>
      </c>
      <c r="J582" s="99">
        <v>28.5</v>
      </c>
    </row>
    <row r="583" spans="1:10" ht="16">
      <c r="A583" s="100" t="s">
        <v>1168</v>
      </c>
      <c r="B583" s="101" t="s">
        <v>1142</v>
      </c>
      <c r="C583" s="102" t="s">
        <v>76</v>
      </c>
      <c r="D583" s="103" t="s">
        <v>80</v>
      </c>
      <c r="E583" s="104">
        <v>47035</v>
      </c>
      <c r="F583" s="104">
        <v>2138</v>
      </c>
      <c r="G583" s="104">
        <v>1881</v>
      </c>
      <c r="H583" s="105">
        <v>13.1</v>
      </c>
      <c r="I583" s="104">
        <v>9298</v>
      </c>
      <c r="J583" s="106">
        <v>28.4</v>
      </c>
    </row>
    <row r="584" spans="1:10" ht="16">
      <c r="A584" s="93" t="s">
        <v>1169</v>
      </c>
      <c r="B584" s="94" t="s">
        <v>1142</v>
      </c>
      <c r="C584" s="95" t="s">
        <v>107</v>
      </c>
      <c r="D584" s="96" t="s">
        <v>62</v>
      </c>
      <c r="E584" s="97">
        <v>46705</v>
      </c>
      <c r="F584" s="97">
        <v>1698</v>
      </c>
      <c r="G584" s="97">
        <v>1401</v>
      </c>
      <c r="H584" s="98">
        <v>8.4</v>
      </c>
      <c r="I584" s="97">
        <v>975</v>
      </c>
      <c r="J584" s="99">
        <v>11.2</v>
      </c>
    </row>
    <row r="585" spans="1:10" ht="16">
      <c r="A585" s="100" t="s">
        <v>1026</v>
      </c>
      <c r="B585" s="101" t="s">
        <v>1020</v>
      </c>
      <c r="C585" s="102" t="s">
        <v>76</v>
      </c>
      <c r="D585" s="103" t="s">
        <v>92</v>
      </c>
      <c r="E585" s="104">
        <v>12113</v>
      </c>
      <c r="F585" s="104">
        <v>841</v>
      </c>
      <c r="G585" s="104">
        <v>2180</v>
      </c>
      <c r="H585" s="105">
        <v>14.2</v>
      </c>
      <c r="I585" s="104">
        <v>5976</v>
      </c>
      <c r="J585" s="106">
        <v>21.5</v>
      </c>
    </row>
    <row r="586" spans="1:10" ht="16">
      <c r="A586" s="93" t="s">
        <v>514</v>
      </c>
      <c r="B586" s="94" t="s">
        <v>474</v>
      </c>
      <c r="C586" s="95" t="s">
        <v>107</v>
      </c>
      <c r="D586" s="96" t="s">
        <v>63</v>
      </c>
      <c r="E586" s="97">
        <v>19912</v>
      </c>
      <c r="F586" s="97">
        <v>851</v>
      </c>
      <c r="G586" s="97">
        <v>199</v>
      </c>
      <c r="H586" s="98">
        <v>14.4</v>
      </c>
      <c r="I586" s="97">
        <v>8175</v>
      </c>
      <c r="J586" s="99">
        <v>27</v>
      </c>
    </row>
    <row r="587" spans="1:10" ht="16">
      <c r="A587" s="100" t="s">
        <v>385</v>
      </c>
      <c r="B587" s="101" t="s">
        <v>377</v>
      </c>
      <c r="C587" s="102" t="s">
        <v>76</v>
      </c>
      <c r="D587" s="103" t="s">
        <v>63</v>
      </c>
      <c r="E587" s="104">
        <v>33434</v>
      </c>
      <c r="F587" s="104">
        <v>921</v>
      </c>
      <c r="G587" s="104">
        <v>5684</v>
      </c>
      <c r="H587" s="105">
        <v>16.8</v>
      </c>
      <c r="I587" s="104">
        <v>2340</v>
      </c>
      <c r="J587" s="106">
        <v>23.8</v>
      </c>
    </row>
    <row r="588" spans="1:10" ht="16">
      <c r="A588" s="93" t="s">
        <v>386</v>
      </c>
      <c r="B588" s="94" t="s">
        <v>377</v>
      </c>
      <c r="C588" s="95" t="s">
        <v>76</v>
      </c>
      <c r="D588" s="96" t="s">
        <v>80</v>
      </c>
      <c r="E588" s="97">
        <v>28726</v>
      </c>
      <c r="F588" s="97">
        <v>1981</v>
      </c>
      <c r="G588" s="97">
        <v>4883</v>
      </c>
      <c r="H588" s="98">
        <v>32.299999999999997</v>
      </c>
      <c r="I588" s="97">
        <v>27819</v>
      </c>
      <c r="J588" s="99">
        <v>33.700000000000003</v>
      </c>
    </row>
    <row r="589" spans="1:10" ht="16">
      <c r="A589" s="100" t="s">
        <v>267</v>
      </c>
      <c r="B589" s="101" t="s">
        <v>223</v>
      </c>
      <c r="C589" s="102" t="s">
        <v>107</v>
      </c>
      <c r="D589" s="103" t="s">
        <v>84</v>
      </c>
      <c r="E589" s="104">
        <v>39575</v>
      </c>
      <c r="F589" s="104">
        <v>3441</v>
      </c>
      <c r="G589" s="104">
        <v>5936</v>
      </c>
      <c r="H589" s="105">
        <v>90</v>
      </c>
      <c r="I589" s="104">
        <v>65926</v>
      </c>
      <c r="J589" s="106">
        <v>89.1</v>
      </c>
    </row>
    <row r="590" spans="1:10" ht="16">
      <c r="A590" s="93" t="s">
        <v>1354</v>
      </c>
      <c r="B590" s="94" t="s">
        <v>1288</v>
      </c>
      <c r="C590" s="95" t="s">
        <v>107</v>
      </c>
      <c r="D590" s="96" t="s">
        <v>77</v>
      </c>
      <c r="E590" s="97">
        <v>46204</v>
      </c>
      <c r="F590" s="97">
        <v>3020</v>
      </c>
      <c r="G590" s="97">
        <v>7393</v>
      </c>
      <c r="H590" s="98">
        <v>67.099999999999994</v>
      </c>
      <c r="I590" s="97">
        <v>50862</v>
      </c>
      <c r="J590" s="99">
        <v>55.2</v>
      </c>
    </row>
    <row r="591" spans="1:10" ht="16">
      <c r="A591" s="100" t="s">
        <v>939</v>
      </c>
      <c r="B591" s="101" t="s">
        <v>919</v>
      </c>
      <c r="C591" s="102" t="s">
        <v>107</v>
      </c>
      <c r="D591" s="103" t="s">
        <v>63</v>
      </c>
      <c r="E591" s="104">
        <v>8922</v>
      </c>
      <c r="F591" s="104">
        <v>991</v>
      </c>
      <c r="G591" s="104">
        <v>625</v>
      </c>
      <c r="H591" s="105">
        <v>10.5</v>
      </c>
      <c r="I591" s="104">
        <v>221</v>
      </c>
      <c r="J591" s="106">
        <v>19.3</v>
      </c>
    </row>
    <row r="592" spans="1:10" ht="16">
      <c r="A592" s="93" t="s">
        <v>940</v>
      </c>
      <c r="B592" s="94" t="s">
        <v>919</v>
      </c>
      <c r="C592" s="95" t="s">
        <v>76</v>
      </c>
      <c r="D592" s="96" t="s">
        <v>77</v>
      </c>
      <c r="E592" s="97">
        <v>9252</v>
      </c>
      <c r="F592" s="97">
        <v>881</v>
      </c>
      <c r="G592" s="97">
        <v>93</v>
      </c>
      <c r="H592" s="98">
        <v>9.6999999999999993</v>
      </c>
      <c r="I592" s="97">
        <v>321</v>
      </c>
      <c r="J592" s="99">
        <v>18.100000000000001</v>
      </c>
    </row>
    <row r="593" spans="1:10" ht="16">
      <c r="A593" s="100" t="s">
        <v>941</v>
      </c>
      <c r="B593" s="101" t="s">
        <v>919</v>
      </c>
      <c r="C593" s="102" t="s">
        <v>107</v>
      </c>
      <c r="D593" s="103" t="s">
        <v>61</v>
      </c>
      <c r="E593" s="104">
        <v>18251</v>
      </c>
      <c r="F593" s="104">
        <v>2028</v>
      </c>
      <c r="G593" s="104">
        <v>5110</v>
      </c>
      <c r="H593" s="105">
        <v>15.9</v>
      </c>
      <c r="I593" s="104">
        <v>9832</v>
      </c>
      <c r="J593" s="106">
        <v>26.2</v>
      </c>
    </row>
    <row r="594" spans="1:10" ht="16">
      <c r="A594" s="93" t="s">
        <v>942</v>
      </c>
      <c r="B594" s="94" t="s">
        <v>919</v>
      </c>
      <c r="C594" s="95" t="s">
        <v>76</v>
      </c>
      <c r="D594" s="96" t="s">
        <v>84</v>
      </c>
      <c r="E594" s="97">
        <v>8078</v>
      </c>
      <c r="F594" s="97">
        <v>1282</v>
      </c>
      <c r="G594" s="97">
        <v>485</v>
      </c>
      <c r="H594" s="98">
        <v>9.5</v>
      </c>
      <c r="I594" s="97">
        <v>333</v>
      </c>
      <c r="J594" s="99">
        <v>23.2</v>
      </c>
    </row>
    <row r="595" spans="1:10" ht="16">
      <c r="A595" s="100" t="s">
        <v>864</v>
      </c>
      <c r="B595" s="101" t="s">
        <v>858</v>
      </c>
      <c r="C595" s="102" t="s">
        <v>107</v>
      </c>
      <c r="D595" s="103" t="s">
        <v>82</v>
      </c>
      <c r="E595" s="104">
        <v>12452</v>
      </c>
      <c r="F595" s="104">
        <v>239</v>
      </c>
      <c r="G595" s="104">
        <v>197</v>
      </c>
      <c r="H595" s="105">
        <v>8.8000000000000007</v>
      </c>
      <c r="I595" s="104">
        <v>1686</v>
      </c>
      <c r="J595" s="106">
        <v>13.9</v>
      </c>
    </row>
    <row r="596" spans="1:10" ht="16">
      <c r="A596" s="93" t="s">
        <v>1006</v>
      </c>
      <c r="B596" s="94" t="s">
        <v>988</v>
      </c>
      <c r="C596" s="95" t="s">
        <v>107</v>
      </c>
      <c r="D596" s="96" t="s">
        <v>84</v>
      </c>
      <c r="E596" s="97">
        <v>3215</v>
      </c>
      <c r="F596" s="97">
        <v>312</v>
      </c>
      <c r="G596" s="97">
        <v>96</v>
      </c>
      <c r="H596" s="98">
        <v>50.9</v>
      </c>
      <c r="I596" s="97">
        <v>36800</v>
      </c>
      <c r="J596" s="99">
        <v>51.7</v>
      </c>
    </row>
    <row r="597" spans="1:10" ht="16">
      <c r="A597" s="100" t="s">
        <v>896</v>
      </c>
      <c r="B597" s="101" t="s">
        <v>893</v>
      </c>
      <c r="C597" s="102" t="s">
        <v>107</v>
      </c>
      <c r="D597" s="103" t="s">
        <v>60</v>
      </c>
      <c r="E597" s="104">
        <v>18511</v>
      </c>
      <c r="F597" s="104">
        <v>1083</v>
      </c>
      <c r="G597" s="104">
        <v>1111</v>
      </c>
      <c r="H597" s="105">
        <v>8.6999999999999993</v>
      </c>
      <c r="I597" s="104">
        <v>4250</v>
      </c>
      <c r="J597" s="106">
        <v>13.5</v>
      </c>
    </row>
    <row r="598" spans="1:10" ht="16">
      <c r="A598" s="93" t="s">
        <v>602</v>
      </c>
      <c r="B598" s="94" t="s">
        <v>598</v>
      </c>
      <c r="C598" s="95" t="s">
        <v>107</v>
      </c>
      <c r="D598" s="96" t="s">
        <v>59</v>
      </c>
      <c r="E598" s="97">
        <v>6122</v>
      </c>
      <c r="F598" s="97">
        <v>251</v>
      </c>
      <c r="G598" s="97">
        <v>61</v>
      </c>
      <c r="H598" s="98">
        <v>22.1</v>
      </c>
      <c r="I598" s="97">
        <v>18624</v>
      </c>
      <c r="J598" s="99">
        <v>17.3</v>
      </c>
    </row>
    <row r="599" spans="1:10" ht="16">
      <c r="A599" s="100" t="s">
        <v>913</v>
      </c>
      <c r="B599" s="101" t="s">
        <v>909</v>
      </c>
      <c r="C599" s="102" t="s">
        <v>107</v>
      </c>
      <c r="D599" s="103" t="s">
        <v>82</v>
      </c>
      <c r="E599" s="104">
        <v>29437</v>
      </c>
      <c r="F599" s="104">
        <v>2181</v>
      </c>
      <c r="G599" s="104">
        <v>883</v>
      </c>
      <c r="H599" s="105">
        <v>10</v>
      </c>
      <c r="I599" s="104">
        <v>1301</v>
      </c>
      <c r="J599" s="106">
        <v>16.8</v>
      </c>
    </row>
    <row r="600" spans="1:10" ht="16">
      <c r="A600" s="93" t="s">
        <v>1027</v>
      </c>
      <c r="B600" s="94" t="s">
        <v>1020</v>
      </c>
      <c r="C600" s="95" t="s">
        <v>107</v>
      </c>
      <c r="D600" s="96" t="s">
        <v>130</v>
      </c>
      <c r="E600" s="97">
        <v>4749</v>
      </c>
      <c r="F600" s="97">
        <v>448</v>
      </c>
      <c r="G600" s="97">
        <v>285</v>
      </c>
      <c r="H600" s="98">
        <v>11.1</v>
      </c>
      <c r="I600" s="97">
        <v>2587</v>
      </c>
      <c r="J600" s="99">
        <v>22.6</v>
      </c>
    </row>
    <row r="601" spans="1:10" ht="16">
      <c r="A601" s="100" t="s">
        <v>1028</v>
      </c>
      <c r="B601" s="101" t="s">
        <v>1020</v>
      </c>
      <c r="C601" s="102" t="s">
        <v>107</v>
      </c>
      <c r="D601" s="103" t="s">
        <v>60</v>
      </c>
      <c r="E601" s="104">
        <v>25484</v>
      </c>
      <c r="F601" s="104">
        <v>2404</v>
      </c>
      <c r="G601" s="104">
        <v>4077</v>
      </c>
      <c r="H601" s="105">
        <v>17.2</v>
      </c>
      <c r="I601" s="104">
        <v>9787</v>
      </c>
      <c r="J601" s="106">
        <v>23.7</v>
      </c>
    </row>
    <row r="602" spans="1:10" ht="16">
      <c r="A602" s="93" t="s">
        <v>603</v>
      </c>
      <c r="B602" s="94" t="s">
        <v>598</v>
      </c>
      <c r="C602" s="95" t="s">
        <v>107</v>
      </c>
      <c r="D602" s="96" t="s">
        <v>62</v>
      </c>
      <c r="E602" s="97">
        <v>35184</v>
      </c>
      <c r="F602" s="97">
        <v>1407</v>
      </c>
      <c r="G602" s="97">
        <v>5981</v>
      </c>
      <c r="H602" s="98">
        <v>35.200000000000003</v>
      </c>
      <c r="I602" s="97">
        <v>21018</v>
      </c>
      <c r="J602" s="99">
        <v>33.1</v>
      </c>
    </row>
    <row r="603" spans="1:10" ht="16">
      <c r="A603" s="100" t="s">
        <v>914</v>
      </c>
      <c r="B603" s="101" t="s">
        <v>909</v>
      </c>
      <c r="C603" s="102" t="s">
        <v>107</v>
      </c>
      <c r="D603" s="103" t="s">
        <v>59</v>
      </c>
      <c r="E603" s="104">
        <v>12646</v>
      </c>
      <c r="F603" s="104">
        <v>620</v>
      </c>
      <c r="G603" s="104">
        <v>379</v>
      </c>
      <c r="H603" s="105">
        <v>8.1999999999999993</v>
      </c>
      <c r="I603" s="104">
        <v>1415</v>
      </c>
      <c r="J603" s="106">
        <v>14.2</v>
      </c>
    </row>
    <row r="604" spans="1:10" ht="16">
      <c r="A604" s="93" t="s">
        <v>604</v>
      </c>
      <c r="B604" s="94" t="s">
        <v>598</v>
      </c>
      <c r="C604" s="95" t="s">
        <v>107</v>
      </c>
      <c r="D604" s="96" t="s">
        <v>60</v>
      </c>
      <c r="E604" s="97">
        <v>31425</v>
      </c>
      <c r="F604" s="97">
        <v>878</v>
      </c>
      <c r="G604" s="97">
        <v>4085</v>
      </c>
      <c r="H604" s="98">
        <v>25.4</v>
      </c>
      <c r="I604" s="97">
        <v>14056</v>
      </c>
      <c r="J604" s="99">
        <v>26.2</v>
      </c>
    </row>
    <row r="605" spans="1:10" ht="16">
      <c r="A605" s="100" t="s">
        <v>1029</v>
      </c>
      <c r="B605" s="101" t="s">
        <v>1020</v>
      </c>
      <c r="C605" s="102" t="s">
        <v>107</v>
      </c>
      <c r="D605" s="103" t="s">
        <v>80</v>
      </c>
      <c r="E605" s="104">
        <v>21119</v>
      </c>
      <c r="F605" s="104">
        <v>2112</v>
      </c>
      <c r="G605" s="104">
        <v>2957</v>
      </c>
      <c r="H605" s="105">
        <v>11.8</v>
      </c>
      <c r="I605" s="104">
        <v>4915</v>
      </c>
      <c r="J605" s="106">
        <v>22.1</v>
      </c>
    </row>
    <row r="606" spans="1:10" ht="16">
      <c r="A606" s="93" t="s">
        <v>1030</v>
      </c>
      <c r="B606" s="94" t="s">
        <v>1020</v>
      </c>
      <c r="C606" s="95" t="s">
        <v>76</v>
      </c>
      <c r="D606" s="96" t="s">
        <v>61</v>
      </c>
      <c r="E606" s="97">
        <v>11636</v>
      </c>
      <c r="F606" s="97">
        <v>539</v>
      </c>
      <c r="G606" s="97">
        <v>1513</v>
      </c>
      <c r="H606" s="98">
        <v>40.1</v>
      </c>
      <c r="I606" s="97">
        <v>37917</v>
      </c>
      <c r="J606" s="99">
        <v>37.700000000000003</v>
      </c>
    </row>
    <row r="607" spans="1:10" ht="16">
      <c r="A607" s="100" t="s">
        <v>515</v>
      </c>
      <c r="B607" s="101" t="s">
        <v>474</v>
      </c>
      <c r="C607" s="102" t="s">
        <v>107</v>
      </c>
      <c r="D607" s="103" t="s">
        <v>82</v>
      </c>
      <c r="E607" s="104">
        <v>6107</v>
      </c>
      <c r="F607" s="104">
        <v>355</v>
      </c>
      <c r="G607" s="104">
        <v>61</v>
      </c>
      <c r="H607" s="105">
        <v>19.2</v>
      </c>
      <c r="I607" s="104">
        <v>3532</v>
      </c>
      <c r="J607" s="106">
        <v>36.5</v>
      </c>
    </row>
    <row r="608" spans="1:10" ht="16">
      <c r="A608" s="93" t="s">
        <v>215</v>
      </c>
      <c r="B608" s="94" t="s">
        <v>212</v>
      </c>
      <c r="C608" s="95" t="s">
        <v>76</v>
      </c>
      <c r="D608" s="96" t="s">
        <v>61</v>
      </c>
      <c r="E608" s="97">
        <v>28541</v>
      </c>
      <c r="F608" s="97">
        <v>1903</v>
      </c>
      <c r="G608" s="97">
        <v>1998</v>
      </c>
      <c r="H608" s="98">
        <v>28.3</v>
      </c>
      <c r="I608" s="97">
        <v>13790</v>
      </c>
      <c r="J608" s="99">
        <v>24.2</v>
      </c>
    </row>
    <row r="609" spans="1:10" ht="16">
      <c r="A609" s="100" t="s">
        <v>168</v>
      </c>
      <c r="B609" s="101" t="s">
        <v>150</v>
      </c>
      <c r="C609" s="102" t="s">
        <v>76</v>
      </c>
      <c r="D609" s="103" t="s">
        <v>62</v>
      </c>
      <c r="E609" s="104">
        <v>34101</v>
      </c>
      <c r="F609" s="104">
        <v>1601</v>
      </c>
      <c r="G609" s="104">
        <v>1705</v>
      </c>
      <c r="H609" s="105">
        <v>7.7</v>
      </c>
      <c r="I609" s="104">
        <v>521</v>
      </c>
      <c r="J609" s="106">
        <v>15.3</v>
      </c>
    </row>
    <row r="610" spans="1:10" ht="16">
      <c r="A610" s="93" t="s">
        <v>872</v>
      </c>
      <c r="B610" s="94" t="s">
        <v>873</v>
      </c>
      <c r="C610" s="95" t="s">
        <v>107</v>
      </c>
      <c r="D610" s="96" t="s">
        <v>62</v>
      </c>
      <c r="E610" s="97">
        <v>24984</v>
      </c>
      <c r="F610" s="97">
        <v>3331</v>
      </c>
      <c r="G610" s="97">
        <v>750</v>
      </c>
      <c r="H610" s="98">
        <v>8.6</v>
      </c>
      <c r="I610" s="97">
        <v>2916</v>
      </c>
      <c r="J610" s="99">
        <v>19.899999999999999</v>
      </c>
    </row>
    <row r="611" spans="1:10" ht="16">
      <c r="A611" s="100" t="s">
        <v>169</v>
      </c>
      <c r="B611" s="101" t="s">
        <v>150</v>
      </c>
      <c r="C611" s="102" t="s">
        <v>76</v>
      </c>
      <c r="D611" s="103" t="s">
        <v>60</v>
      </c>
      <c r="E611" s="104">
        <v>15581</v>
      </c>
      <c r="F611" s="104">
        <v>711</v>
      </c>
      <c r="G611" s="104">
        <v>779</v>
      </c>
      <c r="H611" s="105">
        <v>25.6</v>
      </c>
      <c r="I611" s="104">
        <v>7160</v>
      </c>
      <c r="J611" s="106">
        <v>27.4</v>
      </c>
    </row>
    <row r="612" spans="1:10" ht="16">
      <c r="A612" s="93" t="s">
        <v>170</v>
      </c>
      <c r="B612" s="94" t="s">
        <v>150</v>
      </c>
      <c r="C612" s="95" t="s">
        <v>107</v>
      </c>
      <c r="D612" s="96" t="s">
        <v>60</v>
      </c>
      <c r="E612" s="97">
        <v>16750</v>
      </c>
      <c r="F612" s="97">
        <v>735</v>
      </c>
      <c r="G612" s="97">
        <v>1153</v>
      </c>
      <c r="H612" s="98">
        <v>13.5</v>
      </c>
      <c r="I612" s="97">
        <v>5556</v>
      </c>
      <c r="J612" s="99">
        <v>18.7</v>
      </c>
    </row>
    <row r="613" spans="1:10" ht="16">
      <c r="A613" s="100" t="s">
        <v>307</v>
      </c>
      <c r="B613" s="101" t="s">
        <v>304</v>
      </c>
      <c r="C613" s="102" t="s">
        <v>76</v>
      </c>
      <c r="D613" s="103" t="s">
        <v>84</v>
      </c>
      <c r="E613" s="104">
        <v>30048</v>
      </c>
      <c r="F613" s="104">
        <v>1951</v>
      </c>
      <c r="G613" s="104">
        <v>300</v>
      </c>
      <c r="H613" s="105">
        <v>8.9</v>
      </c>
      <c r="I613" s="104">
        <v>8867</v>
      </c>
      <c r="J613" s="106">
        <v>15.3</v>
      </c>
    </row>
    <row r="614" spans="1:10" ht="16">
      <c r="A614" s="93" t="s">
        <v>1355</v>
      </c>
      <c r="B614" s="94" t="s">
        <v>1288</v>
      </c>
      <c r="C614" s="95" t="s">
        <v>76</v>
      </c>
      <c r="D614" s="96" t="s">
        <v>80</v>
      </c>
      <c r="E614" s="97">
        <v>20219</v>
      </c>
      <c r="F614" s="97">
        <v>1099</v>
      </c>
      <c r="G614" s="97">
        <v>1820</v>
      </c>
      <c r="H614" s="98">
        <v>18.399999999999999</v>
      </c>
      <c r="I614" s="97">
        <v>8219</v>
      </c>
      <c r="J614" s="99">
        <v>21.1</v>
      </c>
    </row>
    <row r="615" spans="1:10" ht="16">
      <c r="A615" s="100" t="s">
        <v>1129</v>
      </c>
      <c r="B615" s="101" t="s">
        <v>1120</v>
      </c>
      <c r="C615" s="102" t="s">
        <v>76</v>
      </c>
      <c r="D615" s="103" t="s">
        <v>80</v>
      </c>
      <c r="E615" s="104">
        <v>39257</v>
      </c>
      <c r="F615" s="104">
        <v>2485</v>
      </c>
      <c r="G615" s="104">
        <v>785</v>
      </c>
      <c r="H615" s="105">
        <v>10.1</v>
      </c>
      <c r="I615" s="104">
        <v>1786</v>
      </c>
      <c r="J615" s="106">
        <v>18.100000000000001</v>
      </c>
    </row>
    <row r="616" spans="1:10" ht="16">
      <c r="A616" s="93" t="s">
        <v>1356</v>
      </c>
      <c r="B616" s="94" t="s">
        <v>1288</v>
      </c>
      <c r="C616" s="95" t="s">
        <v>107</v>
      </c>
      <c r="D616" s="96" t="s">
        <v>80</v>
      </c>
      <c r="E616" s="97">
        <v>7983</v>
      </c>
      <c r="F616" s="97">
        <v>986</v>
      </c>
      <c r="G616" s="97">
        <v>1996</v>
      </c>
      <c r="H616" s="98">
        <v>96.3</v>
      </c>
      <c r="I616" s="97">
        <v>95232</v>
      </c>
      <c r="J616" s="99">
        <v>90.3</v>
      </c>
    </row>
    <row r="617" spans="1:10" ht="16">
      <c r="A617" s="100" t="s">
        <v>516</v>
      </c>
      <c r="B617" s="101" t="s">
        <v>474</v>
      </c>
      <c r="C617" s="102" t="s">
        <v>107</v>
      </c>
      <c r="D617" s="103" t="s">
        <v>59</v>
      </c>
      <c r="E617" s="104">
        <v>8325</v>
      </c>
      <c r="F617" s="104">
        <v>570</v>
      </c>
      <c r="G617" s="104">
        <v>186</v>
      </c>
      <c r="H617" s="105">
        <v>9.5</v>
      </c>
      <c r="I617" s="104">
        <v>1226</v>
      </c>
      <c r="J617" s="106">
        <v>19.8</v>
      </c>
    </row>
    <row r="618" spans="1:10" ht="16">
      <c r="A618" s="93" t="s">
        <v>1357</v>
      </c>
      <c r="B618" s="94" t="s">
        <v>1288</v>
      </c>
      <c r="C618" s="95" t="s">
        <v>107</v>
      </c>
      <c r="D618" s="96" t="s">
        <v>84</v>
      </c>
      <c r="E618" s="97">
        <v>40451</v>
      </c>
      <c r="F618" s="97">
        <v>2576</v>
      </c>
      <c r="G618" s="97">
        <v>9304</v>
      </c>
      <c r="H618" s="98">
        <v>66.400000000000006</v>
      </c>
      <c r="I618" s="97">
        <v>41874</v>
      </c>
      <c r="J618" s="99">
        <v>57.5</v>
      </c>
    </row>
    <row r="619" spans="1:10" ht="16">
      <c r="A619" s="100" t="s">
        <v>1007</v>
      </c>
      <c r="B619" s="101" t="s">
        <v>988</v>
      </c>
      <c r="C619" s="102" t="s">
        <v>107</v>
      </c>
      <c r="D619" s="103" t="s">
        <v>62</v>
      </c>
      <c r="E619" s="104">
        <v>24331</v>
      </c>
      <c r="F619" s="104">
        <v>1330</v>
      </c>
      <c r="G619" s="104">
        <v>2676</v>
      </c>
      <c r="H619" s="105">
        <v>30</v>
      </c>
      <c r="I619" s="104">
        <v>7492</v>
      </c>
      <c r="J619" s="106">
        <v>27</v>
      </c>
    </row>
    <row r="620" spans="1:10" ht="16">
      <c r="A620" s="93" t="s">
        <v>906</v>
      </c>
      <c r="B620" s="94" t="s">
        <v>907</v>
      </c>
      <c r="C620" s="95" t="s">
        <v>76</v>
      </c>
      <c r="D620" s="96" t="s">
        <v>82</v>
      </c>
      <c r="E620" s="97">
        <v>15585</v>
      </c>
      <c r="F620" s="97">
        <v>901</v>
      </c>
      <c r="G620" s="97">
        <v>5922</v>
      </c>
      <c r="H620" s="98">
        <v>27.2</v>
      </c>
      <c r="I620" s="97">
        <v>17641</v>
      </c>
      <c r="J620" s="99">
        <v>19.600000000000001</v>
      </c>
    </row>
    <row r="621" spans="1:10" ht="16">
      <c r="A621" s="100" t="s">
        <v>865</v>
      </c>
      <c r="B621" s="101" t="s">
        <v>858</v>
      </c>
      <c r="C621" s="102" t="s">
        <v>76</v>
      </c>
      <c r="D621" s="103" t="s">
        <v>82</v>
      </c>
      <c r="E621" s="104">
        <v>14694</v>
      </c>
      <c r="F621" s="104">
        <v>593</v>
      </c>
      <c r="G621" s="104">
        <v>147</v>
      </c>
      <c r="H621" s="105">
        <v>18.600000000000001</v>
      </c>
      <c r="I621" s="104">
        <v>15239</v>
      </c>
      <c r="J621" s="106">
        <v>20.5</v>
      </c>
    </row>
    <row r="622" spans="1:10" ht="16">
      <c r="A622" s="93" t="s">
        <v>1226</v>
      </c>
      <c r="B622" s="94" t="s">
        <v>1190</v>
      </c>
      <c r="C622" s="95" t="s">
        <v>76</v>
      </c>
      <c r="D622" s="96" t="s">
        <v>62</v>
      </c>
      <c r="E622" s="97">
        <v>17799</v>
      </c>
      <c r="F622" s="97">
        <v>1262</v>
      </c>
      <c r="G622" s="97">
        <v>7654</v>
      </c>
      <c r="H622" s="98">
        <v>43.1</v>
      </c>
      <c r="I622" s="97">
        <v>42256</v>
      </c>
      <c r="J622" s="99">
        <v>35.299999999999997</v>
      </c>
    </row>
    <row r="623" spans="1:10" ht="16">
      <c r="A623" s="100" t="s">
        <v>105</v>
      </c>
      <c r="B623" s="101" t="s">
        <v>89</v>
      </c>
      <c r="C623" s="102" t="s">
        <v>76</v>
      </c>
      <c r="D623" s="103" t="s">
        <v>92</v>
      </c>
      <c r="E623" s="104">
        <v>34871</v>
      </c>
      <c r="F623" s="104">
        <v>913</v>
      </c>
      <c r="G623" s="104">
        <v>5579</v>
      </c>
      <c r="H623" s="105">
        <v>40.299999999999997</v>
      </c>
      <c r="I623" s="104">
        <v>34884</v>
      </c>
      <c r="J623" s="106">
        <v>31.9</v>
      </c>
    </row>
    <row r="624" spans="1:10" ht="16">
      <c r="A624" s="93" t="s">
        <v>825</v>
      </c>
      <c r="B624" s="94" t="s">
        <v>820</v>
      </c>
      <c r="C624" s="95" t="s">
        <v>76</v>
      </c>
      <c r="D624" s="96" t="s">
        <v>130</v>
      </c>
      <c r="E624" s="97">
        <v>20024</v>
      </c>
      <c r="F624" s="97">
        <v>1144</v>
      </c>
      <c r="G624" s="97">
        <v>2803</v>
      </c>
      <c r="H624" s="98">
        <v>49.9</v>
      </c>
      <c r="I624" s="97">
        <v>44044</v>
      </c>
      <c r="J624" s="99">
        <v>36</v>
      </c>
    </row>
    <row r="625" spans="1:10" ht="16">
      <c r="A625" s="100" t="s">
        <v>268</v>
      </c>
      <c r="B625" s="101" t="s">
        <v>223</v>
      </c>
      <c r="C625" s="102" t="s">
        <v>76</v>
      </c>
      <c r="D625" s="103" t="s">
        <v>63</v>
      </c>
      <c r="E625" s="104">
        <v>25590</v>
      </c>
      <c r="F625" s="104">
        <v>2047</v>
      </c>
      <c r="G625" s="104">
        <v>1535</v>
      </c>
      <c r="H625" s="105">
        <v>21.2</v>
      </c>
      <c r="I625" s="104">
        <v>10050</v>
      </c>
      <c r="J625" s="106">
        <v>42.5</v>
      </c>
    </row>
    <row r="626" spans="1:10" ht="16">
      <c r="A626" s="93" t="s">
        <v>1358</v>
      </c>
      <c r="B626" s="94" t="s">
        <v>1288</v>
      </c>
      <c r="C626" s="95" t="s">
        <v>107</v>
      </c>
      <c r="D626" s="96" t="s">
        <v>130</v>
      </c>
      <c r="E626" s="97">
        <v>7798</v>
      </c>
      <c r="F626" s="97">
        <v>500</v>
      </c>
      <c r="G626" s="97">
        <v>1560</v>
      </c>
      <c r="H626" s="98">
        <v>28.7</v>
      </c>
      <c r="I626" s="97">
        <v>16942</v>
      </c>
      <c r="J626" s="99">
        <v>30</v>
      </c>
    </row>
    <row r="627" spans="1:10" ht="16">
      <c r="A627" s="100" t="s">
        <v>1359</v>
      </c>
      <c r="B627" s="101" t="s">
        <v>1288</v>
      </c>
      <c r="C627" s="102" t="s">
        <v>107</v>
      </c>
      <c r="D627" s="103" t="s">
        <v>82</v>
      </c>
      <c r="E627" s="104">
        <v>6667</v>
      </c>
      <c r="F627" s="104">
        <v>749</v>
      </c>
      <c r="G627" s="104">
        <v>1867</v>
      </c>
      <c r="H627" s="105">
        <v>39.700000000000003</v>
      </c>
      <c r="I627" s="104">
        <v>37224</v>
      </c>
      <c r="J627" s="106">
        <v>49.1</v>
      </c>
    </row>
    <row r="628" spans="1:10" ht="16">
      <c r="A628" s="93" t="s">
        <v>767</v>
      </c>
      <c r="B628" s="94" t="s">
        <v>766</v>
      </c>
      <c r="C628" s="95" t="s">
        <v>107</v>
      </c>
      <c r="D628" s="96" t="s">
        <v>77</v>
      </c>
      <c r="E628" s="97">
        <v>10805</v>
      </c>
      <c r="F628" s="97">
        <v>363</v>
      </c>
      <c r="G628" s="97">
        <v>1189</v>
      </c>
      <c r="H628" s="98">
        <v>17.5</v>
      </c>
      <c r="I628" s="97">
        <v>3525</v>
      </c>
      <c r="J628" s="99">
        <v>19.5</v>
      </c>
    </row>
    <row r="629" spans="1:10" ht="16">
      <c r="A629" s="100" t="s">
        <v>702</v>
      </c>
      <c r="B629" s="101" t="s">
        <v>642</v>
      </c>
      <c r="C629" s="102" t="s">
        <v>76</v>
      </c>
      <c r="D629" s="103" t="s">
        <v>60</v>
      </c>
      <c r="E629" s="104">
        <v>20183</v>
      </c>
      <c r="F629" s="104">
        <v>1431</v>
      </c>
      <c r="G629" s="104">
        <v>807</v>
      </c>
      <c r="H629" s="105">
        <v>8.9</v>
      </c>
      <c r="I629" s="104">
        <v>4251</v>
      </c>
      <c r="J629" s="106">
        <v>16.600000000000001</v>
      </c>
    </row>
    <row r="630" spans="1:10" ht="16">
      <c r="A630" s="93" t="s">
        <v>171</v>
      </c>
      <c r="B630" s="94" t="s">
        <v>150</v>
      </c>
      <c r="C630" s="95" t="s">
        <v>76</v>
      </c>
      <c r="D630" s="96" t="s">
        <v>80</v>
      </c>
      <c r="E630" s="97">
        <v>22879</v>
      </c>
      <c r="F630" s="97">
        <v>2571</v>
      </c>
      <c r="G630" s="97">
        <v>1144</v>
      </c>
      <c r="H630" s="98">
        <v>10.9</v>
      </c>
      <c r="I630" s="97">
        <v>1669</v>
      </c>
      <c r="J630" s="99">
        <v>24.2</v>
      </c>
    </row>
    <row r="631" spans="1:10" ht="16">
      <c r="A631" s="100" t="s">
        <v>703</v>
      </c>
      <c r="B631" s="101" t="s">
        <v>642</v>
      </c>
      <c r="C631" s="102" t="s">
        <v>107</v>
      </c>
      <c r="D631" s="103" t="s">
        <v>59</v>
      </c>
      <c r="E631" s="104">
        <v>34413</v>
      </c>
      <c r="F631" s="104">
        <v>1880</v>
      </c>
      <c r="G631" s="104">
        <v>2065</v>
      </c>
      <c r="H631" s="105">
        <v>13.2</v>
      </c>
      <c r="I631" s="104">
        <v>2203</v>
      </c>
      <c r="J631" s="106">
        <v>19.100000000000001</v>
      </c>
    </row>
    <row r="632" spans="1:10" ht="16">
      <c r="A632" s="93" t="s">
        <v>106</v>
      </c>
      <c r="B632" s="94" t="s">
        <v>89</v>
      </c>
      <c r="C632" s="95" t="s">
        <v>107</v>
      </c>
      <c r="D632" s="96" t="s">
        <v>61</v>
      </c>
      <c r="E632" s="97">
        <v>33848</v>
      </c>
      <c r="F632" s="97">
        <v>1511</v>
      </c>
      <c r="G632" s="97">
        <v>10154</v>
      </c>
      <c r="H632" s="98">
        <v>26.1</v>
      </c>
      <c r="I632" s="97">
        <v>16867</v>
      </c>
      <c r="J632" s="99">
        <v>25.7</v>
      </c>
    </row>
    <row r="633" spans="1:10" ht="16">
      <c r="A633" s="100" t="s">
        <v>1227</v>
      </c>
      <c r="B633" s="101" t="s">
        <v>1190</v>
      </c>
      <c r="C633" s="102" t="s">
        <v>76</v>
      </c>
      <c r="D633" s="103" t="s">
        <v>130</v>
      </c>
      <c r="E633" s="104">
        <v>9489</v>
      </c>
      <c r="F633" s="104">
        <v>465</v>
      </c>
      <c r="G633" s="104">
        <v>2088</v>
      </c>
      <c r="H633" s="105">
        <v>11.3</v>
      </c>
      <c r="I633" s="104">
        <v>2641</v>
      </c>
      <c r="J633" s="106">
        <v>16.8</v>
      </c>
    </row>
    <row r="634" spans="1:10" ht="16">
      <c r="A634" s="93" t="s">
        <v>1360</v>
      </c>
      <c r="B634" s="94" t="s">
        <v>1288</v>
      </c>
      <c r="C634" s="95" t="s">
        <v>107</v>
      </c>
      <c r="D634" s="96" t="s">
        <v>82</v>
      </c>
      <c r="E634" s="97">
        <v>13996</v>
      </c>
      <c r="F634" s="97">
        <v>891</v>
      </c>
      <c r="G634" s="97">
        <v>2519</v>
      </c>
      <c r="H634" s="98">
        <v>18.100000000000001</v>
      </c>
      <c r="I634" s="97">
        <v>7074</v>
      </c>
      <c r="J634" s="99">
        <v>20</v>
      </c>
    </row>
    <row r="635" spans="1:10" ht="16">
      <c r="A635" s="100" t="s">
        <v>339</v>
      </c>
      <c r="B635" s="101" t="s">
        <v>336</v>
      </c>
      <c r="C635" s="102" t="s">
        <v>76</v>
      </c>
      <c r="D635" s="103" t="s">
        <v>62</v>
      </c>
      <c r="E635" s="104">
        <v>6382</v>
      </c>
      <c r="F635" s="104">
        <v>355</v>
      </c>
      <c r="G635" s="104">
        <v>766</v>
      </c>
      <c r="H635" s="105">
        <v>32.700000000000003</v>
      </c>
      <c r="I635" s="104">
        <v>12385</v>
      </c>
      <c r="J635" s="106">
        <v>21.4</v>
      </c>
    </row>
    <row r="636" spans="1:10" ht="16">
      <c r="A636" s="93" t="s">
        <v>584</v>
      </c>
      <c r="B636" s="94" t="s">
        <v>581</v>
      </c>
      <c r="C636" s="95" t="s">
        <v>76</v>
      </c>
      <c r="D636" s="96" t="s">
        <v>62</v>
      </c>
      <c r="E636" s="97">
        <v>2265</v>
      </c>
      <c r="F636" s="97">
        <v>107</v>
      </c>
      <c r="G636" s="97">
        <v>1472</v>
      </c>
      <c r="H636" s="98">
        <v>26.9</v>
      </c>
      <c r="I636" s="97">
        <v>24251</v>
      </c>
      <c r="J636" s="99">
        <v>30.1</v>
      </c>
    </row>
    <row r="637" spans="1:10" ht="16">
      <c r="A637" s="100" t="s">
        <v>1228</v>
      </c>
      <c r="B637" s="101" t="s">
        <v>1190</v>
      </c>
      <c r="C637" s="102" t="s">
        <v>76</v>
      </c>
      <c r="D637" s="103" t="s">
        <v>61</v>
      </c>
      <c r="E637" s="104">
        <v>9503</v>
      </c>
      <c r="F637" s="104">
        <v>625</v>
      </c>
      <c r="G637" s="104">
        <v>3421</v>
      </c>
      <c r="H637" s="105">
        <v>30.2</v>
      </c>
      <c r="I637" s="104">
        <v>22220</v>
      </c>
      <c r="J637" s="106">
        <v>30.6</v>
      </c>
    </row>
    <row r="638" spans="1:10" ht="16">
      <c r="A638" s="93" t="s">
        <v>1229</v>
      </c>
      <c r="B638" s="94" t="s">
        <v>1190</v>
      </c>
      <c r="C638" s="95" t="s">
        <v>76</v>
      </c>
      <c r="D638" s="96" t="s">
        <v>80</v>
      </c>
      <c r="E638" s="97">
        <v>2067</v>
      </c>
      <c r="F638" s="97">
        <v>190</v>
      </c>
      <c r="G638" s="97">
        <v>393</v>
      </c>
      <c r="H638" s="98">
        <v>18.3</v>
      </c>
      <c r="I638" s="97">
        <v>12672</v>
      </c>
      <c r="J638" s="99">
        <v>27.2</v>
      </c>
    </row>
    <row r="639" spans="1:10" ht="16">
      <c r="A639" s="100" t="s">
        <v>943</v>
      </c>
      <c r="B639" s="101" t="s">
        <v>919</v>
      </c>
      <c r="C639" s="102" t="s">
        <v>76</v>
      </c>
      <c r="D639" s="103" t="s">
        <v>84</v>
      </c>
      <c r="E639" s="104">
        <v>19803</v>
      </c>
      <c r="F639" s="104">
        <v>1707</v>
      </c>
      <c r="G639" s="104">
        <v>5743</v>
      </c>
      <c r="H639" s="105">
        <v>11.3</v>
      </c>
      <c r="I639" s="104">
        <v>2850</v>
      </c>
      <c r="J639" s="106">
        <v>36.299999999999997</v>
      </c>
    </row>
    <row r="640" spans="1:10" ht="16">
      <c r="A640" s="93" t="s">
        <v>416</v>
      </c>
      <c r="B640" s="94" t="s">
        <v>402</v>
      </c>
      <c r="C640" s="95" t="s">
        <v>107</v>
      </c>
      <c r="D640" s="96" t="s">
        <v>59</v>
      </c>
      <c r="E640" s="97">
        <v>43015</v>
      </c>
      <c r="F640" s="97">
        <v>711</v>
      </c>
      <c r="G640" s="97">
        <v>6022</v>
      </c>
      <c r="H640" s="98">
        <v>45</v>
      </c>
      <c r="I640" s="97">
        <v>26107</v>
      </c>
      <c r="J640" s="99">
        <v>39.700000000000003</v>
      </c>
    </row>
    <row r="641" spans="1:10" ht="16">
      <c r="A641" s="100" t="s">
        <v>1361</v>
      </c>
      <c r="B641" s="101" t="s">
        <v>1288</v>
      </c>
      <c r="C641" s="102" t="s">
        <v>76</v>
      </c>
      <c r="D641" s="103" t="s">
        <v>63</v>
      </c>
      <c r="E641" s="104">
        <v>2425</v>
      </c>
      <c r="F641" s="104">
        <v>1213</v>
      </c>
      <c r="G641" s="104">
        <v>24</v>
      </c>
      <c r="H641" s="105">
        <v>12.9</v>
      </c>
      <c r="I641" s="104">
        <v>11894</v>
      </c>
      <c r="J641" s="106">
        <v>37.200000000000003</v>
      </c>
    </row>
    <row r="642" spans="1:10" ht="16">
      <c r="A642" s="93" t="s">
        <v>1362</v>
      </c>
      <c r="B642" s="94" t="s">
        <v>1288</v>
      </c>
      <c r="C642" s="95" t="s">
        <v>76</v>
      </c>
      <c r="D642" s="96" t="s">
        <v>63</v>
      </c>
      <c r="E642" s="97">
        <v>44801</v>
      </c>
      <c r="F642" s="97">
        <v>4000</v>
      </c>
      <c r="G642" s="97">
        <v>7616</v>
      </c>
      <c r="H642" s="98">
        <v>48.5</v>
      </c>
      <c r="I642" s="97">
        <v>35863</v>
      </c>
      <c r="J642" s="99">
        <v>47.8</v>
      </c>
    </row>
    <row r="643" spans="1:10" ht="16">
      <c r="A643" s="100" t="s">
        <v>417</v>
      </c>
      <c r="B643" s="101" t="s">
        <v>402</v>
      </c>
      <c r="C643" s="102" t="s">
        <v>107</v>
      </c>
      <c r="D643" s="103" t="s">
        <v>61</v>
      </c>
      <c r="E643" s="104">
        <v>45377</v>
      </c>
      <c r="F643" s="104">
        <v>743</v>
      </c>
      <c r="G643" s="104">
        <v>9529</v>
      </c>
      <c r="H643" s="105">
        <v>61.5</v>
      </c>
      <c r="I643" s="104">
        <v>41407</v>
      </c>
      <c r="J643" s="106">
        <v>55.6</v>
      </c>
    </row>
    <row r="644" spans="1:10" ht="16">
      <c r="A644" s="93" t="s">
        <v>192</v>
      </c>
      <c r="B644" s="94" t="s">
        <v>184</v>
      </c>
      <c r="C644" s="95" t="s">
        <v>76</v>
      </c>
      <c r="D644" s="96" t="s">
        <v>84</v>
      </c>
      <c r="E644" s="97">
        <v>33694</v>
      </c>
      <c r="F644" s="97">
        <v>782</v>
      </c>
      <c r="G644" s="97">
        <v>1348</v>
      </c>
      <c r="H644" s="98">
        <v>26</v>
      </c>
      <c r="I644" s="97">
        <v>10058</v>
      </c>
      <c r="J644" s="99">
        <v>19.399999999999999</v>
      </c>
    </row>
    <row r="645" spans="1:10" ht="16">
      <c r="A645" s="100" t="s">
        <v>1170</v>
      </c>
      <c r="B645" s="101" t="s">
        <v>1142</v>
      </c>
      <c r="C645" s="102" t="s">
        <v>107</v>
      </c>
      <c r="D645" s="103" t="s">
        <v>59</v>
      </c>
      <c r="E645" s="104">
        <v>3605</v>
      </c>
      <c r="F645" s="104">
        <v>168</v>
      </c>
      <c r="G645" s="104">
        <v>324</v>
      </c>
      <c r="H645" s="105">
        <v>35.299999999999997</v>
      </c>
      <c r="I645" s="104">
        <v>19747</v>
      </c>
      <c r="J645" s="106">
        <v>27.8</v>
      </c>
    </row>
    <row r="646" spans="1:10" ht="16">
      <c r="A646" s="93" t="s">
        <v>704</v>
      </c>
      <c r="B646" s="94" t="s">
        <v>642</v>
      </c>
      <c r="C646" s="95" t="s">
        <v>107</v>
      </c>
      <c r="D646" s="96" t="s">
        <v>63</v>
      </c>
      <c r="E646" s="97">
        <v>6799</v>
      </c>
      <c r="F646" s="97">
        <v>708</v>
      </c>
      <c r="G646" s="97">
        <v>136</v>
      </c>
      <c r="H646" s="98">
        <v>12.4</v>
      </c>
      <c r="I646" s="97">
        <v>2335</v>
      </c>
      <c r="J646" s="99">
        <v>21.5</v>
      </c>
    </row>
    <row r="647" spans="1:10" ht="16">
      <c r="A647" s="100" t="s">
        <v>944</v>
      </c>
      <c r="B647" s="101" t="s">
        <v>919</v>
      </c>
      <c r="C647" s="102" t="s">
        <v>76</v>
      </c>
      <c r="D647" s="103" t="s">
        <v>62</v>
      </c>
      <c r="E647" s="104">
        <v>21489</v>
      </c>
      <c r="F647" s="104">
        <v>2904</v>
      </c>
      <c r="G647" s="104">
        <v>2579</v>
      </c>
      <c r="H647" s="105">
        <v>31</v>
      </c>
      <c r="I647" s="104">
        <v>6115</v>
      </c>
      <c r="J647" s="106">
        <v>46.1</v>
      </c>
    </row>
    <row r="648" spans="1:10" ht="16">
      <c r="A648" s="93" t="s">
        <v>945</v>
      </c>
      <c r="B648" s="94" t="s">
        <v>919</v>
      </c>
      <c r="C648" s="95" t="s">
        <v>107</v>
      </c>
      <c r="D648" s="96" t="s">
        <v>92</v>
      </c>
      <c r="E648" s="97">
        <v>7298</v>
      </c>
      <c r="F648" s="97">
        <v>657</v>
      </c>
      <c r="G648" s="97">
        <v>803</v>
      </c>
      <c r="H648" s="98">
        <v>10.3</v>
      </c>
      <c r="I648" s="97">
        <v>5085</v>
      </c>
      <c r="J648" s="99">
        <v>20.2</v>
      </c>
    </row>
    <row r="649" spans="1:10" ht="16">
      <c r="A649" s="100" t="s">
        <v>705</v>
      </c>
      <c r="B649" s="101" t="s">
        <v>642</v>
      </c>
      <c r="C649" s="102" t="s">
        <v>107</v>
      </c>
      <c r="D649" s="103" t="s">
        <v>92</v>
      </c>
      <c r="E649" s="104">
        <v>1909</v>
      </c>
      <c r="F649" s="104">
        <v>1273</v>
      </c>
      <c r="G649" s="104">
        <v>133</v>
      </c>
      <c r="H649" s="105">
        <v>9.6</v>
      </c>
      <c r="I649" s="104">
        <v>2713</v>
      </c>
      <c r="J649" s="106">
        <v>23.6</v>
      </c>
    </row>
    <row r="650" spans="1:10" ht="16">
      <c r="A650" s="93" t="s">
        <v>706</v>
      </c>
      <c r="B650" s="94" t="s">
        <v>642</v>
      </c>
      <c r="C650" s="95" t="s">
        <v>107</v>
      </c>
      <c r="D650" s="96" t="s">
        <v>82</v>
      </c>
      <c r="E650" s="97">
        <v>8579</v>
      </c>
      <c r="F650" s="97">
        <v>600</v>
      </c>
      <c r="G650" s="97">
        <v>429</v>
      </c>
      <c r="H650" s="98">
        <v>13</v>
      </c>
      <c r="I650" s="97">
        <v>2967</v>
      </c>
      <c r="J650" s="99">
        <v>19.100000000000001</v>
      </c>
    </row>
    <row r="651" spans="1:10" ht="16">
      <c r="A651" s="100" t="s">
        <v>946</v>
      </c>
      <c r="B651" s="101" t="s">
        <v>919</v>
      </c>
      <c r="C651" s="102" t="s">
        <v>76</v>
      </c>
      <c r="D651" s="103" t="s">
        <v>82</v>
      </c>
      <c r="E651" s="104">
        <v>9660</v>
      </c>
      <c r="F651" s="104">
        <v>911</v>
      </c>
      <c r="G651" s="104">
        <v>1063</v>
      </c>
      <c r="H651" s="105">
        <v>12.4</v>
      </c>
      <c r="I651" s="104">
        <v>3868</v>
      </c>
      <c r="J651" s="106">
        <v>18.3</v>
      </c>
    </row>
    <row r="652" spans="1:10" ht="16">
      <c r="A652" s="93" t="s">
        <v>1363</v>
      </c>
      <c r="B652" s="94" t="s">
        <v>1288</v>
      </c>
      <c r="C652" s="95" t="s">
        <v>76</v>
      </c>
      <c r="D652" s="96" t="s">
        <v>61</v>
      </c>
      <c r="E652" s="97">
        <v>30799</v>
      </c>
      <c r="F652" s="97">
        <v>1010</v>
      </c>
      <c r="G652" s="97">
        <v>2464</v>
      </c>
      <c r="H652" s="98">
        <v>24.4</v>
      </c>
      <c r="I652" s="97">
        <v>15177</v>
      </c>
      <c r="J652" s="99">
        <v>23.7</v>
      </c>
    </row>
    <row r="653" spans="1:10" ht="16">
      <c r="A653" s="100" t="s">
        <v>172</v>
      </c>
      <c r="B653" s="101" t="s">
        <v>150</v>
      </c>
      <c r="C653" s="102" t="s">
        <v>76</v>
      </c>
      <c r="D653" s="103" t="s">
        <v>62</v>
      </c>
      <c r="E653" s="104">
        <v>12922</v>
      </c>
      <c r="F653" s="104">
        <v>1086</v>
      </c>
      <c r="G653" s="104">
        <v>129</v>
      </c>
      <c r="H653" s="105">
        <v>9.3000000000000007</v>
      </c>
      <c r="I653" s="104">
        <v>1825</v>
      </c>
      <c r="J653" s="106">
        <v>18.100000000000001</v>
      </c>
    </row>
    <row r="654" spans="1:10" ht="16">
      <c r="A654" s="93" t="s">
        <v>605</v>
      </c>
      <c r="B654" s="94" t="s">
        <v>598</v>
      </c>
      <c r="C654" s="95" t="s">
        <v>76</v>
      </c>
      <c r="D654" s="96" t="s">
        <v>92</v>
      </c>
      <c r="E654" s="97">
        <v>71318</v>
      </c>
      <c r="F654" s="97">
        <v>3348</v>
      </c>
      <c r="G654" s="97">
        <v>4279</v>
      </c>
      <c r="H654" s="98">
        <v>40</v>
      </c>
      <c r="I654" s="97">
        <v>27943</v>
      </c>
      <c r="J654" s="99">
        <v>40.4</v>
      </c>
    </row>
    <row r="655" spans="1:10" ht="16">
      <c r="A655" s="100" t="s">
        <v>707</v>
      </c>
      <c r="B655" s="101" t="s">
        <v>642</v>
      </c>
      <c r="C655" s="102" t="s">
        <v>107</v>
      </c>
      <c r="D655" s="103" t="s">
        <v>60</v>
      </c>
      <c r="E655" s="104">
        <v>1336</v>
      </c>
      <c r="F655" s="104">
        <v>382</v>
      </c>
      <c r="G655" s="104">
        <v>93</v>
      </c>
      <c r="H655" s="105">
        <v>11.7</v>
      </c>
      <c r="I655" s="104">
        <v>3808</v>
      </c>
      <c r="J655" s="106">
        <v>29.6</v>
      </c>
    </row>
    <row r="656" spans="1:10" ht="16">
      <c r="A656" s="93" t="s">
        <v>517</v>
      </c>
      <c r="B656" s="94" t="s">
        <v>474</v>
      </c>
      <c r="C656" s="95" t="s">
        <v>76</v>
      </c>
      <c r="D656" s="96" t="s">
        <v>82</v>
      </c>
      <c r="E656" s="97">
        <v>12234</v>
      </c>
      <c r="F656" s="97">
        <v>844</v>
      </c>
      <c r="G656" s="97">
        <v>274</v>
      </c>
      <c r="H656" s="98">
        <v>11.9</v>
      </c>
      <c r="I656" s="97">
        <v>3801</v>
      </c>
      <c r="J656" s="99">
        <v>17</v>
      </c>
    </row>
    <row r="657" spans="1:10" ht="16">
      <c r="A657" s="100" t="s">
        <v>518</v>
      </c>
      <c r="B657" s="101" t="s">
        <v>474</v>
      </c>
      <c r="C657" s="102" t="s">
        <v>107</v>
      </c>
      <c r="D657" s="103" t="s">
        <v>92</v>
      </c>
      <c r="E657" s="104">
        <v>14381</v>
      </c>
      <c r="F657" s="104">
        <v>851</v>
      </c>
      <c r="G657" s="104">
        <v>144</v>
      </c>
      <c r="H657" s="105">
        <v>9</v>
      </c>
      <c r="I657" s="104">
        <v>920</v>
      </c>
      <c r="J657" s="106">
        <v>18.3</v>
      </c>
    </row>
    <row r="658" spans="1:10" ht="16">
      <c r="A658" s="93" t="s">
        <v>519</v>
      </c>
      <c r="B658" s="94" t="s">
        <v>474</v>
      </c>
      <c r="C658" s="95" t="s">
        <v>76</v>
      </c>
      <c r="D658" s="96" t="s">
        <v>61</v>
      </c>
      <c r="E658" s="97">
        <v>6056</v>
      </c>
      <c r="F658" s="97">
        <v>477</v>
      </c>
      <c r="G658" s="97">
        <v>121</v>
      </c>
      <c r="H658" s="98">
        <v>18.5</v>
      </c>
      <c r="I658" s="97">
        <v>8653</v>
      </c>
      <c r="J658" s="99">
        <v>38.9</v>
      </c>
    </row>
    <row r="659" spans="1:10" ht="16">
      <c r="A659" s="100" t="s">
        <v>387</v>
      </c>
      <c r="B659" s="101" t="s">
        <v>377</v>
      </c>
      <c r="C659" s="102" t="s">
        <v>76</v>
      </c>
      <c r="D659" s="103" t="s">
        <v>130</v>
      </c>
      <c r="E659" s="104">
        <v>11915</v>
      </c>
      <c r="F659" s="104">
        <v>264</v>
      </c>
      <c r="G659" s="104">
        <v>4051</v>
      </c>
      <c r="H659" s="105">
        <v>27</v>
      </c>
      <c r="I659" s="104">
        <v>15345</v>
      </c>
      <c r="J659" s="106">
        <v>29.8</v>
      </c>
    </row>
    <row r="660" spans="1:10" ht="16">
      <c r="A660" s="93" t="s">
        <v>606</v>
      </c>
      <c r="B660" s="94" t="s">
        <v>598</v>
      </c>
      <c r="C660" s="95" t="s">
        <v>107</v>
      </c>
      <c r="D660" s="96" t="s">
        <v>130</v>
      </c>
      <c r="E660" s="97">
        <v>558</v>
      </c>
      <c r="F660" s="97">
        <v>82</v>
      </c>
      <c r="G660" s="97">
        <v>61</v>
      </c>
      <c r="H660" s="98">
        <v>38.1</v>
      </c>
      <c r="I660" s="97">
        <v>30229</v>
      </c>
      <c r="J660" s="99">
        <v>57.2</v>
      </c>
    </row>
    <row r="661" spans="1:10" ht="16">
      <c r="A661" s="100" t="s">
        <v>947</v>
      </c>
      <c r="B661" s="101" t="s">
        <v>919</v>
      </c>
      <c r="C661" s="102" t="s">
        <v>76</v>
      </c>
      <c r="D661" s="103" t="s">
        <v>77</v>
      </c>
      <c r="E661" s="104">
        <v>15354</v>
      </c>
      <c r="F661" s="104">
        <v>1872</v>
      </c>
      <c r="G661" s="104">
        <v>2457</v>
      </c>
      <c r="H661" s="105">
        <v>10</v>
      </c>
      <c r="I661" s="104">
        <v>261</v>
      </c>
      <c r="J661" s="106">
        <v>24.5</v>
      </c>
    </row>
    <row r="662" spans="1:10" ht="16">
      <c r="A662" s="93" t="s">
        <v>1008</v>
      </c>
      <c r="B662" s="94" t="s">
        <v>988</v>
      </c>
      <c r="C662" s="95" t="s">
        <v>107</v>
      </c>
      <c r="D662" s="96" t="s">
        <v>61</v>
      </c>
      <c r="E662" s="97">
        <v>12119</v>
      </c>
      <c r="F662" s="97">
        <v>713</v>
      </c>
      <c r="G662" s="97">
        <v>1212</v>
      </c>
      <c r="H662" s="98">
        <v>20.8</v>
      </c>
      <c r="I662" s="97">
        <v>15710</v>
      </c>
      <c r="J662" s="99">
        <v>23.4</v>
      </c>
    </row>
    <row r="663" spans="1:10" ht="16">
      <c r="A663" s="100" t="s">
        <v>468</v>
      </c>
      <c r="B663" s="101" t="s">
        <v>466</v>
      </c>
      <c r="C663" s="102" t="s">
        <v>76</v>
      </c>
      <c r="D663" s="103" t="s">
        <v>82</v>
      </c>
      <c r="E663" s="104">
        <v>10996</v>
      </c>
      <c r="F663" s="104">
        <v>1122</v>
      </c>
      <c r="G663" s="104">
        <v>3409</v>
      </c>
      <c r="H663" s="105">
        <v>12.3</v>
      </c>
      <c r="I663" s="104">
        <v>9126</v>
      </c>
      <c r="J663" s="106">
        <v>26.2</v>
      </c>
    </row>
    <row r="664" spans="1:10" ht="16">
      <c r="A664" s="93" t="s">
        <v>551</v>
      </c>
      <c r="B664" s="94" t="s">
        <v>537</v>
      </c>
      <c r="C664" s="95" t="s">
        <v>107</v>
      </c>
      <c r="D664" s="96" t="s">
        <v>84</v>
      </c>
      <c r="E664" s="97">
        <v>12496</v>
      </c>
      <c r="F664" s="97">
        <v>811</v>
      </c>
      <c r="G664" s="97">
        <v>125</v>
      </c>
      <c r="H664" s="98">
        <v>9.9</v>
      </c>
      <c r="I664" s="97">
        <v>3925</v>
      </c>
      <c r="J664" s="99">
        <v>16.899999999999999</v>
      </c>
    </row>
    <row r="665" spans="1:10" ht="16">
      <c r="A665" s="100" t="s">
        <v>1009</v>
      </c>
      <c r="B665" s="101" t="s">
        <v>988</v>
      </c>
      <c r="C665" s="102" t="s">
        <v>107</v>
      </c>
      <c r="D665" s="103" t="s">
        <v>77</v>
      </c>
      <c r="E665" s="104">
        <v>26182</v>
      </c>
      <c r="F665" s="104">
        <v>2111</v>
      </c>
      <c r="G665" s="104">
        <v>3142</v>
      </c>
      <c r="H665" s="105">
        <v>71.599999999999994</v>
      </c>
      <c r="I665" s="104">
        <v>47658</v>
      </c>
      <c r="J665" s="106">
        <v>72.3</v>
      </c>
    </row>
    <row r="666" spans="1:10" ht="16">
      <c r="A666" s="93" t="s">
        <v>1010</v>
      </c>
      <c r="B666" s="94" t="s">
        <v>988</v>
      </c>
      <c r="C666" s="95" t="s">
        <v>107</v>
      </c>
      <c r="D666" s="96" t="s">
        <v>59</v>
      </c>
      <c r="E666" s="97">
        <v>11912</v>
      </c>
      <c r="F666" s="97">
        <v>693</v>
      </c>
      <c r="G666" s="97">
        <v>476</v>
      </c>
      <c r="H666" s="98">
        <v>13.5</v>
      </c>
      <c r="I666" s="97">
        <v>2120</v>
      </c>
      <c r="J666" s="99">
        <v>17.7</v>
      </c>
    </row>
    <row r="667" spans="1:10" ht="16">
      <c r="A667" s="100" t="s">
        <v>532</v>
      </c>
      <c r="B667" s="101" t="s">
        <v>530</v>
      </c>
      <c r="C667" s="102" t="s">
        <v>107</v>
      </c>
      <c r="D667" s="103" t="s">
        <v>60</v>
      </c>
      <c r="E667" s="104">
        <v>14624</v>
      </c>
      <c r="F667" s="104">
        <v>1380</v>
      </c>
      <c r="G667" s="104">
        <v>585</v>
      </c>
      <c r="H667" s="105">
        <v>11.1</v>
      </c>
      <c r="I667" s="104">
        <v>2607</v>
      </c>
      <c r="J667" s="106">
        <v>19.600000000000001</v>
      </c>
    </row>
    <row r="668" spans="1:10" ht="16">
      <c r="A668" s="93" t="s">
        <v>552</v>
      </c>
      <c r="B668" s="94" t="s">
        <v>537</v>
      </c>
      <c r="C668" s="95" t="s">
        <v>76</v>
      </c>
      <c r="D668" s="96" t="s">
        <v>130</v>
      </c>
      <c r="E668" s="97">
        <v>6350</v>
      </c>
      <c r="F668" s="97">
        <v>327</v>
      </c>
      <c r="G668" s="97">
        <v>292</v>
      </c>
      <c r="H668" s="98">
        <v>11.6</v>
      </c>
      <c r="I668" s="97">
        <v>1231</v>
      </c>
      <c r="J668" s="99">
        <v>19.3</v>
      </c>
    </row>
    <row r="669" spans="1:10" ht="16">
      <c r="A669" s="100" t="s">
        <v>553</v>
      </c>
      <c r="B669" s="101" t="s">
        <v>537</v>
      </c>
      <c r="C669" s="102" t="s">
        <v>76</v>
      </c>
      <c r="D669" s="103" t="s">
        <v>84</v>
      </c>
      <c r="E669" s="104">
        <v>14998</v>
      </c>
      <c r="F669" s="104">
        <v>638</v>
      </c>
      <c r="G669" s="104">
        <v>689</v>
      </c>
      <c r="H669" s="105">
        <v>13.7</v>
      </c>
      <c r="I669" s="104">
        <v>2069</v>
      </c>
      <c r="J669" s="106">
        <v>17.8</v>
      </c>
    </row>
    <row r="670" spans="1:10" ht="16">
      <c r="A670" s="93" t="s">
        <v>554</v>
      </c>
      <c r="B670" s="94" t="s">
        <v>537</v>
      </c>
      <c r="C670" s="95" t="s">
        <v>76</v>
      </c>
      <c r="D670" s="96" t="s">
        <v>59</v>
      </c>
      <c r="E670" s="97">
        <v>18403</v>
      </c>
      <c r="F670" s="97">
        <v>860</v>
      </c>
      <c r="G670" s="97">
        <v>368</v>
      </c>
      <c r="H670" s="98">
        <v>19</v>
      </c>
      <c r="I670" s="97">
        <v>7251</v>
      </c>
      <c r="J670" s="99">
        <v>22.1</v>
      </c>
    </row>
    <row r="671" spans="1:10" ht="16">
      <c r="A671" s="100" t="s">
        <v>555</v>
      </c>
      <c r="B671" s="101" t="s">
        <v>537</v>
      </c>
      <c r="C671" s="102" t="s">
        <v>76</v>
      </c>
      <c r="D671" s="103" t="s">
        <v>77</v>
      </c>
      <c r="E671" s="104">
        <v>12713</v>
      </c>
      <c r="F671" s="104">
        <v>1397</v>
      </c>
      <c r="G671" s="104">
        <v>254</v>
      </c>
      <c r="H671" s="105">
        <v>14.6</v>
      </c>
      <c r="I671" s="104">
        <v>5451</v>
      </c>
      <c r="J671" s="106">
        <v>42.9</v>
      </c>
    </row>
    <row r="672" spans="1:10" ht="16">
      <c r="A672" s="93" t="s">
        <v>556</v>
      </c>
      <c r="B672" s="94" t="s">
        <v>537</v>
      </c>
      <c r="C672" s="95" t="s">
        <v>76</v>
      </c>
      <c r="D672" s="96" t="s">
        <v>59</v>
      </c>
      <c r="E672" s="97">
        <v>12309</v>
      </c>
      <c r="F672" s="97">
        <v>583</v>
      </c>
      <c r="G672" s="97">
        <v>246</v>
      </c>
      <c r="H672" s="98">
        <v>18.399999999999999</v>
      </c>
      <c r="I672" s="97">
        <v>2995</v>
      </c>
      <c r="J672" s="99">
        <v>27.2</v>
      </c>
    </row>
    <row r="673" spans="1:10" ht="16">
      <c r="A673" s="100" t="s">
        <v>557</v>
      </c>
      <c r="B673" s="101" t="s">
        <v>537</v>
      </c>
      <c r="C673" s="102" t="s">
        <v>76</v>
      </c>
      <c r="D673" s="103" t="s">
        <v>62</v>
      </c>
      <c r="E673" s="104">
        <v>7378</v>
      </c>
      <c r="F673" s="104">
        <v>324</v>
      </c>
      <c r="G673" s="104">
        <v>339</v>
      </c>
      <c r="H673" s="105">
        <v>11.1</v>
      </c>
      <c r="I673" s="104">
        <v>3960</v>
      </c>
      <c r="J673" s="106">
        <v>15.6</v>
      </c>
    </row>
    <row r="674" spans="1:10" ht="16">
      <c r="A674" s="93" t="s">
        <v>558</v>
      </c>
      <c r="B674" s="94" t="s">
        <v>537</v>
      </c>
      <c r="C674" s="95" t="s">
        <v>107</v>
      </c>
      <c r="D674" s="96" t="s">
        <v>92</v>
      </c>
      <c r="E674" s="97">
        <v>8448</v>
      </c>
      <c r="F674" s="97">
        <v>343</v>
      </c>
      <c r="G674" s="97">
        <v>588</v>
      </c>
      <c r="H674" s="98">
        <v>13.8</v>
      </c>
      <c r="I674" s="97">
        <v>3859</v>
      </c>
      <c r="J674" s="99">
        <v>17.7</v>
      </c>
    </row>
    <row r="675" spans="1:10" ht="16">
      <c r="A675" s="100" t="s">
        <v>269</v>
      </c>
      <c r="B675" s="101" t="s">
        <v>223</v>
      </c>
      <c r="C675" s="102" t="s">
        <v>107</v>
      </c>
      <c r="D675" s="103" t="s">
        <v>84</v>
      </c>
      <c r="E675" s="104">
        <v>45767</v>
      </c>
      <c r="F675" s="104">
        <v>3135</v>
      </c>
      <c r="G675" s="104">
        <v>3204</v>
      </c>
      <c r="H675" s="105">
        <v>29.1</v>
      </c>
      <c r="I675" s="104">
        <v>10322</v>
      </c>
      <c r="J675" s="106">
        <v>32.299999999999997</v>
      </c>
    </row>
    <row r="676" spans="1:10" ht="16">
      <c r="A676" s="93" t="s">
        <v>270</v>
      </c>
      <c r="B676" s="94" t="s">
        <v>223</v>
      </c>
      <c r="C676" s="95" t="s">
        <v>107</v>
      </c>
      <c r="D676" s="96" t="s">
        <v>82</v>
      </c>
      <c r="E676" s="97">
        <v>38853</v>
      </c>
      <c r="F676" s="97">
        <v>3500</v>
      </c>
      <c r="G676" s="97">
        <v>5051</v>
      </c>
      <c r="H676" s="98">
        <v>63</v>
      </c>
      <c r="I676" s="97">
        <v>30223</v>
      </c>
      <c r="J676" s="99">
        <v>58</v>
      </c>
    </row>
    <row r="677" spans="1:10" ht="16">
      <c r="A677" s="100" t="s">
        <v>271</v>
      </c>
      <c r="B677" s="101" t="s">
        <v>223</v>
      </c>
      <c r="C677" s="102" t="s">
        <v>107</v>
      </c>
      <c r="D677" s="103" t="s">
        <v>92</v>
      </c>
      <c r="E677" s="104">
        <v>23789</v>
      </c>
      <c r="F677" s="104">
        <v>1329</v>
      </c>
      <c r="G677" s="104">
        <v>714</v>
      </c>
      <c r="H677" s="105">
        <v>9.8000000000000007</v>
      </c>
      <c r="I677" s="104">
        <v>3982</v>
      </c>
      <c r="J677" s="106">
        <v>14.5</v>
      </c>
    </row>
    <row r="678" spans="1:10" ht="16">
      <c r="A678" s="93" t="s">
        <v>272</v>
      </c>
      <c r="B678" s="94" t="s">
        <v>223</v>
      </c>
      <c r="C678" s="95" t="s">
        <v>107</v>
      </c>
      <c r="D678" s="96" t="s">
        <v>77</v>
      </c>
      <c r="E678" s="97">
        <v>36637</v>
      </c>
      <c r="F678" s="97">
        <v>3242</v>
      </c>
      <c r="G678" s="97">
        <v>2198</v>
      </c>
      <c r="H678" s="98">
        <v>24.8</v>
      </c>
      <c r="I678" s="97">
        <v>7346</v>
      </c>
      <c r="J678" s="99">
        <v>21.2</v>
      </c>
    </row>
    <row r="679" spans="1:10" ht="16">
      <c r="A679" s="100" t="s">
        <v>273</v>
      </c>
      <c r="B679" s="101" t="s">
        <v>223</v>
      </c>
      <c r="C679" s="102" t="s">
        <v>76</v>
      </c>
      <c r="D679" s="103" t="s">
        <v>130</v>
      </c>
      <c r="E679" s="104">
        <v>15130</v>
      </c>
      <c r="F679" s="104">
        <v>1043</v>
      </c>
      <c r="G679" s="104">
        <v>757</v>
      </c>
      <c r="H679" s="105">
        <v>14.1</v>
      </c>
      <c r="I679" s="104">
        <v>4637</v>
      </c>
      <c r="J679" s="106">
        <v>27.6</v>
      </c>
    </row>
    <row r="680" spans="1:10" ht="16">
      <c r="A680" s="93" t="s">
        <v>274</v>
      </c>
      <c r="B680" s="94" t="s">
        <v>223</v>
      </c>
      <c r="C680" s="95" t="s">
        <v>107</v>
      </c>
      <c r="D680" s="96" t="s">
        <v>60</v>
      </c>
      <c r="E680" s="97">
        <v>10305</v>
      </c>
      <c r="F680" s="97">
        <v>881</v>
      </c>
      <c r="G680" s="97">
        <v>103</v>
      </c>
      <c r="H680" s="98">
        <v>14.2</v>
      </c>
      <c r="I680" s="97">
        <v>5646</v>
      </c>
      <c r="J680" s="99">
        <v>22</v>
      </c>
    </row>
    <row r="681" spans="1:10" ht="16">
      <c r="A681" s="100" t="s">
        <v>559</v>
      </c>
      <c r="B681" s="101" t="s">
        <v>537</v>
      </c>
      <c r="C681" s="102" t="s">
        <v>107</v>
      </c>
      <c r="D681" s="103" t="s">
        <v>61</v>
      </c>
      <c r="E681" s="104">
        <v>9260</v>
      </c>
      <c r="F681" s="104">
        <v>468</v>
      </c>
      <c r="G681" s="104">
        <v>185</v>
      </c>
      <c r="H681" s="105">
        <v>36.700000000000003</v>
      </c>
      <c r="I681" s="104">
        <v>15070</v>
      </c>
      <c r="J681" s="106">
        <v>28.9</v>
      </c>
    </row>
    <row r="682" spans="1:10" ht="16">
      <c r="A682" s="93" t="s">
        <v>1230</v>
      </c>
      <c r="B682" s="94" t="s">
        <v>1190</v>
      </c>
      <c r="C682" s="95" t="s">
        <v>76</v>
      </c>
      <c r="D682" s="96" t="s">
        <v>77</v>
      </c>
      <c r="E682" s="97">
        <v>25119</v>
      </c>
      <c r="F682" s="97">
        <v>1478</v>
      </c>
      <c r="G682" s="97">
        <v>3265</v>
      </c>
      <c r="H682" s="98">
        <v>13.2</v>
      </c>
      <c r="I682" s="97">
        <v>5491</v>
      </c>
      <c r="J682" s="99">
        <v>17.5</v>
      </c>
    </row>
    <row r="683" spans="1:10" ht="16">
      <c r="A683" s="100" t="s">
        <v>275</v>
      </c>
      <c r="B683" s="101" t="s">
        <v>223</v>
      </c>
      <c r="C683" s="102" t="s">
        <v>107</v>
      </c>
      <c r="D683" s="103" t="s">
        <v>60</v>
      </c>
      <c r="E683" s="104">
        <v>35171</v>
      </c>
      <c r="F683" s="104">
        <v>2269</v>
      </c>
      <c r="G683" s="104">
        <v>352</v>
      </c>
      <c r="H683" s="105">
        <v>22.8</v>
      </c>
      <c r="I683" s="104">
        <v>16085</v>
      </c>
      <c r="J683" s="106">
        <v>22.3</v>
      </c>
    </row>
    <row r="684" spans="1:10" ht="16">
      <c r="A684" s="93" t="s">
        <v>708</v>
      </c>
      <c r="B684" s="94" t="s">
        <v>642</v>
      </c>
      <c r="C684" s="95" t="s">
        <v>107</v>
      </c>
      <c r="D684" s="96" t="s">
        <v>59</v>
      </c>
      <c r="E684" s="97">
        <v>7886</v>
      </c>
      <c r="F684" s="97">
        <v>329</v>
      </c>
      <c r="G684" s="97">
        <v>1262</v>
      </c>
      <c r="H684" s="98">
        <v>12.5</v>
      </c>
      <c r="I684" s="97">
        <v>1258</v>
      </c>
      <c r="J684" s="99">
        <v>16.399999999999999</v>
      </c>
    </row>
    <row r="685" spans="1:10" ht="16">
      <c r="A685" s="100" t="s">
        <v>709</v>
      </c>
      <c r="B685" s="101" t="s">
        <v>642</v>
      </c>
      <c r="C685" s="102" t="s">
        <v>107</v>
      </c>
      <c r="D685" s="103" t="s">
        <v>59</v>
      </c>
      <c r="E685" s="104">
        <v>1164</v>
      </c>
      <c r="F685" s="104">
        <v>375</v>
      </c>
      <c r="G685" s="104">
        <v>23</v>
      </c>
      <c r="H685" s="105">
        <v>10.199999999999999</v>
      </c>
      <c r="I685" s="104">
        <v>2796</v>
      </c>
      <c r="J685" s="106">
        <v>25.5</v>
      </c>
    </row>
    <row r="686" spans="1:10" ht="16">
      <c r="A686" s="93" t="s">
        <v>710</v>
      </c>
      <c r="B686" s="94" t="s">
        <v>642</v>
      </c>
      <c r="C686" s="95" t="s">
        <v>107</v>
      </c>
      <c r="D686" s="96" t="s">
        <v>61</v>
      </c>
      <c r="E686" s="97">
        <v>6086</v>
      </c>
      <c r="F686" s="97">
        <v>801</v>
      </c>
      <c r="G686" s="97">
        <v>122</v>
      </c>
      <c r="H686" s="98">
        <v>11.2</v>
      </c>
      <c r="I686" s="97">
        <v>1664</v>
      </c>
      <c r="J686" s="99">
        <v>21.5</v>
      </c>
    </row>
    <row r="687" spans="1:10" ht="16">
      <c r="A687" s="100" t="s">
        <v>711</v>
      </c>
      <c r="B687" s="101" t="s">
        <v>642</v>
      </c>
      <c r="C687" s="102" t="s">
        <v>107</v>
      </c>
      <c r="D687" s="103" t="s">
        <v>84</v>
      </c>
      <c r="E687" s="104">
        <v>10812</v>
      </c>
      <c r="F687" s="104">
        <v>1050</v>
      </c>
      <c r="G687" s="104">
        <v>324</v>
      </c>
      <c r="H687" s="105">
        <v>14.4</v>
      </c>
      <c r="I687" s="104">
        <v>4037</v>
      </c>
      <c r="J687" s="106">
        <v>21.5</v>
      </c>
    </row>
    <row r="688" spans="1:10" ht="16">
      <c r="A688" s="93" t="s">
        <v>560</v>
      </c>
      <c r="B688" s="94" t="s">
        <v>537</v>
      </c>
      <c r="C688" s="95" t="s">
        <v>107</v>
      </c>
      <c r="D688" s="96" t="s">
        <v>130</v>
      </c>
      <c r="E688" s="97">
        <v>14286</v>
      </c>
      <c r="F688" s="97">
        <v>693</v>
      </c>
      <c r="G688" s="97">
        <v>657</v>
      </c>
      <c r="H688" s="98">
        <v>25</v>
      </c>
      <c r="I688" s="97">
        <v>6811</v>
      </c>
      <c r="J688" s="99">
        <v>24.8</v>
      </c>
    </row>
    <row r="689" spans="1:10" ht="16">
      <c r="A689" s="100" t="s">
        <v>561</v>
      </c>
      <c r="B689" s="101" t="s">
        <v>537</v>
      </c>
      <c r="C689" s="102" t="s">
        <v>76</v>
      </c>
      <c r="D689" s="103" t="s">
        <v>130</v>
      </c>
      <c r="E689" s="104">
        <v>10465</v>
      </c>
      <c r="F689" s="104">
        <v>960</v>
      </c>
      <c r="G689" s="104">
        <v>209</v>
      </c>
      <c r="H689" s="105">
        <v>10.7</v>
      </c>
      <c r="I689" s="104">
        <v>2215</v>
      </c>
      <c r="J689" s="106">
        <v>16.2</v>
      </c>
    </row>
    <row r="690" spans="1:10" ht="16">
      <c r="A690" s="93" t="s">
        <v>562</v>
      </c>
      <c r="B690" s="94" t="s">
        <v>537</v>
      </c>
      <c r="C690" s="95" t="s">
        <v>107</v>
      </c>
      <c r="D690" s="96" t="s">
        <v>130</v>
      </c>
      <c r="E690" s="97">
        <v>1602</v>
      </c>
      <c r="F690" s="97">
        <v>101</v>
      </c>
      <c r="G690" s="97">
        <v>111</v>
      </c>
      <c r="H690" s="98">
        <v>20.3</v>
      </c>
      <c r="I690" s="97">
        <v>9478</v>
      </c>
      <c r="J690" s="99">
        <v>23.7</v>
      </c>
    </row>
    <row r="691" spans="1:10" ht="16">
      <c r="A691" s="100" t="s">
        <v>712</v>
      </c>
      <c r="B691" s="101" t="s">
        <v>642</v>
      </c>
      <c r="C691" s="102" t="s">
        <v>107</v>
      </c>
      <c r="D691" s="103" t="s">
        <v>84</v>
      </c>
      <c r="E691" s="104">
        <v>9956</v>
      </c>
      <c r="F691" s="104">
        <v>732</v>
      </c>
      <c r="G691" s="104">
        <v>299</v>
      </c>
      <c r="H691" s="105">
        <v>13.4</v>
      </c>
      <c r="I691" s="104">
        <v>1983</v>
      </c>
      <c r="J691" s="106">
        <v>17.7</v>
      </c>
    </row>
    <row r="692" spans="1:10" ht="16">
      <c r="A692" s="93" t="s">
        <v>713</v>
      </c>
      <c r="B692" s="94" t="s">
        <v>642</v>
      </c>
      <c r="C692" s="95" t="s">
        <v>76</v>
      </c>
      <c r="D692" s="96" t="s">
        <v>82</v>
      </c>
      <c r="E692" s="97">
        <v>3659</v>
      </c>
      <c r="F692" s="97">
        <v>1742</v>
      </c>
      <c r="G692" s="97">
        <v>37</v>
      </c>
      <c r="H692" s="98">
        <v>8.6999999999999993</v>
      </c>
      <c r="I692" s="97">
        <v>1757</v>
      </c>
      <c r="J692" s="99">
        <v>30.3</v>
      </c>
    </row>
    <row r="693" spans="1:10" ht="16">
      <c r="A693" s="100" t="s">
        <v>948</v>
      </c>
      <c r="B693" s="101" t="s">
        <v>919</v>
      </c>
      <c r="C693" s="102" t="s">
        <v>107</v>
      </c>
      <c r="D693" s="103" t="s">
        <v>92</v>
      </c>
      <c r="E693" s="104">
        <v>23800</v>
      </c>
      <c r="F693" s="104">
        <v>1425</v>
      </c>
      <c r="G693" s="104">
        <v>952</v>
      </c>
      <c r="H693" s="105">
        <v>12.8</v>
      </c>
      <c r="I693" s="104">
        <v>877</v>
      </c>
      <c r="J693" s="106">
        <v>18.100000000000001</v>
      </c>
    </row>
    <row r="694" spans="1:10" ht="16">
      <c r="A694" s="93" t="s">
        <v>276</v>
      </c>
      <c r="B694" s="94" t="s">
        <v>223</v>
      </c>
      <c r="C694" s="95" t="s">
        <v>107</v>
      </c>
      <c r="D694" s="96" t="s">
        <v>61</v>
      </c>
      <c r="E694" s="97">
        <v>64648</v>
      </c>
      <c r="F694" s="97">
        <v>4685</v>
      </c>
      <c r="G694" s="97">
        <v>2586</v>
      </c>
      <c r="H694" s="98">
        <v>24.8</v>
      </c>
      <c r="I694" s="97">
        <v>9499</v>
      </c>
      <c r="J694" s="99">
        <v>30.6</v>
      </c>
    </row>
    <row r="695" spans="1:10" ht="16">
      <c r="A695" s="100" t="s">
        <v>815</v>
      </c>
      <c r="B695" s="101" t="s">
        <v>814</v>
      </c>
      <c r="C695" s="102" t="s">
        <v>107</v>
      </c>
      <c r="D695" s="103" t="s">
        <v>80</v>
      </c>
      <c r="E695" s="104">
        <v>90736</v>
      </c>
      <c r="F695" s="104">
        <v>1589</v>
      </c>
      <c r="G695" s="104">
        <v>1815</v>
      </c>
      <c r="H695" s="105">
        <v>7.6</v>
      </c>
      <c r="I695" s="104">
        <v>4065</v>
      </c>
      <c r="J695" s="106">
        <v>25.2</v>
      </c>
    </row>
    <row r="696" spans="1:10" ht="16">
      <c r="A696" s="93" t="s">
        <v>885</v>
      </c>
      <c r="B696" s="94" t="s">
        <v>879</v>
      </c>
      <c r="C696" s="95" t="s">
        <v>107</v>
      </c>
      <c r="D696" s="96" t="s">
        <v>59</v>
      </c>
      <c r="E696" s="97">
        <v>20646</v>
      </c>
      <c r="F696" s="97">
        <v>1639</v>
      </c>
      <c r="G696" s="97">
        <v>206</v>
      </c>
      <c r="H696" s="98">
        <v>9.3000000000000007</v>
      </c>
      <c r="I696" s="97">
        <v>2969</v>
      </c>
      <c r="J696" s="99">
        <v>16.399999999999999</v>
      </c>
    </row>
    <row r="697" spans="1:10" ht="16">
      <c r="A697" s="100" t="s">
        <v>1130</v>
      </c>
      <c r="B697" s="101" t="s">
        <v>1120</v>
      </c>
      <c r="C697" s="102" t="s">
        <v>76</v>
      </c>
      <c r="D697" s="103" t="s">
        <v>59</v>
      </c>
      <c r="E697" s="104">
        <v>24542</v>
      </c>
      <c r="F697" s="104">
        <v>1239</v>
      </c>
      <c r="G697" s="104">
        <v>736</v>
      </c>
      <c r="H697" s="105">
        <v>8.3000000000000007</v>
      </c>
      <c r="I697" s="104">
        <v>1131</v>
      </c>
      <c r="J697" s="106">
        <v>15.5</v>
      </c>
    </row>
    <row r="698" spans="1:10" ht="16">
      <c r="A698" s="93" t="s">
        <v>193</v>
      </c>
      <c r="B698" s="94" t="s">
        <v>184</v>
      </c>
      <c r="C698" s="95" t="s">
        <v>76</v>
      </c>
      <c r="D698" s="96" t="s">
        <v>62</v>
      </c>
      <c r="E698" s="97">
        <v>26521</v>
      </c>
      <c r="F698" s="97">
        <v>971</v>
      </c>
      <c r="G698" s="97">
        <v>7956</v>
      </c>
      <c r="H698" s="98">
        <v>35.5</v>
      </c>
      <c r="I698" s="97">
        <v>26747</v>
      </c>
      <c r="J698" s="99">
        <v>24.1</v>
      </c>
    </row>
    <row r="699" spans="1:10" ht="16">
      <c r="A699" s="100" t="s">
        <v>971</v>
      </c>
      <c r="B699" s="101" t="s">
        <v>970</v>
      </c>
      <c r="C699" s="102" t="s">
        <v>76</v>
      </c>
      <c r="D699" s="103" t="s">
        <v>62</v>
      </c>
      <c r="E699" s="104">
        <v>6570</v>
      </c>
      <c r="F699" s="104">
        <v>466</v>
      </c>
      <c r="G699" s="104">
        <v>131</v>
      </c>
      <c r="H699" s="105">
        <v>8.4</v>
      </c>
      <c r="I699" s="104">
        <v>817</v>
      </c>
      <c r="J699" s="106">
        <v>17.7</v>
      </c>
    </row>
    <row r="700" spans="1:10" ht="16">
      <c r="A700" s="93" t="s">
        <v>972</v>
      </c>
      <c r="B700" s="94" t="s">
        <v>970</v>
      </c>
      <c r="C700" s="95" t="s">
        <v>107</v>
      </c>
      <c r="D700" s="96" t="s">
        <v>82</v>
      </c>
      <c r="E700" s="97">
        <v>13108</v>
      </c>
      <c r="F700" s="97">
        <v>986</v>
      </c>
      <c r="G700" s="97">
        <v>393</v>
      </c>
      <c r="H700" s="98">
        <v>12.4</v>
      </c>
      <c r="I700" s="97">
        <v>1217</v>
      </c>
      <c r="J700" s="99">
        <v>22.5</v>
      </c>
    </row>
    <row r="701" spans="1:10" ht="16">
      <c r="A701" s="100" t="s">
        <v>1231</v>
      </c>
      <c r="B701" s="101" t="s">
        <v>1190</v>
      </c>
      <c r="C701" s="102" t="s">
        <v>76</v>
      </c>
      <c r="D701" s="103" t="s">
        <v>92</v>
      </c>
      <c r="E701" s="104">
        <v>5194</v>
      </c>
      <c r="F701" s="104">
        <v>429</v>
      </c>
      <c r="G701" s="104">
        <v>2753</v>
      </c>
      <c r="H701" s="105">
        <v>37.700000000000003</v>
      </c>
      <c r="I701" s="104">
        <v>11768</v>
      </c>
      <c r="J701" s="106">
        <v>41.9</v>
      </c>
    </row>
    <row r="702" spans="1:10" ht="16">
      <c r="A702" s="93" t="s">
        <v>181</v>
      </c>
      <c r="B702" s="94" t="s">
        <v>182</v>
      </c>
      <c r="C702" s="95" t="s">
        <v>76</v>
      </c>
      <c r="D702" s="96" t="s">
        <v>62</v>
      </c>
      <c r="E702" s="97">
        <v>21988</v>
      </c>
      <c r="F702" s="97">
        <v>2364</v>
      </c>
      <c r="G702" s="97">
        <v>1319</v>
      </c>
      <c r="H702" s="98">
        <v>9.6</v>
      </c>
      <c r="I702" s="97">
        <v>1373</v>
      </c>
      <c r="J702" s="99">
        <v>20.7</v>
      </c>
    </row>
    <row r="703" spans="1:10" ht="16">
      <c r="A703" s="100" t="s">
        <v>1011</v>
      </c>
      <c r="B703" s="101" t="s">
        <v>988</v>
      </c>
      <c r="C703" s="102" t="s">
        <v>107</v>
      </c>
      <c r="D703" s="103" t="s">
        <v>63</v>
      </c>
      <c r="E703" s="104">
        <v>9559</v>
      </c>
      <c r="F703" s="104">
        <v>417</v>
      </c>
      <c r="G703" s="104">
        <v>1051</v>
      </c>
      <c r="H703" s="105">
        <v>28.2</v>
      </c>
      <c r="I703" s="104">
        <v>6660</v>
      </c>
      <c r="J703" s="106">
        <v>24.4</v>
      </c>
    </row>
    <row r="704" spans="1:10" ht="16">
      <c r="A704" s="93" t="s">
        <v>359</v>
      </c>
      <c r="B704" s="94" t="s">
        <v>344</v>
      </c>
      <c r="C704" s="95" t="s">
        <v>76</v>
      </c>
      <c r="D704" s="96" t="s">
        <v>77</v>
      </c>
      <c r="E704" s="97">
        <v>52056</v>
      </c>
      <c r="F704" s="97">
        <v>1808</v>
      </c>
      <c r="G704" s="97">
        <v>1165</v>
      </c>
      <c r="H704" s="98">
        <v>7.4</v>
      </c>
      <c r="I704" s="97">
        <v>2638</v>
      </c>
      <c r="J704" s="99">
        <v>13.8</v>
      </c>
    </row>
    <row r="705" spans="1:10" ht="16">
      <c r="A705" s="100" t="s">
        <v>277</v>
      </c>
      <c r="B705" s="101" t="s">
        <v>223</v>
      </c>
      <c r="C705" s="102" t="s">
        <v>76</v>
      </c>
      <c r="D705" s="103" t="s">
        <v>60</v>
      </c>
      <c r="E705" s="104">
        <v>44835</v>
      </c>
      <c r="F705" s="104">
        <v>2734</v>
      </c>
      <c r="G705" s="104">
        <v>3138</v>
      </c>
      <c r="H705" s="105">
        <v>20.8</v>
      </c>
      <c r="I705" s="104">
        <v>14190</v>
      </c>
      <c r="J705" s="106">
        <v>23.4</v>
      </c>
    </row>
    <row r="706" spans="1:10" ht="16">
      <c r="A706" s="93" t="s">
        <v>1012</v>
      </c>
      <c r="B706" s="94" t="s">
        <v>988</v>
      </c>
      <c r="C706" s="95" t="s">
        <v>107</v>
      </c>
      <c r="D706" s="96" t="s">
        <v>59</v>
      </c>
      <c r="E706" s="97">
        <v>15516</v>
      </c>
      <c r="F706" s="97">
        <v>848</v>
      </c>
      <c r="G706" s="97">
        <v>931</v>
      </c>
      <c r="H706" s="98">
        <v>10.7</v>
      </c>
      <c r="I706" s="97">
        <v>1629</v>
      </c>
      <c r="J706" s="99">
        <v>20.8</v>
      </c>
    </row>
    <row r="707" spans="1:10" ht="16">
      <c r="A707" s="100" t="s">
        <v>714</v>
      </c>
      <c r="B707" s="101" t="s">
        <v>642</v>
      </c>
      <c r="C707" s="102" t="s">
        <v>76</v>
      </c>
      <c r="D707" s="103" t="s">
        <v>77</v>
      </c>
      <c r="E707" s="104">
        <v>13369</v>
      </c>
      <c r="F707" s="104">
        <v>552</v>
      </c>
      <c r="G707" s="104">
        <v>1203</v>
      </c>
      <c r="H707" s="105">
        <v>11.6</v>
      </c>
      <c r="I707" s="104">
        <v>1664</v>
      </c>
      <c r="J707" s="106">
        <v>21.6</v>
      </c>
    </row>
    <row r="708" spans="1:10" ht="16">
      <c r="A708" s="93" t="s">
        <v>388</v>
      </c>
      <c r="B708" s="94" t="s">
        <v>377</v>
      </c>
      <c r="C708" s="95" t="s">
        <v>76</v>
      </c>
      <c r="D708" s="96" t="s">
        <v>59</v>
      </c>
      <c r="E708" s="97">
        <v>43076</v>
      </c>
      <c r="F708" s="97">
        <v>3191</v>
      </c>
      <c r="G708" s="97">
        <v>8184</v>
      </c>
      <c r="H708" s="98">
        <v>50.6</v>
      </c>
      <c r="I708" s="97">
        <v>40505</v>
      </c>
      <c r="J708" s="99">
        <v>62.3</v>
      </c>
    </row>
    <row r="709" spans="1:10" ht="16">
      <c r="A709" s="100" t="s">
        <v>278</v>
      </c>
      <c r="B709" s="101" t="s">
        <v>223</v>
      </c>
      <c r="C709" s="102" t="s">
        <v>107</v>
      </c>
      <c r="D709" s="103" t="s">
        <v>62</v>
      </c>
      <c r="E709" s="104">
        <v>41139</v>
      </c>
      <c r="F709" s="104">
        <v>2960</v>
      </c>
      <c r="G709" s="104">
        <v>2057</v>
      </c>
      <c r="H709" s="105">
        <v>29.1</v>
      </c>
      <c r="I709" s="104">
        <v>17847</v>
      </c>
      <c r="J709" s="106">
        <v>24</v>
      </c>
    </row>
    <row r="710" spans="1:10" ht="16">
      <c r="A710" s="93" t="s">
        <v>949</v>
      </c>
      <c r="B710" s="94" t="s">
        <v>919</v>
      </c>
      <c r="C710" s="95" t="s">
        <v>107</v>
      </c>
      <c r="D710" s="96" t="s">
        <v>63</v>
      </c>
      <c r="E710" s="97">
        <v>28840</v>
      </c>
      <c r="F710" s="97">
        <v>1687</v>
      </c>
      <c r="G710" s="97">
        <v>1442</v>
      </c>
      <c r="H710" s="98">
        <v>10.5</v>
      </c>
      <c r="I710" s="97">
        <v>2194</v>
      </c>
      <c r="J710" s="99">
        <v>16.100000000000001</v>
      </c>
    </row>
    <row r="711" spans="1:10" ht="16">
      <c r="A711" s="100" t="s">
        <v>360</v>
      </c>
      <c r="B711" s="101" t="s">
        <v>344</v>
      </c>
      <c r="C711" s="102" t="s">
        <v>76</v>
      </c>
      <c r="D711" s="103" t="s">
        <v>62</v>
      </c>
      <c r="E711" s="104">
        <v>47488</v>
      </c>
      <c r="F711" s="104">
        <v>991</v>
      </c>
      <c r="G711" s="104">
        <v>950</v>
      </c>
      <c r="H711" s="105">
        <v>7.9</v>
      </c>
      <c r="I711" s="104">
        <v>3023</v>
      </c>
      <c r="J711" s="106">
        <v>12.8</v>
      </c>
    </row>
    <row r="712" spans="1:10" ht="16">
      <c r="A712" s="93" t="s">
        <v>279</v>
      </c>
      <c r="B712" s="94" t="s">
        <v>223</v>
      </c>
      <c r="C712" s="95" t="s">
        <v>107</v>
      </c>
      <c r="D712" s="96" t="s">
        <v>80</v>
      </c>
      <c r="E712" s="97">
        <v>32951</v>
      </c>
      <c r="F712" s="97">
        <v>2841</v>
      </c>
      <c r="G712" s="97">
        <v>1648</v>
      </c>
      <c r="H712" s="98">
        <v>33.4</v>
      </c>
      <c r="I712" s="97">
        <v>14296</v>
      </c>
      <c r="J712" s="99">
        <v>29.6</v>
      </c>
    </row>
    <row r="713" spans="1:10" ht="16">
      <c r="A713" s="100" t="s">
        <v>108</v>
      </c>
      <c r="B713" s="101" t="s">
        <v>89</v>
      </c>
      <c r="C713" s="102" t="s">
        <v>76</v>
      </c>
      <c r="D713" s="103" t="s">
        <v>77</v>
      </c>
      <c r="E713" s="104">
        <v>9064</v>
      </c>
      <c r="F713" s="104">
        <v>363</v>
      </c>
      <c r="G713" s="104">
        <v>2266</v>
      </c>
      <c r="H713" s="105">
        <v>21.5</v>
      </c>
      <c r="I713" s="104">
        <v>10699</v>
      </c>
      <c r="J713" s="106">
        <v>18.5</v>
      </c>
    </row>
    <row r="714" spans="1:10" ht="16">
      <c r="A714" s="93" t="s">
        <v>950</v>
      </c>
      <c r="B714" s="94" t="s">
        <v>919</v>
      </c>
      <c r="C714" s="95" t="s">
        <v>76</v>
      </c>
      <c r="D714" s="96" t="s">
        <v>59</v>
      </c>
      <c r="E714" s="97">
        <v>19038</v>
      </c>
      <c r="F714" s="97">
        <v>2092</v>
      </c>
      <c r="G714" s="97">
        <v>1713</v>
      </c>
      <c r="H714" s="98">
        <v>10</v>
      </c>
      <c r="I714" s="97">
        <v>2060</v>
      </c>
      <c r="J714" s="99">
        <v>20.399999999999999</v>
      </c>
    </row>
    <row r="715" spans="1:10" ht="16">
      <c r="A715" s="100" t="s">
        <v>280</v>
      </c>
      <c r="B715" s="101" t="s">
        <v>223</v>
      </c>
      <c r="C715" s="102" t="s">
        <v>76</v>
      </c>
      <c r="D715" s="103" t="s">
        <v>62</v>
      </c>
      <c r="E715" s="104">
        <v>19306</v>
      </c>
      <c r="F715" s="104">
        <v>2925</v>
      </c>
      <c r="G715" s="104">
        <v>1351</v>
      </c>
      <c r="H715" s="105">
        <v>12.2</v>
      </c>
      <c r="I715" s="104">
        <v>3060</v>
      </c>
      <c r="J715" s="106">
        <v>27.2</v>
      </c>
    </row>
    <row r="716" spans="1:10" ht="16">
      <c r="A716" s="93" t="s">
        <v>281</v>
      </c>
      <c r="B716" s="94" t="s">
        <v>223</v>
      </c>
      <c r="C716" s="95" t="s">
        <v>107</v>
      </c>
      <c r="D716" s="96" t="s">
        <v>77</v>
      </c>
      <c r="E716" s="97">
        <v>3198</v>
      </c>
      <c r="F716" s="97">
        <v>337</v>
      </c>
      <c r="G716" s="97">
        <v>220</v>
      </c>
      <c r="H716" s="98">
        <v>23.5</v>
      </c>
      <c r="I716" s="97">
        <v>20118</v>
      </c>
      <c r="J716" s="99">
        <v>23.9</v>
      </c>
    </row>
    <row r="717" spans="1:10" ht="16">
      <c r="A717" s="100" t="s">
        <v>282</v>
      </c>
      <c r="B717" s="101" t="s">
        <v>223</v>
      </c>
      <c r="C717" s="102" t="s">
        <v>107</v>
      </c>
      <c r="D717" s="103" t="s">
        <v>59</v>
      </c>
      <c r="E717" s="104">
        <v>38059</v>
      </c>
      <c r="F717" s="104">
        <v>2394</v>
      </c>
      <c r="G717" s="104">
        <v>761</v>
      </c>
      <c r="H717" s="105">
        <v>16.600000000000001</v>
      </c>
      <c r="I717" s="104">
        <v>3459</v>
      </c>
      <c r="J717" s="106">
        <v>17.899999999999999</v>
      </c>
    </row>
    <row r="718" spans="1:10" ht="16">
      <c r="A718" s="93" t="s">
        <v>283</v>
      </c>
      <c r="B718" s="94" t="s">
        <v>223</v>
      </c>
      <c r="C718" s="95" t="s">
        <v>76</v>
      </c>
      <c r="D718" s="96" t="s">
        <v>77</v>
      </c>
      <c r="E718" s="97">
        <v>22283</v>
      </c>
      <c r="F718" s="97">
        <v>1401</v>
      </c>
      <c r="G718" s="97">
        <v>446</v>
      </c>
      <c r="H718" s="98">
        <v>11.6</v>
      </c>
      <c r="I718" s="97">
        <v>5613</v>
      </c>
      <c r="J718" s="99">
        <v>18.100000000000001</v>
      </c>
    </row>
    <row r="719" spans="1:10" ht="16">
      <c r="A719" s="100" t="s">
        <v>520</v>
      </c>
      <c r="B719" s="101" t="s">
        <v>474</v>
      </c>
      <c r="C719" s="102" t="s">
        <v>107</v>
      </c>
      <c r="D719" s="103" t="s">
        <v>59</v>
      </c>
      <c r="E719" s="104">
        <v>7832</v>
      </c>
      <c r="F719" s="104">
        <v>505</v>
      </c>
      <c r="G719" s="104">
        <v>175</v>
      </c>
      <c r="H719" s="105">
        <v>10</v>
      </c>
      <c r="I719" s="104">
        <v>3287</v>
      </c>
      <c r="J719" s="106">
        <v>37.299999999999997</v>
      </c>
    </row>
    <row r="720" spans="1:10" ht="16">
      <c r="A720" s="93" t="s">
        <v>1131</v>
      </c>
      <c r="B720" s="94" t="s">
        <v>1120</v>
      </c>
      <c r="C720" s="95" t="s">
        <v>76</v>
      </c>
      <c r="D720" s="96" t="s">
        <v>82</v>
      </c>
      <c r="E720" s="97">
        <v>22247</v>
      </c>
      <c r="F720" s="97">
        <v>1279</v>
      </c>
      <c r="G720" s="97">
        <v>2112</v>
      </c>
      <c r="H720" s="98">
        <v>8.4</v>
      </c>
      <c r="I720" s="97">
        <v>1068</v>
      </c>
      <c r="J720" s="99">
        <v>19.899999999999999</v>
      </c>
    </row>
    <row r="721" spans="1:10" ht="16">
      <c r="A721" s="100" t="s">
        <v>521</v>
      </c>
      <c r="B721" s="101" t="s">
        <v>474</v>
      </c>
      <c r="C721" s="102" t="s">
        <v>107</v>
      </c>
      <c r="D721" s="103" t="s">
        <v>130</v>
      </c>
      <c r="E721" s="104">
        <v>51031</v>
      </c>
      <c r="F721" s="104">
        <v>3271</v>
      </c>
      <c r="G721" s="104">
        <v>1021</v>
      </c>
      <c r="H721" s="105">
        <v>8.1999999999999993</v>
      </c>
      <c r="I721" s="104">
        <v>1501</v>
      </c>
      <c r="J721" s="106">
        <v>16.899999999999999</v>
      </c>
    </row>
    <row r="722" spans="1:10" ht="16">
      <c r="A722" s="93" t="s">
        <v>715</v>
      </c>
      <c r="B722" s="94" t="s">
        <v>642</v>
      </c>
      <c r="C722" s="95" t="s">
        <v>107</v>
      </c>
      <c r="D722" s="96" t="s">
        <v>61</v>
      </c>
      <c r="E722" s="97">
        <v>846</v>
      </c>
      <c r="F722" s="97">
        <v>846</v>
      </c>
      <c r="G722" s="97">
        <v>8</v>
      </c>
      <c r="H722" s="98">
        <v>7.9</v>
      </c>
      <c r="I722" s="97">
        <v>2933</v>
      </c>
      <c r="J722" s="99">
        <v>27</v>
      </c>
    </row>
    <row r="723" spans="1:10" ht="16">
      <c r="A723" s="100" t="s">
        <v>951</v>
      </c>
      <c r="B723" s="101" t="s">
        <v>919</v>
      </c>
      <c r="C723" s="102" t="s">
        <v>107</v>
      </c>
      <c r="D723" s="103" t="s">
        <v>130</v>
      </c>
      <c r="E723" s="104">
        <v>8021</v>
      </c>
      <c r="F723" s="104">
        <v>642</v>
      </c>
      <c r="G723" s="104">
        <v>1444</v>
      </c>
      <c r="H723" s="105">
        <v>13</v>
      </c>
      <c r="I723" s="104">
        <v>2679</v>
      </c>
      <c r="J723" s="106">
        <v>19.8</v>
      </c>
    </row>
    <row r="724" spans="1:10" ht="16">
      <c r="A724" s="93" t="s">
        <v>1232</v>
      </c>
      <c r="B724" s="94" t="s">
        <v>1190</v>
      </c>
      <c r="C724" s="95" t="s">
        <v>107</v>
      </c>
      <c r="D724" s="96" t="s">
        <v>62</v>
      </c>
      <c r="E724" s="97">
        <v>8558</v>
      </c>
      <c r="F724" s="97">
        <v>578</v>
      </c>
      <c r="G724" s="97">
        <v>1027</v>
      </c>
      <c r="H724" s="98">
        <v>9.8000000000000007</v>
      </c>
      <c r="I724" s="97">
        <v>4227</v>
      </c>
      <c r="J724" s="99">
        <v>16.8</v>
      </c>
    </row>
    <row r="725" spans="1:10" ht="16">
      <c r="A725" s="100" t="s">
        <v>1364</v>
      </c>
      <c r="B725" s="101" t="s">
        <v>1288</v>
      </c>
      <c r="C725" s="102" t="s">
        <v>107</v>
      </c>
      <c r="D725" s="103" t="s">
        <v>82</v>
      </c>
      <c r="E725" s="104">
        <v>16135</v>
      </c>
      <c r="F725" s="104">
        <v>2210</v>
      </c>
      <c r="G725" s="104">
        <v>3711</v>
      </c>
      <c r="H725" s="105">
        <v>96.4</v>
      </c>
      <c r="I725" s="104">
        <v>96370</v>
      </c>
      <c r="J725" s="106">
        <v>92.8</v>
      </c>
    </row>
    <row r="726" spans="1:10" ht="16">
      <c r="A726" s="93" t="s">
        <v>1365</v>
      </c>
      <c r="B726" s="94" t="s">
        <v>1288</v>
      </c>
      <c r="C726" s="95" t="s">
        <v>76</v>
      </c>
      <c r="D726" s="96" t="s">
        <v>82</v>
      </c>
      <c r="E726" s="97">
        <v>15947</v>
      </c>
      <c r="F726" s="97">
        <v>961</v>
      </c>
      <c r="G726" s="97">
        <v>1595</v>
      </c>
      <c r="H726" s="98">
        <v>35.4</v>
      </c>
      <c r="I726" s="97">
        <v>25818</v>
      </c>
      <c r="J726" s="99">
        <v>24</v>
      </c>
    </row>
    <row r="727" spans="1:10" ht="16">
      <c r="A727" s="100" t="s">
        <v>173</v>
      </c>
      <c r="B727" s="101" t="s">
        <v>150</v>
      </c>
      <c r="C727" s="102" t="s">
        <v>76</v>
      </c>
      <c r="D727" s="103" t="s">
        <v>61</v>
      </c>
      <c r="E727" s="104">
        <v>11911</v>
      </c>
      <c r="F727" s="104">
        <v>953</v>
      </c>
      <c r="G727" s="104">
        <v>820</v>
      </c>
      <c r="H727" s="105">
        <v>8.5</v>
      </c>
      <c r="I727" s="104">
        <v>2262</v>
      </c>
      <c r="J727" s="106">
        <v>17.600000000000001</v>
      </c>
    </row>
    <row r="728" spans="1:10" ht="16">
      <c r="A728" s="93" t="s">
        <v>174</v>
      </c>
      <c r="B728" s="94" t="s">
        <v>150</v>
      </c>
      <c r="C728" s="95" t="s">
        <v>76</v>
      </c>
      <c r="D728" s="96" t="s">
        <v>92</v>
      </c>
      <c r="E728" s="97">
        <v>3954</v>
      </c>
      <c r="F728" s="97">
        <v>841</v>
      </c>
      <c r="G728" s="97">
        <v>272</v>
      </c>
      <c r="H728" s="98">
        <v>7.6</v>
      </c>
      <c r="I728" s="97">
        <v>648</v>
      </c>
      <c r="J728" s="99">
        <v>27.4</v>
      </c>
    </row>
    <row r="729" spans="1:10" ht="16">
      <c r="A729" s="100" t="s">
        <v>978</v>
      </c>
      <c r="B729" s="101" t="s">
        <v>977</v>
      </c>
      <c r="C729" s="102" t="s">
        <v>76</v>
      </c>
      <c r="D729" s="103" t="s">
        <v>80</v>
      </c>
      <c r="E729" s="104">
        <v>24308</v>
      </c>
      <c r="F729" s="104">
        <v>931</v>
      </c>
      <c r="G729" s="104">
        <v>1945</v>
      </c>
      <c r="H729" s="105">
        <v>34.6</v>
      </c>
      <c r="I729" s="104">
        <v>25813</v>
      </c>
      <c r="J729" s="106">
        <v>29.5</v>
      </c>
    </row>
    <row r="730" spans="1:10" ht="16">
      <c r="A730" s="93" t="s">
        <v>1366</v>
      </c>
      <c r="B730" s="94" t="s">
        <v>1288</v>
      </c>
      <c r="C730" s="95" t="s">
        <v>107</v>
      </c>
      <c r="D730" s="96" t="s">
        <v>59</v>
      </c>
      <c r="E730" s="97">
        <v>5943</v>
      </c>
      <c r="F730" s="97">
        <v>356</v>
      </c>
      <c r="G730" s="97">
        <v>2258</v>
      </c>
      <c r="H730" s="98">
        <v>15.8</v>
      </c>
      <c r="I730" s="97">
        <v>9253</v>
      </c>
      <c r="J730" s="99">
        <v>22.5</v>
      </c>
    </row>
    <row r="731" spans="1:10" ht="16">
      <c r="A731" s="100" t="s">
        <v>1067</v>
      </c>
      <c r="B731" s="101" t="s">
        <v>1062</v>
      </c>
      <c r="C731" s="102" t="s">
        <v>107</v>
      </c>
      <c r="D731" s="103" t="s">
        <v>59</v>
      </c>
      <c r="E731" s="104">
        <v>27185</v>
      </c>
      <c r="F731" s="104">
        <v>1394</v>
      </c>
      <c r="G731" s="104">
        <v>3806</v>
      </c>
      <c r="H731" s="105">
        <v>46.4</v>
      </c>
      <c r="I731" s="104">
        <v>39462</v>
      </c>
      <c r="J731" s="106">
        <v>30</v>
      </c>
    </row>
    <row r="732" spans="1:10" ht="16">
      <c r="A732" s="93" t="s">
        <v>1367</v>
      </c>
      <c r="B732" s="94" t="s">
        <v>1288</v>
      </c>
      <c r="C732" s="95" t="s">
        <v>107</v>
      </c>
      <c r="D732" s="96" t="s">
        <v>92</v>
      </c>
      <c r="E732" s="97">
        <v>24201</v>
      </c>
      <c r="F732" s="97">
        <v>2305</v>
      </c>
      <c r="G732" s="97">
        <v>5566</v>
      </c>
      <c r="H732" s="98">
        <v>23.5</v>
      </c>
      <c r="I732" s="97">
        <v>18125</v>
      </c>
      <c r="J732" s="99">
        <v>34.4</v>
      </c>
    </row>
    <row r="733" spans="1:10" ht="16">
      <c r="A733" s="100" t="s">
        <v>361</v>
      </c>
      <c r="B733" s="101" t="s">
        <v>344</v>
      </c>
      <c r="C733" s="102" t="s">
        <v>76</v>
      </c>
      <c r="D733" s="103" t="s">
        <v>61</v>
      </c>
      <c r="E733" s="104">
        <v>35363</v>
      </c>
      <c r="F733" s="104">
        <v>3274</v>
      </c>
      <c r="G733" s="104">
        <v>354</v>
      </c>
      <c r="H733" s="105">
        <v>8.6999999999999993</v>
      </c>
      <c r="I733" s="104">
        <v>7222</v>
      </c>
      <c r="J733" s="106">
        <v>19.899999999999999</v>
      </c>
    </row>
    <row r="734" spans="1:10" ht="16">
      <c r="A734" s="93" t="s">
        <v>855</v>
      </c>
      <c r="B734" s="94" t="s">
        <v>856</v>
      </c>
      <c r="C734" s="95" t="s">
        <v>107</v>
      </c>
      <c r="D734" s="96" t="s">
        <v>84</v>
      </c>
      <c r="E734" s="97">
        <v>6823</v>
      </c>
      <c r="F734" s="97">
        <v>922</v>
      </c>
      <c r="G734" s="97">
        <v>273</v>
      </c>
      <c r="H734" s="98">
        <v>10.6</v>
      </c>
      <c r="I734" s="97">
        <v>2025</v>
      </c>
      <c r="J734" s="99">
        <v>23.8</v>
      </c>
    </row>
    <row r="735" spans="1:10" ht="16">
      <c r="A735" s="100" t="s">
        <v>1181</v>
      </c>
      <c r="B735" s="101" t="s">
        <v>1178</v>
      </c>
      <c r="C735" s="102" t="s">
        <v>107</v>
      </c>
      <c r="D735" s="103" t="s">
        <v>59</v>
      </c>
      <c r="E735" s="104">
        <v>9293</v>
      </c>
      <c r="F735" s="104">
        <v>894</v>
      </c>
      <c r="G735" s="104">
        <v>1208</v>
      </c>
      <c r="H735" s="105">
        <v>10</v>
      </c>
      <c r="I735" s="104">
        <v>1337</v>
      </c>
      <c r="J735" s="106">
        <v>19.8</v>
      </c>
    </row>
    <row r="736" spans="1:10" ht="16">
      <c r="A736" s="93" t="s">
        <v>284</v>
      </c>
      <c r="B736" s="94" t="s">
        <v>223</v>
      </c>
      <c r="C736" s="95" t="s">
        <v>76</v>
      </c>
      <c r="D736" s="96" t="s">
        <v>82</v>
      </c>
      <c r="E736" s="97">
        <v>53603</v>
      </c>
      <c r="F736" s="97">
        <v>3229</v>
      </c>
      <c r="G736" s="97">
        <v>4824</v>
      </c>
      <c r="H736" s="98">
        <v>35.799999999999997</v>
      </c>
      <c r="I736" s="97">
        <v>22780</v>
      </c>
      <c r="J736" s="99">
        <v>43.6</v>
      </c>
    </row>
    <row r="737" spans="1:10" ht="16">
      <c r="A737" s="100" t="s">
        <v>1013</v>
      </c>
      <c r="B737" s="101" t="s">
        <v>988</v>
      </c>
      <c r="C737" s="102" t="s">
        <v>107</v>
      </c>
      <c r="D737" s="103" t="s">
        <v>82</v>
      </c>
      <c r="E737" s="104">
        <v>23342</v>
      </c>
      <c r="F737" s="104">
        <v>1197</v>
      </c>
      <c r="G737" s="104">
        <v>3501</v>
      </c>
      <c r="H737" s="105">
        <v>61.2</v>
      </c>
      <c r="I737" s="104">
        <v>43054</v>
      </c>
      <c r="J737" s="106">
        <v>57.6</v>
      </c>
    </row>
    <row r="738" spans="1:10" ht="16">
      <c r="A738" s="93" t="s">
        <v>1132</v>
      </c>
      <c r="B738" s="94" t="s">
        <v>1120</v>
      </c>
      <c r="C738" s="95" t="s">
        <v>76</v>
      </c>
      <c r="D738" s="96" t="s">
        <v>82</v>
      </c>
      <c r="E738" s="97">
        <v>15901</v>
      </c>
      <c r="F738" s="97">
        <v>466</v>
      </c>
      <c r="G738" s="97">
        <v>159</v>
      </c>
      <c r="H738" s="98">
        <v>12.3</v>
      </c>
      <c r="I738" s="97">
        <v>3336</v>
      </c>
      <c r="J738" s="99">
        <v>19.7</v>
      </c>
    </row>
    <row r="739" spans="1:10" ht="16">
      <c r="A739" s="100" t="s">
        <v>1233</v>
      </c>
      <c r="B739" s="101" t="s">
        <v>1190</v>
      </c>
      <c r="C739" s="102" t="s">
        <v>107</v>
      </c>
      <c r="D739" s="103" t="s">
        <v>84</v>
      </c>
      <c r="E739" s="104">
        <v>16445</v>
      </c>
      <c r="F739" s="104">
        <v>985</v>
      </c>
      <c r="G739" s="104">
        <v>3782</v>
      </c>
      <c r="H739" s="105">
        <v>24.1</v>
      </c>
      <c r="I739" s="104">
        <v>22520</v>
      </c>
      <c r="J739" s="106">
        <v>21.3</v>
      </c>
    </row>
    <row r="740" spans="1:10" ht="16">
      <c r="A740" s="93" t="s">
        <v>1068</v>
      </c>
      <c r="B740" s="94" t="s">
        <v>1062</v>
      </c>
      <c r="C740" s="95" t="s">
        <v>76</v>
      </c>
      <c r="D740" s="96" t="s">
        <v>63</v>
      </c>
      <c r="E740" s="97">
        <v>3737</v>
      </c>
      <c r="F740" s="97">
        <v>830</v>
      </c>
      <c r="G740" s="97">
        <v>149</v>
      </c>
      <c r="H740" s="98">
        <v>29.5</v>
      </c>
      <c r="I740" s="97">
        <v>21713</v>
      </c>
      <c r="J740" s="99">
        <v>31.1</v>
      </c>
    </row>
    <row r="741" spans="1:10" ht="16">
      <c r="A741" s="100" t="s">
        <v>109</v>
      </c>
      <c r="B741" s="101" t="s">
        <v>89</v>
      </c>
      <c r="C741" s="102" t="s">
        <v>107</v>
      </c>
      <c r="D741" s="103" t="s">
        <v>84</v>
      </c>
      <c r="E741" s="104">
        <v>14379</v>
      </c>
      <c r="F741" s="104">
        <v>515</v>
      </c>
      <c r="G741" s="104">
        <v>3882</v>
      </c>
      <c r="H741" s="105">
        <v>28.9</v>
      </c>
      <c r="I741" s="104">
        <v>19245</v>
      </c>
      <c r="J741" s="106">
        <v>24.5</v>
      </c>
    </row>
    <row r="742" spans="1:10" ht="16">
      <c r="A742" s="93" t="s">
        <v>886</v>
      </c>
      <c r="B742" s="94" t="s">
        <v>879</v>
      </c>
      <c r="C742" s="95" t="s">
        <v>76</v>
      </c>
      <c r="D742" s="96" t="s">
        <v>82</v>
      </c>
      <c r="E742" s="97">
        <v>13561</v>
      </c>
      <c r="F742" s="97">
        <v>384</v>
      </c>
      <c r="G742" s="97">
        <v>1220</v>
      </c>
      <c r="H742" s="98">
        <v>12.3</v>
      </c>
      <c r="I742" s="97">
        <v>2599</v>
      </c>
      <c r="J742" s="99">
        <v>15.1</v>
      </c>
    </row>
    <row r="743" spans="1:10" ht="16">
      <c r="A743" s="100" t="s">
        <v>1368</v>
      </c>
      <c r="B743" s="101" t="s">
        <v>1288</v>
      </c>
      <c r="C743" s="102" t="s">
        <v>76</v>
      </c>
      <c r="D743" s="103" t="s">
        <v>82</v>
      </c>
      <c r="E743" s="104">
        <v>20236</v>
      </c>
      <c r="F743" s="104">
        <v>1289</v>
      </c>
      <c r="G743" s="104">
        <v>4047</v>
      </c>
      <c r="H743" s="105">
        <v>29.6</v>
      </c>
      <c r="I743" s="104">
        <v>23167</v>
      </c>
      <c r="J743" s="106">
        <v>35.1</v>
      </c>
    </row>
    <row r="744" spans="1:10" ht="16">
      <c r="A744" s="93" t="s">
        <v>563</v>
      </c>
      <c r="B744" s="94" t="s">
        <v>537</v>
      </c>
      <c r="C744" s="95" t="s">
        <v>107</v>
      </c>
      <c r="D744" s="96" t="s">
        <v>62</v>
      </c>
      <c r="E744" s="97">
        <v>8047</v>
      </c>
      <c r="F744" s="97">
        <v>847</v>
      </c>
      <c r="G744" s="97">
        <v>370</v>
      </c>
      <c r="H744" s="98">
        <v>12</v>
      </c>
      <c r="I744" s="97">
        <v>4426</v>
      </c>
      <c r="J744" s="99">
        <v>45</v>
      </c>
    </row>
    <row r="745" spans="1:10" ht="16">
      <c r="A745" s="100" t="s">
        <v>1112</v>
      </c>
      <c r="B745" s="101" t="s">
        <v>1081</v>
      </c>
      <c r="C745" s="102" t="s">
        <v>76</v>
      </c>
      <c r="D745" s="103" t="s">
        <v>77</v>
      </c>
      <c r="E745" s="104">
        <v>5973</v>
      </c>
      <c r="F745" s="104">
        <v>586</v>
      </c>
      <c r="G745" s="104">
        <v>597</v>
      </c>
      <c r="H745" s="105">
        <v>31.8</v>
      </c>
      <c r="I745" s="104">
        <v>21602</v>
      </c>
      <c r="J745" s="106">
        <v>28.7</v>
      </c>
    </row>
    <row r="746" spans="1:10" ht="16">
      <c r="A746" s="93" t="s">
        <v>364</v>
      </c>
      <c r="B746" s="94" t="s">
        <v>365</v>
      </c>
      <c r="C746" s="95" t="s">
        <v>76</v>
      </c>
      <c r="D746" s="96" t="s">
        <v>60</v>
      </c>
      <c r="E746" s="97">
        <v>7681</v>
      </c>
      <c r="F746" s="97">
        <v>282</v>
      </c>
      <c r="G746" s="97">
        <v>922</v>
      </c>
      <c r="H746" s="98">
        <v>20.100000000000001</v>
      </c>
      <c r="I746" s="97">
        <v>5936</v>
      </c>
      <c r="J746" s="99">
        <v>16.899999999999999</v>
      </c>
    </row>
    <row r="747" spans="1:10" ht="16">
      <c r="A747" s="100" t="s">
        <v>366</v>
      </c>
      <c r="B747" s="101" t="s">
        <v>365</v>
      </c>
      <c r="C747" s="102" t="s">
        <v>107</v>
      </c>
      <c r="D747" s="103" t="s">
        <v>82</v>
      </c>
      <c r="E747" s="104">
        <v>9895</v>
      </c>
      <c r="F747" s="104">
        <v>454</v>
      </c>
      <c r="G747" s="104">
        <v>1385</v>
      </c>
      <c r="H747" s="105">
        <v>13.2</v>
      </c>
      <c r="I747" s="104">
        <v>3674</v>
      </c>
      <c r="J747" s="106">
        <v>17.600000000000001</v>
      </c>
    </row>
    <row r="748" spans="1:10" ht="16">
      <c r="A748" s="93" t="s">
        <v>522</v>
      </c>
      <c r="B748" s="94" t="s">
        <v>474</v>
      </c>
      <c r="C748" s="95" t="s">
        <v>76</v>
      </c>
      <c r="D748" s="96" t="s">
        <v>63</v>
      </c>
      <c r="E748" s="97">
        <v>6279</v>
      </c>
      <c r="F748" s="97">
        <v>826</v>
      </c>
      <c r="G748" s="97">
        <v>141</v>
      </c>
      <c r="H748" s="98">
        <v>8.9</v>
      </c>
      <c r="I748" s="97">
        <v>243</v>
      </c>
      <c r="J748" s="99">
        <v>23.5</v>
      </c>
    </row>
    <row r="749" spans="1:10" ht="16">
      <c r="A749" s="100" t="s">
        <v>1113</v>
      </c>
      <c r="B749" s="101" t="s">
        <v>1081</v>
      </c>
      <c r="C749" s="102" t="s">
        <v>107</v>
      </c>
      <c r="D749" s="103" t="s">
        <v>82</v>
      </c>
      <c r="E749" s="104">
        <v>26032</v>
      </c>
      <c r="F749" s="104">
        <v>1054</v>
      </c>
      <c r="G749" s="104">
        <v>2083</v>
      </c>
      <c r="H749" s="105">
        <v>13</v>
      </c>
      <c r="I749" s="104">
        <v>1666</v>
      </c>
      <c r="J749" s="106">
        <v>16.399999999999999</v>
      </c>
    </row>
    <row r="750" spans="1:10" ht="16">
      <c r="A750" s="93" t="s">
        <v>371</v>
      </c>
      <c r="B750" s="94" t="s">
        <v>369</v>
      </c>
      <c r="C750" s="95" t="s">
        <v>76</v>
      </c>
      <c r="D750" s="96" t="s">
        <v>63</v>
      </c>
      <c r="E750" s="97">
        <v>15149</v>
      </c>
      <c r="F750" s="97">
        <v>695</v>
      </c>
      <c r="G750" s="97">
        <v>909</v>
      </c>
      <c r="H750" s="98">
        <v>34.700000000000003</v>
      </c>
      <c r="I750" s="97">
        <v>28458</v>
      </c>
      <c r="J750" s="99">
        <v>26.4</v>
      </c>
    </row>
    <row r="751" spans="1:10" ht="16">
      <c r="A751" s="100" t="s">
        <v>362</v>
      </c>
      <c r="B751" s="101" t="s">
        <v>344</v>
      </c>
      <c r="C751" s="102" t="s">
        <v>76</v>
      </c>
      <c r="D751" s="103" t="s">
        <v>82</v>
      </c>
      <c r="E751" s="104">
        <v>128995</v>
      </c>
      <c r="F751" s="104">
        <v>5466</v>
      </c>
      <c r="G751" s="104">
        <v>1290</v>
      </c>
      <c r="H751" s="105">
        <v>7.3</v>
      </c>
      <c r="I751" s="104">
        <v>2567</v>
      </c>
      <c r="J751" s="106">
        <v>20.7</v>
      </c>
    </row>
    <row r="752" spans="1:10" ht="16">
      <c r="A752" s="93" t="s">
        <v>1182</v>
      </c>
      <c r="B752" s="94" t="s">
        <v>1178</v>
      </c>
      <c r="C752" s="95" t="s">
        <v>76</v>
      </c>
      <c r="D752" s="96" t="s">
        <v>60</v>
      </c>
      <c r="E752" s="97">
        <v>23229</v>
      </c>
      <c r="F752" s="97">
        <v>2640</v>
      </c>
      <c r="G752" s="97">
        <v>697</v>
      </c>
      <c r="H752" s="98">
        <v>9.8000000000000007</v>
      </c>
      <c r="I752" s="97">
        <v>821</v>
      </c>
      <c r="J752" s="99">
        <v>23.5</v>
      </c>
    </row>
    <row r="753" spans="1:10" ht="16">
      <c r="A753" s="100" t="s">
        <v>418</v>
      </c>
      <c r="B753" s="101" t="s">
        <v>402</v>
      </c>
      <c r="C753" s="102" t="s">
        <v>107</v>
      </c>
      <c r="D753" s="103" t="s">
        <v>82</v>
      </c>
      <c r="E753" s="104">
        <v>22622</v>
      </c>
      <c r="F753" s="104">
        <v>373</v>
      </c>
      <c r="G753" s="104">
        <v>5429</v>
      </c>
      <c r="H753" s="105">
        <v>53.9</v>
      </c>
      <c r="I753" s="104">
        <v>33640</v>
      </c>
      <c r="J753" s="106">
        <v>50.4</v>
      </c>
    </row>
    <row r="754" spans="1:10" ht="16">
      <c r="A754" s="93" t="s">
        <v>915</v>
      </c>
      <c r="B754" s="94" t="s">
        <v>909</v>
      </c>
      <c r="C754" s="95" t="s">
        <v>107</v>
      </c>
      <c r="D754" s="96" t="s">
        <v>59</v>
      </c>
      <c r="E754" s="97">
        <v>19745</v>
      </c>
      <c r="F754" s="97">
        <v>1103</v>
      </c>
      <c r="G754" s="97">
        <v>197</v>
      </c>
      <c r="H754" s="98">
        <v>9.9</v>
      </c>
      <c r="I754" s="97">
        <v>1680</v>
      </c>
      <c r="J754" s="99">
        <v>15.2</v>
      </c>
    </row>
    <row r="755" spans="1:10" ht="16">
      <c r="A755" s="100" t="s">
        <v>419</v>
      </c>
      <c r="B755" s="101" t="s">
        <v>402</v>
      </c>
      <c r="C755" s="102" t="s">
        <v>107</v>
      </c>
      <c r="D755" s="103" t="s">
        <v>61</v>
      </c>
      <c r="E755" s="104">
        <v>18166</v>
      </c>
      <c r="F755" s="104">
        <v>445</v>
      </c>
      <c r="G755" s="104">
        <v>3088</v>
      </c>
      <c r="H755" s="105">
        <v>44.2</v>
      </c>
      <c r="I755" s="104">
        <v>22294</v>
      </c>
      <c r="J755" s="106">
        <v>42.4</v>
      </c>
    </row>
    <row r="756" spans="1:10" ht="16">
      <c r="A756" s="93" t="s">
        <v>340</v>
      </c>
      <c r="B756" s="94" t="s">
        <v>336</v>
      </c>
      <c r="C756" s="95" t="s">
        <v>107</v>
      </c>
      <c r="D756" s="96" t="s">
        <v>82</v>
      </c>
      <c r="E756" s="97">
        <v>9265</v>
      </c>
      <c r="F756" s="97">
        <v>1404</v>
      </c>
      <c r="G756" s="97">
        <v>2316</v>
      </c>
      <c r="H756" s="98">
        <v>40.200000000000003</v>
      </c>
      <c r="I756" s="97">
        <v>29720</v>
      </c>
      <c r="J756" s="99">
        <v>39.4</v>
      </c>
    </row>
    <row r="757" spans="1:10" ht="16">
      <c r="A757" s="100" t="s">
        <v>328</v>
      </c>
      <c r="B757" s="101" t="s">
        <v>322</v>
      </c>
      <c r="C757" s="102" t="s">
        <v>76</v>
      </c>
      <c r="D757" s="103" t="s">
        <v>84</v>
      </c>
      <c r="E757" s="104">
        <v>5321</v>
      </c>
      <c r="F757" s="104">
        <v>560</v>
      </c>
      <c r="G757" s="104">
        <v>639</v>
      </c>
      <c r="H757" s="105">
        <v>11.9</v>
      </c>
      <c r="I757" s="104">
        <v>702</v>
      </c>
      <c r="J757" s="106">
        <v>19.8</v>
      </c>
    </row>
    <row r="758" spans="1:10" ht="16">
      <c r="A758" s="93" t="s">
        <v>1031</v>
      </c>
      <c r="B758" s="94" t="s">
        <v>1020</v>
      </c>
      <c r="C758" s="95" t="s">
        <v>107</v>
      </c>
      <c r="D758" s="96" t="s">
        <v>84</v>
      </c>
      <c r="E758" s="97">
        <v>40592</v>
      </c>
      <c r="F758" s="97">
        <v>2899</v>
      </c>
      <c r="G758" s="97">
        <v>5277</v>
      </c>
      <c r="H758" s="98">
        <v>14.9</v>
      </c>
      <c r="I758" s="97">
        <v>5641</v>
      </c>
      <c r="J758" s="99">
        <v>22.6</v>
      </c>
    </row>
    <row r="759" spans="1:10" ht="16">
      <c r="A759" s="100" t="s">
        <v>420</v>
      </c>
      <c r="B759" s="101" t="s">
        <v>402</v>
      </c>
      <c r="C759" s="102" t="s">
        <v>107</v>
      </c>
      <c r="D759" s="103" t="s">
        <v>82</v>
      </c>
      <c r="E759" s="104">
        <v>40472</v>
      </c>
      <c r="F759" s="104">
        <v>847</v>
      </c>
      <c r="G759" s="104">
        <v>10927</v>
      </c>
      <c r="H759" s="105">
        <v>70.400000000000006</v>
      </c>
      <c r="I759" s="104">
        <v>60212</v>
      </c>
      <c r="J759" s="106">
        <v>64.599999999999994</v>
      </c>
    </row>
    <row r="760" spans="1:10" ht="16">
      <c r="A760" s="93" t="s">
        <v>594</v>
      </c>
      <c r="B760" s="94" t="s">
        <v>591</v>
      </c>
      <c r="C760" s="95" t="s">
        <v>107</v>
      </c>
      <c r="D760" s="96" t="s">
        <v>84</v>
      </c>
      <c r="E760" s="97">
        <v>14703</v>
      </c>
      <c r="F760" s="97">
        <v>674</v>
      </c>
      <c r="G760" s="97">
        <v>735</v>
      </c>
      <c r="H760" s="98">
        <v>31.5</v>
      </c>
      <c r="I760" s="97">
        <v>17930</v>
      </c>
      <c r="J760" s="99">
        <v>32.4</v>
      </c>
    </row>
    <row r="761" spans="1:10" ht="16">
      <c r="A761" s="100" t="s">
        <v>585</v>
      </c>
      <c r="B761" s="101" t="s">
        <v>581</v>
      </c>
      <c r="C761" s="102" t="s">
        <v>107</v>
      </c>
      <c r="D761" s="103" t="s">
        <v>130</v>
      </c>
      <c r="E761" s="104">
        <v>14904</v>
      </c>
      <c r="F761" s="104">
        <v>745</v>
      </c>
      <c r="G761" s="104">
        <v>2981</v>
      </c>
      <c r="H761" s="105">
        <v>13.3</v>
      </c>
      <c r="I761" s="104">
        <v>4389</v>
      </c>
      <c r="J761" s="106">
        <v>15.7</v>
      </c>
    </row>
    <row r="762" spans="1:10" ht="16">
      <c r="A762" s="93" t="s">
        <v>1234</v>
      </c>
      <c r="B762" s="94" t="s">
        <v>1190</v>
      </c>
      <c r="C762" s="95" t="s">
        <v>76</v>
      </c>
      <c r="D762" s="96" t="s">
        <v>61</v>
      </c>
      <c r="E762" s="97">
        <v>11919</v>
      </c>
      <c r="F762" s="97">
        <v>651</v>
      </c>
      <c r="G762" s="97">
        <v>1311</v>
      </c>
      <c r="H762" s="98">
        <v>10.6</v>
      </c>
      <c r="I762" s="97">
        <v>4655</v>
      </c>
      <c r="J762" s="99">
        <v>15.5</v>
      </c>
    </row>
    <row r="763" spans="1:10" ht="16">
      <c r="A763" s="100" t="s">
        <v>564</v>
      </c>
      <c r="B763" s="101" t="s">
        <v>537</v>
      </c>
      <c r="C763" s="102" t="s">
        <v>76</v>
      </c>
      <c r="D763" s="103" t="s">
        <v>82</v>
      </c>
      <c r="E763" s="104">
        <v>12511</v>
      </c>
      <c r="F763" s="104">
        <v>1813</v>
      </c>
      <c r="G763" s="104">
        <v>876</v>
      </c>
      <c r="H763" s="105">
        <v>16</v>
      </c>
      <c r="I763" s="104">
        <v>7725</v>
      </c>
      <c r="J763" s="106">
        <v>44.5</v>
      </c>
    </row>
    <row r="764" spans="1:10" ht="16">
      <c r="A764" s="93" t="s">
        <v>716</v>
      </c>
      <c r="B764" s="94" t="s">
        <v>642</v>
      </c>
      <c r="C764" s="95" t="s">
        <v>107</v>
      </c>
      <c r="D764" s="96" t="s">
        <v>82</v>
      </c>
      <c r="E764" s="97">
        <v>22873</v>
      </c>
      <c r="F764" s="97">
        <v>1370</v>
      </c>
      <c r="G764" s="97">
        <v>457</v>
      </c>
      <c r="H764" s="98">
        <v>10.8</v>
      </c>
      <c r="I764" s="97">
        <v>10411</v>
      </c>
      <c r="J764" s="99">
        <v>14.8</v>
      </c>
    </row>
    <row r="765" spans="1:10" ht="16">
      <c r="A765" s="100" t="s">
        <v>595</v>
      </c>
      <c r="B765" s="101" t="s">
        <v>591</v>
      </c>
      <c r="C765" s="102" t="s">
        <v>76</v>
      </c>
      <c r="D765" s="103" t="s">
        <v>63</v>
      </c>
      <c r="E765" s="104">
        <v>22414</v>
      </c>
      <c r="F765" s="104">
        <v>1005</v>
      </c>
      <c r="G765" s="104">
        <v>1569</v>
      </c>
      <c r="H765" s="105">
        <v>51.3</v>
      </c>
      <c r="I765" s="104">
        <v>36578</v>
      </c>
      <c r="J765" s="106">
        <v>41.3</v>
      </c>
    </row>
    <row r="766" spans="1:10" ht="16">
      <c r="A766" s="93" t="s">
        <v>1369</v>
      </c>
      <c r="B766" s="94" t="s">
        <v>1288</v>
      </c>
      <c r="C766" s="95" t="s">
        <v>76</v>
      </c>
      <c r="D766" s="96" t="s">
        <v>82</v>
      </c>
      <c r="E766" s="97">
        <v>35814</v>
      </c>
      <c r="F766" s="97">
        <v>2755</v>
      </c>
      <c r="G766" s="97">
        <v>3223</v>
      </c>
      <c r="H766" s="98">
        <v>23.5</v>
      </c>
      <c r="I766" s="97">
        <v>18684</v>
      </c>
      <c r="J766" s="99">
        <v>39.299999999999997</v>
      </c>
    </row>
    <row r="767" spans="1:10" ht="16">
      <c r="A767" s="100" t="s">
        <v>1370</v>
      </c>
      <c r="B767" s="101" t="s">
        <v>1288</v>
      </c>
      <c r="C767" s="102" t="s">
        <v>107</v>
      </c>
      <c r="D767" s="103" t="s">
        <v>84</v>
      </c>
      <c r="E767" s="104">
        <v>60818</v>
      </c>
      <c r="F767" s="104">
        <v>2452</v>
      </c>
      <c r="G767" s="104">
        <v>4865</v>
      </c>
      <c r="H767" s="105">
        <v>54.8</v>
      </c>
      <c r="I767" s="104">
        <v>34462</v>
      </c>
      <c r="J767" s="106">
        <v>49.3</v>
      </c>
    </row>
    <row r="768" spans="1:10" ht="16">
      <c r="A768" s="93" t="s">
        <v>1371</v>
      </c>
      <c r="B768" s="94" t="s">
        <v>1288</v>
      </c>
      <c r="C768" s="95" t="s">
        <v>76</v>
      </c>
      <c r="D768" s="96" t="s">
        <v>82</v>
      </c>
      <c r="E768" s="97">
        <v>31893</v>
      </c>
      <c r="F768" s="97">
        <v>1670</v>
      </c>
      <c r="G768" s="97">
        <v>319</v>
      </c>
      <c r="H768" s="98">
        <v>14.3</v>
      </c>
      <c r="I768" s="97">
        <v>3904</v>
      </c>
      <c r="J768" s="99">
        <v>17.399999999999999</v>
      </c>
    </row>
    <row r="769" spans="1:10" ht="16">
      <c r="A769" s="100" t="s">
        <v>1372</v>
      </c>
      <c r="B769" s="101" t="s">
        <v>1288</v>
      </c>
      <c r="C769" s="102" t="s">
        <v>107</v>
      </c>
      <c r="D769" s="103" t="s">
        <v>59</v>
      </c>
      <c r="E769" s="104">
        <v>33015</v>
      </c>
      <c r="F769" s="104">
        <v>1603</v>
      </c>
      <c r="G769" s="104">
        <v>2971</v>
      </c>
      <c r="H769" s="105">
        <v>20.9</v>
      </c>
      <c r="I769" s="104">
        <v>9729</v>
      </c>
      <c r="J769" s="106">
        <v>30.8</v>
      </c>
    </row>
    <row r="770" spans="1:10" ht="16">
      <c r="A770" s="93" t="s">
        <v>523</v>
      </c>
      <c r="B770" s="94" t="s">
        <v>474</v>
      </c>
      <c r="C770" s="95" t="s">
        <v>107</v>
      </c>
      <c r="D770" s="96" t="s">
        <v>61</v>
      </c>
      <c r="E770" s="97">
        <v>3904</v>
      </c>
      <c r="F770" s="97">
        <v>279</v>
      </c>
      <c r="G770" s="97">
        <v>39</v>
      </c>
      <c r="H770" s="98">
        <v>12.4</v>
      </c>
      <c r="I770" s="97">
        <v>3624</v>
      </c>
      <c r="J770" s="99">
        <v>26.3</v>
      </c>
    </row>
    <row r="771" spans="1:10" ht="16">
      <c r="A771" s="100" t="s">
        <v>1133</v>
      </c>
      <c r="B771" s="101" t="s">
        <v>1120</v>
      </c>
      <c r="C771" s="102" t="s">
        <v>76</v>
      </c>
      <c r="D771" s="103" t="s">
        <v>60</v>
      </c>
      <c r="E771" s="104">
        <v>33506</v>
      </c>
      <c r="F771" s="104">
        <v>2769</v>
      </c>
      <c r="G771" s="104">
        <v>335</v>
      </c>
      <c r="H771" s="105">
        <v>11.7</v>
      </c>
      <c r="I771" s="104">
        <v>1371</v>
      </c>
      <c r="J771" s="106">
        <v>18.600000000000001</v>
      </c>
    </row>
    <row r="772" spans="1:10" ht="16">
      <c r="A772" s="93" t="s">
        <v>524</v>
      </c>
      <c r="B772" s="94" t="s">
        <v>474</v>
      </c>
      <c r="C772" s="95" t="s">
        <v>107</v>
      </c>
      <c r="D772" s="96" t="s">
        <v>80</v>
      </c>
      <c r="E772" s="97">
        <v>7752</v>
      </c>
      <c r="F772" s="97">
        <v>524</v>
      </c>
      <c r="G772" s="97">
        <v>78</v>
      </c>
      <c r="H772" s="98">
        <v>9.6999999999999993</v>
      </c>
      <c r="I772" s="97">
        <v>6488</v>
      </c>
      <c r="J772" s="99">
        <v>19.100000000000001</v>
      </c>
    </row>
    <row r="773" spans="1:10" ht="16">
      <c r="A773" s="100" t="s">
        <v>463</v>
      </c>
      <c r="B773" s="101" t="s">
        <v>459</v>
      </c>
      <c r="C773" s="102" t="s">
        <v>107</v>
      </c>
      <c r="D773" s="103" t="s">
        <v>82</v>
      </c>
      <c r="E773" s="104">
        <v>10125</v>
      </c>
      <c r="F773" s="104">
        <v>454</v>
      </c>
      <c r="G773" s="104">
        <v>3139</v>
      </c>
      <c r="H773" s="105">
        <v>66.099999999999994</v>
      </c>
      <c r="I773" s="104">
        <v>59418</v>
      </c>
      <c r="J773" s="106">
        <v>57.4</v>
      </c>
    </row>
    <row r="774" spans="1:10" ht="16">
      <c r="A774" s="93" t="s">
        <v>1373</v>
      </c>
      <c r="B774" s="94" t="s">
        <v>1288</v>
      </c>
      <c r="C774" s="95" t="s">
        <v>76</v>
      </c>
      <c r="D774" s="96" t="s">
        <v>60</v>
      </c>
      <c r="E774" s="97">
        <v>10434</v>
      </c>
      <c r="F774" s="97">
        <v>1110</v>
      </c>
      <c r="G774" s="97">
        <v>3652</v>
      </c>
      <c r="H774" s="98">
        <v>15.2</v>
      </c>
      <c r="I774" s="97">
        <v>4604</v>
      </c>
      <c r="J774" s="99">
        <v>23.9</v>
      </c>
    </row>
    <row r="775" spans="1:10" ht="16">
      <c r="A775" s="100" t="s">
        <v>1235</v>
      </c>
      <c r="B775" s="101" t="s">
        <v>1190</v>
      </c>
      <c r="C775" s="102" t="s">
        <v>76</v>
      </c>
      <c r="D775" s="103" t="s">
        <v>82</v>
      </c>
      <c r="E775" s="104">
        <v>61915</v>
      </c>
      <c r="F775" s="104">
        <v>1917</v>
      </c>
      <c r="G775" s="104">
        <v>4953</v>
      </c>
      <c r="H775" s="105">
        <v>16.100000000000001</v>
      </c>
      <c r="I775" s="104">
        <v>10727</v>
      </c>
      <c r="J775" s="106">
        <v>18.2</v>
      </c>
    </row>
    <row r="776" spans="1:10" ht="16">
      <c r="A776" s="93" t="s">
        <v>717</v>
      </c>
      <c r="B776" s="94" t="s">
        <v>642</v>
      </c>
      <c r="C776" s="95" t="s">
        <v>107</v>
      </c>
      <c r="D776" s="96" t="s">
        <v>130</v>
      </c>
      <c r="E776" s="97">
        <v>1165</v>
      </c>
      <c r="F776" s="97">
        <v>108</v>
      </c>
      <c r="G776" s="97">
        <v>58</v>
      </c>
      <c r="H776" s="98">
        <v>12.5</v>
      </c>
      <c r="I776" s="97">
        <v>5234</v>
      </c>
      <c r="J776" s="99">
        <v>20.8</v>
      </c>
    </row>
    <row r="777" spans="1:10" ht="16">
      <c r="A777" s="100" t="s">
        <v>718</v>
      </c>
      <c r="B777" s="101" t="s">
        <v>642</v>
      </c>
      <c r="C777" s="102" t="s">
        <v>107</v>
      </c>
      <c r="D777" s="103" t="s">
        <v>92</v>
      </c>
      <c r="E777" s="104">
        <v>4813</v>
      </c>
      <c r="F777" s="104">
        <v>319</v>
      </c>
      <c r="G777" s="104">
        <v>241</v>
      </c>
      <c r="H777" s="105">
        <v>18.600000000000001</v>
      </c>
      <c r="I777" s="104">
        <v>2630</v>
      </c>
      <c r="J777" s="106">
        <v>19.3</v>
      </c>
    </row>
    <row r="778" spans="1:10" ht="16">
      <c r="A778" s="93" t="s">
        <v>1374</v>
      </c>
      <c r="B778" s="94" t="s">
        <v>1288</v>
      </c>
      <c r="C778" s="95" t="s">
        <v>76</v>
      </c>
      <c r="D778" s="96" t="s">
        <v>63</v>
      </c>
      <c r="E778" s="97">
        <v>25907</v>
      </c>
      <c r="F778" s="97">
        <v>1542</v>
      </c>
      <c r="G778" s="97">
        <v>1295</v>
      </c>
      <c r="H778" s="98">
        <v>23.4</v>
      </c>
      <c r="I778" s="97">
        <v>18846</v>
      </c>
      <c r="J778" s="99">
        <v>32.9</v>
      </c>
    </row>
    <row r="779" spans="1:10" ht="16">
      <c r="A779" s="100" t="s">
        <v>639</v>
      </c>
      <c r="B779" s="101" t="s">
        <v>640</v>
      </c>
      <c r="C779" s="102" t="s">
        <v>76</v>
      </c>
      <c r="D779" s="103" t="s">
        <v>92</v>
      </c>
      <c r="E779" s="104">
        <v>23305</v>
      </c>
      <c r="F779" s="104">
        <v>1050</v>
      </c>
      <c r="G779" s="104">
        <v>233</v>
      </c>
      <c r="H779" s="105">
        <v>11.1</v>
      </c>
      <c r="I779" s="104">
        <v>8167</v>
      </c>
      <c r="J779" s="106">
        <v>17.8</v>
      </c>
    </row>
    <row r="780" spans="1:10" ht="16">
      <c r="A780" s="93" t="s">
        <v>719</v>
      </c>
      <c r="B780" s="94" t="s">
        <v>642</v>
      </c>
      <c r="C780" s="95" t="s">
        <v>107</v>
      </c>
      <c r="D780" s="96" t="s">
        <v>63</v>
      </c>
      <c r="E780" s="97">
        <v>25913</v>
      </c>
      <c r="F780" s="97">
        <v>2445</v>
      </c>
      <c r="G780" s="97">
        <v>3110</v>
      </c>
      <c r="H780" s="98">
        <v>89.6</v>
      </c>
      <c r="I780" s="97">
        <v>54430</v>
      </c>
      <c r="J780" s="99">
        <v>85.9</v>
      </c>
    </row>
    <row r="781" spans="1:10" ht="16">
      <c r="A781" s="100" t="s">
        <v>285</v>
      </c>
      <c r="B781" s="101" t="s">
        <v>223</v>
      </c>
      <c r="C781" s="102" t="s">
        <v>76</v>
      </c>
      <c r="D781" s="103" t="s">
        <v>82</v>
      </c>
      <c r="E781" s="104">
        <v>34780</v>
      </c>
      <c r="F781" s="104">
        <v>2484</v>
      </c>
      <c r="G781" s="104">
        <v>2087</v>
      </c>
      <c r="H781" s="105">
        <v>35.700000000000003</v>
      </c>
      <c r="I781" s="104">
        <v>13889</v>
      </c>
      <c r="J781" s="106">
        <v>32.700000000000003</v>
      </c>
    </row>
    <row r="782" spans="1:10" ht="16">
      <c r="A782" s="93" t="s">
        <v>826</v>
      </c>
      <c r="B782" s="94" t="s">
        <v>820</v>
      </c>
      <c r="C782" s="95" t="s">
        <v>107</v>
      </c>
      <c r="D782" s="96" t="s">
        <v>60</v>
      </c>
      <c r="E782" s="97">
        <v>8033</v>
      </c>
      <c r="F782" s="97">
        <v>375</v>
      </c>
      <c r="G782" s="97">
        <v>1205</v>
      </c>
      <c r="H782" s="98">
        <v>48.8</v>
      </c>
      <c r="I782" s="97">
        <v>30305</v>
      </c>
      <c r="J782" s="99">
        <v>36.799999999999997</v>
      </c>
    </row>
    <row r="783" spans="1:10" ht="16">
      <c r="A783" s="100" t="s">
        <v>1171</v>
      </c>
      <c r="B783" s="101" t="s">
        <v>1142</v>
      </c>
      <c r="C783" s="102" t="s">
        <v>107</v>
      </c>
      <c r="D783" s="103" t="s">
        <v>60</v>
      </c>
      <c r="E783" s="104">
        <v>5836</v>
      </c>
      <c r="F783" s="104">
        <v>347</v>
      </c>
      <c r="G783" s="104">
        <v>58</v>
      </c>
      <c r="H783" s="105">
        <v>11.1</v>
      </c>
      <c r="I783" s="104">
        <v>2599</v>
      </c>
      <c r="J783" s="106">
        <v>15.7</v>
      </c>
    </row>
    <row r="784" spans="1:10" ht="16">
      <c r="A784" s="93" t="s">
        <v>720</v>
      </c>
      <c r="B784" s="94" t="s">
        <v>642</v>
      </c>
      <c r="C784" s="95" t="s">
        <v>107</v>
      </c>
      <c r="D784" s="96" t="s">
        <v>92</v>
      </c>
      <c r="E784" s="97">
        <v>5204</v>
      </c>
      <c r="F784" s="97">
        <v>394</v>
      </c>
      <c r="G784" s="97">
        <v>52</v>
      </c>
      <c r="H784" s="98">
        <v>13.5</v>
      </c>
      <c r="I784" s="97">
        <v>3501</v>
      </c>
      <c r="J784" s="99">
        <v>21.7</v>
      </c>
    </row>
    <row r="785" spans="1:10" ht="16">
      <c r="A785" s="100" t="s">
        <v>721</v>
      </c>
      <c r="B785" s="101" t="s">
        <v>642</v>
      </c>
      <c r="C785" s="102" t="s">
        <v>107</v>
      </c>
      <c r="D785" s="103" t="s">
        <v>130</v>
      </c>
      <c r="E785" s="104">
        <v>17735</v>
      </c>
      <c r="F785" s="104">
        <v>2163</v>
      </c>
      <c r="G785" s="104">
        <v>2128</v>
      </c>
      <c r="H785" s="105">
        <v>54.4</v>
      </c>
      <c r="I785" s="104">
        <v>21678</v>
      </c>
      <c r="J785" s="106">
        <v>52.7</v>
      </c>
    </row>
    <row r="786" spans="1:10" ht="16">
      <c r="A786" s="93" t="s">
        <v>722</v>
      </c>
      <c r="B786" s="94" t="s">
        <v>642</v>
      </c>
      <c r="C786" s="95" t="s">
        <v>107</v>
      </c>
      <c r="D786" s="96" t="s">
        <v>84</v>
      </c>
      <c r="E786" s="97">
        <v>29848</v>
      </c>
      <c r="F786" s="97">
        <v>2296</v>
      </c>
      <c r="G786" s="97">
        <v>597</v>
      </c>
      <c r="H786" s="98">
        <v>9.6999999999999993</v>
      </c>
      <c r="I786" s="97">
        <v>2024</v>
      </c>
      <c r="J786" s="99">
        <v>18.899999999999999</v>
      </c>
    </row>
    <row r="787" spans="1:10" ht="16">
      <c r="A787" s="100" t="s">
        <v>1172</v>
      </c>
      <c r="B787" s="101" t="s">
        <v>1142</v>
      </c>
      <c r="C787" s="102" t="s">
        <v>107</v>
      </c>
      <c r="D787" s="103" t="s">
        <v>59</v>
      </c>
      <c r="E787" s="104">
        <v>23679</v>
      </c>
      <c r="F787" s="104">
        <v>1133</v>
      </c>
      <c r="G787" s="104">
        <v>474</v>
      </c>
      <c r="H787" s="105">
        <v>7.7</v>
      </c>
      <c r="I787" s="104">
        <v>1385</v>
      </c>
      <c r="J787" s="106">
        <v>13.1</v>
      </c>
    </row>
    <row r="788" spans="1:10" ht="16">
      <c r="A788" s="93" t="s">
        <v>723</v>
      </c>
      <c r="B788" s="94" t="s">
        <v>642</v>
      </c>
      <c r="C788" s="95" t="s">
        <v>107</v>
      </c>
      <c r="D788" s="96" t="s">
        <v>62</v>
      </c>
      <c r="E788" s="97">
        <v>7553</v>
      </c>
      <c r="F788" s="97">
        <v>868</v>
      </c>
      <c r="G788" s="97">
        <v>227</v>
      </c>
      <c r="H788" s="98">
        <v>19.100000000000001</v>
      </c>
      <c r="I788" s="97">
        <v>2866</v>
      </c>
      <c r="J788" s="99">
        <v>26.5</v>
      </c>
    </row>
    <row r="789" spans="1:10" ht="16">
      <c r="A789" s="100" t="s">
        <v>724</v>
      </c>
      <c r="B789" s="101" t="s">
        <v>642</v>
      </c>
      <c r="C789" s="102" t="s">
        <v>107</v>
      </c>
      <c r="D789" s="103" t="s">
        <v>63</v>
      </c>
      <c r="E789" s="104">
        <v>7481</v>
      </c>
      <c r="F789" s="104">
        <v>502</v>
      </c>
      <c r="G789" s="104">
        <v>75</v>
      </c>
      <c r="H789" s="105">
        <v>10.3</v>
      </c>
      <c r="I789" s="104">
        <v>702</v>
      </c>
      <c r="J789" s="106">
        <v>16.7</v>
      </c>
    </row>
    <row r="790" spans="1:10" ht="16">
      <c r="A790" s="93" t="s">
        <v>725</v>
      </c>
      <c r="B790" s="94" t="s">
        <v>642</v>
      </c>
      <c r="C790" s="95" t="s">
        <v>107</v>
      </c>
      <c r="D790" s="96" t="s">
        <v>60</v>
      </c>
      <c r="E790" s="97">
        <v>9285</v>
      </c>
      <c r="F790" s="97">
        <v>363</v>
      </c>
      <c r="G790" s="97">
        <v>186</v>
      </c>
      <c r="H790" s="98">
        <v>9.3000000000000007</v>
      </c>
      <c r="I790" s="97">
        <v>317</v>
      </c>
      <c r="J790" s="99">
        <v>15.2</v>
      </c>
    </row>
    <row r="791" spans="1:10" ht="16">
      <c r="A791" s="100" t="s">
        <v>726</v>
      </c>
      <c r="B791" s="101" t="s">
        <v>642</v>
      </c>
      <c r="C791" s="102" t="s">
        <v>107</v>
      </c>
      <c r="D791" s="103" t="s">
        <v>77</v>
      </c>
      <c r="E791" s="104">
        <v>9752</v>
      </c>
      <c r="F791" s="104">
        <v>1266</v>
      </c>
      <c r="G791" s="104">
        <v>1268</v>
      </c>
      <c r="H791" s="105">
        <v>51.8</v>
      </c>
      <c r="I791" s="104">
        <v>19407</v>
      </c>
      <c r="J791" s="106">
        <v>51.2</v>
      </c>
    </row>
    <row r="792" spans="1:10" ht="16">
      <c r="A792" s="93" t="s">
        <v>727</v>
      </c>
      <c r="B792" s="94" t="s">
        <v>642</v>
      </c>
      <c r="C792" s="95" t="s">
        <v>107</v>
      </c>
      <c r="D792" s="96" t="s">
        <v>84</v>
      </c>
      <c r="E792" s="97">
        <v>2999</v>
      </c>
      <c r="F792" s="97">
        <v>909</v>
      </c>
      <c r="G792" s="97">
        <v>270</v>
      </c>
      <c r="H792" s="98">
        <v>24.2</v>
      </c>
      <c r="I792" s="97">
        <v>14071</v>
      </c>
      <c r="J792" s="99">
        <v>45.2</v>
      </c>
    </row>
    <row r="793" spans="1:10" ht="16">
      <c r="A793" s="100" t="s">
        <v>728</v>
      </c>
      <c r="B793" s="101" t="s">
        <v>642</v>
      </c>
      <c r="C793" s="102" t="s">
        <v>76</v>
      </c>
      <c r="D793" s="103" t="s">
        <v>61</v>
      </c>
      <c r="E793" s="104">
        <v>1350</v>
      </c>
      <c r="F793" s="104">
        <v>844</v>
      </c>
      <c r="G793" s="104">
        <v>14</v>
      </c>
      <c r="H793" s="105">
        <v>10.7</v>
      </c>
      <c r="I793" s="104">
        <v>3762</v>
      </c>
      <c r="J793" s="106">
        <v>29.6</v>
      </c>
    </row>
    <row r="794" spans="1:10" ht="16">
      <c r="A794" s="93" t="s">
        <v>729</v>
      </c>
      <c r="B794" s="94" t="s">
        <v>642</v>
      </c>
      <c r="C794" s="95" t="s">
        <v>107</v>
      </c>
      <c r="D794" s="96" t="s">
        <v>80</v>
      </c>
      <c r="E794" s="97">
        <v>9160</v>
      </c>
      <c r="F794" s="97">
        <v>674</v>
      </c>
      <c r="G794" s="97">
        <v>458</v>
      </c>
      <c r="H794" s="98">
        <v>17.2</v>
      </c>
      <c r="I794" s="97">
        <v>9424</v>
      </c>
      <c r="J794" s="99">
        <v>24.9</v>
      </c>
    </row>
    <row r="795" spans="1:10" ht="16">
      <c r="A795" s="100" t="s">
        <v>730</v>
      </c>
      <c r="B795" s="101" t="s">
        <v>642</v>
      </c>
      <c r="C795" s="102" t="s">
        <v>107</v>
      </c>
      <c r="D795" s="103" t="s">
        <v>62</v>
      </c>
      <c r="E795" s="104">
        <v>12221</v>
      </c>
      <c r="F795" s="104">
        <v>361</v>
      </c>
      <c r="G795" s="104">
        <v>244</v>
      </c>
      <c r="H795" s="105">
        <v>9.8000000000000007</v>
      </c>
      <c r="I795" s="104">
        <v>1034</v>
      </c>
      <c r="J795" s="106">
        <v>16</v>
      </c>
    </row>
    <row r="796" spans="1:10" ht="16">
      <c r="A796" s="93" t="s">
        <v>731</v>
      </c>
      <c r="B796" s="94" t="s">
        <v>642</v>
      </c>
      <c r="C796" s="95" t="s">
        <v>107</v>
      </c>
      <c r="D796" s="96" t="s">
        <v>60</v>
      </c>
      <c r="E796" s="97">
        <v>5766</v>
      </c>
      <c r="F796" s="97">
        <v>390</v>
      </c>
      <c r="G796" s="97">
        <v>346</v>
      </c>
      <c r="H796" s="98">
        <v>23.2</v>
      </c>
      <c r="I796" s="97">
        <v>4190</v>
      </c>
      <c r="J796" s="99">
        <v>23.9</v>
      </c>
    </row>
    <row r="797" spans="1:10" ht="16">
      <c r="A797" s="100" t="s">
        <v>732</v>
      </c>
      <c r="B797" s="101" t="s">
        <v>642</v>
      </c>
      <c r="C797" s="102" t="s">
        <v>107</v>
      </c>
      <c r="D797" s="103" t="s">
        <v>84</v>
      </c>
      <c r="E797" s="104">
        <v>2654</v>
      </c>
      <c r="F797" s="104">
        <v>248</v>
      </c>
      <c r="G797" s="104">
        <v>186</v>
      </c>
      <c r="H797" s="105">
        <v>13.9</v>
      </c>
      <c r="I797" s="104">
        <v>1448</v>
      </c>
      <c r="J797" s="106">
        <v>24.3</v>
      </c>
    </row>
    <row r="798" spans="1:10" ht="16">
      <c r="A798" s="93" t="s">
        <v>733</v>
      </c>
      <c r="B798" s="94" t="s">
        <v>642</v>
      </c>
      <c r="C798" s="95" t="s">
        <v>107</v>
      </c>
      <c r="D798" s="96" t="s">
        <v>80</v>
      </c>
      <c r="E798" s="97">
        <v>18490</v>
      </c>
      <c r="F798" s="97">
        <v>758</v>
      </c>
      <c r="G798" s="97">
        <v>370</v>
      </c>
      <c r="H798" s="98">
        <v>24.3</v>
      </c>
      <c r="I798" s="97">
        <v>4652</v>
      </c>
      <c r="J798" s="99">
        <v>21.9</v>
      </c>
    </row>
    <row r="799" spans="1:10" ht="16">
      <c r="A799" s="100" t="s">
        <v>952</v>
      </c>
      <c r="B799" s="101" t="s">
        <v>919</v>
      </c>
      <c r="C799" s="102" t="s">
        <v>107</v>
      </c>
      <c r="D799" s="103" t="s">
        <v>59</v>
      </c>
      <c r="E799" s="104">
        <v>9121</v>
      </c>
      <c r="F799" s="104">
        <v>1048</v>
      </c>
      <c r="G799" s="104">
        <v>2554</v>
      </c>
      <c r="H799" s="105">
        <v>20.6</v>
      </c>
      <c r="I799" s="104">
        <v>7368</v>
      </c>
      <c r="J799" s="106">
        <v>26.3</v>
      </c>
    </row>
    <row r="800" spans="1:10" ht="16">
      <c r="A800" s="93" t="s">
        <v>953</v>
      </c>
      <c r="B800" s="94" t="s">
        <v>919</v>
      </c>
      <c r="C800" s="95" t="s">
        <v>107</v>
      </c>
      <c r="D800" s="96" t="s">
        <v>61</v>
      </c>
      <c r="E800" s="97">
        <v>7655</v>
      </c>
      <c r="F800" s="97">
        <v>643</v>
      </c>
      <c r="G800" s="97">
        <v>2220</v>
      </c>
      <c r="H800" s="98">
        <v>33.700000000000003</v>
      </c>
      <c r="I800" s="97">
        <v>7896</v>
      </c>
      <c r="J800" s="99">
        <v>41</v>
      </c>
    </row>
    <row r="801" spans="1:10" ht="16">
      <c r="A801" s="100" t="s">
        <v>286</v>
      </c>
      <c r="B801" s="101" t="s">
        <v>223</v>
      </c>
      <c r="C801" s="102" t="s">
        <v>107</v>
      </c>
      <c r="D801" s="103" t="s">
        <v>60</v>
      </c>
      <c r="E801" s="104">
        <v>35690</v>
      </c>
      <c r="F801" s="104">
        <v>2724</v>
      </c>
      <c r="G801" s="104">
        <v>4640</v>
      </c>
      <c r="H801" s="105">
        <v>43.6</v>
      </c>
      <c r="I801" s="104">
        <v>15092</v>
      </c>
      <c r="J801" s="106">
        <v>35.5</v>
      </c>
    </row>
    <row r="802" spans="1:10" ht="16">
      <c r="A802" s="93" t="s">
        <v>734</v>
      </c>
      <c r="B802" s="94" t="s">
        <v>642</v>
      </c>
      <c r="C802" s="95" t="s">
        <v>107</v>
      </c>
      <c r="D802" s="96" t="s">
        <v>92</v>
      </c>
      <c r="E802" s="97">
        <v>6096</v>
      </c>
      <c r="F802" s="97">
        <v>813</v>
      </c>
      <c r="G802" s="97">
        <v>122</v>
      </c>
      <c r="H802" s="98">
        <v>10.8</v>
      </c>
      <c r="I802" s="97">
        <v>1345</v>
      </c>
      <c r="J802" s="99">
        <v>21.6</v>
      </c>
    </row>
    <row r="803" spans="1:10" ht="16">
      <c r="A803" s="100" t="s">
        <v>735</v>
      </c>
      <c r="B803" s="101" t="s">
        <v>642</v>
      </c>
      <c r="C803" s="102" t="s">
        <v>107</v>
      </c>
      <c r="D803" s="103" t="s">
        <v>82</v>
      </c>
      <c r="E803" s="104">
        <v>32404</v>
      </c>
      <c r="F803" s="104">
        <v>1062</v>
      </c>
      <c r="G803" s="104">
        <v>1620</v>
      </c>
      <c r="H803" s="105">
        <v>8.6999999999999993</v>
      </c>
      <c r="I803" s="104">
        <v>577</v>
      </c>
      <c r="J803" s="106">
        <v>15</v>
      </c>
    </row>
    <row r="804" spans="1:10" ht="16">
      <c r="A804" s="93" t="s">
        <v>736</v>
      </c>
      <c r="B804" s="94" t="s">
        <v>642</v>
      </c>
      <c r="C804" s="95" t="s">
        <v>107</v>
      </c>
      <c r="D804" s="96" t="s">
        <v>77</v>
      </c>
      <c r="E804" s="97">
        <v>2135</v>
      </c>
      <c r="F804" s="97">
        <v>243</v>
      </c>
      <c r="G804" s="97">
        <v>149</v>
      </c>
      <c r="H804" s="98">
        <v>16.7</v>
      </c>
      <c r="I804" s="97">
        <v>2722</v>
      </c>
      <c r="J804" s="99">
        <v>21.9</v>
      </c>
    </row>
    <row r="805" spans="1:10" ht="16">
      <c r="A805" s="100" t="s">
        <v>817</v>
      </c>
      <c r="B805" s="101" t="s">
        <v>818</v>
      </c>
      <c r="C805" s="102" t="s">
        <v>107</v>
      </c>
      <c r="D805" s="103" t="s">
        <v>82</v>
      </c>
      <c r="E805" s="104">
        <v>418053</v>
      </c>
      <c r="F805" s="104">
        <v>11613</v>
      </c>
      <c r="G805" s="104">
        <v>29090</v>
      </c>
      <c r="H805" s="105">
        <v>6.9</v>
      </c>
      <c r="I805" s="104">
        <v>2126</v>
      </c>
      <c r="J805" s="106">
        <v>11.4</v>
      </c>
    </row>
    <row r="806" spans="1:10" ht="16">
      <c r="A806" s="93" t="s">
        <v>586</v>
      </c>
      <c r="B806" s="94" t="s">
        <v>581</v>
      </c>
      <c r="C806" s="95" t="s">
        <v>76</v>
      </c>
      <c r="D806" s="96" t="s">
        <v>82</v>
      </c>
      <c r="E806" s="97">
        <v>16853</v>
      </c>
      <c r="F806" s="97">
        <v>770</v>
      </c>
      <c r="G806" s="97">
        <v>5056</v>
      </c>
      <c r="H806" s="98">
        <v>43.9</v>
      </c>
      <c r="I806" s="97">
        <v>33114</v>
      </c>
      <c r="J806" s="99">
        <v>41.7</v>
      </c>
    </row>
    <row r="807" spans="1:10" ht="16">
      <c r="A807" s="100" t="s">
        <v>979</v>
      </c>
      <c r="B807" s="101" t="s">
        <v>977</v>
      </c>
      <c r="C807" s="102" t="s">
        <v>76</v>
      </c>
      <c r="D807" s="103" t="s">
        <v>80</v>
      </c>
      <c r="E807" s="104">
        <v>45992</v>
      </c>
      <c r="F807" s="104">
        <v>1167</v>
      </c>
      <c r="G807" s="104">
        <v>920</v>
      </c>
      <c r="H807" s="105">
        <v>7</v>
      </c>
      <c r="I807" s="104">
        <v>3014</v>
      </c>
      <c r="J807" s="106">
        <v>14.4</v>
      </c>
    </row>
    <row r="808" spans="1:10" ht="16">
      <c r="A808" s="93" t="s">
        <v>287</v>
      </c>
      <c r="B808" s="94" t="s">
        <v>223</v>
      </c>
      <c r="C808" s="95" t="s">
        <v>107</v>
      </c>
      <c r="D808" s="96" t="s">
        <v>92</v>
      </c>
      <c r="E808" s="97">
        <v>38783</v>
      </c>
      <c r="F808" s="97">
        <v>3232</v>
      </c>
      <c r="G808" s="97">
        <v>4266</v>
      </c>
      <c r="H808" s="98">
        <v>94</v>
      </c>
      <c r="I808" s="97">
        <v>70131</v>
      </c>
      <c r="J808" s="99">
        <v>86.6</v>
      </c>
    </row>
    <row r="809" spans="1:10" ht="16">
      <c r="A809" s="100" t="s">
        <v>421</v>
      </c>
      <c r="B809" s="101" t="s">
        <v>402</v>
      </c>
      <c r="C809" s="102" t="s">
        <v>107</v>
      </c>
      <c r="D809" s="103" t="s">
        <v>82</v>
      </c>
      <c r="E809" s="104">
        <v>20020</v>
      </c>
      <c r="F809" s="104">
        <v>1925</v>
      </c>
      <c r="G809" s="104">
        <v>2803</v>
      </c>
      <c r="H809" s="105">
        <v>16</v>
      </c>
      <c r="I809" s="104">
        <v>7851</v>
      </c>
      <c r="J809" s="106">
        <v>25.2</v>
      </c>
    </row>
    <row r="810" spans="1:10" ht="16">
      <c r="A810" s="93" t="s">
        <v>422</v>
      </c>
      <c r="B810" s="94" t="s">
        <v>402</v>
      </c>
      <c r="C810" s="95" t="s">
        <v>107</v>
      </c>
      <c r="D810" s="96" t="s">
        <v>62</v>
      </c>
      <c r="E810" s="97">
        <v>34267</v>
      </c>
      <c r="F810" s="97">
        <v>315</v>
      </c>
      <c r="G810" s="97">
        <v>3427</v>
      </c>
      <c r="H810" s="98">
        <v>41.4</v>
      </c>
      <c r="I810" s="97">
        <v>22439</v>
      </c>
      <c r="J810" s="99">
        <v>37.6</v>
      </c>
    </row>
    <row r="811" spans="1:10" ht="16">
      <c r="A811" s="100" t="s">
        <v>423</v>
      </c>
      <c r="B811" s="101" t="s">
        <v>402</v>
      </c>
      <c r="C811" s="102" t="s">
        <v>107</v>
      </c>
      <c r="D811" s="103" t="s">
        <v>59</v>
      </c>
      <c r="E811" s="104">
        <v>32309</v>
      </c>
      <c r="F811" s="104">
        <v>945</v>
      </c>
      <c r="G811" s="104">
        <v>4523</v>
      </c>
      <c r="H811" s="105">
        <v>48.5</v>
      </c>
      <c r="I811" s="104">
        <v>35434</v>
      </c>
      <c r="J811" s="106">
        <v>46.5</v>
      </c>
    </row>
    <row r="812" spans="1:10" ht="16">
      <c r="A812" s="93" t="s">
        <v>1375</v>
      </c>
      <c r="B812" s="94" t="s">
        <v>1288</v>
      </c>
      <c r="C812" s="95" t="s">
        <v>76</v>
      </c>
      <c r="D812" s="96" t="s">
        <v>92</v>
      </c>
      <c r="E812" s="97">
        <v>11017</v>
      </c>
      <c r="F812" s="97">
        <v>1124</v>
      </c>
      <c r="G812" s="97">
        <v>1763</v>
      </c>
      <c r="H812" s="98">
        <v>34.200000000000003</v>
      </c>
      <c r="I812" s="97">
        <v>32297</v>
      </c>
      <c r="J812" s="99">
        <v>49.1</v>
      </c>
    </row>
    <row r="813" spans="1:10" ht="16">
      <c r="A813" s="100" t="s">
        <v>1376</v>
      </c>
      <c r="B813" s="101" t="s">
        <v>1288</v>
      </c>
      <c r="C813" s="102" t="s">
        <v>76</v>
      </c>
      <c r="D813" s="103" t="s">
        <v>61</v>
      </c>
      <c r="E813" s="104">
        <v>11185</v>
      </c>
      <c r="F813" s="104">
        <v>1141</v>
      </c>
      <c r="G813" s="104">
        <v>1230</v>
      </c>
      <c r="H813" s="105">
        <v>24.1</v>
      </c>
      <c r="I813" s="104">
        <v>17528</v>
      </c>
      <c r="J813" s="106">
        <v>42.3</v>
      </c>
    </row>
    <row r="814" spans="1:10" ht="16">
      <c r="A814" s="93" t="s">
        <v>1114</v>
      </c>
      <c r="B814" s="94" t="s">
        <v>1081</v>
      </c>
      <c r="C814" s="95" t="s">
        <v>76</v>
      </c>
      <c r="D814" s="96" t="s">
        <v>60</v>
      </c>
      <c r="E814" s="97">
        <v>15704</v>
      </c>
      <c r="F814" s="97">
        <v>586</v>
      </c>
      <c r="G814" s="97">
        <v>1570</v>
      </c>
      <c r="H814" s="98">
        <v>12.6</v>
      </c>
      <c r="I814" s="97">
        <v>1345</v>
      </c>
      <c r="J814" s="99">
        <v>15</v>
      </c>
    </row>
    <row r="815" spans="1:10" ht="16">
      <c r="A815" s="100" t="s">
        <v>1115</v>
      </c>
      <c r="B815" s="101" t="s">
        <v>1081</v>
      </c>
      <c r="C815" s="102" t="s">
        <v>76</v>
      </c>
      <c r="D815" s="103" t="s">
        <v>82</v>
      </c>
      <c r="E815" s="104">
        <v>3492</v>
      </c>
      <c r="F815" s="104">
        <v>346</v>
      </c>
      <c r="G815" s="104">
        <v>175</v>
      </c>
      <c r="H815" s="105">
        <v>14.1</v>
      </c>
      <c r="I815" s="104">
        <v>2135</v>
      </c>
      <c r="J815" s="106">
        <v>20</v>
      </c>
    </row>
    <row r="816" spans="1:10" ht="16">
      <c r="A816" s="93" t="s">
        <v>1236</v>
      </c>
      <c r="B816" s="94" t="s">
        <v>1190</v>
      </c>
      <c r="C816" s="95" t="s">
        <v>76</v>
      </c>
      <c r="D816" s="96" t="s">
        <v>77</v>
      </c>
      <c r="E816" s="97">
        <v>32665</v>
      </c>
      <c r="F816" s="97">
        <v>3082</v>
      </c>
      <c r="G816" s="97">
        <v>16986</v>
      </c>
      <c r="H816" s="98">
        <v>88.7</v>
      </c>
      <c r="I816" s="97">
        <v>85285</v>
      </c>
      <c r="J816" s="99">
        <v>77.8</v>
      </c>
    </row>
    <row r="817" spans="1:10" ht="16">
      <c r="A817" s="100" t="s">
        <v>954</v>
      </c>
      <c r="B817" s="101" t="s">
        <v>919</v>
      </c>
      <c r="C817" s="102" t="s">
        <v>107</v>
      </c>
      <c r="D817" s="103" t="s">
        <v>82</v>
      </c>
      <c r="E817" s="104">
        <v>14111</v>
      </c>
      <c r="F817" s="104">
        <v>2520</v>
      </c>
      <c r="G817" s="104">
        <v>141</v>
      </c>
      <c r="H817" s="105">
        <v>7.6</v>
      </c>
      <c r="I817" s="104">
        <v>803</v>
      </c>
      <c r="J817" s="106">
        <v>20.7</v>
      </c>
    </row>
    <row r="818" spans="1:10" ht="16">
      <c r="A818" s="93" t="s">
        <v>852</v>
      </c>
      <c r="B818" s="94" t="s">
        <v>850</v>
      </c>
      <c r="C818" s="95" t="s">
        <v>76</v>
      </c>
      <c r="D818" s="96" t="s">
        <v>84</v>
      </c>
      <c r="E818" s="97">
        <v>16475</v>
      </c>
      <c r="F818" s="97">
        <v>1267</v>
      </c>
      <c r="G818" s="97">
        <v>1648</v>
      </c>
      <c r="H818" s="98">
        <v>18</v>
      </c>
      <c r="I818" s="97">
        <v>14423</v>
      </c>
      <c r="J818" s="99">
        <v>21.5</v>
      </c>
    </row>
    <row r="819" spans="1:10" ht="16">
      <c r="A819" s="100" t="s">
        <v>424</v>
      </c>
      <c r="B819" s="101" t="s">
        <v>402</v>
      </c>
      <c r="C819" s="102" t="s">
        <v>107</v>
      </c>
      <c r="D819" s="103" t="s">
        <v>92</v>
      </c>
      <c r="E819" s="104">
        <v>10629</v>
      </c>
      <c r="F819" s="104">
        <v>384</v>
      </c>
      <c r="G819" s="104">
        <v>1382</v>
      </c>
      <c r="H819" s="105">
        <v>36.6</v>
      </c>
      <c r="I819" s="104">
        <v>34769</v>
      </c>
      <c r="J819" s="106">
        <v>40.6</v>
      </c>
    </row>
    <row r="820" spans="1:10" ht="16">
      <c r="A820" s="93" t="s">
        <v>1014</v>
      </c>
      <c r="B820" s="94" t="s">
        <v>988</v>
      </c>
      <c r="C820" s="95" t="s">
        <v>107</v>
      </c>
      <c r="D820" s="96" t="s">
        <v>82</v>
      </c>
      <c r="E820" s="97">
        <v>4127</v>
      </c>
      <c r="F820" s="97">
        <v>297</v>
      </c>
      <c r="G820" s="97">
        <v>330</v>
      </c>
      <c r="H820" s="98">
        <v>38.6</v>
      </c>
      <c r="I820" s="97">
        <v>35254</v>
      </c>
      <c r="J820" s="99">
        <v>27.8</v>
      </c>
    </row>
    <row r="821" spans="1:10" ht="16">
      <c r="A821" s="100" t="s">
        <v>1237</v>
      </c>
      <c r="B821" s="101" t="s">
        <v>1190</v>
      </c>
      <c r="C821" s="102" t="s">
        <v>76</v>
      </c>
      <c r="D821" s="103" t="s">
        <v>84</v>
      </c>
      <c r="E821" s="104">
        <v>17817</v>
      </c>
      <c r="F821" s="104">
        <v>1042</v>
      </c>
      <c r="G821" s="104">
        <v>1425</v>
      </c>
      <c r="H821" s="105">
        <v>18</v>
      </c>
      <c r="I821" s="104">
        <v>7402</v>
      </c>
      <c r="J821" s="106">
        <v>21</v>
      </c>
    </row>
    <row r="822" spans="1:10" ht="16">
      <c r="A822" s="93" t="s">
        <v>1187</v>
      </c>
      <c r="B822" s="94" t="s">
        <v>1185</v>
      </c>
      <c r="C822" s="95" t="s">
        <v>76</v>
      </c>
      <c r="D822" s="96" t="s">
        <v>130</v>
      </c>
      <c r="E822" s="97">
        <v>7523</v>
      </c>
      <c r="F822" s="97">
        <v>818</v>
      </c>
      <c r="G822" s="97">
        <v>1580</v>
      </c>
      <c r="H822" s="98">
        <v>19.100000000000001</v>
      </c>
      <c r="I822" s="97">
        <v>16246</v>
      </c>
      <c r="J822" s="99">
        <v>23.7</v>
      </c>
    </row>
    <row r="823" spans="1:10" ht="16">
      <c r="A823" s="100" t="s">
        <v>874</v>
      </c>
      <c r="B823" s="101" t="s">
        <v>873</v>
      </c>
      <c r="C823" s="102" t="s">
        <v>76</v>
      </c>
      <c r="D823" s="103" t="s">
        <v>92</v>
      </c>
      <c r="E823" s="104">
        <v>6236</v>
      </c>
      <c r="F823" s="104">
        <v>588</v>
      </c>
      <c r="G823" s="104">
        <v>99</v>
      </c>
      <c r="H823" s="105">
        <v>11.3</v>
      </c>
      <c r="I823" s="104">
        <v>9428</v>
      </c>
      <c r="J823" s="106">
        <v>17</v>
      </c>
    </row>
    <row r="824" spans="1:10" ht="16">
      <c r="A824" s="93" t="s">
        <v>533</v>
      </c>
      <c r="B824" s="94" t="s">
        <v>530</v>
      </c>
      <c r="C824" s="95" t="s">
        <v>76</v>
      </c>
      <c r="D824" s="96" t="s">
        <v>92</v>
      </c>
      <c r="E824" s="97">
        <v>38310</v>
      </c>
      <c r="F824" s="97">
        <v>4455</v>
      </c>
      <c r="G824" s="97">
        <v>766</v>
      </c>
      <c r="H824" s="98">
        <v>11</v>
      </c>
      <c r="I824" s="97">
        <v>1733</v>
      </c>
      <c r="J824" s="99">
        <v>23.4</v>
      </c>
    </row>
    <row r="825" spans="1:10" ht="16">
      <c r="A825" s="100" t="s">
        <v>179</v>
      </c>
      <c r="B825" s="101" t="s">
        <v>180</v>
      </c>
      <c r="C825" s="102" t="s">
        <v>76</v>
      </c>
      <c r="D825" s="103" t="s">
        <v>130</v>
      </c>
      <c r="E825" s="104">
        <v>3830</v>
      </c>
      <c r="F825" s="104">
        <v>351</v>
      </c>
      <c r="G825" s="104">
        <v>575</v>
      </c>
      <c r="H825" s="105">
        <v>19.3</v>
      </c>
      <c r="I825" s="104">
        <v>14385</v>
      </c>
      <c r="J825" s="106">
        <v>23</v>
      </c>
    </row>
    <row r="826" spans="1:10" ht="16">
      <c r="A826" s="93" t="s">
        <v>783</v>
      </c>
      <c r="B826" s="94" t="s">
        <v>782</v>
      </c>
      <c r="C826" s="95" t="s">
        <v>76</v>
      </c>
      <c r="D826" s="96" t="s">
        <v>63</v>
      </c>
      <c r="E826" s="97">
        <v>17180</v>
      </c>
      <c r="F826" s="97">
        <v>1701</v>
      </c>
      <c r="G826" s="97">
        <v>2577</v>
      </c>
      <c r="H826" s="98">
        <v>19.600000000000001</v>
      </c>
      <c r="I826" s="97">
        <v>6360</v>
      </c>
      <c r="J826" s="99">
        <v>34.200000000000003</v>
      </c>
    </row>
    <row r="827" spans="1:10" ht="16">
      <c r="A827" s="100" t="s">
        <v>784</v>
      </c>
      <c r="B827" s="101" t="s">
        <v>782</v>
      </c>
      <c r="C827" s="102" t="s">
        <v>107</v>
      </c>
      <c r="D827" s="103" t="s">
        <v>92</v>
      </c>
      <c r="E827" s="104">
        <v>12154</v>
      </c>
      <c r="F827" s="104">
        <v>711</v>
      </c>
      <c r="G827" s="104">
        <v>608</v>
      </c>
      <c r="H827" s="105">
        <v>12</v>
      </c>
      <c r="I827" s="104">
        <v>7550</v>
      </c>
      <c r="J827" s="106">
        <v>16.5</v>
      </c>
    </row>
    <row r="828" spans="1:10" ht="16">
      <c r="A828" s="93" t="s">
        <v>785</v>
      </c>
      <c r="B828" s="94" t="s">
        <v>782</v>
      </c>
      <c r="C828" s="95" t="s">
        <v>76</v>
      </c>
      <c r="D828" s="96" t="s">
        <v>84</v>
      </c>
      <c r="E828" s="97">
        <v>15973</v>
      </c>
      <c r="F828" s="97">
        <v>850</v>
      </c>
      <c r="G828" s="97">
        <v>958</v>
      </c>
      <c r="H828" s="98">
        <v>8.5</v>
      </c>
      <c r="I828" s="97">
        <v>871</v>
      </c>
      <c r="J828" s="99">
        <v>17.8</v>
      </c>
    </row>
    <row r="829" spans="1:10" ht="16">
      <c r="A829" s="100" t="s">
        <v>786</v>
      </c>
      <c r="B829" s="101" t="s">
        <v>782</v>
      </c>
      <c r="C829" s="102" t="s">
        <v>76</v>
      </c>
      <c r="D829" s="103" t="s">
        <v>80</v>
      </c>
      <c r="E829" s="104">
        <v>20018</v>
      </c>
      <c r="F829" s="104">
        <v>1654</v>
      </c>
      <c r="G829" s="104">
        <v>4604</v>
      </c>
      <c r="H829" s="105">
        <v>31.4</v>
      </c>
      <c r="I829" s="104">
        <v>6006</v>
      </c>
      <c r="J829" s="106">
        <v>32</v>
      </c>
    </row>
    <row r="830" spans="1:10" ht="16">
      <c r="A830" s="93" t="s">
        <v>787</v>
      </c>
      <c r="B830" s="94" t="s">
        <v>782</v>
      </c>
      <c r="C830" s="95" t="s">
        <v>76</v>
      </c>
      <c r="D830" s="96" t="s">
        <v>82</v>
      </c>
      <c r="E830" s="97">
        <v>20908</v>
      </c>
      <c r="F830" s="97">
        <v>1954</v>
      </c>
      <c r="G830" s="97">
        <v>3136</v>
      </c>
      <c r="H830" s="98">
        <v>22.7</v>
      </c>
      <c r="I830" s="97">
        <v>6063</v>
      </c>
      <c r="J830" s="99">
        <v>35.6</v>
      </c>
    </row>
    <row r="831" spans="1:10" ht="16">
      <c r="A831" s="100" t="s">
        <v>788</v>
      </c>
      <c r="B831" s="101" t="s">
        <v>782</v>
      </c>
      <c r="C831" s="102" t="s">
        <v>76</v>
      </c>
      <c r="D831" s="103" t="s">
        <v>62</v>
      </c>
      <c r="E831" s="104">
        <v>19087</v>
      </c>
      <c r="F831" s="104">
        <v>1704</v>
      </c>
      <c r="G831" s="104">
        <v>2672</v>
      </c>
      <c r="H831" s="105">
        <v>25.2</v>
      </c>
      <c r="I831" s="104">
        <v>7382</v>
      </c>
      <c r="J831" s="106">
        <v>36.4</v>
      </c>
    </row>
    <row r="832" spans="1:10" ht="16">
      <c r="A832" s="93" t="s">
        <v>789</v>
      </c>
      <c r="B832" s="94" t="s">
        <v>782</v>
      </c>
      <c r="C832" s="95" t="s">
        <v>76</v>
      </c>
      <c r="D832" s="96" t="s">
        <v>61</v>
      </c>
      <c r="E832" s="97">
        <v>54483</v>
      </c>
      <c r="F832" s="97">
        <v>3186</v>
      </c>
      <c r="G832" s="97">
        <v>3791</v>
      </c>
      <c r="H832" s="98">
        <v>12.8</v>
      </c>
      <c r="I832" s="97">
        <v>1398</v>
      </c>
      <c r="J832" s="99">
        <v>18.100000000000001</v>
      </c>
    </row>
    <row r="833" spans="1:10" ht="16">
      <c r="A833" s="100" t="s">
        <v>790</v>
      </c>
      <c r="B833" s="101" t="s">
        <v>782</v>
      </c>
      <c r="C833" s="102" t="s">
        <v>107</v>
      </c>
      <c r="D833" s="103" t="s">
        <v>130</v>
      </c>
      <c r="E833" s="104">
        <v>6212</v>
      </c>
      <c r="F833" s="104">
        <v>391</v>
      </c>
      <c r="G833" s="104">
        <v>1056</v>
      </c>
      <c r="H833" s="105">
        <v>30.1</v>
      </c>
      <c r="I833" s="104">
        <v>8089</v>
      </c>
      <c r="J833" s="106">
        <v>27.1</v>
      </c>
    </row>
    <row r="834" spans="1:10" ht="16">
      <c r="A834" s="93" t="s">
        <v>791</v>
      </c>
      <c r="B834" s="94" t="s">
        <v>782</v>
      </c>
      <c r="C834" s="95" t="s">
        <v>107</v>
      </c>
      <c r="D834" s="96" t="s">
        <v>63</v>
      </c>
      <c r="E834" s="97">
        <v>6780</v>
      </c>
      <c r="F834" s="97">
        <v>421</v>
      </c>
      <c r="G834" s="97">
        <v>407</v>
      </c>
      <c r="H834" s="98">
        <v>13.8</v>
      </c>
      <c r="I834" s="97">
        <v>4686</v>
      </c>
      <c r="J834" s="99">
        <v>17.899999999999999</v>
      </c>
    </row>
    <row r="835" spans="1:10" ht="16">
      <c r="A835" s="100" t="s">
        <v>792</v>
      </c>
      <c r="B835" s="101" t="s">
        <v>782</v>
      </c>
      <c r="C835" s="102" t="s">
        <v>76</v>
      </c>
      <c r="D835" s="103" t="s">
        <v>80</v>
      </c>
      <c r="E835" s="104">
        <v>18763</v>
      </c>
      <c r="F835" s="104">
        <v>1165</v>
      </c>
      <c r="G835" s="104">
        <v>375</v>
      </c>
      <c r="H835" s="105">
        <v>12.2</v>
      </c>
      <c r="I835" s="104">
        <v>9987</v>
      </c>
      <c r="J835" s="106">
        <v>14.8</v>
      </c>
    </row>
    <row r="836" spans="1:10" ht="16">
      <c r="A836" s="93" t="s">
        <v>793</v>
      </c>
      <c r="B836" s="94" t="s">
        <v>782</v>
      </c>
      <c r="C836" s="95" t="s">
        <v>76</v>
      </c>
      <c r="D836" s="96" t="s">
        <v>59</v>
      </c>
      <c r="E836" s="97">
        <v>12871</v>
      </c>
      <c r="F836" s="97">
        <v>1100</v>
      </c>
      <c r="G836" s="97">
        <v>3218</v>
      </c>
      <c r="H836" s="98">
        <v>20.8</v>
      </c>
      <c r="I836" s="97">
        <v>1940</v>
      </c>
      <c r="J836" s="99">
        <v>30.9</v>
      </c>
    </row>
    <row r="837" spans="1:10" ht="16">
      <c r="A837" s="100" t="s">
        <v>1377</v>
      </c>
      <c r="B837" s="101" t="s">
        <v>1288</v>
      </c>
      <c r="C837" s="102" t="s">
        <v>107</v>
      </c>
      <c r="D837" s="103" t="s">
        <v>84</v>
      </c>
      <c r="E837" s="104">
        <v>25849</v>
      </c>
      <c r="F837" s="104">
        <v>1486</v>
      </c>
      <c r="G837" s="104">
        <v>4394</v>
      </c>
      <c r="H837" s="105">
        <v>32.700000000000003</v>
      </c>
      <c r="I837" s="104">
        <v>24149</v>
      </c>
      <c r="J837" s="106">
        <v>37.200000000000003</v>
      </c>
    </row>
    <row r="838" spans="1:10" ht="16">
      <c r="A838" s="93" t="s">
        <v>587</v>
      </c>
      <c r="B838" s="94" t="s">
        <v>581</v>
      </c>
      <c r="C838" s="95" t="s">
        <v>76</v>
      </c>
      <c r="D838" s="96" t="s">
        <v>60</v>
      </c>
      <c r="E838" s="97">
        <v>16861</v>
      </c>
      <c r="F838" s="97">
        <v>937</v>
      </c>
      <c r="G838" s="97">
        <v>3035</v>
      </c>
      <c r="H838" s="98">
        <v>23.1</v>
      </c>
      <c r="I838" s="97">
        <v>17913</v>
      </c>
      <c r="J838" s="99">
        <v>24.9</v>
      </c>
    </row>
    <row r="839" spans="1:10" ht="16">
      <c r="A839" s="100" t="s">
        <v>588</v>
      </c>
      <c r="B839" s="101" t="s">
        <v>581</v>
      </c>
      <c r="C839" s="102" t="s">
        <v>76</v>
      </c>
      <c r="D839" s="103" t="s">
        <v>63</v>
      </c>
      <c r="E839" s="104">
        <v>22541</v>
      </c>
      <c r="F839" s="104">
        <v>976</v>
      </c>
      <c r="G839" s="104">
        <v>6537</v>
      </c>
      <c r="H839" s="105">
        <v>36.5</v>
      </c>
      <c r="I839" s="104">
        <v>26912</v>
      </c>
      <c r="J839" s="106">
        <v>30.8</v>
      </c>
    </row>
    <row r="840" spans="1:10" ht="16">
      <c r="A840" s="93" t="s">
        <v>1238</v>
      </c>
      <c r="B840" s="94" t="s">
        <v>1190</v>
      </c>
      <c r="C840" s="95" t="s">
        <v>76</v>
      </c>
      <c r="D840" s="96" t="s">
        <v>84</v>
      </c>
      <c r="E840" s="97">
        <v>12399</v>
      </c>
      <c r="F840" s="97">
        <v>790</v>
      </c>
      <c r="G840" s="97">
        <v>4836</v>
      </c>
      <c r="H840" s="98">
        <v>33.299999999999997</v>
      </c>
      <c r="I840" s="97">
        <v>31767</v>
      </c>
      <c r="J840" s="99">
        <v>30.4</v>
      </c>
    </row>
    <row r="841" spans="1:10" ht="16">
      <c r="A841" s="100" t="s">
        <v>110</v>
      </c>
      <c r="B841" s="101" t="s">
        <v>89</v>
      </c>
      <c r="C841" s="102" t="s">
        <v>107</v>
      </c>
      <c r="D841" s="103" t="s">
        <v>63</v>
      </c>
      <c r="E841" s="104">
        <v>21093</v>
      </c>
      <c r="F841" s="104">
        <v>705</v>
      </c>
      <c r="G841" s="104">
        <v>6117</v>
      </c>
      <c r="H841" s="105">
        <v>41.6</v>
      </c>
      <c r="I841" s="104">
        <v>39730</v>
      </c>
      <c r="J841" s="106">
        <v>34.299999999999997</v>
      </c>
    </row>
    <row r="842" spans="1:10" ht="16">
      <c r="A842" s="93" t="s">
        <v>866</v>
      </c>
      <c r="B842" s="94" t="s">
        <v>858</v>
      </c>
      <c r="C842" s="95" t="s">
        <v>107</v>
      </c>
      <c r="D842" s="96" t="s">
        <v>60</v>
      </c>
      <c r="E842" s="97">
        <v>24440</v>
      </c>
      <c r="F842" s="97">
        <v>690</v>
      </c>
      <c r="G842" s="97">
        <v>1701</v>
      </c>
      <c r="H842" s="98">
        <v>16.5</v>
      </c>
      <c r="I842" s="97">
        <v>4724</v>
      </c>
      <c r="J842" s="99">
        <v>17.5</v>
      </c>
    </row>
    <row r="843" spans="1:10" ht="16">
      <c r="A843" s="100" t="s">
        <v>1378</v>
      </c>
      <c r="B843" s="101" t="s">
        <v>1288</v>
      </c>
      <c r="C843" s="102" t="s">
        <v>76</v>
      </c>
      <c r="D843" s="103" t="s">
        <v>63</v>
      </c>
      <c r="E843" s="104">
        <v>35120</v>
      </c>
      <c r="F843" s="104">
        <v>1561</v>
      </c>
      <c r="G843" s="104">
        <v>1405</v>
      </c>
      <c r="H843" s="105">
        <v>22.4</v>
      </c>
      <c r="I843" s="104">
        <v>17388</v>
      </c>
      <c r="J843" s="106">
        <v>26.9</v>
      </c>
    </row>
    <row r="844" spans="1:10" ht="16">
      <c r="A844" s="93" t="s">
        <v>1379</v>
      </c>
      <c r="B844" s="94" t="s">
        <v>1288</v>
      </c>
      <c r="C844" s="95" t="s">
        <v>76</v>
      </c>
      <c r="D844" s="96" t="s">
        <v>63</v>
      </c>
      <c r="E844" s="97">
        <v>16927</v>
      </c>
      <c r="F844" s="97">
        <v>1014</v>
      </c>
      <c r="G844" s="97">
        <v>1016</v>
      </c>
      <c r="H844" s="98">
        <v>33.6</v>
      </c>
      <c r="I844" s="97">
        <v>32783</v>
      </c>
      <c r="J844" s="99">
        <v>39.200000000000003</v>
      </c>
    </row>
    <row r="845" spans="1:10" ht="16">
      <c r="A845" s="100" t="s">
        <v>1380</v>
      </c>
      <c r="B845" s="101" t="s">
        <v>1288</v>
      </c>
      <c r="C845" s="102" t="s">
        <v>107</v>
      </c>
      <c r="D845" s="103" t="s">
        <v>82</v>
      </c>
      <c r="E845" s="104">
        <v>6729</v>
      </c>
      <c r="F845" s="104">
        <v>413</v>
      </c>
      <c r="G845" s="104">
        <v>538</v>
      </c>
      <c r="H845" s="105">
        <v>22.4</v>
      </c>
      <c r="I845" s="104">
        <v>13043</v>
      </c>
      <c r="J845" s="106">
        <v>22.2</v>
      </c>
    </row>
    <row r="846" spans="1:10" ht="16">
      <c r="A846" s="93" t="s">
        <v>1381</v>
      </c>
      <c r="B846" s="94" t="s">
        <v>1288</v>
      </c>
      <c r="C846" s="95" t="s">
        <v>76</v>
      </c>
      <c r="D846" s="96" t="s">
        <v>130</v>
      </c>
      <c r="E846" s="97">
        <v>3593</v>
      </c>
      <c r="F846" s="97">
        <v>413</v>
      </c>
      <c r="G846" s="97">
        <v>180</v>
      </c>
      <c r="H846" s="98">
        <v>25</v>
      </c>
      <c r="I846" s="97">
        <v>18189</v>
      </c>
      <c r="J846" s="99">
        <v>27.5</v>
      </c>
    </row>
    <row r="847" spans="1:10" ht="16">
      <c r="A847" s="100" t="s">
        <v>194</v>
      </c>
      <c r="B847" s="101" t="s">
        <v>184</v>
      </c>
      <c r="C847" s="102" t="s">
        <v>76</v>
      </c>
      <c r="D847" s="103" t="s">
        <v>61</v>
      </c>
      <c r="E847" s="104">
        <v>31919</v>
      </c>
      <c r="F847" s="104">
        <v>1520</v>
      </c>
      <c r="G847" s="104">
        <v>8299</v>
      </c>
      <c r="H847" s="105">
        <v>48.8</v>
      </c>
      <c r="I847" s="104">
        <v>34311</v>
      </c>
      <c r="J847" s="106">
        <v>47.9</v>
      </c>
    </row>
    <row r="848" spans="1:10" ht="16">
      <c r="A848" s="93" t="s">
        <v>897</v>
      </c>
      <c r="B848" s="94" t="s">
        <v>893</v>
      </c>
      <c r="C848" s="95" t="s">
        <v>76</v>
      </c>
      <c r="D848" s="96" t="s">
        <v>59</v>
      </c>
      <c r="E848" s="97">
        <v>7780</v>
      </c>
      <c r="F848" s="97">
        <v>603</v>
      </c>
      <c r="G848" s="97">
        <v>1245</v>
      </c>
      <c r="H848" s="98">
        <v>13.5</v>
      </c>
      <c r="I848" s="97">
        <v>5456</v>
      </c>
      <c r="J848" s="99">
        <v>17.3</v>
      </c>
    </row>
    <row r="849" spans="1:10" ht="16">
      <c r="A849" s="100" t="s">
        <v>1032</v>
      </c>
      <c r="B849" s="101" t="s">
        <v>1020</v>
      </c>
      <c r="C849" s="102" t="s">
        <v>76</v>
      </c>
      <c r="D849" s="103" t="s">
        <v>130</v>
      </c>
      <c r="E849" s="104">
        <v>27207</v>
      </c>
      <c r="F849" s="104">
        <v>1479</v>
      </c>
      <c r="G849" s="104">
        <v>2449</v>
      </c>
      <c r="H849" s="105">
        <v>14.8</v>
      </c>
      <c r="I849" s="104">
        <v>4267</v>
      </c>
      <c r="J849" s="106">
        <v>20</v>
      </c>
    </row>
    <row r="850" spans="1:10" ht="16">
      <c r="A850" s="93" t="s">
        <v>827</v>
      </c>
      <c r="B850" s="94" t="s">
        <v>820</v>
      </c>
      <c r="C850" s="95" t="s">
        <v>76</v>
      </c>
      <c r="D850" s="96" t="s">
        <v>61</v>
      </c>
      <c r="E850" s="97">
        <v>26723</v>
      </c>
      <c r="F850" s="97">
        <v>1979</v>
      </c>
      <c r="G850" s="97">
        <v>4810</v>
      </c>
      <c r="H850" s="98">
        <v>63.4</v>
      </c>
      <c r="I850" s="97">
        <v>57876</v>
      </c>
      <c r="J850" s="99">
        <v>48</v>
      </c>
    </row>
    <row r="851" spans="1:10" ht="16">
      <c r="A851" s="100" t="s">
        <v>308</v>
      </c>
      <c r="B851" s="101" t="s">
        <v>304</v>
      </c>
      <c r="C851" s="102" t="s">
        <v>76</v>
      </c>
      <c r="D851" s="103" t="s">
        <v>63</v>
      </c>
      <c r="E851" s="104">
        <v>41389</v>
      </c>
      <c r="F851" s="104">
        <v>1725</v>
      </c>
      <c r="G851" s="104">
        <v>2850</v>
      </c>
      <c r="H851" s="105">
        <v>17</v>
      </c>
      <c r="I851" s="104">
        <v>2932</v>
      </c>
      <c r="J851" s="106">
        <v>16.7</v>
      </c>
    </row>
    <row r="852" spans="1:10" ht="16">
      <c r="A852" s="93" t="s">
        <v>147</v>
      </c>
      <c r="B852" s="94" t="s">
        <v>144</v>
      </c>
      <c r="C852" s="95" t="s">
        <v>76</v>
      </c>
      <c r="D852" s="96" t="s">
        <v>130</v>
      </c>
      <c r="E852" s="97">
        <v>15166</v>
      </c>
      <c r="F852" s="97">
        <v>518</v>
      </c>
      <c r="G852" s="97">
        <v>2578</v>
      </c>
      <c r="H852" s="98">
        <v>44.5</v>
      </c>
      <c r="I852" s="97">
        <v>33787</v>
      </c>
      <c r="J852" s="99">
        <v>35.6</v>
      </c>
    </row>
    <row r="853" spans="1:10" ht="16">
      <c r="A853" s="100" t="s">
        <v>1382</v>
      </c>
      <c r="B853" s="101" t="s">
        <v>1288</v>
      </c>
      <c r="C853" s="102" t="s">
        <v>76</v>
      </c>
      <c r="D853" s="103" t="s">
        <v>82</v>
      </c>
      <c r="E853" s="104">
        <v>39124</v>
      </c>
      <c r="F853" s="104">
        <v>2126</v>
      </c>
      <c r="G853" s="104">
        <v>3912</v>
      </c>
      <c r="H853" s="105">
        <v>53.7</v>
      </c>
      <c r="I853" s="104">
        <v>45862</v>
      </c>
      <c r="J853" s="106">
        <v>52.6</v>
      </c>
    </row>
    <row r="854" spans="1:10" ht="16">
      <c r="A854" s="93" t="s">
        <v>1383</v>
      </c>
      <c r="B854" s="94" t="s">
        <v>1288</v>
      </c>
      <c r="C854" s="95" t="s">
        <v>76</v>
      </c>
      <c r="D854" s="96" t="s">
        <v>92</v>
      </c>
      <c r="E854" s="97">
        <v>24754</v>
      </c>
      <c r="F854" s="97">
        <v>1250</v>
      </c>
      <c r="G854" s="97">
        <v>1238</v>
      </c>
      <c r="H854" s="98">
        <v>23</v>
      </c>
      <c r="I854" s="97">
        <v>8534</v>
      </c>
      <c r="J854" s="99">
        <v>26.9</v>
      </c>
    </row>
    <row r="855" spans="1:10" ht="16">
      <c r="A855" s="100" t="s">
        <v>837</v>
      </c>
      <c r="B855" s="101" t="s">
        <v>834</v>
      </c>
      <c r="C855" s="102" t="s">
        <v>76</v>
      </c>
      <c r="D855" s="103" t="s">
        <v>130</v>
      </c>
      <c r="E855" s="104">
        <v>32821</v>
      </c>
      <c r="F855" s="104">
        <v>1485</v>
      </c>
      <c r="G855" s="104">
        <v>10503</v>
      </c>
      <c r="H855" s="105">
        <v>43.9</v>
      </c>
      <c r="I855" s="104">
        <v>35216</v>
      </c>
      <c r="J855" s="106">
        <v>31.4</v>
      </c>
    </row>
    <row r="856" spans="1:10" ht="16">
      <c r="A856" s="93" t="s">
        <v>898</v>
      </c>
      <c r="B856" s="94" t="s">
        <v>893</v>
      </c>
      <c r="C856" s="95" t="s">
        <v>76</v>
      </c>
      <c r="D856" s="96" t="s">
        <v>62</v>
      </c>
      <c r="E856" s="97">
        <v>9774</v>
      </c>
      <c r="F856" s="97">
        <v>592</v>
      </c>
      <c r="G856" s="97">
        <v>1173</v>
      </c>
      <c r="H856" s="98">
        <v>25.5</v>
      </c>
      <c r="I856" s="97">
        <v>10389</v>
      </c>
      <c r="J856" s="99">
        <v>24.7</v>
      </c>
    </row>
    <row r="857" spans="1:10" ht="16">
      <c r="A857" s="100" t="s">
        <v>577</v>
      </c>
      <c r="B857" s="101" t="s">
        <v>578</v>
      </c>
      <c r="C857" s="102" t="s">
        <v>76</v>
      </c>
      <c r="D857" s="103" t="s">
        <v>63</v>
      </c>
      <c r="E857" s="104">
        <v>66399</v>
      </c>
      <c r="F857" s="104">
        <v>6385</v>
      </c>
      <c r="G857" s="104">
        <v>4620</v>
      </c>
      <c r="H857" s="105">
        <v>7.9</v>
      </c>
      <c r="I857" s="104">
        <v>3446</v>
      </c>
      <c r="J857" s="106">
        <v>19.5</v>
      </c>
    </row>
    <row r="858" spans="1:10" ht="16">
      <c r="A858" s="93" t="s">
        <v>1033</v>
      </c>
      <c r="B858" s="94" t="s">
        <v>1020</v>
      </c>
      <c r="C858" s="95" t="s">
        <v>76</v>
      </c>
      <c r="D858" s="96" t="s">
        <v>80</v>
      </c>
      <c r="E858" s="97">
        <v>46214</v>
      </c>
      <c r="F858" s="97">
        <v>3916</v>
      </c>
      <c r="G858" s="97">
        <v>4621</v>
      </c>
      <c r="H858" s="98">
        <v>32.5</v>
      </c>
      <c r="I858" s="97">
        <v>28518</v>
      </c>
      <c r="J858" s="99">
        <v>37.299999999999997</v>
      </c>
    </row>
    <row r="859" spans="1:10" ht="16">
      <c r="A859" s="100" t="s">
        <v>607</v>
      </c>
      <c r="B859" s="101" t="s">
        <v>598</v>
      </c>
      <c r="C859" s="102" t="s">
        <v>76</v>
      </c>
      <c r="D859" s="103" t="s">
        <v>60</v>
      </c>
      <c r="E859" s="104">
        <v>29564</v>
      </c>
      <c r="F859" s="104">
        <v>1442</v>
      </c>
      <c r="G859" s="104">
        <v>296</v>
      </c>
      <c r="H859" s="105">
        <v>17.100000000000001</v>
      </c>
      <c r="I859" s="104">
        <v>14947</v>
      </c>
      <c r="J859" s="106">
        <v>16.7</v>
      </c>
    </row>
    <row r="860" spans="1:10" ht="16">
      <c r="A860" s="93" t="s">
        <v>1073</v>
      </c>
      <c r="B860" s="94" t="s">
        <v>1072</v>
      </c>
      <c r="C860" s="95" t="s">
        <v>76</v>
      </c>
      <c r="D860" s="96" t="s">
        <v>60</v>
      </c>
      <c r="E860" s="97">
        <v>11518</v>
      </c>
      <c r="F860" s="97">
        <v>729</v>
      </c>
      <c r="G860" s="97">
        <v>3110</v>
      </c>
      <c r="H860" s="98">
        <v>41.2</v>
      </c>
      <c r="I860" s="97">
        <v>37664</v>
      </c>
      <c r="J860" s="99">
        <v>43</v>
      </c>
    </row>
    <row r="861" spans="1:10" ht="16">
      <c r="A861" s="100" t="s">
        <v>1239</v>
      </c>
      <c r="B861" s="101" t="s">
        <v>1190</v>
      </c>
      <c r="C861" s="102" t="s">
        <v>107</v>
      </c>
      <c r="D861" s="103" t="s">
        <v>63</v>
      </c>
      <c r="E861" s="104">
        <v>13825</v>
      </c>
      <c r="F861" s="104">
        <v>843</v>
      </c>
      <c r="G861" s="104">
        <v>4424</v>
      </c>
      <c r="H861" s="105">
        <v>31.1</v>
      </c>
      <c r="I861" s="104">
        <v>23616</v>
      </c>
      <c r="J861" s="106">
        <v>28.6</v>
      </c>
    </row>
    <row r="862" spans="1:10" ht="16">
      <c r="A862" s="93" t="s">
        <v>425</v>
      </c>
      <c r="B862" s="94" t="s">
        <v>402</v>
      </c>
      <c r="C862" s="95" t="s">
        <v>107</v>
      </c>
      <c r="D862" s="96" t="s">
        <v>63</v>
      </c>
      <c r="E862" s="97">
        <v>9255</v>
      </c>
      <c r="F862" s="97">
        <v>312</v>
      </c>
      <c r="G862" s="97">
        <v>926</v>
      </c>
      <c r="H862" s="98">
        <v>34.5</v>
      </c>
      <c r="I862" s="97">
        <v>19253</v>
      </c>
      <c r="J862" s="99">
        <v>34.700000000000003</v>
      </c>
    </row>
    <row r="863" spans="1:10" ht="16">
      <c r="A863" s="100" t="s">
        <v>1240</v>
      </c>
      <c r="B863" s="101" t="s">
        <v>1190</v>
      </c>
      <c r="C863" s="102" t="s">
        <v>76</v>
      </c>
      <c r="D863" s="103" t="s">
        <v>63</v>
      </c>
      <c r="E863" s="104">
        <v>10808</v>
      </c>
      <c r="F863" s="104">
        <v>540</v>
      </c>
      <c r="G863" s="104">
        <v>3675</v>
      </c>
      <c r="H863" s="105">
        <v>13.6</v>
      </c>
      <c r="I863" s="104">
        <v>3996</v>
      </c>
      <c r="J863" s="106">
        <v>16.899999999999999</v>
      </c>
    </row>
    <row r="864" spans="1:10" ht="16">
      <c r="A864" s="93" t="s">
        <v>899</v>
      </c>
      <c r="B864" s="94" t="s">
        <v>893</v>
      </c>
      <c r="C864" s="95" t="s">
        <v>76</v>
      </c>
      <c r="D864" s="96" t="s">
        <v>60</v>
      </c>
      <c r="E864" s="97">
        <v>7022</v>
      </c>
      <c r="F864" s="97">
        <v>447</v>
      </c>
      <c r="G864" s="97">
        <v>983</v>
      </c>
      <c r="H864" s="98">
        <v>16.5</v>
      </c>
      <c r="I864" s="97">
        <v>8064</v>
      </c>
      <c r="J864" s="99">
        <v>17.899999999999999</v>
      </c>
    </row>
    <row r="865" spans="1:10" ht="16">
      <c r="A865" s="100" t="s">
        <v>608</v>
      </c>
      <c r="B865" s="101" t="s">
        <v>598</v>
      </c>
      <c r="C865" s="102" t="s">
        <v>76</v>
      </c>
      <c r="D865" s="103" t="s">
        <v>63</v>
      </c>
      <c r="E865" s="104">
        <v>19022</v>
      </c>
      <c r="F865" s="104">
        <v>334</v>
      </c>
      <c r="G865" s="104">
        <v>1332</v>
      </c>
      <c r="H865" s="105">
        <v>21</v>
      </c>
      <c r="I865" s="104">
        <v>12483</v>
      </c>
      <c r="J865" s="106">
        <v>19.5</v>
      </c>
    </row>
    <row r="866" spans="1:10" ht="16">
      <c r="A866" s="93" t="s">
        <v>853</v>
      </c>
      <c r="B866" s="94" t="s">
        <v>850</v>
      </c>
      <c r="C866" s="95" t="s">
        <v>76</v>
      </c>
      <c r="D866" s="96" t="s">
        <v>82</v>
      </c>
      <c r="E866" s="97">
        <v>14007</v>
      </c>
      <c r="F866" s="97">
        <v>1121</v>
      </c>
      <c r="G866" s="97">
        <v>1961</v>
      </c>
      <c r="H866" s="98">
        <v>29.4</v>
      </c>
      <c r="I866" s="97">
        <v>27696</v>
      </c>
      <c r="J866" s="99">
        <v>29.5</v>
      </c>
    </row>
    <row r="867" spans="1:10" ht="16">
      <c r="A867" s="100" t="s">
        <v>1074</v>
      </c>
      <c r="B867" s="101" t="s">
        <v>1072</v>
      </c>
      <c r="C867" s="102" t="s">
        <v>76</v>
      </c>
      <c r="D867" s="103" t="s">
        <v>77</v>
      </c>
      <c r="E867" s="104">
        <v>11090</v>
      </c>
      <c r="F867" s="104">
        <v>672</v>
      </c>
      <c r="G867" s="104">
        <v>1774</v>
      </c>
      <c r="H867" s="105">
        <v>41.2</v>
      </c>
      <c r="I867" s="104">
        <v>35740</v>
      </c>
      <c r="J867" s="106">
        <v>44.5</v>
      </c>
    </row>
    <row r="868" spans="1:10" ht="16">
      <c r="A868" s="93" t="s">
        <v>565</v>
      </c>
      <c r="B868" s="94" t="s">
        <v>537</v>
      </c>
      <c r="C868" s="95" t="s">
        <v>76</v>
      </c>
      <c r="D868" s="96" t="s">
        <v>59</v>
      </c>
      <c r="E868" s="97">
        <v>11000</v>
      </c>
      <c r="F868" s="97">
        <v>451</v>
      </c>
      <c r="G868" s="97">
        <v>110</v>
      </c>
      <c r="H868" s="98">
        <v>8</v>
      </c>
      <c r="I868" s="97">
        <v>694</v>
      </c>
      <c r="J868" s="99">
        <v>16.399999999999999</v>
      </c>
    </row>
    <row r="869" spans="1:10" ht="16">
      <c r="A869" s="100" t="s">
        <v>1241</v>
      </c>
      <c r="B869" s="101" t="s">
        <v>1190</v>
      </c>
      <c r="C869" s="102" t="s">
        <v>76</v>
      </c>
      <c r="D869" s="103" t="s">
        <v>59</v>
      </c>
      <c r="E869" s="104">
        <v>29542</v>
      </c>
      <c r="F869" s="104">
        <v>1906</v>
      </c>
      <c r="G869" s="104">
        <v>8567</v>
      </c>
      <c r="H869" s="105">
        <v>45.6</v>
      </c>
      <c r="I869" s="104">
        <v>42081</v>
      </c>
      <c r="J869" s="106">
        <v>39.6</v>
      </c>
    </row>
    <row r="870" spans="1:10" ht="16">
      <c r="A870" s="93" t="s">
        <v>74</v>
      </c>
      <c r="B870" s="94" t="s">
        <v>75</v>
      </c>
      <c r="C870" s="95" t="s">
        <v>76</v>
      </c>
      <c r="D870" s="96" t="s">
        <v>77</v>
      </c>
      <c r="E870" s="97">
        <v>34037</v>
      </c>
      <c r="F870" s="97">
        <v>1389</v>
      </c>
      <c r="G870" s="97">
        <v>340</v>
      </c>
      <c r="H870" s="98">
        <v>7.3</v>
      </c>
      <c r="I870" s="97">
        <v>1033</v>
      </c>
      <c r="J870" s="99">
        <v>15.7</v>
      </c>
    </row>
    <row r="871" spans="1:10" ht="16">
      <c r="A871" s="100" t="s">
        <v>609</v>
      </c>
      <c r="B871" s="101" t="s">
        <v>598</v>
      </c>
      <c r="C871" s="102" t="s">
        <v>76</v>
      </c>
      <c r="D871" s="103" t="s">
        <v>82</v>
      </c>
      <c r="E871" s="104">
        <v>65819</v>
      </c>
      <c r="F871" s="104">
        <v>2742</v>
      </c>
      <c r="G871" s="104">
        <v>7898</v>
      </c>
      <c r="H871" s="105">
        <v>34.799999999999997</v>
      </c>
      <c r="I871" s="104">
        <v>29183</v>
      </c>
      <c r="J871" s="106">
        <v>51.5</v>
      </c>
    </row>
    <row r="872" spans="1:10" ht="16">
      <c r="A872" s="93" t="s">
        <v>426</v>
      </c>
      <c r="B872" s="94" t="s">
        <v>402</v>
      </c>
      <c r="C872" s="95" t="s">
        <v>76</v>
      </c>
      <c r="D872" s="96" t="s">
        <v>82</v>
      </c>
      <c r="E872" s="97">
        <v>36352</v>
      </c>
      <c r="F872" s="97">
        <v>537</v>
      </c>
      <c r="G872" s="97">
        <v>4726</v>
      </c>
      <c r="H872" s="98">
        <v>47</v>
      </c>
      <c r="I872" s="97">
        <v>41403</v>
      </c>
      <c r="J872" s="99">
        <v>47.6</v>
      </c>
    </row>
    <row r="873" spans="1:10" ht="16">
      <c r="A873" s="100" t="s">
        <v>389</v>
      </c>
      <c r="B873" s="101" t="s">
        <v>377</v>
      </c>
      <c r="C873" s="102" t="s">
        <v>76</v>
      </c>
      <c r="D873" s="103" t="s">
        <v>84</v>
      </c>
      <c r="E873" s="104">
        <v>54965</v>
      </c>
      <c r="F873" s="104">
        <v>2545</v>
      </c>
      <c r="G873" s="104">
        <v>7145</v>
      </c>
      <c r="H873" s="105">
        <v>22.7</v>
      </c>
      <c r="I873" s="104">
        <v>15226</v>
      </c>
      <c r="J873" s="106">
        <v>30</v>
      </c>
    </row>
    <row r="874" spans="1:10" ht="16">
      <c r="A874" s="93" t="s">
        <v>1242</v>
      </c>
      <c r="B874" s="94" t="s">
        <v>1190</v>
      </c>
      <c r="C874" s="95" t="s">
        <v>76</v>
      </c>
      <c r="D874" s="96" t="s">
        <v>80</v>
      </c>
      <c r="E874" s="97">
        <v>8917</v>
      </c>
      <c r="F874" s="97">
        <v>504</v>
      </c>
      <c r="G874" s="97">
        <v>2497</v>
      </c>
      <c r="H874" s="98">
        <v>16.399999999999999</v>
      </c>
      <c r="I874" s="97">
        <v>5443</v>
      </c>
      <c r="J874" s="99">
        <v>19.3</v>
      </c>
    </row>
    <row r="875" spans="1:10" ht="16">
      <c r="A875" s="100" t="s">
        <v>534</v>
      </c>
      <c r="B875" s="101" t="s">
        <v>530</v>
      </c>
      <c r="C875" s="102" t="s">
        <v>76</v>
      </c>
      <c r="D875" s="103" t="s">
        <v>61</v>
      </c>
      <c r="E875" s="104">
        <v>52975</v>
      </c>
      <c r="F875" s="104">
        <v>2803</v>
      </c>
      <c r="G875" s="104">
        <v>530</v>
      </c>
      <c r="H875" s="105">
        <v>8.5</v>
      </c>
      <c r="I875" s="104">
        <v>707</v>
      </c>
      <c r="J875" s="106">
        <v>16</v>
      </c>
    </row>
    <row r="876" spans="1:10" ht="16">
      <c r="A876" s="93" t="s">
        <v>427</v>
      </c>
      <c r="B876" s="94" t="s">
        <v>402</v>
      </c>
      <c r="C876" s="95" t="s">
        <v>76</v>
      </c>
      <c r="D876" s="96" t="s">
        <v>130</v>
      </c>
      <c r="E876" s="97">
        <v>18915</v>
      </c>
      <c r="F876" s="97">
        <v>593</v>
      </c>
      <c r="G876" s="97">
        <v>2270</v>
      </c>
      <c r="H876" s="98">
        <v>36.1</v>
      </c>
      <c r="I876" s="97">
        <v>20248</v>
      </c>
      <c r="J876" s="99">
        <v>36.9</v>
      </c>
    </row>
    <row r="877" spans="1:10" ht="16">
      <c r="A877" s="100" t="s">
        <v>610</v>
      </c>
      <c r="B877" s="101" t="s">
        <v>598</v>
      </c>
      <c r="C877" s="102" t="s">
        <v>107</v>
      </c>
      <c r="D877" s="103" t="s">
        <v>82</v>
      </c>
      <c r="E877" s="104">
        <v>14206</v>
      </c>
      <c r="F877" s="104">
        <v>522</v>
      </c>
      <c r="G877" s="104">
        <v>994</v>
      </c>
      <c r="H877" s="105">
        <v>17</v>
      </c>
      <c r="I877" s="104">
        <v>12149</v>
      </c>
      <c r="J877" s="106">
        <v>15.4</v>
      </c>
    </row>
    <row r="878" spans="1:10" ht="16">
      <c r="A878" s="93" t="s">
        <v>1243</v>
      </c>
      <c r="B878" s="94" t="s">
        <v>1190</v>
      </c>
      <c r="C878" s="95" t="s">
        <v>76</v>
      </c>
      <c r="D878" s="96" t="s">
        <v>84</v>
      </c>
      <c r="E878" s="97">
        <v>17155</v>
      </c>
      <c r="F878" s="97">
        <v>953</v>
      </c>
      <c r="G878" s="97">
        <v>3603</v>
      </c>
      <c r="H878" s="98">
        <v>14.2</v>
      </c>
      <c r="I878" s="97">
        <v>6200</v>
      </c>
      <c r="J878" s="99">
        <v>17.100000000000001</v>
      </c>
    </row>
    <row r="879" spans="1:10" ht="16">
      <c r="A879" s="100" t="s">
        <v>1244</v>
      </c>
      <c r="B879" s="101" t="s">
        <v>1190</v>
      </c>
      <c r="C879" s="102" t="s">
        <v>76</v>
      </c>
      <c r="D879" s="103" t="s">
        <v>60</v>
      </c>
      <c r="E879" s="104">
        <v>21783</v>
      </c>
      <c r="F879" s="104">
        <v>1602</v>
      </c>
      <c r="G879" s="104">
        <v>5881</v>
      </c>
      <c r="H879" s="105">
        <v>48.4</v>
      </c>
      <c r="I879" s="104">
        <v>46304</v>
      </c>
      <c r="J879" s="106">
        <v>41.8</v>
      </c>
    </row>
    <row r="880" spans="1:10" ht="16">
      <c r="A880" s="93" t="s">
        <v>195</v>
      </c>
      <c r="B880" s="94" t="s">
        <v>184</v>
      </c>
      <c r="C880" s="95" t="s">
        <v>76</v>
      </c>
      <c r="D880" s="96" t="s">
        <v>84</v>
      </c>
      <c r="E880" s="97">
        <v>52108</v>
      </c>
      <c r="F880" s="97">
        <v>2879</v>
      </c>
      <c r="G880" s="97">
        <v>16675</v>
      </c>
      <c r="H880" s="98">
        <v>73.2</v>
      </c>
      <c r="I880" s="97">
        <v>67761</v>
      </c>
      <c r="J880" s="99">
        <v>61.5</v>
      </c>
    </row>
    <row r="881" spans="1:10" ht="16">
      <c r="A881" s="100" t="s">
        <v>916</v>
      </c>
      <c r="B881" s="101" t="s">
        <v>909</v>
      </c>
      <c r="C881" s="102" t="s">
        <v>76</v>
      </c>
      <c r="D881" s="103" t="s">
        <v>60</v>
      </c>
      <c r="E881" s="104">
        <v>30192</v>
      </c>
      <c r="F881" s="104">
        <v>1725</v>
      </c>
      <c r="G881" s="104">
        <v>604</v>
      </c>
      <c r="H881" s="105">
        <v>10.6</v>
      </c>
      <c r="I881" s="104">
        <v>1615</v>
      </c>
      <c r="J881" s="106">
        <v>18.2</v>
      </c>
    </row>
    <row r="882" spans="1:10" ht="16">
      <c r="A882" s="93" t="s">
        <v>1034</v>
      </c>
      <c r="B882" s="94" t="s">
        <v>1020</v>
      </c>
      <c r="C882" s="95" t="s">
        <v>76</v>
      </c>
      <c r="D882" s="96" t="s">
        <v>62</v>
      </c>
      <c r="E882" s="97">
        <v>7369</v>
      </c>
      <c r="F882" s="97">
        <v>550</v>
      </c>
      <c r="G882" s="97">
        <v>221</v>
      </c>
      <c r="H882" s="98">
        <v>12</v>
      </c>
      <c r="I882" s="97">
        <v>3105</v>
      </c>
      <c r="J882" s="99">
        <v>20.8</v>
      </c>
    </row>
    <row r="883" spans="1:10" ht="16">
      <c r="A883" s="100" t="s">
        <v>1035</v>
      </c>
      <c r="B883" s="101" t="s">
        <v>1020</v>
      </c>
      <c r="C883" s="102" t="s">
        <v>76</v>
      </c>
      <c r="D883" s="103" t="s">
        <v>130</v>
      </c>
      <c r="E883" s="104">
        <v>19288</v>
      </c>
      <c r="F883" s="104">
        <v>1010</v>
      </c>
      <c r="G883" s="104">
        <v>1543</v>
      </c>
      <c r="H883" s="105">
        <v>14.8</v>
      </c>
      <c r="I883" s="104">
        <v>4261</v>
      </c>
      <c r="J883" s="106">
        <v>27</v>
      </c>
    </row>
    <row r="884" spans="1:10" ht="16">
      <c r="A884" s="93" t="s">
        <v>611</v>
      </c>
      <c r="B884" s="94" t="s">
        <v>598</v>
      </c>
      <c r="C884" s="95" t="s">
        <v>76</v>
      </c>
      <c r="D884" s="96" t="s">
        <v>130</v>
      </c>
      <c r="E884" s="97">
        <v>27403</v>
      </c>
      <c r="F884" s="97">
        <v>830</v>
      </c>
      <c r="G884" s="97">
        <v>548</v>
      </c>
      <c r="H884" s="98">
        <v>17.5</v>
      </c>
      <c r="I884" s="97">
        <v>10467</v>
      </c>
      <c r="J884" s="99">
        <v>17.600000000000001</v>
      </c>
    </row>
    <row r="885" spans="1:10" ht="16">
      <c r="A885" s="100" t="s">
        <v>196</v>
      </c>
      <c r="B885" s="101" t="s">
        <v>184</v>
      </c>
      <c r="C885" s="102" t="s">
        <v>76</v>
      </c>
      <c r="D885" s="103" t="s">
        <v>59</v>
      </c>
      <c r="E885" s="104">
        <v>28560</v>
      </c>
      <c r="F885" s="104">
        <v>1785</v>
      </c>
      <c r="G885" s="104">
        <v>5426</v>
      </c>
      <c r="H885" s="105">
        <v>34.200000000000003</v>
      </c>
      <c r="I885" s="104">
        <v>29006</v>
      </c>
      <c r="J885" s="106">
        <v>33.9</v>
      </c>
    </row>
    <row r="886" spans="1:10" ht="16">
      <c r="A886" s="93" t="s">
        <v>1384</v>
      </c>
      <c r="B886" s="94" t="s">
        <v>1288</v>
      </c>
      <c r="C886" s="95" t="s">
        <v>107</v>
      </c>
      <c r="D886" s="96" t="s">
        <v>63</v>
      </c>
      <c r="E886" s="97">
        <v>41081</v>
      </c>
      <c r="F886" s="97">
        <v>2999</v>
      </c>
      <c r="G886" s="97">
        <v>6984</v>
      </c>
      <c r="H886" s="98">
        <v>90.6</v>
      </c>
      <c r="I886" s="97">
        <v>89952</v>
      </c>
      <c r="J886" s="99">
        <v>83</v>
      </c>
    </row>
    <row r="887" spans="1:10" ht="16">
      <c r="A887" s="100" t="s">
        <v>1385</v>
      </c>
      <c r="B887" s="101" t="s">
        <v>1288</v>
      </c>
      <c r="C887" s="102" t="s">
        <v>76</v>
      </c>
      <c r="D887" s="103" t="s">
        <v>62</v>
      </c>
      <c r="E887" s="104">
        <v>39164</v>
      </c>
      <c r="F887" s="104">
        <v>3264</v>
      </c>
      <c r="G887" s="104">
        <v>5483</v>
      </c>
      <c r="H887" s="105">
        <v>66.900000000000006</v>
      </c>
      <c r="I887" s="104">
        <v>55690</v>
      </c>
      <c r="J887" s="106">
        <v>62.4</v>
      </c>
    </row>
    <row r="888" spans="1:10" ht="16">
      <c r="A888" s="93" t="s">
        <v>1386</v>
      </c>
      <c r="B888" s="94" t="s">
        <v>1288</v>
      </c>
      <c r="C888" s="95" t="s">
        <v>76</v>
      </c>
      <c r="D888" s="96" t="s">
        <v>80</v>
      </c>
      <c r="E888" s="97">
        <v>32706</v>
      </c>
      <c r="F888" s="97">
        <v>1982</v>
      </c>
      <c r="G888" s="97">
        <v>8504</v>
      </c>
      <c r="H888" s="98">
        <v>46.5</v>
      </c>
      <c r="I888" s="97">
        <v>44164</v>
      </c>
      <c r="J888" s="99">
        <v>43.3</v>
      </c>
    </row>
    <row r="889" spans="1:10" ht="16">
      <c r="A889" s="100" t="s">
        <v>1387</v>
      </c>
      <c r="B889" s="101" t="s">
        <v>1288</v>
      </c>
      <c r="C889" s="102" t="s">
        <v>76</v>
      </c>
      <c r="D889" s="103" t="s">
        <v>82</v>
      </c>
      <c r="E889" s="104">
        <v>41066</v>
      </c>
      <c r="F889" s="104">
        <v>4369</v>
      </c>
      <c r="G889" s="104">
        <v>6981</v>
      </c>
      <c r="H889" s="105">
        <v>88.6</v>
      </c>
      <c r="I889" s="104">
        <v>86286</v>
      </c>
      <c r="J889" s="106">
        <v>83.1</v>
      </c>
    </row>
    <row r="890" spans="1:10" ht="16">
      <c r="A890" s="93" t="s">
        <v>1388</v>
      </c>
      <c r="B890" s="94" t="s">
        <v>1288</v>
      </c>
      <c r="C890" s="95" t="s">
        <v>76</v>
      </c>
      <c r="D890" s="96" t="s">
        <v>59</v>
      </c>
      <c r="E890" s="97">
        <v>7324</v>
      </c>
      <c r="F890" s="97">
        <v>350</v>
      </c>
      <c r="G890" s="97">
        <v>586</v>
      </c>
      <c r="H890" s="98">
        <v>21.6</v>
      </c>
      <c r="I890" s="97">
        <v>20678</v>
      </c>
      <c r="J890" s="99">
        <v>17.100000000000001</v>
      </c>
    </row>
    <row r="891" spans="1:10" ht="16">
      <c r="A891" s="100" t="s">
        <v>1389</v>
      </c>
      <c r="B891" s="101" t="s">
        <v>1288</v>
      </c>
      <c r="C891" s="102" t="s">
        <v>76</v>
      </c>
      <c r="D891" s="103" t="s">
        <v>60</v>
      </c>
      <c r="E891" s="104">
        <v>22272</v>
      </c>
      <c r="F891" s="104">
        <v>1237</v>
      </c>
      <c r="G891" s="104">
        <v>3118</v>
      </c>
      <c r="H891" s="105">
        <v>30.3</v>
      </c>
      <c r="I891" s="104">
        <v>26110</v>
      </c>
      <c r="J891" s="106">
        <v>31.2</v>
      </c>
    </row>
    <row r="892" spans="1:10" ht="16">
      <c r="A892" s="93" t="s">
        <v>1390</v>
      </c>
      <c r="B892" s="94" t="s">
        <v>1288</v>
      </c>
      <c r="C892" s="95" t="s">
        <v>107</v>
      </c>
      <c r="D892" s="96" t="s">
        <v>60</v>
      </c>
      <c r="E892" s="97">
        <v>33579</v>
      </c>
      <c r="F892" s="97">
        <v>2583</v>
      </c>
      <c r="G892" s="97">
        <v>7723</v>
      </c>
      <c r="H892" s="98">
        <v>78.900000000000006</v>
      </c>
      <c r="I892" s="97">
        <v>77175</v>
      </c>
      <c r="J892" s="99">
        <v>62.6</v>
      </c>
    </row>
    <row r="893" spans="1:10" ht="16">
      <c r="A893" s="100" t="s">
        <v>1391</v>
      </c>
      <c r="B893" s="101" t="s">
        <v>1288</v>
      </c>
      <c r="C893" s="102" t="s">
        <v>76</v>
      </c>
      <c r="D893" s="103" t="s">
        <v>82</v>
      </c>
      <c r="E893" s="104">
        <v>24089</v>
      </c>
      <c r="F893" s="104">
        <v>873</v>
      </c>
      <c r="G893" s="104">
        <v>3854</v>
      </c>
      <c r="H893" s="105">
        <v>63.6</v>
      </c>
      <c r="I893" s="104">
        <v>61342</v>
      </c>
      <c r="J893" s="106">
        <v>47.9</v>
      </c>
    </row>
    <row r="894" spans="1:10" ht="16">
      <c r="A894" s="93" t="s">
        <v>1392</v>
      </c>
      <c r="B894" s="94" t="s">
        <v>1288</v>
      </c>
      <c r="C894" s="95" t="s">
        <v>107</v>
      </c>
      <c r="D894" s="96" t="s">
        <v>62</v>
      </c>
      <c r="E894" s="97">
        <v>18783</v>
      </c>
      <c r="F894" s="97">
        <v>817</v>
      </c>
      <c r="G894" s="97">
        <v>1878</v>
      </c>
      <c r="H894" s="98">
        <v>34.9</v>
      </c>
      <c r="I894" s="97">
        <v>34102</v>
      </c>
      <c r="J894" s="99">
        <v>33.1</v>
      </c>
    </row>
    <row r="895" spans="1:10" ht="16">
      <c r="A895" s="100" t="s">
        <v>1245</v>
      </c>
      <c r="B895" s="101" t="s">
        <v>1190</v>
      </c>
      <c r="C895" s="102" t="s">
        <v>107</v>
      </c>
      <c r="D895" s="103" t="s">
        <v>130</v>
      </c>
      <c r="E895" s="104">
        <v>18978</v>
      </c>
      <c r="F895" s="104">
        <v>1741</v>
      </c>
      <c r="G895" s="104">
        <v>7022</v>
      </c>
      <c r="H895" s="105">
        <v>98.7</v>
      </c>
      <c r="I895" s="104">
        <v>94640</v>
      </c>
      <c r="J895" s="106">
        <v>91.4</v>
      </c>
    </row>
    <row r="896" spans="1:10" ht="16">
      <c r="A896" s="93" t="s">
        <v>175</v>
      </c>
      <c r="B896" s="94" t="s">
        <v>150</v>
      </c>
      <c r="C896" s="95" t="s">
        <v>107</v>
      </c>
      <c r="D896" s="96" t="s">
        <v>82</v>
      </c>
      <c r="E896" s="97">
        <v>28795</v>
      </c>
      <c r="F896" s="97">
        <v>1907</v>
      </c>
      <c r="G896" s="97">
        <v>864</v>
      </c>
      <c r="H896" s="98">
        <v>38</v>
      </c>
      <c r="I896" s="97">
        <v>13233</v>
      </c>
      <c r="J896" s="99">
        <v>44.6</v>
      </c>
    </row>
    <row r="897" spans="1:10" ht="16">
      <c r="A897" s="100" t="s">
        <v>111</v>
      </c>
      <c r="B897" s="101" t="s">
        <v>89</v>
      </c>
      <c r="C897" s="102" t="s">
        <v>76</v>
      </c>
      <c r="D897" s="103" t="s">
        <v>62</v>
      </c>
      <c r="E897" s="104">
        <v>10823</v>
      </c>
      <c r="F897" s="104">
        <v>299</v>
      </c>
      <c r="G897" s="104">
        <v>3463</v>
      </c>
      <c r="H897" s="105">
        <v>31.1</v>
      </c>
      <c r="I897" s="104">
        <v>30932</v>
      </c>
      <c r="J897" s="106">
        <v>25.2</v>
      </c>
    </row>
    <row r="898" spans="1:10" ht="16">
      <c r="A898" s="93" t="s">
        <v>838</v>
      </c>
      <c r="B898" s="94" t="s">
        <v>834</v>
      </c>
      <c r="C898" s="95" t="s">
        <v>107</v>
      </c>
      <c r="D898" s="96" t="s">
        <v>84</v>
      </c>
      <c r="E898" s="97">
        <v>13089</v>
      </c>
      <c r="F898" s="97">
        <v>727</v>
      </c>
      <c r="G898" s="97">
        <v>3141</v>
      </c>
      <c r="H898" s="98">
        <v>27.2</v>
      </c>
      <c r="I898" s="97">
        <v>19792</v>
      </c>
      <c r="J898" s="99">
        <v>24.3</v>
      </c>
    </row>
    <row r="899" spans="1:10" ht="16">
      <c r="A899" s="100" t="s">
        <v>980</v>
      </c>
      <c r="B899" s="101" t="s">
        <v>977</v>
      </c>
      <c r="C899" s="102" t="s">
        <v>76</v>
      </c>
      <c r="D899" s="103" t="s">
        <v>63</v>
      </c>
      <c r="E899" s="104">
        <v>21812</v>
      </c>
      <c r="F899" s="104">
        <v>1833</v>
      </c>
      <c r="G899" s="104">
        <v>3708</v>
      </c>
      <c r="H899" s="105">
        <v>42.8</v>
      </c>
      <c r="I899" s="104">
        <v>38668</v>
      </c>
      <c r="J899" s="106">
        <v>33.200000000000003</v>
      </c>
    </row>
    <row r="900" spans="1:10" ht="16">
      <c r="A900" s="93" t="s">
        <v>1134</v>
      </c>
      <c r="B900" s="94" t="s">
        <v>1135</v>
      </c>
      <c r="C900" s="95" t="s">
        <v>76</v>
      </c>
      <c r="D900" s="96" t="s">
        <v>130</v>
      </c>
      <c r="E900" s="97">
        <v>32088</v>
      </c>
      <c r="F900" s="97">
        <v>3177</v>
      </c>
      <c r="G900" s="97">
        <v>321</v>
      </c>
      <c r="H900" s="98">
        <v>8.3000000000000007</v>
      </c>
      <c r="I900" s="97">
        <v>1628</v>
      </c>
      <c r="J900" s="99">
        <v>19.600000000000001</v>
      </c>
    </row>
    <row r="901" spans="1:10" ht="16">
      <c r="A901" s="100" t="s">
        <v>1036</v>
      </c>
      <c r="B901" s="101" t="s">
        <v>1020</v>
      </c>
      <c r="C901" s="102" t="s">
        <v>76</v>
      </c>
      <c r="D901" s="103" t="s">
        <v>130</v>
      </c>
      <c r="E901" s="104">
        <v>23530</v>
      </c>
      <c r="F901" s="104">
        <v>1705</v>
      </c>
      <c r="G901" s="104">
        <v>1412</v>
      </c>
      <c r="H901" s="105">
        <v>12.5</v>
      </c>
      <c r="I901" s="104">
        <v>4106</v>
      </c>
      <c r="J901" s="106">
        <v>16.600000000000001</v>
      </c>
    </row>
    <row r="902" spans="1:10" ht="16">
      <c r="A902" s="93" t="s">
        <v>612</v>
      </c>
      <c r="B902" s="94" t="s">
        <v>598</v>
      </c>
      <c r="C902" s="95" t="s">
        <v>76</v>
      </c>
      <c r="D902" s="96" t="s">
        <v>130</v>
      </c>
      <c r="E902" s="97">
        <v>25392</v>
      </c>
      <c r="F902" s="97">
        <v>1245</v>
      </c>
      <c r="G902" s="97">
        <v>508</v>
      </c>
      <c r="H902" s="98">
        <v>17.7</v>
      </c>
      <c r="I902" s="97">
        <v>12001</v>
      </c>
      <c r="J902" s="99">
        <v>33.1</v>
      </c>
    </row>
    <row r="903" spans="1:10" ht="16">
      <c r="A903" s="100" t="s">
        <v>176</v>
      </c>
      <c r="B903" s="101" t="s">
        <v>150</v>
      </c>
      <c r="C903" s="102" t="s">
        <v>76</v>
      </c>
      <c r="D903" s="103" t="s">
        <v>59</v>
      </c>
      <c r="E903" s="104">
        <v>17101</v>
      </c>
      <c r="F903" s="104">
        <v>687</v>
      </c>
      <c r="G903" s="104">
        <v>855</v>
      </c>
      <c r="H903" s="105">
        <v>7.8</v>
      </c>
      <c r="I903" s="104">
        <v>599</v>
      </c>
      <c r="J903" s="106">
        <v>13.8</v>
      </c>
    </row>
    <row r="904" spans="1:10" ht="16">
      <c r="A904" s="93" t="s">
        <v>1393</v>
      </c>
      <c r="B904" s="94" t="s">
        <v>1288</v>
      </c>
      <c r="C904" s="95" t="s">
        <v>76</v>
      </c>
      <c r="D904" s="96" t="s">
        <v>80</v>
      </c>
      <c r="E904" s="97">
        <v>56228</v>
      </c>
      <c r="F904" s="97">
        <v>1593</v>
      </c>
      <c r="G904" s="97">
        <v>2249</v>
      </c>
      <c r="H904" s="98">
        <v>28.7</v>
      </c>
      <c r="I904" s="97">
        <v>14308</v>
      </c>
      <c r="J904" s="99">
        <v>26.5</v>
      </c>
    </row>
    <row r="905" spans="1:10" ht="16">
      <c r="A905" s="100" t="s">
        <v>1246</v>
      </c>
      <c r="B905" s="101" t="s">
        <v>1190</v>
      </c>
      <c r="C905" s="102" t="s">
        <v>76</v>
      </c>
      <c r="D905" s="103" t="s">
        <v>77</v>
      </c>
      <c r="E905" s="104">
        <v>18824</v>
      </c>
      <c r="F905" s="104">
        <v>1141</v>
      </c>
      <c r="G905" s="104">
        <v>3388</v>
      </c>
      <c r="H905" s="105">
        <v>12.7</v>
      </c>
      <c r="I905" s="104">
        <v>5065</v>
      </c>
      <c r="J905" s="106">
        <v>15.7</v>
      </c>
    </row>
    <row r="906" spans="1:10" ht="16">
      <c r="A906" s="93" t="s">
        <v>390</v>
      </c>
      <c r="B906" s="94" t="s">
        <v>377</v>
      </c>
      <c r="C906" s="95" t="s">
        <v>76</v>
      </c>
      <c r="D906" s="96" t="s">
        <v>92</v>
      </c>
      <c r="E906" s="97">
        <v>14867</v>
      </c>
      <c r="F906" s="97">
        <v>912</v>
      </c>
      <c r="G906" s="97">
        <v>2379</v>
      </c>
      <c r="H906" s="98">
        <v>13.6</v>
      </c>
      <c r="I906" s="97">
        <v>3224</v>
      </c>
      <c r="J906" s="99">
        <v>15.9</v>
      </c>
    </row>
    <row r="907" spans="1:10" ht="16">
      <c r="A907" s="100" t="s">
        <v>329</v>
      </c>
      <c r="B907" s="101" t="s">
        <v>322</v>
      </c>
      <c r="C907" s="102" t="s">
        <v>76</v>
      </c>
      <c r="D907" s="103" t="s">
        <v>59</v>
      </c>
      <c r="E907" s="104">
        <v>4285</v>
      </c>
      <c r="F907" s="104">
        <v>437</v>
      </c>
      <c r="G907" s="104">
        <v>857</v>
      </c>
      <c r="H907" s="105">
        <v>14.6</v>
      </c>
      <c r="I907" s="104">
        <v>2600</v>
      </c>
      <c r="J907" s="106">
        <v>24.2</v>
      </c>
    </row>
    <row r="908" spans="1:10" ht="16">
      <c r="A908" s="93" t="s">
        <v>1247</v>
      </c>
      <c r="B908" s="94" t="s">
        <v>1190</v>
      </c>
      <c r="C908" s="95" t="s">
        <v>76</v>
      </c>
      <c r="D908" s="96" t="s">
        <v>60</v>
      </c>
      <c r="E908" s="97">
        <v>10915</v>
      </c>
      <c r="F908" s="97">
        <v>560</v>
      </c>
      <c r="G908" s="97">
        <v>1201</v>
      </c>
      <c r="H908" s="98">
        <v>12.7</v>
      </c>
      <c r="I908" s="97">
        <v>3162</v>
      </c>
      <c r="J908" s="99">
        <v>15.8</v>
      </c>
    </row>
    <row r="909" spans="1:10" ht="16">
      <c r="A909" s="100" t="s">
        <v>1394</v>
      </c>
      <c r="B909" s="101" t="s">
        <v>1288</v>
      </c>
      <c r="C909" s="102" t="s">
        <v>107</v>
      </c>
      <c r="D909" s="103" t="s">
        <v>60</v>
      </c>
      <c r="E909" s="104">
        <v>13833</v>
      </c>
      <c r="F909" s="104">
        <v>2427</v>
      </c>
      <c r="G909" s="104">
        <v>3873</v>
      </c>
      <c r="H909" s="105">
        <v>91.4</v>
      </c>
      <c r="I909" s="104">
        <v>88412</v>
      </c>
      <c r="J909" s="106">
        <v>89.1</v>
      </c>
    </row>
    <row r="910" spans="1:10" ht="16">
      <c r="A910" s="93" t="s">
        <v>216</v>
      </c>
      <c r="B910" s="94" t="s">
        <v>212</v>
      </c>
      <c r="C910" s="95" t="s">
        <v>107</v>
      </c>
      <c r="D910" s="96" t="s">
        <v>60</v>
      </c>
      <c r="E910" s="97">
        <v>35447</v>
      </c>
      <c r="F910" s="97">
        <v>2363</v>
      </c>
      <c r="G910" s="97">
        <v>2127</v>
      </c>
      <c r="H910" s="98">
        <v>17.100000000000001</v>
      </c>
      <c r="I910" s="97">
        <v>5829</v>
      </c>
      <c r="J910" s="99">
        <v>23.2</v>
      </c>
    </row>
    <row r="911" spans="1:10" ht="16">
      <c r="A911" s="100" t="s">
        <v>1395</v>
      </c>
      <c r="B911" s="101" t="s">
        <v>1288</v>
      </c>
      <c r="C911" s="102" t="s">
        <v>76</v>
      </c>
      <c r="D911" s="103" t="s">
        <v>61</v>
      </c>
      <c r="E911" s="104">
        <v>28434</v>
      </c>
      <c r="F911" s="104">
        <v>1394</v>
      </c>
      <c r="G911" s="104">
        <v>2559</v>
      </c>
      <c r="H911" s="105">
        <v>30.8</v>
      </c>
      <c r="I911" s="104">
        <v>25923</v>
      </c>
      <c r="J911" s="106">
        <v>35.5</v>
      </c>
    </row>
    <row r="912" spans="1:10" ht="16">
      <c r="A912" s="93" t="s">
        <v>391</v>
      </c>
      <c r="B912" s="94" t="s">
        <v>377</v>
      </c>
      <c r="C912" s="95" t="s">
        <v>76</v>
      </c>
      <c r="D912" s="96" t="s">
        <v>84</v>
      </c>
      <c r="E912" s="97">
        <v>34644</v>
      </c>
      <c r="F912" s="97">
        <v>1843</v>
      </c>
      <c r="G912" s="97">
        <v>4504</v>
      </c>
      <c r="H912" s="98">
        <v>10</v>
      </c>
      <c r="I912" s="97">
        <v>5714</v>
      </c>
      <c r="J912" s="99">
        <v>19.2</v>
      </c>
    </row>
    <row r="913" spans="1:10" ht="16">
      <c r="A913" s="100" t="s">
        <v>900</v>
      </c>
      <c r="B913" s="101" t="s">
        <v>893</v>
      </c>
      <c r="C913" s="102" t="s">
        <v>76</v>
      </c>
      <c r="D913" s="103" t="s">
        <v>80</v>
      </c>
      <c r="E913" s="104">
        <v>21404</v>
      </c>
      <c r="F913" s="104">
        <v>1216</v>
      </c>
      <c r="G913" s="104">
        <v>4067</v>
      </c>
      <c r="H913" s="105">
        <v>28.1</v>
      </c>
      <c r="I913" s="104">
        <v>13340</v>
      </c>
      <c r="J913" s="106">
        <v>23.7</v>
      </c>
    </row>
    <row r="914" spans="1:10" ht="16">
      <c r="A914" s="93" t="s">
        <v>428</v>
      </c>
      <c r="B914" s="94" t="s">
        <v>402</v>
      </c>
      <c r="C914" s="95" t="s">
        <v>76</v>
      </c>
      <c r="D914" s="96" t="s">
        <v>77</v>
      </c>
      <c r="E914" s="97">
        <v>36965</v>
      </c>
      <c r="F914" s="97">
        <v>1013</v>
      </c>
      <c r="G914" s="97">
        <v>5914</v>
      </c>
      <c r="H914" s="98">
        <v>42.9</v>
      </c>
      <c r="I914" s="97">
        <v>35005</v>
      </c>
      <c r="J914" s="99">
        <v>43.6</v>
      </c>
    </row>
    <row r="915" spans="1:10" ht="16">
      <c r="A915" s="100" t="s">
        <v>1058</v>
      </c>
      <c r="B915" s="101" t="s">
        <v>1059</v>
      </c>
      <c r="C915" s="102" t="s">
        <v>76</v>
      </c>
      <c r="D915" s="103" t="s">
        <v>60</v>
      </c>
      <c r="E915" s="104">
        <v>22322</v>
      </c>
      <c r="F915" s="104">
        <v>754</v>
      </c>
      <c r="G915" s="104">
        <v>223</v>
      </c>
      <c r="H915" s="105">
        <v>8</v>
      </c>
      <c r="I915" s="104">
        <v>1112</v>
      </c>
      <c r="J915" s="106">
        <v>13.5</v>
      </c>
    </row>
    <row r="916" spans="1:10" ht="16">
      <c r="A916" s="93" t="s">
        <v>1396</v>
      </c>
      <c r="B916" s="94" t="s">
        <v>1288</v>
      </c>
      <c r="C916" s="95" t="s">
        <v>107</v>
      </c>
      <c r="D916" s="96" t="s">
        <v>61</v>
      </c>
      <c r="E916" s="97">
        <v>33186</v>
      </c>
      <c r="F916" s="97">
        <v>2036</v>
      </c>
      <c r="G916" s="97">
        <v>3650</v>
      </c>
      <c r="H916" s="98">
        <v>45.6</v>
      </c>
      <c r="I916" s="97">
        <v>42456</v>
      </c>
      <c r="J916" s="99">
        <v>44.8</v>
      </c>
    </row>
    <row r="917" spans="1:10" ht="16">
      <c r="A917" s="100" t="s">
        <v>1397</v>
      </c>
      <c r="B917" s="101" t="s">
        <v>1288</v>
      </c>
      <c r="C917" s="102" t="s">
        <v>76</v>
      </c>
      <c r="D917" s="103" t="s">
        <v>92</v>
      </c>
      <c r="E917" s="104">
        <v>32446</v>
      </c>
      <c r="F917" s="104">
        <v>2135</v>
      </c>
      <c r="G917" s="104">
        <v>2920</v>
      </c>
      <c r="H917" s="105">
        <v>29.7</v>
      </c>
      <c r="I917" s="104">
        <v>18017</v>
      </c>
      <c r="J917" s="106">
        <v>36.5</v>
      </c>
    </row>
    <row r="918" spans="1:10" ht="16">
      <c r="A918" s="93" t="s">
        <v>78</v>
      </c>
      <c r="B918" s="94" t="s">
        <v>75</v>
      </c>
      <c r="C918" s="95" t="s">
        <v>76</v>
      </c>
      <c r="D918" s="96" t="s">
        <v>62</v>
      </c>
      <c r="E918" s="97">
        <v>35382</v>
      </c>
      <c r="F918" s="97">
        <v>1726</v>
      </c>
      <c r="G918" s="97">
        <v>1769</v>
      </c>
      <c r="H918" s="98">
        <v>7.5</v>
      </c>
      <c r="I918" s="97">
        <v>598</v>
      </c>
      <c r="J918" s="99">
        <v>19.399999999999999</v>
      </c>
    </row>
    <row r="919" spans="1:10" ht="16">
      <c r="A919" s="100" t="s">
        <v>341</v>
      </c>
      <c r="B919" s="101" t="s">
        <v>336</v>
      </c>
      <c r="C919" s="102" t="s">
        <v>76</v>
      </c>
      <c r="D919" s="103" t="s">
        <v>63</v>
      </c>
      <c r="E919" s="104">
        <v>31219</v>
      </c>
      <c r="F919" s="104">
        <v>7260</v>
      </c>
      <c r="G919" s="104">
        <v>5307</v>
      </c>
      <c r="H919" s="105">
        <v>44.1</v>
      </c>
      <c r="I919" s="104">
        <v>39552</v>
      </c>
      <c r="J919" s="106">
        <v>48.1</v>
      </c>
    </row>
    <row r="920" spans="1:10" ht="16">
      <c r="A920" s="93" t="s">
        <v>311</v>
      </c>
      <c r="B920" s="94" t="s">
        <v>312</v>
      </c>
      <c r="C920" s="95" t="s">
        <v>76</v>
      </c>
      <c r="D920" s="96" t="s">
        <v>77</v>
      </c>
      <c r="E920" s="97">
        <v>33900</v>
      </c>
      <c r="F920" s="97">
        <v>2245</v>
      </c>
      <c r="G920" s="97">
        <v>678</v>
      </c>
      <c r="H920" s="98">
        <v>7.9</v>
      </c>
      <c r="I920" s="97">
        <v>6128</v>
      </c>
      <c r="J920" s="99">
        <v>16.2</v>
      </c>
    </row>
    <row r="921" spans="1:10" ht="16">
      <c r="A921" s="100" t="s">
        <v>453</v>
      </c>
      <c r="B921" s="101" t="s">
        <v>448</v>
      </c>
      <c r="C921" s="102" t="s">
        <v>76</v>
      </c>
      <c r="D921" s="103" t="s">
        <v>92</v>
      </c>
      <c r="E921" s="104">
        <v>13321</v>
      </c>
      <c r="F921" s="104">
        <v>569</v>
      </c>
      <c r="G921" s="104">
        <v>533</v>
      </c>
      <c r="H921" s="105">
        <v>20.100000000000001</v>
      </c>
      <c r="I921" s="104">
        <v>18376</v>
      </c>
      <c r="J921" s="106">
        <v>17.7</v>
      </c>
    </row>
    <row r="922" spans="1:10" ht="16">
      <c r="A922" s="93" t="s">
        <v>320</v>
      </c>
      <c r="B922" s="94" t="s">
        <v>319</v>
      </c>
      <c r="C922" s="95" t="s">
        <v>76</v>
      </c>
      <c r="D922" s="96" t="s">
        <v>92</v>
      </c>
      <c r="E922" s="97">
        <v>6635</v>
      </c>
      <c r="F922" s="97">
        <v>302</v>
      </c>
      <c r="G922" s="97">
        <v>730</v>
      </c>
      <c r="H922" s="98">
        <v>24.6</v>
      </c>
      <c r="I922" s="97">
        <v>15331</v>
      </c>
      <c r="J922" s="99">
        <v>24</v>
      </c>
    </row>
    <row r="923" spans="1:10" ht="16">
      <c r="A923" s="100" t="s">
        <v>1117</v>
      </c>
      <c r="B923" s="101" t="s">
        <v>1118</v>
      </c>
      <c r="C923" s="102" t="s">
        <v>107</v>
      </c>
      <c r="D923" s="103" t="s">
        <v>63</v>
      </c>
      <c r="E923" s="104">
        <v>30139</v>
      </c>
      <c r="F923" s="104">
        <v>1578</v>
      </c>
      <c r="G923" s="104">
        <v>478</v>
      </c>
      <c r="H923" s="105">
        <v>7.3</v>
      </c>
      <c r="I923" s="104">
        <v>1495</v>
      </c>
      <c r="J923" s="106">
        <v>14</v>
      </c>
    </row>
    <row r="924" spans="1:10" ht="16">
      <c r="A924" s="93" t="s">
        <v>469</v>
      </c>
      <c r="B924" s="94" t="s">
        <v>466</v>
      </c>
      <c r="C924" s="95" t="s">
        <v>76</v>
      </c>
      <c r="D924" s="96" t="s">
        <v>130</v>
      </c>
      <c r="E924" s="97">
        <v>26771</v>
      </c>
      <c r="F924" s="97">
        <v>2250</v>
      </c>
      <c r="G924" s="97">
        <v>4819</v>
      </c>
      <c r="H924" s="98">
        <v>10.6</v>
      </c>
      <c r="I924" s="97">
        <v>2992</v>
      </c>
      <c r="J924" s="99">
        <v>19.899999999999999</v>
      </c>
    </row>
    <row r="925" spans="1:10" ht="16">
      <c r="A925" s="100" t="s">
        <v>1398</v>
      </c>
      <c r="B925" s="101" t="s">
        <v>1288</v>
      </c>
      <c r="C925" s="102" t="s">
        <v>76</v>
      </c>
      <c r="D925" s="103" t="s">
        <v>60</v>
      </c>
      <c r="E925" s="104">
        <v>20566</v>
      </c>
      <c r="F925" s="104">
        <v>1210</v>
      </c>
      <c r="G925" s="104">
        <v>2057</v>
      </c>
      <c r="H925" s="105">
        <v>38.200000000000003</v>
      </c>
      <c r="I925" s="104">
        <v>27374</v>
      </c>
      <c r="J925" s="106">
        <v>28.5</v>
      </c>
    </row>
    <row r="926" spans="1:10" ht="16">
      <c r="A926" s="93" t="s">
        <v>525</v>
      </c>
      <c r="B926" s="94" t="s">
        <v>474</v>
      </c>
      <c r="C926" s="95" t="s">
        <v>107</v>
      </c>
      <c r="D926" s="96" t="s">
        <v>82</v>
      </c>
      <c r="E926" s="97">
        <v>24547</v>
      </c>
      <c r="F926" s="97">
        <v>1067</v>
      </c>
      <c r="G926" s="97">
        <v>245</v>
      </c>
      <c r="H926" s="98">
        <v>17.8</v>
      </c>
      <c r="I926" s="97">
        <v>7620</v>
      </c>
      <c r="J926" s="99">
        <v>37.6</v>
      </c>
    </row>
    <row r="927" spans="1:10" ht="16">
      <c r="A927" s="100" t="s">
        <v>1399</v>
      </c>
      <c r="B927" s="101" t="s">
        <v>1288</v>
      </c>
      <c r="C927" s="102" t="s">
        <v>76</v>
      </c>
      <c r="D927" s="103" t="s">
        <v>60</v>
      </c>
      <c r="E927" s="104">
        <v>9535</v>
      </c>
      <c r="F927" s="104">
        <v>733</v>
      </c>
      <c r="G927" s="104">
        <v>858</v>
      </c>
      <c r="H927" s="105">
        <v>22.3</v>
      </c>
      <c r="I927" s="104">
        <v>16875</v>
      </c>
      <c r="J927" s="106">
        <v>40.5</v>
      </c>
    </row>
    <row r="928" spans="1:10" ht="16">
      <c r="A928" s="93" t="s">
        <v>1248</v>
      </c>
      <c r="B928" s="94" t="s">
        <v>1190</v>
      </c>
      <c r="C928" s="95" t="s">
        <v>76</v>
      </c>
      <c r="D928" s="96" t="s">
        <v>82</v>
      </c>
      <c r="E928" s="97">
        <v>13502</v>
      </c>
      <c r="F928" s="97">
        <v>888</v>
      </c>
      <c r="G928" s="97">
        <v>1755</v>
      </c>
      <c r="H928" s="98">
        <v>10.3</v>
      </c>
      <c r="I928" s="97">
        <v>3304</v>
      </c>
      <c r="J928" s="99">
        <v>16.2</v>
      </c>
    </row>
    <row r="929" spans="1:10" ht="16">
      <c r="A929" s="100" t="s">
        <v>217</v>
      </c>
      <c r="B929" s="101" t="s">
        <v>212</v>
      </c>
      <c r="C929" s="102" t="s">
        <v>76</v>
      </c>
      <c r="D929" s="103" t="s">
        <v>63</v>
      </c>
      <c r="E929" s="104">
        <v>15384</v>
      </c>
      <c r="F929" s="104">
        <v>810</v>
      </c>
      <c r="G929" s="104">
        <v>615</v>
      </c>
      <c r="H929" s="105">
        <v>8.8000000000000007</v>
      </c>
      <c r="I929" s="104">
        <v>8778</v>
      </c>
      <c r="J929" s="106">
        <v>13.5</v>
      </c>
    </row>
    <row r="930" spans="1:10" ht="16">
      <c r="A930" s="93" t="s">
        <v>1037</v>
      </c>
      <c r="B930" s="94" t="s">
        <v>1020</v>
      </c>
      <c r="C930" s="95" t="s">
        <v>76</v>
      </c>
      <c r="D930" s="96" t="s">
        <v>59</v>
      </c>
      <c r="E930" s="97">
        <v>9209</v>
      </c>
      <c r="F930" s="97">
        <v>422</v>
      </c>
      <c r="G930" s="97">
        <v>1013</v>
      </c>
      <c r="H930" s="98">
        <v>17.600000000000001</v>
      </c>
      <c r="I930" s="97">
        <v>6984</v>
      </c>
      <c r="J930" s="99">
        <v>21.5</v>
      </c>
    </row>
    <row r="931" spans="1:10" ht="16">
      <c r="A931" s="100" t="s">
        <v>139</v>
      </c>
      <c r="B931" s="101" t="s">
        <v>140</v>
      </c>
      <c r="C931" s="102" t="s">
        <v>107</v>
      </c>
      <c r="D931" s="103" t="s">
        <v>80</v>
      </c>
      <c r="E931" s="104">
        <v>34108</v>
      </c>
      <c r="F931" s="104">
        <v>2186</v>
      </c>
      <c r="G931" s="104">
        <v>1705</v>
      </c>
      <c r="H931" s="105">
        <v>8.8000000000000007</v>
      </c>
      <c r="I931" s="104">
        <v>1453</v>
      </c>
      <c r="J931" s="106">
        <v>16</v>
      </c>
    </row>
    <row r="932" spans="1:10" ht="16">
      <c r="A932" s="93" t="s">
        <v>429</v>
      </c>
      <c r="B932" s="94" t="s">
        <v>402</v>
      </c>
      <c r="C932" s="95" t="s">
        <v>107</v>
      </c>
      <c r="D932" s="96" t="s">
        <v>77</v>
      </c>
      <c r="E932" s="97">
        <v>42698</v>
      </c>
      <c r="F932" s="97">
        <v>806</v>
      </c>
      <c r="G932" s="97">
        <v>8113</v>
      </c>
      <c r="H932" s="98">
        <v>32.799999999999997</v>
      </c>
      <c r="I932" s="97">
        <v>30150</v>
      </c>
      <c r="J932" s="99">
        <v>34.4</v>
      </c>
    </row>
    <row r="933" spans="1:10" ht="16">
      <c r="A933" s="100" t="s">
        <v>1249</v>
      </c>
      <c r="B933" s="101" t="s">
        <v>1190</v>
      </c>
      <c r="C933" s="102" t="s">
        <v>76</v>
      </c>
      <c r="D933" s="103" t="s">
        <v>92</v>
      </c>
      <c r="E933" s="104">
        <v>12122</v>
      </c>
      <c r="F933" s="104">
        <v>689</v>
      </c>
      <c r="G933" s="104">
        <v>2667</v>
      </c>
      <c r="H933" s="105">
        <v>31.2</v>
      </c>
      <c r="I933" s="104">
        <v>28326</v>
      </c>
      <c r="J933" s="106">
        <v>24.8</v>
      </c>
    </row>
    <row r="934" spans="1:10" ht="16">
      <c r="A934" s="93" t="s">
        <v>1250</v>
      </c>
      <c r="B934" s="94" t="s">
        <v>1190</v>
      </c>
      <c r="C934" s="95" t="s">
        <v>76</v>
      </c>
      <c r="D934" s="96" t="s">
        <v>62</v>
      </c>
      <c r="E934" s="97">
        <v>15195</v>
      </c>
      <c r="F934" s="97">
        <v>1093</v>
      </c>
      <c r="G934" s="97">
        <v>4255</v>
      </c>
      <c r="H934" s="98">
        <v>30.1</v>
      </c>
      <c r="I934" s="97">
        <v>29327</v>
      </c>
      <c r="J934" s="99">
        <v>28.3</v>
      </c>
    </row>
    <row r="935" spans="1:10" ht="16">
      <c r="A935" s="100" t="s">
        <v>1251</v>
      </c>
      <c r="B935" s="101" t="s">
        <v>1190</v>
      </c>
      <c r="C935" s="102" t="s">
        <v>76</v>
      </c>
      <c r="D935" s="103" t="s">
        <v>62</v>
      </c>
      <c r="E935" s="104">
        <v>10302</v>
      </c>
      <c r="F935" s="104">
        <v>599</v>
      </c>
      <c r="G935" s="104">
        <v>3091</v>
      </c>
      <c r="H935" s="105">
        <v>14.5</v>
      </c>
      <c r="I935" s="104">
        <v>4787</v>
      </c>
      <c r="J935" s="106">
        <v>20.399999999999999</v>
      </c>
    </row>
    <row r="936" spans="1:10" ht="16">
      <c r="A936" s="93" t="s">
        <v>372</v>
      </c>
      <c r="B936" s="94" t="s">
        <v>369</v>
      </c>
      <c r="C936" s="95" t="s">
        <v>76</v>
      </c>
      <c r="D936" s="96" t="s">
        <v>130</v>
      </c>
      <c r="E936" s="97">
        <v>11630</v>
      </c>
      <c r="F936" s="97">
        <v>629</v>
      </c>
      <c r="G936" s="97">
        <v>698</v>
      </c>
      <c r="H936" s="98">
        <v>27.9</v>
      </c>
      <c r="I936" s="97">
        <v>19736</v>
      </c>
      <c r="J936" s="99">
        <v>24.7</v>
      </c>
    </row>
    <row r="937" spans="1:10" ht="16">
      <c r="A937" s="100" t="s">
        <v>330</v>
      </c>
      <c r="B937" s="101" t="s">
        <v>322</v>
      </c>
      <c r="C937" s="102" t="s">
        <v>76</v>
      </c>
      <c r="D937" s="103" t="s">
        <v>130</v>
      </c>
      <c r="E937" s="104">
        <v>14011</v>
      </c>
      <c r="F937" s="104">
        <v>499</v>
      </c>
      <c r="G937" s="104">
        <v>3223</v>
      </c>
      <c r="H937" s="105">
        <v>13.3</v>
      </c>
      <c r="I937" s="104">
        <v>734</v>
      </c>
      <c r="J937" s="106">
        <v>18.899999999999999</v>
      </c>
    </row>
    <row r="938" spans="1:10" ht="16">
      <c r="A938" s="93" t="s">
        <v>1252</v>
      </c>
      <c r="B938" s="94" t="s">
        <v>1190</v>
      </c>
      <c r="C938" s="95" t="s">
        <v>76</v>
      </c>
      <c r="D938" s="96" t="s">
        <v>60</v>
      </c>
      <c r="E938" s="97">
        <v>29433</v>
      </c>
      <c r="F938" s="97">
        <v>2299</v>
      </c>
      <c r="G938" s="97">
        <v>12068</v>
      </c>
      <c r="H938" s="98">
        <v>74.099999999999994</v>
      </c>
      <c r="I938" s="97">
        <v>71453</v>
      </c>
      <c r="J938" s="99">
        <v>67.3</v>
      </c>
    </row>
    <row r="939" spans="1:10" ht="16">
      <c r="A939" s="100" t="s">
        <v>288</v>
      </c>
      <c r="B939" s="101" t="s">
        <v>223</v>
      </c>
      <c r="C939" s="102" t="s">
        <v>107</v>
      </c>
      <c r="D939" s="103" t="s">
        <v>84</v>
      </c>
      <c r="E939" s="104">
        <v>33242</v>
      </c>
      <c r="F939" s="104">
        <v>2027</v>
      </c>
      <c r="G939" s="104">
        <v>1330</v>
      </c>
      <c r="H939" s="105">
        <v>22.2</v>
      </c>
      <c r="I939" s="104">
        <v>12238</v>
      </c>
      <c r="J939" s="106">
        <v>23.5</v>
      </c>
    </row>
    <row r="940" spans="1:10" ht="16">
      <c r="A940" s="93" t="s">
        <v>867</v>
      </c>
      <c r="B940" s="94" t="s">
        <v>858</v>
      </c>
      <c r="C940" s="95" t="s">
        <v>107</v>
      </c>
      <c r="D940" s="96" t="s">
        <v>84</v>
      </c>
      <c r="E940" s="97">
        <v>14654</v>
      </c>
      <c r="F940" s="97">
        <v>1011</v>
      </c>
      <c r="G940" s="97">
        <v>293</v>
      </c>
      <c r="H940" s="98">
        <v>9.1999999999999993</v>
      </c>
      <c r="I940" s="97">
        <v>1791</v>
      </c>
      <c r="J940" s="99">
        <v>15.3</v>
      </c>
    </row>
    <row r="941" spans="1:10" ht="16">
      <c r="A941" s="100" t="s">
        <v>430</v>
      </c>
      <c r="B941" s="101" t="s">
        <v>402</v>
      </c>
      <c r="C941" s="102" t="s">
        <v>107</v>
      </c>
      <c r="D941" s="103" t="s">
        <v>62</v>
      </c>
      <c r="E941" s="104">
        <v>38111</v>
      </c>
      <c r="F941" s="104">
        <v>669</v>
      </c>
      <c r="G941" s="104">
        <v>4573</v>
      </c>
      <c r="H941" s="105">
        <v>45.8</v>
      </c>
      <c r="I941" s="104">
        <v>34447</v>
      </c>
      <c r="J941" s="106">
        <v>41.1</v>
      </c>
    </row>
    <row r="942" spans="1:10" ht="16">
      <c r="A942" s="93" t="s">
        <v>1253</v>
      </c>
      <c r="B942" s="94" t="s">
        <v>1190</v>
      </c>
      <c r="C942" s="95" t="s">
        <v>76</v>
      </c>
      <c r="D942" s="96" t="s">
        <v>61</v>
      </c>
      <c r="E942" s="97">
        <v>11923</v>
      </c>
      <c r="F942" s="97">
        <v>741</v>
      </c>
      <c r="G942" s="97">
        <v>4650</v>
      </c>
      <c r="H942" s="98">
        <v>34.299999999999997</v>
      </c>
      <c r="I942" s="97">
        <v>23546</v>
      </c>
      <c r="J942" s="99">
        <v>31.6</v>
      </c>
    </row>
    <row r="943" spans="1:10" ht="16">
      <c r="A943" s="100" t="s">
        <v>1254</v>
      </c>
      <c r="B943" s="101" t="s">
        <v>1190</v>
      </c>
      <c r="C943" s="102" t="s">
        <v>76</v>
      </c>
      <c r="D943" s="103" t="s">
        <v>130</v>
      </c>
      <c r="E943" s="104">
        <v>21451</v>
      </c>
      <c r="F943" s="104">
        <v>1219</v>
      </c>
      <c r="G943" s="104">
        <v>6006</v>
      </c>
      <c r="H943" s="105">
        <v>38.9</v>
      </c>
      <c r="I943" s="104">
        <v>35949</v>
      </c>
      <c r="J943" s="106">
        <v>33.9</v>
      </c>
    </row>
    <row r="944" spans="1:10" ht="16">
      <c r="A944" s="93" t="s">
        <v>613</v>
      </c>
      <c r="B944" s="94" t="s">
        <v>598</v>
      </c>
      <c r="C944" s="95" t="s">
        <v>76</v>
      </c>
      <c r="D944" s="96" t="s">
        <v>130</v>
      </c>
      <c r="E944" s="97">
        <v>14644</v>
      </c>
      <c r="F944" s="97">
        <v>581</v>
      </c>
      <c r="G944" s="97">
        <v>1025</v>
      </c>
      <c r="H944" s="98">
        <v>20.2</v>
      </c>
      <c r="I944" s="97">
        <v>15171</v>
      </c>
      <c r="J944" s="99">
        <v>21</v>
      </c>
    </row>
    <row r="945" spans="1:10" ht="16">
      <c r="A945" s="100" t="s">
        <v>614</v>
      </c>
      <c r="B945" s="101" t="s">
        <v>598</v>
      </c>
      <c r="C945" s="102" t="s">
        <v>76</v>
      </c>
      <c r="D945" s="103" t="s">
        <v>80</v>
      </c>
      <c r="E945" s="104">
        <v>34686</v>
      </c>
      <c r="F945" s="104">
        <v>1700</v>
      </c>
      <c r="G945" s="104">
        <v>3815</v>
      </c>
      <c r="H945" s="105">
        <v>25.1</v>
      </c>
      <c r="I945" s="104">
        <v>16546</v>
      </c>
      <c r="J945" s="106">
        <v>37.9</v>
      </c>
    </row>
    <row r="946" spans="1:10" ht="16">
      <c r="A946" s="93" t="s">
        <v>1400</v>
      </c>
      <c r="B946" s="94" t="s">
        <v>1288</v>
      </c>
      <c r="C946" s="95" t="s">
        <v>76</v>
      </c>
      <c r="D946" s="96" t="s">
        <v>59</v>
      </c>
      <c r="E946" s="97">
        <v>46642</v>
      </c>
      <c r="F946" s="97">
        <v>2776</v>
      </c>
      <c r="G946" s="97">
        <v>4664</v>
      </c>
      <c r="H946" s="98">
        <v>53.8</v>
      </c>
      <c r="I946" s="97">
        <v>33307</v>
      </c>
      <c r="J946" s="99">
        <v>54</v>
      </c>
    </row>
    <row r="947" spans="1:10" ht="16">
      <c r="A947" s="100" t="s">
        <v>177</v>
      </c>
      <c r="B947" s="101" t="s">
        <v>150</v>
      </c>
      <c r="C947" s="102" t="s">
        <v>107</v>
      </c>
      <c r="D947" s="103" t="s">
        <v>62</v>
      </c>
      <c r="E947" s="104">
        <v>23923</v>
      </c>
      <c r="F947" s="104">
        <v>1574</v>
      </c>
      <c r="G947" s="104">
        <v>1647</v>
      </c>
      <c r="H947" s="105">
        <v>7.3</v>
      </c>
      <c r="I947" s="104">
        <v>3033</v>
      </c>
      <c r="J947" s="106">
        <v>14.8</v>
      </c>
    </row>
    <row r="948" spans="1:10" ht="16">
      <c r="A948" s="93" t="s">
        <v>431</v>
      </c>
      <c r="B948" s="94" t="s">
        <v>402</v>
      </c>
      <c r="C948" s="95" t="s">
        <v>76</v>
      </c>
      <c r="D948" s="96" t="s">
        <v>63</v>
      </c>
      <c r="E948" s="97">
        <v>21475</v>
      </c>
      <c r="F948" s="97">
        <v>502</v>
      </c>
      <c r="G948" s="97">
        <v>4939</v>
      </c>
      <c r="H948" s="98">
        <v>51.6</v>
      </c>
      <c r="I948" s="97">
        <v>42948</v>
      </c>
      <c r="J948" s="99">
        <v>49.1</v>
      </c>
    </row>
    <row r="949" spans="1:10" ht="16">
      <c r="A949" s="100" t="s">
        <v>1075</v>
      </c>
      <c r="B949" s="101" t="s">
        <v>1072</v>
      </c>
      <c r="C949" s="102" t="s">
        <v>76</v>
      </c>
      <c r="D949" s="103" t="s">
        <v>92</v>
      </c>
      <c r="E949" s="104">
        <v>10887</v>
      </c>
      <c r="F949" s="104">
        <v>337</v>
      </c>
      <c r="G949" s="104">
        <v>1960</v>
      </c>
      <c r="H949" s="105">
        <v>32.4</v>
      </c>
      <c r="I949" s="104">
        <v>20967</v>
      </c>
      <c r="J949" s="106">
        <v>31.8</v>
      </c>
    </row>
    <row r="950" spans="1:10" ht="16">
      <c r="A950" s="93" t="s">
        <v>737</v>
      </c>
      <c r="B950" s="94" t="s">
        <v>642</v>
      </c>
      <c r="C950" s="95" t="s">
        <v>107</v>
      </c>
      <c r="D950" s="96" t="s">
        <v>82</v>
      </c>
      <c r="E950" s="97">
        <v>5020</v>
      </c>
      <c r="F950" s="97">
        <v>540</v>
      </c>
      <c r="G950" s="97">
        <v>201</v>
      </c>
      <c r="H950" s="98">
        <v>10.7</v>
      </c>
      <c r="I950" s="97">
        <v>1046</v>
      </c>
      <c r="J950" s="99">
        <v>19.7</v>
      </c>
    </row>
    <row r="951" spans="1:10" ht="16">
      <c r="A951" s="100" t="s">
        <v>887</v>
      </c>
      <c r="B951" s="101" t="s">
        <v>879</v>
      </c>
      <c r="C951" s="102" t="s">
        <v>76</v>
      </c>
      <c r="D951" s="103" t="s">
        <v>130</v>
      </c>
      <c r="E951" s="104">
        <v>27859</v>
      </c>
      <c r="F951" s="104">
        <v>1629</v>
      </c>
      <c r="G951" s="104">
        <v>557</v>
      </c>
      <c r="H951" s="105">
        <v>10.6</v>
      </c>
      <c r="I951" s="104">
        <v>2105</v>
      </c>
      <c r="J951" s="106">
        <v>15.7</v>
      </c>
    </row>
    <row r="952" spans="1:10" ht="16">
      <c r="A952" s="93" t="s">
        <v>1076</v>
      </c>
      <c r="B952" s="94" t="s">
        <v>1072</v>
      </c>
      <c r="C952" s="95" t="s">
        <v>76</v>
      </c>
      <c r="D952" s="96" t="s">
        <v>63</v>
      </c>
      <c r="E952" s="97">
        <v>16935</v>
      </c>
      <c r="F952" s="97">
        <v>1086</v>
      </c>
      <c r="G952" s="97">
        <v>6605</v>
      </c>
      <c r="H952" s="98">
        <v>43.7</v>
      </c>
      <c r="I952" s="97">
        <v>35198</v>
      </c>
      <c r="J952" s="99">
        <v>38.1</v>
      </c>
    </row>
    <row r="953" spans="1:10" ht="16">
      <c r="A953" s="100" t="s">
        <v>615</v>
      </c>
      <c r="B953" s="101" t="s">
        <v>598</v>
      </c>
      <c r="C953" s="102" t="s">
        <v>76</v>
      </c>
      <c r="D953" s="103" t="s">
        <v>80</v>
      </c>
      <c r="E953" s="104">
        <v>23977</v>
      </c>
      <c r="F953" s="104">
        <v>1230</v>
      </c>
      <c r="G953" s="104">
        <v>2158</v>
      </c>
      <c r="H953" s="105">
        <v>23.1</v>
      </c>
      <c r="I953" s="104">
        <v>14775</v>
      </c>
      <c r="J953" s="106">
        <v>32.1</v>
      </c>
    </row>
    <row r="954" spans="1:10" ht="16">
      <c r="A954" s="93" t="s">
        <v>1401</v>
      </c>
      <c r="B954" s="94" t="s">
        <v>1288</v>
      </c>
      <c r="C954" s="95" t="s">
        <v>76</v>
      </c>
      <c r="D954" s="96" t="s">
        <v>62</v>
      </c>
      <c r="E954" s="97">
        <v>35164</v>
      </c>
      <c r="F954" s="97">
        <v>2157</v>
      </c>
      <c r="G954" s="97">
        <v>2461</v>
      </c>
      <c r="H954" s="98">
        <v>35.799999999999997</v>
      </c>
      <c r="I954" s="97">
        <v>19979</v>
      </c>
      <c r="J954" s="99">
        <v>34.9</v>
      </c>
    </row>
    <row r="955" spans="1:10" ht="16">
      <c r="A955" s="100" t="s">
        <v>445</v>
      </c>
      <c r="B955" s="101" t="s">
        <v>446</v>
      </c>
      <c r="C955" s="102" t="s">
        <v>107</v>
      </c>
      <c r="D955" s="103" t="s">
        <v>77</v>
      </c>
      <c r="E955" s="104">
        <v>36819</v>
      </c>
      <c r="F955" s="104">
        <v>1283</v>
      </c>
      <c r="G955" s="104">
        <v>368</v>
      </c>
      <c r="H955" s="105">
        <v>15.5</v>
      </c>
      <c r="I955" s="104">
        <v>4362</v>
      </c>
      <c r="J955" s="106">
        <v>15.6</v>
      </c>
    </row>
    <row r="956" spans="1:10" ht="16">
      <c r="A956" s="93" t="s">
        <v>1038</v>
      </c>
      <c r="B956" s="94" t="s">
        <v>1020</v>
      </c>
      <c r="C956" s="95" t="s">
        <v>76</v>
      </c>
      <c r="D956" s="96" t="s">
        <v>130</v>
      </c>
      <c r="E956" s="97">
        <v>13906</v>
      </c>
      <c r="F956" s="97">
        <v>732</v>
      </c>
      <c r="G956" s="97">
        <v>1947</v>
      </c>
      <c r="H956" s="98">
        <v>18.2</v>
      </c>
      <c r="I956" s="97">
        <v>10526</v>
      </c>
      <c r="J956" s="99">
        <v>18.899999999999999</v>
      </c>
    </row>
    <row r="957" spans="1:10" ht="16">
      <c r="A957" s="100" t="s">
        <v>1255</v>
      </c>
      <c r="B957" s="101" t="s">
        <v>1190</v>
      </c>
      <c r="C957" s="102" t="s">
        <v>76</v>
      </c>
      <c r="D957" s="103" t="s">
        <v>92</v>
      </c>
      <c r="E957" s="104">
        <v>25357</v>
      </c>
      <c r="F957" s="104">
        <v>1647</v>
      </c>
      <c r="G957" s="104">
        <v>9382</v>
      </c>
      <c r="H957" s="105">
        <v>47.9</v>
      </c>
      <c r="I957" s="104">
        <v>44025</v>
      </c>
      <c r="J957" s="106">
        <v>41.1</v>
      </c>
    </row>
    <row r="958" spans="1:10" ht="16">
      <c r="A958" s="93" t="s">
        <v>1069</v>
      </c>
      <c r="B958" s="94" t="s">
        <v>1062</v>
      </c>
      <c r="C958" s="95" t="s">
        <v>107</v>
      </c>
      <c r="D958" s="96" t="s">
        <v>63</v>
      </c>
      <c r="E958" s="97">
        <v>19677</v>
      </c>
      <c r="F958" s="97">
        <v>1929</v>
      </c>
      <c r="G958" s="97">
        <v>2558</v>
      </c>
      <c r="H958" s="98">
        <v>41.5</v>
      </c>
      <c r="I958" s="97">
        <v>38824</v>
      </c>
      <c r="J958" s="99">
        <v>27.5</v>
      </c>
    </row>
    <row r="959" spans="1:10" ht="16">
      <c r="A959" s="100" t="s">
        <v>1039</v>
      </c>
      <c r="B959" s="101" t="s">
        <v>1020</v>
      </c>
      <c r="C959" s="102" t="s">
        <v>76</v>
      </c>
      <c r="D959" s="103" t="s">
        <v>63</v>
      </c>
      <c r="E959" s="104">
        <v>56044</v>
      </c>
      <c r="F959" s="104">
        <v>3639</v>
      </c>
      <c r="G959" s="104">
        <v>5604</v>
      </c>
      <c r="H959" s="105">
        <v>20.9</v>
      </c>
      <c r="I959" s="104">
        <v>10879</v>
      </c>
      <c r="J959" s="106">
        <v>19.399999999999999</v>
      </c>
    </row>
    <row r="960" spans="1:10" ht="16">
      <c r="A960" s="93" t="s">
        <v>133</v>
      </c>
      <c r="B960" s="94" t="s">
        <v>127</v>
      </c>
      <c r="C960" s="95" t="s">
        <v>76</v>
      </c>
      <c r="D960" s="96" t="s">
        <v>62</v>
      </c>
      <c r="E960" s="97">
        <v>20312</v>
      </c>
      <c r="F960" s="97">
        <v>927</v>
      </c>
      <c r="G960" s="97">
        <v>2641</v>
      </c>
      <c r="H960" s="98">
        <v>18.3</v>
      </c>
      <c r="I960" s="97">
        <v>10271</v>
      </c>
      <c r="J960" s="99">
        <v>22.9</v>
      </c>
    </row>
    <row r="961" spans="1:10" ht="16">
      <c r="A961" s="100" t="s">
        <v>1256</v>
      </c>
      <c r="B961" s="101" t="s">
        <v>1190</v>
      </c>
      <c r="C961" s="102" t="s">
        <v>76</v>
      </c>
      <c r="D961" s="103" t="s">
        <v>63</v>
      </c>
      <c r="E961" s="104">
        <v>14477</v>
      </c>
      <c r="F961" s="104">
        <v>804</v>
      </c>
      <c r="G961" s="104">
        <v>5212</v>
      </c>
      <c r="H961" s="105">
        <v>15.2</v>
      </c>
      <c r="I961" s="104">
        <v>6013</v>
      </c>
      <c r="J961" s="106">
        <v>17.100000000000001</v>
      </c>
    </row>
    <row r="962" spans="1:10" ht="16">
      <c r="A962" s="93" t="s">
        <v>432</v>
      </c>
      <c r="B962" s="94" t="s">
        <v>402</v>
      </c>
      <c r="C962" s="95" t="s">
        <v>76</v>
      </c>
      <c r="D962" s="96" t="s">
        <v>82</v>
      </c>
      <c r="E962" s="97">
        <v>10247</v>
      </c>
      <c r="F962" s="97">
        <v>486</v>
      </c>
      <c r="G962" s="97">
        <v>717</v>
      </c>
      <c r="H962" s="98">
        <v>22.4</v>
      </c>
      <c r="I962" s="97">
        <v>13538</v>
      </c>
      <c r="J962" s="99">
        <v>30</v>
      </c>
    </row>
    <row r="963" spans="1:10" ht="16">
      <c r="A963" s="100" t="s">
        <v>828</v>
      </c>
      <c r="B963" s="101" t="s">
        <v>820</v>
      </c>
      <c r="C963" s="102" t="s">
        <v>76</v>
      </c>
      <c r="D963" s="103" t="s">
        <v>60</v>
      </c>
      <c r="E963" s="104">
        <v>27228</v>
      </c>
      <c r="F963" s="104">
        <v>1144</v>
      </c>
      <c r="G963" s="104">
        <v>5718</v>
      </c>
      <c r="H963" s="105">
        <v>55.6</v>
      </c>
      <c r="I963" s="104">
        <v>50932</v>
      </c>
      <c r="J963" s="106">
        <v>42.3</v>
      </c>
    </row>
    <row r="964" spans="1:10" ht="16">
      <c r="A964" s="93" t="s">
        <v>808</v>
      </c>
      <c r="B964" s="94" t="s">
        <v>798</v>
      </c>
      <c r="C964" s="95" t="s">
        <v>76</v>
      </c>
      <c r="D964" s="96" t="s">
        <v>82</v>
      </c>
      <c r="E964" s="97">
        <v>123932</v>
      </c>
      <c r="F964" s="97">
        <v>2229</v>
      </c>
      <c r="G964" s="97">
        <v>8624</v>
      </c>
      <c r="H964" s="98">
        <v>7.8</v>
      </c>
      <c r="I964" s="97">
        <v>787</v>
      </c>
      <c r="J964" s="99">
        <v>15.4</v>
      </c>
    </row>
    <row r="965" spans="1:10" ht="16">
      <c r="A965" s="100" t="s">
        <v>809</v>
      </c>
      <c r="B965" s="101" t="s">
        <v>798</v>
      </c>
      <c r="C965" s="102" t="s">
        <v>76</v>
      </c>
      <c r="D965" s="103" t="s">
        <v>60</v>
      </c>
      <c r="E965" s="104">
        <v>26034</v>
      </c>
      <c r="F965" s="104">
        <v>1315</v>
      </c>
      <c r="G965" s="104">
        <v>781</v>
      </c>
      <c r="H965" s="105">
        <v>8.6999999999999993</v>
      </c>
      <c r="I965" s="104">
        <v>1185</v>
      </c>
      <c r="J965" s="106">
        <v>16.399999999999999</v>
      </c>
    </row>
    <row r="966" spans="1:10" ht="16">
      <c r="A966" s="93" t="s">
        <v>197</v>
      </c>
      <c r="B966" s="94" t="s">
        <v>184</v>
      </c>
      <c r="C966" s="95" t="s">
        <v>76</v>
      </c>
      <c r="D966" s="96" t="s">
        <v>63</v>
      </c>
      <c r="E966" s="97">
        <v>22165</v>
      </c>
      <c r="F966" s="97">
        <v>762</v>
      </c>
      <c r="G966" s="97">
        <v>1995</v>
      </c>
      <c r="H966" s="98">
        <v>29.4</v>
      </c>
      <c r="I966" s="97">
        <v>13964</v>
      </c>
      <c r="J966" s="99">
        <v>26.2</v>
      </c>
    </row>
    <row r="967" spans="1:10" ht="16">
      <c r="A967" s="100" t="s">
        <v>566</v>
      </c>
      <c r="B967" s="101" t="s">
        <v>537</v>
      </c>
      <c r="C967" s="102" t="s">
        <v>76</v>
      </c>
      <c r="D967" s="103" t="s">
        <v>61</v>
      </c>
      <c r="E967" s="104">
        <v>16240</v>
      </c>
      <c r="F967" s="104">
        <v>576</v>
      </c>
      <c r="G967" s="104">
        <v>746</v>
      </c>
      <c r="H967" s="105">
        <v>13.6</v>
      </c>
      <c r="I967" s="104">
        <v>4026</v>
      </c>
      <c r="J967" s="106">
        <v>20.399999999999999</v>
      </c>
    </row>
    <row r="968" spans="1:10" ht="16">
      <c r="A968" s="93" t="s">
        <v>596</v>
      </c>
      <c r="B968" s="94" t="s">
        <v>591</v>
      </c>
      <c r="C968" s="95" t="s">
        <v>76</v>
      </c>
      <c r="D968" s="96" t="s">
        <v>61</v>
      </c>
      <c r="E968" s="97">
        <v>16164</v>
      </c>
      <c r="F968" s="97">
        <v>770</v>
      </c>
      <c r="G968" s="97">
        <v>323</v>
      </c>
      <c r="H968" s="98">
        <v>31.9</v>
      </c>
      <c r="I968" s="97">
        <v>16875</v>
      </c>
      <c r="J968" s="99">
        <v>26.7</v>
      </c>
    </row>
    <row r="969" spans="1:10" ht="16">
      <c r="A969" s="100" t="s">
        <v>433</v>
      </c>
      <c r="B969" s="101" t="s">
        <v>402</v>
      </c>
      <c r="C969" s="102" t="s">
        <v>76</v>
      </c>
      <c r="D969" s="103" t="s">
        <v>80</v>
      </c>
      <c r="E969" s="104">
        <v>30375</v>
      </c>
      <c r="F969" s="104">
        <v>512</v>
      </c>
      <c r="G969" s="104">
        <v>3645</v>
      </c>
      <c r="H969" s="105">
        <v>49.8</v>
      </c>
      <c r="I969" s="104">
        <v>36881</v>
      </c>
      <c r="J969" s="106">
        <v>44.4</v>
      </c>
    </row>
    <row r="970" spans="1:10" ht="16">
      <c r="A970" s="93" t="s">
        <v>316</v>
      </c>
      <c r="B970" s="94" t="s">
        <v>317</v>
      </c>
      <c r="C970" s="95" t="s">
        <v>76</v>
      </c>
      <c r="D970" s="96" t="s">
        <v>62</v>
      </c>
      <c r="E970" s="97">
        <v>14856</v>
      </c>
      <c r="F970" s="97">
        <v>1516</v>
      </c>
      <c r="G970" s="97">
        <v>1040</v>
      </c>
      <c r="H970" s="98">
        <v>9</v>
      </c>
      <c r="I970" s="97">
        <v>860</v>
      </c>
      <c r="J970" s="99">
        <v>21.6</v>
      </c>
    </row>
    <row r="971" spans="1:10" ht="16">
      <c r="A971" s="100" t="s">
        <v>373</v>
      </c>
      <c r="B971" s="101" t="s">
        <v>369</v>
      </c>
      <c r="C971" s="102" t="s">
        <v>76</v>
      </c>
      <c r="D971" s="103" t="s">
        <v>61</v>
      </c>
      <c r="E971" s="104">
        <v>22072</v>
      </c>
      <c r="F971" s="104">
        <v>1330</v>
      </c>
      <c r="G971" s="104">
        <v>1104</v>
      </c>
      <c r="H971" s="105">
        <v>59.3</v>
      </c>
      <c r="I971" s="104">
        <v>52290</v>
      </c>
      <c r="J971" s="106">
        <v>43.4</v>
      </c>
    </row>
    <row r="972" spans="1:10" ht="16">
      <c r="A972" s="93" t="s">
        <v>1257</v>
      </c>
      <c r="B972" s="94" t="s">
        <v>1190</v>
      </c>
      <c r="C972" s="95" t="s">
        <v>76</v>
      </c>
      <c r="D972" s="96" t="s">
        <v>60</v>
      </c>
      <c r="E972" s="97">
        <v>17584</v>
      </c>
      <c r="F972" s="97">
        <v>1005</v>
      </c>
      <c r="G972" s="97">
        <v>4924</v>
      </c>
      <c r="H972" s="98">
        <v>13</v>
      </c>
      <c r="I972" s="97">
        <v>5557</v>
      </c>
      <c r="J972" s="99">
        <v>17.5</v>
      </c>
    </row>
    <row r="973" spans="1:10" ht="16">
      <c r="A973" s="100" t="s">
        <v>434</v>
      </c>
      <c r="B973" s="101" t="s">
        <v>402</v>
      </c>
      <c r="C973" s="102" t="s">
        <v>76</v>
      </c>
      <c r="D973" s="103" t="s">
        <v>61</v>
      </c>
      <c r="E973" s="104">
        <v>9234</v>
      </c>
      <c r="F973" s="104">
        <v>244</v>
      </c>
      <c r="G973" s="104">
        <v>1385</v>
      </c>
      <c r="H973" s="105">
        <v>31</v>
      </c>
      <c r="I973" s="104">
        <v>28607</v>
      </c>
      <c r="J973" s="106">
        <v>34.4</v>
      </c>
    </row>
    <row r="974" spans="1:10" ht="16">
      <c r="A974" s="93" t="s">
        <v>464</v>
      </c>
      <c r="B974" s="94" t="s">
        <v>459</v>
      </c>
      <c r="C974" s="95" t="s">
        <v>76</v>
      </c>
      <c r="D974" s="96" t="s">
        <v>60</v>
      </c>
      <c r="E974" s="97">
        <v>18260</v>
      </c>
      <c r="F974" s="97">
        <v>1003</v>
      </c>
      <c r="G974" s="97">
        <v>8034</v>
      </c>
      <c r="H974" s="98">
        <v>77.2</v>
      </c>
      <c r="I974" s="97">
        <v>59186</v>
      </c>
      <c r="J974" s="99">
        <v>69.5</v>
      </c>
    </row>
    <row r="975" spans="1:10" ht="16">
      <c r="A975" s="100" t="s">
        <v>1402</v>
      </c>
      <c r="B975" s="101" t="s">
        <v>1288</v>
      </c>
      <c r="C975" s="102" t="s">
        <v>107</v>
      </c>
      <c r="D975" s="103" t="s">
        <v>61</v>
      </c>
      <c r="E975" s="104">
        <v>44128</v>
      </c>
      <c r="F975" s="104">
        <v>1717</v>
      </c>
      <c r="G975" s="104">
        <v>3972</v>
      </c>
      <c r="H975" s="105">
        <v>25.9</v>
      </c>
      <c r="I975" s="104">
        <v>15050</v>
      </c>
      <c r="J975" s="106">
        <v>33.6</v>
      </c>
    </row>
    <row r="976" spans="1:10" ht="16">
      <c r="A976" s="93" t="s">
        <v>1258</v>
      </c>
      <c r="B976" s="94" t="s">
        <v>1190</v>
      </c>
      <c r="C976" s="95" t="s">
        <v>76</v>
      </c>
      <c r="D976" s="96" t="s">
        <v>63</v>
      </c>
      <c r="E976" s="97">
        <v>14483</v>
      </c>
      <c r="F976" s="97">
        <v>700</v>
      </c>
      <c r="G976" s="97">
        <v>3476</v>
      </c>
      <c r="H976" s="98">
        <v>20</v>
      </c>
      <c r="I976" s="97">
        <v>8990</v>
      </c>
      <c r="J976" s="99">
        <v>22.8</v>
      </c>
    </row>
    <row r="977" spans="1:10" ht="16">
      <c r="A977" s="100" t="s">
        <v>1259</v>
      </c>
      <c r="B977" s="101" t="s">
        <v>1190</v>
      </c>
      <c r="C977" s="102" t="s">
        <v>76</v>
      </c>
      <c r="D977" s="103" t="s">
        <v>63</v>
      </c>
      <c r="E977" s="104">
        <v>14047</v>
      </c>
      <c r="F977" s="104">
        <v>772</v>
      </c>
      <c r="G977" s="104">
        <v>2669</v>
      </c>
      <c r="H977" s="105">
        <v>23</v>
      </c>
      <c r="I977" s="104">
        <v>12917</v>
      </c>
      <c r="J977" s="106">
        <v>22.3</v>
      </c>
    </row>
    <row r="978" spans="1:10" ht="16">
      <c r="A978" s="93" t="s">
        <v>738</v>
      </c>
      <c r="B978" s="94" t="s">
        <v>642</v>
      </c>
      <c r="C978" s="95" t="s">
        <v>107</v>
      </c>
      <c r="D978" s="96" t="s">
        <v>61</v>
      </c>
      <c r="E978" s="97">
        <v>6566</v>
      </c>
      <c r="F978" s="97">
        <v>513</v>
      </c>
      <c r="G978" s="97">
        <v>197</v>
      </c>
      <c r="H978" s="98">
        <v>12.1</v>
      </c>
      <c r="I978" s="97">
        <v>1262</v>
      </c>
      <c r="J978" s="99">
        <v>16.7</v>
      </c>
    </row>
    <row r="979" spans="1:10" ht="16">
      <c r="A979" s="100" t="s">
        <v>844</v>
      </c>
      <c r="B979" s="101" t="s">
        <v>843</v>
      </c>
      <c r="C979" s="102" t="s">
        <v>107</v>
      </c>
      <c r="D979" s="103" t="s">
        <v>80</v>
      </c>
      <c r="E979" s="104">
        <v>26648</v>
      </c>
      <c r="F979" s="104">
        <v>1625</v>
      </c>
      <c r="G979" s="104">
        <v>266</v>
      </c>
      <c r="H979" s="105">
        <v>12.1</v>
      </c>
      <c r="I979" s="104">
        <v>9417</v>
      </c>
      <c r="J979" s="106">
        <v>23.4</v>
      </c>
    </row>
    <row r="980" spans="1:10" ht="16">
      <c r="A980" s="93" t="s">
        <v>471</v>
      </c>
      <c r="B980" s="94" t="s">
        <v>472</v>
      </c>
      <c r="C980" s="95" t="s">
        <v>76</v>
      </c>
      <c r="D980" s="96" t="s">
        <v>60</v>
      </c>
      <c r="E980" s="97">
        <v>8135</v>
      </c>
      <c r="F980" s="97">
        <v>585</v>
      </c>
      <c r="G980" s="97">
        <v>976</v>
      </c>
      <c r="H980" s="98">
        <v>30</v>
      </c>
      <c r="I980" s="97">
        <v>22537</v>
      </c>
      <c r="J980" s="99">
        <v>19.5</v>
      </c>
    </row>
    <row r="981" spans="1:10" ht="16">
      <c r="A981" s="100" t="s">
        <v>1403</v>
      </c>
      <c r="B981" s="101" t="s">
        <v>1288</v>
      </c>
      <c r="C981" s="102" t="s">
        <v>107</v>
      </c>
      <c r="D981" s="103" t="s">
        <v>63</v>
      </c>
      <c r="E981" s="104">
        <v>9694</v>
      </c>
      <c r="F981" s="104">
        <v>570</v>
      </c>
      <c r="G981" s="104">
        <v>776</v>
      </c>
      <c r="H981" s="105">
        <v>21.1</v>
      </c>
      <c r="I981" s="104">
        <v>11270</v>
      </c>
      <c r="J981" s="106">
        <v>33.299999999999997</v>
      </c>
    </row>
    <row r="982" spans="1:10" ht="16">
      <c r="A982" s="93" t="s">
        <v>1404</v>
      </c>
      <c r="B982" s="94" t="s">
        <v>1288</v>
      </c>
      <c r="C982" s="95" t="s">
        <v>76</v>
      </c>
      <c r="D982" s="96" t="s">
        <v>92</v>
      </c>
      <c r="E982" s="97">
        <v>27031</v>
      </c>
      <c r="F982" s="97">
        <v>2351</v>
      </c>
      <c r="G982" s="97">
        <v>5406</v>
      </c>
      <c r="H982" s="98">
        <v>33.4</v>
      </c>
      <c r="I982" s="97">
        <v>23321</v>
      </c>
      <c r="J982" s="99">
        <v>45</v>
      </c>
    </row>
    <row r="983" spans="1:10" ht="16">
      <c r="A983" s="100" t="s">
        <v>1405</v>
      </c>
      <c r="B983" s="101" t="s">
        <v>1288</v>
      </c>
      <c r="C983" s="102" t="s">
        <v>107</v>
      </c>
      <c r="D983" s="103" t="s">
        <v>59</v>
      </c>
      <c r="E983" s="104">
        <v>44916</v>
      </c>
      <c r="F983" s="104">
        <v>2509</v>
      </c>
      <c r="G983" s="104">
        <v>10780</v>
      </c>
      <c r="H983" s="105">
        <v>78</v>
      </c>
      <c r="I983" s="104">
        <v>65895</v>
      </c>
      <c r="J983" s="106">
        <v>63.2</v>
      </c>
    </row>
    <row r="984" spans="1:10" ht="16">
      <c r="A984" s="93" t="s">
        <v>535</v>
      </c>
      <c r="B984" s="94" t="s">
        <v>530</v>
      </c>
      <c r="C984" s="95" t="s">
        <v>76</v>
      </c>
      <c r="D984" s="96" t="s">
        <v>92</v>
      </c>
      <c r="E984" s="97">
        <v>41170</v>
      </c>
      <c r="F984" s="97">
        <v>4159</v>
      </c>
      <c r="G984" s="97">
        <v>4529</v>
      </c>
      <c r="H984" s="98">
        <v>19.2</v>
      </c>
      <c r="I984" s="97">
        <v>3211</v>
      </c>
      <c r="J984" s="99">
        <v>38.700000000000003</v>
      </c>
    </row>
    <row r="985" spans="1:10" ht="16">
      <c r="A985" s="100" t="s">
        <v>134</v>
      </c>
      <c r="B985" s="101" t="s">
        <v>127</v>
      </c>
      <c r="C985" s="102" t="s">
        <v>76</v>
      </c>
      <c r="D985" s="103" t="s">
        <v>60</v>
      </c>
      <c r="E985" s="104">
        <v>14128</v>
      </c>
      <c r="F985" s="104">
        <v>1121</v>
      </c>
      <c r="G985" s="104">
        <v>5651</v>
      </c>
      <c r="H985" s="105">
        <v>21.8</v>
      </c>
      <c r="I985" s="104">
        <v>13561</v>
      </c>
      <c r="J985" s="106">
        <v>27.6</v>
      </c>
    </row>
    <row r="986" spans="1:10" ht="16">
      <c r="A986" s="93" t="s">
        <v>616</v>
      </c>
      <c r="B986" s="94" t="s">
        <v>598</v>
      </c>
      <c r="C986" s="95" t="s">
        <v>76</v>
      </c>
      <c r="D986" s="96" t="s">
        <v>130</v>
      </c>
      <c r="E986" s="97">
        <v>7646</v>
      </c>
      <c r="F986" s="97">
        <v>346</v>
      </c>
      <c r="G986" s="97">
        <v>459</v>
      </c>
      <c r="H986" s="98">
        <v>19.5</v>
      </c>
      <c r="I986" s="97">
        <v>14106</v>
      </c>
      <c r="J986" s="99">
        <v>18.5</v>
      </c>
    </row>
    <row r="987" spans="1:10" ht="16">
      <c r="A987" s="100" t="s">
        <v>289</v>
      </c>
      <c r="B987" s="101" t="s">
        <v>223</v>
      </c>
      <c r="C987" s="102" t="s">
        <v>76</v>
      </c>
      <c r="D987" s="103" t="s">
        <v>59</v>
      </c>
      <c r="E987" s="104">
        <v>15775</v>
      </c>
      <c r="F987" s="104">
        <v>907</v>
      </c>
      <c r="G987" s="104">
        <v>2840</v>
      </c>
      <c r="H987" s="105">
        <v>16.100000000000001</v>
      </c>
      <c r="I987" s="104">
        <v>5686</v>
      </c>
      <c r="J987" s="106">
        <v>25.3</v>
      </c>
    </row>
    <row r="988" spans="1:10" ht="16">
      <c r="A988" s="93" t="s">
        <v>454</v>
      </c>
      <c r="B988" s="94" t="s">
        <v>448</v>
      </c>
      <c r="C988" s="95" t="s">
        <v>107</v>
      </c>
      <c r="D988" s="96" t="s">
        <v>92</v>
      </c>
      <c r="E988" s="97">
        <v>21902</v>
      </c>
      <c r="F988" s="97">
        <v>494</v>
      </c>
      <c r="G988" s="97">
        <v>657</v>
      </c>
      <c r="H988" s="98">
        <v>14.7</v>
      </c>
      <c r="I988" s="97">
        <v>8884</v>
      </c>
      <c r="J988" s="99">
        <v>16.5</v>
      </c>
    </row>
    <row r="989" spans="1:10" ht="16">
      <c r="A989" s="100" t="s">
        <v>1406</v>
      </c>
      <c r="B989" s="101" t="s">
        <v>1288</v>
      </c>
      <c r="C989" s="102" t="s">
        <v>76</v>
      </c>
      <c r="D989" s="103" t="s">
        <v>62</v>
      </c>
      <c r="E989" s="104">
        <v>28945</v>
      </c>
      <c r="F989" s="104">
        <v>2495</v>
      </c>
      <c r="G989" s="104">
        <v>3473</v>
      </c>
      <c r="H989" s="105">
        <v>29.5</v>
      </c>
      <c r="I989" s="104">
        <v>24347</v>
      </c>
      <c r="J989" s="106">
        <v>43.1</v>
      </c>
    </row>
    <row r="990" spans="1:10" ht="16">
      <c r="A990" s="93" t="s">
        <v>567</v>
      </c>
      <c r="B990" s="94" t="s">
        <v>537</v>
      </c>
      <c r="C990" s="95" t="s">
        <v>76</v>
      </c>
      <c r="D990" s="96" t="s">
        <v>92</v>
      </c>
      <c r="E990" s="97">
        <v>13782</v>
      </c>
      <c r="F990" s="97">
        <v>659</v>
      </c>
      <c r="G990" s="97">
        <v>138</v>
      </c>
      <c r="H990" s="98">
        <v>22.6</v>
      </c>
      <c r="I990" s="97">
        <v>3035</v>
      </c>
      <c r="J990" s="99">
        <v>30.9</v>
      </c>
    </row>
    <row r="991" spans="1:10" ht="16">
      <c r="A991" s="100" t="s">
        <v>981</v>
      </c>
      <c r="B991" s="101" t="s">
        <v>977</v>
      </c>
      <c r="C991" s="102" t="s">
        <v>76</v>
      </c>
      <c r="D991" s="103" t="s">
        <v>63</v>
      </c>
      <c r="E991" s="104">
        <v>26445</v>
      </c>
      <c r="F991" s="104">
        <v>1106</v>
      </c>
      <c r="G991" s="104">
        <v>3967</v>
      </c>
      <c r="H991" s="105">
        <v>25.8</v>
      </c>
      <c r="I991" s="104">
        <v>10971</v>
      </c>
      <c r="J991" s="106">
        <v>19.7</v>
      </c>
    </row>
    <row r="992" spans="1:10" ht="16">
      <c r="A992" s="93" t="s">
        <v>756</v>
      </c>
      <c r="B992" s="94" t="s">
        <v>753</v>
      </c>
      <c r="C992" s="95" t="s">
        <v>76</v>
      </c>
      <c r="D992" s="96" t="s">
        <v>60</v>
      </c>
      <c r="E992" s="97">
        <v>30495</v>
      </c>
      <c r="F992" s="97">
        <v>1804</v>
      </c>
      <c r="G992" s="97">
        <v>4879</v>
      </c>
      <c r="H992" s="98">
        <v>10.199999999999999</v>
      </c>
      <c r="I992" s="97">
        <v>2984</v>
      </c>
      <c r="J992" s="99">
        <v>25.1</v>
      </c>
    </row>
    <row r="993" spans="1:10" ht="16">
      <c r="A993" s="100" t="s">
        <v>435</v>
      </c>
      <c r="B993" s="101" t="s">
        <v>402</v>
      </c>
      <c r="C993" s="102" t="s">
        <v>107</v>
      </c>
      <c r="D993" s="103" t="s">
        <v>77</v>
      </c>
      <c r="E993" s="104">
        <v>14869</v>
      </c>
      <c r="F993" s="104">
        <v>288</v>
      </c>
      <c r="G993" s="104">
        <v>2676</v>
      </c>
      <c r="H993" s="105">
        <v>24.1</v>
      </c>
      <c r="I993" s="104">
        <v>9961</v>
      </c>
      <c r="J993" s="106">
        <v>33.6</v>
      </c>
    </row>
    <row r="994" spans="1:10" ht="16">
      <c r="A994" s="93" t="s">
        <v>1407</v>
      </c>
      <c r="B994" s="94" t="s">
        <v>1288</v>
      </c>
      <c r="C994" s="95" t="s">
        <v>76</v>
      </c>
      <c r="D994" s="96" t="s">
        <v>80</v>
      </c>
      <c r="E994" s="97">
        <v>24526</v>
      </c>
      <c r="F994" s="97">
        <v>2477</v>
      </c>
      <c r="G994" s="97">
        <v>2207</v>
      </c>
      <c r="H994" s="98">
        <v>22.6</v>
      </c>
      <c r="I994" s="97">
        <v>15473</v>
      </c>
      <c r="J994" s="99">
        <v>36.9</v>
      </c>
    </row>
    <row r="995" spans="1:10" ht="16">
      <c r="A995" s="100" t="s">
        <v>568</v>
      </c>
      <c r="B995" s="101" t="s">
        <v>537</v>
      </c>
      <c r="C995" s="102" t="s">
        <v>76</v>
      </c>
      <c r="D995" s="103" t="s">
        <v>62</v>
      </c>
      <c r="E995" s="104">
        <v>8438</v>
      </c>
      <c r="F995" s="104">
        <v>308</v>
      </c>
      <c r="G995" s="104">
        <v>253</v>
      </c>
      <c r="H995" s="105">
        <v>18.2</v>
      </c>
      <c r="I995" s="104">
        <v>13755</v>
      </c>
      <c r="J995" s="106">
        <v>19.600000000000001</v>
      </c>
    </row>
    <row r="996" spans="1:10" ht="16">
      <c r="A996" s="93" t="s">
        <v>1260</v>
      </c>
      <c r="B996" s="94" t="s">
        <v>1190</v>
      </c>
      <c r="C996" s="95" t="s">
        <v>76</v>
      </c>
      <c r="D996" s="96" t="s">
        <v>84</v>
      </c>
      <c r="E996" s="97">
        <v>17754</v>
      </c>
      <c r="F996" s="97">
        <v>888</v>
      </c>
      <c r="G996" s="97">
        <v>5504</v>
      </c>
      <c r="H996" s="98">
        <v>28.4</v>
      </c>
      <c r="I996" s="97">
        <v>19291</v>
      </c>
      <c r="J996" s="99">
        <v>24.1</v>
      </c>
    </row>
    <row r="997" spans="1:10" ht="16">
      <c r="A997" s="100" t="s">
        <v>1408</v>
      </c>
      <c r="B997" s="101" t="s">
        <v>1288</v>
      </c>
      <c r="C997" s="102" t="s">
        <v>76</v>
      </c>
      <c r="D997" s="103" t="s">
        <v>130</v>
      </c>
      <c r="E997" s="104">
        <v>27078</v>
      </c>
      <c r="F997" s="104">
        <v>2184</v>
      </c>
      <c r="G997" s="104">
        <v>1083</v>
      </c>
      <c r="H997" s="105">
        <v>24.9</v>
      </c>
      <c r="I997" s="104">
        <v>13839</v>
      </c>
      <c r="J997" s="106">
        <v>37</v>
      </c>
    </row>
    <row r="998" spans="1:10" ht="16">
      <c r="A998" s="93" t="s">
        <v>436</v>
      </c>
      <c r="B998" s="94" t="s">
        <v>402</v>
      </c>
      <c r="C998" s="95" t="s">
        <v>76</v>
      </c>
      <c r="D998" s="96" t="s">
        <v>130</v>
      </c>
      <c r="E998" s="97">
        <v>26412</v>
      </c>
      <c r="F998" s="97">
        <v>1190</v>
      </c>
      <c r="G998" s="97">
        <v>2113</v>
      </c>
      <c r="H998" s="98">
        <v>27.5</v>
      </c>
      <c r="I998" s="97">
        <v>23946</v>
      </c>
      <c r="J998" s="99">
        <v>30.6</v>
      </c>
    </row>
    <row r="999" spans="1:10" ht="16">
      <c r="A999" s="100" t="s">
        <v>135</v>
      </c>
      <c r="B999" s="101" t="s">
        <v>127</v>
      </c>
      <c r="C999" s="102" t="s">
        <v>76</v>
      </c>
      <c r="D999" s="103" t="s">
        <v>80</v>
      </c>
      <c r="E999" s="104">
        <v>3639</v>
      </c>
      <c r="F999" s="104">
        <v>337</v>
      </c>
      <c r="G999" s="104">
        <v>801</v>
      </c>
      <c r="H999" s="105">
        <v>16.5</v>
      </c>
      <c r="I999" s="104">
        <v>14327</v>
      </c>
      <c r="J999" s="106">
        <v>25.3</v>
      </c>
    </row>
    <row r="1000" spans="1:10" ht="16">
      <c r="A1000" s="93" t="s">
        <v>437</v>
      </c>
      <c r="B1000" s="94" t="s">
        <v>402</v>
      </c>
      <c r="C1000" s="95" t="s">
        <v>76</v>
      </c>
      <c r="D1000" s="96" t="s">
        <v>84</v>
      </c>
      <c r="E1000" s="97">
        <v>11387</v>
      </c>
      <c r="F1000" s="97">
        <v>203</v>
      </c>
      <c r="G1000" s="97">
        <v>1480</v>
      </c>
      <c r="H1000" s="98">
        <v>44.2</v>
      </c>
      <c r="I1000" s="97">
        <v>29396</v>
      </c>
      <c r="J1000" s="99">
        <v>38.799999999999997</v>
      </c>
    </row>
    <row r="1001" spans="1:10" ht="16">
      <c r="A1001" s="100" t="s">
        <v>569</v>
      </c>
      <c r="B1001" s="101" t="s">
        <v>537</v>
      </c>
      <c r="C1001" s="102" t="s">
        <v>76</v>
      </c>
      <c r="D1001" s="103" t="s">
        <v>82</v>
      </c>
      <c r="E1001" s="104">
        <v>9441</v>
      </c>
      <c r="F1001" s="104">
        <v>327</v>
      </c>
      <c r="G1001" s="104">
        <v>94</v>
      </c>
      <c r="H1001" s="105">
        <v>13.1</v>
      </c>
      <c r="I1001" s="104">
        <v>6127</v>
      </c>
      <c r="J1001" s="106">
        <v>14.5</v>
      </c>
    </row>
    <row r="1002" spans="1:10" ht="16">
      <c r="A1002" s="93" t="s">
        <v>982</v>
      </c>
      <c r="B1002" s="94" t="s">
        <v>977</v>
      </c>
      <c r="C1002" s="95" t="s">
        <v>76</v>
      </c>
      <c r="D1002" s="96" t="s">
        <v>63</v>
      </c>
      <c r="E1002" s="97">
        <v>36660</v>
      </c>
      <c r="F1002" s="97">
        <v>1255</v>
      </c>
      <c r="G1002" s="97">
        <v>1466</v>
      </c>
      <c r="H1002" s="98">
        <v>28.7</v>
      </c>
      <c r="I1002" s="97">
        <v>20188</v>
      </c>
      <c r="J1002" s="99">
        <v>25.4</v>
      </c>
    </row>
    <row r="1003" spans="1:10" ht="16">
      <c r="A1003" s="100" t="s">
        <v>218</v>
      </c>
      <c r="B1003" s="101" t="s">
        <v>212</v>
      </c>
      <c r="C1003" s="102" t="s">
        <v>107</v>
      </c>
      <c r="D1003" s="103" t="s">
        <v>59</v>
      </c>
      <c r="E1003" s="104">
        <v>10437</v>
      </c>
      <c r="F1003" s="104">
        <v>424</v>
      </c>
      <c r="G1003" s="104">
        <v>104</v>
      </c>
      <c r="H1003" s="105">
        <v>16</v>
      </c>
      <c r="I1003" s="104">
        <v>5451</v>
      </c>
      <c r="J1003" s="106">
        <v>15.1</v>
      </c>
    </row>
    <row r="1004" spans="1:10" ht="16">
      <c r="A1004" s="93" t="s">
        <v>1040</v>
      </c>
      <c r="B1004" s="94" t="s">
        <v>1020</v>
      </c>
      <c r="C1004" s="95" t="s">
        <v>76</v>
      </c>
      <c r="D1004" s="96" t="s">
        <v>82</v>
      </c>
      <c r="E1004" s="97">
        <v>18336</v>
      </c>
      <c r="F1004" s="97">
        <v>1421</v>
      </c>
      <c r="G1004" s="97">
        <v>733</v>
      </c>
      <c r="H1004" s="98">
        <v>11.5</v>
      </c>
      <c r="I1004" s="97">
        <v>7845</v>
      </c>
      <c r="J1004" s="99">
        <v>19.3</v>
      </c>
    </row>
    <row r="1005" spans="1:10" ht="16">
      <c r="A1005" s="100" t="s">
        <v>845</v>
      </c>
      <c r="B1005" s="101" t="s">
        <v>843</v>
      </c>
      <c r="C1005" s="102" t="s">
        <v>107</v>
      </c>
      <c r="D1005" s="103" t="s">
        <v>82</v>
      </c>
      <c r="E1005" s="104">
        <v>34056</v>
      </c>
      <c r="F1005" s="104">
        <v>1678</v>
      </c>
      <c r="G1005" s="104">
        <v>2370</v>
      </c>
      <c r="H1005" s="105">
        <v>9</v>
      </c>
      <c r="I1005" s="104">
        <v>5309</v>
      </c>
      <c r="J1005" s="106">
        <v>15.5</v>
      </c>
    </row>
    <row r="1006" spans="1:10" ht="16">
      <c r="A1006" s="93" t="s">
        <v>1041</v>
      </c>
      <c r="B1006" s="94" t="s">
        <v>1020</v>
      </c>
      <c r="C1006" s="95" t="s">
        <v>76</v>
      </c>
      <c r="D1006" s="96" t="s">
        <v>61</v>
      </c>
      <c r="E1006" s="97">
        <v>18714</v>
      </c>
      <c r="F1006" s="97">
        <v>1094</v>
      </c>
      <c r="G1006" s="97">
        <v>1310</v>
      </c>
      <c r="H1006" s="98">
        <v>11.9</v>
      </c>
      <c r="I1006" s="97">
        <v>5304</v>
      </c>
      <c r="J1006" s="99">
        <v>17.8</v>
      </c>
    </row>
    <row r="1007" spans="1:10" ht="16">
      <c r="A1007" s="100" t="s">
        <v>768</v>
      </c>
      <c r="B1007" s="101" t="s">
        <v>766</v>
      </c>
      <c r="C1007" s="102" t="s">
        <v>76</v>
      </c>
      <c r="D1007" s="103" t="s">
        <v>80</v>
      </c>
      <c r="E1007" s="104">
        <v>12367</v>
      </c>
      <c r="F1007" s="104">
        <v>374</v>
      </c>
      <c r="G1007" s="104">
        <v>742</v>
      </c>
      <c r="H1007" s="105">
        <v>19.3</v>
      </c>
      <c r="I1007" s="104">
        <v>4733</v>
      </c>
      <c r="J1007" s="106">
        <v>17</v>
      </c>
    </row>
    <row r="1008" spans="1:10" ht="16">
      <c r="A1008" s="93" t="s">
        <v>1077</v>
      </c>
      <c r="B1008" s="94" t="s">
        <v>1072</v>
      </c>
      <c r="C1008" s="95" t="s">
        <v>76</v>
      </c>
      <c r="D1008" s="96" t="s">
        <v>62</v>
      </c>
      <c r="E1008" s="97">
        <v>12197</v>
      </c>
      <c r="F1008" s="97">
        <v>1271</v>
      </c>
      <c r="G1008" s="97">
        <v>2927</v>
      </c>
      <c r="H1008" s="98">
        <v>44.2</v>
      </c>
      <c r="I1008" s="97">
        <v>32471</v>
      </c>
      <c r="J1008" s="99">
        <v>33.1</v>
      </c>
    </row>
    <row r="1009" spans="1:10" ht="16">
      <c r="A1009" s="100" t="s">
        <v>1261</v>
      </c>
      <c r="B1009" s="101" t="s">
        <v>1190</v>
      </c>
      <c r="C1009" s="102" t="s">
        <v>76</v>
      </c>
      <c r="D1009" s="103" t="s">
        <v>77</v>
      </c>
      <c r="E1009" s="104">
        <v>30236</v>
      </c>
      <c r="F1009" s="104">
        <v>2129</v>
      </c>
      <c r="G1009" s="104">
        <v>8768</v>
      </c>
      <c r="H1009" s="105">
        <v>45.9</v>
      </c>
      <c r="I1009" s="104">
        <v>35873</v>
      </c>
      <c r="J1009" s="106">
        <v>41.1</v>
      </c>
    </row>
    <row r="1010" spans="1:10" ht="16">
      <c r="A1010" s="93" t="s">
        <v>1262</v>
      </c>
      <c r="B1010" s="94" t="s">
        <v>1190</v>
      </c>
      <c r="C1010" s="95" t="s">
        <v>76</v>
      </c>
      <c r="D1010" s="96" t="s">
        <v>61</v>
      </c>
      <c r="E1010" s="97">
        <v>14645</v>
      </c>
      <c r="F1010" s="97">
        <v>1024</v>
      </c>
      <c r="G1010" s="97">
        <v>4686</v>
      </c>
      <c r="H1010" s="98">
        <v>34.799999999999997</v>
      </c>
      <c r="I1010" s="97">
        <v>33481</v>
      </c>
      <c r="J1010" s="99">
        <v>30.1</v>
      </c>
    </row>
    <row r="1011" spans="1:10" ht="16">
      <c r="A1011" s="100" t="s">
        <v>136</v>
      </c>
      <c r="B1011" s="101" t="s">
        <v>127</v>
      </c>
      <c r="C1011" s="102" t="s">
        <v>107</v>
      </c>
      <c r="D1011" s="103" t="s">
        <v>62</v>
      </c>
      <c r="E1011" s="104">
        <v>3074</v>
      </c>
      <c r="F1011" s="104">
        <v>521</v>
      </c>
      <c r="G1011" s="104">
        <v>461</v>
      </c>
      <c r="H1011" s="105">
        <v>11.2</v>
      </c>
      <c r="I1011" s="104">
        <v>4010</v>
      </c>
      <c r="J1011" s="106">
        <v>28.1</v>
      </c>
    </row>
    <row r="1012" spans="1:10" ht="16">
      <c r="A1012" s="93" t="s">
        <v>198</v>
      </c>
      <c r="B1012" s="94" t="s">
        <v>184</v>
      </c>
      <c r="C1012" s="95" t="s">
        <v>76</v>
      </c>
      <c r="D1012" s="96" t="s">
        <v>84</v>
      </c>
      <c r="E1012" s="97">
        <v>6996</v>
      </c>
      <c r="F1012" s="97">
        <v>542</v>
      </c>
      <c r="G1012" s="97">
        <v>840</v>
      </c>
      <c r="H1012" s="98">
        <v>12.4</v>
      </c>
      <c r="I1012" s="97">
        <v>2779</v>
      </c>
      <c r="J1012" s="99">
        <v>16.7</v>
      </c>
    </row>
    <row r="1013" spans="1:10" ht="16">
      <c r="A1013" s="100" t="s">
        <v>392</v>
      </c>
      <c r="B1013" s="101" t="s">
        <v>377</v>
      </c>
      <c r="C1013" s="102" t="s">
        <v>76</v>
      </c>
      <c r="D1013" s="103" t="s">
        <v>77</v>
      </c>
      <c r="E1013" s="104">
        <v>69287</v>
      </c>
      <c r="F1013" s="104">
        <v>2389</v>
      </c>
      <c r="G1013" s="104">
        <v>9007</v>
      </c>
      <c r="H1013" s="105">
        <v>17.3</v>
      </c>
      <c r="I1013" s="104">
        <v>9211</v>
      </c>
      <c r="J1013" s="106">
        <v>20.3</v>
      </c>
    </row>
    <row r="1014" spans="1:10" ht="16">
      <c r="A1014" s="93" t="s">
        <v>589</v>
      </c>
      <c r="B1014" s="94" t="s">
        <v>581</v>
      </c>
      <c r="C1014" s="95" t="s">
        <v>107</v>
      </c>
      <c r="D1014" s="96" t="s">
        <v>84</v>
      </c>
      <c r="E1014" s="97">
        <v>14221</v>
      </c>
      <c r="F1014" s="97">
        <v>655</v>
      </c>
      <c r="G1014" s="97">
        <v>2418</v>
      </c>
      <c r="H1014" s="98">
        <v>23.5</v>
      </c>
      <c r="I1014" s="97">
        <v>12862</v>
      </c>
      <c r="J1014" s="99">
        <v>20.100000000000001</v>
      </c>
    </row>
    <row r="1015" spans="1:10" ht="16">
      <c r="A1015" s="100" t="s">
        <v>1263</v>
      </c>
      <c r="B1015" s="101" t="s">
        <v>1190</v>
      </c>
      <c r="C1015" s="102" t="s">
        <v>76</v>
      </c>
      <c r="D1015" s="103" t="s">
        <v>77</v>
      </c>
      <c r="E1015" s="104">
        <v>12060</v>
      </c>
      <c r="F1015" s="104">
        <v>799</v>
      </c>
      <c r="G1015" s="104">
        <v>1568</v>
      </c>
      <c r="H1015" s="105">
        <v>14.1</v>
      </c>
      <c r="I1015" s="104">
        <v>9104</v>
      </c>
      <c r="J1015" s="106">
        <v>16.5</v>
      </c>
    </row>
    <row r="1016" spans="1:10" ht="16">
      <c r="A1016" s="93" t="s">
        <v>901</v>
      </c>
      <c r="B1016" s="94" t="s">
        <v>893</v>
      </c>
      <c r="C1016" s="95" t="s">
        <v>76</v>
      </c>
      <c r="D1016" s="96" t="s">
        <v>92</v>
      </c>
      <c r="E1016" s="97">
        <v>47886</v>
      </c>
      <c r="F1016" s="97">
        <v>2705</v>
      </c>
      <c r="G1016" s="97">
        <v>5746</v>
      </c>
      <c r="H1016" s="98">
        <v>29.8</v>
      </c>
      <c r="I1016" s="97">
        <v>15713</v>
      </c>
      <c r="J1016" s="99">
        <v>25.2</v>
      </c>
    </row>
    <row r="1017" spans="1:10" ht="16">
      <c r="A1017" s="100" t="s">
        <v>1264</v>
      </c>
      <c r="B1017" s="101" t="s">
        <v>1190</v>
      </c>
      <c r="C1017" s="102" t="s">
        <v>76</v>
      </c>
      <c r="D1017" s="103" t="s">
        <v>84</v>
      </c>
      <c r="E1017" s="104">
        <v>23057</v>
      </c>
      <c r="F1017" s="104">
        <v>1671</v>
      </c>
      <c r="G1017" s="104">
        <v>7609</v>
      </c>
      <c r="H1017" s="105">
        <v>37.5</v>
      </c>
      <c r="I1017" s="104">
        <v>33329</v>
      </c>
      <c r="J1017" s="106">
        <v>35.200000000000003</v>
      </c>
    </row>
    <row r="1018" spans="1:10" ht="16">
      <c r="A1018" s="93" t="s">
        <v>973</v>
      </c>
      <c r="B1018" s="94" t="s">
        <v>974</v>
      </c>
      <c r="C1018" s="95" t="s">
        <v>76</v>
      </c>
      <c r="D1018" s="96" t="s">
        <v>84</v>
      </c>
      <c r="E1018" s="97">
        <v>40110</v>
      </c>
      <c r="F1018" s="97">
        <v>2729</v>
      </c>
      <c r="G1018" s="97">
        <v>2407</v>
      </c>
      <c r="H1018" s="98">
        <v>18.7</v>
      </c>
      <c r="I1018" s="97">
        <v>8412</v>
      </c>
      <c r="J1018" s="99">
        <v>21.1</v>
      </c>
    </row>
    <row r="1019" spans="1:10" ht="16">
      <c r="A1019" s="100" t="s">
        <v>1042</v>
      </c>
      <c r="B1019" s="101" t="s">
        <v>1020</v>
      </c>
      <c r="C1019" s="102" t="s">
        <v>76</v>
      </c>
      <c r="D1019" s="103" t="s">
        <v>77</v>
      </c>
      <c r="E1019" s="104">
        <v>8595</v>
      </c>
      <c r="F1019" s="104">
        <v>585</v>
      </c>
      <c r="G1019" s="104">
        <v>688</v>
      </c>
      <c r="H1019" s="105">
        <v>15.2</v>
      </c>
      <c r="I1019" s="104">
        <v>7461</v>
      </c>
      <c r="J1019" s="106">
        <v>23.6</v>
      </c>
    </row>
    <row r="1020" spans="1:10" ht="16">
      <c r="A1020" s="93" t="s">
        <v>393</v>
      </c>
      <c r="B1020" s="94" t="s">
        <v>377</v>
      </c>
      <c r="C1020" s="95" t="s">
        <v>76</v>
      </c>
      <c r="D1020" s="96" t="s">
        <v>80</v>
      </c>
      <c r="E1020" s="97">
        <v>58678</v>
      </c>
      <c r="F1020" s="97">
        <v>3056</v>
      </c>
      <c r="G1020" s="97">
        <v>9388</v>
      </c>
      <c r="H1020" s="98">
        <v>13.5</v>
      </c>
      <c r="I1020" s="97">
        <v>8312</v>
      </c>
      <c r="J1020" s="99">
        <v>21.8</v>
      </c>
    </row>
    <row r="1021" spans="1:10" ht="16">
      <c r="A1021" s="100" t="s">
        <v>776</v>
      </c>
      <c r="B1021" s="101" t="s">
        <v>777</v>
      </c>
      <c r="C1021" s="102" t="s">
        <v>76</v>
      </c>
      <c r="D1021" s="103" t="s">
        <v>63</v>
      </c>
      <c r="E1021" s="104">
        <v>4654</v>
      </c>
      <c r="F1021" s="104">
        <v>249</v>
      </c>
      <c r="G1021" s="104">
        <v>2280</v>
      </c>
      <c r="H1021" s="105">
        <v>36.5</v>
      </c>
      <c r="I1021" s="104">
        <v>27738</v>
      </c>
      <c r="J1021" s="106">
        <v>37.9</v>
      </c>
    </row>
    <row r="1022" spans="1:10" ht="16">
      <c r="A1022" s="93" t="s">
        <v>780</v>
      </c>
      <c r="B1022" s="94" t="s">
        <v>779</v>
      </c>
      <c r="C1022" s="95" t="s">
        <v>76</v>
      </c>
      <c r="D1022" s="96" t="s">
        <v>60</v>
      </c>
      <c r="E1022" s="97">
        <v>9340</v>
      </c>
      <c r="F1022" s="97">
        <v>649</v>
      </c>
      <c r="G1022" s="97">
        <v>3456</v>
      </c>
      <c r="H1022" s="98">
        <v>32.6</v>
      </c>
      <c r="I1022" s="97">
        <v>20233</v>
      </c>
      <c r="J1022" s="99">
        <v>32.299999999999997</v>
      </c>
    </row>
    <row r="1023" spans="1:10" ht="16">
      <c r="A1023" s="100" t="s">
        <v>1043</v>
      </c>
      <c r="B1023" s="101" t="s">
        <v>1020</v>
      </c>
      <c r="C1023" s="102" t="s">
        <v>76</v>
      </c>
      <c r="D1023" s="103" t="s">
        <v>84</v>
      </c>
      <c r="E1023" s="104">
        <v>35654</v>
      </c>
      <c r="F1023" s="104">
        <v>2764</v>
      </c>
      <c r="G1023" s="104">
        <v>3209</v>
      </c>
      <c r="H1023" s="105">
        <v>11.5</v>
      </c>
      <c r="I1023" s="104">
        <v>3813</v>
      </c>
      <c r="J1023" s="106">
        <v>20.100000000000001</v>
      </c>
    </row>
    <row r="1024" spans="1:10" ht="16">
      <c r="A1024" s="93" t="s">
        <v>794</v>
      </c>
      <c r="B1024" s="94" t="s">
        <v>782</v>
      </c>
      <c r="C1024" s="95" t="s">
        <v>76</v>
      </c>
      <c r="D1024" s="96" t="s">
        <v>63</v>
      </c>
      <c r="E1024" s="97">
        <v>15140</v>
      </c>
      <c r="F1024" s="97">
        <v>1893</v>
      </c>
      <c r="G1024" s="97">
        <v>3028</v>
      </c>
      <c r="H1024" s="98">
        <v>30.5</v>
      </c>
      <c r="I1024" s="97">
        <v>17285</v>
      </c>
      <c r="J1024" s="99">
        <v>41.6</v>
      </c>
    </row>
    <row r="1025" spans="1:10" ht="16">
      <c r="A1025" s="100" t="s">
        <v>795</v>
      </c>
      <c r="B1025" s="101" t="s">
        <v>796</v>
      </c>
      <c r="C1025" s="102" t="s">
        <v>76</v>
      </c>
      <c r="D1025" s="103" t="s">
        <v>80</v>
      </c>
      <c r="E1025" s="104">
        <v>11772</v>
      </c>
      <c r="F1025" s="104">
        <v>906</v>
      </c>
      <c r="G1025" s="104">
        <v>1059</v>
      </c>
      <c r="H1025" s="105">
        <v>13.7</v>
      </c>
      <c r="I1025" s="104">
        <v>6609</v>
      </c>
      <c r="J1025" s="106">
        <v>16.899999999999999</v>
      </c>
    </row>
    <row r="1026" spans="1:10" ht="16">
      <c r="A1026" s="93" t="s">
        <v>1265</v>
      </c>
      <c r="B1026" s="94" t="s">
        <v>1190</v>
      </c>
      <c r="C1026" s="95" t="s">
        <v>76</v>
      </c>
      <c r="D1026" s="96" t="s">
        <v>80</v>
      </c>
      <c r="E1026" s="97">
        <v>37038</v>
      </c>
      <c r="F1026" s="97">
        <v>2572</v>
      </c>
      <c r="G1026" s="97">
        <v>14815</v>
      </c>
      <c r="H1026" s="98">
        <v>63.8</v>
      </c>
      <c r="I1026" s="97">
        <v>54431</v>
      </c>
      <c r="J1026" s="99">
        <v>56.9</v>
      </c>
    </row>
    <row r="1027" spans="1:10" ht="16">
      <c r="A1027" s="100" t="s">
        <v>199</v>
      </c>
      <c r="B1027" s="101" t="s">
        <v>184</v>
      </c>
      <c r="C1027" s="102" t="s">
        <v>76</v>
      </c>
      <c r="D1027" s="103" t="s">
        <v>59</v>
      </c>
      <c r="E1027" s="104">
        <v>29311</v>
      </c>
      <c r="F1027" s="104">
        <v>997</v>
      </c>
      <c r="G1027" s="104">
        <v>4983</v>
      </c>
      <c r="H1027" s="105">
        <v>30.8</v>
      </c>
      <c r="I1027" s="104">
        <v>21561</v>
      </c>
      <c r="J1027" s="106">
        <v>28</v>
      </c>
    </row>
    <row r="1028" spans="1:10" ht="16">
      <c r="A1028" s="93" t="s">
        <v>438</v>
      </c>
      <c r="B1028" s="94" t="s">
        <v>402</v>
      </c>
      <c r="C1028" s="95" t="s">
        <v>76</v>
      </c>
      <c r="D1028" s="96" t="s">
        <v>82</v>
      </c>
      <c r="E1028" s="97">
        <v>10730</v>
      </c>
      <c r="F1028" s="97">
        <v>134</v>
      </c>
      <c r="G1028" s="97">
        <v>1931</v>
      </c>
      <c r="H1028" s="98">
        <v>50</v>
      </c>
      <c r="I1028" s="97">
        <v>39155</v>
      </c>
      <c r="J1028" s="99">
        <v>41.9</v>
      </c>
    </row>
    <row r="1029" spans="1:10" ht="16">
      <c r="A1029" s="100" t="s">
        <v>1136</v>
      </c>
      <c r="B1029" s="101" t="s">
        <v>1135</v>
      </c>
      <c r="C1029" s="102" t="s">
        <v>76</v>
      </c>
      <c r="D1029" s="103" t="s">
        <v>77</v>
      </c>
      <c r="E1029" s="104">
        <v>18361</v>
      </c>
      <c r="F1029" s="104">
        <v>1360</v>
      </c>
      <c r="G1029" s="104">
        <v>184</v>
      </c>
      <c r="H1029" s="105">
        <v>7.7</v>
      </c>
      <c r="I1029" s="104">
        <v>1904</v>
      </c>
      <c r="J1029" s="106">
        <v>19.399999999999999</v>
      </c>
    </row>
    <row r="1030" spans="1:10" ht="16">
      <c r="A1030" s="93" t="s">
        <v>439</v>
      </c>
      <c r="B1030" s="94" t="s">
        <v>402</v>
      </c>
      <c r="C1030" s="95" t="s">
        <v>76</v>
      </c>
      <c r="D1030" s="96" t="s">
        <v>82</v>
      </c>
      <c r="E1030" s="97">
        <v>25541</v>
      </c>
      <c r="F1030" s="97">
        <v>736</v>
      </c>
      <c r="G1030" s="97">
        <v>3065</v>
      </c>
      <c r="H1030" s="98">
        <v>29.1</v>
      </c>
      <c r="I1030" s="97">
        <v>21363</v>
      </c>
      <c r="J1030" s="99">
        <v>33.799999999999997</v>
      </c>
    </row>
    <row r="1031" spans="1:10" ht="16">
      <c r="A1031" s="100" t="s">
        <v>975</v>
      </c>
      <c r="B1031" s="101" t="s">
        <v>974</v>
      </c>
      <c r="C1031" s="102" t="s">
        <v>76</v>
      </c>
      <c r="D1031" s="103" t="s">
        <v>60</v>
      </c>
      <c r="E1031" s="104">
        <v>12124</v>
      </c>
      <c r="F1031" s="104">
        <v>891</v>
      </c>
      <c r="G1031" s="104">
        <v>606</v>
      </c>
      <c r="H1031" s="105">
        <v>15.8</v>
      </c>
      <c r="I1031" s="104">
        <v>4908</v>
      </c>
      <c r="J1031" s="106">
        <v>17</v>
      </c>
    </row>
    <row r="1032" spans="1:10" ht="16">
      <c r="A1032" s="93" t="s">
        <v>816</v>
      </c>
      <c r="B1032" s="94" t="s">
        <v>814</v>
      </c>
      <c r="C1032" s="95" t="s">
        <v>76</v>
      </c>
      <c r="D1032" s="96" t="s">
        <v>82</v>
      </c>
      <c r="E1032" s="97">
        <v>102000</v>
      </c>
      <c r="F1032" s="97">
        <v>1553</v>
      </c>
      <c r="G1032" s="97">
        <v>1020</v>
      </c>
      <c r="H1032" s="98">
        <v>8.5</v>
      </c>
      <c r="I1032" s="97">
        <v>1952</v>
      </c>
      <c r="J1032" s="99">
        <v>18</v>
      </c>
    </row>
    <row r="1033" spans="1:10" ht="16">
      <c r="A1033" s="100" t="s">
        <v>1409</v>
      </c>
      <c r="B1033" s="101" t="s">
        <v>1288</v>
      </c>
      <c r="C1033" s="102" t="s">
        <v>107</v>
      </c>
      <c r="D1033" s="103" t="s">
        <v>77</v>
      </c>
      <c r="E1033" s="104">
        <v>11667</v>
      </c>
      <c r="F1033" s="104">
        <v>645</v>
      </c>
      <c r="G1033" s="104">
        <v>933</v>
      </c>
      <c r="H1033" s="105">
        <v>17.399999999999999</v>
      </c>
      <c r="I1033" s="104">
        <v>10107</v>
      </c>
      <c r="J1033" s="106">
        <v>22.9</v>
      </c>
    </row>
    <row r="1034" spans="1:10" ht="16">
      <c r="A1034" s="93" t="s">
        <v>1410</v>
      </c>
      <c r="B1034" s="94" t="s">
        <v>1288</v>
      </c>
      <c r="C1034" s="95" t="s">
        <v>107</v>
      </c>
      <c r="D1034" s="96" t="s">
        <v>80</v>
      </c>
      <c r="E1034" s="97">
        <v>33108</v>
      </c>
      <c r="F1034" s="97">
        <v>1994</v>
      </c>
      <c r="G1034" s="97">
        <v>3642</v>
      </c>
      <c r="H1034" s="98">
        <v>59.1</v>
      </c>
      <c r="I1034" s="97">
        <v>53015</v>
      </c>
      <c r="J1034" s="99">
        <v>46.9</v>
      </c>
    </row>
    <row r="1035" spans="1:10" ht="16">
      <c r="A1035" s="100" t="s">
        <v>1411</v>
      </c>
      <c r="B1035" s="101" t="s">
        <v>1288</v>
      </c>
      <c r="C1035" s="102" t="s">
        <v>107</v>
      </c>
      <c r="D1035" s="103" t="s">
        <v>130</v>
      </c>
      <c r="E1035" s="104">
        <v>61204</v>
      </c>
      <c r="F1035" s="104">
        <v>4708</v>
      </c>
      <c r="G1035" s="104">
        <v>9181</v>
      </c>
      <c r="H1035" s="105">
        <v>31.1</v>
      </c>
      <c r="I1035" s="104">
        <v>27105</v>
      </c>
      <c r="J1035" s="106">
        <v>38.5</v>
      </c>
    </row>
    <row r="1036" spans="1:10" ht="16">
      <c r="A1036" s="93" t="s">
        <v>570</v>
      </c>
      <c r="B1036" s="94" t="s">
        <v>537</v>
      </c>
      <c r="C1036" s="95" t="s">
        <v>76</v>
      </c>
      <c r="D1036" s="96" t="s">
        <v>84</v>
      </c>
      <c r="E1036" s="97">
        <v>12942</v>
      </c>
      <c r="F1036" s="97">
        <v>384</v>
      </c>
      <c r="G1036" s="97">
        <v>259</v>
      </c>
      <c r="H1036" s="98">
        <v>11.6</v>
      </c>
      <c r="I1036" s="97">
        <v>3841</v>
      </c>
      <c r="J1036" s="99">
        <v>28.2</v>
      </c>
    </row>
    <row r="1037" spans="1:10" ht="16">
      <c r="A1037" s="100" t="s">
        <v>112</v>
      </c>
      <c r="B1037" s="101" t="s">
        <v>89</v>
      </c>
      <c r="C1037" s="102" t="s">
        <v>76</v>
      </c>
      <c r="D1037" s="103" t="s">
        <v>77</v>
      </c>
      <c r="E1037" s="104">
        <v>47385</v>
      </c>
      <c r="F1037" s="104">
        <v>1802</v>
      </c>
      <c r="G1037" s="104">
        <v>21797</v>
      </c>
      <c r="H1037" s="105">
        <v>74.099999999999994</v>
      </c>
      <c r="I1037" s="104">
        <v>66560</v>
      </c>
      <c r="J1037" s="106">
        <v>65.900000000000006</v>
      </c>
    </row>
    <row r="1038" spans="1:10" ht="16">
      <c r="A1038" s="93" t="s">
        <v>1412</v>
      </c>
      <c r="B1038" s="94" t="s">
        <v>1288</v>
      </c>
      <c r="C1038" s="95" t="s">
        <v>76</v>
      </c>
      <c r="D1038" s="96" t="s">
        <v>84</v>
      </c>
      <c r="E1038" s="97">
        <v>15971</v>
      </c>
      <c r="F1038" s="97">
        <v>2535</v>
      </c>
      <c r="G1038" s="97">
        <v>2555</v>
      </c>
      <c r="H1038" s="98">
        <v>25.2</v>
      </c>
      <c r="I1038" s="97">
        <v>20995</v>
      </c>
      <c r="J1038" s="99">
        <v>44</v>
      </c>
    </row>
    <row r="1039" spans="1:10" ht="16">
      <c r="A1039" s="100" t="s">
        <v>1413</v>
      </c>
      <c r="B1039" s="101" t="s">
        <v>1288</v>
      </c>
      <c r="C1039" s="102" t="s">
        <v>107</v>
      </c>
      <c r="D1039" s="103" t="s">
        <v>59</v>
      </c>
      <c r="E1039" s="104">
        <v>42982</v>
      </c>
      <c r="F1039" s="104">
        <v>5179</v>
      </c>
      <c r="G1039" s="104">
        <v>7307</v>
      </c>
      <c r="H1039" s="105">
        <v>86.1</v>
      </c>
      <c r="I1039" s="104">
        <v>81794</v>
      </c>
      <c r="J1039" s="106">
        <v>79.400000000000006</v>
      </c>
    </row>
    <row r="1040" spans="1:10" ht="16">
      <c r="A1040" s="93" t="s">
        <v>617</v>
      </c>
      <c r="B1040" s="94" t="s">
        <v>598</v>
      </c>
      <c r="C1040" s="95" t="s">
        <v>76</v>
      </c>
      <c r="D1040" s="96" t="s">
        <v>84</v>
      </c>
      <c r="E1040" s="97">
        <v>45451</v>
      </c>
      <c r="F1040" s="97">
        <v>2124</v>
      </c>
      <c r="G1040" s="97">
        <v>2727</v>
      </c>
      <c r="H1040" s="98">
        <v>28.9</v>
      </c>
      <c r="I1040" s="97">
        <v>20918</v>
      </c>
      <c r="J1040" s="99">
        <v>35.9</v>
      </c>
    </row>
    <row r="1041" spans="1:10" ht="16">
      <c r="A1041" s="100" t="s">
        <v>618</v>
      </c>
      <c r="B1041" s="101" t="s">
        <v>598</v>
      </c>
      <c r="C1041" s="102" t="s">
        <v>76</v>
      </c>
      <c r="D1041" s="103" t="s">
        <v>63</v>
      </c>
      <c r="E1041" s="104">
        <v>26509</v>
      </c>
      <c r="F1041" s="104">
        <v>917</v>
      </c>
      <c r="G1041" s="104">
        <v>1591</v>
      </c>
      <c r="H1041" s="105">
        <v>20.2</v>
      </c>
      <c r="I1041" s="104">
        <v>16355</v>
      </c>
      <c r="J1041" s="106">
        <v>23.7</v>
      </c>
    </row>
    <row r="1042" spans="1:10" ht="16">
      <c r="A1042" s="93" t="s">
        <v>902</v>
      </c>
      <c r="B1042" s="94" t="s">
        <v>893</v>
      </c>
      <c r="C1042" s="95" t="s">
        <v>76</v>
      </c>
      <c r="D1042" s="96" t="s">
        <v>59</v>
      </c>
      <c r="E1042" s="97">
        <v>18066</v>
      </c>
      <c r="F1042" s="97">
        <v>1009</v>
      </c>
      <c r="G1042" s="97">
        <v>1807</v>
      </c>
      <c r="H1042" s="98">
        <v>19.399999999999999</v>
      </c>
      <c r="I1042" s="97">
        <v>6716</v>
      </c>
      <c r="J1042" s="99">
        <v>22.5</v>
      </c>
    </row>
    <row r="1043" spans="1:10" ht="16">
      <c r="A1043" s="100" t="s">
        <v>1414</v>
      </c>
      <c r="B1043" s="101" t="s">
        <v>1288</v>
      </c>
      <c r="C1043" s="102" t="s">
        <v>76</v>
      </c>
      <c r="D1043" s="103" t="s">
        <v>130</v>
      </c>
      <c r="E1043" s="104">
        <v>61120</v>
      </c>
      <c r="F1043" s="104">
        <v>4929</v>
      </c>
      <c r="G1043" s="104">
        <v>6723</v>
      </c>
      <c r="H1043" s="105">
        <v>59.3</v>
      </c>
      <c r="I1043" s="104">
        <v>49076</v>
      </c>
      <c r="J1043" s="106">
        <v>55.2</v>
      </c>
    </row>
    <row r="1044" spans="1:10" ht="16">
      <c r="A1044" s="93" t="s">
        <v>1415</v>
      </c>
      <c r="B1044" s="94" t="s">
        <v>1288</v>
      </c>
      <c r="C1044" s="95" t="s">
        <v>76</v>
      </c>
      <c r="D1044" s="96" t="s">
        <v>61</v>
      </c>
      <c r="E1044" s="97">
        <v>28513</v>
      </c>
      <c r="F1044" s="97">
        <v>2144</v>
      </c>
      <c r="G1044" s="97">
        <v>1711</v>
      </c>
      <c r="H1044" s="98">
        <v>24.2</v>
      </c>
      <c r="I1044" s="97">
        <v>15951</v>
      </c>
      <c r="J1044" s="99">
        <v>34.9</v>
      </c>
    </row>
    <row r="1045" spans="1:10" ht="16">
      <c r="A1045" s="100" t="s">
        <v>1416</v>
      </c>
      <c r="B1045" s="101" t="s">
        <v>1288</v>
      </c>
      <c r="C1045" s="102" t="s">
        <v>76</v>
      </c>
      <c r="D1045" s="103" t="s">
        <v>82</v>
      </c>
      <c r="E1045" s="104">
        <v>7019</v>
      </c>
      <c r="F1045" s="104">
        <v>439</v>
      </c>
      <c r="G1045" s="104">
        <v>421</v>
      </c>
      <c r="H1045" s="105">
        <v>24.7</v>
      </c>
      <c r="I1045" s="104">
        <v>17410</v>
      </c>
      <c r="J1045" s="106">
        <v>30</v>
      </c>
    </row>
    <row r="1046" spans="1:10" ht="16">
      <c r="A1046" s="93" t="s">
        <v>739</v>
      </c>
      <c r="B1046" s="94" t="s">
        <v>642</v>
      </c>
      <c r="C1046" s="95" t="s">
        <v>107</v>
      </c>
      <c r="D1046" s="96" t="s">
        <v>80</v>
      </c>
      <c r="E1046" s="97">
        <v>5488</v>
      </c>
      <c r="F1046" s="97">
        <v>695</v>
      </c>
      <c r="G1046" s="97">
        <v>165</v>
      </c>
      <c r="H1046" s="98">
        <v>9.9</v>
      </c>
      <c r="I1046" s="97">
        <v>2106</v>
      </c>
      <c r="J1046" s="99">
        <v>20.5</v>
      </c>
    </row>
    <row r="1047" spans="1:10" ht="16">
      <c r="A1047" s="100" t="s">
        <v>619</v>
      </c>
      <c r="B1047" s="101" t="s">
        <v>598</v>
      </c>
      <c r="C1047" s="102" t="s">
        <v>76</v>
      </c>
      <c r="D1047" s="103" t="s">
        <v>62</v>
      </c>
      <c r="E1047" s="104">
        <v>17432</v>
      </c>
      <c r="F1047" s="104">
        <v>703</v>
      </c>
      <c r="G1047" s="104">
        <v>1046</v>
      </c>
      <c r="H1047" s="105">
        <v>19.7</v>
      </c>
      <c r="I1047" s="104">
        <v>13692</v>
      </c>
      <c r="J1047" s="106">
        <v>32.1</v>
      </c>
    </row>
    <row r="1048" spans="1:10" ht="16">
      <c r="A1048" s="93" t="s">
        <v>1137</v>
      </c>
      <c r="B1048" s="94" t="s">
        <v>1135</v>
      </c>
      <c r="C1048" s="95" t="s">
        <v>76</v>
      </c>
      <c r="D1048" s="96" t="s">
        <v>80</v>
      </c>
      <c r="E1048" s="97">
        <v>19973</v>
      </c>
      <c r="F1048" s="97">
        <v>2059</v>
      </c>
      <c r="G1048" s="97">
        <v>200</v>
      </c>
      <c r="H1048" s="98">
        <v>8.9</v>
      </c>
      <c r="I1048" s="97">
        <v>1121</v>
      </c>
      <c r="J1048" s="99">
        <v>20.5</v>
      </c>
    </row>
    <row r="1049" spans="1:10" ht="16">
      <c r="A1049" s="100" t="s">
        <v>811</v>
      </c>
      <c r="B1049" s="101" t="s">
        <v>812</v>
      </c>
      <c r="C1049" s="102" t="s">
        <v>76</v>
      </c>
      <c r="D1049" s="103" t="s">
        <v>130</v>
      </c>
      <c r="E1049" s="104">
        <v>19171</v>
      </c>
      <c r="F1049" s="104">
        <v>702</v>
      </c>
      <c r="G1049" s="104">
        <v>383</v>
      </c>
      <c r="H1049" s="105">
        <v>9.6999999999999993</v>
      </c>
      <c r="I1049" s="104">
        <v>1476</v>
      </c>
      <c r="J1049" s="106">
        <v>12.6</v>
      </c>
    </row>
    <row r="1050" spans="1:10" ht="16">
      <c r="A1050" s="93" t="s">
        <v>200</v>
      </c>
      <c r="B1050" s="94" t="s">
        <v>184</v>
      </c>
      <c r="C1050" s="95" t="s">
        <v>107</v>
      </c>
      <c r="D1050" s="96" t="s">
        <v>92</v>
      </c>
      <c r="E1050" s="97">
        <v>36794</v>
      </c>
      <c r="F1050" s="97">
        <v>1821</v>
      </c>
      <c r="G1050" s="97">
        <v>8095</v>
      </c>
      <c r="H1050" s="98">
        <v>49.7</v>
      </c>
      <c r="I1050" s="97">
        <v>43003</v>
      </c>
      <c r="J1050" s="99">
        <v>48.2</v>
      </c>
    </row>
    <row r="1051" spans="1:10" ht="16">
      <c r="A1051" s="100" t="s">
        <v>526</v>
      </c>
      <c r="B1051" s="101" t="s">
        <v>474</v>
      </c>
      <c r="C1051" s="102" t="s">
        <v>107</v>
      </c>
      <c r="D1051" s="103" t="s">
        <v>63</v>
      </c>
      <c r="E1051" s="104">
        <v>7874</v>
      </c>
      <c r="F1051" s="104">
        <v>435</v>
      </c>
      <c r="G1051" s="104">
        <v>176</v>
      </c>
      <c r="H1051" s="105">
        <v>10.199999999999999</v>
      </c>
      <c r="I1051" s="104">
        <v>1770</v>
      </c>
      <c r="J1051" s="106">
        <v>31.1</v>
      </c>
    </row>
    <row r="1052" spans="1:10" ht="16">
      <c r="A1052" s="93" t="s">
        <v>1044</v>
      </c>
      <c r="B1052" s="94" t="s">
        <v>1020</v>
      </c>
      <c r="C1052" s="95" t="s">
        <v>76</v>
      </c>
      <c r="D1052" s="96" t="s">
        <v>60</v>
      </c>
      <c r="E1052" s="97">
        <v>27662</v>
      </c>
      <c r="F1052" s="97">
        <v>1697</v>
      </c>
      <c r="G1052" s="97">
        <v>1936</v>
      </c>
      <c r="H1052" s="98">
        <v>13.8</v>
      </c>
      <c r="I1052" s="97">
        <v>4511</v>
      </c>
      <c r="J1052" s="99">
        <v>22.3</v>
      </c>
    </row>
    <row r="1053" spans="1:10" ht="16">
      <c r="A1053" s="100" t="s">
        <v>527</v>
      </c>
      <c r="B1053" s="101" t="s">
        <v>474</v>
      </c>
      <c r="C1053" s="102" t="s">
        <v>107</v>
      </c>
      <c r="D1053" s="103" t="s">
        <v>63</v>
      </c>
      <c r="E1053" s="104">
        <v>7810</v>
      </c>
      <c r="F1053" s="104">
        <v>367</v>
      </c>
      <c r="G1053" s="104">
        <v>781</v>
      </c>
      <c r="H1053" s="105">
        <v>8.1999999999999993</v>
      </c>
      <c r="I1053" s="104">
        <v>694</v>
      </c>
      <c r="J1053" s="106">
        <v>31.3</v>
      </c>
    </row>
    <row r="1054" spans="1:10" ht="16">
      <c r="A1054" s="93" t="s">
        <v>761</v>
      </c>
      <c r="B1054" s="94" t="s">
        <v>762</v>
      </c>
      <c r="C1054" s="95" t="s">
        <v>107</v>
      </c>
      <c r="D1054" s="96" t="s">
        <v>60</v>
      </c>
      <c r="E1054" s="97">
        <v>69456</v>
      </c>
      <c r="F1054" s="97">
        <v>1767</v>
      </c>
      <c r="G1054" s="97">
        <v>695</v>
      </c>
      <c r="H1054" s="98">
        <v>10.199999999999999</v>
      </c>
      <c r="I1054" s="97">
        <v>4933</v>
      </c>
      <c r="J1054" s="99">
        <v>14.6</v>
      </c>
    </row>
    <row r="1055" spans="1:10" ht="16">
      <c r="A1055" s="100" t="s">
        <v>394</v>
      </c>
      <c r="B1055" s="101" t="s">
        <v>377</v>
      </c>
      <c r="C1055" s="102" t="s">
        <v>76</v>
      </c>
      <c r="D1055" s="103" t="s">
        <v>92</v>
      </c>
      <c r="E1055" s="104">
        <v>37078</v>
      </c>
      <c r="F1055" s="104">
        <v>1501</v>
      </c>
      <c r="G1055" s="104">
        <v>4079</v>
      </c>
      <c r="H1055" s="105">
        <v>21</v>
      </c>
      <c r="I1055" s="104">
        <v>12076</v>
      </c>
      <c r="J1055" s="106">
        <v>19.8</v>
      </c>
    </row>
    <row r="1056" spans="1:10" ht="16">
      <c r="A1056" s="93" t="s">
        <v>620</v>
      </c>
      <c r="B1056" s="94" t="s">
        <v>598</v>
      </c>
      <c r="C1056" s="95" t="s">
        <v>76</v>
      </c>
      <c r="D1056" s="96" t="s">
        <v>92</v>
      </c>
      <c r="E1056" s="97">
        <v>49604</v>
      </c>
      <c r="F1056" s="97">
        <v>2531</v>
      </c>
      <c r="G1056" s="97">
        <v>992</v>
      </c>
      <c r="H1056" s="98">
        <v>23.4</v>
      </c>
      <c r="I1056" s="97">
        <v>16861</v>
      </c>
      <c r="J1056" s="99">
        <v>35.4</v>
      </c>
    </row>
    <row r="1057" spans="1:10" ht="16">
      <c r="A1057" s="100" t="s">
        <v>1045</v>
      </c>
      <c r="B1057" s="101" t="s">
        <v>1020</v>
      </c>
      <c r="C1057" s="102" t="s">
        <v>76</v>
      </c>
      <c r="D1057" s="103" t="s">
        <v>61</v>
      </c>
      <c r="E1057" s="104">
        <v>10833</v>
      </c>
      <c r="F1057" s="104">
        <v>833</v>
      </c>
      <c r="G1057" s="104">
        <v>2383</v>
      </c>
      <c r="H1057" s="105">
        <v>27.9</v>
      </c>
      <c r="I1057" s="104">
        <v>22446</v>
      </c>
      <c r="J1057" s="106">
        <v>30.4</v>
      </c>
    </row>
    <row r="1058" spans="1:10" ht="16">
      <c r="A1058" s="93" t="s">
        <v>1417</v>
      </c>
      <c r="B1058" s="94" t="s">
        <v>1288</v>
      </c>
      <c r="C1058" s="95" t="s">
        <v>76</v>
      </c>
      <c r="D1058" s="96" t="s">
        <v>62</v>
      </c>
      <c r="E1058" s="97">
        <v>3041</v>
      </c>
      <c r="F1058" s="97">
        <v>1322</v>
      </c>
      <c r="G1058" s="97">
        <v>213</v>
      </c>
      <c r="H1058" s="98">
        <v>12.1</v>
      </c>
      <c r="I1058" s="97">
        <v>6985</v>
      </c>
      <c r="J1058" s="99">
        <v>35.799999999999997</v>
      </c>
    </row>
    <row r="1059" spans="1:10" ht="16">
      <c r="A1059" s="100" t="s">
        <v>1418</v>
      </c>
      <c r="B1059" s="101" t="s">
        <v>1288</v>
      </c>
      <c r="C1059" s="102" t="s">
        <v>107</v>
      </c>
      <c r="D1059" s="103" t="s">
        <v>61</v>
      </c>
      <c r="E1059" s="104">
        <v>24610</v>
      </c>
      <c r="F1059" s="104">
        <v>1431</v>
      </c>
      <c r="G1059" s="104">
        <v>2707</v>
      </c>
      <c r="H1059" s="105">
        <v>28</v>
      </c>
      <c r="I1059" s="104">
        <v>17701</v>
      </c>
      <c r="J1059" s="106">
        <v>30.1</v>
      </c>
    </row>
    <row r="1060" spans="1:10" ht="16">
      <c r="A1060" s="93" t="s">
        <v>1419</v>
      </c>
      <c r="B1060" s="94" t="s">
        <v>1288</v>
      </c>
      <c r="C1060" s="95" t="s">
        <v>76</v>
      </c>
      <c r="D1060" s="96" t="s">
        <v>80</v>
      </c>
      <c r="E1060" s="97">
        <v>24982</v>
      </c>
      <c r="F1060" s="97">
        <v>1101</v>
      </c>
      <c r="G1060" s="97">
        <v>1249</v>
      </c>
      <c r="H1060" s="98">
        <v>22.6</v>
      </c>
      <c r="I1060" s="97">
        <v>9369</v>
      </c>
      <c r="J1060" s="99">
        <v>28.7</v>
      </c>
    </row>
    <row r="1061" spans="1:10" ht="16">
      <c r="A1061" s="100" t="s">
        <v>1420</v>
      </c>
      <c r="B1061" s="101" t="s">
        <v>1288</v>
      </c>
      <c r="C1061" s="102" t="s">
        <v>76</v>
      </c>
      <c r="D1061" s="103" t="s">
        <v>92</v>
      </c>
      <c r="E1061" s="104">
        <v>19382</v>
      </c>
      <c r="F1061" s="104">
        <v>1133</v>
      </c>
      <c r="G1061" s="104">
        <v>969</v>
      </c>
      <c r="H1061" s="105">
        <v>31.8</v>
      </c>
      <c r="I1061" s="104">
        <v>26631</v>
      </c>
      <c r="J1061" s="106">
        <v>29.2</v>
      </c>
    </row>
    <row r="1062" spans="1:10" ht="16">
      <c r="A1062" s="93" t="s">
        <v>113</v>
      </c>
      <c r="B1062" s="94" t="s">
        <v>89</v>
      </c>
      <c r="C1062" s="95" t="s">
        <v>76</v>
      </c>
      <c r="D1062" s="96" t="s">
        <v>77</v>
      </c>
      <c r="E1062" s="97">
        <v>22100</v>
      </c>
      <c r="F1062" s="97">
        <v>1068</v>
      </c>
      <c r="G1062" s="97">
        <v>3978</v>
      </c>
      <c r="H1062" s="98">
        <v>28.3</v>
      </c>
      <c r="I1062" s="97">
        <v>21702</v>
      </c>
      <c r="J1062" s="99">
        <v>24.5</v>
      </c>
    </row>
    <row r="1063" spans="1:10" ht="16">
      <c r="A1063" s="100" t="s">
        <v>846</v>
      </c>
      <c r="B1063" s="101" t="s">
        <v>843</v>
      </c>
      <c r="C1063" s="102" t="s">
        <v>76</v>
      </c>
      <c r="D1063" s="103" t="s">
        <v>92</v>
      </c>
      <c r="E1063" s="104">
        <v>34227</v>
      </c>
      <c r="F1063" s="104">
        <v>2593</v>
      </c>
      <c r="G1063" s="104">
        <v>342</v>
      </c>
      <c r="H1063" s="105">
        <v>8.6</v>
      </c>
      <c r="I1063" s="104">
        <v>1601</v>
      </c>
      <c r="J1063" s="106">
        <v>23</v>
      </c>
    </row>
    <row r="1064" spans="1:10" ht="16">
      <c r="A1064" s="93" t="s">
        <v>1421</v>
      </c>
      <c r="B1064" s="94" t="s">
        <v>1288</v>
      </c>
      <c r="C1064" s="95" t="s">
        <v>76</v>
      </c>
      <c r="D1064" s="96" t="s">
        <v>61</v>
      </c>
      <c r="E1064" s="97">
        <v>35419</v>
      </c>
      <c r="F1064" s="97">
        <v>3768</v>
      </c>
      <c r="G1064" s="97">
        <v>2834</v>
      </c>
      <c r="H1064" s="98">
        <v>63.2</v>
      </c>
      <c r="I1064" s="97">
        <v>61280</v>
      </c>
      <c r="J1064" s="99">
        <v>59.7</v>
      </c>
    </row>
    <row r="1065" spans="1:10" ht="16">
      <c r="A1065" s="100" t="s">
        <v>1422</v>
      </c>
      <c r="B1065" s="101" t="s">
        <v>1288</v>
      </c>
      <c r="C1065" s="102" t="s">
        <v>76</v>
      </c>
      <c r="D1065" s="103" t="s">
        <v>61</v>
      </c>
      <c r="E1065" s="104">
        <v>18999</v>
      </c>
      <c r="F1065" s="104">
        <v>856</v>
      </c>
      <c r="G1065" s="104">
        <v>760</v>
      </c>
      <c r="H1065" s="105">
        <v>19.3</v>
      </c>
      <c r="I1065" s="104">
        <v>9669</v>
      </c>
      <c r="J1065" s="106">
        <v>20.9</v>
      </c>
    </row>
    <row r="1066" spans="1:10" ht="16">
      <c r="A1066" s="93" t="s">
        <v>1423</v>
      </c>
      <c r="B1066" s="94" t="s">
        <v>1288</v>
      </c>
      <c r="C1066" s="95" t="s">
        <v>76</v>
      </c>
      <c r="D1066" s="96" t="s">
        <v>59</v>
      </c>
      <c r="E1066" s="97">
        <v>14791</v>
      </c>
      <c r="F1066" s="97">
        <v>755</v>
      </c>
      <c r="G1066" s="97">
        <v>296</v>
      </c>
      <c r="H1066" s="98">
        <v>7.7</v>
      </c>
      <c r="I1066" s="97">
        <v>1805</v>
      </c>
      <c r="J1066" s="99">
        <v>15.9</v>
      </c>
    </row>
    <row r="1067" spans="1:10" ht="16">
      <c r="A1067" s="100" t="s">
        <v>1424</v>
      </c>
      <c r="B1067" s="101" t="s">
        <v>1288</v>
      </c>
      <c r="C1067" s="102" t="s">
        <v>76</v>
      </c>
      <c r="D1067" s="103" t="s">
        <v>61</v>
      </c>
      <c r="E1067" s="104">
        <v>12132</v>
      </c>
      <c r="F1067" s="104">
        <v>685</v>
      </c>
      <c r="G1067" s="104">
        <v>243</v>
      </c>
      <c r="H1067" s="105">
        <v>10.5</v>
      </c>
      <c r="I1067" s="104">
        <v>2720</v>
      </c>
      <c r="J1067" s="106">
        <v>24.8</v>
      </c>
    </row>
    <row r="1068" spans="1:10" ht="16">
      <c r="A1068" s="93" t="s">
        <v>201</v>
      </c>
      <c r="B1068" s="94" t="s">
        <v>184</v>
      </c>
      <c r="C1068" s="95" t="s">
        <v>76</v>
      </c>
      <c r="D1068" s="96" t="s">
        <v>82</v>
      </c>
      <c r="E1068" s="97">
        <v>2733</v>
      </c>
      <c r="F1068" s="97">
        <v>195</v>
      </c>
      <c r="G1068" s="97">
        <v>219</v>
      </c>
      <c r="H1068" s="98">
        <v>18.5</v>
      </c>
      <c r="I1068" s="97">
        <v>7803</v>
      </c>
      <c r="J1068" s="99">
        <v>19.3</v>
      </c>
    </row>
    <row r="1069" spans="1:10" ht="16">
      <c r="A1069" s="100" t="s">
        <v>1425</v>
      </c>
      <c r="B1069" s="101" t="s">
        <v>1288</v>
      </c>
      <c r="C1069" s="102" t="s">
        <v>107</v>
      </c>
      <c r="D1069" s="103" t="s">
        <v>60</v>
      </c>
      <c r="E1069" s="104">
        <v>12104</v>
      </c>
      <c r="F1069" s="104">
        <v>884</v>
      </c>
      <c r="G1069" s="104">
        <v>1452</v>
      </c>
      <c r="H1069" s="105">
        <v>46.2</v>
      </c>
      <c r="I1069" s="104">
        <v>33999</v>
      </c>
      <c r="J1069" s="106">
        <v>52.9</v>
      </c>
    </row>
    <row r="1070" spans="1:10" ht="16">
      <c r="A1070" s="93" t="s">
        <v>1266</v>
      </c>
      <c r="B1070" s="94" t="s">
        <v>1190</v>
      </c>
      <c r="C1070" s="95" t="s">
        <v>76</v>
      </c>
      <c r="D1070" s="96" t="s">
        <v>84</v>
      </c>
      <c r="E1070" s="97">
        <v>29699</v>
      </c>
      <c r="F1070" s="97">
        <v>2034</v>
      </c>
      <c r="G1070" s="97">
        <v>8613</v>
      </c>
      <c r="H1070" s="98">
        <v>42.6</v>
      </c>
      <c r="I1070" s="97">
        <v>34252</v>
      </c>
      <c r="J1070" s="99">
        <v>42.7</v>
      </c>
    </row>
    <row r="1071" spans="1:10" ht="16">
      <c r="A1071" s="100" t="s">
        <v>740</v>
      </c>
      <c r="B1071" s="101" t="s">
        <v>642</v>
      </c>
      <c r="C1071" s="102" t="s">
        <v>76</v>
      </c>
      <c r="D1071" s="103" t="s">
        <v>80</v>
      </c>
      <c r="E1071" s="104">
        <v>1142</v>
      </c>
      <c r="F1071" s="104">
        <v>439</v>
      </c>
      <c r="G1071" s="104">
        <v>11</v>
      </c>
      <c r="H1071" s="105">
        <v>9.6</v>
      </c>
      <c r="I1071" s="104">
        <v>9659</v>
      </c>
      <c r="J1071" s="106">
        <v>26.9</v>
      </c>
    </row>
    <row r="1072" spans="1:10" ht="16">
      <c r="A1072" s="93" t="s">
        <v>1426</v>
      </c>
      <c r="B1072" s="94" t="s">
        <v>1288</v>
      </c>
      <c r="C1072" s="95" t="s">
        <v>76</v>
      </c>
      <c r="D1072" s="96" t="s">
        <v>84</v>
      </c>
      <c r="E1072" s="97">
        <v>22143</v>
      </c>
      <c r="F1072" s="97">
        <v>2050</v>
      </c>
      <c r="G1072" s="97">
        <v>2657</v>
      </c>
      <c r="H1072" s="98">
        <v>29.3</v>
      </c>
      <c r="I1072" s="97">
        <v>24586</v>
      </c>
      <c r="J1072" s="99">
        <v>34</v>
      </c>
    </row>
    <row r="1073" spans="1:10" ht="16">
      <c r="A1073" s="100" t="s">
        <v>854</v>
      </c>
      <c r="B1073" s="101" t="s">
        <v>850</v>
      </c>
      <c r="C1073" s="102" t="s">
        <v>76</v>
      </c>
      <c r="D1073" s="103" t="s">
        <v>62</v>
      </c>
      <c r="E1073" s="104">
        <v>20783</v>
      </c>
      <c r="F1073" s="104">
        <v>1649</v>
      </c>
      <c r="G1073" s="104">
        <v>3533</v>
      </c>
      <c r="H1073" s="105">
        <v>43.8</v>
      </c>
      <c r="I1073" s="104">
        <v>39480</v>
      </c>
      <c r="J1073" s="106">
        <v>39.6</v>
      </c>
    </row>
    <row r="1074" spans="1:10" ht="16">
      <c r="A1074" s="93" t="s">
        <v>331</v>
      </c>
      <c r="B1074" s="94" t="s">
        <v>322</v>
      </c>
      <c r="C1074" s="95" t="s">
        <v>76</v>
      </c>
      <c r="D1074" s="96" t="s">
        <v>59</v>
      </c>
      <c r="E1074" s="97">
        <v>8872</v>
      </c>
      <c r="F1074" s="97">
        <v>485</v>
      </c>
      <c r="G1074" s="97">
        <v>798</v>
      </c>
      <c r="H1074" s="98">
        <v>13.5</v>
      </c>
      <c r="I1074" s="97">
        <v>3953</v>
      </c>
      <c r="J1074" s="99">
        <v>16.7</v>
      </c>
    </row>
    <row r="1075" spans="1:10" ht="16">
      <c r="A1075" s="100" t="s">
        <v>839</v>
      </c>
      <c r="B1075" s="101" t="s">
        <v>834</v>
      </c>
      <c r="C1075" s="102" t="s">
        <v>76</v>
      </c>
      <c r="D1075" s="103" t="s">
        <v>84</v>
      </c>
      <c r="E1075" s="104">
        <v>18196</v>
      </c>
      <c r="F1075" s="104">
        <v>910</v>
      </c>
      <c r="G1075" s="104">
        <v>3821</v>
      </c>
      <c r="H1075" s="105">
        <v>32.1</v>
      </c>
      <c r="I1075" s="104">
        <v>27196</v>
      </c>
      <c r="J1075" s="106">
        <v>30.2</v>
      </c>
    </row>
    <row r="1076" spans="1:10" ht="16">
      <c r="A1076" s="93" t="s">
        <v>202</v>
      </c>
      <c r="B1076" s="94" t="s">
        <v>184</v>
      </c>
      <c r="C1076" s="95" t="s">
        <v>76</v>
      </c>
      <c r="D1076" s="96" t="s">
        <v>61</v>
      </c>
      <c r="E1076" s="97">
        <v>35365</v>
      </c>
      <c r="F1076" s="97">
        <v>1432</v>
      </c>
      <c r="G1076" s="97">
        <v>6719</v>
      </c>
      <c r="H1076" s="98">
        <v>42</v>
      </c>
      <c r="I1076" s="97">
        <v>36279</v>
      </c>
      <c r="J1076" s="99">
        <v>41.3</v>
      </c>
    </row>
    <row r="1077" spans="1:10" ht="16">
      <c r="A1077" s="100" t="s">
        <v>374</v>
      </c>
      <c r="B1077" s="101" t="s">
        <v>369</v>
      </c>
      <c r="C1077" s="102" t="s">
        <v>76</v>
      </c>
      <c r="D1077" s="103" t="s">
        <v>59</v>
      </c>
      <c r="E1077" s="104">
        <v>10086</v>
      </c>
      <c r="F1077" s="104">
        <v>336</v>
      </c>
      <c r="G1077" s="104">
        <v>605</v>
      </c>
      <c r="H1077" s="105">
        <v>34.4</v>
      </c>
      <c r="I1077" s="104">
        <v>26334</v>
      </c>
      <c r="J1077" s="106">
        <v>30.3</v>
      </c>
    </row>
    <row r="1078" spans="1:10" ht="16">
      <c r="A1078" s="93" t="s">
        <v>1046</v>
      </c>
      <c r="B1078" s="94" t="s">
        <v>1020</v>
      </c>
      <c r="C1078" s="95" t="s">
        <v>76</v>
      </c>
      <c r="D1078" s="96" t="s">
        <v>59</v>
      </c>
      <c r="E1078" s="97">
        <v>21663</v>
      </c>
      <c r="F1078" s="97">
        <v>1706</v>
      </c>
      <c r="G1078" s="97">
        <v>650</v>
      </c>
      <c r="H1078" s="98">
        <v>15.2</v>
      </c>
      <c r="I1078" s="97">
        <v>8369</v>
      </c>
      <c r="J1078" s="99">
        <v>16.8</v>
      </c>
    </row>
    <row r="1079" spans="1:10" ht="16">
      <c r="A1079" s="100" t="s">
        <v>1267</v>
      </c>
      <c r="B1079" s="101" t="s">
        <v>1190</v>
      </c>
      <c r="C1079" s="102" t="s">
        <v>107</v>
      </c>
      <c r="D1079" s="103" t="s">
        <v>59</v>
      </c>
      <c r="E1079" s="104">
        <v>20664</v>
      </c>
      <c r="F1079" s="104">
        <v>1845</v>
      </c>
      <c r="G1079" s="104">
        <v>8472</v>
      </c>
      <c r="H1079" s="105">
        <v>99.6</v>
      </c>
      <c r="I1079" s="104">
        <v>98092</v>
      </c>
      <c r="J1079" s="106">
        <v>90.5</v>
      </c>
    </row>
    <row r="1080" spans="1:10" ht="16">
      <c r="A1080" s="93" t="s">
        <v>621</v>
      </c>
      <c r="B1080" s="94" t="s">
        <v>598</v>
      </c>
      <c r="C1080" s="95" t="s">
        <v>76</v>
      </c>
      <c r="D1080" s="96" t="s">
        <v>63</v>
      </c>
      <c r="E1080" s="97">
        <v>45169</v>
      </c>
      <c r="F1080" s="97">
        <v>2121</v>
      </c>
      <c r="G1080" s="97">
        <v>1807</v>
      </c>
      <c r="H1080" s="98">
        <v>30.9</v>
      </c>
      <c r="I1080" s="97">
        <v>24844</v>
      </c>
      <c r="J1080" s="99">
        <v>42.5</v>
      </c>
    </row>
    <row r="1081" spans="1:10" ht="16">
      <c r="A1081" s="100" t="s">
        <v>622</v>
      </c>
      <c r="B1081" s="101" t="s">
        <v>598</v>
      </c>
      <c r="C1081" s="102" t="s">
        <v>76</v>
      </c>
      <c r="D1081" s="103" t="s">
        <v>77</v>
      </c>
      <c r="E1081" s="104">
        <v>29437</v>
      </c>
      <c r="F1081" s="104">
        <v>1436</v>
      </c>
      <c r="G1081" s="104">
        <v>294</v>
      </c>
      <c r="H1081" s="105">
        <v>17.899999999999999</v>
      </c>
      <c r="I1081" s="104">
        <v>11334</v>
      </c>
      <c r="J1081" s="106">
        <v>21.1</v>
      </c>
    </row>
    <row r="1082" spans="1:10" ht="16">
      <c r="A1082" s="93" t="s">
        <v>332</v>
      </c>
      <c r="B1082" s="94" t="s">
        <v>322</v>
      </c>
      <c r="C1082" s="95" t="s">
        <v>76</v>
      </c>
      <c r="D1082" s="96" t="s">
        <v>130</v>
      </c>
      <c r="E1082" s="97">
        <v>7266</v>
      </c>
      <c r="F1082" s="97">
        <v>530</v>
      </c>
      <c r="G1082" s="97">
        <v>509</v>
      </c>
      <c r="H1082" s="98">
        <v>15.4</v>
      </c>
      <c r="I1082" s="97">
        <v>1596</v>
      </c>
      <c r="J1082" s="99">
        <v>17.8</v>
      </c>
    </row>
    <row r="1083" spans="1:10" ht="16">
      <c r="A1083" s="100" t="s">
        <v>395</v>
      </c>
      <c r="B1083" s="101" t="s">
        <v>377</v>
      </c>
      <c r="C1083" s="102" t="s">
        <v>76</v>
      </c>
      <c r="D1083" s="103" t="s">
        <v>61</v>
      </c>
      <c r="E1083" s="104">
        <v>61390</v>
      </c>
      <c r="F1083" s="104">
        <v>3961</v>
      </c>
      <c r="G1083" s="104">
        <v>10436</v>
      </c>
      <c r="H1083" s="105">
        <v>36.1</v>
      </c>
      <c r="I1083" s="104">
        <v>31940</v>
      </c>
      <c r="J1083" s="106">
        <v>52</v>
      </c>
    </row>
    <row r="1084" spans="1:10" ht="16">
      <c r="A1084" s="93" t="s">
        <v>623</v>
      </c>
      <c r="B1084" s="94" t="s">
        <v>598</v>
      </c>
      <c r="C1084" s="95" t="s">
        <v>76</v>
      </c>
      <c r="D1084" s="96" t="s">
        <v>62</v>
      </c>
      <c r="E1084" s="97">
        <v>25140</v>
      </c>
      <c r="F1084" s="97">
        <v>918</v>
      </c>
      <c r="G1084" s="97">
        <v>1508</v>
      </c>
      <c r="H1084" s="98">
        <v>18.899999999999999</v>
      </c>
      <c r="I1084" s="97">
        <v>12459</v>
      </c>
      <c r="J1084" s="99">
        <v>18.100000000000001</v>
      </c>
    </row>
    <row r="1085" spans="1:10" ht="16">
      <c r="A1085" s="100" t="s">
        <v>440</v>
      </c>
      <c r="B1085" s="101" t="s">
        <v>402</v>
      </c>
      <c r="C1085" s="102" t="s">
        <v>76</v>
      </c>
      <c r="D1085" s="103" t="s">
        <v>77</v>
      </c>
      <c r="E1085" s="104">
        <v>11387</v>
      </c>
      <c r="F1085" s="104">
        <v>131</v>
      </c>
      <c r="G1085" s="104">
        <v>1366</v>
      </c>
      <c r="H1085" s="105">
        <v>39.299999999999997</v>
      </c>
      <c r="I1085" s="104">
        <v>29716</v>
      </c>
      <c r="J1085" s="106">
        <v>32.799999999999997</v>
      </c>
    </row>
    <row r="1086" spans="1:10" ht="16">
      <c r="A1086" s="93" t="s">
        <v>455</v>
      </c>
      <c r="B1086" s="94" t="s">
        <v>448</v>
      </c>
      <c r="C1086" s="95" t="s">
        <v>107</v>
      </c>
      <c r="D1086" s="96" t="s">
        <v>77</v>
      </c>
      <c r="E1086" s="97">
        <v>25580</v>
      </c>
      <c r="F1086" s="97">
        <v>927</v>
      </c>
      <c r="G1086" s="97">
        <v>1279</v>
      </c>
      <c r="H1086" s="98">
        <v>11.6</v>
      </c>
      <c r="I1086" s="97">
        <v>4570</v>
      </c>
      <c r="J1086" s="99">
        <v>16.5</v>
      </c>
    </row>
    <row r="1087" spans="1:10" ht="16">
      <c r="A1087" s="100" t="s">
        <v>624</v>
      </c>
      <c r="B1087" s="101" t="s">
        <v>598</v>
      </c>
      <c r="C1087" s="102" t="s">
        <v>76</v>
      </c>
      <c r="D1087" s="103" t="s">
        <v>60</v>
      </c>
      <c r="E1087" s="104">
        <v>24623</v>
      </c>
      <c r="F1087" s="104">
        <v>593</v>
      </c>
      <c r="G1087" s="104">
        <v>1970</v>
      </c>
      <c r="H1087" s="105">
        <v>25.7</v>
      </c>
      <c r="I1087" s="104">
        <v>16834</v>
      </c>
      <c r="J1087" s="106">
        <v>24.6</v>
      </c>
    </row>
    <row r="1088" spans="1:10" ht="16">
      <c r="A1088" s="93" t="s">
        <v>1427</v>
      </c>
      <c r="B1088" s="94" t="s">
        <v>1288</v>
      </c>
      <c r="C1088" s="95" t="s">
        <v>76</v>
      </c>
      <c r="D1088" s="96" t="s">
        <v>84</v>
      </c>
      <c r="E1088" s="97">
        <v>20578</v>
      </c>
      <c r="F1088" s="97">
        <v>3166</v>
      </c>
      <c r="G1088" s="97">
        <v>4321</v>
      </c>
      <c r="H1088" s="98">
        <v>90.4</v>
      </c>
      <c r="I1088" s="97">
        <v>88839</v>
      </c>
      <c r="J1088" s="99">
        <v>87.5</v>
      </c>
    </row>
    <row r="1089" spans="1:10" ht="16">
      <c r="A1089" s="100" t="s">
        <v>1060</v>
      </c>
      <c r="B1089" s="101" t="s">
        <v>1059</v>
      </c>
      <c r="C1089" s="102" t="s">
        <v>76</v>
      </c>
      <c r="D1089" s="103" t="s">
        <v>63</v>
      </c>
      <c r="E1089" s="104">
        <v>17482</v>
      </c>
      <c r="F1089" s="104">
        <v>1619</v>
      </c>
      <c r="G1089" s="104">
        <v>175</v>
      </c>
      <c r="H1089" s="105">
        <v>7.6</v>
      </c>
      <c r="I1089" s="104">
        <v>7629</v>
      </c>
      <c r="J1089" s="106">
        <v>16.5</v>
      </c>
    </row>
    <row r="1090" spans="1:10" ht="16">
      <c r="A1090" s="93" t="s">
        <v>625</v>
      </c>
      <c r="B1090" s="94" t="s">
        <v>598</v>
      </c>
      <c r="C1090" s="95" t="s">
        <v>76</v>
      </c>
      <c r="D1090" s="96" t="s">
        <v>92</v>
      </c>
      <c r="E1090" s="97">
        <v>24830</v>
      </c>
      <c r="F1090" s="97">
        <v>769</v>
      </c>
      <c r="G1090" s="97">
        <v>1490</v>
      </c>
      <c r="H1090" s="98">
        <v>22.8</v>
      </c>
      <c r="I1090" s="97">
        <v>19996</v>
      </c>
      <c r="J1090" s="99">
        <v>18.600000000000001</v>
      </c>
    </row>
    <row r="1091" spans="1:10" ht="16">
      <c r="A1091" s="100" t="s">
        <v>868</v>
      </c>
      <c r="B1091" s="101" t="s">
        <v>858</v>
      </c>
      <c r="C1091" s="102" t="s">
        <v>107</v>
      </c>
      <c r="D1091" s="103" t="s">
        <v>60</v>
      </c>
      <c r="E1091" s="104">
        <v>5647</v>
      </c>
      <c r="F1091" s="104">
        <v>528</v>
      </c>
      <c r="G1091" s="104">
        <v>113</v>
      </c>
      <c r="H1091" s="105">
        <v>10.7</v>
      </c>
      <c r="I1091" s="104">
        <v>1606</v>
      </c>
      <c r="J1091" s="106">
        <v>25.2</v>
      </c>
    </row>
    <row r="1092" spans="1:10" ht="16">
      <c r="A1092" s="93" t="s">
        <v>626</v>
      </c>
      <c r="B1092" s="94" t="s">
        <v>598</v>
      </c>
      <c r="C1092" s="95" t="s">
        <v>76</v>
      </c>
      <c r="D1092" s="96" t="s">
        <v>77</v>
      </c>
      <c r="E1092" s="97">
        <v>33726</v>
      </c>
      <c r="F1092" s="97">
        <v>1506</v>
      </c>
      <c r="G1092" s="97">
        <v>2024</v>
      </c>
      <c r="H1092" s="98">
        <v>26.5</v>
      </c>
      <c r="I1092" s="97">
        <v>19745</v>
      </c>
      <c r="J1092" s="99">
        <v>31.2</v>
      </c>
    </row>
    <row r="1093" spans="1:10" ht="16">
      <c r="A1093" s="100" t="s">
        <v>1428</v>
      </c>
      <c r="B1093" s="101" t="s">
        <v>1288</v>
      </c>
      <c r="C1093" s="102" t="s">
        <v>76</v>
      </c>
      <c r="D1093" s="103" t="s">
        <v>59</v>
      </c>
      <c r="E1093" s="104">
        <v>26652</v>
      </c>
      <c r="F1093" s="104">
        <v>4595</v>
      </c>
      <c r="G1093" s="104">
        <v>2932</v>
      </c>
      <c r="H1093" s="105">
        <v>45.5</v>
      </c>
      <c r="I1093" s="104">
        <v>43343</v>
      </c>
      <c r="J1093" s="106">
        <v>47.4</v>
      </c>
    </row>
    <row r="1094" spans="1:10" ht="16">
      <c r="A1094" s="93" t="s">
        <v>1268</v>
      </c>
      <c r="B1094" s="94" t="s">
        <v>1190</v>
      </c>
      <c r="C1094" s="95" t="s">
        <v>76</v>
      </c>
      <c r="D1094" s="96" t="s">
        <v>82</v>
      </c>
      <c r="E1094" s="97">
        <v>17667</v>
      </c>
      <c r="F1094" s="97">
        <v>1027</v>
      </c>
      <c r="G1094" s="97">
        <v>2650</v>
      </c>
      <c r="H1094" s="98">
        <v>19.3</v>
      </c>
      <c r="I1094" s="97">
        <v>13030</v>
      </c>
      <c r="J1094" s="99">
        <v>20.3</v>
      </c>
    </row>
    <row r="1095" spans="1:10" ht="16">
      <c r="A1095" s="100" t="s">
        <v>903</v>
      </c>
      <c r="B1095" s="101" t="s">
        <v>893</v>
      </c>
      <c r="C1095" s="102" t="s">
        <v>76</v>
      </c>
      <c r="D1095" s="103" t="s">
        <v>62</v>
      </c>
      <c r="E1095" s="104">
        <v>32020</v>
      </c>
      <c r="F1095" s="104">
        <v>1712</v>
      </c>
      <c r="G1095" s="104">
        <v>4803</v>
      </c>
      <c r="H1095" s="105">
        <v>27.9</v>
      </c>
      <c r="I1095" s="104">
        <v>17370</v>
      </c>
      <c r="J1095" s="106">
        <v>27.4</v>
      </c>
    </row>
    <row r="1096" spans="1:10" ht="16">
      <c r="A1096" s="93" t="s">
        <v>1269</v>
      </c>
      <c r="B1096" s="94" t="s">
        <v>1190</v>
      </c>
      <c r="C1096" s="95" t="s">
        <v>107</v>
      </c>
      <c r="D1096" s="96" t="s">
        <v>92</v>
      </c>
      <c r="E1096" s="97">
        <v>20186</v>
      </c>
      <c r="F1096" s="97">
        <v>1311</v>
      </c>
      <c r="G1096" s="97">
        <v>5248</v>
      </c>
      <c r="H1096" s="98">
        <v>16.2</v>
      </c>
      <c r="I1096" s="97">
        <v>11533</v>
      </c>
      <c r="J1096" s="99">
        <v>17.8</v>
      </c>
    </row>
    <row r="1097" spans="1:10" ht="16">
      <c r="A1097" s="100" t="s">
        <v>441</v>
      </c>
      <c r="B1097" s="101" t="s">
        <v>402</v>
      </c>
      <c r="C1097" s="102" t="s">
        <v>76</v>
      </c>
      <c r="D1097" s="103" t="s">
        <v>130</v>
      </c>
      <c r="E1097" s="104">
        <v>20063</v>
      </c>
      <c r="F1097" s="104">
        <v>372</v>
      </c>
      <c r="G1097" s="104">
        <v>2207</v>
      </c>
      <c r="H1097" s="105">
        <v>40.799999999999997</v>
      </c>
      <c r="I1097" s="104">
        <v>26627</v>
      </c>
      <c r="J1097" s="106">
        <v>36.799999999999997</v>
      </c>
    </row>
    <row r="1098" spans="1:10" ht="16">
      <c r="A1098" s="93" t="s">
        <v>983</v>
      </c>
      <c r="B1098" s="94" t="s">
        <v>977</v>
      </c>
      <c r="C1098" s="95" t="s">
        <v>76</v>
      </c>
      <c r="D1098" s="96" t="s">
        <v>92</v>
      </c>
      <c r="E1098" s="97">
        <v>35086</v>
      </c>
      <c r="F1098" s="97">
        <v>1595</v>
      </c>
      <c r="G1098" s="97">
        <v>2807</v>
      </c>
      <c r="H1098" s="98">
        <v>30.1</v>
      </c>
      <c r="I1098" s="97">
        <v>9953</v>
      </c>
      <c r="J1098" s="99">
        <v>25.1</v>
      </c>
    </row>
    <row r="1099" spans="1:10" ht="16">
      <c r="A1099" s="100" t="s">
        <v>904</v>
      </c>
      <c r="B1099" s="101" t="s">
        <v>905</v>
      </c>
      <c r="C1099" s="102" t="s">
        <v>76</v>
      </c>
      <c r="D1099" s="103" t="s">
        <v>61</v>
      </c>
      <c r="E1099" s="104">
        <v>49713</v>
      </c>
      <c r="F1099" s="104">
        <v>3576</v>
      </c>
      <c r="G1099" s="104">
        <v>497</v>
      </c>
      <c r="H1099" s="105">
        <v>8.5</v>
      </c>
      <c r="I1099" s="104">
        <v>3757</v>
      </c>
      <c r="J1099" s="106">
        <v>18.100000000000001</v>
      </c>
    </row>
    <row r="1100" spans="1:10" ht="16">
      <c r="A1100" s="93" t="s">
        <v>114</v>
      </c>
      <c r="B1100" s="94" t="s">
        <v>89</v>
      </c>
      <c r="C1100" s="95" t="s">
        <v>76</v>
      </c>
      <c r="D1100" s="96" t="s">
        <v>82</v>
      </c>
      <c r="E1100" s="97">
        <v>39144</v>
      </c>
      <c r="F1100" s="97">
        <v>1096</v>
      </c>
      <c r="G1100" s="97">
        <v>13309</v>
      </c>
      <c r="H1100" s="98">
        <v>58.7</v>
      </c>
      <c r="I1100" s="97">
        <v>51011</v>
      </c>
      <c r="J1100" s="99">
        <v>49.3</v>
      </c>
    </row>
    <row r="1101" spans="1:10" ht="16">
      <c r="A1101" s="100" t="s">
        <v>1270</v>
      </c>
      <c r="B1101" s="101" t="s">
        <v>1190</v>
      </c>
      <c r="C1101" s="102" t="s">
        <v>76</v>
      </c>
      <c r="D1101" s="103" t="s">
        <v>59</v>
      </c>
      <c r="E1101" s="104">
        <v>14107</v>
      </c>
      <c r="F1101" s="104">
        <v>947</v>
      </c>
      <c r="G1101" s="104">
        <v>4373</v>
      </c>
      <c r="H1101" s="105">
        <v>35.200000000000003</v>
      </c>
      <c r="I1101" s="104">
        <v>27111</v>
      </c>
      <c r="J1101" s="106">
        <v>32.1</v>
      </c>
    </row>
    <row r="1102" spans="1:10" ht="16">
      <c r="A1102" s="93" t="s">
        <v>203</v>
      </c>
      <c r="B1102" s="94" t="s">
        <v>184</v>
      </c>
      <c r="C1102" s="95" t="s">
        <v>76</v>
      </c>
      <c r="D1102" s="96" t="s">
        <v>61</v>
      </c>
      <c r="E1102" s="97">
        <v>12935</v>
      </c>
      <c r="F1102" s="97">
        <v>553</v>
      </c>
      <c r="G1102" s="97">
        <v>2846</v>
      </c>
      <c r="H1102" s="98">
        <v>15.6</v>
      </c>
      <c r="I1102" s="97">
        <v>7068</v>
      </c>
      <c r="J1102" s="99">
        <v>16.8</v>
      </c>
    </row>
    <row r="1103" spans="1:10" ht="16">
      <c r="A1103" s="100" t="s">
        <v>396</v>
      </c>
      <c r="B1103" s="101" t="s">
        <v>377</v>
      </c>
      <c r="C1103" s="102" t="s">
        <v>76</v>
      </c>
      <c r="D1103" s="103" t="s">
        <v>61</v>
      </c>
      <c r="E1103" s="104">
        <v>28351</v>
      </c>
      <c r="F1103" s="104">
        <v>1575</v>
      </c>
      <c r="G1103" s="104">
        <v>3402</v>
      </c>
      <c r="H1103" s="105">
        <v>15.5</v>
      </c>
      <c r="I1103" s="104">
        <v>7921</v>
      </c>
      <c r="J1103" s="106">
        <v>21</v>
      </c>
    </row>
    <row r="1104" spans="1:10" ht="16">
      <c r="A1104" s="93" t="s">
        <v>1429</v>
      </c>
      <c r="B1104" s="94" t="s">
        <v>1288</v>
      </c>
      <c r="C1104" s="95" t="s">
        <v>76</v>
      </c>
      <c r="D1104" s="96" t="s">
        <v>130</v>
      </c>
      <c r="E1104" s="97">
        <v>16569</v>
      </c>
      <c r="F1104" s="97">
        <v>858</v>
      </c>
      <c r="G1104" s="97">
        <v>497</v>
      </c>
      <c r="H1104" s="98">
        <v>17.7</v>
      </c>
      <c r="I1104" s="97">
        <v>11693</v>
      </c>
      <c r="J1104" s="99">
        <v>23.9</v>
      </c>
    </row>
    <row r="1105" spans="1:10" ht="16">
      <c r="A1105" s="100" t="s">
        <v>1430</v>
      </c>
      <c r="B1105" s="101" t="s">
        <v>1288</v>
      </c>
      <c r="C1105" s="102" t="s">
        <v>107</v>
      </c>
      <c r="D1105" s="103" t="s">
        <v>80</v>
      </c>
      <c r="E1105" s="104">
        <v>9824</v>
      </c>
      <c r="F1105" s="104">
        <v>2339</v>
      </c>
      <c r="G1105" s="104">
        <v>3045</v>
      </c>
      <c r="H1105" s="105">
        <v>30.3</v>
      </c>
      <c r="I1105" s="104">
        <v>27781</v>
      </c>
      <c r="J1105" s="106">
        <v>43.4</v>
      </c>
    </row>
    <row r="1106" spans="1:10" ht="16">
      <c r="A1106" s="93" t="s">
        <v>1271</v>
      </c>
      <c r="B1106" s="94" t="s">
        <v>1190</v>
      </c>
      <c r="C1106" s="95" t="s">
        <v>76</v>
      </c>
      <c r="D1106" s="96" t="s">
        <v>92</v>
      </c>
      <c r="E1106" s="97">
        <v>7665</v>
      </c>
      <c r="F1106" s="97">
        <v>470</v>
      </c>
      <c r="G1106" s="97">
        <v>2146</v>
      </c>
      <c r="H1106" s="98">
        <v>19.899999999999999</v>
      </c>
      <c r="I1106" s="97">
        <v>6239</v>
      </c>
      <c r="J1106" s="99">
        <v>18.7</v>
      </c>
    </row>
    <row r="1107" spans="1:10" ht="16">
      <c r="A1107" s="100" t="s">
        <v>627</v>
      </c>
      <c r="B1107" s="101" t="s">
        <v>598</v>
      </c>
      <c r="C1107" s="102" t="s">
        <v>76</v>
      </c>
      <c r="D1107" s="103" t="s">
        <v>63</v>
      </c>
      <c r="E1107" s="104">
        <v>31696</v>
      </c>
      <c r="F1107" s="104">
        <v>633</v>
      </c>
      <c r="G1107" s="104">
        <v>1585</v>
      </c>
      <c r="H1107" s="105">
        <v>22.7</v>
      </c>
      <c r="I1107" s="104">
        <v>13924</v>
      </c>
      <c r="J1107" s="106">
        <v>23.4</v>
      </c>
    </row>
    <row r="1108" spans="1:10" ht="16">
      <c r="A1108" s="93" t="s">
        <v>1047</v>
      </c>
      <c r="B1108" s="94" t="s">
        <v>1020</v>
      </c>
      <c r="C1108" s="95" t="s">
        <v>76</v>
      </c>
      <c r="D1108" s="96" t="s">
        <v>62</v>
      </c>
      <c r="E1108" s="97">
        <v>12411</v>
      </c>
      <c r="F1108" s="97">
        <v>1009</v>
      </c>
      <c r="G1108" s="97">
        <v>1365</v>
      </c>
      <c r="H1108" s="98">
        <v>21</v>
      </c>
      <c r="I1108" s="97">
        <v>14232</v>
      </c>
      <c r="J1108" s="99">
        <v>23.7</v>
      </c>
    </row>
    <row r="1109" spans="1:10" ht="16">
      <c r="A1109" s="100" t="s">
        <v>1048</v>
      </c>
      <c r="B1109" s="101" t="s">
        <v>1020</v>
      </c>
      <c r="C1109" s="102" t="s">
        <v>76</v>
      </c>
      <c r="D1109" s="103" t="s">
        <v>82</v>
      </c>
      <c r="E1109" s="104">
        <v>28673</v>
      </c>
      <c r="F1109" s="104">
        <v>1629</v>
      </c>
      <c r="G1109" s="104">
        <v>4588</v>
      </c>
      <c r="H1109" s="105">
        <v>17.5</v>
      </c>
      <c r="I1109" s="104">
        <v>6642</v>
      </c>
      <c r="J1109" s="106">
        <v>26.4</v>
      </c>
    </row>
    <row r="1110" spans="1:10" ht="16">
      <c r="A1110" s="93" t="s">
        <v>628</v>
      </c>
      <c r="B1110" s="94" t="s">
        <v>598</v>
      </c>
      <c r="C1110" s="95" t="s">
        <v>76</v>
      </c>
      <c r="D1110" s="96" t="s">
        <v>77</v>
      </c>
      <c r="E1110" s="97">
        <v>12040</v>
      </c>
      <c r="F1110" s="97">
        <v>405</v>
      </c>
      <c r="G1110" s="97">
        <v>120</v>
      </c>
      <c r="H1110" s="98">
        <v>21</v>
      </c>
      <c r="I1110" s="97">
        <v>11864</v>
      </c>
      <c r="J1110" s="99">
        <v>27.5</v>
      </c>
    </row>
    <row r="1111" spans="1:10" ht="16">
      <c r="A1111" s="100" t="s">
        <v>629</v>
      </c>
      <c r="B1111" s="101" t="s">
        <v>598</v>
      </c>
      <c r="C1111" s="102" t="s">
        <v>76</v>
      </c>
      <c r="D1111" s="103" t="s">
        <v>84</v>
      </c>
      <c r="E1111" s="104">
        <v>24290</v>
      </c>
      <c r="F1111" s="104">
        <v>941</v>
      </c>
      <c r="G1111" s="104">
        <v>486</v>
      </c>
      <c r="H1111" s="105">
        <v>19.5</v>
      </c>
      <c r="I1111" s="104">
        <v>18346</v>
      </c>
      <c r="J1111" s="106">
        <v>20.2</v>
      </c>
    </row>
    <row r="1112" spans="1:10" ht="16">
      <c r="A1112" s="93" t="s">
        <v>1272</v>
      </c>
      <c r="B1112" s="94" t="s">
        <v>1190</v>
      </c>
      <c r="C1112" s="95" t="s">
        <v>76</v>
      </c>
      <c r="D1112" s="96" t="s">
        <v>82</v>
      </c>
      <c r="E1112" s="97">
        <v>15356</v>
      </c>
      <c r="F1112" s="97">
        <v>903</v>
      </c>
      <c r="G1112" s="97">
        <v>3378</v>
      </c>
      <c r="H1112" s="98">
        <v>14.8</v>
      </c>
      <c r="I1112" s="97">
        <v>5735</v>
      </c>
      <c r="J1112" s="99">
        <v>18.7</v>
      </c>
    </row>
    <row r="1113" spans="1:10" ht="16">
      <c r="A1113" s="100" t="s">
        <v>1049</v>
      </c>
      <c r="B1113" s="101" t="s">
        <v>1020</v>
      </c>
      <c r="C1113" s="102" t="s">
        <v>76</v>
      </c>
      <c r="D1113" s="103" t="s">
        <v>62</v>
      </c>
      <c r="E1113" s="104">
        <v>25455</v>
      </c>
      <c r="F1113" s="104">
        <v>1675</v>
      </c>
      <c r="G1113" s="104">
        <v>2036</v>
      </c>
      <c r="H1113" s="105">
        <v>16.600000000000001</v>
      </c>
      <c r="I1113" s="104">
        <v>7806</v>
      </c>
      <c r="J1113" s="106">
        <v>21.8</v>
      </c>
    </row>
    <row r="1114" spans="1:10" ht="16">
      <c r="A1114" s="93" t="s">
        <v>219</v>
      </c>
      <c r="B1114" s="94" t="s">
        <v>212</v>
      </c>
      <c r="C1114" s="95" t="s">
        <v>107</v>
      </c>
      <c r="D1114" s="96" t="s">
        <v>82</v>
      </c>
      <c r="E1114" s="97">
        <v>22818</v>
      </c>
      <c r="F1114" s="97">
        <v>939</v>
      </c>
      <c r="G1114" s="97">
        <v>456</v>
      </c>
      <c r="H1114" s="98">
        <v>14.2</v>
      </c>
      <c r="I1114" s="97">
        <v>1726</v>
      </c>
      <c r="J1114" s="99">
        <v>16.2</v>
      </c>
    </row>
    <row r="1115" spans="1:10" ht="16">
      <c r="A1115" s="100" t="s">
        <v>869</v>
      </c>
      <c r="B1115" s="101" t="s">
        <v>858</v>
      </c>
      <c r="C1115" s="102" t="s">
        <v>76</v>
      </c>
      <c r="D1115" s="103" t="s">
        <v>82</v>
      </c>
      <c r="E1115" s="104">
        <v>26206</v>
      </c>
      <c r="F1115" s="104">
        <v>771</v>
      </c>
      <c r="G1115" s="104">
        <v>1824</v>
      </c>
      <c r="H1115" s="105">
        <v>8.3000000000000007</v>
      </c>
      <c r="I1115" s="104">
        <v>875</v>
      </c>
      <c r="J1115" s="106">
        <v>11.7</v>
      </c>
    </row>
    <row r="1116" spans="1:10" ht="16">
      <c r="A1116" s="93" t="s">
        <v>204</v>
      </c>
      <c r="B1116" s="94" t="s">
        <v>184</v>
      </c>
      <c r="C1116" s="95" t="s">
        <v>76</v>
      </c>
      <c r="D1116" s="96" t="s">
        <v>62</v>
      </c>
      <c r="E1116" s="97">
        <v>17194</v>
      </c>
      <c r="F1116" s="97">
        <v>971</v>
      </c>
      <c r="G1116" s="97">
        <v>3439</v>
      </c>
      <c r="H1116" s="98">
        <v>26.9</v>
      </c>
      <c r="I1116" s="97">
        <v>12981</v>
      </c>
      <c r="J1116" s="99">
        <v>35.9</v>
      </c>
    </row>
    <row r="1117" spans="1:10" ht="16">
      <c r="A1117" s="100" t="s">
        <v>630</v>
      </c>
      <c r="B1117" s="101" t="s">
        <v>598</v>
      </c>
      <c r="C1117" s="102" t="s">
        <v>76</v>
      </c>
      <c r="D1117" s="103" t="s">
        <v>62</v>
      </c>
      <c r="E1117" s="104">
        <v>12993</v>
      </c>
      <c r="F1117" s="104">
        <v>539</v>
      </c>
      <c r="G1117" s="104">
        <v>260</v>
      </c>
      <c r="H1117" s="105">
        <v>17.2</v>
      </c>
      <c r="I1117" s="104">
        <v>8250</v>
      </c>
      <c r="J1117" s="106">
        <v>22.2</v>
      </c>
    </row>
    <row r="1118" spans="1:10" ht="16">
      <c r="A1118" s="93" t="s">
        <v>290</v>
      </c>
      <c r="B1118" s="94" t="s">
        <v>223</v>
      </c>
      <c r="C1118" s="95" t="s">
        <v>107</v>
      </c>
      <c r="D1118" s="96" t="s">
        <v>63</v>
      </c>
      <c r="E1118" s="97">
        <v>24232</v>
      </c>
      <c r="F1118" s="97">
        <v>1648</v>
      </c>
      <c r="G1118" s="97">
        <v>969</v>
      </c>
      <c r="H1118" s="98">
        <v>25.2</v>
      </c>
      <c r="I1118" s="97">
        <v>7457</v>
      </c>
      <c r="J1118" s="99">
        <v>27.2</v>
      </c>
    </row>
    <row r="1119" spans="1:10" ht="16">
      <c r="A1119" s="100" t="s">
        <v>291</v>
      </c>
      <c r="B1119" s="101" t="s">
        <v>223</v>
      </c>
      <c r="C1119" s="102" t="s">
        <v>107</v>
      </c>
      <c r="D1119" s="103" t="s">
        <v>92</v>
      </c>
      <c r="E1119" s="104">
        <v>16245</v>
      </c>
      <c r="F1119" s="104">
        <v>2110</v>
      </c>
      <c r="G1119" s="104">
        <v>650</v>
      </c>
      <c r="H1119" s="105">
        <v>59.5</v>
      </c>
      <c r="I1119" s="104">
        <v>44506</v>
      </c>
      <c r="J1119" s="106">
        <v>64.599999999999994</v>
      </c>
    </row>
    <row r="1120" spans="1:10" ht="16">
      <c r="A1120" s="93" t="s">
        <v>79</v>
      </c>
      <c r="B1120" s="94" t="s">
        <v>75</v>
      </c>
      <c r="C1120" s="95" t="s">
        <v>76</v>
      </c>
      <c r="D1120" s="96" t="s">
        <v>80</v>
      </c>
      <c r="E1120" s="97">
        <v>22049</v>
      </c>
      <c r="F1120" s="97">
        <v>1885</v>
      </c>
      <c r="G1120" s="97">
        <v>441</v>
      </c>
      <c r="H1120" s="98">
        <v>7.1</v>
      </c>
      <c r="I1120" s="97">
        <v>507</v>
      </c>
      <c r="J1120" s="99">
        <v>18.899999999999999</v>
      </c>
    </row>
    <row r="1121" spans="1:10" ht="16">
      <c r="A1121" s="100" t="s">
        <v>81</v>
      </c>
      <c r="B1121" s="101" t="s">
        <v>75</v>
      </c>
      <c r="C1121" s="102" t="s">
        <v>76</v>
      </c>
      <c r="D1121" s="103" t="s">
        <v>82</v>
      </c>
      <c r="E1121" s="104">
        <v>41865</v>
      </c>
      <c r="F1121" s="104">
        <v>1861</v>
      </c>
      <c r="G1121" s="104">
        <v>419</v>
      </c>
      <c r="H1121" s="105">
        <v>7.5</v>
      </c>
      <c r="I1121" s="104">
        <v>614</v>
      </c>
      <c r="J1121" s="106">
        <v>16.100000000000001</v>
      </c>
    </row>
    <row r="1122" spans="1:10" ht="16">
      <c r="A1122" s="93" t="s">
        <v>1015</v>
      </c>
      <c r="B1122" s="94" t="s">
        <v>988</v>
      </c>
      <c r="C1122" s="95" t="s">
        <v>76</v>
      </c>
      <c r="D1122" s="96" t="s">
        <v>61</v>
      </c>
      <c r="E1122" s="97">
        <v>8807</v>
      </c>
      <c r="F1122" s="97">
        <v>531</v>
      </c>
      <c r="G1122" s="97">
        <v>440</v>
      </c>
      <c r="H1122" s="98">
        <v>18.2</v>
      </c>
      <c r="I1122" s="97">
        <v>4502</v>
      </c>
      <c r="J1122" s="99">
        <v>22.6</v>
      </c>
    </row>
    <row r="1123" spans="1:10" ht="16">
      <c r="A1123" s="100" t="s">
        <v>1050</v>
      </c>
      <c r="B1123" s="101" t="s">
        <v>1020</v>
      </c>
      <c r="C1123" s="102" t="s">
        <v>76</v>
      </c>
      <c r="D1123" s="103" t="s">
        <v>82</v>
      </c>
      <c r="E1123" s="104">
        <v>62811</v>
      </c>
      <c r="F1123" s="104">
        <v>3049</v>
      </c>
      <c r="G1123" s="104">
        <v>3769</v>
      </c>
      <c r="H1123" s="105">
        <v>18.7</v>
      </c>
      <c r="I1123" s="104">
        <v>6846</v>
      </c>
      <c r="J1123" s="106">
        <v>25.4</v>
      </c>
    </row>
    <row r="1124" spans="1:10" ht="16">
      <c r="A1124" s="93" t="s">
        <v>1138</v>
      </c>
      <c r="B1124" s="94" t="s">
        <v>1135</v>
      </c>
      <c r="C1124" s="95" t="s">
        <v>76</v>
      </c>
      <c r="D1124" s="96" t="s">
        <v>130</v>
      </c>
      <c r="E1124" s="97">
        <v>32178</v>
      </c>
      <c r="F1124" s="97">
        <v>2384</v>
      </c>
      <c r="G1124" s="97">
        <v>322</v>
      </c>
      <c r="H1124" s="98">
        <v>10.4</v>
      </c>
      <c r="I1124" s="97">
        <v>1806</v>
      </c>
      <c r="J1124" s="99">
        <v>28.9</v>
      </c>
    </row>
    <row r="1125" spans="1:10" ht="16">
      <c r="A1125" s="100" t="s">
        <v>1188</v>
      </c>
      <c r="B1125" s="101" t="s">
        <v>1185</v>
      </c>
      <c r="C1125" s="102" t="s">
        <v>76</v>
      </c>
      <c r="D1125" s="103" t="s">
        <v>82</v>
      </c>
      <c r="E1125" s="104">
        <v>14286</v>
      </c>
      <c r="F1125" s="104">
        <v>687</v>
      </c>
      <c r="G1125" s="104">
        <v>8572</v>
      </c>
      <c r="H1125" s="105">
        <v>11.8</v>
      </c>
      <c r="I1125" s="104">
        <v>4610</v>
      </c>
      <c r="J1125" s="106">
        <v>19.5</v>
      </c>
    </row>
    <row r="1126" spans="1:10" ht="16">
      <c r="A1126" s="93" t="s">
        <v>1273</v>
      </c>
      <c r="B1126" s="94" t="s">
        <v>1190</v>
      </c>
      <c r="C1126" s="95" t="s">
        <v>107</v>
      </c>
      <c r="D1126" s="96" t="s">
        <v>63</v>
      </c>
      <c r="E1126" s="97">
        <v>26218</v>
      </c>
      <c r="F1126" s="97">
        <v>1748</v>
      </c>
      <c r="G1126" s="97">
        <v>8914</v>
      </c>
      <c r="H1126" s="98">
        <v>46.4</v>
      </c>
      <c r="I1126" s="97">
        <v>38542</v>
      </c>
      <c r="J1126" s="99">
        <v>45.2</v>
      </c>
    </row>
    <row r="1127" spans="1:10" ht="16">
      <c r="A1127" s="100" t="s">
        <v>741</v>
      </c>
      <c r="B1127" s="101" t="s">
        <v>642</v>
      </c>
      <c r="C1127" s="102" t="s">
        <v>76</v>
      </c>
      <c r="D1127" s="103" t="s">
        <v>84</v>
      </c>
      <c r="E1127" s="104">
        <v>3002</v>
      </c>
      <c r="F1127" s="104">
        <v>259</v>
      </c>
      <c r="G1127" s="104">
        <v>90</v>
      </c>
      <c r="H1127" s="105">
        <v>11.9</v>
      </c>
      <c r="I1127" s="104">
        <v>1617</v>
      </c>
      <c r="J1127" s="106">
        <v>20.9</v>
      </c>
    </row>
    <row r="1128" spans="1:10" ht="16">
      <c r="A1128" s="93" t="s">
        <v>442</v>
      </c>
      <c r="B1128" s="94" t="s">
        <v>402</v>
      </c>
      <c r="C1128" s="95" t="s">
        <v>107</v>
      </c>
      <c r="D1128" s="96" t="s">
        <v>82</v>
      </c>
      <c r="E1128" s="97">
        <v>19268</v>
      </c>
      <c r="F1128" s="97">
        <v>456</v>
      </c>
      <c r="G1128" s="97">
        <v>2312</v>
      </c>
      <c r="H1128" s="98">
        <v>25.3</v>
      </c>
      <c r="I1128" s="97">
        <v>14486</v>
      </c>
      <c r="J1128" s="99">
        <v>21.3</v>
      </c>
    </row>
    <row r="1129" spans="1:10" ht="16">
      <c r="A1129" s="100" t="s">
        <v>631</v>
      </c>
      <c r="B1129" s="101" t="s">
        <v>598</v>
      </c>
      <c r="C1129" s="102" t="s">
        <v>76</v>
      </c>
      <c r="D1129" s="103" t="s">
        <v>82</v>
      </c>
      <c r="E1129" s="104">
        <v>12636</v>
      </c>
      <c r="F1129" s="104">
        <v>854</v>
      </c>
      <c r="G1129" s="104">
        <v>1011</v>
      </c>
      <c r="H1129" s="105">
        <v>21.6</v>
      </c>
      <c r="I1129" s="104">
        <v>14668</v>
      </c>
      <c r="J1129" s="106">
        <v>37.9</v>
      </c>
    </row>
    <row r="1130" spans="1:10" ht="16">
      <c r="A1130" s="93" t="s">
        <v>888</v>
      </c>
      <c r="B1130" s="94" t="s">
        <v>879</v>
      </c>
      <c r="C1130" s="95" t="s">
        <v>76</v>
      </c>
      <c r="D1130" s="96" t="s">
        <v>62</v>
      </c>
      <c r="E1130" s="97">
        <v>24174</v>
      </c>
      <c r="F1130" s="97">
        <v>1889</v>
      </c>
      <c r="G1130" s="97">
        <v>725</v>
      </c>
      <c r="H1130" s="98">
        <v>8.8000000000000007</v>
      </c>
      <c r="I1130" s="97">
        <v>1669</v>
      </c>
      <c r="J1130" s="99">
        <v>18.100000000000001</v>
      </c>
    </row>
    <row r="1131" spans="1:10" ht="16">
      <c r="A1131" s="100" t="s">
        <v>810</v>
      </c>
      <c r="B1131" s="101" t="s">
        <v>798</v>
      </c>
      <c r="C1131" s="102" t="s">
        <v>76</v>
      </c>
      <c r="D1131" s="103" t="s">
        <v>84</v>
      </c>
      <c r="E1131" s="104">
        <v>29921</v>
      </c>
      <c r="F1131" s="104">
        <v>1432</v>
      </c>
      <c r="G1131" s="104">
        <v>299</v>
      </c>
      <c r="H1131" s="105">
        <v>7.4</v>
      </c>
      <c r="I1131" s="104">
        <v>683</v>
      </c>
      <c r="J1131" s="106">
        <v>13.9</v>
      </c>
    </row>
    <row r="1132" spans="1:10" ht="16">
      <c r="A1132" s="93" t="s">
        <v>1139</v>
      </c>
      <c r="B1132" s="94" t="s">
        <v>1135</v>
      </c>
      <c r="C1132" s="95" t="s">
        <v>76</v>
      </c>
      <c r="D1132" s="96" t="s">
        <v>84</v>
      </c>
      <c r="E1132" s="97">
        <v>25335</v>
      </c>
      <c r="F1132" s="97">
        <v>2282</v>
      </c>
      <c r="G1132" s="97">
        <v>253</v>
      </c>
      <c r="H1132" s="98">
        <v>7.8</v>
      </c>
      <c r="I1132" s="97">
        <v>1062</v>
      </c>
      <c r="J1132" s="99">
        <v>22.7</v>
      </c>
    </row>
    <row r="1133" spans="1:10" ht="16">
      <c r="A1133" s="100" t="s">
        <v>984</v>
      </c>
      <c r="B1133" s="101" t="s">
        <v>977</v>
      </c>
      <c r="C1133" s="102" t="s">
        <v>76</v>
      </c>
      <c r="D1133" s="103" t="s">
        <v>61</v>
      </c>
      <c r="E1133" s="104">
        <v>193874</v>
      </c>
      <c r="F1133" s="104">
        <v>1249</v>
      </c>
      <c r="G1133" s="104">
        <v>13571</v>
      </c>
      <c r="H1133" s="105">
        <v>19.100000000000001</v>
      </c>
      <c r="I1133" s="104">
        <v>2867</v>
      </c>
      <c r="J1133" s="106">
        <v>22.1</v>
      </c>
    </row>
    <row r="1134" spans="1:10" ht="16">
      <c r="A1134" s="93" t="s">
        <v>115</v>
      </c>
      <c r="B1134" s="94" t="s">
        <v>89</v>
      </c>
      <c r="C1134" s="95" t="s">
        <v>76</v>
      </c>
      <c r="D1134" s="96" t="s">
        <v>60</v>
      </c>
      <c r="E1134" s="97">
        <v>20268</v>
      </c>
      <c r="F1134" s="97">
        <v>665</v>
      </c>
      <c r="G1134" s="97">
        <v>5067</v>
      </c>
      <c r="H1134" s="98">
        <v>39.4</v>
      </c>
      <c r="I1134" s="97">
        <v>25959</v>
      </c>
      <c r="J1134" s="99">
        <v>31.5</v>
      </c>
    </row>
    <row r="1135" spans="1:10" ht="16">
      <c r="A1135" s="100" t="s">
        <v>1431</v>
      </c>
      <c r="B1135" s="101" t="s">
        <v>1288</v>
      </c>
      <c r="C1135" s="102" t="s">
        <v>76</v>
      </c>
      <c r="D1135" s="103" t="s">
        <v>61</v>
      </c>
      <c r="E1135" s="104">
        <v>32291</v>
      </c>
      <c r="F1135" s="104">
        <v>1993</v>
      </c>
      <c r="G1135" s="104">
        <v>1615</v>
      </c>
      <c r="H1135" s="105">
        <v>25.5</v>
      </c>
      <c r="I1135" s="104">
        <v>16300</v>
      </c>
      <c r="J1135" s="106">
        <v>33.200000000000003</v>
      </c>
    </row>
    <row r="1136" spans="1:10" ht="16">
      <c r="A1136" s="93" t="s">
        <v>292</v>
      </c>
      <c r="B1136" s="94" t="s">
        <v>223</v>
      </c>
      <c r="C1136" s="95" t="s">
        <v>76</v>
      </c>
      <c r="D1136" s="96" t="s">
        <v>84</v>
      </c>
      <c r="E1136" s="97">
        <v>21401</v>
      </c>
      <c r="F1136" s="97">
        <v>2140</v>
      </c>
      <c r="G1136" s="97">
        <v>1473</v>
      </c>
      <c r="H1136" s="98">
        <v>9.6999999999999993</v>
      </c>
      <c r="I1136" s="97">
        <v>1065</v>
      </c>
      <c r="J1136" s="99">
        <v>19.2</v>
      </c>
    </row>
    <row r="1137" spans="1:10" ht="16">
      <c r="A1137" s="100" t="s">
        <v>1432</v>
      </c>
      <c r="B1137" s="101" t="s">
        <v>1288</v>
      </c>
      <c r="C1137" s="102" t="s">
        <v>76</v>
      </c>
      <c r="D1137" s="103" t="s">
        <v>84</v>
      </c>
      <c r="E1137" s="104">
        <v>14542</v>
      </c>
      <c r="F1137" s="104">
        <v>414</v>
      </c>
      <c r="G1137" s="104">
        <v>436</v>
      </c>
      <c r="H1137" s="105">
        <v>15.6</v>
      </c>
      <c r="I1137" s="104">
        <v>7335</v>
      </c>
      <c r="J1137" s="106">
        <v>31.2</v>
      </c>
    </row>
    <row r="1138" spans="1:10" ht="16">
      <c r="A1138" s="93" t="s">
        <v>1433</v>
      </c>
      <c r="B1138" s="94" t="s">
        <v>1288</v>
      </c>
      <c r="C1138" s="95" t="s">
        <v>76</v>
      </c>
      <c r="D1138" s="96" t="s">
        <v>62</v>
      </c>
      <c r="E1138" s="97">
        <v>33885</v>
      </c>
      <c r="F1138" s="97">
        <v>1793</v>
      </c>
      <c r="G1138" s="97">
        <v>4744</v>
      </c>
      <c r="H1138" s="98">
        <v>34.200000000000003</v>
      </c>
      <c r="I1138" s="97">
        <v>29940</v>
      </c>
      <c r="J1138" s="99">
        <v>30.5</v>
      </c>
    </row>
    <row r="1139" spans="1:10" ht="16">
      <c r="A1139" s="100" t="s">
        <v>1274</v>
      </c>
      <c r="B1139" s="101" t="s">
        <v>1190</v>
      </c>
      <c r="C1139" s="102" t="s">
        <v>76</v>
      </c>
      <c r="D1139" s="103" t="s">
        <v>80</v>
      </c>
      <c r="E1139" s="104">
        <v>15664</v>
      </c>
      <c r="F1139" s="104">
        <v>1058</v>
      </c>
      <c r="G1139" s="104">
        <v>2976</v>
      </c>
      <c r="H1139" s="105">
        <v>9.1999999999999993</v>
      </c>
      <c r="I1139" s="104">
        <v>2579</v>
      </c>
      <c r="J1139" s="106">
        <v>16.2</v>
      </c>
    </row>
    <row r="1140" spans="1:10" ht="16">
      <c r="A1140" s="93" t="s">
        <v>1275</v>
      </c>
      <c r="B1140" s="94" t="s">
        <v>1190</v>
      </c>
      <c r="C1140" s="95" t="s">
        <v>76</v>
      </c>
      <c r="D1140" s="96" t="s">
        <v>60</v>
      </c>
      <c r="E1140" s="97">
        <v>23863</v>
      </c>
      <c r="F1140" s="97">
        <v>1742</v>
      </c>
      <c r="G1140" s="97">
        <v>8113</v>
      </c>
      <c r="H1140" s="98">
        <v>44.3</v>
      </c>
      <c r="I1140" s="97">
        <v>39052</v>
      </c>
      <c r="J1140" s="99">
        <v>40.200000000000003</v>
      </c>
    </row>
    <row r="1141" spans="1:10" ht="16">
      <c r="A1141" s="100" t="s">
        <v>1434</v>
      </c>
      <c r="B1141" s="101" t="s">
        <v>1288</v>
      </c>
      <c r="C1141" s="102" t="s">
        <v>76</v>
      </c>
      <c r="D1141" s="103" t="s">
        <v>82</v>
      </c>
      <c r="E1141" s="104">
        <v>36929</v>
      </c>
      <c r="F1141" s="104">
        <v>3156</v>
      </c>
      <c r="G1141" s="104">
        <v>9232</v>
      </c>
      <c r="H1141" s="105">
        <v>59.3</v>
      </c>
      <c r="I1141" s="104">
        <v>55209</v>
      </c>
      <c r="J1141" s="106">
        <v>54.7</v>
      </c>
    </row>
    <row r="1142" spans="1:10" ht="16">
      <c r="A1142" s="93" t="s">
        <v>342</v>
      </c>
      <c r="B1142" s="94" t="s">
        <v>336</v>
      </c>
      <c r="C1142" s="95" t="s">
        <v>76</v>
      </c>
      <c r="D1142" s="96" t="s">
        <v>63</v>
      </c>
      <c r="E1142" s="97">
        <v>21281</v>
      </c>
      <c r="F1142" s="97">
        <v>1759</v>
      </c>
      <c r="G1142" s="97">
        <v>3618</v>
      </c>
      <c r="H1142" s="98">
        <v>28.1</v>
      </c>
      <c r="I1142" s="97">
        <v>23993</v>
      </c>
      <c r="J1142" s="99">
        <v>21.4</v>
      </c>
    </row>
    <row r="1143" spans="1:10" ht="16">
      <c r="A1143" s="100" t="s">
        <v>116</v>
      </c>
      <c r="B1143" s="101" t="s">
        <v>89</v>
      </c>
      <c r="C1143" s="102" t="s">
        <v>76</v>
      </c>
      <c r="D1143" s="103" t="s">
        <v>63</v>
      </c>
      <c r="E1143" s="104">
        <v>12405</v>
      </c>
      <c r="F1143" s="104">
        <v>481</v>
      </c>
      <c r="G1143" s="104">
        <v>1861</v>
      </c>
      <c r="H1143" s="105">
        <v>19.8</v>
      </c>
      <c r="I1143" s="104">
        <v>10922</v>
      </c>
      <c r="J1143" s="106">
        <v>19.3</v>
      </c>
    </row>
    <row r="1144" spans="1:10" ht="16">
      <c r="A1144" s="93" t="s">
        <v>313</v>
      </c>
      <c r="B1144" s="94" t="s">
        <v>314</v>
      </c>
      <c r="C1144" s="95" t="s">
        <v>107</v>
      </c>
      <c r="D1144" s="96" t="s">
        <v>60</v>
      </c>
      <c r="E1144" s="97">
        <v>20043</v>
      </c>
      <c r="F1144" s="97">
        <v>891</v>
      </c>
      <c r="G1144" s="97">
        <v>401</v>
      </c>
      <c r="H1144" s="98">
        <v>12.3</v>
      </c>
      <c r="I1144" s="97">
        <v>7022</v>
      </c>
      <c r="J1144" s="99">
        <v>15.7</v>
      </c>
    </row>
    <row r="1145" spans="1:10" ht="16">
      <c r="A1145" s="100" t="s">
        <v>1276</v>
      </c>
      <c r="B1145" s="101" t="s">
        <v>1190</v>
      </c>
      <c r="C1145" s="102" t="s">
        <v>76</v>
      </c>
      <c r="D1145" s="103" t="s">
        <v>82</v>
      </c>
      <c r="E1145" s="104">
        <v>9213</v>
      </c>
      <c r="F1145" s="104">
        <v>725</v>
      </c>
      <c r="G1145" s="104">
        <v>4238</v>
      </c>
      <c r="H1145" s="105">
        <v>41.8</v>
      </c>
      <c r="I1145" s="104">
        <v>28372</v>
      </c>
      <c r="J1145" s="106">
        <v>42.2</v>
      </c>
    </row>
    <row r="1146" spans="1:10" ht="16">
      <c r="A1146" s="93" t="s">
        <v>1078</v>
      </c>
      <c r="B1146" s="94" t="s">
        <v>1072</v>
      </c>
      <c r="C1146" s="95" t="s">
        <v>107</v>
      </c>
      <c r="D1146" s="96" t="s">
        <v>130</v>
      </c>
      <c r="E1146" s="97">
        <v>7579</v>
      </c>
      <c r="F1146" s="97">
        <v>642</v>
      </c>
      <c r="G1146" s="97">
        <v>2577</v>
      </c>
      <c r="H1146" s="98">
        <v>19.600000000000001</v>
      </c>
      <c r="I1146" s="97">
        <v>11601</v>
      </c>
      <c r="J1146" s="99">
        <v>30.6</v>
      </c>
    </row>
    <row r="1147" spans="1:10" ht="16">
      <c r="A1147" s="100" t="s">
        <v>1277</v>
      </c>
      <c r="B1147" s="101" t="s">
        <v>1190</v>
      </c>
      <c r="C1147" s="102" t="s">
        <v>76</v>
      </c>
      <c r="D1147" s="103" t="s">
        <v>62</v>
      </c>
      <c r="E1147" s="104">
        <v>9250</v>
      </c>
      <c r="F1147" s="104">
        <v>585</v>
      </c>
      <c r="G1147" s="104">
        <v>2128</v>
      </c>
      <c r="H1147" s="105">
        <v>25.3</v>
      </c>
      <c r="I1147" s="104">
        <v>19109</v>
      </c>
      <c r="J1147" s="106">
        <v>23.6</v>
      </c>
    </row>
    <row r="1148" spans="1:10" ht="16">
      <c r="A1148" s="93" t="s">
        <v>397</v>
      </c>
      <c r="B1148" s="94" t="s">
        <v>377</v>
      </c>
      <c r="C1148" s="95" t="s">
        <v>76</v>
      </c>
      <c r="D1148" s="96" t="s">
        <v>80</v>
      </c>
      <c r="E1148" s="97">
        <v>46898</v>
      </c>
      <c r="F1148" s="97">
        <v>2495</v>
      </c>
      <c r="G1148" s="97">
        <v>9380</v>
      </c>
      <c r="H1148" s="98">
        <v>21.1</v>
      </c>
      <c r="I1148" s="97">
        <v>13168</v>
      </c>
      <c r="J1148" s="99">
        <v>28.7</v>
      </c>
    </row>
    <row r="1149" spans="1:10" ht="16">
      <c r="A1149" s="100" t="s">
        <v>1278</v>
      </c>
      <c r="B1149" s="101" t="s">
        <v>1190</v>
      </c>
      <c r="C1149" s="102" t="s">
        <v>107</v>
      </c>
      <c r="D1149" s="103" t="s">
        <v>80</v>
      </c>
      <c r="E1149" s="104">
        <v>18517</v>
      </c>
      <c r="F1149" s="104">
        <v>975</v>
      </c>
      <c r="G1149" s="104">
        <v>5000</v>
      </c>
      <c r="H1149" s="105">
        <v>31.6</v>
      </c>
      <c r="I1149" s="104">
        <v>16403</v>
      </c>
      <c r="J1149" s="106">
        <v>28.3</v>
      </c>
    </row>
    <row r="1150" spans="1:10" ht="16">
      <c r="A1150" s="93" t="s">
        <v>443</v>
      </c>
      <c r="B1150" s="94" t="s">
        <v>402</v>
      </c>
      <c r="C1150" s="95" t="s">
        <v>107</v>
      </c>
      <c r="D1150" s="96" t="s">
        <v>77</v>
      </c>
      <c r="E1150" s="97">
        <v>26004</v>
      </c>
      <c r="F1150" s="97">
        <v>568</v>
      </c>
      <c r="G1150" s="97">
        <v>5201</v>
      </c>
      <c r="H1150" s="98">
        <v>45.4</v>
      </c>
      <c r="I1150" s="97">
        <v>23793</v>
      </c>
      <c r="J1150" s="99">
        <v>41.8</v>
      </c>
    </row>
    <row r="1151" spans="1:10" ht="16">
      <c r="A1151" s="100" t="s">
        <v>1279</v>
      </c>
      <c r="B1151" s="101" t="s">
        <v>1190</v>
      </c>
      <c r="C1151" s="102" t="s">
        <v>76</v>
      </c>
      <c r="D1151" s="103" t="s">
        <v>77</v>
      </c>
      <c r="E1151" s="104">
        <v>13125</v>
      </c>
      <c r="F1151" s="104">
        <v>820</v>
      </c>
      <c r="G1151" s="104">
        <v>4856</v>
      </c>
      <c r="H1151" s="105">
        <v>34.299999999999997</v>
      </c>
      <c r="I1151" s="104">
        <v>24679</v>
      </c>
      <c r="J1151" s="106">
        <v>30.2</v>
      </c>
    </row>
    <row r="1152" spans="1:10" ht="16">
      <c r="A1152" s="93" t="s">
        <v>1280</v>
      </c>
      <c r="B1152" s="94" t="s">
        <v>1190</v>
      </c>
      <c r="C1152" s="95" t="s">
        <v>76</v>
      </c>
      <c r="D1152" s="96" t="s">
        <v>63</v>
      </c>
      <c r="E1152" s="97">
        <v>14978</v>
      </c>
      <c r="F1152" s="97">
        <v>930</v>
      </c>
      <c r="G1152" s="97">
        <v>5841</v>
      </c>
      <c r="H1152" s="98">
        <v>37.9</v>
      </c>
      <c r="I1152" s="97">
        <v>34810</v>
      </c>
      <c r="J1152" s="99">
        <v>35.299999999999997</v>
      </c>
    </row>
    <row r="1153" spans="1:10" ht="16">
      <c r="A1153" s="100" t="s">
        <v>117</v>
      </c>
      <c r="B1153" s="101" t="s">
        <v>89</v>
      </c>
      <c r="C1153" s="102" t="s">
        <v>76</v>
      </c>
      <c r="D1153" s="103" t="s">
        <v>61</v>
      </c>
      <c r="E1153" s="104">
        <v>45111</v>
      </c>
      <c r="F1153" s="104">
        <v>2244</v>
      </c>
      <c r="G1153" s="104">
        <v>17593</v>
      </c>
      <c r="H1153" s="105">
        <v>61.5</v>
      </c>
      <c r="I1153" s="104">
        <v>55827</v>
      </c>
      <c r="J1153" s="106">
        <v>51</v>
      </c>
    </row>
    <row r="1154" spans="1:10" ht="16">
      <c r="A1154" s="93" t="s">
        <v>470</v>
      </c>
      <c r="B1154" s="94" t="s">
        <v>466</v>
      </c>
      <c r="C1154" s="95" t="s">
        <v>76</v>
      </c>
      <c r="D1154" s="96" t="s">
        <v>80</v>
      </c>
      <c r="E1154" s="97">
        <v>19700</v>
      </c>
      <c r="F1154" s="97">
        <v>1576</v>
      </c>
      <c r="G1154" s="97">
        <v>3152</v>
      </c>
      <c r="H1154" s="98">
        <v>12.4</v>
      </c>
      <c r="I1154" s="97">
        <v>4549</v>
      </c>
      <c r="J1154" s="99">
        <v>21.8</v>
      </c>
    </row>
    <row r="1155" spans="1:10" ht="16">
      <c r="A1155" s="100" t="s">
        <v>571</v>
      </c>
      <c r="B1155" s="101" t="s">
        <v>537</v>
      </c>
      <c r="C1155" s="102" t="s">
        <v>107</v>
      </c>
      <c r="D1155" s="103" t="s">
        <v>84</v>
      </c>
      <c r="E1155" s="104">
        <v>20360</v>
      </c>
      <c r="F1155" s="104">
        <v>771</v>
      </c>
      <c r="G1155" s="104">
        <v>936</v>
      </c>
      <c r="H1155" s="105">
        <v>19.899999999999999</v>
      </c>
      <c r="I1155" s="104">
        <v>8401</v>
      </c>
      <c r="J1155" s="106">
        <v>27.9</v>
      </c>
    </row>
    <row r="1156" spans="1:10" ht="16">
      <c r="A1156" s="93" t="s">
        <v>220</v>
      </c>
      <c r="B1156" s="94" t="s">
        <v>212</v>
      </c>
      <c r="C1156" s="95" t="s">
        <v>107</v>
      </c>
      <c r="D1156" s="96" t="s">
        <v>77</v>
      </c>
      <c r="E1156" s="97">
        <v>10795</v>
      </c>
      <c r="F1156" s="97">
        <v>670</v>
      </c>
      <c r="G1156" s="97">
        <v>108</v>
      </c>
      <c r="H1156" s="98">
        <v>11.2</v>
      </c>
      <c r="I1156" s="97">
        <v>3087</v>
      </c>
      <c r="J1156" s="99">
        <v>15.3</v>
      </c>
    </row>
    <row r="1157" spans="1:10" ht="16">
      <c r="A1157" s="100" t="s">
        <v>367</v>
      </c>
      <c r="B1157" s="101" t="s">
        <v>365</v>
      </c>
      <c r="C1157" s="102" t="s">
        <v>76</v>
      </c>
      <c r="D1157" s="103" t="s">
        <v>130</v>
      </c>
      <c r="E1157" s="104">
        <v>8532</v>
      </c>
      <c r="F1157" s="104">
        <v>736</v>
      </c>
      <c r="G1157" s="104">
        <v>683</v>
      </c>
      <c r="H1157" s="105">
        <v>27.1</v>
      </c>
      <c r="I1157" s="104">
        <v>22405</v>
      </c>
      <c r="J1157" s="106">
        <v>26.8</v>
      </c>
    </row>
    <row r="1158" spans="1:10" ht="16">
      <c r="A1158" s="93" t="s">
        <v>118</v>
      </c>
      <c r="B1158" s="94" t="s">
        <v>89</v>
      </c>
      <c r="C1158" s="95" t="s">
        <v>76</v>
      </c>
      <c r="D1158" s="96" t="s">
        <v>62</v>
      </c>
      <c r="E1158" s="97">
        <v>18219</v>
      </c>
      <c r="F1158" s="97">
        <v>732</v>
      </c>
      <c r="G1158" s="97">
        <v>5466</v>
      </c>
      <c r="H1158" s="98">
        <v>33.700000000000003</v>
      </c>
      <c r="I1158" s="97">
        <v>21280</v>
      </c>
      <c r="J1158" s="99">
        <v>26</v>
      </c>
    </row>
    <row r="1159" spans="1:10" ht="16">
      <c r="A1159" s="100" t="s">
        <v>119</v>
      </c>
      <c r="B1159" s="101" t="s">
        <v>89</v>
      </c>
      <c r="C1159" s="102" t="s">
        <v>76</v>
      </c>
      <c r="D1159" s="103" t="s">
        <v>59</v>
      </c>
      <c r="E1159" s="104">
        <v>26385</v>
      </c>
      <c r="F1159" s="104">
        <v>608</v>
      </c>
      <c r="G1159" s="104">
        <v>8971</v>
      </c>
      <c r="H1159" s="105">
        <v>42.9</v>
      </c>
      <c r="I1159" s="104">
        <v>32323</v>
      </c>
      <c r="J1159" s="106">
        <v>33.5</v>
      </c>
    </row>
    <row r="1160" spans="1:10" ht="16">
      <c r="A1160" s="93" t="s">
        <v>579</v>
      </c>
      <c r="B1160" s="94" t="s">
        <v>578</v>
      </c>
      <c r="C1160" s="95" t="s">
        <v>76</v>
      </c>
      <c r="D1160" s="96" t="s">
        <v>60</v>
      </c>
      <c r="E1160" s="97">
        <v>10450</v>
      </c>
      <c r="F1160" s="97">
        <v>1659</v>
      </c>
      <c r="G1160" s="97">
        <v>727</v>
      </c>
      <c r="H1160" s="98">
        <v>6.9</v>
      </c>
      <c r="I1160" s="97">
        <v>1421</v>
      </c>
      <c r="J1160" s="99">
        <v>20.5</v>
      </c>
    </row>
    <row r="1161" spans="1:10" ht="16">
      <c r="A1161" s="100" t="s">
        <v>572</v>
      </c>
      <c r="B1161" s="101" t="s">
        <v>537</v>
      </c>
      <c r="C1161" s="102" t="s">
        <v>107</v>
      </c>
      <c r="D1161" s="103" t="s">
        <v>82</v>
      </c>
      <c r="E1161" s="104">
        <v>53614</v>
      </c>
      <c r="F1161" s="104">
        <v>2188</v>
      </c>
      <c r="G1161" s="104">
        <v>1072</v>
      </c>
      <c r="H1161" s="105">
        <v>23.5</v>
      </c>
      <c r="I1161" s="104">
        <v>9114</v>
      </c>
      <c r="J1161" s="106">
        <v>36.700000000000003</v>
      </c>
    </row>
    <row r="1162" spans="1:10" ht="16">
      <c r="A1162" s="93" t="s">
        <v>1435</v>
      </c>
      <c r="B1162" s="94" t="s">
        <v>1288</v>
      </c>
      <c r="C1162" s="95" t="s">
        <v>76</v>
      </c>
      <c r="D1162" s="96" t="s">
        <v>82</v>
      </c>
      <c r="E1162" s="97">
        <v>28835</v>
      </c>
      <c r="F1162" s="97">
        <v>1144</v>
      </c>
      <c r="G1162" s="97">
        <v>4325</v>
      </c>
      <c r="H1162" s="98">
        <v>18.3</v>
      </c>
      <c r="I1162" s="97">
        <v>9196</v>
      </c>
      <c r="J1162" s="99">
        <v>21</v>
      </c>
    </row>
    <row r="1163" spans="1:10" ht="16">
      <c r="A1163" s="100" t="s">
        <v>1436</v>
      </c>
      <c r="B1163" s="101" t="s">
        <v>1288</v>
      </c>
      <c r="C1163" s="102" t="s">
        <v>76</v>
      </c>
      <c r="D1163" s="103" t="s">
        <v>61</v>
      </c>
      <c r="E1163" s="104">
        <v>49165</v>
      </c>
      <c r="F1163" s="104">
        <v>2858</v>
      </c>
      <c r="G1163" s="104">
        <v>4917</v>
      </c>
      <c r="H1163" s="105">
        <v>76.2</v>
      </c>
      <c r="I1163" s="104">
        <v>71058</v>
      </c>
      <c r="J1163" s="106">
        <v>68.2</v>
      </c>
    </row>
    <row r="1164" spans="1:10" ht="16">
      <c r="A1164" s="93" t="s">
        <v>1437</v>
      </c>
      <c r="B1164" s="94" t="s">
        <v>1288</v>
      </c>
      <c r="C1164" s="95" t="s">
        <v>107</v>
      </c>
      <c r="D1164" s="96" t="s">
        <v>92</v>
      </c>
      <c r="E1164" s="97">
        <v>22757</v>
      </c>
      <c r="F1164" s="97">
        <v>1054</v>
      </c>
      <c r="G1164" s="97">
        <v>5689</v>
      </c>
      <c r="H1164" s="98">
        <v>29.3</v>
      </c>
      <c r="I1164" s="97">
        <v>24074</v>
      </c>
      <c r="J1164" s="99">
        <v>23.7</v>
      </c>
    </row>
    <row r="1165" spans="1:10" ht="16">
      <c r="A1165" s="100" t="s">
        <v>1438</v>
      </c>
      <c r="B1165" s="101" t="s">
        <v>1288</v>
      </c>
      <c r="C1165" s="102" t="s">
        <v>76</v>
      </c>
      <c r="D1165" s="103" t="s">
        <v>77</v>
      </c>
      <c r="E1165" s="104">
        <v>17089</v>
      </c>
      <c r="F1165" s="104">
        <v>737</v>
      </c>
      <c r="G1165" s="104">
        <v>1367</v>
      </c>
      <c r="H1165" s="105">
        <v>22.9</v>
      </c>
      <c r="I1165" s="104">
        <v>8345</v>
      </c>
      <c r="J1165" s="106">
        <v>21</v>
      </c>
    </row>
    <row r="1166" spans="1:10" ht="16">
      <c r="A1166" s="93" t="s">
        <v>1439</v>
      </c>
      <c r="B1166" s="94" t="s">
        <v>1288</v>
      </c>
      <c r="C1166" s="95" t="s">
        <v>76</v>
      </c>
      <c r="D1166" s="96" t="s">
        <v>80</v>
      </c>
      <c r="E1166" s="97">
        <v>24435</v>
      </c>
      <c r="F1166" s="97">
        <v>997</v>
      </c>
      <c r="G1166" s="97">
        <v>977</v>
      </c>
      <c r="H1166" s="98">
        <v>21.1</v>
      </c>
      <c r="I1166" s="97">
        <v>16482</v>
      </c>
      <c r="J1166" s="99">
        <v>18.100000000000001</v>
      </c>
    </row>
    <row r="1167" spans="1:10" ht="16">
      <c r="A1167" s="100" t="s">
        <v>456</v>
      </c>
      <c r="B1167" s="101" t="s">
        <v>448</v>
      </c>
      <c r="C1167" s="102" t="s">
        <v>76</v>
      </c>
      <c r="D1167" s="103" t="s">
        <v>130</v>
      </c>
      <c r="E1167" s="104">
        <v>13040</v>
      </c>
      <c r="F1167" s="104">
        <v>316</v>
      </c>
      <c r="G1167" s="104">
        <v>130</v>
      </c>
      <c r="H1167" s="105">
        <v>17.8</v>
      </c>
      <c r="I1167" s="104">
        <v>7895</v>
      </c>
      <c r="J1167" s="106">
        <v>18.100000000000001</v>
      </c>
    </row>
    <row r="1168" spans="1:10" ht="16">
      <c r="A1168" s="93" t="s">
        <v>221</v>
      </c>
      <c r="B1168" s="94" t="s">
        <v>212</v>
      </c>
      <c r="C1168" s="95" t="s">
        <v>76</v>
      </c>
      <c r="D1168" s="96" t="s">
        <v>82</v>
      </c>
      <c r="E1168" s="97">
        <v>8402</v>
      </c>
      <c r="F1168" s="97">
        <v>583</v>
      </c>
      <c r="G1168" s="97">
        <v>168</v>
      </c>
      <c r="H1168" s="98">
        <v>10.5</v>
      </c>
      <c r="I1168" s="97">
        <v>1648</v>
      </c>
      <c r="J1168" s="99">
        <v>16.100000000000001</v>
      </c>
    </row>
    <row r="1169" spans="1:10" ht="16">
      <c r="A1169" s="100" t="s">
        <v>309</v>
      </c>
      <c r="B1169" s="101" t="s">
        <v>304</v>
      </c>
      <c r="C1169" s="102" t="s">
        <v>107</v>
      </c>
      <c r="D1169" s="103" t="s">
        <v>61</v>
      </c>
      <c r="E1169" s="104">
        <v>15521</v>
      </c>
      <c r="F1169" s="104">
        <v>1176</v>
      </c>
      <c r="G1169" s="104">
        <v>310</v>
      </c>
      <c r="H1169" s="105">
        <v>15.9</v>
      </c>
      <c r="I1169" s="104">
        <v>7175</v>
      </c>
      <c r="J1169" s="106">
        <v>21.1</v>
      </c>
    </row>
    <row r="1170" spans="1:10" ht="16">
      <c r="A1170" s="93" t="s">
        <v>1458</v>
      </c>
      <c r="B1170" s="94" t="s">
        <v>1459</v>
      </c>
      <c r="C1170" s="95" t="s">
        <v>76</v>
      </c>
      <c r="D1170" s="96" t="s">
        <v>84</v>
      </c>
      <c r="E1170" s="97">
        <v>42198</v>
      </c>
      <c r="F1170" s="97">
        <v>2512</v>
      </c>
      <c r="G1170" s="97">
        <v>4007</v>
      </c>
      <c r="H1170" s="98">
        <v>7.9</v>
      </c>
      <c r="I1170" s="97">
        <v>719</v>
      </c>
      <c r="J1170" s="99">
        <v>15</v>
      </c>
    </row>
    <row r="1171" spans="1:10" ht="16">
      <c r="A1171" s="100" t="s">
        <v>1051</v>
      </c>
      <c r="B1171" s="101" t="s">
        <v>1020</v>
      </c>
      <c r="C1171" s="102" t="s">
        <v>76</v>
      </c>
      <c r="D1171" s="103" t="s">
        <v>61</v>
      </c>
      <c r="E1171" s="104">
        <v>11277</v>
      </c>
      <c r="F1171" s="104">
        <v>881</v>
      </c>
      <c r="G1171" s="104">
        <v>789</v>
      </c>
      <c r="H1171" s="105">
        <v>13.6</v>
      </c>
      <c r="I1171" s="104">
        <v>8044</v>
      </c>
      <c r="J1171" s="106">
        <v>20.3</v>
      </c>
    </row>
    <row r="1172" spans="1:10" ht="16">
      <c r="A1172" s="93" t="s">
        <v>1052</v>
      </c>
      <c r="B1172" s="94" t="s">
        <v>1020</v>
      </c>
      <c r="C1172" s="95" t="s">
        <v>76</v>
      </c>
      <c r="D1172" s="96" t="s">
        <v>82</v>
      </c>
      <c r="E1172" s="97">
        <v>42485</v>
      </c>
      <c r="F1172" s="97">
        <v>2871</v>
      </c>
      <c r="G1172" s="97">
        <v>1699</v>
      </c>
      <c r="H1172" s="98">
        <v>17.100000000000001</v>
      </c>
      <c r="I1172" s="97">
        <v>8110</v>
      </c>
      <c r="J1172" s="99">
        <v>22</v>
      </c>
    </row>
    <row r="1173" spans="1:10" ht="16">
      <c r="A1173" s="100" t="s">
        <v>310</v>
      </c>
      <c r="B1173" s="101" t="s">
        <v>304</v>
      </c>
      <c r="C1173" s="102" t="s">
        <v>76</v>
      </c>
      <c r="D1173" s="103" t="s">
        <v>63</v>
      </c>
      <c r="E1173" s="104">
        <v>14228</v>
      </c>
      <c r="F1173" s="104">
        <v>694</v>
      </c>
      <c r="G1173" s="104">
        <v>427</v>
      </c>
      <c r="H1173" s="105">
        <v>10.9</v>
      </c>
      <c r="I1173" s="104">
        <v>1255</v>
      </c>
      <c r="J1173" s="106">
        <v>15</v>
      </c>
    </row>
    <row r="1174" spans="1:10" ht="16">
      <c r="A1174" s="93" t="s">
        <v>877</v>
      </c>
      <c r="B1174" s="94" t="s">
        <v>876</v>
      </c>
      <c r="C1174" s="95" t="s">
        <v>76</v>
      </c>
      <c r="D1174" s="96" t="s">
        <v>62</v>
      </c>
      <c r="E1174" s="97">
        <v>39877</v>
      </c>
      <c r="F1174" s="97">
        <v>4747</v>
      </c>
      <c r="G1174" s="97">
        <v>399</v>
      </c>
      <c r="H1174" s="98">
        <v>17.2</v>
      </c>
      <c r="I1174" s="97">
        <v>14999</v>
      </c>
      <c r="J1174" s="99">
        <v>24.1</v>
      </c>
    </row>
    <row r="1175" spans="1:10" ht="16">
      <c r="A1175" s="100" t="s">
        <v>870</v>
      </c>
      <c r="B1175" s="101" t="s">
        <v>858</v>
      </c>
      <c r="C1175" s="102" t="s">
        <v>76</v>
      </c>
      <c r="D1175" s="103" t="s">
        <v>82</v>
      </c>
      <c r="E1175" s="104">
        <v>27907</v>
      </c>
      <c r="F1175" s="104">
        <v>1037</v>
      </c>
      <c r="G1175" s="104">
        <v>1942</v>
      </c>
      <c r="H1175" s="105">
        <v>10.4</v>
      </c>
      <c r="I1175" s="104">
        <v>3552</v>
      </c>
      <c r="J1175" s="106">
        <v>19.5</v>
      </c>
    </row>
    <row r="1176" spans="1:10" ht="16">
      <c r="A1176" s="93" t="s">
        <v>742</v>
      </c>
      <c r="B1176" s="94" t="s">
        <v>642</v>
      </c>
      <c r="C1176" s="95" t="s">
        <v>107</v>
      </c>
      <c r="D1176" s="96" t="s">
        <v>60</v>
      </c>
      <c r="E1176" s="97">
        <v>8222</v>
      </c>
      <c r="F1176" s="97">
        <v>754</v>
      </c>
      <c r="G1176" s="97">
        <v>164</v>
      </c>
      <c r="H1176" s="98">
        <v>11.8</v>
      </c>
      <c r="I1176" s="97">
        <v>1786</v>
      </c>
      <c r="J1176" s="99">
        <v>19.2</v>
      </c>
    </row>
    <row r="1177" spans="1:10" ht="16">
      <c r="A1177" s="100" t="s">
        <v>178</v>
      </c>
      <c r="B1177" s="101" t="s">
        <v>150</v>
      </c>
      <c r="C1177" s="102" t="s">
        <v>76</v>
      </c>
      <c r="D1177" s="103" t="s">
        <v>130</v>
      </c>
      <c r="E1177" s="104">
        <v>21715</v>
      </c>
      <c r="F1177" s="104">
        <v>916</v>
      </c>
      <c r="G1177" s="104">
        <v>1495</v>
      </c>
      <c r="H1177" s="105">
        <v>10</v>
      </c>
      <c r="I1177" s="104">
        <v>2150</v>
      </c>
      <c r="J1177" s="106">
        <v>18.399999999999999</v>
      </c>
    </row>
    <row r="1178" spans="1:10" ht="16">
      <c r="A1178" s="93" t="s">
        <v>120</v>
      </c>
      <c r="B1178" s="94" t="s">
        <v>89</v>
      </c>
      <c r="C1178" s="95" t="s">
        <v>76</v>
      </c>
      <c r="D1178" s="96" t="s">
        <v>84</v>
      </c>
      <c r="E1178" s="97">
        <v>9720</v>
      </c>
      <c r="F1178" s="97">
        <v>311</v>
      </c>
      <c r="G1178" s="97">
        <v>1652</v>
      </c>
      <c r="H1178" s="98">
        <v>23.5</v>
      </c>
      <c r="I1178" s="97">
        <v>10854</v>
      </c>
      <c r="J1178" s="99">
        <v>17.3</v>
      </c>
    </row>
    <row r="1179" spans="1:10" ht="16">
      <c r="A1179" s="100" t="s">
        <v>1281</v>
      </c>
      <c r="B1179" s="101" t="s">
        <v>1190</v>
      </c>
      <c r="C1179" s="102" t="s">
        <v>76</v>
      </c>
      <c r="D1179" s="103" t="s">
        <v>84</v>
      </c>
      <c r="E1179" s="104">
        <v>21737</v>
      </c>
      <c r="F1179" s="104">
        <v>1188</v>
      </c>
      <c r="G1179" s="104">
        <v>4565</v>
      </c>
      <c r="H1179" s="105">
        <v>15.2</v>
      </c>
      <c r="I1179" s="104">
        <v>7400</v>
      </c>
      <c r="J1179" s="106">
        <v>17.100000000000001</v>
      </c>
    </row>
    <row r="1180" spans="1:10" ht="16">
      <c r="A1180" s="93" t="s">
        <v>1282</v>
      </c>
      <c r="B1180" s="94" t="s">
        <v>1190</v>
      </c>
      <c r="C1180" s="95" t="s">
        <v>76</v>
      </c>
      <c r="D1180" s="96" t="s">
        <v>80</v>
      </c>
      <c r="E1180" s="97">
        <v>11730</v>
      </c>
      <c r="F1180" s="97">
        <v>524</v>
      </c>
      <c r="G1180" s="97">
        <v>2463</v>
      </c>
      <c r="H1180" s="98">
        <v>13.9</v>
      </c>
      <c r="I1180" s="97">
        <v>10728</v>
      </c>
      <c r="J1180" s="99">
        <v>13.9</v>
      </c>
    </row>
    <row r="1181" spans="1:10" ht="16">
      <c r="A1181" s="100" t="s">
        <v>985</v>
      </c>
      <c r="B1181" s="101" t="s">
        <v>977</v>
      </c>
      <c r="C1181" s="102" t="s">
        <v>76</v>
      </c>
      <c r="D1181" s="103" t="s">
        <v>80</v>
      </c>
      <c r="E1181" s="104">
        <v>21999</v>
      </c>
      <c r="F1181" s="104">
        <v>721</v>
      </c>
      <c r="G1181" s="104">
        <v>1760</v>
      </c>
      <c r="H1181" s="105">
        <v>20</v>
      </c>
      <c r="I1181" s="104">
        <v>12066</v>
      </c>
      <c r="J1181" s="106">
        <v>18.3</v>
      </c>
    </row>
    <row r="1182" spans="1:10" ht="16">
      <c r="A1182" s="93" t="s">
        <v>986</v>
      </c>
      <c r="B1182" s="94" t="s">
        <v>977</v>
      </c>
      <c r="C1182" s="95" t="s">
        <v>76</v>
      </c>
      <c r="D1182" s="96" t="s">
        <v>59</v>
      </c>
      <c r="E1182" s="97">
        <v>28521</v>
      </c>
      <c r="F1182" s="97">
        <v>1084</v>
      </c>
      <c r="G1182" s="97">
        <v>2282</v>
      </c>
      <c r="H1182" s="98">
        <v>43.2</v>
      </c>
      <c r="I1182" s="97">
        <v>34051</v>
      </c>
      <c r="J1182" s="99">
        <v>31.2</v>
      </c>
    </row>
    <row r="1183" spans="1:10" ht="16">
      <c r="A1183" s="100" t="s">
        <v>457</v>
      </c>
      <c r="B1183" s="101" t="s">
        <v>448</v>
      </c>
      <c r="C1183" s="102" t="s">
        <v>76</v>
      </c>
      <c r="D1183" s="103" t="s">
        <v>59</v>
      </c>
      <c r="E1183" s="104">
        <v>17004</v>
      </c>
      <c r="F1183" s="104">
        <v>437</v>
      </c>
      <c r="G1183" s="104">
        <v>680</v>
      </c>
      <c r="H1183" s="105">
        <v>20.2</v>
      </c>
      <c r="I1183" s="104">
        <v>9864</v>
      </c>
      <c r="J1183" s="106">
        <v>15.7</v>
      </c>
    </row>
    <row r="1184" spans="1:10" ht="16">
      <c r="A1184" s="93" t="s">
        <v>83</v>
      </c>
      <c r="B1184" s="94" t="s">
        <v>75</v>
      </c>
      <c r="C1184" s="95" t="s">
        <v>76</v>
      </c>
      <c r="D1184" s="96" t="s">
        <v>84</v>
      </c>
      <c r="E1184" s="97">
        <v>43446</v>
      </c>
      <c r="F1184" s="97">
        <v>1773</v>
      </c>
      <c r="G1184" s="97">
        <v>434</v>
      </c>
      <c r="H1184" s="98">
        <v>8.8000000000000007</v>
      </c>
      <c r="I1184" s="97">
        <v>496</v>
      </c>
      <c r="J1184" s="99">
        <v>29.1</v>
      </c>
    </row>
    <row r="1185" spans="1:10" ht="16">
      <c r="A1185" s="100" t="s">
        <v>1440</v>
      </c>
      <c r="B1185" s="101" t="s">
        <v>1288</v>
      </c>
      <c r="C1185" s="102" t="s">
        <v>76</v>
      </c>
      <c r="D1185" s="103" t="s">
        <v>61</v>
      </c>
      <c r="E1185" s="104">
        <v>18587</v>
      </c>
      <c r="F1185" s="104">
        <v>1199</v>
      </c>
      <c r="G1185" s="104">
        <v>2045</v>
      </c>
      <c r="H1185" s="105">
        <v>13.9</v>
      </c>
      <c r="I1185" s="104">
        <v>6807</v>
      </c>
      <c r="J1185" s="106">
        <v>33.700000000000003</v>
      </c>
    </row>
    <row r="1186" spans="1:10" ht="16">
      <c r="A1186" s="93" t="s">
        <v>205</v>
      </c>
      <c r="B1186" s="94" t="s">
        <v>184</v>
      </c>
      <c r="C1186" s="95" t="s">
        <v>76</v>
      </c>
      <c r="D1186" s="96" t="s">
        <v>62</v>
      </c>
      <c r="E1186" s="97">
        <v>73370</v>
      </c>
      <c r="F1186" s="97">
        <v>3650</v>
      </c>
      <c r="G1186" s="97">
        <v>15408</v>
      </c>
      <c r="H1186" s="98">
        <v>89.5</v>
      </c>
      <c r="I1186" s="97">
        <v>83830</v>
      </c>
      <c r="J1186" s="99">
        <v>76.599999999999994</v>
      </c>
    </row>
    <row r="1187" spans="1:10" ht="16">
      <c r="A1187" s="100" t="s">
        <v>398</v>
      </c>
      <c r="B1187" s="101" t="s">
        <v>377</v>
      </c>
      <c r="C1187" s="102" t="s">
        <v>76</v>
      </c>
      <c r="D1187" s="103" t="s">
        <v>59</v>
      </c>
      <c r="E1187" s="104">
        <v>27285</v>
      </c>
      <c r="F1187" s="104">
        <v>1287</v>
      </c>
      <c r="G1187" s="104">
        <v>3001</v>
      </c>
      <c r="H1187" s="105">
        <v>12.5</v>
      </c>
      <c r="I1187" s="104">
        <v>6091</v>
      </c>
      <c r="J1187" s="106">
        <v>30.2</v>
      </c>
    </row>
    <row r="1188" spans="1:10" ht="16">
      <c r="A1188" s="93" t="s">
        <v>743</v>
      </c>
      <c r="B1188" s="94" t="s">
        <v>642</v>
      </c>
      <c r="C1188" s="95" t="s">
        <v>107</v>
      </c>
      <c r="D1188" s="96" t="s">
        <v>60</v>
      </c>
      <c r="E1188" s="97">
        <v>9133</v>
      </c>
      <c r="F1188" s="97">
        <v>761</v>
      </c>
      <c r="G1188" s="97">
        <v>274</v>
      </c>
      <c r="H1188" s="98">
        <v>13</v>
      </c>
      <c r="I1188" s="97">
        <v>2647</v>
      </c>
      <c r="J1188" s="99">
        <v>21.1</v>
      </c>
    </row>
    <row r="1189" spans="1:10" ht="16">
      <c r="A1189" s="100" t="s">
        <v>632</v>
      </c>
      <c r="B1189" s="101" t="s">
        <v>598</v>
      </c>
      <c r="C1189" s="102" t="s">
        <v>76</v>
      </c>
      <c r="D1189" s="103" t="s">
        <v>60</v>
      </c>
      <c r="E1189" s="104">
        <v>12920</v>
      </c>
      <c r="F1189" s="104">
        <v>663</v>
      </c>
      <c r="G1189" s="104">
        <v>904</v>
      </c>
      <c r="H1189" s="105">
        <v>31.7</v>
      </c>
      <c r="I1189" s="104">
        <v>24731</v>
      </c>
      <c r="J1189" s="106">
        <v>27.7</v>
      </c>
    </row>
    <row r="1190" spans="1:10" ht="16">
      <c r="A1190" s="93" t="s">
        <v>633</v>
      </c>
      <c r="B1190" s="94" t="s">
        <v>598</v>
      </c>
      <c r="C1190" s="95" t="s">
        <v>76</v>
      </c>
      <c r="D1190" s="96" t="s">
        <v>60</v>
      </c>
      <c r="E1190" s="97">
        <v>15933</v>
      </c>
      <c r="F1190" s="97">
        <v>678</v>
      </c>
      <c r="G1190" s="97">
        <v>1275</v>
      </c>
      <c r="H1190" s="98">
        <v>22.7</v>
      </c>
      <c r="I1190" s="97">
        <v>15196</v>
      </c>
      <c r="J1190" s="99">
        <v>30.1</v>
      </c>
    </row>
    <row r="1191" spans="1:10" ht="16">
      <c r="A1191" s="100" t="s">
        <v>744</v>
      </c>
      <c r="B1191" s="101" t="s">
        <v>642</v>
      </c>
      <c r="C1191" s="102" t="s">
        <v>107</v>
      </c>
      <c r="D1191" s="103" t="s">
        <v>130</v>
      </c>
      <c r="E1191" s="104">
        <v>16844</v>
      </c>
      <c r="F1191" s="104">
        <v>1239</v>
      </c>
      <c r="G1191" s="104">
        <v>3537</v>
      </c>
      <c r="H1191" s="105">
        <v>37.200000000000003</v>
      </c>
      <c r="I1191" s="104">
        <v>12811</v>
      </c>
      <c r="J1191" s="106">
        <v>43.3</v>
      </c>
    </row>
    <row r="1192" spans="1:10" ht="16">
      <c r="A1192" s="93" t="s">
        <v>1441</v>
      </c>
      <c r="B1192" s="94" t="s">
        <v>1288</v>
      </c>
      <c r="C1192" s="95" t="s">
        <v>107</v>
      </c>
      <c r="D1192" s="96" t="s">
        <v>60</v>
      </c>
      <c r="E1192" s="97">
        <v>5067</v>
      </c>
      <c r="F1192" s="97">
        <v>409</v>
      </c>
      <c r="G1192" s="97">
        <v>811</v>
      </c>
      <c r="H1192" s="98">
        <v>16.2</v>
      </c>
      <c r="I1192" s="97">
        <v>11187</v>
      </c>
      <c r="J1192" s="99">
        <v>33.5</v>
      </c>
    </row>
    <row r="1193" spans="1:10" ht="16">
      <c r="A1193" s="100" t="s">
        <v>1140</v>
      </c>
      <c r="B1193" s="101" t="s">
        <v>1135</v>
      </c>
      <c r="C1193" s="102" t="s">
        <v>76</v>
      </c>
      <c r="D1193" s="103" t="s">
        <v>77</v>
      </c>
      <c r="E1193" s="104">
        <v>33923</v>
      </c>
      <c r="F1193" s="104">
        <v>3359</v>
      </c>
      <c r="G1193" s="104">
        <v>339</v>
      </c>
      <c r="H1193" s="105">
        <v>9.9</v>
      </c>
      <c r="I1193" s="104">
        <v>1826</v>
      </c>
      <c r="J1193" s="106">
        <v>25.6</v>
      </c>
    </row>
    <row r="1194" spans="1:10" ht="16">
      <c r="A1194" s="93" t="s">
        <v>634</v>
      </c>
      <c r="B1194" s="94" t="s">
        <v>598</v>
      </c>
      <c r="C1194" s="95" t="s">
        <v>76</v>
      </c>
      <c r="D1194" s="96" t="s">
        <v>84</v>
      </c>
      <c r="E1194" s="97">
        <v>55957</v>
      </c>
      <c r="F1194" s="97">
        <v>1890</v>
      </c>
      <c r="G1194" s="97">
        <v>4477</v>
      </c>
      <c r="H1194" s="98">
        <v>27.3</v>
      </c>
      <c r="I1194" s="97">
        <v>20565</v>
      </c>
      <c r="J1194" s="99">
        <v>22.6</v>
      </c>
    </row>
    <row r="1195" spans="1:10" ht="16">
      <c r="A1195" s="100" t="s">
        <v>375</v>
      </c>
      <c r="B1195" s="101" t="s">
        <v>369</v>
      </c>
      <c r="C1195" s="102" t="s">
        <v>76</v>
      </c>
      <c r="D1195" s="103" t="s">
        <v>84</v>
      </c>
      <c r="E1195" s="104">
        <v>12785</v>
      </c>
      <c r="F1195" s="104">
        <v>784</v>
      </c>
      <c r="G1195" s="104">
        <v>767</v>
      </c>
      <c r="H1195" s="105">
        <v>30.8</v>
      </c>
      <c r="I1195" s="104">
        <v>22701</v>
      </c>
      <c r="J1195" s="106">
        <v>27.1</v>
      </c>
    </row>
    <row r="1196" spans="1:10" ht="16">
      <c r="A1196" s="93" t="s">
        <v>829</v>
      </c>
      <c r="B1196" s="94" t="s">
        <v>820</v>
      </c>
      <c r="C1196" s="95" t="s">
        <v>107</v>
      </c>
      <c r="D1196" s="96" t="s">
        <v>59</v>
      </c>
      <c r="E1196" s="97">
        <v>7584</v>
      </c>
      <c r="F1196" s="97">
        <v>546</v>
      </c>
      <c r="G1196" s="97">
        <v>2427</v>
      </c>
      <c r="H1196" s="98">
        <v>46.8</v>
      </c>
      <c r="I1196" s="97">
        <v>26044</v>
      </c>
      <c r="J1196" s="99">
        <v>35.200000000000003</v>
      </c>
    </row>
    <row r="1197" spans="1:10" ht="16">
      <c r="A1197" s="100" t="s">
        <v>635</v>
      </c>
      <c r="B1197" s="101" t="s">
        <v>598</v>
      </c>
      <c r="C1197" s="102" t="s">
        <v>76</v>
      </c>
      <c r="D1197" s="103" t="s">
        <v>63</v>
      </c>
      <c r="E1197" s="104">
        <v>11793</v>
      </c>
      <c r="F1197" s="104">
        <v>663</v>
      </c>
      <c r="G1197" s="104">
        <v>826</v>
      </c>
      <c r="H1197" s="105">
        <v>16.100000000000001</v>
      </c>
      <c r="I1197" s="104">
        <v>11105</v>
      </c>
      <c r="J1197" s="106">
        <v>26.2</v>
      </c>
    </row>
    <row r="1198" spans="1:10" ht="16">
      <c r="A1198" s="93" t="s">
        <v>1016</v>
      </c>
      <c r="B1198" s="94" t="s">
        <v>988</v>
      </c>
      <c r="C1198" s="95" t="s">
        <v>107</v>
      </c>
      <c r="D1198" s="96" t="s">
        <v>61</v>
      </c>
      <c r="E1198" s="97">
        <v>12730</v>
      </c>
      <c r="F1198" s="97">
        <v>1107</v>
      </c>
      <c r="G1198" s="97">
        <v>382</v>
      </c>
      <c r="H1198" s="98">
        <v>23.4</v>
      </c>
      <c r="I1198" s="97">
        <v>14475</v>
      </c>
      <c r="J1198" s="99">
        <v>20.6</v>
      </c>
    </row>
    <row r="1199" spans="1:10" ht="16">
      <c r="A1199" s="100" t="s">
        <v>636</v>
      </c>
      <c r="B1199" s="101" t="s">
        <v>598</v>
      </c>
      <c r="C1199" s="102" t="s">
        <v>76</v>
      </c>
      <c r="D1199" s="103" t="s">
        <v>62</v>
      </c>
      <c r="E1199" s="104">
        <v>14278</v>
      </c>
      <c r="F1199" s="104">
        <v>361</v>
      </c>
      <c r="G1199" s="104">
        <v>857</v>
      </c>
      <c r="H1199" s="105">
        <v>14.6</v>
      </c>
      <c r="I1199" s="104">
        <v>12950</v>
      </c>
      <c r="J1199" s="106">
        <v>17.100000000000001</v>
      </c>
    </row>
    <row r="1200" spans="1:10" ht="16">
      <c r="A1200" s="93" t="s">
        <v>1442</v>
      </c>
      <c r="B1200" s="94" t="s">
        <v>1288</v>
      </c>
      <c r="C1200" s="95" t="s">
        <v>107</v>
      </c>
      <c r="D1200" s="96" t="s">
        <v>63</v>
      </c>
      <c r="E1200" s="97">
        <v>30365</v>
      </c>
      <c r="F1200" s="97">
        <v>2138</v>
      </c>
      <c r="G1200" s="97">
        <v>2429</v>
      </c>
      <c r="H1200" s="98">
        <v>34.700000000000003</v>
      </c>
      <c r="I1200" s="97">
        <v>30057</v>
      </c>
      <c r="J1200" s="99">
        <v>39</v>
      </c>
    </row>
    <row r="1201" spans="1:10" ht="16">
      <c r="A1201" s="100" t="s">
        <v>1053</v>
      </c>
      <c r="B1201" s="101" t="s">
        <v>1020</v>
      </c>
      <c r="C1201" s="102" t="s">
        <v>76</v>
      </c>
      <c r="D1201" s="103" t="s">
        <v>61</v>
      </c>
      <c r="E1201" s="104">
        <v>50311</v>
      </c>
      <c r="F1201" s="104">
        <v>3377</v>
      </c>
      <c r="G1201" s="104">
        <v>6037</v>
      </c>
      <c r="H1201" s="105">
        <v>20.8</v>
      </c>
      <c r="I1201" s="104">
        <v>14742</v>
      </c>
      <c r="J1201" s="106">
        <v>24.6</v>
      </c>
    </row>
    <row r="1202" spans="1:10" ht="16">
      <c r="A1202" s="93" t="s">
        <v>1054</v>
      </c>
      <c r="B1202" s="94" t="s">
        <v>1020</v>
      </c>
      <c r="C1202" s="95" t="s">
        <v>76</v>
      </c>
      <c r="D1202" s="96" t="s">
        <v>80</v>
      </c>
      <c r="E1202" s="97">
        <v>23232</v>
      </c>
      <c r="F1202" s="97">
        <v>1889</v>
      </c>
      <c r="G1202" s="97">
        <v>1394</v>
      </c>
      <c r="H1202" s="98">
        <v>11.8</v>
      </c>
      <c r="I1202" s="97">
        <v>2737</v>
      </c>
      <c r="J1202" s="99">
        <v>21.7</v>
      </c>
    </row>
    <row r="1203" spans="1:10" ht="16">
      <c r="A1203" s="100" t="s">
        <v>871</v>
      </c>
      <c r="B1203" s="101" t="s">
        <v>858</v>
      </c>
      <c r="C1203" s="102" t="s">
        <v>107</v>
      </c>
      <c r="D1203" s="103" t="s">
        <v>92</v>
      </c>
      <c r="E1203" s="104">
        <v>5794</v>
      </c>
      <c r="F1203" s="104">
        <v>203</v>
      </c>
      <c r="G1203" s="104">
        <v>58</v>
      </c>
      <c r="H1203" s="105">
        <v>10.3</v>
      </c>
      <c r="I1203" s="104">
        <v>883</v>
      </c>
      <c r="J1203" s="106">
        <v>14.5</v>
      </c>
    </row>
    <row r="1204" spans="1:10" ht="16">
      <c r="A1204" s="93" t="s">
        <v>206</v>
      </c>
      <c r="B1204" s="94" t="s">
        <v>184</v>
      </c>
      <c r="C1204" s="95" t="s">
        <v>76</v>
      </c>
      <c r="D1204" s="96" t="s">
        <v>63</v>
      </c>
      <c r="E1204" s="97">
        <v>21169</v>
      </c>
      <c r="F1204" s="97">
        <v>824</v>
      </c>
      <c r="G1204" s="97">
        <v>4234</v>
      </c>
      <c r="H1204" s="98">
        <v>15.9</v>
      </c>
      <c r="I1204" s="97">
        <v>11215</v>
      </c>
      <c r="J1204" s="99">
        <v>23.6</v>
      </c>
    </row>
    <row r="1205" spans="1:10" ht="16">
      <c r="A1205" s="100" t="s">
        <v>137</v>
      </c>
      <c r="B1205" s="101" t="s">
        <v>127</v>
      </c>
      <c r="C1205" s="102" t="s">
        <v>76</v>
      </c>
      <c r="D1205" s="103" t="s">
        <v>77</v>
      </c>
      <c r="E1205" s="104">
        <v>33547</v>
      </c>
      <c r="F1205" s="104">
        <v>835</v>
      </c>
      <c r="G1205" s="104">
        <v>9058</v>
      </c>
      <c r="H1205" s="105">
        <v>55.3</v>
      </c>
      <c r="I1205" s="104">
        <v>35727</v>
      </c>
      <c r="J1205" s="106">
        <v>48.1</v>
      </c>
    </row>
    <row r="1206" spans="1:10" ht="16">
      <c r="A1206" s="93" t="s">
        <v>1055</v>
      </c>
      <c r="B1206" s="94" t="s">
        <v>1020</v>
      </c>
      <c r="C1206" s="95" t="s">
        <v>107</v>
      </c>
      <c r="D1206" s="96" t="s">
        <v>77</v>
      </c>
      <c r="E1206" s="97">
        <v>18652</v>
      </c>
      <c r="F1206" s="97">
        <v>1137</v>
      </c>
      <c r="G1206" s="97">
        <v>933</v>
      </c>
      <c r="H1206" s="98">
        <v>14.6</v>
      </c>
      <c r="I1206" s="97">
        <v>5783</v>
      </c>
      <c r="J1206" s="99">
        <v>17.7</v>
      </c>
    </row>
    <row r="1207" spans="1:10" ht="16">
      <c r="A1207" s="100" t="s">
        <v>1443</v>
      </c>
      <c r="B1207" s="101" t="s">
        <v>1288</v>
      </c>
      <c r="C1207" s="102" t="s">
        <v>76</v>
      </c>
      <c r="D1207" s="103" t="s">
        <v>130</v>
      </c>
      <c r="E1207" s="104">
        <v>23116</v>
      </c>
      <c r="F1207" s="104">
        <v>2688</v>
      </c>
      <c r="G1207" s="104">
        <v>2774</v>
      </c>
      <c r="H1207" s="105">
        <v>43.5</v>
      </c>
      <c r="I1207" s="104">
        <v>39788</v>
      </c>
      <c r="J1207" s="106">
        <v>54.4</v>
      </c>
    </row>
    <row r="1208" spans="1:10" ht="16">
      <c r="A1208" s="93" t="s">
        <v>840</v>
      </c>
      <c r="B1208" s="94" t="s">
        <v>834</v>
      </c>
      <c r="C1208" s="95" t="s">
        <v>76</v>
      </c>
      <c r="D1208" s="96" t="s">
        <v>130</v>
      </c>
      <c r="E1208" s="97">
        <v>9892</v>
      </c>
      <c r="F1208" s="97">
        <v>547</v>
      </c>
      <c r="G1208" s="97">
        <v>1879</v>
      </c>
      <c r="H1208" s="98">
        <v>26.3</v>
      </c>
      <c r="I1208" s="97">
        <v>12880</v>
      </c>
      <c r="J1208" s="99">
        <v>20.8</v>
      </c>
    </row>
    <row r="1209" spans="1:10" ht="16">
      <c r="A1209" s="100" t="s">
        <v>889</v>
      </c>
      <c r="B1209" s="101" t="s">
        <v>879</v>
      </c>
      <c r="C1209" s="102" t="s">
        <v>76</v>
      </c>
      <c r="D1209" s="103" t="s">
        <v>84</v>
      </c>
      <c r="E1209" s="104">
        <v>50484</v>
      </c>
      <c r="F1209" s="104">
        <v>3606</v>
      </c>
      <c r="G1209" s="104">
        <v>5048</v>
      </c>
      <c r="H1209" s="105">
        <v>21.5</v>
      </c>
      <c r="I1209" s="104">
        <v>8918</v>
      </c>
      <c r="J1209" s="106">
        <v>25.8</v>
      </c>
    </row>
    <row r="1210" spans="1:10" ht="16">
      <c r="A1210" s="93" t="s">
        <v>1283</v>
      </c>
      <c r="B1210" s="94" t="s">
        <v>1190</v>
      </c>
      <c r="C1210" s="95" t="s">
        <v>107</v>
      </c>
      <c r="D1210" s="96" t="s">
        <v>82</v>
      </c>
      <c r="E1210" s="97">
        <v>20599</v>
      </c>
      <c r="F1210" s="97">
        <v>1561</v>
      </c>
      <c r="G1210" s="97">
        <v>8446</v>
      </c>
      <c r="H1210" s="98">
        <v>52.7</v>
      </c>
      <c r="I1210" s="97">
        <v>46877</v>
      </c>
      <c r="J1210" s="99">
        <v>46.9</v>
      </c>
    </row>
    <row r="1211" spans="1:10" ht="16">
      <c r="A1211" s="100" t="s">
        <v>1444</v>
      </c>
      <c r="B1211" s="101" t="s">
        <v>1288</v>
      </c>
      <c r="C1211" s="102" t="s">
        <v>76</v>
      </c>
      <c r="D1211" s="103" t="s">
        <v>61</v>
      </c>
      <c r="E1211" s="104">
        <v>45692</v>
      </c>
      <c r="F1211" s="104">
        <v>4116</v>
      </c>
      <c r="G1211" s="104">
        <v>7311</v>
      </c>
      <c r="H1211" s="105">
        <v>82.2</v>
      </c>
      <c r="I1211" s="104">
        <v>81094</v>
      </c>
      <c r="J1211" s="106">
        <v>72.2</v>
      </c>
    </row>
    <row r="1212" spans="1:10" ht="16">
      <c r="A1212" s="93" t="s">
        <v>207</v>
      </c>
      <c r="B1212" s="94" t="s">
        <v>184</v>
      </c>
      <c r="C1212" s="95" t="s">
        <v>107</v>
      </c>
      <c r="D1212" s="96" t="s">
        <v>82</v>
      </c>
      <c r="E1212" s="97">
        <v>33519</v>
      </c>
      <c r="F1212" s="97">
        <v>1420</v>
      </c>
      <c r="G1212" s="97">
        <v>6704</v>
      </c>
      <c r="H1212" s="98">
        <v>42.1</v>
      </c>
      <c r="I1212" s="97">
        <v>27935</v>
      </c>
      <c r="J1212" s="99">
        <v>35</v>
      </c>
    </row>
    <row r="1213" spans="1:10" ht="16">
      <c r="A1213" s="100" t="s">
        <v>333</v>
      </c>
      <c r="B1213" s="101" t="s">
        <v>322</v>
      </c>
      <c r="C1213" s="102" t="s">
        <v>76</v>
      </c>
      <c r="D1213" s="103" t="s">
        <v>61</v>
      </c>
      <c r="E1213" s="104">
        <v>10540</v>
      </c>
      <c r="F1213" s="104">
        <v>693</v>
      </c>
      <c r="G1213" s="104">
        <v>527</v>
      </c>
      <c r="H1213" s="105">
        <v>15.7</v>
      </c>
      <c r="I1213" s="104">
        <v>2633</v>
      </c>
      <c r="J1213" s="106">
        <v>18.100000000000001</v>
      </c>
    </row>
    <row r="1214" spans="1:10" ht="16">
      <c r="A1214" s="93" t="s">
        <v>121</v>
      </c>
      <c r="B1214" s="94" t="s">
        <v>89</v>
      </c>
      <c r="C1214" s="95" t="s">
        <v>107</v>
      </c>
      <c r="D1214" s="96" t="s">
        <v>60</v>
      </c>
      <c r="E1214" s="97">
        <v>18400</v>
      </c>
      <c r="F1214" s="97">
        <v>793</v>
      </c>
      <c r="G1214" s="97">
        <v>5336</v>
      </c>
      <c r="H1214" s="98">
        <v>43.9</v>
      </c>
      <c r="I1214" s="97">
        <v>40025</v>
      </c>
      <c r="J1214" s="99">
        <v>32.5</v>
      </c>
    </row>
    <row r="1215" spans="1:10" ht="16">
      <c r="A1215" s="100" t="s">
        <v>1284</v>
      </c>
      <c r="B1215" s="101" t="s">
        <v>1190</v>
      </c>
      <c r="C1215" s="102" t="s">
        <v>76</v>
      </c>
      <c r="D1215" s="103" t="s">
        <v>59</v>
      </c>
      <c r="E1215" s="104">
        <v>16401</v>
      </c>
      <c r="F1215" s="104">
        <v>943</v>
      </c>
      <c r="G1215" s="104">
        <v>7544</v>
      </c>
      <c r="H1215" s="105">
        <v>16.2</v>
      </c>
      <c r="I1215" s="104">
        <v>5972</v>
      </c>
      <c r="J1215" s="106">
        <v>18.2</v>
      </c>
    </row>
    <row r="1216" spans="1:10" ht="16">
      <c r="A1216" s="93" t="s">
        <v>208</v>
      </c>
      <c r="B1216" s="94" t="s">
        <v>184</v>
      </c>
      <c r="C1216" s="95" t="s">
        <v>76</v>
      </c>
      <c r="D1216" s="96" t="s">
        <v>80</v>
      </c>
      <c r="E1216" s="97">
        <v>13140</v>
      </c>
      <c r="F1216" s="97">
        <v>453</v>
      </c>
      <c r="G1216" s="97">
        <v>3022</v>
      </c>
      <c r="H1216" s="98">
        <v>26.6</v>
      </c>
      <c r="I1216" s="97">
        <v>8936</v>
      </c>
      <c r="J1216" s="99">
        <v>33.700000000000003</v>
      </c>
    </row>
    <row r="1217" spans="1:10" ht="16">
      <c r="A1217" s="100" t="s">
        <v>1445</v>
      </c>
      <c r="B1217" s="101" t="s">
        <v>1288</v>
      </c>
      <c r="C1217" s="102" t="s">
        <v>107</v>
      </c>
      <c r="D1217" s="103" t="s">
        <v>92</v>
      </c>
      <c r="E1217" s="104">
        <v>39154</v>
      </c>
      <c r="F1217" s="104">
        <v>3915</v>
      </c>
      <c r="G1217" s="104">
        <v>5090</v>
      </c>
      <c r="H1217" s="105">
        <v>70.3</v>
      </c>
      <c r="I1217" s="104">
        <v>59991</v>
      </c>
      <c r="J1217" s="106">
        <v>68.8</v>
      </c>
    </row>
    <row r="1218" spans="1:10" ht="16">
      <c r="A1218" s="93" t="s">
        <v>1446</v>
      </c>
      <c r="B1218" s="94" t="s">
        <v>1288</v>
      </c>
      <c r="C1218" s="95" t="s">
        <v>76</v>
      </c>
      <c r="D1218" s="96" t="s">
        <v>77</v>
      </c>
      <c r="E1218" s="97">
        <v>20874</v>
      </c>
      <c r="F1218" s="97">
        <v>1082</v>
      </c>
      <c r="G1218" s="97">
        <v>1252</v>
      </c>
      <c r="H1218" s="98">
        <v>22.7</v>
      </c>
      <c r="I1218" s="97">
        <v>15251</v>
      </c>
      <c r="J1218" s="99">
        <v>21.7</v>
      </c>
    </row>
    <row r="1219" spans="1:10" ht="16">
      <c r="A1219" s="100" t="s">
        <v>122</v>
      </c>
      <c r="B1219" s="101" t="s">
        <v>89</v>
      </c>
      <c r="C1219" s="102" t="s">
        <v>76</v>
      </c>
      <c r="D1219" s="103" t="s">
        <v>63</v>
      </c>
      <c r="E1219" s="104">
        <v>18642</v>
      </c>
      <c r="F1219" s="104">
        <v>592</v>
      </c>
      <c r="G1219" s="104">
        <v>5406</v>
      </c>
      <c r="H1219" s="105">
        <v>35</v>
      </c>
      <c r="I1219" s="104">
        <v>26490</v>
      </c>
      <c r="J1219" s="106">
        <v>29.9</v>
      </c>
    </row>
    <row r="1220" spans="1:10" ht="16">
      <c r="A1220" s="93" t="s">
        <v>1285</v>
      </c>
      <c r="B1220" s="94" t="s">
        <v>1190</v>
      </c>
      <c r="C1220" s="95" t="s">
        <v>76</v>
      </c>
      <c r="D1220" s="96" t="s">
        <v>130</v>
      </c>
      <c r="E1220" s="97">
        <v>15687</v>
      </c>
      <c r="F1220" s="97">
        <v>769</v>
      </c>
      <c r="G1220" s="97">
        <v>3294</v>
      </c>
      <c r="H1220" s="98">
        <v>13.3</v>
      </c>
      <c r="I1220" s="97">
        <v>4658</v>
      </c>
      <c r="J1220" s="99">
        <v>15.8</v>
      </c>
    </row>
    <row r="1221" spans="1:10" ht="16">
      <c r="A1221" s="100" t="s">
        <v>444</v>
      </c>
      <c r="B1221" s="101" t="s">
        <v>402</v>
      </c>
      <c r="C1221" s="102" t="s">
        <v>76</v>
      </c>
      <c r="D1221" s="103" t="s">
        <v>61</v>
      </c>
      <c r="E1221" s="104">
        <v>23343</v>
      </c>
      <c r="F1221" s="104">
        <v>418</v>
      </c>
      <c r="G1221" s="104">
        <v>2568</v>
      </c>
      <c r="H1221" s="105">
        <v>17.899999999999999</v>
      </c>
      <c r="I1221" s="104">
        <v>10796</v>
      </c>
      <c r="J1221" s="106">
        <v>25</v>
      </c>
    </row>
    <row r="1222" spans="1:10" ht="16">
      <c r="A1222" s="93" t="s">
        <v>745</v>
      </c>
      <c r="B1222" s="94" t="s">
        <v>642</v>
      </c>
      <c r="C1222" s="95" t="s">
        <v>107</v>
      </c>
      <c r="D1222" s="96" t="s">
        <v>60</v>
      </c>
      <c r="E1222" s="97">
        <v>4659</v>
      </c>
      <c r="F1222" s="97">
        <v>740</v>
      </c>
      <c r="G1222" s="97">
        <v>186</v>
      </c>
      <c r="H1222" s="98">
        <v>10.7</v>
      </c>
      <c r="I1222" s="97">
        <v>2758</v>
      </c>
      <c r="J1222" s="99">
        <v>24</v>
      </c>
    </row>
    <row r="1223" spans="1:10" ht="16">
      <c r="A1223" s="100" t="s">
        <v>1286</v>
      </c>
      <c r="B1223" s="101" t="s">
        <v>1190</v>
      </c>
      <c r="C1223" s="102" t="s">
        <v>76</v>
      </c>
      <c r="D1223" s="103" t="s">
        <v>63</v>
      </c>
      <c r="E1223" s="104">
        <v>16058</v>
      </c>
      <c r="F1223" s="104">
        <v>1078</v>
      </c>
      <c r="G1223" s="104">
        <v>3854</v>
      </c>
      <c r="H1223" s="105">
        <v>46.6</v>
      </c>
      <c r="I1223" s="104">
        <v>39665</v>
      </c>
      <c r="J1223" s="106">
        <v>40.299999999999997</v>
      </c>
    </row>
    <row r="1224" spans="1:10" ht="16">
      <c r="A1224" s="93" t="s">
        <v>315</v>
      </c>
      <c r="B1224" s="94" t="s">
        <v>314</v>
      </c>
      <c r="C1224" s="95" t="s">
        <v>76</v>
      </c>
      <c r="D1224" s="96" t="s">
        <v>63</v>
      </c>
      <c r="E1224" s="97">
        <v>68216</v>
      </c>
      <c r="F1224" s="97">
        <v>3609</v>
      </c>
      <c r="G1224" s="97">
        <v>2046</v>
      </c>
      <c r="H1224" s="98">
        <v>12.9</v>
      </c>
      <c r="I1224" s="97">
        <v>3277</v>
      </c>
      <c r="J1224" s="99">
        <v>17.8</v>
      </c>
    </row>
    <row r="1225" spans="1:10" ht="16">
      <c r="A1225" s="100" t="s">
        <v>573</v>
      </c>
      <c r="B1225" s="101" t="s">
        <v>537</v>
      </c>
      <c r="C1225" s="102" t="s">
        <v>76</v>
      </c>
      <c r="D1225" s="103" t="s">
        <v>61</v>
      </c>
      <c r="E1225" s="104">
        <v>9980</v>
      </c>
      <c r="F1225" s="104">
        <v>398</v>
      </c>
      <c r="G1225" s="104">
        <v>459</v>
      </c>
      <c r="H1225" s="105">
        <v>12.3</v>
      </c>
      <c r="I1225" s="104">
        <v>3515</v>
      </c>
      <c r="J1225" s="106">
        <v>17</v>
      </c>
    </row>
    <row r="1226" spans="1:10" ht="16">
      <c r="A1226" s="93" t="s">
        <v>1056</v>
      </c>
      <c r="B1226" s="94" t="s">
        <v>1020</v>
      </c>
      <c r="C1226" s="95" t="s">
        <v>76</v>
      </c>
      <c r="D1226" s="96" t="s">
        <v>59</v>
      </c>
      <c r="E1226" s="97">
        <v>28211</v>
      </c>
      <c r="F1226" s="97">
        <v>2739</v>
      </c>
      <c r="G1226" s="97">
        <v>1693</v>
      </c>
      <c r="H1226" s="98">
        <v>13.4</v>
      </c>
      <c r="I1226" s="97">
        <v>5911</v>
      </c>
      <c r="J1226" s="99">
        <v>22</v>
      </c>
    </row>
    <row r="1227" spans="1:10" ht="16">
      <c r="A1227" s="100" t="s">
        <v>1079</v>
      </c>
      <c r="B1227" s="101" t="s">
        <v>1072</v>
      </c>
      <c r="C1227" s="102" t="s">
        <v>76</v>
      </c>
      <c r="D1227" s="103" t="s">
        <v>59</v>
      </c>
      <c r="E1227" s="104">
        <v>22609</v>
      </c>
      <c r="F1227" s="104">
        <v>1838</v>
      </c>
      <c r="G1227" s="104">
        <v>4748</v>
      </c>
      <c r="H1227" s="105">
        <v>46.7</v>
      </c>
      <c r="I1227" s="104">
        <v>41266</v>
      </c>
      <c r="J1227" s="106">
        <v>47</v>
      </c>
    </row>
    <row r="1228" spans="1:10" ht="16">
      <c r="A1228" s="93" t="s">
        <v>1057</v>
      </c>
      <c r="B1228" s="94" t="s">
        <v>1020</v>
      </c>
      <c r="C1228" s="95" t="s">
        <v>76</v>
      </c>
      <c r="D1228" s="96" t="s">
        <v>61</v>
      </c>
      <c r="E1228" s="97">
        <v>42079</v>
      </c>
      <c r="F1228" s="97">
        <v>1670</v>
      </c>
      <c r="G1228" s="97">
        <v>4629</v>
      </c>
      <c r="H1228" s="98">
        <v>10.8</v>
      </c>
      <c r="I1228" s="97">
        <v>4419</v>
      </c>
      <c r="J1228" s="99">
        <v>18.600000000000001</v>
      </c>
    </row>
    <row r="1229" spans="1:10" ht="16">
      <c r="A1229" s="100" t="s">
        <v>123</v>
      </c>
      <c r="B1229" s="101" t="s">
        <v>89</v>
      </c>
      <c r="C1229" s="102" t="s">
        <v>107</v>
      </c>
      <c r="D1229" s="103" t="s">
        <v>80</v>
      </c>
      <c r="E1229" s="104">
        <v>44336</v>
      </c>
      <c r="F1229" s="104">
        <v>1242</v>
      </c>
      <c r="G1229" s="104">
        <v>18178</v>
      </c>
      <c r="H1229" s="105">
        <v>58.2</v>
      </c>
      <c r="I1229" s="104">
        <v>48253</v>
      </c>
      <c r="J1229" s="106">
        <v>50.2</v>
      </c>
    </row>
    <row r="1230" spans="1:10" ht="16">
      <c r="A1230" s="93" t="s">
        <v>1070</v>
      </c>
      <c r="B1230" s="94" t="s">
        <v>1062</v>
      </c>
      <c r="C1230" s="95" t="s">
        <v>76</v>
      </c>
      <c r="D1230" s="96" t="s">
        <v>92</v>
      </c>
      <c r="E1230" s="97">
        <v>25438</v>
      </c>
      <c r="F1230" s="97">
        <v>1523</v>
      </c>
      <c r="G1230" s="97">
        <v>3816</v>
      </c>
      <c r="H1230" s="98">
        <v>56.4</v>
      </c>
      <c r="I1230" s="97">
        <v>47945</v>
      </c>
      <c r="J1230" s="99">
        <v>41.6</v>
      </c>
    </row>
    <row r="1231" spans="1:10" ht="16">
      <c r="A1231" s="100" t="s">
        <v>955</v>
      </c>
      <c r="B1231" s="101" t="s">
        <v>919</v>
      </c>
      <c r="C1231" s="102" t="s">
        <v>107</v>
      </c>
      <c r="D1231" s="103" t="s">
        <v>82</v>
      </c>
      <c r="E1231" s="104">
        <v>25000</v>
      </c>
      <c r="F1231" s="104">
        <v>2155</v>
      </c>
      <c r="G1231" s="104">
        <v>2750</v>
      </c>
      <c r="H1231" s="105">
        <v>17</v>
      </c>
      <c r="I1231" s="104">
        <v>2129</v>
      </c>
      <c r="J1231" s="106">
        <v>23.8</v>
      </c>
    </row>
    <row r="1232" spans="1:10" ht="16">
      <c r="A1232" s="93" t="s">
        <v>574</v>
      </c>
      <c r="B1232" s="94" t="s">
        <v>537</v>
      </c>
      <c r="C1232" s="95" t="s">
        <v>107</v>
      </c>
      <c r="D1232" s="96" t="s">
        <v>62</v>
      </c>
      <c r="E1232" s="97">
        <v>13500</v>
      </c>
      <c r="F1232" s="97">
        <v>472</v>
      </c>
      <c r="G1232" s="97">
        <v>620</v>
      </c>
      <c r="H1232" s="98">
        <v>12.9</v>
      </c>
      <c r="I1232" s="97">
        <v>2365</v>
      </c>
      <c r="J1232" s="99">
        <v>20</v>
      </c>
    </row>
    <row r="1233" spans="1:10" ht="16">
      <c r="A1233" s="100" t="s">
        <v>830</v>
      </c>
      <c r="B1233" s="101" t="s">
        <v>820</v>
      </c>
      <c r="C1233" s="102" t="s">
        <v>76</v>
      </c>
      <c r="D1233" s="103" t="s">
        <v>77</v>
      </c>
      <c r="E1233" s="104">
        <v>31833</v>
      </c>
      <c r="F1233" s="104">
        <v>2242</v>
      </c>
      <c r="G1233" s="104">
        <v>2865</v>
      </c>
      <c r="H1233" s="105">
        <v>61.2</v>
      </c>
      <c r="I1233" s="104">
        <v>54154</v>
      </c>
      <c r="J1233" s="106">
        <v>44.1</v>
      </c>
    </row>
    <row r="1234" spans="1:10" ht="16">
      <c r="A1234" s="93" t="s">
        <v>746</v>
      </c>
      <c r="B1234" s="94" t="s">
        <v>642</v>
      </c>
      <c r="C1234" s="95" t="s">
        <v>107</v>
      </c>
      <c r="D1234" s="96" t="s">
        <v>77</v>
      </c>
      <c r="E1234" s="97">
        <v>4872</v>
      </c>
      <c r="F1234" s="97">
        <v>364</v>
      </c>
      <c r="G1234" s="97">
        <v>195</v>
      </c>
      <c r="H1234" s="98">
        <v>10.3</v>
      </c>
      <c r="I1234" s="97">
        <v>620</v>
      </c>
      <c r="J1234" s="99">
        <v>18</v>
      </c>
    </row>
    <row r="1235" spans="1:10" ht="16">
      <c r="A1235" s="100" t="s">
        <v>1183</v>
      </c>
      <c r="B1235" s="101" t="s">
        <v>1178</v>
      </c>
      <c r="C1235" s="102" t="s">
        <v>107</v>
      </c>
      <c r="D1235" s="103" t="s">
        <v>80</v>
      </c>
      <c r="E1235" s="104">
        <v>17109</v>
      </c>
      <c r="F1235" s="104">
        <v>1880</v>
      </c>
      <c r="G1235" s="104">
        <v>4277</v>
      </c>
      <c r="H1235" s="105">
        <v>9.3000000000000007</v>
      </c>
      <c r="I1235" s="104">
        <v>840</v>
      </c>
      <c r="J1235" s="106">
        <v>20.6</v>
      </c>
    </row>
    <row r="1236" spans="1:10" ht="16">
      <c r="A1236" s="93" t="s">
        <v>1447</v>
      </c>
      <c r="B1236" s="94" t="s">
        <v>1288</v>
      </c>
      <c r="C1236" s="95" t="s">
        <v>76</v>
      </c>
      <c r="D1236" s="96" t="s">
        <v>61</v>
      </c>
      <c r="E1236" s="97">
        <v>12006</v>
      </c>
      <c r="F1236" s="97">
        <v>4002</v>
      </c>
      <c r="G1236" s="97">
        <v>1681</v>
      </c>
      <c r="H1236" s="98">
        <v>42.1</v>
      </c>
      <c r="I1236" s="97">
        <v>40251</v>
      </c>
      <c r="J1236" s="99">
        <v>48.7</v>
      </c>
    </row>
    <row r="1237" spans="1:10" ht="16">
      <c r="A1237" s="100" t="s">
        <v>637</v>
      </c>
      <c r="B1237" s="101" t="s">
        <v>598</v>
      </c>
      <c r="C1237" s="102" t="s">
        <v>76</v>
      </c>
      <c r="D1237" s="103" t="s">
        <v>59</v>
      </c>
      <c r="E1237" s="104">
        <v>19873</v>
      </c>
      <c r="F1237" s="104">
        <v>723</v>
      </c>
      <c r="G1237" s="104">
        <v>994</v>
      </c>
      <c r="H1237" s="105">
        <v>20.3</v>
      </c>
      <c r="I1237" s="104">
        <v>12975</v>
      </c>
      <c r="J1237" s="106">
        <v>31.5</v>
      </c>
    </row>
    <row r="1238" spans="1:10" ht="16">
      <c r="A1238" s="93" t="s">
        <v>124</v>
      </c>
      <c r="B1238" s="94" t="s">
        <v>89</v>
      </c>
      <c r="C1238" s="95" t="s">
        <v>76</v>
      </c>
      <c r="D1238" s="96" t="s">
        <v>59</v>
      </c>
      <c r="E1238" s="97">
        <v>14815</v>
      </c>
      <c r="F1238" s="97">
        <v>460</v>
      </c>
      <c r="G1238" s="97">
        <v>3407</v>
      </c>
      <c r="H1238" s="98">
        <v>26</v>
      </c>
      <c r="I1238" s="97">
        <v>19611</v>
      </c>
      <c r="J1238" s="99">
        <v>24</v>
      </c>
    </row>
    <row r="1239" spans="1:10" ht="16">
      <c r="A1239" s="100" t="s">
        <v>841</v>
      </c>
      <c r="B1239" s="101" t="s">
        <v>834</v>
      </c>
      <c r="C1239" s="102" t="s">
        <v>76</v>
      </c>
      <c r="D1239" s="103" t="s">
        <v>80</v>
      </c>
      <c r="E1239" s="104">
        <v>17442</v>
      </c>
      <c r="F1239" s="104">
        <v>923</v>
      </c>
      <c r="G1239" s="104">
        <v>3663</v>
      </c>
      <c r="H1239" s="105">
        <v>31.8</v>
      </c>
      <c r="I1239" s="104">
        <v>14506</v>
      </c>
      <c r="J1239" s="106">
        <v>23</v>
      </c>
    </row>
    <row r="1240" spans="1:10" ht="16">
      <c r="A1240" s="93" t="s">
        <v>138</v>
      </c>
      <c r="B1240" s="94" t="s">
        <v>127</v>
      </c>
      <c r="C1240" s="95" t="s">
        <v>107</v>
      </c>
      <c r="D1240" s="96" t="s">
        <v>59</v>
      </c>
      <c r="E1240" s="97">
        <v>10464</v>
      </c>
      <c r="F1240" s="97">
        <v>526</v>
      </c>
      <c r="G1240" s="97">
        <v>3035</v>
      </c>
      <c r="H1240" s="98">
        <v>36.799999999999997</v>
      </c>
      <c r="I1240" s="97">
        <v>16788</v>
      </c>
      <c r="J1240" s="99">
        <v>38.4</v>
      </c>
    </row>
    <row r="1241" spans="1:10" ht="16">
      <c r="A1241" s="100" t="s">
        <v>1462</v>
      </c>
      <c r="B1241" s="101" t="s">
        <v>1461</v>
      </c>
      <c r="C1241" s="102" t="s">
        <v>76</v>
      </c>
      <c r="D1241" s="103" t="s">
        <v>84</v>
      </c>
      <c r="E1241" s="104">
        <v>63479</v>
      </c>
      <c r="F1241" s="104">
        <v>2925</v>
      </c>
      <c r="G1241" s="104">
        <v>635</v>
      </c>
      <c r="H1241" s="105">
        <v>8.6999999999999993</v>
      </c>
      <c r="I1241" s="104">
        <v>1402</v>
      </c>
      <c r="J1241" s="106">
        <v>14.1</v>
      </c>
    </row>
    <row r="1242" spans="1:10" ht="16">
      <c r="A1242" s="93" t="s">
        <v>1463</v>
      </c>
      <c r="B1242" s="94" t="s">
        <v>1461</v>
      </c>
      <c r="C1242" s="95" t="s">
        <v>76</v>
      </c>
      <c r="D1242" s="96" t="s">
        <v>77</v>
      </c>
      <c r="E1242" s="97">
        <v>32944</v>
      </c>
      <c r="F1242" s="97">
        <v>2459</v>
      </c>
      <c r="G1242" s="97">
        <v>329</v>
      </c>
      <c r="H1242" s="98">
        <v>9.1</v>
      </c>
      <c r="I1242" s="97">
        <v>3537</v>
      </c>
      <c r="J1242" s="99">
        <v>21.9</v>
      </c>
    </row>
    <row r="1243" spans="1:10" ht="16">
      <c r="A1243" s="100" t="s">
        <v>774</v>
      </c>
      <c r="B1243" s="101" t="s">
        <v>773</v>
      </c>
      <c r="C1243" s="102" t="s">
        <v>107</v>
      </c>
      <c r="D1243" s="103" t="s">
        <v>92</v>
      </c>
      <c r="E1243" s="104">
        <v>9551</v>
      </c>
      <c r="F1243" s="104">
        <v>677</v>
      </c>
      <c r="G1243" s="104">
        <v>955</v>
      </c>
      <c r="H1243" s="105">
        <v>12.4</v>
      </c>
      <c r="I1243" s="104">
        <v>3959</v>
      </c>
      <c r="J1243" s="106">
        <v>16.2</v>
      </c>
    </row>
    <row r="1244" spans="1:10" ht="16">
      <c r="A1244" s="93" t="s">
        <v>775</v>
      </c>
      <c r="B1244" s="94" t="s">
        <v>773</v>
      </c>
      <c r="C1244" s="95" t="s">
        <v>76</v>
      </c>
      <c r="D1244" s="96" t="s">
        <v>60</v>
      </c>
      <c r="E1244" s="97">
        <v>16216</v>
      </c>
      <c r="F1244" s="97">
        <v>1501</v>
      </c>
      <c r="G1244" s="97">
        <v>1459</v>
      </c>
      <c r="H1244" s="98">
        <v>14.3</v>
      </c>
      <c r="I1244" s="97">
        <v>5308</v>
      </c>
      <c r="J1244" s="99">
        <v>19.899999999999999</v>
      </c>
    </row>
    <row r="1245" spans="1:10" ht="16">
      <c r="A1245" s="100" t="s">
        <v>1448</v>
      </c>
      <c r="B1245" s="101" t="s">
        <v>1288</v>
      </c>
      <c r="C1245" s="102" t="s">
        <v>107</v>
      </c>
      <c r="D1245" s="103" t="s">
        <v>59</v>
      </c>
      <c r="E1245" s="104">
        <v>32838</v>
      </c>
      <c r="F1245" s="104">
        <v>1794</v>
      </c>
      <c r="G1245" s="104">
        <v>4597</v>
      </c>
      <c r="H1245" s="105">
        <v>42.3</v>
      </c>
      <c r="I1245" s="104">
        <v>30035</v>
      </c>
      <c r="J1245" s="106">
        <v>37.5</v>
      </c>
    </row>
    <row r="1246" spans="1:10" ht="16">
      <c r="A1246" s="93" t="s">
        <v>528</v>
      </c>
      <c r="B1246" s="94" t="s">
        <v>474</v>
      </c>
      <c r="C1246" s="95" t="s">
        <v>107</v>
      </c>
      <c r="D1246" s="96" t="s">
        <v>59</v>
      </c>
      <c r="E1246" s="97">
        <v>33380</v>
      </c>
      <c r="F1246" s="97">
        <v>1677</v>
      </c>
      <c r="G1246" s="97">
        <v>334</v>
      </c>
      <c r="H1246" s="98">
        <v>12.6</v>
      </c>
      <c r="I1246" s="97">
        <v>5575</v>
      </c>
      <c r="J1246" s="99">
        <v>20.5</v>
      </c>
    </row>
    <row r="1247" spans="1:10" ht="16">
      <c r="A1247" s="100" t="s">
        <v>638</v>
      </c>
      <c r="B1247" s="101" t="s">
        <v>598</v>
      </c>
      <c r="C1247" s="102" t="s">
        <v>76</v>
      </c>
      <c r="D1247" s="103" t="s">
        <v>80</v>
      </c>
      <c r="E1247" s="104">
        <v>2610</v>
      </c>
      <c r="F1247" s="104">
        <v>244</v>
      </c>
      <c r="G1247" s="104">
        <v>78</v>
      </c>
      <c r="H1247" s="105">
        <v>22.4</v>
      </c>
      <c r="I1247" s="104">
        <v>21876</v>
      </c>
      <c r="J1247" s="106">
        <v>38.700000000000003</v>
      </c>
    </row>
    <row r="1248" spans="1:10" ht="16">
      <c r="A1248" s="93" t="s">
        <v>956</v>
      </c>
      <c r="B1248" s="94" t="s">
        <v>919</v>
      </c>
      <c r="C1248" s="95" t="s">
        <v>107</v>
      </c>
      <c r="D1248" s="96" t="s">
        <v>77</v>
      </c>
      <c r="E1248" s="97">
        <v>14764</v>
      </c>
      <c r="F1248" s="97">
        <v>984</v>
      </c>
      <c r="G1248" s="97">
        <v>1033</v>
      </c>
      <c r="H1248" s="98">
        <v>9.1999999999999993</v>
      </c>
      <c r="I1248" s="97">
        <v>2027</v>
      </c>
      <c r="J1248" s="99">
        <v>15.1</v>
      </c>
    </row>
    <row r="1249" spans="1:10" ht="16">
      <c r="A1249" s="100" t="s">
        <v>957</v>
      </c>
      <c r="B1249" s="101" t="s">
        <v>919</v>
      </c>
      <c r="C1249" s="102" t="s">
        <v>76</v>
      </c>
      <c r="D1249" s="103" t="s">
        <v>77</v>
      </c>
      <c r="E1249" s="104">
        <v>15246</v>
      </c>
      <c r="F1249" s="104">
        <v>1386</v>
      </c>
      <c r="G1249" s="104">
        <v>1525</v>
      </c>
      <c r="H1249" s="105">
        <v>8.6999999999999993</v>
      </c>
      <c r="I1249" s="104">
        <v>368</v>
      </c>
      <c r="J1249" s="106">
        <v>21.1</v>
      </c>
    </row>
    <row r="1250" spans="1:10" ht="16">
      <c r="A1250" s="93" t="s">
        <v>831</v>
      </c>
      <c r="B1250" s="94" t="s">
        <v>820</v>
      </c>
      <c r="C1250" s="95" t="s">
        <v>76</v>
      </c>
      <c r="D1250" s="96" t="s">
        <v>63</v>
      </c>
      <c r="E1250" s="97">
        <v>23025</v>
      </c>
      <c r="F1250" s="97">
        <v>1395</v>
      </c>
      <c r="G1250" s="97">
        <v>2303</v>
      </c>
      <c r="H1250" s="98">
        <v>48.1</v>
      </c>
      <c r="I1250" s="97">
        <v>42521</v>
      </c>
      <c r="J1250" s="99">
        <v>35.700000000000003</v>
      </c>
    </row>
    <row r="1251" spans="1:10" ht="16">
      <c r="A1251" s="100" t="s">
        <v>148</v>
      </c>
      <c r="B1251" s="101" t="s">
        <v>144</v>
      </c>
      <c r="C1251" s="102" t="s">
        <v>76</v>
      </c>
      <c r="D1251" s="103" t="s">
        <v>130</v>
      </c>
      <c r="E1251" s="104">
        <v>11371</v>
      </c>
      <c r="F1251" s="104">
        <v>400</v>
      </c>
      <c r="G1251" s="104">
        <v>2502</v>
      </c>
      <c r="H1251" s="105">
        <v>42.3</v>
      </c>
      <c r="I1251" s="104">
        <v>26544</v>
      </c>
      <c r="J1251" s="106">
        <v>37.4</v>
      </c>
    </row>
    <row r="1252" spans="1:10" ht="16">
      <c r="A1252" s="93" t="s">
        <v>334</v>
      </c>
      <c r="B1252" s="94" t="s">
        <v>322</v>
      </c>
      <c r="C1252" s="95" t="s">
        <v>107</v>
      </c>
      <c r="D1252" s="96" t="s">
        <v>60</v>
      </c>
      <c r="E1252" s="97">
        <v>13381</v>
      </c>
      <c r="F1252" s="97">
        <v>910</v>
      </c>
      <c r="G1252" s="97">
        <v>1740</v>
      </c>
      <c r="H1252" s="98">
        <v>13.2</v>
      </c>
      <c r="I1252" s="97">
        <v>1334</v>
      </c>
      <c r="J1252" s="99">
        <v>18.600000000000001</v>
      </c>
    </row>
    <row r="1253" spans="1:10" ht="16">
      <c r="A1253" s="100" t="s">
        <v>832</v>
      </c>
      <c r="B1253" s="101" t="s">
        <v>820</v>
      </c>
      <c r="C1253" s="102" t="s">
        <v>76</v>
      </c>
      <c r="D1253" s="103" t="s">
        <v>80</v>
      </c>
      <c r="E1253" s="104">
        <v>13914</v>
      </c>
      <c r="F1253" s="104">
        <v>653</v>
      </c>
      <c r="G1253" s="104">
        <v>3757</v>
      </c>
      <c r="H1253" s="105">
        <v>57.1</v>
      </c>
      <c r="I1253" s="104">
        <v>54885</v>
      </c>
      <c r="J1253" s="106">
        <v>49.3</v>
      </c>
    </row>
    <row r="1254" spans="1:10" ht="16">
      <c r="A1254" s="93" t="s">
        <v>1449</v>
      </c>
      <c r="B1254" s="94" t="s">
        <v>1288</v>
      </c>
      <c r="C1254" s="95" t="s">
        <v>76</v>
      </c>
      <c r="D1254" s="96" t="s">
        <v>63</v>
      </c>
      <c r="E1254" s="97">
        <v>7675</v>
      </c>
      <c r="F1254" s="97">
        <v>1919</v>
      </c>
      <c r="G1254" s="97">
        <v>691</v>
      </c>
      <c r="H1254" s="98">
        <v>18.8</v>
      </c>
      <c r="I1254" s="97">
        <v>17702</v>
      </c>
      <c r="J1254" s="99">
        <v>42.8</v>
      </c>
    </row>
    <row r="1255" spans="1:10" ht="16">
      <c r="A1255" s="100" t="s">
        <v>890</v>
      </c>
      <c r="B1255" s="101" t="s">
        <v>879</v>
      </c>
      <c r="C1255" s="102" t="s">
        <v>107</v>
      </c>
      <c r="D1255" s="103" t="s">
        <v>62</v>
      </c>
      <c r="E1255" s="104">
        <v>29709</v>
      </c>
      <c r="F1255" s="104">
        <v>2303</v>
      </c>
      <c r="G1255" s="104">
        <v>1783</v>
      </c>
      <c r="H1255" s="105">
        <v>11.8</v>
      </c>
      <c r="I1255" s="104">
        <v>3635</v>
      </c>
      <c r="J1255" s="106">
        <v>19.2</v>
      </c>
    </row>
    <row r="1256" spans="1:10" ht="16">
      <c r="A1256" s="93" t="s">
        <v>747</v>
      </c>
      <c r="B1256" s="94" t="s">
        <v>642</v>
      </c>
      <c r="C1256" s="95" t="s">
        <v>107</v>
      </c>
      <c r="D1256" s="96" t="s">
        <v>82</v>
      </c>
      <c r="E1256" s="97">
        <v>48839</v>
      </c>
      <c r="F1256" s="97">
        <v>3464</v>
      </c>
      <c r="G1256" s="97">
        <v>4884</v>
      </c>
      <c r="H1256" s="98">
        <v>22.8</v>
      </c>
      <c r="I1256" s="97">
        <v>6438</v>
      </c>
      <c r="J1256" s="99">
        <v>31.3</v>
      </c>
    </row>
    <row r="1257" spans="1:10" ht="16">
      <c r="A1257" s="100" t="s">
        <v>1450</v>
      </c>
      <c r="B1257" s="101" t="s">
        <v>1288</v>
      </c>
      <c r="C1257" s="102" t="s">
        <v>76</v>
      </c>
      <c r="D1257" s="103" t="s">
        <v>82</v>
      </c>
      <c r="E1257" s="104">
        <v>27957</v>
      </c>
      <c r="F1257" s="104">
        <v>1545</v>
      </c>
      <c r="G1257" s="104">
        <v>1957</v>
      </c>
      <c r="H1257" s="105">
        <v>28.6</v>
      </c>
      <c r="I1257" s="104">
        <v>20535</v>
      </c>
      <c r="J1257" s="106">
        <v>30.7</v>
      </c>
    </row>
    <row r="1258" spans="1:10" ht="16">
      <c r="A1258" s="93" t="s">
        <v>1451</v>
      </c>
      <c r="B1258" s="94" t="s">
        <v>1288</v>
      </c>
      <c r="C1258" s="95" t="s">
        <v>107</v>
      </c>
      <c r="D1258" s="96" t="s">
        <v>59</v>
      </c>
      <c r="E1258" s="97">
        <v>13401</v>
      </c>
      <c r="F1258" s="97">
        <v>1787</v>
      </c>
      <c r="G1258" s="97">
        <v>2680</v>
      </c>
      <c r="H1258" s="98">
        <v>57.5</v>
      </c>
      <c r="I1258" s="97">
        <v>56865</v>
      </c>
      <c r="J1258" s="99">
        <v>64.2</v>
      </c>
    </row>
    <row r="1259" spans="1:10" ht="16">
      <c r="A1259" s="100" t="s">
        <v>1452</v>
      </c>
      <c r="B1259" s="101" t="s">
        <v>1288</v>
      </c>
      <c r="C1259" s="102" t="s">
        <v>76</v>
      </c>
      <c r="D1259" s="103" t="s">
        <v>92</v>
      </c>
      <c r="E1259" s="104">
        <v>22295</v>
      </c>
      <c r="F1259" s="104">
        <v>1973</v>
      </c>
      <c r="G1259" s="104">
        <v>2007</v>
      </c>
      <c r="H1259" s="105">
        <v>18.100000000000001</v>
      </c>
      <c r="I1259" s="104">
        <v>15100</v>
      </c>
      <c r="J1259" s="106">
        <v>33.299999999999997</v>
      </c>
    </row>
    <row r="1260" spans="1:10" ht="16">
      <c r="A1260" s="93" t="s">
        <v>293</v>
      </c>
      <c r="B1260" s="94" t="s">
        <v>223</v>
      </c>
      <c r="C1260" s="95" t="s">
        <v>76</v>
      </c>
      <c r="D1260" s="96" t="s">
        <v>82</v>
      </c>
      <c r="E1260" s="97">
        <v>15971</v>
      </c>
      <c r="F1260" s="97">
        <v>1365</v>
      </c>
      <c r="G1260" s="97">
        <v>799</v>
      </c>
      <c r="H1260" s="98">
        <v>12.7</v>
      </c>
      <c r="I1260" s="97">
        <v>3565</v>
      </c>
      <c r="J1260" s="99">
        <v>16.7</v>
      </c>
    </row>
    <row r="1261" spans="1:10" ht="16">
      <c r="A1261" s="100" t="s">
        <v>917</v>
      </c>
      <c r="B1261" s="101" t="s">
        <v>909</v>
      </c>
      <c r="C1261" s="102" t="s">
        <v>76</v>
      </c>
      <c r="D1261" s="103" t="s">
        <v>60</v>
      </c>
      <c r="E1261" s="104">
        <v>13550</v>
      </c>
      <c r="F1261" s="104">
        <v>753</v>
      </c>
      <c r="G1261" s="104">
        <v>542</v>
      </c>
      <c r="H1261" s="105">
        <v>9.1999999999999993</v>
      </c>
      <c r="I1261" s="104">
        <v>1100</v>
      </c>
      <c r="J1261" s="106">
        <v>17.899999999999999</v>
      </c>
    </row>
    <row r="1262" spans="1:10" ht="16">
      <c r="A1262" s="93" t="s">
        <v>1453</v>
      </c>
      <c r="B1262" s="94" t="s">
        <v>1288</v>
      </c>
      <c r="C1262" s="95" t="s">
        <v>107</v>
      </c>
      <c r="D1262" s="96" t="s">
        <v>59</v>
      </c>
      <c r="E1262" s="97">
        <v>25966</v>
      </c>
      <c r="F1262" s="97">
        <v>1404</v>
      </c>
      <c r="G1262" s="97">
        <v>2077</v>
      </c>
      <c r="H1262" s="98">
        <v>17.100000000000001</v>
      </c>
      <c r="I1262" s="97">
        <v>10147</v>
      </c>
      <c r="J1262" s="99">
        <v>27.8</v>
      </c>
    </row>
    <row r="1263" spans="1:10" ht="16">
      <c r="A1263" s="100" t="s">
        <v>125</v>
      </c>
      <c r="B1263" s="101" t="s">
        <v>89</v>
      </c>
      <c r="C1263" s="102" t="s">
        <v>76</v>
      </c>
      <c r="D1263" s="103" t="s">
        <v>63</v>
      </c>
      <c r="E1263" s="104">
        <v>32259</v>
      </c>
      <c r="F1263" s="104">
        <v>904</v>
      </c>
      <c r="G1263" s="104">
        <v>5484</v>
      </c>
      <c r="H1263" s="105">
        <v>29.1</v>
      </c>
      <c r="I1263" s="104">
        <v>24132</v>
      </c>
      <c r="J1263" s="106">
        <v>23.5</v>
      </c>
    </row>
    <row r="1264" spans="1:10" ht="16">
      <c r="A1264" s="93" t="s">
        <v>209</v>
      </c>
      <c r="B1264" s="94" t="s">
        <v>184</v>
      </c>
      <c r="C1264" s="95" t="s">
        <v>76</v>
      </c>
      <c r="D1264" s="96" t="s">
        <v>62</v>
      </c>
      <c r="E1264" s="97">
        <v>29865</v>
      </c>
      <c r="F1264" s="97">
        <v>1293</v>
      </c>
      <c r="G1264" s="97">
        <v>5376</v>
      </c>
      <c r="H1264" s="98">
        <v>35.700000000000003</v>
      </c>
      <c r="I1264" s="97">
        <v>27279</v>
      </c>
      <c r="J1264" s="99">
        <v>40.200000000000003</v>
      </c>
    </row>
    <row r="1265" spans="1:10" ht="16">
      <c r="A1265" s="100" t="s">
        <v>1454</v>
      </c>
      <c r="B1265" s="101" t="s">
        <v>1288</v>
      </c>
      <c r="C1265" s="102" t="s">
        <v>76</v>
      </c>
      <c r="D1265" s="103" t="s">
        <v>61</v>
      </c>
      <c r="E1265" s="104">
        <v>13726</v>
      </c>
      <c r="F1265" s="104">
        <v>775</v>
      </c>
      <c r="G1265" s="104">
        <v>137</v>
      </c>
      <c r="H1265" s="105">
        <v>10.6</v>
      </c>
      <c r="I1265" s="104">
        <v>6653</v>
      </c>
      <c r="J1265" s="106">
        <v>16.2</v>
      </c>
    </row>
    <row r="1266" spans="1:10" ht="16">
      <c r="A1266" s="93" t="s">
        <v>1455</v>
      </c>
      <c r="B1266" s="94" t="s">
        <v>1288</v>
      </c>
      <c r="C1266" s="95" t="s">
        <v>76</v>
      </c>
      <c r="D1266" s="96" t="s">
        <v>82</v>
      </c>
      <c r="E1266" s="97">
        <v>8235</v>
      </c>
      <c r="F1266" s="97">
        <v>722</v>
      </c>
      <c r="G1266" s="97">
        <v>741</v>
      </c>
      <c r="H1266" s="98">
        <v>21.1</v>
      </c>
      <c r="I1266" s="97">
        <v>18488</v>
      </c>
      <c r="J1266" s="99">
        <v>47.5</v>
      </c>
    </row>
    <row r="1267" spans="1:10" ht="16">
      <c r="A1267" s="100" t="s">
        <v>1456</v>
      </c>
      <c r="B1267" s="101" t="s">
        <v>1288</v>
      </c>
      <c r="C1267" s="102" t="s">
        <v>107</v>
      </c>
      <c r="D1267" s="103" t="s">
        <v>82</v>
      </c>
      <c r="E1267" s="104">
        <v>5733</v>
      </c>
      <c r="F1267" s="104">
        <v>451</v>
      </c>
      <c r="G1267" s="104">
        <v>1261</v>
      </c>
      <c r="H1267" s="105">
        <v>17.7</v>
      </c>
      <c r="I1267" s="104">
        <v>10469</v>
      </c>
      <c r="J1267" s="106">
        <v>20.100000000000001</v>
      </c>
    </row>
    <row r="1268" spans="1:10" ht="16">
      <c r="A1268" s="93" t="s">
        <v>891</v>
      </c>
      <c r="B1268" s="94" t="s">
        <v>879</v>
      </c>
      <c r="C1268" s="95" t="s">
        <v>107</v>
      </c>
      <c r="D1268" s="96" t="s">
        <v>62</v>
      </c>
      <c r="E1268" s="97">
        <v>28329</v>
      </c>
      <c r="F1268" s="97">
        <v>1914</v>
      </c>
      <c r="G1268" s="97">
        <v>850</v>
      </c>
      <c r="H1268" s="98">
        <v>10.8</v>
      </c>
      <c r="I1268" s="97">
        <v>2302</v>
      </c>
      <c r="J1268" s="99">
        <v>16.600000000000001</v>
      </c>
    </row>
    <row r="1269" spans="1:10" ht="16">
      <c r="A1269" s="100" t="s">
        <v>294</v>
      </c>
      <c r="B1269" s="101" t="s">
        <v>223</v>
      </c>
      <c r="C1269" s="102" t="s">
        <v>76</v>
      </c>
      <c r="D1269" s="103" t="s">
        <v>84</v>
      </c>
      <c r="E1269" s="104">
        <v>52502</v>
      </c>
      <c r="F1269" s="104">
        <v>3596</v>
      </c>
      <c r="G1269" s="104">
        <v>3675</v>
      </c>
      <c r="H1269" s="105">
        <v>34</v>
      </c>
      <c r="I1269" s="104">
        <v>17855</v>
      </c>
      <c r="J1269" s="106">
        <v>44</v>
      </c>
    </row>
    <row r="1270" spans="1:10" ht="16">
      <c r="A1270" s="93" t="s">
        <v>295</v>
      </c>
      <c r="B1270" s="94" t="s">
        <v>223</v>
      </c>
      <c r="C1270" s="95" t="s">
        <v>107</v>
      </c>
      <c r="D1270" s="96" t="s">
        <v>59</v>
      </c>
      <c r="E1270" s="97">
        <v>51684</v>
      </c>
      <c r="F1270" s="97">
        <v>3692</v>
      </c>
      <c r="G1270" s="97">
        <v>1551</v>
      </c>
      <c r="H1270" s="98">
        <v>13.4</v>
      </c>
      <c r="I1270" s="97">
        <v>5483</v>
      </c>
      <c r="J1270" s="99">
        <v>18.8</v>
      </c>
    </row>
    <row r="1271" spans="1:10" ht="16">
      <c r="A1271" s="100" t="s">
        <v>296</v>
      </c>
      <c r="B1271" s="101" t="s">
        <v>223</v>
      </c>
      <c r="C1271" s="102" t="s">
        <v>107</v>
      </c>
      <c r="D1271" s="103" t="s">
        <v>80</v>
      </c>
      <c r="E1271" s="104">
        <v>40841</v>
      </c>
      <c r="F1271" s="104">
        <v>2797</v>
      </c>
      <c r="G1271" s="104">
        <v>1634</v>
      </c>
      <c r="H1271" s="105">
        <v>22.9</v>
      </c>
      <c r="I1271" s="104">
        <v>13086</v>
      </c>
      <c r="J1271" s="106">
        <v>27.3</v>
      </c>
    </row>
    <row r="1272" spans="1:10" ht="16">
      <c r="A1272" s="93" t="s">
        <v>297</v>
      </c>
      <c r="B1272" s="94" t="s">
        <v>223</v>
      </c>
      <c r="C1272" s="95" t="s">
        <v>76</v>
      </c>
      <c r="D1272" s="96" t="s">
        <v>92</v>
      </c>
      <c r="E1272" s="97">
        <v>31340</v>
      </c>
      <c r="F1272" s="97">
        <v>1478</v>
      </c>
      <c r="G1272" s="97">
        <v>313</v>
      </c>
      <c r="H1272" s="98">
        <v>12</v>
      </c>
      <c r="I1272" s="97">
        <v>5542</v>
      </c>
      <c r="J1272" s="99">
        <v>14.8</v>
      </c>
    </row>
    <row r="1273" spans="1:10" ht="16">
      <c r="A1273" s="100" t="s">
        <v>298</v>
      </c>
      <c r="B1273" s="101" t="s">
        <v>223</v>
      </c>
      <c r="C1273" s="102" t="s">
        <v>107</v>
      </c>
      <c r="D1273" s="103" t="s">
        <v>82</v>
      </c>
      <c r="E1273" s="104">
        <v>34140</v>
      </c>
      <c r="F1273" s="104">
        <v>1996</v>
      </c>
      <c r="G1273" s="104">
        <v>1024</v>
      </c>
      <c r="H1273" s="105">
        <v>17.2</v>
      </c>
      <c r="I1273" s="104">
        <v>5669</v>
      </c>
      <c r="J1273" s="106">
        <v>21</v>
      </c>
    </row>
    <row r="1274" spans="1:10" ht="16">
      <c r="A1274" s="93" t="s">
        <v>1457</v>
      </c>
      <c r="B1274" s="94" t="s">
        <v>1288</v>
      </c>
      <c r="C1274" s="95" t="s">
        <v>107</v>
      </c>
      <c r="D1274" s="96" t="s">
        <v>80</v>
      </c>
      <c r="E1274" s="97">
        <v>12402</v>
      </c>
      <c r="F1274" s="97">
        <v>2297</v>
      </c>
      <c r="G1274" s="97">
        <v>2480</v>
      </c>
      <c r="H1274" s="98">
        <v>94.8</v>
      </c>
      <c r="I1274" s="97">
        <v>92298</v>
      </c>
      <c r="J1274" s="99">
        <v>92</v>
      </c>
    </row>
    <row r="1275" spans="1:10" ht="16">
      <c r="A1275" s="100" t="s">
        <v>748</v>
      </c>
      <c r="B1275" s="101" t="s">
        <v>642</v>
      </c>
      <c r="C1275" s="102" t="s">
        <v>107</v>
      </c>
      <c r="D1275" s="103" t="s">
        <v>60</v>
      </c>
      <c r="E1275" s="104">
        <v>8913</v>
      </c>
      <c r="F1275" s="104">
        <v>1024</v>
      </c>
      <c r="G1275" s="104">
        <v>178</v>
      </c>
      <c r="H1275" s="105">
        <v>12.2</v>
      </c>
      <c r="I1275" s="104">
        <v>2161</v>
      </c>
      <c r="J1275" s="106">
        <v>21.8</v>
      </c>
    </row>
    <row r="1276" spans="1:10" ht="16">
      <c r="A1276" s="93" t="s">
        <v>749</v>
      </c>
      <c r="B1276" s="94" t="s">
        <v>642</v>
      </c>
      <c r="C1276" s="95" t="s">
        <v>107</v>
      </c>
      <c r="D1276" s="96" t="s">
        <v>59</v>
      </c>
      <c r="E1276" s="97">
        <v>10580</v>
      </c>
      <c r="F1276" s="97">
        <v>980</v>
      </c>
      <c r="G1276" s="97">
        <v>529</v>
      </c>
      <c r="H1276" s="98">
        <v>12.5</v>
      </c>
      <c r="I1276" s="97">
        <v>1876</v>
      </c>
      <c r="J1276" s="99">
        <v>20.8</v>
      </c>
    </row>
    <row r="1277" spans="1:10" ht="16">
      <c r="A1277" s="100" t="s">
        <v>299</v>
      </c>
      <c r="B1277" s="101" t="s">
        <v>223</v>
      </c>
      <c r="C1277" s="102" t="s">
        <v>76</v>
      </c>
      <c r="D1277" s="103" t="s">
        <v>130</v>
      </c>
      <c r="E1277" s="104">
        <v>36880</v>
      </c>
      <c r="F1277" s="104">
        <v>2442</v>
      </c>
      <c r="G1277" s="104">
        <v>1106</v>
      </c>
      <c r="H1277" s="105">
        <v>10.7</v>
      </c>
      <c r="I1277" s="104">
        <v>4399</v>
      </c>
      <c r="J1277" s="106">
        <v>15.3</v>
      </c>
    </row>
    <row r="1278" spans="1:10" ht="16">
      <c r="A1278" s="93" t="s">
        <v>300</v>
      </c>
      <c r="B1278" s="94" t="s">
        <v>223</v>
      </c>
      <c r="C1278" s="95" t="s">
        <v>107</v>
      </c>
      <c r="D1278" s="96" t="s">
        <v>61</v>
      </c>
      <c r="E1278" s="97">
        <v>32748</v>
      </c>
      <c r="F1278" s="97">
        <v>2140</v>
      </c>
      <c r="G1278" s="97">
        <v>327</v>
      </c>
      <c r="H1278" s="98">
        <v>11.2</v>
      </c>
      <c r="I1278" s="97">
        <v>1672</v>
      </c>
      <c r="J1278" s="99">
        <v>17.5</v>
      </c>
    </row>
    <row r="1279" spans="1:10" ht="16">
      <c r="A1279" s="100" t="s">
        <v>757</v>
      </c>
      <c r="B1279" s="101" t="s">
        <v>753</v>
      </c>
      <c r="C1279" s="102" t="s">
        <v>76</v>
      </c>
      <c r="D1279" s="103" t="s">
        <v>130</v>
      </c>
      <c r="E1279" s="104">
        <v>35353</v>
      </c>
      <c r="F1279" s="104">
        <v>1163</v>
      </c>
      <c r="G1279" s="104">
        <v>3182</v>
      </c>
      <c r="H1279" s="105">
        <v>8.3000000000000007</v>
      </c>
      <c r="I1279" s="104">
        <v>589</v>
      </c>
      <c r="J1279" s="106">
        <v>19.399999999999999</v>
      </c>
    </row>
    <row r="1280" spans="1:10" ht="16">
      <c r="A1280" s="93" t="s">
        <v>575</v>
      </c>
      <c r="B1280" s="94" t="s">
        <v>537</v>
      </c>
      <c r="C1280" s="95" t="s">
        <v>107</v>
      </c>
      <c r="D1280" s="96" t="s">
        <v>82</v>
      </c>
      <c r="E1280" s="97">
        <v>6332</v>
      </c>
      <c r="F1280" s="97">
        <v>230</v>
      </c>
      <c r="G1280" s="97">
        <v>441</v>
      </c>
      <c r="H1280" s="98">
        <v>15.5</v>
      </c>
      <c r="I1280" s="97">
        <v>14232</v>
      </c>
      <c r="J1280" s="99">
        <v>15.1</v>
      </c>
    </row>
    <row r="1281" spans="1:10" ht="16">
      <c r="A1281" s="100" t="s">
        <v>576</v>
      </c>
      <c r="B1281" s="101" t="s">
        <v>537</v>
      </c>
      <c r="C1281" s="102" t="s">
        <v>76</v>
      </c>
      <c r="D1281" s="103" t="s">
        <v>77</v>
      </c>
      <c r="E1281" s="104">
        <v>13745</v>
      </c>
      <c r="F1281" s="104">
        <v>455</v>
      </c>
      <c r="G1281" s="104">
        <v>137</v>
      </c>
      <c r="H1281" s="105">
        <v>14.4</v>
      </c>
      <c r="I1281" s="104">
        <v>2331</v>
      </c>
      <c r="J1281" s="106">
        <v>16.600000000000001</v>
      </c>
    </row>
    <row r="1282" spans="1:10" ht="16">
      <c r="A1282" s="93" t="s">
        <v>1173</v>
      </c>
      <c r="B1282" s="94" t="s">
        <v>1142</v>
      </c>
      <c r="C1282" s="95" t="s">
        <v>76</v>
      </c>
      <c r="D1282" s="96" t="s">
        <v>130</v>
      </c>
      <c r="E1282" s="97">
        <v>19508</v>
      </c>
      <c r="F1282" s="97">
        <v>522</v>
      </c>
      <c r="G1282" s="97">
        <v>390</v>
      </c>
      <c r="H1282" s="98">
        <v>12.2</v>
      </c>
      <c r="I1282" s="97">
        <v>1452</v>
      </c>
      <c r="J1282" s="99">
        <v>18.8</v>
      </c>
    </row>
    <row r="1283" spans="1:10" ht="16">
      <c r="A1283" s="100" t="s">
        <v>1017</v>
      </c>
      <c r="B1283" s="101" t="s">
        <v>988</v>
      </c>
      <c r="C1283" s="102" t="s">
        <v>107</v>
      </c>
      <c r="D1283" s="103" t="s">
        <v>82</v>
      </c>
      <c r="E1283" s="104">
        <v>20135</v>
      </c>
      <c r="F1283" s="104">
        <v>1360</v>
      </c>
      <c r="G1283" s="104">
        <v>1007</v>
      </c>
      <c r="H1283" s="105">
        <v>12.8</v>
      </c>
      <c r="I1283" s="104">
        <v>5854</v>
      </c>
      <c r="J1283" s="106">
        <v>18.399999999999999</v>
      </c>
    </row>
    <row r="1284" spans="1:10" ht="16">
      <c r="A1284" s="93" t="s">
        <v>1174</v>
      </c>
      <c r="B1284" s="94" t="s">
        <v>1142</v>
      </c>
      <c r="C1284" s="95" t="s">
        <v>107</v>
      </c>
      <c r="D1284" s="96" t="s">
        <v>80</v>
      </c>
      <c r="E1284" s="97">
        <v>36946</v>
      </c>
      <c r="F1284" s="97">
        <v>1103</v>
      </c>
      <c r="G1284" s="97">
        <v>1478</v>
      </c>
      <c r="H1284" s="98">
        <v>12.9</v>
      </c>
      <c r="I1284" s="97">
        <v>2982</v>
      </c>
      <c r="J1284" s="99">
        <v>15.4</v>
      </c>
    </row>
    <row r="1285" spans="1:10" ht="16">
      <c r="A1285" s="100" t="s">
        <v>750</v>
      </c>
      <c r="B1285" s="101" t="s">
        <v>642</v>
      </c>
      <c r="C1285" s="102" t="s">
        <v>76</v>
      </c>
      <c r="D1285" s="103" t="s">
        <v>130</v>
      </c>
      <c r="E1285" s="104">
        <v>4910</v>
      </c>
      <c r="F1285" s="104">
        <v>1091</v>
      </c>
      <c r="G1285" s="104">
        <v>98</v>
      </c>
      <c r="H1285" s="105">
        <v>8.5</v>
      </c>
      <c r="I1285" s="104">
        <v>7408</v>
      </c>
      <c r="J1285" s="106">
        <v>25.9</v>
      </c>
    </row>
    <row r="1286" spans="1:10" ht="16">
      <c r="A1286" s="93" t="s">
        <v>751</v>
      </c>
      <c r="B1286" s="94" t="s">
        <v>642</v>
      </c>
      <c r="C1286" s="95" t="s">
        <v>107</v>
      </c>
      <c r="D1286" s="96" t="s">
        <v>61</v>
      </c>
      <c r="E1286" s="97">
        <v>9889</v>
      </c>
      <c r="F1286" s="97">
        <v>791</v>
      </c>
      <c r="G1286" s="97">
        <v>692</v>
      </c>
      <c r="H1286" s="98">
        <v>16.5</v>
      </c>
      <c r="I1286" s="97">
        <v>2680</v>
      </c>
      <c r="J1286" s="99">
        <v>22.7</v>
      </c>
    </row>
    <row r="1287" spans="1:10" ht="16">
      <c r="A1287" s="100" t="s">
        <v>1018</v>
      </c>
      <c r="B1287" s="101" t="s">
        <v>988</v>
      </c>
      <c r="C1287" s="102" t="s">
        <v>107</v>
      </c>
      <c r="D1287" s="103" t="s">
        <v>84</v>
      </c>
      <c r="E1287" s="104">
        <v>17744</v>
      </c>
      <c r="F1287" s="104">
        <v>1215</v>
      </c>
      <c r="G1287" s="104">
        <v>3904</v>
      </c>
      <c r="H1287" s="105">
        <v>52.6</v>
      </c>
      <c r="I1287" s="104">
        <v>27878</v>
      </c>
      <c r="J1287" s="106">
        <v>51.2</v>
      </c>
    </row>
    <row r="1288" spans="1:10" ht="16">
      <c r="A1288" s="93" t="s">
        <v>210</v>
      </c>
      <c r="B1288" s="94" t="s">
        <v>184</v>
      </c>
      <c r="C1288" s="95" t="s">
        <v>76</v>
      </c>
      <c r="D1288" s="96" t="s">
        <v>84</v>
      </c>
      <c r="E1288" s="97">
        <v>46683</v>
      </c>
      <c r="F1288" s="97">
        <v>1319</v>
      </c>
      <c r="G1288" s="97">
        <v>11204</v>
      </c>
      <c r="H1288" s="98">
        <v>37.6</v>
      </c>
      <c r="I1288" s="97">
        <v>19084</v>
      </c>
      <c r="J1288" s="99">
        <v>28.2</v>
      </c>
    </row>
    <row r="1289" spans="1:10" ht="16">
      <c r="A1289" s="100" t="s">
        <v>1116</v>
      </c>
      <c r="B1289" s="101" t="s">
        <v>1081</v>
      </c>
      <c r="C1289" s="102" t="s">
        <v>107</v>
      </c>
      <c r="D1289" s="103" t="s">
        <v>77</v>
      </c>
      <c r="E1289" s="104">
        <v>8356</v>
      </c>
      <c r="F1289" s="104">
        <v>429</v>
      </c>
      <c r="G1289" s="104">
        <v>668</v>
      </c>
      <c r="H1289" s="105">
        <v>13.9</v>
      </c>
      <c r="I1289" s="104">
        <v>2156</v>
      </c>
      <c r="J1289" s="106">
        <v>17.3</v>
      </c>
    </row>
    <row r="1290" spans="1:10" ht="16">
      <c r="A1290" s="93" t="s">
        <v>363</v>
      </c>
      <c r="B1290" s="94" t="s">
        <v>344</v>
      </c>
      <c r="C1290" s="95" t="s">
        <v>76</v>
      </c>
      <c r="D1290" s="96" t="s">
        <v>77</v>
      </c>
      <c r="E1290" s="97">
        <v>156419</v>
      </c>
      <c r="F1290" s="97">
        <v>6517</v>
      </c>
      <c r="G1290" s="97">
        <v>1564</v>
      </c>
      <c r="H1290" s="98">
        <v>7.7</v>
      </c>
      <c r="I1290" s="97">
        <v>2303</v>
      </c>
      <c r="J1290" s="99">
        <v>13.6</v>
      </c>
    </row>
    <row r="1291" spans="1:10" ht="16">
      <c r="A1291" s="100" t="s">
        <v>301</v>
      </c>
      <c r="B1291" s="101" t="s">
        <v>223</v>
      </c>
      <c r="C1291" s="102" t="s">
        <v>107</v>
      </c>
      <c r="D1291" s="103" t="s">
        <v>82</v>
      </c>
      <c r="E1291" s="104">
        <v>33427</v>
      </c>
      <c r="F1291" s="104">
        <v>3124</v>
      </c>
      <c r="G1291" s="104">
        <v>7354</v>
      </c>
      <c r="H1291" s="105">
        <v>64.7</v>
      </c>
      <c r="I1291" s="104">
        <v>32767</v>
      </c>
      <c r="J1291" s="106">
        <v>66</v>
      </c>
    </row>
    <row r="1292" spans="1:10" ht="16">
      <c r="A1292" s="107" t="s">
        <v>302</v>
      </c>
      <c r="B1292" s="108" t="s">
        <v>223</v>
      </c>
      <c r="C1292" s="109" t="s">
        <v>76</v>
      </c>
      <c r="D1292" s="110" t="s">
        <v>63</v>
      </c>
      <c r="E1292" s="111">
        <v>31228</v>
      </c>
      <c r="F1292" s="111">
        <v>2124</v>
      </c>
      <c r="G1292" s="111">
        <v>2498</v>
      </c>
      <c r="H1292" s="112">
        <v>14.2</v>
      </c>
      <c r="I1292" s="111">
        <v>4616</v>
      </c>
      <c r="J1292" s="113">
        <v>16.7</v>
      </c>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5DC1-B404-7540-A660-9A35A56CB456}">
  <sheetPr codeName="Sheet4"/>
  <dimension ref="A1:J1292"/>
  <sheetViews>
    <sheetView zoomScaleNormal="100" workbookViewId="0"/>
  </sheetViews>
  <sheetFormatPr baseColWidth="10" defaultRowHeight="15"/>
  <cols>
    <col min="1" max="1" width="59" style="26" bestFit="1"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65</v>
      </c>
      <c r="B1" s="91" t="s">
        <v>66</v>
      </c>
      <c r="C1" s="91" t="s">
        <v>67</v>
      </c>
      <c r="D1" s="91" t="s">
        <v>68</v>
      </c>
      <c r="E1" s="91" t="s">
        <v>1492</v>
      </c>
      <c r="F1" s="91" t="s">
        <v>69</v>
      </c>
      <c r="G1" s="91" t="s">
        <v>70</v>
      </c>
      <c r="H1" s="91" t="s">
        <v>71</v>
      </c>
      <c r="I1" s="91" t="s">
        <v>72</v>
      </c>
      <c r="J1" s="92" t="s">
        <v>73</v>
      </c>
    </row>
    <row r="2" spans="1:10" ht="16">
      <c r="A2" s="93" t="s">
        <v>335</v>
      </c>
      <c r="B2" s="94" t="s">
        <v>336</v>
      </c>
      <c r="C2" s="95" t="s">
        <v>76</v>
      </c>
      <c r="D2" s="96" t="s">
        <v>82</v>
      </c>
      <c r="E2" s="97">
        <v>16340</v>
      </c>
      <c r="F2" s="97">
        <v>1201</v>
      </c>
      <c r="G2" s="97">
        <v>2451</v>
      </c>
      <c r="H2" s="114">
        <v>39.616376623138493</v>
      </c>
      <c r="I2" s="125">
        <v>34137</v>
      </c>
      <c r="J2" s="115">
        <v>29.137229612117178</v>
      </c>
    </row>
    <row r="3" spans="1:10" ht="16">
      <c r="A3" s="100" t="s">
        <v>368</v>
      </c>
      <c r="B3" s="101" t="s">
        <v>369</v>
      </c>
      <c r="C3" s="102" t="s">
        <v>107</v>
      </c>
      <c r="D3" s="103" t="s">
        <v>59</v>
      </c>
      <c r="E3" s="104">
        <v>12195</v>
      </c>
      <c r="F3" s="104">
        <v>656</v>
      </c>
      <c r="G3" s="104">
        <v>3171</v>
      </c>
      <c r="H3" s="116">
        <v>39.935744251633864</v>
      </c>
      <c r="I3" s="126">
        <v>30293</v>
      </c>
      <c r="J3" s="117">
        <v>42.603743641394864</v>
      </c>
    </row>
    <row r="4" spans="1:10" ht="16">
      <c r="A4" s="93" t="s">
        <v>337</v>
      </c>
      <c r="B4" s="94" t="s">
        <v>336</v>
      </c>
      <c r="C4" s="95" t="s">
        <v>76</v>
      </c>
      <c r="D4" s="96" t="s">
        <v>60</v>
      </c>
      <c r="E4" s="97">
        <v>26842</v>
      </c>
      <c r="F4" s="97">
        <v>1864</v>
      </c>
      <c r="G4" s="97">
        <v>2416</v>
      </c>
      <c r="H4" s="114">
        <v>54.149184087960244</v>
      </c>
      <c r="I4" s="125">
        <v>46201</v>
      </c>
      <c r="J4" s="115">
        <v>37.333031881711747</v>
      </c>
    </row>
    <row r="5" spans="1:10" ht="16">
      <c r="A5" s="100" t="s">
        <v>1189</v>
      </c>
      <c r="B5" s="101" t="s">
        <v>1190</v>
      </c>
      <c r="C5" s="102" t="s">
        <v>107</v>
      </c>
      <c r="D5" s="103" t="s">
        <v>61</v>
      </c>
      <c r="E5" s="104">
        <v>6866</v>
      </c>
      <c r="F5" s="104">
        <v>424</v>
      </c>
      <c r="G5" s="104">
        <v>1305</v>
      </c>
      <c r="H5" s="116">
        <v>23.423522946999185</v>
      </c>
      <c r="I5" s="126">
        <v>15267</v>
      </c>
      <c r="J5" s="117">
        <v>24.934193933931041</v>
      </c>
    </row>
    <row r="6" spans="1:10" ht="16">
      <c r="A6" s="93" t="s">
        <v>473</v>
      </c>
      <c r="B6" s="94" t="s">
        <v>474</v>
      </c>
      <c r="C6" s="95" t="s">
        <v>107</v>
      </c>
      <c r="D6" s="96" t="s">
        <v>59</v>
      </c>
      <c r="E6" s="97">
        <v>4792</v>
      </c>
      <c r="F6" s="97">
        <v>383</v>
      </c>
      <c r="G6" s="97">
        <v>288</v>
      </c>
      <c r="H6" s="114">
        <v>9.8813504186793253</v>
      </c>
      <c r="I6" s="125">
        <v>1483</v>
      </c>
      <c r="J6" s="115">
        <v>40.109995398468087</v>
      </c>
    </row>
    <row r="7" spans="1:10" ht="16">
      <c r="A7" s="100" t="s">
        <v>1141</v>
      </c>
      <c r="B7" s="101" t="s">
        <v>1142</v>
      </c>
      <c r="C7" s="102" t="s">
        <v>76</v>
      </c>
      <c r="D7" s="103" t="s">
        <v>63</v>
      </c>
      <c r="E7" s="104">
        <v>2342</v>
      </c>
      <c r="F7" s="104">
        <v>545</v>
      </c>
      <c r="G7" s="104">
        <v>47</v>
      </c>
      <c r="H7" s="116">
        <v>9.2674114406111201</v>
      </c>
      <c r="I7" s="126">
        <v>735</v>
      </c>
      <c r="J7" s="117">
        <v>22.771857987746955</v>
      </c>
    </row>
    <row r="8" spans="1:10" ht="16">
      <c r="A8" s="93" t="s">
        <v>878</v>
      </c>
      <c r="B8" s="94" t="s">
        <v>879</v>
      </c>
      <c r="C8" s="95" t="s">
        <v>76</v>
      </c>
      <c r="D8" s="96" t="s">
        <v>92</v>
      </c>
      <c r="E8" s="97">
        <v>37634</v>
      </c>
      <c r="F8" s="97">
        <v>2650</v>
      </c>
      <c r="G8" s="97">
        <v>753</v>
      </c>
      <c r="H8" s="114">
        <v>13.421750496892679</v>
      </c>
      <c r="I8" s="125">
        <v>4459</v>
      </c>
      <c r="J8" s="115">
        <v>18.465371321397829</v>
      </c>
    </row>
    <row r="9" spans="1:10" ht="16">
      <c r="A9" s="100" t="s">
        <v>880</v>
      </c>
      <c r="B9" s="101" t="s">
        <v>879</v>
      </c>
      <c r="C9" s="102" t="s">
        <v>107</v>
      </c>
      <c r="D9" s="103" t="s">
        <v>84</v>
      </c>
      <c r="E9" s="104">
        <v>28620</v>
      </c>
      <c r="F9" s="104">
        <v>2202</v>
      </c>
      <c r="G9" s="104">
        <v>572</v>
      </c>
      <c r="H9" s="116">
        <v>14.285711554756102</v>
      </c>
      <c r="I9" s="126">
        <v>3260</v>
      </c>
      <c r="J9" s="117">
        <v>17.995733893620162</v>
      </c>
    </row>
    <row r="10" spans="1:10" ht="16">
      <c r="A10" s="93" t="s">
        <v>641</v>
      </c>
      <c r="B10" s="94" t="s">
        <v>642</v>
      </c>
      <c r="C10" s="95" t="s">
        <v>76</v>
      </c>
      <c r="D10" s="96" t="s">
        <v>84</v>
      </c>
      <c r="E10" s="97">
        <v>1288</v>
      </c>
      <c r="F10" s="97">
        <v>460</v>
      </c>
      <c r="G10" s="97">
        <v>13</v>
      </c>
      <c r="H10" s="114">
        <v>10.969478737855793</v>
      </c>
      <c r="I10" s="125">
        <v>3546</v>
      </c>
      <c r="J10" s="115">
        <v>26.293343262936531</v>
      </c>
    </row>
    <row r="11" spans="1:10" ht="16">
      <c r="A11" s="100" t="s">
        <v>343</v>
      </c>
      <c r="B11" s="101" t="s">
        <v>344</v>
      </c>
      <c r="C11" s="102" t="s">
        <v>76</v>
      </c>
      <c r="D11" s="103" t="s">
        <v>60</v>
      </c>
      <c r="E11" s="104">
        <v>179636</v>
      </c>
      <c r="F11" s="104">
        <v>10629</v>
      </c>
      <c r="G11" s="104">
        <v>5389</v>
      </c>
      <c r="H11" s="116">
        <v>10.70393227080398</v>
      </c>
      <c r="I11" s="126">
        <v>3285</v>
      </c>
      <c r="J11" s="117">
        <v>21.113182087890252</v>
      </c>
    </row>
    <row r="12" spans="1:10" ht="16">
      <c r="A12" s="93" t="s">
        <v>376</v>
      </c>
      <c r="B12" s="94" t="s">
        <v>377</v>
      </c>
      <c r="C12" s="95" t="s">
        <v>76</v>
      </c>
      <c r="D12" s="96" t="s">
        <v>63</v>
      </c>
      <c r="E12" s="97">
        <v>67857</v>
      </c>
      <c r="F12" s="97">
        <v>4088</v>
      </c>
      <c r="G12" s="97">
        <v>8143</v>
      </c>
      <c r="H12" s="114">
        <v>25.356336235902646</v>
      </c>
      <c r="I12" s="125">
        <v>17141</v>
      </c>
      <c r="J12" s="115">
        <v>41.501162150556532</v>
      </c>
    </row>
    <row r="13" spans="1:10" ht="16">
      <c r="A13" s="100" t="s">
        <v>987</v>
      </c>
      <c r="B13" s="101" t="s">
        <v>988</v>
      </c>
      <c r="C13" s="102" t="s">
        <v>76</v>
      </c>
      <c r="D13" s="103" t="s">
        <v>130</v>
      </c>
      <c r="E13" s="104">
        <v>9906</v>
      </c>
      <c r="F13" s="104">
        <v>877</v>
      </c>
      <c r="G13" s="104">
        <v>693</v>
      </c>
      <c r="H13" s="116">
        <v>24.289357634957323</v>
      </c>
      <c r="I13" s="126">
        <v>7030</v>
      </c>
      <c r="J13" s="117">
        <v>24.576144720955991</v>
      </c>
    </row>
    <row r="14" spans="1:10" ht="16">
      <c r="A14" s="93" t="s">
        <v>1143</v>
      </c>
      <c r="B14" s="94" t="s">
        <v>1142</v>
      </c>
      <c r="C14" s="95" t="s">
        <v>107</v>
      </c>
      <c r="D14" s="96" t="s">
        <v>82</v>
      </c>
      <c r="E14" s="97">
        <v>42862</v>
      </c>
      <c r="F14" s="97">
        <v>1194</v>
      </c>
      <c r="G14" s="97">
        <v>429</v>
      </c>
      <c r="H14" s="114">
        <v>9.3034245414165024</v>
      </c>
      <c r="I14" s="125">
        <v>1347</v>
      </c>
      <c r="J14" s="115">
        <v>15.738142636945987</v>
      </c>
    </row>
    <row r="15" spans="1:10" ht="16">
      <c r="A15" s="100" t="s">
        <v>643</v>
      </c>
      <c r="B15" s="101" t="s">
        <v>642</v>
      </c>
      <c r="C15" s="102" t="s">
        <v>107</v>
      </c>
      <c r="D15" s="103" t="s">
        <v>63</v>
      </c>
      <c r="E15" s="104">
        <v>4942</v>
      </c>
      <c r="F15" s="104">
        <v>504</v>
      </c>
      <c r="G15" s="104">
        <v>198</v>
      </c>
      <c r="H15" s="116">
        <v>11.544402759784465</v>
      </c>
      <c r="I15" s="126">
        <v>1036</v>
      </c>
      <c r="J15" s="117">
        <v>21.817572675015303</v>
      </c>
    </row>
    <row r="16" spans="1:10" ht="16">
      <c r="A16" s="93" t="s">
        <v>345</v>
      </c>
      <c r="B16" s="94" t="s">
        <v>344</v>
      </c>
      <c r="C16" s="95" t="s">
        <v>107</v>
      </c>
      <c r="D16" s="96" t="s">
        <v>84</v>
      </c>
      <c r="E16" s="97">
        <v>342151</v>
      </c>
      <c r="F16" s="97">
        <v>10495</v>
      </c>
      <c r="G16" s="97">
        <v>20529</v>
      </c>
      <c r="H16" s="114">
        <v>9.2748214277832197</v>
      </c>
      <c r="I16" s="125">
        <v>1472</v>
      </c>
      <c r="J16" s="115">
        <v>15.745784003146294</v>
      </c>
    </row>
    <row r="17" spans="1:10" ht="16">
      <c r="A17" s="100" t="s">
        <v>752</v>
      </c>
      <c r="B17" s="101" t="s">
        <v>753</v>
      </c>
      <c r="C17" s="102" t="s">
        <v>76</v>
      </c>
      <c r="D17" s="103" t="s">
        <v>59</v>
      </c>
      <c r="E17" s="104">
        <v>33918</v>
      </c>
      <c r="F17" s="104">
        <v>1084</v>
      </c>
      <c r="G17" s="104">
        <v>1357</v>
      </c>
      <c r="H17" s="116">
        <v>9.6949868111148465</v>
      </c>
      <c r="I17" s="126">
        <v>4808</v>
      </c>
      <c r="J17" s="117">
        <v>12.567695253518348</v>
      </c>
    </row>
    <row r="18" spans="1:10" ht="16">
      <c r="A18" s="93" t="s">
        <v>758</v>
      </c>
      <c r="B18" s="94" t="s">
        <v>759</v>
      </c>
      <c r="C18" s="95" t="s">
        <v>76</v>
      </c>
      <c r="D18" s="96" t="s">
        <v>80</v>
      </c>
      <c r="E18" s="97">
        <v>21138</v>
      </c>
      <c r="F18" s="97">
        <v>3775</v>
      </c>
      <c r="G18" s="97">
        <v>2325</v>
      </c>
      <c r="H18" s="114">
        <v>9.7050747972159321</v>
      </c>
      <c r="I18" s="125">
        <v>2075</v>
      </c>
      <c r="J18" s="115">
        <v>25.192262328079238</v>
      </c>
    </row>
    <row r="19" spans="1:10" ht="16">
      <c r="A19" s="100" t="s">
        <v>346</v>
      </c>
      <c r="B19" s="101" t="s">
        <v>344</v>
      </c>
      <c r="C19" s="102" t="s">
        <v>76</v>
      </c>
      <c r="D19" s="103" t="s">
        <v>92</v>
      </c>
      <c r="E19" s="104">
        <v>182129</v>
      </c>
      <c r="F19" s="104">
        <v>6647</v>
      </c>
      <c r="G19" s="104">
        <v>5464</v>
      </c>
      <c r="H19" s="116">
        <v>13.317975194553959</v>
      </c>
      <c r="I19" s="126">
        <v>3227</v>
      </c>
      <c r="J19" s="117">
        <v>19.098774118637415</v>
      </c>
    </row>
    <row r="20" spans="1:10" ht="16">
      <c r="A20" s="93" t="s">
        <v>908</v>
      </c>
      <c r="B20" s="94" t="s">
        <v>909</v>
      </c>
      <c r="C20" s="95" t="s">
        <v>76</v>
      </c>
      <c r="D20" s="96" t="s">
        <v>59</v>
      </c>
      <c r="E20" s="97">
        <v>23124</v>
      </c>
      <c r="F20" s="97">
        <v>1278</v>
      </c>
      <c r="G20" s="97">
        <v>1387</v>
      </c>
      <c r="H20" s="114">
        <v>11.10693587715299</v>
      </c>
      <c r="I20" s="125">
        <v>1151</v>
      </c>
      <c r="J20" s="115">
        <v>17.679971507148657</v>
      </c>
    </row>
    <row r="21" spans="1:10" ht="16">
      <c r="A21" s="100" t="s">
        <v>958</v>
      </c>
      <c r="B21" s="101" t="s">
        <v>959</v>
      </c>
      <c r="C21" s="102" t="s">
        <v>76</v>
      </c>
      <c r="D21" s="103" t="s">
        <v>59</v>
      </c>
      <c r="E21" s="104">
        <v>2566</v>
      </c>
      <c r="F21" s="104">
        <v>247</v>
      </c>
      <c r="G21" s="104">
        <v>872</v>
      </c>
      <c r="H21" s="116">
        <v>21.790346070466185</v>
      </c>
      <c r="I21" s="126">
        <v>20241</v>
      </c>
      <c r="J21" s="117">
        <v>19.611742808160695</v>
      </c>
    </row>
    <row r="22" spans="1:10" ht="16">
      <c r="A22" s="93" t="s">
        <v>475</v>
      </c>
      <c r="B22" s="94" t="s">
        <v>474</v>
      </c>
      <c r="C22" s="95" t="s">
        <v>107</v>
      </c>
      <c r="D22" s="96" t="s">
        <v>80</v>
      </c>
      <c r="E22" s="97">
        <v>18783</v>
      </c>
      <c r="F22" s="97">
        <v>1391</v>
      </c>
      <c r="G22" s="97">
        <v>376</v>
      </c>
      <c r="H22" s="114">
        <v>10.733220021749664</v>
      </c>
      <c r="I22" s="125">
        <v>4302</v>
      </c>
      <c r="J22" s="115">
        <v>29.518171381322375</v>
      </c>
    </row>
    <row r="23" spans="1:10" ht="16">
      <c r="A23" s="100" t="s">
        <v>536</v>
      </c>
      <c r="B23" s="101" t="s">
        <v>537</v>
      </c>
      <c r="C23" s="102" t="s">
        <v>76</v>
      </c>
      <c r="D23" s="103" t="s">
        <v>82</v>
      </c>
      <c r="E23" s="104">
        <v>10110</v>
      </c>
      <c r="F23" s="104">
        <v>449</v>
      </c>
      <c r="G23" s="104">
        <v>101</v>
      </c>
      <c r="H23" s="116">
        <v>9.9209864372580832</v>
      </c>
      <c r="I23" s="126">
        <v>1741</v>
      </c>
      <c r="J23" s="117">
        <v>18.677393426766201</v>
      </c>
    </row>
    <row r="24" spans="1:10" ht="16">
      <c r="A24" s="93" t="s">
        <v>597</v>
      </c>
      <c r="B24" s="94" t="s">
        <v>598</v>
      </c>
      <c r="C24" s="95" t="s">
        <v>76</v>
      </c>
      <c r="D24" s="96" t="s">
        <v>60</v>
      </c>
      <c r="E24" s="97">
        <v>13447</v>
      </c>
      <c r="F24" s="97">
        <v>372</v>
      </c>
      <c r="G24" s="97">
        <v>807</v>
      </c>
      <c r="H24" s="114">
        <v>18.93698798992439</v>
      </c>
      <c r="I24" s="125">
        <v>12610</v>
      </c>
      <c r="J24" s="115">
        <v>15.011106674727118</v>
      </c>
    </row>
    <row r="25" spans="1:10" ht="16">
      <c r="A25" s="100" t="s">
        <v>1287</v>
      </c>
      <c r="B25" s="101" t="s">
        <v>1288</v>
      </c>
      <c r="C25" s="102" t="s">
        <v>76</v>
      </c>
      <c r="D25" s="103" t="s">
        <v>77</v>
      </c>
      <c r="E25" s="104">
        <v>11750</v>
      </c>
      <c r="F25" s="104">
        <v>1068</v>
      </c>
      <c r="G25" s="104">
        <v>1410</v>
      </c>
      <c r="H25" s="116">
        <v>20.358397089860873</v>
      </c>
      <c r="I25" s="126">
        <v>12927</v>
      </c>
      <c r="J25" s="117">
        <v>41.114196365752719</v>
      </c>
    </row>
    <row r="26" spans="1:10" ht="16">
      <c r="A26" s="93" t="s">
        <v>347</v>
      </c>
      <c r="B26" s="94" t="s">
        <v>344</v>
      </c>
      <c r="C26" s="95" t="s">
        <v>76</v>
      </c>
      <c r="D26" s="96" t="s">
        <v>61</v>
      </c>
      <c r="E26" s="97">
        <v>5936</v>
      </c>
      <c r="F26" s="97">
        <v>433</v>
      </c>
      <c r="G26" s="97">
        <v>297</v>
      </c>
      <c r="H26" s="114">
        <v>25.332539137226739</v>
      </c>
      <c r="I26" s="125">
        <v>5110</v>
      </c>
      <c r="J26" s="115">
        <v>27.593435653672849</v>
      </c>
    </row>
    <row r="27" spans="1:10" ht="16">
      <c r="A27" s="100" t="s">
        <v>769</v>
      </c>
      <c r="B27" s="101" t="s">
        <v>770</v>
      </c>
      <c r="C27" s="102" t="s">
        <v>76</v>
      </c>
      <c r="D27" s="103" t="s">
        <v>80</v>
      </c>
      <c r="E27" s="104">
        <v>8401</v>
      </c>
      <c r="F27" s="104">
        <v>988</v>
      </c>
      <c r="G27" s="104">
        <v>1764</v>
      </c>
      <c r="H27" s="116">
        <v>15.317988781583518</v>
      </c>
      <c r="I27" s="126">
        <v>11583</v>
      </c>
      <c r="J27" s="117">
        <v>28.872173928796922</v>
      </c>
    </row>
    <row r="28" spans="1:10" ht="16">
      <c r="A28" s="93" t="s">
        <v>1184</v>
      </c>
      <c r="B28" s="94" t="s">
        <v>1185</v>
      </c>
      <c r="C28" s="95" t="s">
        <v>107</v>
      </c>
      <c r="D28" s="96" t="s">
        <v>84</v>
      </c>
      <c r="E28" s="97">
        <v>5652</v>
      </c>
      <c r="F28" s="97">
        <v>404</v>
      </c>
      <c r="G28" s="97">
        <v>4691</v>
      </c>
      <c r="H28" s="114">
        <v>15.195100799105088</v>
      </c>
      <c r="I28" s="125">
        <v>3443</v>
      </c>
      <c r="J28" s="115">
        <v>19.911346995065696</v>
      </c>
    </row>
    <row r="29" spans="1:10" ht="16">
      <c r="A29" s="100" t="s">
        <v>538</v>
      </c>
      <c r="B29" s="101" t="s">
        <v>537</v>
      </c>
      <c r="C29" s="102" t="s">
        <v>107</v>
      </c>
      <c r="D29" s="103" t="s">
        <v>77</v>
      </c>
      <c r="E29" s="104">
        <v>11580</v>
      </c>
      <c r="F29" s="104">
        <v>536</v>
      </c>
      <c r="G29" s="104">
        <v>232</v>
      </c>
      <c r="H29" s="116">
        <v>32.664454432855294</v>
      </c>
      <c r="I29" s="126">
        <v>13795</v>
      </c>
      <c r="J29" s="117">
        <v>34.640836454911494</v>
      </c>
    </row>
    <row r="30" spans="1:10" ht="16">
      <c r="A30" s="93" t="s">
        <v>476</v>
      </c>
      <c r="B30" s="94" t="s">
        <v>474</v>
      </c>
      <c r="C30" s="95" t="s">
        <v>107</v>
      </c>
      <c r="D30" s="96" t="s">
        <v>84</v>
      </c>
      <c r="E30" s="97">
        <v>29623</v>
      </c>
      <c r="F30" s="97">
        <v>1975</v>
      </c>
      <c r="G30" s="97">
        <v>1185</v>
      </c>
      <c r="H30" s="114">
        <v>9.8857509785649569</v>
      </c>
      <c r="I30" s="125">
        <v>1779</v>
      </c>
      <c r="J30" s="115">
        <v>16.098576350529392</v>
      </c>
    </row>
    <row r="31" spans="1:10" ht="16">
      <c r="A31" s="100" t="s">
        <v>477</v>
      </c>
      <c r="B31" s="101" t="s">
        <v>474</v>
      </c>
      <c r="C31" s="102" t="s">
        <v>107</v>
      </c>
      <c r="D31" s="103" t="s">
        <v>84</v>
      </c>
      <c r="E31" s="104">
        <v>14689</v>
      </c>
      <c r="F31" s="104">
        <v>1234</v>
      </c>
      <c r="G31" s="104">
        <v>1763</v>
      </c>
      <c r="H31" s="116">
        <v>17.194273944555185</v>
      </c>
      <c r="I31" s="126">
        <v>8220</v>
      </c>
      <c r="J31" s="117">
        <v>26.913184532990744</v>
      </c>
    </row>
    <row r="32" spans="1:10" ht="16">
      <c r="A32" s="93" t="s">
        <v>1144</v>
      </c>
      <c r="B32" s="94" t="s">
        <v>1142</v>
      </c>
      <c r="C32" s="95" t="s">
        <v>107</v>
      </c>
      <c r="D32" s="96" t="s">
        <v>59</v>
      </c>
      <c r="E32" s="97">
        <v>830104</v>
      </c>
      <c r="F32" s="97">
        <v>1682</v>
      </c>
      <c r="G32" s="97">
        <v>8301</v>
      </c>
      <c r="H32" s="114">
        <v>24.777103198649453</v>
      </c>
      <c r="I32" s="125">
        <v>4013</v>
      </c>
      <c r="J32" s="115">
        <v>13.108426873288469</v>
      </c>
    </row>
    <row r="33" spans="1:10" ht="16">
      <c r="A33" s="100" t="s">
        <v>478</v>
      </c>
      <c r="B33" s="101" t="s">
        <v>474</v>
      </c>
      <c r="C33" s="102" t="s">
        <v>76</v>
      </c>
      <c r="D33" s="103" t="s">
        <v>130</v>
      </c>
      <c r="E33" s="104">
        <v>9785</v>
      </c>
      <c r="F33" s="104">
        <v>589</v>
      </c>
      <c r="G33" s="104">
        <v>196</v>
      </c>
      <c r="H33" s="116">
        <v>11.309102147108797</v>
      </c>
      <c r="I33" s="126">
        <v>921</v>
      </c>
      <c r="J33" s="117">
        <v>37.591309976272115</v>
      </c>
    </row>
    <row r="34" spans="1:10" ht="16">
      <c r="A34" s="93" t="s">
        <v>1191</v>
      </c>
      <c r="B34" s="94" t="s">
        <v>1190</v>
      </c>
      <c r="C34" s="95" t="s">
        <v>76</v>
      </c>
      <c r="D34" s="96" t="s">
        <v>77</v>
      </c>
      <c r="E34" s="97">
        <v>18022</v>
      </c>
      <c r="F34" s="97">
        <v>780</v>
      </c>
      <c r="G34" s="97">
        <v>5407</v>
      </c>
      <c r="H34" s="114">
        <v>14.437302678008953</v>
      </c>
      <c r="I34" s="125">
        <v>14497</v>
      </c>
      <c r="J34" s="115">
        <v>18.520401349504446</v>
      </c>
    </row>
    <row r="35" spans="1:10" ht="16">
      <c r="A35" s="100" t="s">
        <v>1145</v>
      </c>
      <c r="B35" s="101" t="s">
        <v>1142</v>
      </c>
      <c r="C35" s="102" t="s">
        <v>107</v>
      </c>
      <c r="D35" s="103" t="s">
        <v>63</v>
      </c>
      <c r="E35" s="104">
        <v>69737</v>
      </c>
      <c r="F35" s="104">
        <v>3651</v>
      </c>
      <c r="G35" s="104">
        <v>2789</v>
      </c>
      <c r="H35" s="116">
        <v>10.297268586810235</v>
      </c>
      <c r="I35" s="126">
        <v>1455</v>
      </c>
      <c r="J35" s="117">
        <v>20.029114355666231</v>
      </c>
    </row>
    <row r="36" spans="1:10" ht="16">
      <c r="A36" s="93" t="s">
        <v>479</v>
      </c>
      <c r="B36" s="94" t="s">
        <v>474</v>
      </c>
      <c r="C36" s="95" t="s">
        <v>107</v>
      </c>
      <c r="D36" s="96" t="s">
        <v>62</v>
      </c>
      <c r="E36" s="97">
        <v>14428</v>
      </c>
      <c r="F36" s="97">
        <v>925</v>
      </c>
      <c r="G36" s="97">
        <v>144</v>
      </c>
      <c r="H36" s="114">
        <v>14.140379946840559</v>
      </c>
      <c r="I36" s="125">
        <v>2642</v>
      </c>
      <c r="J36" s="115">
        <v>22.877170480456318</v>
      </c>
    </row>
    <row r="37" spans="1:10" ht="16">
      <c r="A37" s="100" t="s">
        <v>480</v>
      </c>
      <c r="B37" s="101" t="s">
        <v>474</v>
      </c>
      <c r="C37" s="102" t="s">
        <v>107</v>
      </c>
      <c r="D37" s="103" t="s">
        <v>84</v>
      </c>
      <c r="E37" s="104">
        <v>23098</v>
      </c>
      <c r="F37" s="104">
        <v>1638</v>
      </c>
      <c r="G37" s="104">
        <v>462</v>
      </c>
      <c r="H37" s="116">
        <v>8.9771224713427351</v>
      </c>
      <c r="I37" s="126">
        <v>1664</v>
      </c>
      <c r="J37" s="117">
        <v>29.762054370975793</v>
      </c>
    </row>
    <row r="38" spans="1:10" ht="16">
      <c r="A38" s="93" t="s">
        <v>644</v>
      </c>
      <c r="B38" s="94" t="s">
        <v>642</v>
      </c>
      <c r="C38" s="95" t="s">
        <v>107</v>
      </c>
      <c r="D38" s="96" t="s">
        <v>80</v>
      </c>
      <c r="E38" s="97">
        <v>19143</v>
      </c>
      <c r="F38" s="97">
        <v>1679</v>
      </c>
      <c r="G38" s="97">
        <v>574</v>
      </c>
      <c r="H38" s="114">
        <v>8.2246036843197654</v>
      </c>
      <c r="I38" s="125">
        <v>1690</v>
      </c>
      <c r="J38" s="115">
        <v>17.15531968816509</v>
      </c>
    </row>
    <row r="39" spans="1:10" ht="16">
      <c r="A39" s="100" t="s">
        <v>447</v>
      </c>
      <c r="B39" s="101" t="s">
        <v>448</v>
      </c>
      <c r="C39" s="102" t="s">
        <v>76</v>
      </c>
      <c r="D39" s="103" t="s">
        <v>61</v>
      </c>
      <c r="E39" s="104">
        <v>46505</v>
      </c>
      <c r="F39" s="104">
        <v>1735</v>
      </c>
      <c r="G39" s="104">
        <v>2325</v>
      </c>
      <c r="H39" s="116">
        <v>17.165698380494842</v>
      </c>
      <c r="I39" s="126">
        <v>10861</v>
      </c>
      <c r="J39" s="117">
        <v>20.089464071600553</v>
      </c>
    </row>
    <row r="40" spans="1:10" ht="16">
      <c r="A40" s="93" t="s">
        <v>1289</v>
      </c>
      <c r="B40" s="94" t="s">
        <v>1288</v>
      </c>
      <c r="C40" s="95" t="s">
        <v>107</v>
      </c>
      <c r="D40" s="96" t="s">
        <v>62</v>
      </c>
      <c r="E40" s="97">
        <v>46683</v>
      </c>
      <c r="F40" s="97">
        <v>2212</v>
      </c>
      <c r="G40" s="97">
        <v>9803</v>
      </c>
      <c r="H40" s="114">
        <v>50.832535806437697</v>
      </c>
      <c r="I40" s="125">
        <v>41424</v>
      </c>
      <c r="J40" s="115">
        <v>40.217471142751336</v>
      </c>
    </row>
    <row r="41" spans="1:10" ht="16">
      <c r="A41" s="100" t="s">
        <v>1080</v>
      </c>
      <c r="B41" s="101" t="s">
        <v>1081</v>
      </c>
      <c r="C41" s="102" t="s">
        <v>76</v>
      </c>
      <c r="D41" s="103" t="s">
        <v>77</v>
      </c>
      <c r="E41" s="104">
        <v>11779</v>
      </c>
      <c r="F41" s="104">
        <v>395</v>
      </c>
      <c r="G41" s="104">
        <v>589</v>
      </c>
      <c r="H41" s="116">
        <v>34.458681785012892</v>
      </c>
      <c r="I41" s="126">
        <v>7788</v>
      </c>
      <c r="J41" s="117">
        <v>18.13928600203975</v>
      </c>
    </row>
    <row r="42" spans="1:10" ht="16">
      <c r="A42" s="93" t="s">
        <v>348</v>
      </c>
      <c r="B42" s="94" t="s">
        <v>344</v>
      </c>
      <c r="C42" s="95" t="s">
        <v>107</v>
      </c>
      <c r="D42" s="96" t="s">
        <v>92</v>
      </c>
      <c r="E42" s="97">
        <v>87471</v>
      </c>
      <c r="F42" s="97">
        <v>4440</v>
      </c>
      <c r="G42" s="97">
        <v>875</v>
      </c>
      <c r="H42" s="114">
        <v>9.2588522367131798</v>
      </c>
      <c r="I42" s="125">
        <v>2348</v>
      </c>
      <c r="J42" s="115">
        <v>15.59836129336778</v>
      </c>
    </row>
    <row r="43" spans="1:10" ht="16">
      <c r="A43" s="100" t="s">
        <v>1192</v>
      </c>
      <c r="B43" s="101" t="s">
        <v>1190</v>
      </c>
      <c r="C43" s="102" t="s">
        <v>107</v>
      </c>
      <c r="D43" s="103" t="s">
        <v>84</v>
      </c>
      <c r="E43" s="104">
        <v>11113</v>
      </c>
      <c r="F43" s="104">
        <v>527</v>
      </c>
      <c r="G43" s="104">
        <v>2889</v>
      </c>
      <c r="H43" s="116">
        <v>24.459431130630733</v>
      </c>
      <c r="I43" s="126">
        <v>13406</v>
      </c>
      <c r="J43" s="117">
        <v>21.438257275509304</v>
      </c>
    </row>
    <row r="44" spans="1:10" ht="16">
      <c r="A44" s="93" t="s">
        <v>349</v>
      </c>
      <c r="B44" s="94" t="s">
        <v>344</v>
      </c>
      <c r="C44" s="95" t="s">
        <v>76</v>
      </c>
      <c r="D44" s="96" t="s">
        <v>63</v>
      </c>
      <c r="E44" s="97">
        <v>22393</v>
      </c>
      <c r="F44" s="97">
        <v>549</v>
      </c>
      <c r="G44" s="97">
        <v>501</v>
      </c>
      <c r="H44" s="114">
        <v>9.0901555427163032</v>
      </c>
      <c r="I44" s="125">
        <v>8855</v>
      </c>
      <c r="J44" s="115">
        <v>12.867740209704008</v>
      </c>
    </row>
    <row r="45" spans="1:10" ht="16">
      <c r="A45" s="100" t="s">
        <v>449</v>
      </c>
      <c r="B45" s="101" t="s">
        <v>448</v>
      </c>
      <c r="C45" s="102" t="s">
        <v>107</v>
      </c>
      <c r="D45" s="103" t="s">
        <v>63</v>
      </c>
      <c r="E45" s="104">
        <v>9678</v>
      </c>
      <c r="F45" s="104">
        <v>218</v>
      </c>
      <c r="G45" s="104">
        <v>484</v>
      </c>
      <c r="H45" s="116">
        <v>22.038704127832425</v>
      </c>
      <c r="I45" s="126">
        <v>8382</v>
      </c>
      <c r="J45" s="117">
        <v>18.258933304004614</v>
      </c>
    </row>
    <row r="46" spans="1:10" ht="16">
      <c r="A46" s="93" t="s">
        <v>1146</v>
      </c>
      <c r="B46" s="94" t="s">
        <v>1142</v>
      </c>
      <c r="C46" s="95" t="s">
        <v>107</v>
      </c>
      <c r="D46" s="96" t="s">
        <v>130</v>
      </c>
      <c r="E46" s="97">
        <v>9862</v>
      </c>
      <c r="F46" s="97">
        <v>587</v>
      </c>
      <c r="G46" s="97">
        <v>592</v>
      </c>
      <c r="H46" s="114">
        <v>9.1906637488825833</v>
      </c>
      <c r="I46" s="125">
        <v>3537</v>
      </c>
      <c r="J46" s="115">
        <v>15.148266708373939</v>
      </c>
    </row>
    <row r="47" spans="1:10" ht="16">
      <c r="A47" s="100" t="s">
        <v>1290</v>
      </c>
      <c r="B47" s="101" t="s">
        <v>1288</v>
      </c>
      <c r="C47" s="102" t="s">
        <v>76</v>
      </c>
      <c r="D47" s="103" t="s">
        <v>80</v>
      </c>
      <c r="E47" s="104">
        <v>26641</v>
      </c>
      <c r="F47" s="104">
        <v>1417</v>
      </c>
      <c r="G47" s="104">
        <v>2398</v>
      </c>
      <c r="H47" s="116">
        <v>21.59106321330929</v>
      </c>
      <c r="I47" s="126">
        <v>9187</v>
      </c>
      <c r="J47" s="117">
        <v>33.138772544116556</v>
      </c>
    </row>
    <row r="48" spans="1:10" ht="16">
      <c r="A48" s="93" t="s">
        <v>833</v>
      </c>
      <c r="B48" s="94" t="s">
        <v>834</v>
      </c>
      <c r="C48" s="95" t="s">
        <v>76</v>
      </c>
      <c r="D48" s="96" t="s">
        <v>92</v>
      </c>
      <c r="E48" s="97">
        <v>18035</v>
      </c>
      <c r="F48" s="97">
        <v>1055</v>
      </c>
      <c r="G48" s="97">
        <v>8476</v>
      </c>
      <c r="H48" s="114">
        <v>19.193752716054153</v>
      </c>
      <c r="I48" s="125">
        <v>18067</v>
      </c>
      <c r="J48" s="115">
        <v>20.334475741093168</v>
      </c>
    </row>
    <row r="49" spans="1:10" ht="16">
      <c r="A49" s="100" t="s">
        <v>211</v>
      </c>
      <c r="B49" s="101" t="s">
        <v>212</v>
      </c>
      <c r="C49" s="102" t="s">
        <v>107</v>
      </c>
      <c r="D49" s="103" t="s">
        <v>82</v>
      </c>
      <c r="E49" s="104">
        <v>15575</v>
      </c>
      <c r="F49" s="104">
        <v>880</v>
      </c>
      <c r="G49" s="104">
        <v>312</v>
      </c>
      <c r="H49" s="116">
        <v>12.754031415648718</v>
      </c>
      <c r="I49" s="126">
        <v>2852</v>
      </c>
      <c r="J49" s="117">
        <v>15.112428385579683</v>
      </c>
    </row>
    <row r="50" spans="1:10" ht="16">
      <c r="A50" s="93" t="s">
        <v>88</v>
      </c>
      <c r="B50" s="94" t="s">
        <v>89</v>
      </c>
      <c r="C50" s="95" t="s">
        <v>76</v>
      </c>
      <c r="D50" s="96" t="s">
        <v>59</v>
      </c>
      <c r="E50" s="97">
        <v>23886</v>
      </c>
      <c r="F50" s="97">
        <v>549</v>
      </c>
      <c r="G50" s="97">
        <v>2866</v>
      </c>
      <c r="H50" s="114">
        <v>28.115268559362519</v>
      </c>
      <c r="I50" s="125">
        <v>20318</v>
      </c>
      <c r="J50" s="115">
        <v>20.662874049475121</v>
      </c>
    </row>
    <row r="51" spans="1:10" ht="16">
      <c r="A51" s="100" t="s">
        <v>90</v>
      </c>
      <c r="B51" s="101" t="s">
        <v>89</v>
      </c>
      <c r="C51" s="102" t="s">
        <v>76</v>
      </c>
      <c r="D51" s="103" t="s">
        <v>80</v>
      </c>
      <c r="E51" s="104">
        <v>17359</v>
      </c>
      <c r="F51" s="104">
        <v>975</v>
      </c>
      <c r="G51" s="104">
        <v>7638</v>
      </c>
      <c r="H51" s="116">
        <v>70.027839444938749</v>
      </c>
      <c r="I51" s="126">
        <v>61783</v>
      </c>
      <c r="J51" s="117">
        <v>54.878612669651922</v>
      </c>
    </row>
    <row r="52" spans="1:10" ht="16">
      <c r="A52" s="93" t="s">
        <v>797</v>
      </c>
      <c r="B52" s="94" t="s">
        <v>798</v>
      </c>
      <c r="C52" s="95" t="s">
        <v>76</v>
      </c>
      <c r="D52" s="96" t="s">
        <v>130</v>
      </c>
      <c r="E52" s="97">
        <v>59507</v>
      </c>
      <c r="F52" s="97">
        <v>3362</v>
      </c>
      <c r="G52" s="97">
        <v>1190</v>
      </c>
      <c r="H52" s="114">
        <v>9.7751531640796028</v>
      </c>
      <c r="I52" s="125">
        <v>752</v>
      </c>
      <c r="J52" s="115">
        <v>14.391320077675758</v>
      </c>
    </row>
    <row r="53" spans="1:10" ht="16">
      <c r="A53" s="100" t="s">
        <v>1019</v>
      </c>
      <c r="B53" s="101" t="s">
        <v>1020</v>
      </c>
      <c r="C53" s="102" t="s">
        <v>76</v>
      </c>
      <c r="D53" s="103" t="s">
        <v>92</v>
      </c>
      <c r="E53" s="104">
        <v>31877</v>
      </c>
      <c r="F53" s="104">
        <v>2530</v>
      </c>
      <c r="G53" s="104">
        <v>5100</v>
      </c>
      <c r="H53" s="116">
        <v>36.899316668800616</v>
      </c>
      <c r="I53" s="126">
        <v>33631</v>
      </c>
      <c r="J53" s="117">
        <v>41.654874884397096</v>
      </c>
    </row>
    <row r="54" spans="1:10" ht="16">
      <c r="A54" s="93" t="s">
        <v>799</v>
      </c>
      <c r="B54" s="94" t="s">
        <v>798</v>
      </c>
      <c r="C54" s="95" t="s">
        <v>76</v>
      </c>
      <c r="D54" s="96" t="s">
        <v>77</v>
      </c>
      <c r="E54" s="97">
        <v>34995</v>
      </c>
      <c r="F54" s="97">
        <v>1923</v>
      </c>
      <c r="G54" s="97">
        <v>350</v>
      </c>
      <c r="H54" s="114">
        <v>9.0041166705782594</v>
      </c>
      <c r="I54" s="125">
        <v>727</v>
      </c>
      <c r="J54" s="115">
        <v>15.067746225848651</v>
      </c>
    </row>
    <row r="55" spans="1:10" ht="16">
      <c r="A55" s="100" t="s">
        <v>1021</v>
      </c>
      <c r="B55" s="101" t="s">
        <v>1020</v>
      </c>
      <c r="C55" s="102" t="s">
        <v>76</v>
      </c>
      <c r="D55" s="103" t="s">
        <v>63</v>
      </c>
      <c r="E55" s="104">
        <v>29576</v>
      </c>
      <c r="F55" s="104">
        <v>2207</v>
      </c>
      <c r="G55" s="104">
        <v>4141</v>
      </c>
      <c r="H55" s="116">
        <v>29.112879903587014</v>
      </c>
      <c r="I55" s="126">
        <v>21527</v>
      </c>
      <c r="J55" s="117">
        <v>40.224011771522392</v>
      </c>
    </row>
    <row r="56" spans="1:10" ht="16">
      <c r="A56" s="93" t="s">
        <v>800</v>
      </c>
      <c r="B56" s="94" t="s">
        <v>798</v>
      </c>
      <c r="C56" s="95" t="s">
        <v>76</v>
      </c>
      <c r="D56" s="96" t="s">
        <v>63</v>
      </c>
      <c r="E56" s="97">
        <v>69982</v>
      </c>
      <c r="F56" s="97">
        <v>2108</v>
      </c>
      <c r="G56" s="97">
        <v>700</v>
      </c>
      <c r="H56" s="114">
        <v>8.6629192285902974</v>
      </c>
      <c r="I56" s="125">
        <v>1067</v>
      </c>
      <c r="J56" s="115">
        <v>16.36586316973461</v>
      </c>
    </row>
    <row r="57" spans="1:10" ht="16">
      <c r="A57" s="100" t="s">
        <v>801</v>
      </c>
      <c r="B57" s="101" t="s">
        <v>798</v>
      </c>
      <c r="C57" s="102" t="s">
        <v>76</v>
      </c>
      <c r="D57" s="103" t="s">
        <v>80</v>
      </c>
      <c r="E57" s="104">
        <v>32012</v>
      </c>
      <c r="F57" s="104">
        <v>3370</v>
      </c>
      <c r="G57" s="104">
        <v>320</v>
      </c>
      <c r="H57" s="116">
        <v>8.0052643866110369</v>
      </c>
      <c r="I57" s="126">
        <v>941</v>
      </c>
      <c r="J57" s="117">
        <v>17.977953074077309</v>
      </c>
    </row>
    <row r="58" spans="1:10" ht="16">
      <c r="A58" s="93" t="s">
        <v>802</v>
      </c>
      <c r="B58" s="94" t="s">
        <v>798</v>
      </c>
      <c r="C58" s="95" t="s">
        <v>76</v>
      </c>
      <c r="D58" s="96" t="s">
        <v>63</v>
      </c>
      <c r="E58" s="97">
        <v>72792</v>
      </c>
      <c r="F58" s="97">
        <v>3386</v>
      </c>
      <c r="G58" s="97">
        <v>5065</v>
      </c>
      <c r="H58" s="114">
        <v>8.5925506742924735</v>
      </c>
      <c r="I58" s="125">
        <v>1224</v>
      </c>
      <c r="J58" s="115">
        <v>14.094990981154101</v>
      </c>
    </row>
    <row r="59" spans="1:10" ht="16">
      <c r="A59" s="100" t="s">
        <v>803</v>
      </c>
      <c r="B59" s="101" t="s">
        <v>798</v>
      </c>
      <c r="C59" s="102" t="s">
        <v>76</v>
      </c>
      <c r="D59" s="103" t="s">
        <v>130</v>
      </c>
      <c r="E59" s="104">
        <v>57588</v>
      </c>
      <c r="F59" s="104">
        <v>2594</v>
      </c>
      <c r="G59" s="104">
        <v>576</v>
      </c>
      <c r="H59" s="116">
        <v>9.898784221154612</v>
      </c>
      <c r="I59" s="126">
        <v>734</v>
      </c>
      <c r="J59" s="117">
        <v>14.671824741470607</v>
      </c>
    </row>
    <row r="60" spans="1:10" ht="16">
      <c r="A60" s="93" t="s">
        <v>539</v>
      </c>
      <c r="B60" s="94" t="s">
        <v>537</v>
      </c>
      <c r="C60" s="95" t="s">
        <v>76</v>
      </c>
      <c r="D60" s="96" t="s">
        <v>80</v>
      </c>
      <c r="E60" s="97">
        <v>6329</v>
      </c>
      <c r="F60" s="97">
        <v>265</v>
      </c>
      <c r="G60" s="97">
        <v>291</v>
      </c>
      <c r="H60" s="114">
        <v>13.024967116454036</v>
      </c>
      <c r="I60" s="125">
        <v>3053</v>
      </c>
      <c r="J60" s="115">
        <v>18.4557715570037</v>
      </c>
    </row>
    <row r="61" spans="1:10" ht="16">
      <c r="A61" s="100" t="s">
        <v>910</v>
      </c>
      <c r="B61" s="101" t="s">
        <v>909</v>
      </c>
      <c r="C61" s="102" t="s">
        <v>76</v>
      </c>
      <c r="D61" s="103" t="s">
        <v>59</v>
      </c>
      <c r="E61" s="104">
        <v>37168</v>
      </c>
      <c r="F61" s="104">
        <v>1511</v>
      </c>
      <c r="G61" s="104">
        <v>1487</v>
      </c>
      <c r="H61" s="116">
        <v>14.346759443617243</v>
      </c>
      <c r="I61" s="126">
        <v>5227</v>
      </c>
      <c r="J61" s="117">
        <v>17.401273331299684</v>
      </c>
    </row>
    <row r="62" spans="1:10" ht="16">
      <c r="A62" s="93" t="s">
        <v>540</v>
      </c>
      <c r="B62" s="94" t="s">
        <v>537</v>
      </c>
      <c r="C62" s="95" t="s">
        <v>107</v>
      </c>
      <c r="D62" s="96" t="s">
        <v>59</v>
      </c>
      <c r="E62" s="97">
        <v>5744</v>
      </c>
      <c r="F62" s="97">
        <v>194</v>
      </c>
      <c r="G62" s="97">
        <v>400</v>
      </c>
      <c r="H62" s="114">
        <v>21.492405765605529</v>
      </c>
      <c r="I62" s="125">
        <v>21205</v>
      </c>
      <c r="J62" s="115">
        <v>15.396716249506765</v>
      </c>
    </row>
    <row r="63" spans="1:10" ht="16">
      <c r="A63" s="100" t="s">
        <v>857</v>
      </c>
      <c r="B63" s="101" t="s">
        <v>858</v>
      </c>
      <c r="C63" s="102" t="s">
        <v>107</v>
      </c>
      <c r="D63" s="103" t="s">
        <v>77</v>
      </c>
      <c r="E63" s="104">
        <v>28135</v>
      </c>
      <c r="F63" s="104">
        <v>816</v>
      </c>
      <c r="G63" s="104">
        <v>1958</v>
      </c>
      <c r="H63" s="116">
        <v>9.9289443060976303</v>
      </c>
      <c r="I63" s="126">
        <v>1874</v>
      </c>
      <c r="J63" s="117">
        <v>14.126973526057888</v>
      </c>
    </row>
    <row r="64" spans="1:10" ht="16">
      <c r="A64" s="93" t="s">
        <v>1147</v>
      </c>
      <c r="B64" s="94" t="s">
        <v>1142</v>
      </c>
      <c r="C64" s="95" t="s">
        <v>107</v>
      </c>
      <c r="D64" s="96" t="s">
        <v>61</v>
      </c>
      <c r="E64" s="97">
        <v>16458</v>
      </c>
      <c r="F64" s="97">
        <v>430</v>
      </c>
      <c r="G64" s="97">
        <v>1975</v>
      </c>
      <c r="H64" s="114">
        <v>14.934174059722011</v>
      </c>
      <c r="I64" s="125">
        <v>2204</v>
      </c>
      <c r="J64" s="115">
        <v>18.566965663576248</v>
      </c>
    </row>
    <row r="65" spans="1:10" ht="16">
      <c r="A65" s="100" t="s">
        <v>481</v>
      </c>
      <c r="B65" s="101" t="s">
        <v>474</v>
      </c>
      <c r="C65" s="102" t="s">
        <v>107</v>
      </c>
      <c r="D65" s="103" t="s">
        <v>84</v>
      </c>
      <c r="E65" s="104">
        <v>14953</v>
      </c>
      <c r="F65" s="104">
        <v>1323</v>
      </c>
      <c r="G65" s="104">
        <v>449</v>
      </c>
      <c r="H65" s="116">
        <v>16.423169162680416</v>
      </c>
      <c r="I65" s="126">
        <v>7714</v>
      </c>
      <c r="J65" s="117">
        <v>31.391253917434288</v>
      </c>
    </row>
    <row r="66" spans="1:10" ht="16">
      <c r="A66" s="93" t="s">
        <v>482</v>
      </c>
      <c r="B66" s="94" t="s">
        <v>474</v>
      </c>
      <c r="C66" s="95" t="s">
        <v>76</v>
      </c>
      <c r="D66" s="96" t="s">
        <v>77</v>
      </c>
      <c r="E66" s="97">
        <v>10355</v>
      </c>
      <c r="F66" s="97">
        <v>542</v>
      </c>
      <c r="G66" s="97">
        <v>414</v>
      </c>
      <c r="H66" s="114">
        <v>10.032846057819974</v>
      </c>
      <c r="I66" s="125">
        <v>1116</v>
      </c>
      <c r="J66" s="115">
        <v>33.278001152853527</v>
      </c>
    </row>
    <row r="67" spans="1:10" ht="16">
      <c r="A67" s="100" t="s">
        <v>529</v>
      </c>
      <c r="B67" s="101" t="s">
        <v>530</v>
      </c>
      <c r="C67" s="102" t="s">
        <v>107</v>
      </c>
      <c r="D67" s="103" t="s">
        <v>59</v>
      </c>
      <c r="E67" s="104">
        <v>17382</v>
      </c>
      <c r="F67" s="104">
        <v>1655</v>
      </c>
      <c r="G67" s="104">
        <v>348</v>
      </c>
      <c r="H67" s="116">
        <v>17.300251781247745</v>
      </c>
      <c r="I67" s="126">
        <v>2803</v>
      </c>
      <c r="J67" s="117">
        <v>22.776235967039366</v>
      </c>
    </row>
    <row r="68" spans="1:10" ht="16">
      <c r="A68" s="93" t="s">
        <v>1193</v>
      </c>
      <c r="B68" s="94" t="s">
        <v>1190</v>
      </c>
      <c r="C68" s="95" t="s">
        <v>76</v>
      </c>
      <c r="D68" s="96" t="s">
        <v>59</v>
      </c>
      <c r="E68" s="97">
        <v>9590</v>
      </c>
      <c r="F68" s="97">
        <v>588</v>
      </c>
      <c r="G68" s="97">
        <v>2206</v>
      </c>
      <c r="H68" s="114">
        <v>21.338675353884931</v>
      </c>
      <c r="I68" s="125">
        <v>13828</v>
      </c>
      <c r="J68" s="115">
        <v>22.413131726576211</v>
      </c>
    </row>
    <row r="69" spans="1:10" ht="16">
      <c r="A69" s="100" t="s">
        <v>590</v>
      </c>
      <c r="B69" s="101" t="s">
        <v>591</v>
      </c>
      <c r="C69" s="102" t="s">
        <v>76</v>
      </c>
      <c r="D69" s="103" t="s">
        <v>62</v>
      </c>
      <c r="E69" s="104">
        <v>16723</v>
      </c>
      <c r="F69" s="104">
        <v>956</v>
      </c>
      <c r="G69" s="104">
        <v>836</v>
      </c>
      <c r="H69" s="116">
        <v>36.691953831134299</v>
      </c>
      <c r="I69" s="126">
        <v>16240</v>
      </c>
      <c r="J69" s="117">
        <v>30.318013025120742</v>
      </c>
    </row>
    <row r="70" spans="1:10" ht="16">
      <c r="A70" s="93" t="s">
        <v>918</v>
      </c>
      <c r="B70" s="94" t="s">
        <v>919</v>
      </c>
      <c r="C70" s="95" t="s">
        <v>76</v>
      </c>
      <c r="D70" s="96" t="s">
        <v>130</v>
      </c>
      <c r="E70" s="97">
        <v>15236</v>
      </c>
      <c r="F70" s="97">
        <v>1373</v>
      </c>
      <c r="G70" s="97">
        <v>457</v>
      </c>
      <c r="H70" s="114">
        <v>8.1021621004845255</v>
      </c>
      <c r="I70" s="125">
        <v>386</v>
      </c>
      <c r="J70" s="115">
        <v>17.616239786407618</v>
      </c>
    </row>
    <row r="71" spans="1:10" ht="16">
      <c r="A71" s="100" t="s">
        <v>1148</v>
      </c>
      <c r="B71" s="101" t="s">
        <v>1142</v>
      </c>
      <c r="C71" s="102" t="s">
        <v>76</v>
      </c>
      <c r="D71" s="103" t="s">
        <v>80</v>
      </c>
      <c r="E71" s="104">
        <v>12516</v>
      </c>
      <c r="F71" s="104">
        <v>1138</v>
      </c>
      <c r="G71" s="104">
        <v>1188</v>
      </c>
      <c r="H71" s="116">
        <v>11.678144368932776</v>
      </c>
      <c r="I71" s="126">
        <v>558</v>
      </c>
      <c r="J71" s="117">
        <v>21.490198144117446</v>
      </c>
    </row>
    <row r="72" spans="1:10" ht="16">
      <c r="A72" s="93" t="s">
        <v>920</v>
      </c>
      <c r="B72" s="94" t="s">
        <v>919</v>
      </c>
      <c r="C72" s="95" t="s">
        <v>107</v>
      </c>
      <c r="D72" s="96" t="s">
        <v>84</v>
      </c>
      <c r="E72" s="97">
        <v>19785</v>
      </c>
      <c r="F72" s="97">
        <v>4122</v>
      </c>
      <c r="G72" s="97">
        <v>1583</v>
      </c>
      <c r="H72" s="114">
        <v>17.959653136227015</v>
      </c>
      <c r="I72" s="125">
        <v>2976</v>
      </c>
      <c r="J72" s="115">
        <v>34.601583921522533</v>
      </c>
    </row>
    <row r="73" spans="1:10" ht="16">
      <c r="A73" s="100" t="s">
        <v>1291</v>
      </c>
      <c r="B73" s="101" t="s">
        <v>1288</v>
      </c>
      <c r="C73" s="102" t="s">
        <v>76</v>
      </c>
      <c r="D73" s="103" t="s">
        <v>77</v>
      </c>
      <c r="E73" s="104">
        <v>17078</v>
      </c>
      <c r="F73" s="104">
        <v>1054</v>
      </c>
      <c r="G73" s="104">
        <v>1025</v>
      </c>
      <c r="H73" s="116">
        <v>18.947135839332827</v>
      </c>
      <c r="I73" s="126">
        <v>9867</v>
      </c>
      <c r="J73" s="117">
        <v>32.758688641884106</v>
      </c>
    </row>
    <row r="74" spans="1:10" ht="16">
      <c r="A74" s="93" t="s">
        <v>222</v>
      </c>
      <c r="B74" s="94" t="s">
        <v>223</v>
      </c>
      <c r="C74" s="95" t="s">
        <v>107</v>
      </c>
      <c r="D74" s="96" t="s">
        <v>130</v>
      </c>
      <c r="E74" s="97">
        <v>29952</v>
      </c>
      <c r="F74" s="97">
        <v>2186</v>
      </c>
      <c r="G74" s="97">
        <v>1797</v>
      </c>
      <c r="H74" s="114">
        <v>34.661180075518153</v>
      </c>
      <c r="I74" s="125">
        <v>13159</v>
      </c>
      <c r="J74" s="115">
        <v>30.485549864389913</v>
      </c>
    </row>
    <row r="75" spans="1:10" ht="16">
      <c r="A75" s="100" t="s">
        <v>224</v>
      </c>
      <c r="B75" s="101" t="s">
        <v>223</v>
      </c>
      <c r="C75" s="102" t="s">
        <v>107</v>
      </c>
      <c r="D75" s="103" t="s">
        <v>80</v>
      </c>
      <c r="E75" s="104">
        <v>30608</v>
      </c>
      <c r="F75" s="104">
        <v>2301</v>
      </c>
      <c r="G75" s="104">
        <v>2449</v>
      </c>
      <c r="H75" s="116">
        <v>32.661834240671844</v>
      </c>
      <c r="I75" s="126">
        <v>10553</v>
      </c>
      <c r="J75" s="117">
        <v>31.050270542961599</v>
      </c>
    </row>
    <row r="76" spans="1:10" ht="16">
      <c r="A76" s="93" t="s">
        <v>225</v>
      </c>
      <c r="B76" s="94" t="s">
        <v>223</v>
      </c>
      <c r="C76" s="95" t="s">
        <v>76</v>
      </c>
      <c r="D76" s="96" t="s">
        <v>62</v>
      </c>
      <c r="E76" s="97">
        <v>26457</v>
      </c>
      <c r="F76" s="97">
        <v>1890</v>
      </c>
      <c r="G76" s="97">
        <v>2117</v>
      </c>
      <c r="H76" s="114">
        <v>24.08264612934445</v>
      </c>
      <c r="I76" s="125">
        <v>4829</v>
      </c>
      <c r="J76" s="115">
        <v>23.812454078284116</v>
      </c>
    </row>
    <row r="77" spans="1:10" ht="16">
      <c r="A77" s="100" t="s">
        <v>226</v>
      </c>
      <c r="B77" s="101" t="s">
        <v>223</v>
      </c>
      <c r="C77" s="102" t="s">
        <v>76</v>
      </c>
      <c r="D77" s="103" t="s">
        <v>62</v>
      </c>
      <c r="E77" s="104">
        <v>23524</v>
      </c>
      <c r="F77" s="104">
        <v>1528</v>
      </c>
      <c r="G77" s="104">
        <v>2588</v>
      </c>
      <c r="H77" s="116">
        <v>40.296864343653368</v>
      </c>
      <c r="I77" s="126">
        <v>19305</v>
      </c>
      <c r="J77" s="117">
        <v>46.519453398823075</v>
      </c>
    </row>
    <row r="78" spans="1:10" ht="16">
      <c r="A78" s="93" t="s">
        <v>141</v>
      </c>
      <c r="B78" s="94" t="s">
        <v>142</v>
      </c>
      <c r="C78" s="95" t="s">
        <v>76</v>
      </c>
      <c r="D78" s="96" t="s">
        <v>60</v>
      </c>
      <c r="E78" s="97">
        <v>27101</v>
      </c>
      <c r="F78" s="97">
        <v>3226</v>
      </c>
      <c r="G78" s="97">
        <v>2439</v>
      </c>
      <c r="H78" s="114">
        <v>9.9885278315966666</v>
      </c>
      <c r="I78" s="125">
        <v>1385</v>
      </c>
      <c r="J78" s="115">
        <v>21.768033330256628</v>
      </c>
    </row>
    <row r="79" spans="1:10" ht="16">
      <c r="A79" s="100" t="s">
        <v>921</v>
      </c>
      <c r="B79" s="101" t="s">
        <v>919</v>
      </c>
      <c r="C79" s="102" t="s">
        <v>76</v>
      </c>
      <c r="D79" s="103" t="s">
        <v>61</v>
      </c>
      <c r="E79" s="104">
        <v>13175</v>
      </c>
      <c r="F79" s="104">
        <v>983</v>
      </c>
      <c r="G79" s="104">
        <v>2372</v>
      </c>
      <c r="H79" s="116">
        <v>10.392157812918471</v>
      </c>
      <c r="I79" s="126">
        <v>2079</v>
      </c>
      <c r="J79" s="117">
        <v>19.459998596259563</v>
      </c>
    </row>
    <row r="80" spans="1:10" ht="16">
      <c r="A80" s="93" t="s">
        <v>350</v>
      </c>
      <c r="B80" s="94" t="s">
        <v>344</v>
      </c>
      <c r="C80" s="95" t="s">
        <v>107</v>
      </c>
      <c r="D80" s="96" t="s">
        <v>63</v>
      </c>
      <c r="E80" s="97">
        <v>97843</v>
      </c>
      <c r="F80" s="97">
        <v>3208</v>
      </c>
      <c r="G80" s="97">
        <v>4892</v>
      </c>
      <c r="H80" s="114">
        <v>8.0468108500284146</v>
      </c>
      <c r="I80" s="125">
        <v>4128</v>
      </c>
      <c r="J80" s="115">
        <v>15.183212177056882</v>
      </c>
    </row>
    <row r="81" spans="1:10" ht="16">
      <c r="A81" s="100" t="s">
        <v>351</v>
      </c>
      <c r="B81" s="101" t="s">
        <v>344</v>
      </c>
      <c r="C81" s="102" t="s">
        <v>107</v>
      </c>
      <c r="D81" s="103" t="s">
        <v>82</v>
      </c>
      <c r="E81" s="104">
        <v>67981</v>
      </c>
      <c r="F81" s="104">
        <v>2687</v>
      </c>
      <c r="G81" s="104">
        <v>680</v>
      </c>
      <c r="H81" s="116">
        <v>8.0642068644424736</v>
      </c>
      <c r="I81" s="126">
        <v>4510</v>
      </c>
      <c r="J81" s="117">
        <v>15.499340454278254</v>
      </c>
    </row>
    <row r="82" spans="1:10" ht="16">
      <c r="A82" s="93" t="s">
        <v>401</v>
      </c>
      <c r="B82" s="94" t="s">
        <v>402</v>
      </c>
      <c r="C82" s="95" t="s">
        <v>76</v>
      </c>
      <c r="D82" s="96" t="s">
        <v>77</v>
      </c>
      <c r="E82" s="97">
        <v>24875</v>
      </c>
      <c r="F82" s="97">
        <v>321</v>
      </c>
      <c r="G82" s="97">
        <v>1990</v>
      </c>
      <c r="H82" s="114">
        <v>43.699174356143487</v>
      </c>
      <c r="I82" s="125">
        <v>38985</v>
      </c>
      <c r="J82" s="115">
        <v>36.707268777832574</v>
      </c>
    </row>
    <row r="83" spans="1:10" ht="16">
      <c r="A83" s="100" t="s">
        <v>1149</v>
      </c>
      <c r="B83" s="101" t="s">
        <v>1142</v>
      </c>
      <c r="C83" s="102" t="s">
        <v>107</v>
      </c>
      <c r="D83" s="103" t="s">
        <v>62</v>
      </c>
      <c r="E83" s="104">
        <v>10374</v>
      </c>
      <c r="F83" s="104">
        <v>715</v>
      </c>
      <c r="G83" s="104">
        <v>934</v>
      </c>
      <c r="H83" s="116">
        <v>25.15884649016451</v>
      </c>
      <c r="I83" s="126">
        <v>13186</v>
      </c>
      <c r="J83" s="117">
        <v>24.636991335071226</v>
      </c>
    </row>
    <row r="84" spans="1:10" ht="16">
      <c r="A84" s="93" t="s">
        <v>1292</v>
      </c>
      <c r="B84" s="94" t="s">
        <v>1288</v>
      </c>
      <c r="C84" s="95" t="s">
        <v>107</v>
      </c>
      <c r="D84" s="96" t="s">
        <v>60</v>
      </c>
      <c r="E84" s="97">
        <v>17848</v>
      </c>
      <c r="F84" s="97">
        <v>766</v>
      </c>
      <c r="G84" s="97">
        <v>2499</v>
      </c>
      <c r="H84" s="114">
        <v>22.814136211468096</v>
      </c>
      <c r="I84" s="125">
        <v>13626</v>
      </c>
      <c r="J84" s="115">
        <v>22.847520280743456</v>
      </c>
    </row>
    <row r="85" spans="1:10" ht="16">
      <c r="A85" s="100" t="s">
        <v>1194</v>
      </c>
      <c r="B85" s="101" t="s">
        <v>1190</v>
      </c>
      <c r="C85" s="102" t="s">
        <v>76</v>
      </c>
      <c r="D85" s="103" t="s">
        <v>62</v>
      </c>
      <c r="E85" s="104">
        <v>8631</v>
      </c>
      <c r="F85" s="104">
        <v>546</v>
      </c>
      <c r="G85" s="104">
        <v>3280</v>
      </c>
      <c r="H85" s="116">
        <v>32.111355112177094</v>
      </c>
      <c r="I85" s="126">
        <v>19885</v>
      </c>
      <c r="J85" s="117">
        <v>28.063569730983414</v>
      </c>
    </row>
    <row r="86" spans="1:10" ht="16">
      <c r="A86" s="93" t="s">
        <v>483</v>
      </c>
      <c r="B86" s="94" t="s">
        <v>474</v>
      </c>
      <c r="C86" s="95" t="s">
        <v>107</v>
      </c>
      <c r="D86" s="96" t="s">
        <v>60</v>
      </c>
      <c r="E86" s="97">
        <v>13535</v>
      </c>
      <c r="F86" s="97">
        <v>778</v>
      </c>
      <c r="G86" s="97">
        <v>135</v>
      </c>
      <c r="H86" s="114">
        <v>11.407381307615164</v>
      </c>
      <c r="I86" s="125">
        <v>3394</v>
      </c>
      <c r="J86" s="115">
        <v>20.107374797911877</v>
      </c>
    </row>
    <row r="87" spans="1:10" ht="16">
      <c r="A87" s="100" t="s">
        <v>1195</v>
      </c>
      <c r="B87" s="101" t="s">
        <v>1190</v>
      </c>
      <c r="C87" s="102" t="s">
        <v>76</v>
      </c>
      <c r="D87" s="103" t="s">
        <v>84</v>
      </c>
      <c r="E87" s="104">
        <v>19975</v>
      </c>
      <c r="F87" s="104">
        <v>1104</v>
      </c>
      <c r="G87" s="104">
        <v>4594</v>
      </c>
      <c r="H87" s="116">
        <v>10.524119680705155</v>
      </c>
      <c r="I87" s="126">
        <v>3898</v>
      </c>
      <c r="J87" s="117">
        <v>16.95670710883266</v>
      </c>
    </row>
    <row r="88" spans="1:10" ht="16">
      <c r="A88" s="93" t="s">
        <v>1150</v>
      </c>
      <c r="B88" s="94" t="s">
        <v>1142</v>
      </c>
      <c r="C88" s="95" t="s">
        <v>107</v>
      </c>
      <c r="D88" s="96" t="s">
        <v>77</v>
      </c>
      <c r="E88" s="97">
        <v>13202</v>
      </c>
      <c r="F88" s="97">
        <v>569</v>
      </c>
      <c r="G88" s="97">
        <v>396</v>
      </c>
      <c r="H88" s="114">
        <v>21.917712313070297</v>
      </c>
      <c r="I88" s="125">
        <v>10619</v>
      </c>
      <c r="J88" s="115">
        <v>23.674185153033868</v>
      </c>
    </row>
    <row r="89" spans="1:10" ht="16">
      <c r="A89" s="100" t="s">
        <v>531</v>
      </c>
      <c r="B89" s="101" t="s">
        <v>530</v>
      </c>
      <c r="C89" s="102" t="s">
        <v>76</v>
      </c>
      <c r="D89" s="103" t="s">
        <v>62</v>
      </c>
      <c r="E89" s="104">
        <v>22289</v>
      </c>
      <c r="F89" s="104">
        <v>1798</v>
      </c>
      <c r="G89" s="104">
        <v>669</v>
      </c>
      <c r="H89" s="116">
        <v>11.389335523618884</v>
      </c>
      <c r="I89" s="126">
        <v>1004</v>
      </c>
      <c r="J89" s="117">
        <v>19.090451505702237</v>
      </c>
    </row>
    <row r="90" spans="1:10" ht="16">
      <c r="A90" s="93" t="s">
        <v>91</v>
      </c>
      <c r="B90" s="94" t="s">
        <v>89</v>
      </c>
      <c r="C90" s="95" t="s">
        <v>76</v>
      </c>
      <c r="D90" s="96" t="s">
        <v>92</v>
      </c>
      <c r="E90" s="97">
        <v>3341</v>
      </c>
      <c r="F90" s="97">
        <v>324</v>
      </c>
      <c r="G90" s="97">
        <v>1437</v>
      </c>
      <c r="H90" s="114">
        <v>19.822817378847081</v>
      </c>
      <c r="I90" s="125">
        <v>12711</v>
      </c>
      <c r="J90" s="115">
        <v>21.194781344555956</v>
      </c>
    </row>
    <row r="91" spans="1:10" ht="16">
      <c r="A91" s="100" t="s">
        <v>1293</v>
      </c>
      <c r="B91" s="101" t="s">
        <v>1288</v>
      </c>
      <c r="C91" s="102" t="s">
        <v>76</v>
      </c>
      <c r="D91" s="103" t="s">
        <v>59</v>
      </c>
      <c r="E91" s="104">
        <v>12904</v>
      </c>
      <c r="F91" s="104">
        <v>822</v>
      </c>
      <c r="G91" s="104">
        <v>1419</v>
      </c>
      <c r="H91" s="116">
        <v>34.542603288346356</v>
      </c>
      <c r="I91" s="126">
        <v>23454</v>
      </c>
      <c r="J91" s="117">
        <v>37.661672997260126</v>
      </c>
    </row>
    <row r="92" spans="1:10" ht="16">
      <c r="A92" s="93" t="s">
        <v>1294</v>
      </c>
      <c r="B92" s="94" t="s">
        <v>1288</v>
      </c>
      <c r="C92" s="95" t="s">
        <v>76</v>
      </c>
      <c r="D92" s="96" t="s">
        <v>77</v>
      </c>
      <c r="E92" s="97">
        <v>25662</v>
      </c>
      <c r="F92" s="97">
        <v>2212</v>
      </c>
      <c r="G92" s="97">
        <v>6929</v>
      </c>
      <c r="H92" s="114">
        <v>55.936201341524338</v>
      </c>
      <c r="I92" s="125">
        <v>53321</v>
      </c>
      <c r="J92" s="115">
        <v>57.985852501049173</v>
      </c>
    </row>
    <row r="93" spans="1:10" ht="16">
      <c r="A93" s="100" t="s">
        <v>1196</v>
      </c>
      <c r="B93" s="101" t="s">
        <v>1190</v>
      </c>
      <c r="C93" s="102" t="s">
        <v>76</v>
      </c>
      <c r="D93" s="103" t="s">
        <v>92</v>
      </c>
      <c r="E93" s="104">
        <v>13692</v>
      </c>
      <c r="F93" s="104">
        <v>801</v>
      </c>
      <c r="G93" s="104">
        <v>2465</v>
      </c>
      <c r="H93" s="116">
        <v>19.517446785643052</v>
      </c>
      <c r="I93" s="126">
        <v>10522</v>
      </c>
      <c r="J93" s="117">
        <v>33.85591819831378</v>
      </c>
    </row>
    <row r="94" spans="1:10" ht="16">
      <c r="A94" s="93" t="s">
        <v>1295</v>
      </c>
      <c r="B94" s="94" t="s">
        <v>1288</v>
      </c>
      <c r="C94" s="95" t="s">
        <v>76</v>
      </c>
      <c r="D94" s="96" t="s">
        <v>61</v>
      </c>
      <c r="E94" s="97">
        <v>5375</v>
      </c>
      <c r="F94" s="97">
        <v>441</v>
      </c>
      <c r="G94" s="97">
        <v>1451</v>
      </c>
      <c r="H94" s="114">
        <v>23.092239004754365</v>
      </c>
      <c r="I94" s="125">
        <v>22960</v>
      </c>
      <c r="J94" s="115">
        <v>28.624990761150894</v>
      </c>
    </row>
    <row r="95" spans="1:10" ht="16">
      <c r="A95" s="100" t="s">
        <v>1197</v>
      </c>
      <c r="B95" s="101" t="s">
        <v>1190</v>
      </c>
      <c r="C95" s="102" t="s">
        <v>76</v>
      </c>
      <c r="D95" s="103" t="s">
        <v>130</v>
      </c>
      <c r="E95" s="104">
        <v>879</v>
      </c>
      <c r="F95" s="104">
        <v>78</v>
      </c>
      <c r="G95" s="104">
        <v>132</v>
      </c>
      <c r="H95" s="116">
        <v>20.733468811111994</v>
      </c>
      <c r="I95" s="126">
        <v>19987</v>
      </c>
      <c r="J95" s="117">
        <v>16.055172887716093</v>
      </c>
    </row>
    <row r="96" spans="1:10" ht="16">
      <c r="A96" s="93" t="s">
        <v>321</v>
      </c>
      <c r="B96" s="94" t="s">
        <v>322</v>
      </c>
      <c r="C96" s="95" t="s">
        <v>107</v>
      </c>
      <c r="D96" s="96" t="s">
        <v>130</v>
      </c>
      <c r="E96" s="97">
        <v>20275</v>
      </c>
      <c r="F96" s="97">
        <v>1034</v>
      </c>
      <c r="G96" s="97">
        <v>4461</v>
      </c>
      <c r="H96" s="114">
        <v>16.213237974842478</v>
      </c>
      <c r="I96" s="125">
        <v>3402</v>
      </c>
      <c r="J96" s="115">
        <v>18.824808739822508</v>
      </c>
    </row>
    <row r="97" spans="1:10" ht="16">
      <c r="A97" s="100" t="s">
        <v>1296</v>
      </c>
      <c r="B97" s="101" t="s">
        <v>1288</v>
      </c>
      <c r="C97" s="102" t="s">
        <v>107</v>
      </c>
      <c r="D97" s="103" t="s">
        <v>61</v>
      </c>
      <c r="E97" s="104">
        <v>9391</v>
      </c>
      <c r="F97" s="104">
        <v>870</v>
      </c>
      <c r="G97" s="104">
        <v>1878</v>
      </c>
      <c r="H97" s="116">
        <v>56.813829921040153</v>
      </c>
      <c r="I97" s="126">
        <v>53366</v>
      </c>
      <c r="J97" s="117">
        <v>64.793558500435395</v>
      </c>
    </row>
    <row r="98" spans="1:10" ht="16">
      <c r="A98" s="93" t="s">
        <v>1198</v>
      </c>
      <c r="B98" s="94" t="s">
        <v>1190</v>
      </c>
      <c r="C98" s="95" t="s">
        <v>107</v>
      </c>
      <c r="D98" s="96" t="s">
        <v>61</v>
      </c>
      <c r="E98" s="97">
        <v>10961</v>
      </c>
      <c r="F98" s="97">
        <v>672</v>
      </c>
      <c r="G98" s="97">
        <v>3946</v>
      </c>
      <c r="H98" s="114">
        <v>27.492055902524694</v>
      </c>
      <c r="I98" s="125">
        <v>17124</v>
      </c>
      <c r="J98" s="115">
        <v>27.123858098570093</v>
      </c>
    </row>
    <row r="99" spans="1:10" ht="16">
      <c r="A99" s="100" t="s">
        <v>541</v>
      </c>
      <c r="B99" s="101" t="s">
        <v>537</v>
      </c>
      <c r="C99" s="102" t="s">
        <v>76</v>
      </c>
      <c r="D99" s="103" t="s">
        <v>59</v>
      </c>
      <c r="E99" s="104">
        <v>11609</v>
      </c>
      <c r="F99" s="104">
        <v>441</v>
      </c>
      <c r="G99" s="104">
        <v>116</v>
      </c>
      <c r="H99" s="116">
        <v>15.952759036473923</v>
      </c>
      <c r="I99" s="126">
        <v>4052</v>
      </c>
      <c r="J99" s="117">
        <v>22.538636475534688</v>
      </c>
    </row>
    <row r="100" spans="1:10" ht="16">
      <c r="A100" s="93" t="s">
        <v>911</v>
      </c>
      <c r="B100" s="94" t="s">
        <v>909</v>
      </c>
      <c r="C100" s="95" t="s">
        <v>76</v>
      </c>
      <c r="D100" s="96" t="s">
        <v>59</v>
      </c>
      <c r="E100" s="97">
        <v>22022</v>
      </c>
      <c r="F100" s="97">
        <v>1488</v>
      </c>
      <c r="G100" s="97">
        <v>661</v>
      </c>
      <c r="H100" s="114">
        <v>10.059318959552837</v>
      </c>
      <c r="I100" s="125">
        <v>5406</v>
      </c>
      <c r="J100" s="115">
        <v>15.994439836182528</v>
      </c>
    </row>
    <row r="101" spans="1:10" ht="16">
      <c r="A101" s="100" t="s">
        <v>465</v>
      </c>
      <c r="B101" s="101" t="s">
        <v>466</v>
      </c>
      <c r="C101" s="102" t="s">
        <v>107</v>
      </c>
      <c r="D101" s="103" t="s">
        <v>82</v>
      </c>
      <c r="E101" s="104">
        <v>18219</v>
      </c>
      <c r="F101" s="104">
        <v>1078</v>
      </c>
      <c r="G101" s="104">
        <v>1275</v>
      </c>
      <c r="H101" s="116">
        <v>16.18620390011613</v>
      </c>
      <c r="I101" s="126">
        <v>4110</v>
      </c>
      <c r="J101" s="117">
        <v>17.916602908668583</v>
      </c>
    </row>
    <row r="102" spans="1:10" ht="16">
      <c r="A102" s="93" t="s">
        <v>352</v>
      </c>
      <c r="B102" s="94" t="s">
        <v>344</v>
      </c>
      <c r="C102" s="95" t="s">
        <v>107</v>
      </c>
      <c r="D102" s="96" t="s">
        <v>80</v>
      </c>
      <c r="E102" s="97">
        <v>223275</v>
      </c>
      <c r="F102" s="97">
        <v>5499</v>
      </c>
      <c r="G102" s="97">
        <v>4466</v>
      </c>
      <c r="H102" s="114">
        <v>14.495972339068668</v>
      </c>
      <c r="I102" s="125">
        <v>7125</v>
      </c>
      <c r="J102" s="115">
        <v>21.942121251950987</v>
      </c>
    </row>
    <row r="103" spans="1:10" ht="16">
      <c r="A103" s="100" t="s">
        <v>1297</v>
      </c>
      <c r="B103" s="101" t="s">
        <v>1288</v>
      </c>
      <c r="C103" s="102" t="s">
        <v>107</v>
      </c>
      <c r="D103" s="103" t="s">
        <v>130</v>
      </c>
      <c r="E103" s="104">
        <v>2240</v>
      </c>
      <c r="F103" s="104">
        <v>350</v>
      </c>
      <c r="G103" s="104">
        <v>672</v>
      </c>
      <c r="H103" s="116">
        <v>98.06262394140829</v>
      </c>
      <c r="I103" s="126">
        <v>95311</v>
      </c>
      <c r="J103" s="117">
        <v>92.710357514800293</v>
      </c>
    </row>
    <row r="104" spans="1:10" ht="16">
      <c r="A104" s="93" t="s">
        <v>1298</v>
      </c>
      <c r="B104" s="94" t="s">
        <v>1288</v>
      </c>
      <c r="C104" s="95" t="s">
        <v>76</v>
      </c>
      <c r="D104" s="96" t="s">
        <v>77</v>
      </c>
      <c r="E104" s="97">
        <v>30595</v>
      </c>
      <c r="F104" s="97">
        <v>1553</v>
      </c>
      <c r="G104" s="97">
        <v>1224</v>
      </c>
      <c r="H104" s="114">
        <v>10.939835201583699</v>
      </c>
      <c r="I104" s="125">
        <v>2847</v>
      </c>
      <c r="J104" s="115">
        <v>23.586633008932303</v>
      </c>
    </row>
    <row r="105" spans="1:10" ht="16">
      <c r="A105" s="100" t="s">
        <v>1151</v>
      </c>
      <c r="B105" s="101" t="s">
        <v>1142</v>
      </c>
      <c r="C105" s="102" t="s">
        <v>107</v>
      </c>
      <c r="D105" s="103" t="s">
        <v>62</v>
      </c>
      <c r="E105" s="104">
        <v>9164</v>
      </c>
      <c r="F105" s="104">
        <v>323</v>
      </c>
      <c r="G105" s="104">
        <v>183</v>
      </c>
      <c r="H105" s="116">
        <v>11.872662395559551</v>
      </c>
      <c r="I105" s="126">
        <v>11442</v>
      </c>
      <c r="J105" s="117">
        <v>15.758811742389343</v>
      </c>
    </row>
    <row r="106" spans="1:10" ht="16">
      <c r="A106" s="93" t="s">
        <v>1199</v>
      </c>
      <c r="B106" s="94" t="s">
        <v>1190</v>
      </c>
      <c r="C106" s="95" t="s">
        <v>76</v>
      </c>
      <c r="D106" s="96" t="s">
        <v>59</v>
      </c>
      <c r="E106" s="97">
        <v>11386</v>
      </c>
      <c r="F106" s="97">
        <v>674</v>
      </c>
      <c r="G106" s="97">
        <v>1366</v>
      </c>
      <c r="H106" s="114">
        <v>11.957062813979087</v>
      </c>
      <c r="I106" s="125">
        <v>2345</v>
      </c>
      <c r="J106" s="115">
        <v>17.062696813948065</v>
      </c>
    </row>
    <row r="107" spans="1:10" ht="16">
      <c r="A107" s="100" t="s">
        <v>227</v>
      </c>
      <c r="B107" s="101" t="s">
        <v>223</v>
      </c>
      <c r="C107" s="102" t="s">
        <v>76</v>
      </c>
      <c r="D107" s="103" t="s">
        <v>80</v>
      </c>
      <c r="E107" s="104">
        <v>13178</v>
      </c>
      <c r="F107" s="104">
        <v>1938</v>
      </c>
      <c r="G107" s="104">
        <v>659</v>
      </c>
      <c r="H107" s="116">
        <v>20.901335623472338</v>
      </c>
      <c r="I107" s="126">
        <v>5084</v>
      </c>
      <c r="J107" s="117">
        <v>31.096329062454966</v>
      </c>
    </row>
    <row r="108" spans="1:10" ht="16">
      <c r="A108" s="93" t="s">
        <v>1200</v>
      </c>
      <c r="B108" s="94" t="s">
        <v>1190</v>
      </c>
      <c r="C108" s="95" t="s">
        <v>76</v>
      </c>
      <c r="D108" s="96" t="s">
        <v>60</v>
      </c>
      <c r="E108" s="97">
        <v>8661</v>
      </c>
      <c r="F108" s="97">
        <v>525</v>
      </c>
      <c r="G108" s="97">
        <v>1472</v>
      </c>
      <c r="H108" s="114">
        <v>11.238585310304378</v>
      </c>
      <c r="I108" s="125">
        <v>4521</v>
      </c>
      <c r="J108" s="115">
        <v>17.086622509003202</v>
      </c>
    </row>
    <row r="109" spans="1:10" ht="16">
      <c r="A109" s="100" t="s">
        <v>1201</v>
      </c>
      <c r="B109" s="101" t="s">
        <v>1190</v>
      </c>
      <c r="C109" s="102" t="s">
        <v>76</v>
      </c>
      <c r="D109" s="103" t="s">
        <v>80</v>
      </c>
      <c r="E109" s="104">
        <v>25501</v>
      </c>
      <c r="F109" s="104">
        <v>1889</v>
      </c>
      <c r="G109" s="104">
        <v>6885</v>
      </c>
      <c r="H109" s="116">
        <v>35.994561103613002</v>
      </c>
      <c r="I109" s="126">
        <v>31062</v>
      </c>
      <c r="J109" s="117">
        <v>32.897329259304776</v>
      </c>
    </row>
    <row r="110" spans="1:10" ht="16">
      <c r="A110" s="93" t="s">
        <v>183</v>
      </c>
      <c r="B110" s="94" t="s">
        <v>184</v>
      </c>
      <c r="C110" s="95" t="s">
        <v>107</v>
      </c>
      <c r="D110" s="96" t="s">
        <v>130</v>
      </c>
      <c r="E110" s="97">
        <v>27570</v>
      </c>
      <c r="F110" s="97">
        <v>928</v>
      </c>
      <c r="G110" s="97">
        <v>5790</v>
      </c>
      <c r="H110" s="114">
        <v>27.852765933281237</v>
      </c>
      <c r="I110" s="125">
        <v>15638</v>
      </c>
      <c r="J110" s="115">
        <v>20.315556248387502</v>
      </c>
    </row>
    <row r="111" spans="1:10" ht="16">
      <c r="A111" s="100" t="s">
        <v>1022</v>
      </c>
      <c r="B111" s="101" t="s">
        <v>1020</v>
      </c>
      <c r="C111" s="102" t="s">
        <v>107</v>
      </c>
      <c r="D111" s="103" t="s">
        <v>59</v>
      </c>
      <c r="E111" s="104">
        <v>17265</v>
      </c>
      <c r="F111" s="104">
        <v>1570</v>
      </c>
      <c r="G111" s="104">
        <v>2590</v>
      </c>
      <c r="H111" s="116">
        <v>17.081209558181868</v>
      </c>
      <c r="I111" s="126">
        <v>5701</v>
      </c>
      <c r="J111" s="117">
        <v>24.931424002875609</v>
      </c>
    </row>
    <row r="112" spans="1:10" ht="16">
      <c r="A112" s="93" t="s">
        <v>1299</v>
      </c>
      <c r="B112" s="94" t="s">
        <v>1288</v>
      </c>
      <c r="C112" s="95" t="s">
        <v>107</v>
      </c>
      <c r="D112" s="96" t="s">
        <v>77</v>
      </c>
      <c r="E112" s="97">
        <v>13430</v>
      </c>
      <c r="F112" s="97">
        <v>988</v>
      </c>
      <c r="G112" s="97">
        <v>6446</v>
      </c>
      <c r="H112" s="114">
        <v>83.590122422417821</v>
      </c>
      <c r="I112" s="125">
        <v>81297</v>
      </c>
      <c r="J112" s="115">
        <v>66.130264443636975</v>
      </c>
    </row>
    <row r="113" spans="1:10" ht="16">
      <c r="A113" s="100" t="s">
        <v>1300</v>
      </c>
      <c r="B113" s="101" t="s">
        <v>1288</v>
      </c>
      <c r="C113" s="102" t="s">
        <v>107</v>
      </c>
      <c r="D113" s="103" t="s">
        <v>61</v>
      </c>
      <c r="E113" s="104">
        <v>10654</v>
      </c>
      <c r="F113" s="104">
        <v>1211</v>
      </c>
      <c r="G113" s="104">
        <v>2450</v>
      </c>
      <c r="H113" s="116">
        <v>40.81710131594015</v>
      </c>
      <c r="I113" s="126">
        <v>38145</v>
      </c>
      <c r="J113" s="117">
        <v>48.65785289648845</v>
      </c>
    </row>
    <row r="114" spans="1:10" ht="16">
      <c r="A114" s="93" t="s">
        <v>892</v>
      </c>
      <c r="B114" s="94" t="s">
        <v>893</v>
      </c>
      <c r="C114" s="95" t="s">
        <v>76</v>
      </c>
      <c r="D114" s="96" t="s">
        <v>63</v>
      </c>
      <c r="E114" s="97">
        <v>10998</v>
      </c>
      <c r="F114" s="97">
        <v>412</v>
      </c>
      <c r="G114" s="97">
        <v>1100</v>
      </c>
      <c r="H114" s="114">
        <v>15.680166254889093</v>
      </c>
      <c r="I114" s="125">
        <v>14240</v>
      </c>
      <c r="J114" s="115">
        <v>18.345786588602117</v>
      </c>
    </row>
    <row r="115" spans="1:10" ht="16">
      <c r="A115" s="100" t="s">
        <v>213</v>
      </c>
      <c r="B115" s="101" t="s">
        <v>212</v>
      </c>
      <c r="C115" s="102" t="s">
        <v>107</v>
      </c>
      <c r="D115" s="103" t="s">
        <v>84</v>
      </c>
      <c r="E115" s="104">
        <v>11871</v>
      </c>
      <c r="F115" s="104">
        <v>606</v>
      </c>
      <c r="G115" s="104">
        <v>237</v>
      </c>
      <c r="H115" s="116">
        <v>14.683501882704299</v>
      </c>
      <c r="I115" s="126">
        <v>2772</v>
      </c>
      <c r="J115" s="117">
        <v>15.171988698307405</v>
      </c>
    </row>
    <row r="116" spans="1:10" ht="16">
      <c r="A116" s="93" t="s">
        <v>599</v>
      </c>
      <c r="B116" s="94" t="s">
        <v>598</v>
      </c>
      <c r="C116" s="95" t="s">
        <v>76</v>
      </c>
      <c r="D116" s="96" t="s">
        <v>82</v>
      </c>
      <c r="E116" s="97">
        <v>28725</v>
      </c>
      <c r="F116" s="97">
        <v>1330</v>
      </c>
      <c r="G116" s="97">
        <v>2011</v>
      </c>
      <c r="H116" s="114">
        <v>21.404685210746184</v>
      </c>
      <c r="I116" s="125">
        <v>15283</v>
      </c>
      <c r="J116" s="115">
        <v>18.979246808264854</v>
      </c>
    </row>
    <row r="117" spans="1:10" ht="16">
      <c r="A117" s="100" t="s">
        <v>93</v>
      </c>
      <c r="B117" s="101" t="s">
        <v>89</v>
      </c>
      <c r="C117" s="102" t="s">
        <v>76</v>
      </c>
      <c r="D117" s="103" t="s">
        <v>82</v>
      </c>
      <c r="E117" s="104">
        <v>14701</v>
      </c>
      <c r="F117" s="104">
        <v>707</v>
      </c>
      <c r="G117" s="104">
        <v>4557</v>
      </c>
      <c r="H117" s="116">
        <v>13.402714200976266</v>
      </c>
      <c r="I117" s="126">
        <v>6577</v>
      </c>
      <c r="J117" s="117">
        <v>17.891219236765785</v>
      </c>
    </row>
    <row r="118" spans="1:10" ht="16">
      <c r="A118" s="93" t="s">
        <v>228</v>
      </c>
      <c r="B118" s="94" t="s">
        <v>223</v>
      </c>
      <c r="C118" s="95" t="s">
        <v>76</v>
      </c>
      <c r="D118" s="96" t="s">
        <v>130</v>
      </c>
      <c r="E118" s="97">
        <v>51546</v>
      </c>
      <c r="F118" s="97">
        <v>2801</v>
      </c>
      <c r="G118" s="97">
        <v>1031</v>
      </c>
      <c r="H118" s="114">
        <v>34.658351096016681</v>
      </c>
      <c r="I118" s="125">
        <v>19086</v>
      </c>
      <c r="J118" s="115">
        <v>32.759347942746068</v>
      </c>
    </row>
    <row r="119" spans="1:10" ht="16">
      <c r="A119" s="100" t="s">
        <v>378</v>
      </c>
      <c r="B119" s="101" t="s">
        <v>377</v>
      </c>
      <c r="C119" s="102" t="s">
        <v>107</v>
      </c>
      <c r="D119" s="103" t="s">
        <v>63</v>
      </c>
      <c r="E119" s="104">
        <v>1706</v>
      </c>
      <c r="F119" s="104">
        <v>106</v>
      </c>
      <c r="G119" s="104">
        <v>768</v>
      </c>
      <c r="H119" s="116">
        <v>30.335492247874335</v>
      </c>
      <c r="I119" s="126">
        <v>14438</v>
      </c>
      <c r="J119" s="117">
        <v>30.820218582905088</v>
      </c>
    </row>
    <row r="120" spans="1:10" ht="16">
      <c r="A120" s="93" t="s">
        <v>1061</v>
      </c>
      <c r="B120" s="94" t="s">
        <v>1062</v>
      </c>
      <c r="C120" s="95" t="s">
        <v>107</v>
      </c>
      <c r="D120" s="96" t="s">
        <v>62</v>
      </c>
      <c r="E120" s="97">
        <v>9209</v>
      </c>
      <c r="F120" s="97">
        <v>737</v>
      </c>
      <c r="G120" s="97">
        <v>1566</v>
      </c>
      <c r="H120" s="114">
        <v>42.740246649480362</v>
      </c>
      <c r="I120" s="125">
        <v>25335</v>
      </c>
      <c r="J120" s="115">
        <v>36.318587629053809</v>
      </c>
    </row>
    <row r="121" spans="1:10" ht="16">
      <c r="A121" s="100" t="s">
        <v>1082</v>
      </c>
      <c r="B121" s="101" t="s">
        <v>1081</v>
      </c>
      <c r="C121" s="102" t="s">
        <v>107</v>
      </c>
      <c r="D121" s="103" t="s">
        <v>63</v>
      </c>
      <c r="E121" s="104">
        <v>7556</v>
      </c>
      <c r="F121" s="104">
        <v>614</v>
      </c>
      <c r="G121" s="104">
        <v>378</v>
      </c>
      <c r="H121" s="116">
        <v>26.947226565198278</v>
      </c>
      <c r="I121" s="126">
        <v>7860</v>
      </c>
      <c r="J121" s="117">
        <v>23.474624787603478</v>
      </c>
    </row>
    <row r="122" spans="1:10" ht="16">
      <c r="A122" s="93" t="s">
        <v>1083</v>
      </c>
      <c r="B122" s="94" t="s">
        <v>1081</v>
      </c>
      <c r="C122" s="95" t="s">
        <v>76</v>
      </c>
      <c r="D122" s="96" t="s">
        <v>63</v>
      </c>
      <c r="E122" s="97">
        <v>16787</v>
      </c>
      <c r="F122" s="97">
        <v>401</v>
      </c>
      <c r="G122" s="97">
        <v>1343</v>
      </c>
      <c r="H122" s="114">
        <v>12.650978695167231</v>
      </c>
      <c r="I122" s="125">
        <v>896</v>
      </c>
      <c r="J122" s="115">
        <v>14.399869741163</v>
      </c>
    </row>
    <row r="123" spans="1:10" ht="16">
      <c r="A123" s="100" t="s">
        <v>94</v>
      </c>
      <c r="B123" s="101" t="s">
        <v>89</v>
      </c>
      <c r="C123" s="102" t="s">
        <v>76</v>
      </c>
      <c r="D123" s="103" t="s">
        <v>84</v>
      </c>
      <c r="E123" s="104">
        <v>6314</v>
      </c>
      <c r="F123" s="104">
        <v>277</v>
      </c>
      <c r="G123" s="104">
        <v>2020</v>
      </c>
      <c r="H123" s="116">
        <v>24.681857559247049</v>
      </c>
      <c r="I123" s="126">
        <v>12582</v>
      </c>
      <c r="J123" s="117">
        <v>20.189260901356437</v>
      </c>
    </row>
    <row r="124" spans="1:10" ht="16">
      <c r="A124" s="93" t="s">
        <v>323</v>
      </c>
      <c r="B124" s="94" t="s">
        <v>322</v>
      </c>
      <c r="C124" s="95" t="s">
        <v>76</v>
      </c>
      <c r="D124" s="96" t="s">
        <v>82</v>
      </c>
      <c r="E124" s="97">
        <v>48623</v>
      </c>
      <c r="F124" s="97">
        <v>3829</v>
      </c>
      <c r="G124" s="97">
        <v>8752</v>
      </c>
      <c r="H124" s="114">
        <v>26.058669689912847</v>
      </c>
      <c r="I124" s="125">
        <v>13775</v>
      </c>
      <c r="J124" s="115">
        <v>33.433896926556955</v>
      </c>
    </row>
    <row r="125" spans="1:10" ht="16">
      <c r="A125" s="100" t="s">
        <v>403</v>
      </c>
      <c r="B125" s="101" t="s">
        <v>402</v>
      </c>
      <c r="C125" s="102" t="s">
        <v>107</v>
      </c>
      <c r="D125" s="103" t="s">
        <v>59</v>
      </c>
      <c r="E125" s="104">
        <v>10473</v>
      </c>
      <c r="F125" s="104">
        <v>229</v>
      </c>
      <c r="G125" s="104">
        <v>2514</v>
      </c>
      <c r="H125" s="116">
        <v>26.858901001691212</v>
      </c>
      <c r="I125" s="126">
        <v>7125</v>
      </c>
      <c r="J125" s="117">
        <v>33.009879170917046</v>
      </c>
    </row>
    <row r="126" spans="1:10" ht="16">
      <c r="A126" s="93" t="s">
        <v>1119</v>
      </c>
      <c r="B126" s="94" t="s">
        <v>1120</v>
      </c>
      <c r="C126" s="95" t="s">
        <v>76</v>
      </c>
      <c r="D126" s="96" t="s">
        <v>82</v>
      </c>
      <c r="E126" s="97">
        <v>35013</v>
      </c>
      <c r="F126" s="97">
        <v>2259</v>
      </c>
      <c r="G126" s="97">
        <v>700</v>
      </c>
      <c r="H126" s="114">
        <v>14.809540303402439</v>
      </c>
      <c r="I126" s="125">
        <v>2639</v>
      </c>
      <c r="J126" s="115">
        <v>21.253251552307169</v>
      </c>
    </row>
    <row r="127" spans="1:10" ht="16">
      <c r="A127" s="100" t="s">
        <v>645</v>
      </c>
      <c r="B127" s="101" t="s">
        <v>642</v>
      </c>
      <c r="C127" s="102" t="s">
        <v>107</v>
      </c>
      <c r="D127" s="103" t="s">
        <v>59</v>
      </c>
      <c r="E127" s="104">
        <v>9763</v>
      </c>
      <c r="F127" s="104">
        <v>321</v>
      </c>
      <c r="G127" s="104">
        <v>98</v>
      </c>
      <c r="H127" s="116">
        <v>10.0737956589183</v>
      </c>
      <c r="I127" s="126">
        <v>699</v>
      </c>
      <c r="J127" s="117">
        <v>15.050503838771659</v>
      </c>
    </row>
    <row r="128" spans="1:10" ht="16">
      <c r="A128" s="93" t="s">
        <v>646</v>
      </c>
      <c r="B128" s="94" t="s">
        <v>642</v>
      </c>
      <c r="C128" s="95" t="s">
        <v>107</v>
      </c>
      <c r="D128" s="96" t="s">
        <v>92</v>
      </c>
      <c r="E128" s="97">
        <v>13764</v>
      </c>
      <c r="F128" s="97">
        <v>1404</v>
      </c>
      <c r="G128" s="97">
        <v>688</v>
      </c>
      <c r="H128" s="114">
        <v>19.558363253053265</v>
      </c>
      <c r="I128" s="125">
        <v>6301</v>
      </c>
      <c r="J128" s="115">
        <v>29.052375461972265</v>
      </c>
    </row>
    <row r="129" spans="1:10" ht="16">
      <c r="A129" s="100" t="s">
        <v>229</v>
      </c>
      <c r="B129" s="101" t="s">
        <v>223</v>
      </c>
      <c r="C129" s="102" t="s">
        <v>76</v>
      </c>
      <c r="D129" s="103" t="s">
        <v>63</v>
      </c>
      <c r="E129" s="104">
        <v>19586</v>
      </c>
      <c r="F129" s="104">
        <v>1688</v>
      </c>
      <c r="G129" s="104">
        <v>196</v>
      </c>
      <c r="H129" s="116">
        <v>26.389368583072098</v>
      </c>
      <c r="I129" s="126">
        <v>10711</v>
      </c>
      <c r="J129" s="117">
        <v>35.543084614652464</v>
      </c>
    </row>
    <row r="130" spans="1:10" ht="16">
      <c r="A130" s="93" t="s">
        <v>1084</v>
      </c>
      <c r="B130" s="94" t="s">
        <v>1081</v>
      </c>
      <c r="C130" s="95" t="s">
        <v>76</v>
      </c>
      <c r="D130" s="96" t="s">
        <v>82</v>
      </c>
      <c r="E130" s="97">
        <v>7603</v>
      </c>
      <c r="F130" s="97">
        <v>461</v>
      </c>
      <c r="G130" s="97">
        <v>608</v>
      </c>
      <c r="H130" s="114">
        <v>32.580973219199542</v>
      </c>
      <c r="I130" s="125">
        <v>14996</v>
      </c>
      <c r="J130" s="115">
        <v>26.463420442133156</v>
      </c>
    </row>
    <row r="131" spans="1:10" ht="16">
      <c r="A131" s="100" t="s">
        <v>230</v>
      </c>
      <c r="B131" s="101" t="s">
        <v>223</v>
      </c>
      <c r="C131" s="102" t="s">
        <v>76</v>
      </c>
      <c r="D131" s="103" t="s">
        <v>61</v>
      </c>
      <c r="E131" s="104">
        <v>16144</v>
      </c>
      <c r="F131" s="104">
        <v>897</v>
      </c>
      <c r="G131" s="104">
        <v>484</v>
      </c>
      <c r="H131" s="116">
        <v>13.104950253514637</v>
      </c>
      <c r="I131" s="126">
        <v>4708</v>
      </c>
      <c r="J131" s="117">
        <v>23.764376068345634</v>
      </c>
    </row>
    <row r="132" spans="1:10" ht="16">
      <c r="A132" s="93" t="s">
        <v>231</v>
      </c>
      <c r="B132" s="94" t="s">
        <v>223</v>
      </c>
      <c r="C132" s="95" t="s">
        <v>107</v>
      </c>
      <c r="D132" s="96" t="s">
        <v>63</v>
      </c>
      <c r="E132" s="97">
        <v>17752</v>
      </c>
      <c r="F132" s="97">
        <v>1168</v>
      </c>
      <c r="G132" s="97">
        <v>178</v>
      </c>
      <c r="H132" s="114">
        <v>14.234698045891829</v>
      </c>
      <c r="I132" s="125">
        <v>5681</v>
      </c>
      <c r="J132" s="115">
        <v>24.955139390173255</v>
      </c>
    </row>
    <row r="133" spans="1:10" ht="16">
      <c r="A133" s="100" t="s">
        <v>232</v>
      </c>
      <c r="B133" s="101" t="s">
        <v>223</v>
      </c>
      <c r="C133" s="102" t="s">
        <v>76</v>
      </c>
      <c r="D133" s="103" t="s">
        <v>63</v>
      </c>
      <c r="E133" s="104">
        <v>28934</v>
      </c>
      <c r="F133" s="104">
        <v>1733</v>
      </c>
      <c r="G133" s="104">
        <v>1157</v>
      </c>
      <c r="H133" s="116">
        <v>17.263296995755589</v>
      </c>
      <c r="I133" s="126">
        <v>7450</v>
      </c>
      <c r="J133" s="117">
        <v>21.496791387144381</v>
      </c>
    </row>
    <row r="134" spans="1:10" ht="16">
      <c r="A134" s="93" t="s">
        <v>233</v>
      </c>
      <c r="B134" s="94" t="s">
        <v>223</v>
      </c>
      <c r="C134" s="95" t="s">
        <v>107</v>
      </c>
      <c r="D134" s="96" t="s">
        <v>80</v>
      </c>
      <c r="E134" s="97">
        <v>47225</v>
      </c>
      <c r="F134" s="97">
        <v>2539</v>
      </c>
      <c r="G134" s="97">
        <v>945</v>
      </c>
      <c r="H134" s="114">
        <v>14.093304824913258</v>
      </c>
      <c r="I134" s="125">
        <v>6560</v>
      </c>
      <c r="J134" s="115">
        <v>20.852318274285562</v>
      </c>
    </row>
    <row r="135" spans="1:10" ht="16">
      <c r="A135" s="100" t="s">
        <v>234</v>
      </c>
      <c r="B135" s="101" t="s">
        <v>223</v>
      </c>
      <c r="C135" s="102" t="s">
        <v>107</v>
      </c>
      <c r="D135" s="103" t="s">
        <v>84</v>
      </c>
      <c r="E135" s="104">
        <v>15150</v>
      </c>
      <c r="F135" s="104">
        <v>810</v>
      </c>
      <c r="G135" s="104">
        <v>606</v>
      </c>
      <c r="H135" s="116">
        <v>26.885653764995826</v>
      </c>
      <c r="I135" s="126">
        <v>10339</v>
      </c>
      <c r="J135" s="117">
        <v>24.436869171139996</v>
      </c>
    </row>
    <row r="136" spans="1:10" ht="16">
      <c r="A136" s="93" t="s">
        <v>458</v>
      </c>
      <c r="B136" s="94" t="s">
        <v>459</v>
      </c>
      <c r="C136" s="95" t="s">
        <v>107</v>
      </c>
      <c r="D136" s="96" t="s">
        <v>130</v>
      </c>
      <c r="E136" s="97">
        <v>18340</v>
      </c>
      <c r="F136" s="97">
        <v>986</v>
      </c>
      <c r="G136" s="97">
        <v>5869</v>
      </c>
      <c r="H136" s="114">
        <v>62.813560947149803</v>
      </c>
      <c r="I136" s="125">
        <v>53128</v>
      </c>
      <c r="J136" s="115">
        <v>55.970298478016865</v>
      </c>
    </row>
    <row r="137" spans="1:10" ht="16">
      <c r="A137" s="100" t="s">
        <v>989</v>
      </c>
      <c r="B137" s="101" t="s">
        <v>988</v>
      </c>
      <c r="C137" s="102" t="s">
        <v>107</v>
      </c>
      <c r="D137" s="103" t="s">
        <v>84</v>
      </c>
      <c r="E137" s="104">
        <v>20601</v>
      </c>
      <c r="F137" s="104">
        <v>995</v>
      </c>
      <c r="G137" s="104">
        <v>1030</v>
      </c>
      <c r="H137" s="116">
        <v>21.005482767518028</v>
      </c>
      <c r="I137" s="126">
        <v>4898</v>
      </c>
      <c r="J137" s="117">
        <v>23.416332695843487</v>
      </c>
    </row>
    <row r="138" spans="1:10" ht="16">
      <c r="A138" s="93" t="s">
        <v>235</v>
      </c>
      <c r="B138" s="94" t="s">
        <v>223</v>
      </c>
      <c r="C138" s="95" t="s">
        <v>76</v>
      </c>
      <c r="D138" s="96" t="s">
        <v>130</v>
      </c>
      <c r="E138" s="97">
        <v>44394</v>
      </c>
      <c r="F138" s="97">
        <v>2775</v>
      </c>
      <c r="G138" s="97">
        <v>1776</v>
      </c>
      <c r="H138" s="114">
        <v>21.920516235960587</v>
      </c>
      <c r="I138" s="125">
        <v>7566</v>
      </c>
      <c r="J138" s="115">
        <v>23.477495259584163</v>
      </c>
    </row>
    <row r="139" spans="1:10" ht="16">
      <c r="A139" s="100" t="s">
        <v>990</v>
      </c>
      <c r="B139" s="101" t="s">
        <v>988</v>
      </c>
      <c r="C139" s="102" t="s">
        <v>107</v>
      </c>
      <c r="D139" s="103" t="s">
        <v>62</v>
      </c>
      <c r="E139" s="104">
        <v>22469</v>
      </c>
      <c r="F139" s="104">
        <v>1330</v>
      </c>
      <c r="G139" s="104">
        <v>1348</v>
      </c>
      <c r="H139" s="116">
        <v>20.819123545644839</v>
      </c>
      <c r="I139" s="126">
        <v>6065</v>
      </c>
      <c r="J139" s="117">
        <v>21.437269937190866</v>
      </c>
    </row>
    <row r="140" spans="1:10" ht="16">
      <c r="A140" s="93" t="s">
        <v>647</v>
      </c>
      <c r="B140" s="94" t="s">
        <v>642</v>
      </c>
      <c r="C140" s="95" t="s">
        <v>107</v>
      </c>
      <c r="D140" s="96" t="s">
        <v>59</v>
      </c>
      <c r="E140" s="97">
        <v>12533</v>
      </c>
      <c r="F140" s="97">
        <v>520</v>
      </c>
      <c r="G140" s="97">
        <v>125</v>
      </c>
      <c r="H140" s="114">
        <v>10.640770428289667</v>
      </c>
      <c r="I140" s="125">
        <v>1739</v>
      </c>
      <c r="J140" s="115">
        <v>14.526443937019183</v>
      </c>
    </row>
    <row r="141" spans="1:10" ht="16">
      <c r="A141" s="100" t="s">
        <v>1121</v>
      </c>
      <c r="B141" s="101" t="s">
        <v>1120</v>
      </c>
      <c r="C141" s="102" t="s">
        <v>76</v>
      </c>
      <c r="D141" s="103" t="s">
        <v>59</v>
      </c>
      <c r="E141" s="104">
        <v>38531</v>
      </c>
      <c r="F141" s="104">
        <v>2752</v>
      </c>
      <c r="G141" s="104">
        <v>1541</v>
      </c>
      <c r="H141" s="116">
        <v>21.761764404234821</v>
      </c>
      <c r="I141" s="126">
        <v>4922</v>
      </c>
      <c r="J141" s="117">
        <v>31.898900988308959</v>
      </c>
    </row>
    <row r="142" spans="1:10" ht="16">
      <c r="A142" s="93" t="s">
        <v>1085</v>
      </c>
      <c r="B142" s="94" t="s">
        <v>1081</v>
      </c>
      <c r="C142" s="95" t="s">
        <v>107</v>
      </c>
      <c r="D142" s="96" t="s">
        <v>77</v>
      </c>
      <c r="E142" s="97">
        <v>15926</v>
      </c>
      <c r="F142" s="97">
        <v>484</v>
      </c>
      <c r="G142" s="97">
        <v>1752</v>
      </c>
      <c r="H142" s="114">
        <v>25.369180487546618</v>
      </c>
      <c r="I142" s="125">
        <v>3731</v>
      </c>
      <c r="J142" s="115">
        <v>17.261322437757837</v>
      </c>
    </row>
    <row r="143" spans="1:10" ht="16">
      <c r="A143" s="100" t="s">
        <v>991</v>
      </c>
      <c r="B143" s="101" t="s">
        <v>988</v>
      </c>
      <c r="C143" s="102" t="s">
        <v>107</v>
      </c>
      <c r="D143" s="103" t="s">
        <v>84</v>
      </c>
      <c r="E143" s="104">
        <v>16681</v>
      </c>
      <c r="F143" s="104">
        <v>755</v>
      </c>
      <c r="G143" s="104">
        <v>3003</v>
      </c>
      <c r="H143" s="116">
        <v>37.235597565244213</v>
      </c>
      <c r="I143" s="126">
        <v>9415</v>
      </c>
      <c r="J143" s="117">
        <v>38.802394645006665</v>
      </c>
    </row>
    <row r="144" spans="1:10" ht="16">
      <c r="A144" s="93" t="s">
        <v>992</v>
      </c>
      <c r="B144" s="94" t="s">
        <v>988</v>
      </c>
      <c r="C144" s="95" t="s">
        <v>107</v>
      </c>
      <c r="D144" s="96" t="s">
        <v>63</v>
      </c>
      <c r="E144" s="97">
        <v>21908</v>
      </c>
      <c r="F144" s="97">
        <v>1101</v>
      </c>
      <c r="G144" s="97">
        <v>876</v>
      </c>
      <c r="H144" s="114">
        <v>21.655814150012155</v>
      </c>
      <c r="I144" s="125">
        <v>2602</v>
      </c>
      <c r="J144" s="115">
        <v>23.413117087263622</v>
      </c>
    </row>
    <row r="145" spans="1:10" ht="16">
      <c r="A145" s="100" t="s">
        <v>648</v>
      </c>
      <c r="B145" s="101" t="s">
        <v>642</v>
      </c>
      <c r="C145" s="102" t="s">
        <v>107</v>
      </c>
      <c r="D145" s="103" t="s">
        <v>82</v>
      </c>
      <c r="E145" s="104">
        <v>26302</v>
      </c>
      <c r="F145" s="104">
        <v>707</v>
      </c>
      <c r="G145" s="104">
        <v>1052</v>
      </c>
      <c r="H145" s="116">
        <v>11.253670633647165</v>
      </c>
      <c r="I145" s="126">
        <v>2414</v>
      </c>
      <c r="J145" s="117">
        <v>27.348163614868479</v>
      </c>
    </row>
    <row r="146" spans="1:10" ht="16">
      <c r="A146" s="93" t="s">
        <v>460</v>
      </c>
      <c r="B146" s="94" t="s">
        <v>459</v>
      </c>
      <c r="C146" s="95" t="s">
        <v>76</v>
      </c>
      <c r="D146" s="96" t="s">
        <v>60</v>
      </c>
      <c r="E146" s="97">
        <v>9587</v>
      </c>
      <c r="F146" s="97">
        <v>872</v>
      </c>
      <c r="G146" s="97">
        <v>4314</v>
      </c>
      <c r="H146" s="114">
        <v>49.768421113600802</v>
      </c>
      <c r="I146" s="125">
        <v>38090</v>
      </c>
      <c r="J146" s="115">
        <v>41.85066938401873</v>
      </c>
    </row>
    <row r="147" spans="1:10" ht="16">
      <c r="A147" s="100" t="s">
        <v>1202</v>
      </c>
      <c r="B147" s="101" t="s">
        <v>1190</v>
      </c>
      <c r="C147" s="102" t="s">
        <v>76</v>
      </c>
      <c r="D147" s="103" t="s">
        <v>84</v>
      </c>
      <c r="E147" s="104">
        <v>14362</v>
      </c>
      <c r="F147" s="104">
        <v>776</v>
      </c>
      <c r="G147" s="104">
        <v>7325</v>
      </c>
      <c r="H147" s="116">
        <v>28.616045736256879</v>
      </c>
      <c r="I147" s="126">
        <v>16125</v>
      </c>
      <c r="J147" s="117">
        <v>26.669861961050167</v>
      </c>
    </row>
    <row r="148" spans="1:10" ht="16">
      <c r="A148" s="93" t="s">
        <v>1301</v>
      </c>
      <c r="B148" s="94" t="s">
        <v>1288</v>
      </c>
      <c r="C148" s="95" t="s">
        <v>76</v>
      </c>
      <c r="D148" s="96" t="s">
        <v>84</v>
      </c>
      <c r="E148" s="97">
        <v>3045</v>
      </c>
      <c r="F148" s="97">
        <v>265</v>
      </c>
      <c r="G148" s="97">
        <v>700</v>
      </c>
      <c r="H148" s="114">
        <v>23.479608404461569</v>
      </c>
      <c r="I148" s="125">
        <v>18048</v>
      </c>
      <c r="J148" s="115">
        <v>24.022986899202564</v>
      </c>
    </row>
    <row r="149" spans="1:10" ht="16">
      <c r="A149" s="100" t="s">
        <v>379</v>
      </c>
      <c r="B149" s="101" t="s">
        <v>377</v>
      </c>
      <c r="C149" s="102" t="s">
        <v>76</v>
      </c>
      <c r="D149" s="103" t="s">
        <v>60</v>
      </c>
      <c r="E149" s="104">
        <v>26875</v>
      </c>
      <c r="F149" s="104">
        <v>2116</v>
      </c>
      <c r="G149" s="104">
        <v>3494</v>
      </c>
      <c r="H149" s="116">
        <v>24.212603871021688</v>
      </c>
      <c r="I149" s="126">
        <v>14064</v>
      </c>
      <c r="J149" s="117">
        <v>26.458954420360193</v>
      </c>
    </row>
    <row r="150" spans="1:10" ht="16">
      <c r="A150" s="93" t="s">
        <v>1302</v>
      </c>
      <c r="B150" s="94" t="s">
        <v>1288</v>
      </c>
      <c r="C150" s="95" t="s">
        <v>107</v>
      </c>
      <c r="D150" s="96" t="s">
        <v>92</v>
      </c>
      <c r="E150" s="97">
        <v>21436</v>
      </c>
      <c r="F150" s="97">
        <v>1261</v>
      </c>
      <c r="G150" s="97">
        <v>1501</v>
      </c>
      <c r="H150" s="114">
        <v>21.880606292206096</v>
      </c>
      <c r="I150" s="125">
        <v>9249</v>
      </c>
      <c r="J150" s="115">
        <v>25.601485200911977</v>
      </c>
    </row>
    <row r="151" spans="1:10" ht="16">
      <c r="A151" s="100" t="s">
        <v>484</v>
      </c>
      <c r="B151" s="101" t="s">
        <v>474</v>
      </c>
      <c r="C151" s="102" t="s">
        <v>107</v>
      </c>
      <c r="D151" s="103" t="s">
        <v>84</v>
      </c>
      <c r="E151" s="104">
        <v>8271</v>
      </c>
      <c r="F151" s="104">
        <v>447</v>
      </c>
      <c r="G151" s="104">
        <v>185</v>
      </c>
      <c r="H151" s="116">
        <v>11.530475979999123</v>
      </c>
      <c r="I151" s="126">
        <v>890</v>
      </c>
      <c r="J151" s="117">
        <v>23.758772621932728</v>
      </c>
    </row>
    <row r="152" spans="1:10" ht="16">
      <c r="A152" s="93" t="s">
        <v>1303</v>
      </c>
      <c r="B152" s="94" t="s">
        <v>1288</v>
      </c>
      <c r="C152" s="95" t="s">
        <v>107</v>
      </c>
      <c r="D152" s="96" t="s">
        <v>62</v>
      </c>
      <c r="E152" s="97">
        <v>5768</v>
      </c>
      <c r="F152" s="97">
        <v>345</v>
      </c>
      <c r="G152" s="97">
        <v>634</v>
      </c>
      <c r="H152" s="114">
        <v>25.593435493234473</v>
      </c>
      <c r="I152" s="125">
        <v>20098</v>
      </c>
      <c r="J152" s="115">
        <v>30.677627732479404</v>
      </c>
    </row>
    <row r="153" spans="1:10" ht="16">
      <c r="A153" s="100" t="s">
        <v>1304</v>
      </c>
      <c r="B153" s="101" t="s">
        <v>1288</v>
      </c>
      <c r="C153" s="102" t="s">
        <v>76</v>
      </c>
      <c r="D153" s="103" t="s">
        <v>130</v>
      </c>
      <c r="E153" s="104">
        <v>26014</v>
      </c>
      <c r="F153" s="104">
        <v>1596</v>
      </c>
      <c r="G153" s="104">
        <v>1561</v>
      </c>
      <c r="H153" s="116">
        <v>25.905432054722098</v>
      </c>
      <c r="I153" s="126">
        <v>16315</v>
      </c>
      <c r="J153" s="117">
        <v>28.689579944883853</v>
      </c>
    </row>
    <row r="154" spans="1:10" ht="16">
      <c r="A154" s="93" t="s">
        <v>1305</v>
      </c>
      <c r="B154" s="94" t="s">
        <v>1288</v>
      </c>
      <c r="C154" s="95" t="s">
        <v>107</v>
      </c>
      <c r="D154" s="96" t="s">
        <v>130</v>
      </c>
      <c r="E154" s="97">
        <v>26586</v>
      </c>
      <c r="F154" s="97">
        <v>4584</v>
      </c>
      <c r="G154" s="97">
        <v>9837</v>
      </c>
      <c r="H154" s="114">
        <v>83.377416611287117</v>
      </c>
      <c r="I154" s="125">
        <v>81237</v>
      </c>
      <c r="J154" s="115">
        <v>86.567698674323765</v>
      </c>
    </row>
    <row r="155" spans="1:10" ht="16">
      <c r="A155" s="100" t="s">
        <v>969</v>
      </c>
      <c r="B155" s="101" t="s">
        <v>970</v>
      </c>
      <c r="C155" s="102" t="s">
        <v>76</v>
      </c>
      <c r="D155" s="103" t="s">
        <v>77</v>
      </c>
      <c r="E155" s="104">
        <v>20056</v>
      </c>
      <c r="F155" s="104">
        <v>2047</v>
      </c>
      <c r="G155" s="104">
        <v>2808</v>
      </c>
      <c r="H155" s="116">
        <v>13.915100139722352</v>
      </c>
      <c r="I155" s="126">
        <v>3009</v>
      </c>
      <c r="J155" s="117">
        <v>22.291694431090011</v>
      </c>
    </row>
    <row r="156" spans="1:10" ht="16">
      <c r="A156" s="93" t="s">
        <v>1023</v>
      </c>
      <c r="B156" s="94" t="s">
        <v>1020</v>
      </c>
      <c r="C156" s="95" t="s">
        <v>76</v>
      </c>
      <c r="D156" s="96" t="s">
        <v>60</v>
      </c>
      <c r="E156" s="97">
        <v>62624</v>
      </c>
      <c r="F156" s="97">
        <v>3179</v>
      </c>
      <c r="G156" s="97">
        <v>8141</v>
      </c>
      <c r="H156" s="114">
        <v>29.490950101268481</v>
      </c>
      <c r="I156" s="125">
        <v>13754</v>
      </c>
      <c r="J156" s="115">
        <v>36.0254063126687</v>
      </c>
    </row>
    <row r="157" spans="1:10" ht="16">
      <c r="A157" s="100" t="s">
        <v>859</v>
      </c>
      <c r="B157" s="101" t="s">
        <v>858</v>
      </c>
      <c r="C157" s="102" t="s">
        <v>107</v>
      </c>
      <c r="D157" s="103" t="s">
        <v>60</v>
      </c>
      <c r="E157" s="104">
        <v>33030</v>
      </c>
      <c r="F157" s="104">
        <v>2897</v>
      </c>
      <c r="G157" s="104">
        <v>330</v>
      </c>
      <c r="H157" s="116">
        <v>10.078540320984569</v>
      </c>
      <c r="I157" s="126">
        <v>6644</v>
      </c>
      <c r="J157" s="117">
        <v>17.591763105144182</v>
      </c>
    </row>
    <row r="158" spans="1:10" ht="16">
      <c r="A158" s="93" t="s">
        <v>185</v>
      </c>
      <c r="B158" s="94" t="s">
        <v>184</v>
      </c>
      <c r="C158" s="95" t="s">
        <v>107</v>
      </c>
      <c r="D158" s="96" t="s">
        <v>130</v>
      </c>
      <c r="E158" s="97">
        <v>33543</v>
      </c>
      <c r="F158" s="97">
        <v>1038</v>
      </c>
      <c r="G158" s="97">
        <v>9727</v>
      </c>
      <c r="H158" s="114">
        <v>26.128317439519755</v>
      </c>
      <c r="I158" s="125">
        <v>11978</v>
      </c>
      <c r="J158" s="115">
        <v>21.626150977290589</v>
      </c>
    </row>
    <row r="159" spans="1:10" ht="16">
      <c r="A159" s="100" t="s">
        <v>338</v>
      </c>
      <c r="B159" s="101" t="s">
        <v>336</v>
      </c>
      <c r="C159" s="102" t="s">
        <v>107</v>
      </c>
      <c r="D159" s="103" t="s">
        <v>130</v>
      </c>
      <c r="E159" s="104">
        <v>16317</v>
      </c>
      <c r="F159" s="104">
        <v>528</v>
      </c>
      <c r="G159" s="104">
        <v>4079</v>
      </c>
      <c r="H159" s="116">
        <v>32.830621485649722</v>
      </c>
      <c r="I159" s="126">
        <v>27218</v>
      </c>
      <c r="J159" s="117">
        <v>25.354596954636222</v>
      </c>
    </row>
    <row r="160" spans="1:10" ht="16">
      <c r="A160" s="93" t="s">
        <v>1306</v>
      </c>
      <c r="B160" s="94" t="s">
        <v>1288</v>
      </c>
      <c r="C160" s="95" t="s">
        <v>107</v>
      </c>
      <c r="D160" s="96" t="s">
        <v>84</v>
      </c>
      <c r="E160" s="97">
        <v>22319</v>
      </c>
      <c r="F160" s="97">
        <v>2277</v>
      </c>
      <c r="G160" s="97">
        <v>5580</v>
      </c>
      <c r="H160" s="114">
        <v>86.392478129008865</v>
      </c>
      <c r="I160" s="125">
        <v>83191</v>
      </c>
      <c r="J160" s="115">
        <v>80.140045786810063</v>
      </c>
    </row>
    <row r="161" spans="1:10" ht="16">
      <c r="A161" s="100" t="s">
        <v>467</v>
      </c>
      <c r="B161" s="101" t="s">
        <v>466</v>
      </c>
      <c r="C161" s="102" t="s">
        <v>76</v>
      </c>
      <c r="D161" s="103" t="s">
        <v>62</v>
      </c>
      <c r="E161" s="104">
        <v>11023</v>
      </c>
      <c r="F161" s="104">
        <v>475</v>
      </c>
      <c r="G161" s="104">
        <v>1653</v>
      </c>
      <c r="H161" s="116">
        <v>14.485208957688663</v>
      </c>
      <c r="I161" s="126">
        <v>3311</v>
      </c>
      <c r="J161" s="117">
        <v>18.642257153867071</v>
      </c>
    </row>
    <row r="162" spans="1:10" ht="16">
      <c r="A162" s="93" t="s">
        <v>842</v>
      </c>
      <c r="B162" s="94" t="s">
        <v>843</v>
      </c>
      <c r="C162" s="95" t="s">
        <v>107</v>
      </c>
      <c r="D162" s="96" t="s">
        <v>92</v>
      </c>
      <c r="E162" s="97">
        <v>8768</v>
      </c>
      <c r="F162" s="97">
        <v>558</v>
      </c>
      <c r="G162" s="97">
        <v>610</v>
      </c>
      <c r="H162" s="114">
        <v>15.429536742802458</v>
      </c>
      <c r="I162" s="125">
        <v>11614</v>
      </c>
      <c r="J162" s="115">
        <v>27.562448726598657</v>
      </c>
    </row>
    <row r="163" spans="1:10" ht="16">
      <c r="A163" s="100" t="s">
        <v>1203</v>
      </c>
      <c r="B163" s="101" t="s">
        <v>1190</v>
      </c>
      <c r="C163" s="102" t="s">
        <v>107</v>
      </c>
      <c r="D163" s="103" t="s">
        <v>80</v>
      </c>
      <c r="E163" s="104">
        <v>27531</v>
      </c>
      <c r="F163" s="104">
        <v>1679</v>
      </c>
      <c r="G163" s="104">
        <v>12664</v>
      </c>
      <c r="H163" s="116">
        <v>13.186063282690204</v>
      </c>
      <c r="I163" s="126">
        <v>5687</v>
      </c>
      <c r="J163" s="117">
        <v>18.227447782989529</v>
      </c>
    </row>
    <row r="164" spans="1:10" ht="16">
      <c r="A164" s="93" t="s">
        <v>1307</v>
      </c>
      <c r="B164" s="94" t="s">
        <v>1288</v>
      </c>
      <c r="C164" s="95" t="s">
        <v>76</v>
      </c>
      <c r="D164" s="96" t="s">
        <v>62</v>
      </c>
      <c r="E164" s="97">
        <v>8228</v>
      </c>
      <c r="F164" s="97">
        <v>741</v>
      </c>
      <c r="G164" s="97">
        <v>658</v>
      </c>
      <c r="H164" s="114">
        <v>11.926696625902066</v>
      </c>
      <c r="I164" s="125">
        <v>4926</v>
      </c>
      <c r="J164" s="115">
        <v>42.102748337884414</v>
      </c>
    </row>
    <row r="165" spans="1:10" ht="16">
      <c r="A165" s="100" t="s">
        <v>1152</v>
      </c>
      <c r="B165" s="101" t="s">
        <v>1142</v>
      </c>
      <c r="C165" s="102" t="s">
        <v>107</v>
      </c>
      <c r="D165" s="103" t="s">
        <v>77</v>
      </c>
      <c r="E165" s="104">
        <v>42418</v>
      </c>
      <c r="F165" s="104">
        <v>2164</v>
      </c>
      <c r="G165" s="104">
        <v>1273</v>
      </c>
      <c r="H165" s="116">
        <v>12.990135645599226</v>
      </c>
      <c r="I165" s="126">
        <v>2049</v>
      </c>
      <c r="J165" s="117">
        <v>15.975593760683971</v>
      </c>
    </row>
    <row r="166" spans="1:10" ht="16">
      <c r="A166" s="93" t="s">
        <v>95</v>
      </c>
      <c r="B166" s="94" t="s">
        <v>89</v>
      </c>
      <c r="C166" s="95" t="s">
        <v>76</v>
      </c>
      <c r="D166" s="96" t="s">
        <v>62</v>
      </c>
      <c r="E166" s="97">
        <v>29214</v>
      </c>
      <c r="F166" s="97">
        <v>1446</v>
      </c>
      <c r="G166" s="97">
        <v>9056</v>
      </c>
      <c r="H166" s="114">
        <v>30.527517532143555</v>
      </c>
      <c r="I166" s="125">
        <v>25357</v>
      </c>
      <c r="J166" s="115">
        <v>23.690133567088498</v>
      </c>
    </row>
    <row r="167" spans="1:10" ht="16">
      <c r="A167" s="100" t="s">
        <v>318</v>
      </c>
      <c r="B167" s="101" t="s">
        <v>319</v>
      </c>
      <c r="C167" s="102" t="s">
        <v>76</v>
      </c>
      <c r="D167" s="103" t="s">
        <v>82</v>
      </c>
      <c r="E167" s="104">
        <v>3228</v>
      </c>
      <c r="F167" s="104">
        <v>186</v>
      </c>
      <c r="G167" s="104">
        <v>258</v>
      </c>
      <c r="H167" s="116">
        <v>16.380846970229157</v>
      </c>
      <c r="I167" s="126">
        <v>16139</v>
      </c>
      <c r="J167" s="117">
        <v>18.172447783831878</v>
      </c>
    </row>
    <row r="168" spans="1:10" ht="16">
      <c r="A168" s="93" t="s">
        <v>324</v>
      </c>
      <c r="B168" s="94" t="s">
        <v>322</v>
      </c>
      <c r="C168" s="95" t="s">
        <v>107</v>
      </c>
      <c r="D168" s="96" t="s">
        <v>62</v>
      </c>
      <c r="E168" s="97">
        <v>19499</v>
      </c>
      <c r="F168" s="97">
        <v>1840</v>
      </c>
      <c r="G168" s="97">
        <v>3705</v>
      </c>
      <c r="H168" s="114">
        <v>17.796367896539312</v>
      </c>
      <c r="I168" s="125">
        <v>4123</v>
      </c>
      <c r="J168" s="115">
        <v>21.06774424984755</v>
      </c>
    </row>
    <row r="169" spans="1:10" ht="16">
      <c r="A169" s="100" t="s">
        <v>325</v>
      </c>
      <c r="B169" s="101" t="s">
        <v>322</v>
      </c>
      <c r="C169" s="102" t="s">
        <v>76</v>
      </c>
      <c r="D169" s="103" t="s">
        <v>84</v>
      </c>
      <c r="E169" s="104">
        <v>17065</v>
      </c>
      <c r="F169" s="104">
        <v>837</v>
      </c>
      <c r="G169" s="104">
        <v>3413</v>
      </c>
      <c r="H169" s="116">
        <v>13.290181400846633</v>
      </c>
      <c r="I169" s="126">
        <v>2462</v>
      </c>
      <c r="J169" s="117">
        <v>17.692667235097186</v>
      </c>
    </row>
    <row r="170" spans="1:10" ht="16">
      <c r="A170" s="93" t="s">
        <v>186</v>
      </c>
      <c r="B170" s="94" t="s">
        <v>184</v>
      </c>
      <c r="C170" s="95" t="s">
        <v>76</v>
      </c>
      <c r="D170" s="96" t="s">
        <v>82</v>
      </c>
      <c r="E170" s="97">
        <v>15196</v>
      </c>
      <c r="F170" s="97">
        <v>1034</v>
      </c>
      <c r="G170" s="97">
        <v>3495</v>
      </c>
      <c r="H170" s="114">
        <v>29.849688909976546</v>
      </c>
      <c r="I170" s="125">
        <v>23703</v>
      </c>
      <c r="J170" s="115">
        <v>28.487533853451737</v>
      </c>
    </row>
    <row r="171" spans="1:10" ht="16">
      <c r="A171" s="100" t="s">
        <v>236</v>
      </c>
      <c r="B171" s="101" t="s">
        <v>223</v>
      </c>
      <c r="C171" s="102" t="s">
        <v>107</v>
      </c>
      <c r="D171" s="103" t="s">
        <v>82</v>
      </c>
      <c r="E171" s="104">
        <v>39665</v>
      </c>
      <c r="F171" s="104">
        <v>2526</v>
      </c>
      <c r="G171" s="104">
        <v>1190</v>
      </c>
      <c r="H171" s="116">
        <v>23.983912184911173</v>
      </c>
      <c r="I171" s="126">
        <v>9575</v>
      </c>
      <c r="J171" s="117">
        <v>25.59077615768625</v>
      </c>
    </row>
    <row r="172" spans="1:10" ht="16">
      <c r="A172" s="93" t="s">
        <v>1308</v>
      </c>
      <c r="B172" s="94" t="s">
        <v>1288</v>
      </c>
      <c r="C172" s="95" t="s">
        <v>107</v>
      </c>
      <c r="D172" s="96" t="s">
        <v>62</v>
      </c>
      <c r="E172" s="97">
        <v>6247</v>
      </c>
      <c r="F172" s="97">
        <v>811</v>
      </c>
      <c r="G172" s="97">
        <v>937</v>
      </c>
      <c r="H172" s="114">
        <v>40.180719621765483</v>
      </c>
      <c r="I172" s="125">
        <v>38588</v>
      </c>
      <c r="J172" s="115">
        <v>59.12484594870029</v>
      </c>
    </row>
    <row r="173" spans="1:10" ht="16">
      <c r="A173" s="100" t="s">
        <v>875</v>
      </c>
      <c r="B173" s="101" t="s">
        <v>876</v>
      </c>
      <c r="C173" s="102" t="s">
        <v>107</v>
      </c>
      <c r="D173" s="103" t="s">
        <v>59</v>
      </c>
      <c r="E173" s="104">
        <v>15604</v>
      </c>
      <c r="F173" s="104">
        <v>877</v>
      </c>
      <c r="G173" s="104">
        <v>468</v>
      </c>
      <c r="H173" s="116">
        <v>13.31771699152462</v>
      </c>
      <c r="I173" s="126">
        <v>3504</v>
      </c>
      <c r="J173" s="117">
        <v>17.684367602555231</v>
      </c>
    </row>
    <row r="174" spans="1:10" ht="16">
      <c r="A174" s="93" t="s">
        <v>1204</v>
      </c>
      <c r="B174" s="94" t="s">
        <v>1190</v>
      </c>
      <c r="C174" s="95" t="s">
        <v>76</v>
      </c>
      <c r="D174" s="96" t="s">
        <v>61</v>
      </c>
      <c r="E174" s="97">
        <v>19093</v>
      </c>
      <c r="F174" s="97">
        <v>979</v>
      </c>
      <c r="G174" s="97">
        <v>5155</v>
      </c>
      <c r="H174" s="114">
        <v>14.253992250848251</v>
      </c>
      <c r="I174" s="125">
        <v>7036</v>
      </c>
      <c r="J174" s="115">
        <v>16.987300313134639</v>
      </c>
    </row>
    <row r="175" spans="1:10" ht="16">
      <c r="A175" s="100" t="s">
        <v>96</v>
      </c>
      <c r="B175" s="101" t="s">
        <v>89</v>
      </c>
      <c r="C175" s="102" t="s">
        <v>76</v>
      </c>
      <c r="D175" s="103" t="s">
        <v>77</v>
      </c>
      <c r="E175" s="104">
        <v>39305</v>
      </c>
      <c r="F175" s="104">
        <v>1374</v>
      </c>
      <c r="G175" s="104">
        <v>8647</v>
      </c>
      <c r="H175" s="116">
        <v>30.476810663290927</v>
      </c>
      <c r="I175" s="126">
        <v>21837</v>
      </c>
      <c r="J175" s="117">
        <v>24.565439583582656</v>
      </c>
    </row>
    <row r="176" spans="1:10" ht="16">
      <c r="A176" s="93" t="s">
        <v>303</v>
      </c>
      <c r="B176" s="94" t="s">
        <v>304</v>
      </c>
      <c r="C176" s="95" t="s">
        <v>76</v>
      </c>
      <c r="D176" s="96" t="s">
        <v>63</v>
      </c>
      <c r="E176" s="97">
        <v>10339</v>
      </c>
      <c r="F176" s="97">
        <v>801</v>
      </c>
      <c r="G176" s="97">
        <v>103</v>
      </c>
      <c r="H176" s="114">
        <v>10.125319206331472</v>
      </c>
      <c r="I176" s="125">
        <v>1488</v>
      </c>
      <c r="J176" s="115">
        <v>17.331527704264737</v>
      </c>
    </row>
    <row r="177" spans="1:10" ht="16">
      <c r="A177" s="100" t="s">
        <v>819</v>
      </c>
      <c r="B177" s="101" t="s">
        <v>820</v>
      </c>
      <c r="C177" s="102" t="s">
        <v>107</v>
      </c>
      <c r="D177" s="103" t="s">
        <v>80</v>
      </c>
      <c r="E177" s="104">
        <v>18743</v>
      </c>
      <c r="F177" s="104">
        <v>928</v>
      </c>
      <c r="G177" s="104">
        <v>5623</v>
      </c>
      <c r="H177" s="116">
        <v>72.905052346463563</v>
      </c>
      <c r="I177" s="126">
        <v>45734</v>
      </c>
      <c r="J177" s="117">
        <v>55.774998578705876</v>
      </c>
    </row>
    <row r="178" spans="1:10" ht="16">
      <c r="A178" s="93" t="s">
        <v>485</v>
      </c>
      <c r="B178" s="94" t="s">
        <v>474</v>
      </c>
      <c r="C178" s="95" t="s">
        <v>107</v>
      </c>
      <c r="D178" s="96" t="s">
        <v>59</v>
      </c>
      <c r="E178" s="97">
        <v>8242</v>
      </c>
      <c r="F178" s="97">
        <v>354</v>
      </c>
      <c r="G178" s="97">
        <v>379</v>
      </c>
      <c r="H178" s="114">
        <v>13.701204159164815</v>
      </c>
      <c r="I178" s="125">
        <v>5008</v>
      </c>
      <c r="J178" s="115">
        <v>16.177329247424836</v>
      </c>
    </row>
    <row r="179" spans="1:10" ht="16">
      <c r="A179" s="100" t="s">
        <v>450</v>
      </c>
      <c r="B179" s="101" t="s">
        <v>448</v>
      </c>
      <c r="C179" s="102" t="s">
        <v>76</v>
      </c>
      <c r="D179" s="103" t="s">
        <v>82</v>
      </c>
      <c r="E179" s="104">
        <v>30414</v>
      </c>
      <c r="F179" s="104">
        <v>611</v>
      </c>
      <c r="G179" s="104">
        <v>912</v>
      </c>
      <c r="H179" s="116">
        <v>11.70707390656249</v>
      </c>
      <c r="I179" s="126">
        <v>3821</v>
      </c>
      <c r="J179" s="117">
        <v>15.159953519775401</v>
      </c>
    </row>
    <row r="180" spans="1:10" ht="16">
      <c r="A180" s="93" t="s">
        <v>214</v>
      </c>
      <c r="B180" s="94" t="s">
        <v>212</v>
      </c>
      <c r="C180" s="95" t="s">
        <v>107</v>
      </c>
      <c r="D180" s="96" t="s">
        <v>92</v>
      </c>
      <c r="E180" s="97">
        <v>17287</v>
      </c>
      <c r="F180" s="97">
        <v>1160</v>
      </c>
      <c r="G180" s="97">
        <v>346</v>
      </c>
      <c r="H180" s="114">
        <v>10.933060205789143</v>
      </c>
      <c r="I180" s="125">
        <v>10101</v>
      </c>
      <c r="J180" s="115">
        <v>15.306273106222804</v>
      </c>
    </row>
    <row r="181" spans="1:10" ht="16">
      <c r="A181" s="100" t="s">
        <v>1153</v>
      </c>
      <c r="B181" s="101" t="s">
        <v>1142</v>
      </c>
      <c r="C181" s="102" t="s">
        <v>107</v>
      </c>
      <c r="D181" s="103" t="s">
        <v>62</v>
      </c>
      <c r="E181" s="104">
        <v>62844</v>
      </c>
      <c r="F181" s="104">
        <v>3256</v>
      </c>
      <c r="G181" s="104">
        <v>1257</v>
      </c>
      <c r="H181" s="116">
        <v>10.315528679066032</v>
      </c>
      <c r="I181" s="126">
        <v>1947</v>
      </c>
      <c r="J181" s="117">
        <v>15.238350285642595</v>
      </c>
    </row>
    <row r="182" spans="1:10" ht="16">
      <c r="A182" s="93" t="s">
        <v>649</v>
      </c>
      <c r="B182" s="94" t="s">
        <v>642</v>
      </c>
      <c r="C182" s="95" t="s">
        <v>107</v>
      </c>
      <c r="D182" s="96" t="s">
        <v>84</v>
      </c>
      <c r="E182" s="97">
        <v>28309</v>
      </c>
      <c r="F182" s="97">
        <v>1506</v>
      </c>
      <c r="G182" s="97">
        <v>1132</v>
      </c>
      <c r="H182" s="114">
        <v>10.656921232435007</v>
      </c>
      <c r="I182" s="125">
        <v>787</v>
      </c>
      <c r="J182" s="115">
        <v>16.536668235947115</v>
      </c>
    </row>
    <row r="183" spans="1:10" ht="16">
      <c r="A183" s="100" t="s">
        <v>1309</v>
      </c>
      <c r="B183" s="101" t="s">
        <v>1288</v>
      </c>
      <c r="C183" s="102" t="s">
        <v>107</v>
      </c>
      <c r="D183" s="103" t="s">
        <v>60</v>
      </c>
      <c r="E183" s="104">
        <v>19801</v>
      </c>
      <c r="F183" s="104">
        <v>1784</v>
      </c>
      <c r="G183" s="104">
        <v>3366</v>
      </c>
      <c r="H183" s="116">
        <v>20.89273120287751</v>
      </c>
      <c r="I183" s="126">
        <v>13267</v>
      </c>
      <c r="J183" s="117">
        <v>36.138279829039263</v>
      </c>
    </row>
    <row r="184" spans="1:10" ht="16">
      <c r="A184" s="93" t="s">
        <v>580</v>
      </c>
      <c r="B184" s="94" t="s">
        <v>581</v>
      </c>
      <c r="C184" s="95" t="s">
        <v>76</v>
      </c>
      <c r="D184" s="96" t="s">
        <v>60</v>
      </c>
      <c r="E184" s="97">
        <v>12619</v>
      </c>
      <c r="F184" s="97">
        <v>526</v>
      </c>
      <c r="G184" s="97">
        <v>1262</v>
      </c>
      <c r="H184" s="114">
        <v>25.740413264149534</v>
      </c>
      <c r="I184" s="125">
        <v>12625</v>
      </c>
      <c r="J184" s="115">
        <v>21.993216970015403</v>
      </c>
    </row>
    <row r="185" spans="1:10" ht="16">
      <c r="A185" s="100" t="s">
        <v>1310</v>
      </c>
      <c r="B185" s="101" t="s">
        <v>1288</v>
      </c>
      <c r="C185" s="102" t="s">
        <v>107</v>
      </c>
      <c r="D185" s="103" t="s">
        <v>62</v>
      </c>
      <c r="E185" s="104">
        <v>15309</v>
      </c>
      <c r="F185" s="104">
        <v>3560</v>
      </c>
      <c r="G185" s="104">
        <v>2909</v>
      </c>
      <c r="H185" s="116">
        <v>77.522877399367673</v>
      </c>
      <c r="I185" s="126">
        <v>74606</v>
      </c>
      <c r="J185" s="117">
        <v>82.791537622353971</v>
      </c>
    </row>
    <row r="186" spans="1:10" ht="16">
      <c r="A186" s="93" t="s">
        <v>1205</v>
      </c>
      <c r="B186" s="94" t="s">
        <v>1190</v>
      </c>
      <c r="C186" s="95" t="s">
        <v>76</v>
      </c>
      <c r="D186" s="96" t="s">
        <v>61</v>
      </c>
      <c r="E186" s="97">
        <v>16963</v>
      </c>
      <c r="F186" s="97">
        <v>1146</v>
      </c>
      <c r="G186" s="97">
        <v>5089</v>
      </c>
      <c r="H186" s="114">
        <v>48.462166022661066</v>
      </c>
      <c r="I186" s="125">
        <v>36158</v>
      </c>
      <c r="J186" s="115">
        <v>45.709501249891659</v>
      </c>
    </row>
    <row r="187" spans="1:10" ht="16">
      <c r="A187" s="100" t="s">
        <v>237</v>
      </c>
      <c r="B187" s="101" t="s">
        <v>223</v>
      </c>
      <c r="C187" s="102" t="s">
        <v>76</v>
      </c>
      <c r="D187" s="103" t="s">
        <v>63</v>
      </c>
      <c r="E187" s="104">
        <v>25747</v>
      </c>
      <c r="F187" s="104">
        <v>2239</v>
      </c>
      <c r="G187" s="104">
        <v>4377</v>
      </c>
      <c r="H187" s="116">
        <v>24.348608263242703</v>
      </c>
      <c r="I187" s="126">
        <v>11992</v>
      </c>
      <c r="J187" s="117">
        <v>30.728673447977712</v>
      </c>
    </row>
    <row r="188" spans="1:10" ht="16">
      <c r="A188" s="93" t="s">
        <v>238</v>
      </c>
      <c r="B188" s="94" t="s">
        <v>223</v>
      </c>
      <c r="C188" s="95" t="s">
        <v>107</v>
      </c>
      <c r="D188" s="96" t="s">
        <v>61</v>
      </c>
      <c r="E188" s="97">
        <v>25519</v>
      </c>
      <c r="F188" s="97">
        <v>1636</v>
      </c>
      <c r="G188" s="97">
        <v>510</v>
      </c>
      <c r="H188" s="114">
        <v>19.292424082735796</v>
      </c>
      <c r="I188" s="125">
        <v>8467</v>
      </c>
      <c r="J188" s="115">
        <v>22.54563915044427</v>
      </c>
    </row>
    <row r="189" spans="1:10" ht="16">
      <c r="A189" s="100" t="s">
        <v>847</v>
      </c>
      <c r="B189" s="101" t="s">
        <v>848</v>
      </c>
      <c r="C189" s="102" t="s">
        <v>107</v>
      </c>
      <c r="D189" s="103" t="s">
        <v>62</v>
      </c>
      <c r="E189" s="104">
        <v>18865</v>
      </c>
      <c r="F189" s="104">
        <v>696</v>
      </c>
      <c r="G189" s="104">
        <v>15658</v>
      </c>
      <c r="H189" s="116">
        <v>11.833857532239271</v>
      </c>
      <c r="I189" s="126">
        <v>3594</v>
      </c>
      <c r="J189" s="117">
        <v>17.71197303639007</v>
      </c>
    </row>
    <row r="190" spans="1:10" ht="16">
      <c r="A190" s="93" t="s">
        <v>1206</v>
      </c>
      <c r="B190" s="94" t="s">
        <v>1190</v>
      </c>
      <c r="C190" s="95" t="s">
        <v>76</v>
      </c>
      <c r="D190" s="96" t="s">
        <v>84</v>
      </c>
      <c r="E190" s="97">
        <v>12185</v>
      </c>
      <c r="F190" s="97">
        <v>786</v>
      </c>
      <c r="G190" s="97">
        <v>609</v>
      </c>
      <c r="H190" s="114">
        <v>10.698049981298501</v>
      </c>
      <c r="I190" s="125">
        <v>3479</v>
      </c>
      <c r="J190" s="115">
        <v>15.387727965134388</v>
      </c>
    </row>
    <row r="191" spans="1:10" ht="16">
      <c r="A191" s="100" t="s">
        <v>1207</v>
      </c>
      <c r="B191" s="101" t="s">
        <v>1190</v>
      </c>
      <c r="C191" s="102" t="s">
        <v>76</v>
      </c>
      <c r="D191" s="103" t="s">
        <v>77</v>
      </c>
      <c r="E191" s="104">
        <v>10668</v>
      </c>
      <c r="F191" s="104">
        <v>567</v>
      </c>
      <c r="G191" s="104">
        <v>3520</v>
      </c>
      <c r="H191" s="116">
        <v>13.942396305419573</v>
      </c>
      <c r="I191" s="126">
        <v>5729</v>
      </c>
      <c r="J191" s="117">
        <v>17.107615261343955</v>
      </c>
    </row>
    <row r="192" spans="1:10" ht="16">
      <c r="A192" s="93" t="s">
        <v>97</v>
      </c>
      <c r="B192" s="94" t="s">
        <v>89</v>
      </c>
      <c r="C192" s="95" t="s">
        <v>76</v>
      </c>
      <c r="D192" s="96" t="s">
        <v>82</v>
      </c>
      <c r="E192" s="97">
        <v>17560</v>
      </c>
      <c r="F192" s="97">
        <v>561</v>
      </c>
      <c r="G192" s="97">
        <v>4566</v>
      </c>
      <c r="H192" s="114">
        <v>22.495755854894</v>
      </c>
      <c r="I192" s="125">
        <v>14856</v>
      </c>
      <c r="J192" s="115">
        <v>18.737579659118612</v>
      </c>
    </row>
    <row r="193" spans="1:10" ht="16">
      <c r="A193" s="100" t="s">
        <v>1154</v>
      </c>
      <c r="B193" s="101" t="s">
        <v>1142</v>
      </c>
      <c r="C193" s="102" t="s">
        <v>107</v>
      </c>
      <c r="D193" s="103" t="s">
        <v>84</v>
      </c>
      <c r="E193" s="104">
        <v>46056</v>
      </c>
      <c r="F193" s="104">
        <v>2193</v>
      </c>
      <c r="G193" s="104">
        <v>1382</v>
      </c>
      <c r="H193" s="116">
        <v>11.076102178878386</v>
      </c>
      <c r="I193" s="126">
        <v>1425</v>
      </c>
      <c r="J193" s="117">
        <v>17.581827937883169</v>
      </c>
    </row>
    <row r="194" spans="1:10" ht="16">
      <c r="A194" s="93" t="s">
        <v>650</v>
      </c>
      <c r="B194" s="94" t="s">
        <v>642</v>
      </c>
      <c r="C194" s="95" t="s">
        <v>107</v>
      </c>
      <c r="D194" s="96" t="s">
        <v>84</v>
      </c>
      <c r="E194" s="97">
        <v>9333</v>
      </c>
      <c r="F194" s="97">
        <v>712</v>
      </c>
      <c r="G194" s="97">
        <v>187</v>
      </c>
      <c r="H194" s="114">
        <v>14.628359610897876</v>
      </c>
      <c r="I194" s="125">
        <v>3036</v>
      </c>
      <c r="J194" s="115">
        <v>22.197898098719605</v>
      </c>
    </row>
    <row r="195" spans="1:10" ht="16">
      <c r="A195" s="100" t="s">
        <v>821</v>
      </c>
      <c r="B195" s="101" t="s">
        <v>820</v>
      </c>
      <c r="C195" s="102" t="s">
        <v>107</v>
      </c>
      <c r="D195" s="103" t="s">
        <v>80</v>
      </c>
      <c r="E195" s="104">
        <v>8917</v>
      </c>
      <c r="F195" s="104">
        <v>431</v>
      </c>
      <c r="G195" s="104">
        <v>1694</v>
      </c>
      <c r="H195" s="116">
        <v>49.656837625472789</v>
      </c>
      <c r="I195" s="126">
        <v>29783</v>
      </c>
      <c r="J195" s="117">
        <v>44.807250558494609</v>
      </c>
    </row>
    <row r="196" spans="1:10" ht="16">
      <c r="A196" s="93" t="s">
        <v>1311</v>
      </c>
      <c r="B196" s="94" t="s">
        <v>1288</v>
      </c>
      <c r="C196" s="95" t="s">
        <v>107</v>
      </c>
      <c r="D196" s="96" t="s">
        <v>77</v>
      </c>
      <c r="E196" s="97">
        <v>16340</v>
      </c>
      <c r="F196" s="97">
        <v>973</v>
      </c>
      <c r="G196" s="97">
        <v>1471</v>
      </c>
      <c r="H196" s="114">
        <v>10.140727315474894</v>
      </c>
      <c r="I196" s="125">
        <v>4166</v>
      </c>
      <c r="J196" s="115">
        <v>17.072547595273441</v>
      </c>
    </row>
    <row r="197" spans="1:10" ht="16">
      <c r="A197" s="100" t="s">
        <v>1312</v>
      </c>
      <c r="B197" s="101" t="s">
        <v>1288</v>
      </c>
      <c r="C197" s="102" t="s">
        <v>76</v>
      </c>
      <c r="D197" s="103" t="s">
        <v>60</v>
      </c>
      <c r="E197" s="104">
        <v>12735</v>
      </c>
      <c r="F197" s="104">
        <v>3184</v>
      </c>
      <c r="G197" s="104">
        <v>2547</v>
      </c>
      <c r="H197" s="116">
        <v>40.93311790690165</v>
      </c>
      <c r="I197" s="126">
        <v>40109</v>
      </c>
      <c r="J197" s="117">
        <v>56.10939080753888</v>
      </c>
    </row>
    <row r="198" spans="1:10" ht="16">
      <c r="A198" s="93" t="s">
        <v>822</v>
      </c>
      <c r="B198" s="94" t="s">
        <v>820</v>
      </c>
      <c r="C198" s="95" t="s">
        <v>76</v>
      </c>
      <c r="D198" s="96" t="s">
        <v>63</v>
      </c>
      <c r="E198" s="97">
        <v>23167</v>
      </c>
      <c r="F198" s="97">
        <v>1136</v>
      </c>
      <c r="G198" s="97">
        <v>5328</v>
      </c>
      <c r="H198" s="114">
        <v>57.722640317958756</v>
      </c>
      <c r="I198" s="125">
        <v>55749</v>
      </c>
      <c r="J198" s="115">
        <v>40.056871593948138</v>
      </c>
    </row>
    <row r="199" spans="1:10" ht="16">
      <c r="A199" s="100" t="s">
        <v>1155</v>
      </c>
      <c r="B199" s="101" t="s">
        <v>1142</v>
      </c>
      <c r="C199" s="102" t="s">
        <v>107</v>
      </c>
      <c r="D199" s="103" t="s">
        <v>84</v>
      </c>
      <c r="E199" s="104">
        <v>39178</v>
      </c>
      <c r="F199" s="104">
        <v>1346</v>
      </c>
      <c r="G199" s="104">
        <v>1175</v>
      </c>
      <c r="H199" s="116">
        <v>16.532312781813204</v>
      </c>
      <c r="I199" s="126">
        <v>3432</v>
      </c>
      <c r="J199" s="117">
        <v>20.151722772490107</v>
      </c>
    </row>
    <row r="200" spans="1:10" ht="16">
      <c r="A200" s="93" t="s">
        <v>1071</v>
      </c>
      <c r="B200" s="94" t="s">
        <v>1072</v>
      </c>
      <c r="C200" s="95" t="s">
        <v>107</v>
      </c>
      <c r="D200" s="96" t="s">
        <v>61</v>
      </c>
      <c r="E200" s="97">
        <v>18956</v>
      </c>
      <c r="F200" s="97">
        <v>1516</v>
      </c>
      <c r="G200" s="97">
        <v>7393</v>
      </c>
      <c r="H200" s="114">
        <v>93.647194173077736</v>
      </c>
      <c r="I200" s="125">
        <v>83906</v>
      </c>
      <c r="J200" s="115">
        <v>82.723017186631708</v>
      </c>
    </row>
    <row r="201" spans="1:10" ht="16">
      <c r="A201" s="100" t="s">
        <v>993</v>
      </c>
      <c r="B201" s="101" t="s">
        <v>988</v>
      </c>
      <c r="C201" s="102" t="s">
        <v>107</v>
      </c>
      <c r="D201" s="103" t="s">
        <v>80</v>
      </c>
      <c r="E201" s="104">
        <v>14510</v>
      </c>
      <c r="F201" s="104">
        <v>859</v>
      </c>
      <c r="G201" s="104">
        <v>2177</v>
      </c>
      <c r="H201" s="116">
        <v>31.095251801011447</v>
      </c>
      <c r="I201" s="126">
        <v>9717</v>
      </c>
      <c r="J201" s="117">
        <v>30.453336318137382</v>
      </c>
    </row>
    <row r="202" spans="1:10" ht="16">
      <c r="A202" s="93" t="s">
        <v>922</v>
      </c>
      <c r="B202" s="94" t="s">
        <v>919</v>
      </c>
      <c r="C202" s="95" t="s">
        <v>107</v>
      </c>
      <c r="D202" s="96" t="s">
        <v>130</v>
      </c>
      <c r="E202" s="97">
        <v>15601</v>
      </c>
      <c r="F202" s="97">
        <v>1515</v>
      </c>
      <c r="G202" s="97">
        <v>2964</v>
      </c>
      <c r="H202" s="114">
        <v>11.912364336563874</v>
      </c>
      <c r="I202" s="125">
        <v>1408</v>
      </c>
      <c r="J202" s="115">
        <v>21.507291824666673</v>
      </c>
    </row>
    <row r="203" spans="1:10" ht="16">
      <c r="A203" s="100" t="s">
        <v>353</v>
      </c>
      <c r="B203" s="101" t="s">
        <v>344</v>
      </c>
      <c r="C203" s="102" t="s">
        <v>107</v>
      </c>
      <c r="D203" s="103" t="s">
        <v>77</v>
      </c>
      <c r="E203" s="104">
        <v>33084</v>
      </c>
      <c r="F203" s="104">
        <v>2346</v>
      </c>
      <c r="G203" s="104">
        <v>331</v>
      </c>
      <c r="H203" s="116">
        <v>10.624339014897288</v>
      </c>
      <c r="I203" s="126">
        <v>3210</v>
      </c>
      <c r="J203" s="117">
        <v>15.7703428566131</v>
      </c>
    </row>
    <row r="204" spans="1:10" ht="16">
      <c r="A204" s="93" t="s">
        <v>149</v>
      </c>
      <c r="B204" s="94" t="s">
        <v>150</v>
      </c>
      <c r="C204" s="95" t="s">
        <v>107</v>
      </c>
      <c r="D204" s="96" t="s">
        <v>61</v>
      </c>
      <c r="E204" s="97">
        <v>5872</v>
      </c>
      <c r="F204" s="97">
        <v>763</v>
      </c>
      <c r="G204" s="97">
        <v>404</v>
      </c>
      <c r="H204" s="114">
        <v>7.7396227479128612</v>
      </c>
      <c r="I204" s="125">
        <v>140</v>
      </c>
      <c r="J204" s="115">
        <v>28.007419529554458</v>
      </c>
    </row>
    <row r="205" spans="1:10" ht="16">
      <c r="A205" s="100" t="s">
        <v>151</v>
      </c>
      <c r="B205" s="101" t="s">
        <v>150</v>
      </c>
      <c r="C205" s="102" t="s">
        <v>107</v>
      </c>
      <c r="D205" s="103" t="s">
        <v>92</v>
      </c>
      <c r="E205" s="104">
        <v>14422</v>
      </c>
      <c r="F205" s="104">
        <v>690</v>
      </c>
      <c r="G205" s="104">
        <v>144</v>
      </c>
      <c r="H205" s="116">
        <v>11.994959953012884</v>
      </c>
      <c r="I205" s="126">
        <v>2931</v>
      </c>
      <c r="J205" s="117">
        <v>16.775694448167467</v>
      </c>
    </row>
    <row r="206" spans="1:10" ht="16">
      <c r="A206" s="93" t="s">
        <v>152</v>
      </c>
      <c r="B206" s="94" t="s">
        <v>150</v>
      </c>
      <c r="C206" s="95" t="s">
        <v>76</v>
      </c>
      <c r="D206" s="96" t="s">
        <v>82</v>
      </c>
      <c r="E206" s="97">
        <v>24077</v>
      </c>
      <c r="F206" s="97">
        <v>1824</v>
      </c>
      <c r="G206" s="97">
        <v>1204</v>
      </c>
      <c r="H206" s="114">
        <v>7.2650955376687989</v>
      </c>
      <c r="I206" s="125">
        <v>894</v>
      </c>
      <c r="J206" s="115">
        <v>17.071522119578386</v>
      </c>
    </row>
    <row r="207" spans="1:10" ht="16">
      <c r="A207" s="100" t="s">
        <v>153</v>
      </c>
      <c r="B207" s="101" t="s">
        <v>150</v>
      </c>
      <c r="C207" s="102" t="s">
        <v>76</v>
      </c>
      <c r="D207" s="103" t="s">
        <v>62</v>
      </c>
      <c r="E207" s="104">
        <v>40848</v>
      </c>
      <c r="F207" s="104">
        <v>2569</v>
      </c>
      <c r="G207" s="104">
        <v>2812</v>
      </c>
      <c r="H207" s="116">
        <v>14.277122772162803</v>
      </c>
      <c r="I207" s="126">
        <v>2638</v>
      </c>
      <c r="J207" s="117">
        <v>22.495491344170244</v>
      </c>
    </row>
    <row r="208" spans="1:10" ht="16">
      <c r="A208" s="93" t="s">
        <v>154</v>
      </c>
      <c r="B208" s="94" t="s">
        <v>150</v>
      </c>
      <c r="C208" s="95" t="s">
        <v>76</v>
      </c>
      <c r="D208" s="96" t="s">
        <v>61</v>
      </c>
      <c r="E208" s="97">
        <v>3621</v>
      </c>
      <c r="F208" s="97">
        <v>338</v>
      </c>
      <c r="G208" s="97">
        <v>72</v>
      </c>
      <c r="H208" s="114">
        <v>11.049909547594012</v>
      </c>
      <c r="I208" s="125">
        <v>1388</v>
      </c>
      <c r="J208" s="115">
        <v>21.223093507963011</v>
      </c>
    </row>
    <row r="209" spans="1:10" ht="16">
      <c r="A209" s="100" t="s">
        <v>155</v>
      </c>
      <c r="B209" s="101" t="s">
        <v>150</v>
      </c>
      <c r="C209" s="102" t="s">
        <v>107</v>
      </c>
      <c r="D209" s="103" t="s">
        <v>62</v>
      </c>
      <c r="E209" s="104">
        <v>14024</v>
      </c>
      <c r="F209" s="104">
        <v>723</v>
      </c>
      <c r="G209" s="104">
        <v>140</v>
      </c>
      <c r="H209" s="116">
        <v>17.738844461093326</v>
      </c>
      <c r="I209" s="126">
        <v>1943</v>
      </c>
      <c r="J209" s="117">
        <v>24.888572535290116</v>
      </c>
    </row>
    <row r="210" spans="1:10" ht="16">
      <c r="A210" s="93" t="s">
        <v>156</v>
      </c>
      <c r="B210" s="94" t="s">
        <v>150</v>
      </c>
      <c r="C210" s="95" t="s">
        <v>107</v>
      </c>
      <c r="D210" s="96" t="s">
        <v>82</v>
      </c>
      <c r="E210" s="97">
        <v>25018</v>
      </c>
      <c r="F210" s="97">
        <v>1390</v>
      </c>
      <c r="G210" s="97">
        <v>1722</v>
      </c>
      <c r="H210" s="114">
        <v>7.6352513805652817</v>
      </c>
      <c r="I210" s="125">
        <v>570</v>
      </c>
      <c r="J210" s="115">
        <v>17.681260619223796</v>
      </c>
    </row>
    <row r="211" spans="1:10" ht="16">
      <c r="A211" s="100" t="s">
        <v>157</v>
      </c>
      <c r="B211" s="101" t="s">
        <v>150</v>
      </c>
      <c r="C211" s="102" t="s">
        <v>76</v>
      </c>
      <c r="D211" s="103" t="s">
        <v>130</v>
      </c>
      <c r="E211" s="104">
        <v>43899</v>
      </c>
      <c r="F211" s="104">
        <v>3484</v>
      </c>
      <c r="G211" s="104">
        <v>878</v>
      </c>
      <c r="H211" s="116">
        <v>18.594546345616877</v>
      </c>
      <c r="I211" s="126">
        <v>9411</v>
      </c>
      <c r="J211" s="117">
        <v>31.154813724782453</v>
      </c>
    </row>
    <row r="212" spans="1:10" ht="16">
      <c r="A212" s="93" t="s">
        <v>158</v>
      </c>
      <c r="B212" s="94" t="s">
        <v>150</v>
      </c>
      <c r="C212" s="95" t="s">
        <v>76</v>
      </c>
      <c r="D212" s="96" t="s">
        <v>80</v>
      </c>
      <c r="E212" s="97">
        <v>13823</v>
      </c>
      <c r="F212" s="97">
        <v>848</v>
      </c>
      <c r="G212" s="97">
        <v>138</v>
      </c>
      <c r="H212" s="114">
        <v>10.397605008976315</v>
      </c>
      <c r="I212" s="125">
        <v>1901</v>
      </c>
      <c r="J212" s="115">
        <v>17.100280739778057</v>
      </c>
    </row>
    <row r="213" spans="1:10" ht="16">
      <c r="A213" s="100" t="s">
        <v>159</v>
      </c>
      <c r="B213" s="101" t="s">
        <v>150</v>
      </c>
      <c r="C213" s="102" t="s">
        <v>76</v>
      </c>
      <c r="D213" s="103" t="s">
        <v>84</v>
      </c>
      <c r="E213" s="104">
        <v>23198</v>
      </c>
      <c r="F213" s="104">
        <v>1333</v>
      </c>
      <c r="G213" s="104">
        <v>1160</v>
      </c>
      <c r="H213" s="116">
        <v>11.051479320732485</v>
      </c>
      <c r="I213" s="126">
        <v>5397</v>
      </c>
      <c r="J213" s="117">
        <v>17.94156206363914</v>
      </c>
    </row>
    <row r="214" spans="1:10" ht="16">
      <c r="A214" s="93" t="s">
        <v>160</v>
      </c>
      <c r="B214" s="94" t="s">
        <v>150</v>
      </c>
      <c r="C214" s="95" t="s">
        <v>107</v>
      </c>
      <c r="D214" s="96" t="s">
        <v>84</v>
      </c>
      <c r="E214" s="97">
        <v>34072</v>
      </c>
      <c r="F214" s="97">
        <v>2662</v>
      </c>
      <c r="G214" s="97">
        <v>341</v>
      </c>
      <c r="H214" s="114">
        <v>9.2586324234871871</v>
      </c>
      <c r="I214" s="125">
        <v>1349</v>
      </c>
      <c r="J214" s="115">
        <v>27.755276143840895</v>
      </c>
    </row>
    <row r="215" spans="1:10" ht="16">
      <c r="A215" s="100" t="s">
        <v>161</v>
      </c>
      <c r="B215" s="101" t="s">
        <v>150</v>
      </c>
      <c r="C215" s="102" t="s">
        <v>76</v>
      </c>
      <c r="D215" s="103" t="s">
        <v>82</v>
      </c>
      <c r="E215" s="104">
        <v>48675</v>
      </c>
      <c r="F215" s="104">
        <v>3957</v>
      </c>
      <c r="G215" s="104">
        <v>974</v>
      </c>
      <c r="H215" s="116">
        <v>22.410016071167043</v>
      </c>
      <c r="I215" s="126">
        <v>5785</v>
      </c>
      <c r="J215" s="117">
        <v>35.065280905691019</v>
      </c>
    </row>
    <row r="216" spans="1:10" ht="16">
      <c r="A216" s="93" t="s">
        <v>162</v>
      </c>
      <c r="B216" s="94" t="s">
        <v>150</v>
      </c>
      <c r="C216" s="95" t="s">
        <v>76</v>
      </c>
      <c r="D216" s="96" t="s">
        <v>63</v>
      </c>
      <c r="E216" s="97">
        <v>42573</v>
      </c>
      <c r="F216" s="97">
        <v>2490</v>
      </c>
      <c r="G216" s="97">
        <v>2931</v>
      </c>
      <c r="H216" s="114">
        <v>9.568938301722234</v>
      </c>
      <c r="I216" s="125">
        <v>1700</v>
      </c>
      <c r="J216" s="115">
        <v>19.985518919407866</v>
      </c>
    </row>
    <row r="217" spans="1:10" ht="16">
      <c r="A217" s="100" t="s">
        <v>163</v>
      </c>
      <c r="B217" s="101" t="s">
        <v>150</v>
      </c>
      <c r="C217" s="102" t="s">
        <v>76</v>
      </c>
      <c r="D217" s="103" t="s">
        <v>130</v>
      </c>
      <c r="E217" s="104">
        <v>52579</v>
      </c>
      <c r="F217" s="104">
        <v>2710</v>
      </c>
      <c r="G217" s="104">
        <v>526</v>
      </c>
      <c r="H217" s="116">
        <v>18.870279855076095</v>
      </c>
      <c r="I217" s="126">
        <v>9067</v>
      </c>
      <c r="J217" s="117">
        <v>30.167732414244803</v>
      </c>
    </row>
    <row r="218" spans="1:10" ht="16">
      <c r="A218" s="93" t="s">
        <v>164</v>
      </c>
      <c r="B218" s="94" t="s">
        <v>150</v>
      </c>
      <c r="C218" s="95" t="s">
        <v>107</v>
      </c>
      <c r="D218" s="96" t="s">
        <v>82</v>
      </c>
      <c r="E218" s="97">
        <v>38719</v>
      </c>
      <c r="F218" s="97">
        <v>2332</v>
      </c>
      <c r="G218" s="97">
        <v>774</v>
      </c>
      <c r="H218" s="114">
        <v>13.359787481305332</v>
      </c>
      <c r="I218" s="125">
        <v>6944</v>
      </c>
      <c r="J218" s="115">
        <v>29.374207001106555</v>
      </c>
    </row>
    <row r="219" spans="1:10" ht="16">
      <c r="A219" s="100" t="s">
        <v>165</v>
      </c>
      <c r="B219" s="101" t="s">
        <v>150</v>
      </c>
      <c r="C219" s="102" t="s">
        <v>76</v>
      </c>
      <c r="D219" s="103" t="s">
        <v>61</v>
      </c>
      <c r="E219" s="104">
        <v>27285</v>
      </c>
      <c r="F219" s="104">
        <v>1935</v>
      </c>
      <c r="G219" s="104">
        <v>1879</v>
      </c>
      <c r="H219" s="116">
        <v>9.0118883788561597</v>
      </c>
      <c r="I219" s="126">
        <v>1214</v>
      </c>
      <c r="J219" s="117">
        <v>20.990316818917307</v>
      </c>
    </row>
    <row r="220" spans="1:10" ht="16">
      <c r="A220" s="93" t="s">
        <v>1086</v>
      </c>
      <c r="B220" s="94" t="s">
        <v>1081</v>
      </c>
      <c r="C220" s="95" t="s">
        <v>107</v>
      </c>
      <c r="D220" s="96" t="s">
        <v>80</v>
      </c>
      <c r="E220" s="97">
        <v>19840</v>
      </c>
      <c r="F220" s="97">
        <v>859</v>
      </c>
      <c r="G220" s="97">
        <v>3174</v>
      </c>
      <c r="H220" s="114">
        <v>17.906374094322015</v>
      </c>
      <c r="I220" s="125">
        <v>3055</v>
      </c>
      <c r="J220" s="115">
        <v>18.634999952422628</v>
      </c>
    </row>
    <row r="221" spans="1:10" ht="16">
      <c r="A221" s="100" t="s">
        <v>542</v>
      </c>
      <c r="B221" s="101" t="s">
        <v>537</v>
      </c>
      <c r="C221" s="102" t="s">
        <v>76</v>
      </c>
      <c r="D221" s="103" t="s">
        <v>63</v>
      </c>
      <c r="E221" s="104">
        <v>23992</v>
      </c>
      <c r="F221" s="104">
        <v>813</v>
      </c>
      <c r="G221" s="104">
        <v>1200</v>
      </c>
      <c r="H221" s="116">
        <v>18.581468161507853</v>
      </c>
      <c r="I221" s="126">
        <v>4332</v>
      </c>
      <c r="J221" s="117">
        <v>26.285292381783876</v>
      </c>
    </row>
    <row r="222" spans="1:10" ht="16">
      <c r="A222" s="93" t="s">
        <v>98</v>
      </c>
      <c r="B222" s="94" t="s">
        <v>89</v>
      </c>
      <c r="C222" s="95" t="s">
        <v>76</v>
      </c>
      <c r="D222" s="96" t="s">
        <v>62</v>
      </c>
      <c r="E222" s="97">
        <v>16844</v>
      </c>
      <c r="F222" s="97">
        <v>653</v>
      </c>
      <c r="G222" s="97">
        <v>5727</v>
      </c>
      <c r="H222" s="114">
        <v>30.898896311568489</v>
      </c>
      <c r="I222" s="125">
        <v>25320</v>
      </c>
      <c r="J222" s="115">
        <v>23.126605650040091</v>
      </c>
    </row>
    <row r="223" spans="1:10" ht="16">
      <c r="A223" s="100" t="s">
        <v>1313</v>
      </c>
      <c r="B223" s="101" t="s">
        <v>1288</v>
      </c>
      <c r="C223" s="102" t="s">
        <v>76</v>
      </c>
      <c r="D223" s="103" t="s">
        <v>62</v>
      </c>
      <c r="E223" s="104">
        <v>23658</v>
      </c>
      <c r="F223" s="104">
        <v>1293</v>
      </c>
      <c r="G223" s="104">
        <v>2366</v>
      </c>
      <c r="H223" s="116">
        <v>19.327125670429425</v>
      </c>
      <c r="I223" s="126">
        <v>7271</v>
      </c>
      <c r="J223" s="117">
        <v>21.199773238574132</v>
      </c>
    </row>
    <row r="224" spans="1:10" ht="16">
      <c r="A224" s="93" t="s">
        <v>1314</v>
      </c>
      <c r="B224" s="94" t="s">
        <v>1288</v>
      </c>
      <c r="C224" s="95" t="s">
        <v>107</v>
      </c>
      <c r="D224" s="96" t="s">
        <v>60</v>
      </c>
      <c r="E224" s="97">
        <v>5344</v>
      </c>
      <c r="F224" s="97">
        <v>379</v>
      </c>
      <c r="G224" s="97">
        <v>1764</v>
      </c>
      <c r="H224" s="114">
        <v>15.5678568256305</v>
      </c>
      <c r="I224" s="125">
        <v>4654</v>
      </c>
      <c r="J224" s="115">
        <v>23.250431422872925</v>
      </c>
    </row>
    <row r="225" spans="1:10" ht="16">
      <c r="A225" s="100" t="s">
        <v>1315</v>
      </c>
      <c r="B225" s="101" t="s">
        <v>1288</v>
      </c>
      <c r="C225" s="102" t="s">
        <v>76</v>
      </c>
      <c r="D225" s="103" t="s">
        <v>63</v>
      </c>
      <c r="E225" s="104">
        <v>34203</v>
      </c>
      <c r="F225" s="104">
        <v>1437</v>
      </c>
      <c r="G225" s="104">
        <v>2736</v>
      </c>
      <c r="H225" s="116">
        <v>23.069487452607998</v>
      </c>
      <c r="I225" s="126">
        <v>14145</v>
      </c>
      <c r="J225" s="117">
        <v>31.246748332608451</v>
      </c>
    </row>
    <row r="226" spans="1:10" ht="16">
      <c r="A226" s="93" t="s">
        <v>1316</v>
      </c>
      <c r="B226" s="94" t="s">
        <v>1288</v>
      </c>
      <c r="C226" s="95" t="s">
        <v>76</v>
      </c>
      <c r="D226" s="96" t="s">
        <v>84</v>
      </c>
      <c r="E226" s="97">
        <v>38520</v>
      </c>
      <c r="F226" s="97">
        <v>1598</v>
      </c>
      <c r="G226" s="97">
        <v>2696</v>
      </c>
      <c r="H226" s="114">
        <v>40.386286746364497</v>
      </c>
      <c r="I226" s="125">
        <v>27792</v>
      </c>
      <c r="J226" s="115">
        <v>38.133928293648715</v>
      </c>
    </row>
    <row r="227" spans="1:10" ht="16">
      <c r="A227" s="100" t="s">
        <v>166</v>
      </c>
      <c r="B227" s="101" t="s">
        <v>150</v>
      </c>
      <c r="C227" s="102" t="s">
        <v>107</v>
      </c>
      <c r="D227" s="103" t="s">
        <v>80</v>
      </c>
      <c r="E227" s="104">
        <v>55502</v>
      </c>
      <c r="F227" s="104">
        <v>3604</v>
      </c>
      <c r="G227" s="104">
        <v>3821</v>
      </c>
      <c r="H227" s="116">
        <v>11.80859923925602</v>
      </c>
      <c r="I227" s="126">
        <v>1738</v>
      </c>
      <c r="J227" s="117">
        <v>20.144181181853085</v>
      </c>
    </row>
    <row r="228" spans="1:10" ht="16">
      <c r="A228" s="93" t="s">
        <v>404</v>
      </c>
      <c r="B228" s="94" t="s">
        <v>402</v>
      </c>
      <c r="C228" s="95" t="s">
        <v>76</v>
      </c>
      <c r="D228" s="96" t="s">
        <v>60</v>
      </c>
      <c r="E228" s="97">
        <v>35894</v>
      </c>
      <c r="F228" s="97">
        <v>617</v>
      </c>
      <c r="G228" s="97">
        <v>7538</v>
      </c>
      <c r="H228" s="114">
        <v>64.22227539449635</v>
      </c>
      <c r="I228" s="125">
        <v>37083</v>
      </c>
      <c r="J228" s="115">
        <v>58.051543721964073</v>
      </c>
    </row>
    <row r="229" spans="1:10" ht="16">
      <c r="A229" s="100" t="s">
        <v>600</v>
      </c>
      <c r="B229" s="101" t="s">
        <v>598</v>
      </c>
      <c r="C229" s="102" t="s">
        <v>76</v>
      </c>
      <c r="D229" s="103" t="s">
        <v>84</v>
      </c>
      <c r="E229" s="104">
        <v>3891</v>
      </c>
      <c r="F229" s="104">
        <v>324</v>
      </c>
      <c r="G229" s="104">
        <v>506</v>
      </c>
      <c r="H229" s="116">
        <v>13.653460145937494</v>
      </c>
      <c r="I229" s="126">
        <v>10354</v>
      </c>
      <c r="J229" s="117">
        <v>21.095626470827916</v>
      </c>
    </row>
    <row r="230" spans="1:10" ht="16">
      <c r="A230" s="93" t="s">
        <v>1087</v>
      </c>
      <c r="B230" s="94" t="s">
        <v>1081</v>
      </c>
      <c r="C230" s="95" t="s">
        <v>76</v>
      </c>
      <c r="D230" s="96" t="s">
        <v>62</v>
      </c>
      <c r="E230" s="97">
        <v>20450</v>
      </c>
      <c r="F230" s="97">
        <v>988</v>
      </c>
      <c r="G230" s="97">
        <v>1841</v>
      </c>
      <c r="H230" s="114">
        <v>20.15298548394578</v>
      </c>
      <c r="I230" s="125">
        <v>6290</v>
      </c>
      <c r="J230" s="115">
        <v>18.867764721586763</v>
      </c>
    </row>
    <row r="231" spans="1:10" ht="16">
      <c r="A231" s="100" t="s">
        <v>239</v>
      </c>
      <c r="B231" s="101" t="s">
        <v>223</v>
      </c>
      <c r="C231" s="102" t="s">
        <v>76</v>
      </c>
      <c r="D231" s="103" t="s">
        <v>84</v>
      </c>
      <c r="E231" s="104">
        <v>32537</v>
      </c>
      <c r="F231" s="104">
        <v>2905</v>
      </c>
      <c r="G231" s="104">
        <v>3904</v>
      </c>
      <c r="H231" s="116">
        <v>59.098485133265989</v>
      </c>
      <c r="I231" s="126">
        <v>40027</v>
      </c>
      <c r="J231" s="117">
        <v>61.921279943994769</v>
      </c>
    </row>
    <row r="232" spans="1:10" ht="16">
      <c r="A232" s="93" t="s">
        <v>651</v>
      </c>
      <c r="B232" s="94" t="s">
        <v>642</v>
      </c>
      <c r="C232" s="95" t="s">
        <v>76</v>
      </c>
      <c r="D232" s="96" t="s">
        <v>77</v>
      </c>
      <c r="E232" s="97">
        <v>2942</v>
      </c>
      <c r="F232" s="97">
        <v>919</v>
      </c>
      <c r="G232" s="97">
        <v>205</v>
      </c>
      <c r="H232" s="114">
        <v>10.168330714178479</v>
      </c>
      <c r="I232" s="125">
        <v>8994</v>
      </c>
      <c r="J232" s="115">
        <v>25.308181710163275</v>
      </c>
    </row>
    <row r="233" spans="1:10" ht="16">
      <c r="A233" s="100" t="s">
        <v>240</v>
      </c>
      <c r="B233" s="101" t="s">
        <v>223</v>
      </c>
      <c r="C233" s="102" t="s">
        <v>107</v>
      </c>
      <c r="D233" s="103" t="s">
        <v>62</v>
      </c>
      <c r="E233" s="104">
        <v>34979</v>
      </c>
      <c r="F233" s="104">
        <v>2200</v>
      </c>
      <c r="G233" s="104">
        <v>700</v>
      </c>
      <c r="H233" s="116">
        <v>12.627675872295896</v>
      </c>
      <c r="I233" s="126">
        <v>6739</v>
      </c>
      <c r="J233" s="117">
        <v>17.082377646763351</v>
      </c>
    </row>
    <row r="234" spans="1:10" ht="16">
      <c r="A234" s="93" t="s">
        <v>1156</v>
      </c>
      <c r="B234" s="94" t="s">
        <v>1142</v>
      </c>
      <c r="C234" s="95" t="s">
        <v>107</v>
      </c>
      <c r="D234" s="96" t="s">
        <v>62</v>
      </c>
      <c r="E234" s="97">
        <v>77346</v>
      </c>
      <c r="F234" s="97">
        <v>2553</v>
      </c>
      <c r="G234" s="97">
        <v>2320</v>
      </c>
      <c r="H234" s="114">
        <v>10.787759891469731</v>
      </c>
      <c r="I234" s="125">
        <v>1500</v>
      </c>
      <c r="J234" s="115">
        <v>19.292851454218752</v>
      </c>
    </row>
    <row r="235" spans="1:10" ht="16">
      <c r="A235" s="100" t="s">
        <v>1157</v>
      </c>
      <c r="B235" s="101" t="s">
        <v>1142</v>
      </c>
      <c r="C235" s="102" t="s">
        <v>107</v>
      </c>
      <c r="D235" s="103" t="s">
        <v>62</v>
      </c>
      <c r="E235" s="104">
        <v>37903</v>
      </c>
      <c r="F235" s="104">
        <v>995</v>
      </c>
      <c r="G235" s="104">
        <v>2274</v>
      </c>
      <c r="H235" s="116">
        <v>9.3586939432292198</v>
      </c>
      <c r="I235" s="126">
        <v>1485</v>
      </c>
      <c r="J235" s="117">
        <v>17.39217446404497</v>
      </c>
    </row>
    <row r="236" spans="1:10" ht="16">
      <c r="A236" s="93" t="s">
        <v>881</v>
      </c>
      <c r="B236" s="94" t="s">
        <v>879</v>
      </c>
      <c r="C236" s="95" t="s">
        <v>107</v>
      </c>
      <c r="D236" s="96" t="s">
        <v>63</v>
      </c>
      <c r="E236" s="97">
        <v>16834</v>
      </c>
      <c r="F236" s="97">
        <v>1137</v>
      </c>
      <c r="G236" s="97">
        <v>673</v>
      </c>
      <c r="H236" s="114">
        <v>12.523901319882759</v>
      </c>
      <c r="I236" s="125">
        <v>4539</v>
      </c>
      <c r="J236" s="115">
        <v>17.708712645798908</v>
      </c>
    </row>
    <row r="237" spans="1:10" ht="16">
      <c r="A237" s="100" t="s">
        <v>1158</v>
      </c>
      <c r="B237" s="101" t="s">
        <v>1142</v>
      </c>
      <c r="C237" s="102" t="s">
        <v>107</v>
      </c>
      <c r="D237" s="103" t="s">
        <v>63</v>
      </c>
      <c r="E237" s="104">
        <v>7487</v>
      </c>
      <c r="F237" s="104">
        <v>273</v>
      </c>
      <c r="G237" s="104">
        <v>150</v>
      </c>
      <c r="H237" s="116">
        <v>14.659897215899289</v>
      </c>
      <c r="I237" s="126">
        <v>2802</v>
      </c>
      <c r="J237" s="117">
        <v>21.575052736988088</v>
      </c>
    </row>
    <row r="238" spans="1:10" ht="16">
      <c r="A238" s="93" t="s">
        <v>1317</v>
      </c>
      <c r="B238" s="94" t="s">
        <v>1288</v>
      </c>
      <c r="C238" s="95" t="s">
        <v>76</v>
      </c>
      <c r="D238" s="96" t="s">
        <v>80</v>
      </c>
      <c r="E238" s="97">
        <v>29377</v>
      </c>
      <c r="F238" s="97">
        <v>1632</v>
      </c>
      <c r="G238" s="97">
        <v>2938</v>
      </c>
      <c r="H238" s="114">
        <v>26.32196180012652</v>
      </c>
      <c r="I238" s="125">
        <v>23665</v>
      </c>
      <c r="J238" s="115">
        <v>30.42545123263632</v>
      </c>
    </row>
    <row r="239" spans="1:10" ht="16">
      <c r="A239" s="100" t="s">
        <v>1318</v>
      </c>
      <c r="B239" s="101" t="s">
        <v>1288</v>
      </c>
      <c r="C239" s="102" t="s">
        <v>76</v>
      </c>
      <c r="D239" s="103" t="s">
        <v>84</v>
      </c>
      <c r="E239" s="104">
        <v>23488</v>
      </c>
      <c r="F239" s="104">
        <v>1793</v>
      </c>
      <c r="G239" s="104">
        <v>4228</v>
      </c>
      <c r="H239" s="116">
        <v>33.083688065685564</v>
      </c>
      <c r="I239" s="126">
        <v>26464</v>
      </c>
      <c r="J239" s="117">
        <v>49.467022023895034</v>
      </c>
    </row>
    <row r="240" spans="1:10" ht="16">
      <c r="A240" s="93" t="s">
        <v>1319</v>
      </c>
      <c r="B240" s="94" t="s">
        <v>1288</v>
      </c>
      <c r="C240" s="95" t="s">
        <v>76</v>
      </c>
      <c r="D240" s="96" t="s">
        <v>61</v>
      </c>
      <c r="E240" s="97">
        <v>16279</v>
      </c>
      <c r="F240" s="97">
        <v>1915</v>
      </c>
      <c r="G240" s="97">
        <v>2930</v>
      </c>
      <c r="H240" s="114">
        <v>38.227008645266551</v>
      </c>
      <c r="I240" s="125">
        <v>35758</v>
      </c>
      <c r="J240" s="115">
        <v>57.925438900022236</v>
      </c>
    </row>
    <row r="241" spans="1:10" ht="16">
      <c r="A241" s="100" t="s">
        <v>1320</v>
      </c>
      <c r="B241" s="101" t="s">
        <v>1288</v>
      </c>
      <c r="C241" s="102" t="s">
        <v>107</v>
      </c>
      <c r="D241" s="103" t="s">
        <v>84</v>
      </c>
      <c r="E241" s="104">
        <v>21372</v>
      </c>
      <c r="F241" s="104">
        <v>1168</v>
      </c>
      <c r="G241" s="104">
        <v>5770</v>
      </c>
      <c r="H241" s="116">
        <v>76.550520835683756</v>
      </c>
      <c r="I241" s="126">
        <v>69107</v>
      </c>
      <c r="J241" s="117">
        <v>60.965426448204489</v>
      </c>
    </row>
    <row r="242" spans="1:10" ht="16">
      <c r="A242" s="93" t="s">
        <v>1321</v>
      </c>
      <c r="B242" s="94" t="s">
        <v>1288</v>
      </c>
      <c r="C242" s="95" t="s">
        <v>76</v>
      </c>
      <c r="D242" s="96" t="s">
        <v>82</v>
      </c>
      <c r="E242" s="97">
        <v>29290</v>
      </c>
      <c r="F242" s="97">
        <v>2034</v>
      </c>
      <c r="G242" s="97">
        <v>1757</v>
      </c>
      <c r="H242" s="114">
        <v>27.421851078441758</v>
      </c>
      <c r="I242" s="125">
        <v>17155</v>
      </c>
      <c r="J242" s="115">
        <v>34.295774343768642</v>
      </c>
    </row>
    <row r="243" spans="1:10" ht="16">
      <c r="A243" s="100" t="s">
        <v>143</v>
      </c>
      <c r="B243" s="101" t="s">
        <v>144</v>
      </c>
      <c r="C243" s="102" t="s">
        <v>76</v>
      </c>
      <c r="D243" s="103" t="s">
        <v>59</v>
      </c>
      <c r="E243" s="104">
        <v>38080</v>
      </c>
      <c r="F243" s="104">
        <v>1029</v>
      </c>
      <c r="G243" s="104">
        <v>3808</v>
      </c>
      <c r="H243" s="116">
        <v>55.717417262010976</v>
      </c>
      <c r="I243" s="126">
        <v>43627</v>
      </c>
      <c r="J243" s="117">
        <v>44.282459494101126</v>
      </c>
    </row>
    <row r="244" spans="1:10" ht="16">
      <c r="A244" s="93" t="s">
        <v>652</v>
      </c>
      <c r="B244" s="94" t="s">
        <v>642</v>
      </c>
      <c r="C244" s="95" t="s">
        <v>107</v>
      </c>
      <c r="D244" s="96" t="s">
        <v>62</v>
      </c>
      <c r="E244" s="97">
        <v>7194</v>
      </c>
      <c r="F244" s="97">
        <v>947</v>
      </c>
      <c r="G244" s="97">
        <v>288</v>
      </c>
      <c r="H244" s="114">
        <v>12.034823478304531</v>
      </c>
      <c r="I244" s="125">
        <v>2002</v>
      </c>
      <c r="J244" s="115">
        <v>24.045325258045356</v>
      </c>
    </row>
    <row r="245" spans="1:10" ht="16">
      <c r="A245" s="100" t="s">
        <v>486</v>
      </c>
      <c r="B245" s="101" t="s">
        <v>474</v>
      </c>
      <c r="C245" s="102" t="s">
        <v>107</v>
      </c>
      <c r="D245" s="103" t="s">
        <v>77</v>
      </c>
      <c r="E245" s="104">
        <v>17226</v>
      </c>
      <c r="F245" s="104">
        <v>1213</v>
      </c>
      <c r="G245" s="104">
        <v>345</v>
      </c>
      <c r="H245" s="116">
        <v>7.8271102062640914</v>
      </c>
      <c r="I245" s="126">
        <v>1169</v>
      </c>
      <c r="J245" s="117">
        <v>16.788601390624333</v>
      </c>
    </row>
    <row r="246" spans="1:10" ht="16">
      <c r="A246" s="93" t="s">
        <v>1208</v>
      </c>
      <c r="B246" s="94" t="s">
        <v>1190</v>
      </c>
      <c r="C246" s="95" t="s">
        <v>76</v>
      </c>
      <c r="D246" s="96" t="s">
        <v>92</v>
      </c>
      <c r="E246" s="97">
        <v>12637</v>
      </c>
      <c r="F246" s="97">
        <v>635</v>
      </c>
      <c r="G246" s="97">
        <v>2148</v>
      </c>
      <c r="H246" s="114">
        <v>12.22201073367737</v>
      </c>
      <c r="I246" s="125">
        <v>6917</v>
      </c>
      <c r="J246" s="115">
        <v>16.472964656458437</v>
      </c>
    </row>
    <row r="247" spans="1:10" ht="16">
      <c r="A247" s="100" t="s">
        <v>405</v>
      </c>
      <c r="B247" s="101" t="s">
        <v>402</v>
      </c>
      <c r="C247" s="102" t="s">
        <v>76</v>
      </c>
      <c r="D247" s="103" t="s">
        <v>77</v>
      </c>
      <c r="E247" s="104">
        <v>47141</v>
      </c>
      <c r="F247" s="104">
        <v>2405</v>
      </c>
      <c r="G247" s="104">
        <v>7071</v>
      </c>
      <c r="H247" s="116">
        <v>30.201958201540904</v>
      </c>
      <c r="I247" s="126">
        <v>22424</v>
      </c>
      <c r="J247" s="117">
        <v>31.781928233698856</v>
      </c>
    </row>
    <row r="248" spans="1:10" ht="16">
      <c r="A248" s="93" t="s">
        <v>1209</v>
      </c>
      <c r="B248" s="94" t="s">
        <v>1190</v>
      </c>
      <c r="C248" s="95" t="s">
        <v>76</v>
      </c>
      <c r="D248" s="96" t="s">
        <v>130</v>
      </c>
      <c r="E248" s="97">
        <v>8486</v>
      </c>
      <c r="F248" s="97">
        <v>555</v>
      </c>
      <c r="G248" s="97">
        <v>2970</v>
      </c>
      <c r="H248" s="114">
        <v>28.667512070043827</v>
      </c>
      <c r="I248" s="125">
        <v>17416</v>
      </c>
      <c r="J248" s="115">
        <v>34.257526892588473</v>
      </c>
    </row>
    <row r="249" spans="1:10" ht="16">
      <c r="A249" s="100" t="s">
        <v>860</v>
      </c>
      <c r="B249" s="101" t="s">
        <v>858</v>
      </c>
      <c r="C249" s="102" t="s">
        <v>107</v>
      </c>
      <c r="D249" s="103" t="s">
        <v>130</v>
      </c>
      <c r="E249" s="104">
        <v>9986</v>
      </c>
      <c r="F249" s="104">
        <v>414</v>
      </c>
      <c r="G249" s="104">
        <v>100</v>
      </c>
      <c r="H249" s="116">
        <v>9.3610466523132381</v>
      </c>
      <c r="I249" s="126">
        <v>610</v>
      </c>
      <c r="J249" s="117">
        <v>14.225975016388615</v>
      </c>
    </row>
    <row r="250" spans="1:10" ht="16">
      <c r="A250" s="93" t="s">
        <v>126</v>
      </c>
      <c r="B250" s="94" t="s">
        <v>127</v>
      </c>
      <c r="C250" s="95" t="s">
        <v>107</v>
      </c>
      <c r="D250" s="96" t="s">
        <v>60</v>
      </c>
      <c r="E250" s="97">
        <v>6370</v>
      </c>
      <c r="F250" s="97">
        <v>637</v>
      </c>
      <c r="G250" s="97">
        <v>1274</v>
      </c>
      <c r="H250" s="114">
        <v>17.725571993440841</v>
      </c>
      <c r="I250" s="125">
        <v>8818</v>
      </c>
      <c r="J250" s="115">
        <v>30.850180687331193</v>
      </c>
    </row>
    <row r="251" spans="1:10" ht="16">
      <c r="A251" s="100" t="s">
        <v>380</v>
      </c>
      <c r="B251" s="101" t="s">
        <v>377</v>
      </c>
      <c r="C251" s="102" t="s">
        <v>76</v>
      </c>
      <c r="D251" s="103" t="s">
        <v>61</v>
      </c>
      <c r="E251" s="104">
        <v>41411</v>
      </c>
      <c r="F251" s="104">
        <v>2353</v>
      </c>
      <c r="G251" s="104">
        <v>5383</v>
      </c>
      <c r="H251" s="116">
        <v>30.501147652899352</v>
      </c>
      <c r="I251" s="126">
        <v>21259</v>
      </c>
      <c r="J251" s="117">
        <v>34.547771002269478</v>
      </c>
    </row>
    <row r="252" spans="1:10" ht="16">
      <c r="A252" s="93" t="s">
        <v>99</v>
      </c>
      <c r="B252" s="94" t="s">
        <v>89</v>
      </c>
      <c r="C252" s="95" t="s">
        <v>76</v>
      </c>
      <c r="D252" s="96" t="s">
        <v>92</v>
      </c>
      <c r="E252" s="97">
        <v>34120</v>
      </c>
      <c r="F252" s="97">
        <v>1446</v>
      </c>
      <c r="G252" s="97">
        <v>5800</v>
      </c>
      <c r="H252" s="114">
        <v>33.209143669118816</v>
      </c>
      <c r="I252" s="125">
        <v>28150</v>
      </c>
      <c r="J252" s="115">
        <v>26.168983872862636</v>
      </c>
    </row>
    <row r="253" spans="1:10" ht="16">
      <c r="A253" s="100" t="s">
        <v>912</v>
      </c>
      <c r="B253" s="101" t="s">
        <v>909</v>
      </c>
      <c r="C253" s="102" t="s">
        <v>76</v>
      </c>
      <c r="D253" s="103" t="s">
        <v>60</v>
      </c>
      <c r="E253" s="104">
        <v>9375</v>
      </c>
      <c r="F253" s="104">
        <v>845</v>
      </c>
      <c r="G253" s="104">
        <v>2625</v>
      </c>
      <c r="H253" s="116">
        <v>8.0124291287058664</v>
      </c>
      <c r="I253" s="126">
        <v>1132</v>
      </c>
      <c r="J253" s="117">
        <v>17.676935510316092</v>
      </c>
    </row>
    <row r="254" spans="1:10" ht="16">
      <c r="A254" s="93" t="s">
        <v>241</v>
      </c>
      <c r="B254" s="94" t="s">
        <v>223</v>
      </c>
      <c r="C254" s="95" t="s">
        <v>107</v>
      </c>
      <c r="D254" s="96" t="s">
        <v>60</v>
      </c>
      <c r="E254" s="97">
        <v>43815</v>
      </c>
      <c r="F254" s="97">
        <v>2224</v>
      </c>
      <c r="G254" s="97">
        <v>3017</v>
      </c>
      <c r="H254" s="114">
        <v>13.163264112523802</v>
      </c>
      <c r="I254" s="125">
        <v>7265</v>
      </c>
      <c r="J254" s="115">
        <v>14.634246127942715</v>
      </c>
    </row>
    <row r="255" spans="1:10" ht="16">
      <c r="A255" s="100" t="s">
        <v>242</v>
      </c>
      <c r="B255" s="101" t="s">
        <v>223</v>
      </c>
      <c r="C255" s="102" t="s">
        <v>107</v>
      </c>
      <c r="D255" s="103" t="s">
        <v>61</v>
      </c>
      <c r="E255" s="104">
        <v>36083</v>
      </c>
      <c r="F255" s="104">
        <v>2135</v>
      </c>
      <c r="G255" s="104">
        <v>1443</v>
      </c>
      <c r="H255" s="116">
        <v>12.113369291068073</v>
      </c>
      <c r="I255" s="126">
        <v>2081</v>
      </c>
      <c r="J255" s="117">
        <v>16.39084276426977</v>
      </c>
    </row>
    <row r="256" spans="1:10" ht="16">
      <c r="A256" s="93" t="s">
        <v>923</v>
      </c>
      <c r="B256" s="94" t="s">
        <v>919</v>
      </c>
      <c r="C256" s="95" t="s">
        <v>107</v>
      </c>
      <c r="D256" s="96" t="s">
        <v>84</v>
      </c>
      <c r="E256" s="97">
        <v>8406</v>
      </c>
      <c r="F256" s="97">
        <v>712</v>
      </c>
      <c r="G256" s="97">
        <v>588</v>
      </c>
      <c r="H256" s="114">
        <v>12.361762754672553</v>
      </c>
      <c r="I256" s="125">
        <v>958</v>
      </c>
      <c r="J256" s="115">
        <v>18.691345407074646</v>
      </c>
    </row>
    <row r="257" spans="1:10" ht="16">
      <c r="A257" s="100" t="s">
        <v>653</v>
      </c>
      <c r="B257" s="101" t="s">
        <v>642</v>
      </c>
      <c r="C257" s="102" t="s">
        <v>107</v>
      </c>
      <c r="D257" s="103" t="s">
        <v>92</v>
      </c>
      <c r="E257" s="104">
        <v>6473</v>
      </c>
      <c r="F257" s="104">
        <v>841</v>
      </c>
      <c r="G257" s="104">
        <v>194</v>
      </c>
      <c r="H257" s="116">
        <v>13.830404278443407</v>
      </c>
      <c r="I257" s="126">
        <v>2357</v>
      </c>
      <c r="J257" s="117">
        <v>28.23398057093274</v>
      </c>
    </row>
    <row r="258" spans="1:10" ht="16">
      <c r="A258" s="93" t="s">
        <v>994</v>
      </c>
      <c r="B258" s="94" t="s">
        <v>988</v>
      </c>
      <c r="C258" s="95" t="s">
        <v>107</v>
      </c>
      <c r="D258" s="96" t="s">
        <v>92</v>
      </c>
      <c r="E258" s="97">
        <v>2098</v>
      </c>
      <c r="F258" s="97">
        <v>173</v>
      </c>
      <c r="G258" s="97">
        <v>126</v>
      </c>
      <c r="H258" s="114">
        <v>40.2789327164393</v>
      </c>
      <c r="I258" s="125">
        <v>15484</v>
      </c>
      <c r="J258" s="115">
        <v>40.547215999388179</v>
      </c>
    </row>
    <row r="259" spans="1:10" ht="16">
      <c r="A259" s="100" t="s">
        <v>1159</v>
      </c>
      <c r="B259" s="101" t="s">
        <v>1142</v>
      </c>
      <c r="C259" s="102" t="s">
        <v>107</v>
      </c>
      <c r="D259" s="103" t="s">
        <v>60</v>
      </c>
      <c r="E259" s="104">
        <v>48591</v>
      </c>
      <c r="F259" s="104">
        <v>2505</v>
      </c>
      <c r="G259" s="104">
        <v>1944</v>
      </c>
      <c r="H259" s="116">
        <v>9.2356970018571047</v>
      </c>
      <c r="I259" s="126">
        <v>1603</v>
      </c>
      <c r="J259" s="117">
        <v>16.043582350110306</v>
      </c>
    </row>
    <row r="260" spans="1:10" ht="16">
      <c r="A260" s="93" t="s">
        <v>995</v>
      </c>
      <c r="B260" s="94" t="s">
        <v>988</v>
      </c>
      <c r="C260" s="95" t="s">
        <v>107</v>
      </c>
      <c r="D260" s="96" t="s">
        <v>84</v>
      </c>
      <c r="E260" s="97">
        <v>8108</v>
      </c>
      <c r="F260" s="97">
        <v>827</v>
      </c>
      <c r="G260" s="97">
        <v>405</v>
      </c>
      <c r="H260" s="114">
        <v>16.030515599555446</v>
      </c>
      <c r="I260" s="125">
        <v>2484</v>
      </c>
      <c r="J260" s="115">
        <v>19.442323638600772</v>
      </c>
    </row>
    <row r="261" spans="1:10" ht="16">
      <c r="A261" s="100" t="s">
        <v>654</v>
      </c>
      <c r="B261" s="101" t="s">
        <v>642</v>
      </c>
      <c r="C261" s="102" t="s">
        <v>107</v>
      </c>
      <c r="D261" s="103" t="s">
        <v>59</v>
      </c>
      <c r="E261" s="104">
        <v>1210</v>
      </c>
      <c r="F261" s="104">
        <v>318</v>
      </c>
      <c r="G261" s="104">
        <v>12</v>
      </c>
      <c r="H261" s="116">
        <v>14.093370837609571</v>
      </c>
      <c r="I261" s="126">
        <v>3419</v>
      </c>
      <c r="J261" s="117">
        <v>29.797524200773417</v>
      </c>
    </row>
    <row r="262" spans="1:10" ht="16">
      <c r="A262" s="93" t="s">
        <v>406</v>
      </c>
      <c r="B262" s="94" t="s">
        <v>402</v>
      </c>
      <c r="C262" s="95" t="s">
        <v>107</v>
      </c>
      <c r="D262" s="96" t="s">
        <v>59</v>
      </c>
      <c r="E262" s="97">
        <v>5216</v>
      </c>
      <c r="F262" s="97">
        <v>148</v>
      </c>
      <c r="G262" s="97">
        <v>991</v>
      </c>
      <c r="H262" s="114">
        <v>24.39854066531192</v>
      </c>
      <c r="I262" s="125">
        <v>10260</v>
      </c>
      <c r="J262" s="115">
        <v>36.830870937912771</v>
      </c>
    </row>
    <row r="263" spans="1:10" ht="16">
      <c r="A263" s="100" t="s">
        <v>1460</v>
      </c>
      <c r="B263" s="101" t="s">
        <v>1461</v>
      </c>
      <c r="C263" s="102" t="s">
        <v>107</v>
      </c>
      <c r="D263" s="103" t="s">
        <v>130</v>
      </c>
      <c r="E263" s="104">
        <v>32161</v>
      </c>
      <c r="F263" s="104">
        <v>1503</v>
      </c>
      <c r="G263" s="104">
        <v>322</v>
      </c>
      <c r="H263" s="116">
        <v>8.5041740507453838</v>
      </c>
      <c r="I263" s="126">
        <v>3587</v>
      </c>
      <c r="J263" s="117">
        <v>15.247772939413744</v>
      </c>
    </row>
    <row r="264" spans="1:10" ht="16">
      <c r="A264" s="93" t="s">
        <v>996</v>
      </c>
      <c r="B264" s="94" t="s">
        <v>988</v>
      </c>
      <c r="C264" s="95" t="s">
        <v>76</v>
      </c>
      <c r="D264" s="96" t="s">
        <v>80</v>
      </c>
      <c r="E264" s="97">
        <v>20087</v>
      </c>
      <c r="F264" s="97">
        <v>1279</v>
      </c>
      <c r="G264" s="97">
        <v>4218</v>
      </c>
      <c r="H264" s="114">
        <v>40.767505775497504</v>
      </c>
      <c r="I264" s="125">
        <v>16095</v>
      </c>
      <c r="J264" s="115">
        <v>39.702510212176463</v>
      </c>
    </row>
    <row r="265" spans="1:10" ht="16">
      <c r="A265" s="100" t="s">
        <v>243</v>
      </c>
      <c r="B265" s="101" t="s">
        <v>223</v>
      </c>
      <c r="C265" s="102" t="s">
        <v>107</v>
      </c>
      <c r="D265" s="103" t="s">
        <v>77</v>
      </c>
      <c r="E265" s="104">
        <v>29603</v>
      </c>
      <c r="F265" s="104">
        <v>2990</v>
      </c>
      <c r="G265" s="104">
        <v>3552</v>
      </c>
      <c r="H265" s="116">
        <v>37.756825238750444</v>
      </c>
      <c r="I265" s="126">
        <v>16260</v>
      </c>
      <c r="J265" s="117">
        <v>39.837818093024254</v>
      </c>
    </row>
    <row r="266" spans="1:10" ht="16">
      <c r="A266" s="93" t="s">
        <v>1322</v>
      </c>
      <c r="B266" s="94" t="s">
        <v>1288</v>
      </c>
      <c r="C266" s="95" t="s">
        <v>107</v>
      </c>
      <c r="D266" s="96" t="s">
        <v>60</v>
      </c>
      <c r="E266" s="97">
        <v>20823</v>
      </c>
      <c r="F266" s="97">
        <v>2263</v>
      </c>
      <c r="G266" s="97">
        <v>4998</v>
      </c>
      <c r="H266" s="114">
        <v>99.280581238896914</v>
      </c>
      <c r="I266" s="125">
        <v>97844</v>
      </c>
      <c r="J266" s="115">
        <v>89.781432972625822</v>
      </c>
    </row>
    <row r="267" spans="1:10" ht="16">
      <c r="A267" s="100" t="s">
        <v>754</v>
      </c>
      <c r="B267" s="101" t="s">
        <v>753</v>
      </c>
      <c r="C267" s="102" t="s">
        <v>76</v>
      </c>
      <c r="D267" s="103" t="s">
        <v>130</v>
      </c>
      <c r="E267" s="104">
        <v>15654</v>
      </c>
      <c r="F267" s="104">
        <v>879</v>
      </c>
      <c r="G267" s="104">
        <v>1096</v>
      </c>
      <c r="H267" s="116">
        <v>11.350378547229818</v>
      </c>
      <c r="I267" s="126">
        <v>1007</v>
      </c>
      <c r="J267" s="117">
        <v>13.57659996683641</v>
      </c>
    </row>
    <row r="268" spans="1:10" ht="16">
      <c r="A268" s="93" t="s">
        <v>145</v>
      </c>
      <c r="B268" s="94" t="s">
        <v>144</v>
      </c>
      <c r="C268" s="95" t="s">
        <v>107</v>
      </c>
      <c r="D268" s="96" t="s">
        <v>80</v>
      </c>
      <c r="E268" s="97">
        <v>5189</v>
      </c>
      <c r="F268" s="97">
        <v>167</v>
      </c>
      <c r="G268" s="97">
        <v>675</v>
      </c>
      <c r="H268" s="114">
        <v>38.23430429658945</v>
      </c>
      <c r="I268" s="125">
        <v>21598</v>
      </c>
      <c r="J268" s="115">
        <v>28.678576492778699</v>
      </c>
    </row>
    <row r="269" spans="1:10" ht="16">
      <c r="A269" s="100" t="s">
        <v>592</v>
      </c>
      <c r="B269" s="101" t="s">
        <v>591</v>
      </c>
      <c r="C269" s="102" t="s">
        <v>76</v>
      </c>
      <c r="D269" s="103" t="s">
        <v>82</v>
      </c>
      <c r="E269" s="104">
        <v>16137</v>
      </c>
      <c r="F269" s="104">
        <v>1345</v>
      </c>
      <c r="G269" s="104">
        <v>807</v>
      </c>
      <c r="H269" s="116">
        <v>45.877194659150817</v>
      </c>
      <c r="I269" s="126">
        <v>28177</v>
      </c>
      <c r="J269" s="117">
        <v>49.126212278177874</v>
      </c>
    </row>
    <row r="270" spans="1:10" ht="16">
      <c r="A270" s="93" t="s">
        <v>407</v>
      </c>
      <c r="B270" s="94" t="s">
        <v>402</v>
      </c>
      <c r="C270" s="95" t="s">
        <v>76</v>
      </c>
      <c r="D270" s="96" t="s">
        <v>60</v>
      </c>
      <c r="E270" s="97">
        <v>20800</v>
      </c>
      <c r="F270" s="97">
        <v>1292</v>
      </c>
      <c r="G270" s="97">
        <v>3744</v>
      </c>
      <c r="H270" s="114">
        <v>61.161291951519125</v>
      </c>
      <c r="I270" s="125">
        <v>58021</v>
      </c>
      <c r="J270" s="115">
        <v>67.862237837299048</v>
      </c>
    </row>
    <row r="271" spans="1:10" ht="16">
      <c r="A271" s="100" t="s">
        <v>354</v>
      </c>
      <c r="B271" s="101" t="s">
        <v>344</v>
      </c>
      <c r="C271" s="102" t="s">
        <v>76</v>
      </c>
      <c r="D271" s="103" t="s">
        <v>59</v>
      </c>
      <c r="E271" s="104">
        <v>113043</v>
      </c>
      <c r="F271" s="104">
        <v>5162</v>
      </c>
      <c r="G271" s="104">
        <v>1130</v>
      </c>
      <c r="H271" s="116">
        <v>9.0102564083044214</v>
      </c>
      <c r="I271" s="126">
        <v>1830</v>
      </c>
      <c r="J271" s="117">
        <v>15.114579856872721</v>
      </c>
    </row>
    <row r="272" spans="1:10" ht="16">
      <c r="A272" s="93" t="s">
        <v>1210</v>
      </c>
      <c r="B272" s="94" t="s">
        <v>1190</v>
      </c>
      <c r="C272" s="95" t="s">
        <v>107</v>
      </c>
      <c r="D272" s="96" t="s">
        <v>59</v>
      </c>
      <c r="E272" s="97">
        <v>9189</v>
      </c>
      <c r="F272" s="97">
        <v>534</v>
      </c>
      <c r="G272" s="97">
        <v>3216</v>
      </c>
      <c r="H272" s="114">
        <v>27.566717798560123</v>
      </c>
      <c r="I272" s="125">
        <v>20209</v>
      </c>
      <c r="J272" s="115">
        <v>28.425031963375858</v>
      </c>
    </row>
    <row r="273" spans="1:10" ht="16">
      <c r="A273" s="100" t="s">
        <v>924</v>
      </c>
      <c r="B273" s="101" t="s">
        <v>919</v>
      </c>
      <c r="C273" s="102" t="s">
        <v>76</v>
      </c>
      <c r="D273" s="103" t="s">
        <v>82</v>
      </c>
      <c r="E273" s="104">
        <v>22111</v>
      </c>
      <c r="F273" s="104">
        <v>1688</v>
      </c>
      <c r="G273" s="104">
        <v>1990</v>
      </c>
      <c r="H273" s="116">
        <v>37.907337568647719</v>
      </c>
      <c r="I273" s="126">
        <v>29192</v>
      </c>
      <c r="J273" s="117">
        <v>36.35671569840931</v>
      </c>
    </row>
    <row r="274" spans="1:10" ht="16">
      <c r="A274" s="93" t="s">
        <v>655</v>
      </c>
      <c r="B274" s="94" t="s">
        <v>642</v>
      </c>
      <c r="C274" s="95" t="s">
        <v>107</v>
      </c>
      <c r="D274" s="96" t="s">
        <v>59</v>
      </c>
      <c r="E274" s="97">
        <v>15077</v>
      </c>
      <c r="F274" s="97">
        <v>1675</v>
      </c>
      <c r="G274" s="97">
        <v>1508</v>
      </c>
      <c r="H274" s="114">
        <v>22.400657240674668</v>
      </c>
      <c r="I274" s="125">
        <v>7104</v>
      </c>
      <c r="J274" s="115">
        <v>29.446490239342879</v>
      </c>
    </row>
    <row r="275" spans="1:10" ht="16">
      <c r="A275" s="100" t="s">
        <v>1323</v>
      </c>
      <c r="B275" s="101" t="s">
        <v>1288</v>
      </c>
      <c r="C275" s="102" t="s">
        <v>76</v>
      </c>
      <c r="D275" s="103" t="s">
        <v>60</v>
      </c>
      <c r="E275" s="104">
        <v>10066</v>
      </c>
      <c r="F275" s="104">
        <v>724</v>
      </c>
      <c r="G275" s="104">
        <v>906</v>
      </c>
      <c r="H275" s="116">
        <v>13.796992490660994</v>
      </c>
      <c r="I275" s="126">
        <v>10618</v>
      </c>
      <c r="J275" s="117">
        <v>38.832900780865359</v>
      </c>
    </row>
    <row r="276" spans="1:10" ht="16">
      <c r="A276" s="93" t="s">
        <v>656</v>
      </c>
      <c r="B276" s="94" t="s">
        <v>642</v>
      </c>
      <c r="C276" s="95" t="s">
        <v>107</v>
      </c>
      <c r="D276" s="96" t="s">
        <v>130</v>
      </c>
      <c r="E276" s="97">
        <v>18225</v>
      </c>
      <c r="F276" s="97">
        <v>2250</v>
      </c>
      <c r="G276" s="97">
        <v>2005</v>
      </c>
      <c r="H276" s="114">
        <v>40.170082817022021</v>
      </c>
      <c r="I276" s="125">
        <v>12132</v>
      </c>
      <c r="J276" s="115">
        <v>46.283662543292522</v>
      </c>
    </row>
    <row r="277" spans="1:10" ht="16">
      <c r="A277" s="100" t="s">
        <v>461</v>
      </c>
      <c r="B277" s="101" t="s">
        <v>459</v>
      </c>
      <c r="C277" s="102" t="s">
        <v>76</v>
      </c>
      <c r="D277" s="103" t="s">
        <v>92</v>
      </c>
      <c r="E277" s="104">
        <v>8759</v>
      </c>
      <c r="F277" s="104">
        <v>755</v>
      </c>
      <c r="G277" s="104">
        <v>3942</v>
      </c>
      <c r="H277" s="116">
        <v>22.530072498759967</v>
      </c>
      <c r="I277" s="126">
        <v>12851</v>
      </c>
      <c r="J277" s="117">
        <v>28.142904654470989</v>
      </c>
    </row>
    <row r="278" spans="1:10" ht="16">
      <c r="A278" s="93" t="s">
        <v>462</v>
      </c>
      <c r="B278" s="94" t="s">
        <v>459</v>
      </c>
      <c r="C278" s="95" t="s">
        <v>76</v>
      </c>
      <c r="D278" s="96" t="s">
        <v>61</v>
      </c>
      <c r="E278" s="97">
        <v>20388</v>
      </c>
      <c r="F278" s="97">
        <v>883</v>
      </c>
      <c r="G278" s="97">
        <v>5097</v>
      </c>
      <c r="H278" s="114">
        <v>47.247110214440696</v>
      </c>
      <c r="I278" s="125">
        <v>33566</v>
      </c>
      <c r="J278" s="115">
        <v>41.961138684927697</v>
      </c>
    </row>
    <row r="279" spans="1:10" ht="16">
      <c r="A279" s="100" t="s">
        <v>657</v>
      </c>
      <c r="B279" s="101" t="s">
        <v>642</v>
      </c>
      <c r="C279" s="102" t="s">
        <v>107</v>
      </c>
      <c r="D279" s="103" t="s">
        <v>77</v>
      </c>
      <c r="E279" s="104">
        <v>30969</v>
      </c>
      <c r="F279" s="104">
        <v>761</v>
      </c>
      <c r="G279" s="104">
        <v>619</v>
      </c>
      <c r="H279" s="116">
        <v>10.377834536799655</v>
      </c>
      <c r="I279" s="126">
        <v>2526</v>
      </c>
      <c r="J279" s="117">
        <v>17.180080823465822</v>
      </c>
    </row>
    <row r="280" spans="1:10" ht="16">
      <c r="A280" s="93" t="s">
        <v>1324</v>
      </c>
      <c r="B280" s="94" t="s">
        <v>1288</v>
      </c>
      <c r="C280" s="95" t="s">
        <v>76</v>
      </c>
      <c r="D280" s="96" t="s">
        <v>61</v>
      </c>
      <c r="E280" s="97">
        <v>8449</v>
      </c>
      <c r="F280" s="97">
        <v>1127</v>
      </c>
      <c r="G280" s="97">
        <v>676</v>
      </c>
      <c r="H280" s="114">
        <v>16.196116485075393</v>
      </c>
      <c r="I280" s="125">
        <v>15233</v>
      </c>
      <c r="J280" s="115">
        <v>43.107926051966508</v>
      </c>
    </row>
    <row r="281" spans="1:10" ht="16">
      <c r="A281" s="100" t="s">
        <v>244</v>
      </c>
      <c r="B281" s="101" t="s">
        <v>223</v>
      </c>
      <c r="C281" s="102" t="s">
        <v>107</v>
      </c>
      <c r="D281" s="103" t="s">
        <v>82</v>
      </c>
      <c r="E281" s="104">
        <v>30491</v>
      </c>
      <c r="F281" s="104">
        <v>1723</v>
      </c>
      <c r="G281" s="104">
        <v>3354</v>
      </c>
      <c r="H281" s="116">
        <v>11.5853301196512</v>
      </c>
      <c r="I281" s="126">
        <v>3183</v>
      </c>
      <c r="J281" s="117">
        <v>15.003504389530331</v>
      </c>
    </row>
    <row r="282" spans="1:10" ht="16">
      <c r="A282" s="93" t="s">
        <v>245</v>
      </c>
      <c r="B282" s="94" t="s">
        <v>223</v>
      </c>
      <c r="C282" s="95" t="s">
        <v>76</v>
      </c>
      <c r="D282" s="96" t="s">
        <v>59</v>
      </c>
      <c r="E282" s="97">
        <v>25956</v>
      </c>
      <c r="F282" s="97">
        <v>1492</v>
      </c>
      <c r="G282" s="97">
        <v>519</v>
      </c>
      <c r="H282" s="114">
        <v>15.513761333149768</v>
      </c>
      <c r="I282" s="125">
        <v>7640</v>
      </c>
      <c r="J282" s="115">
        <v>22.764438245373253</v>
      </c>
    </row>
    <row r="283" spans="1:10" ht="16">
      <c r="A283" s="100" t="s">
        <v>246</v>
      </c>
      <c r="B283" s="101" t="s">
        <v>223</v>
      </c>
      <c r="C283" s="102" t="s">
        <v>107</v>
      </c>
      <c r="D283" s="103" t="s">
        <v>84</v>
      </c>
      <c r="E283" s="104">
        <v>56379</v>
      </c>
      <c r="F283" s="104">
        <v>3417</v>
      </c>
      <c r="G283" s="104">
        <v>2819</v>
      </c>
      <c r="H283" s="116">
        <v>39.232749989296821</v>
      </c>
      <c r="I283" s="126">
        <v>23483</v>
      </c>
      <c r="J283" s="117">
        <v>41.337671950734489</v>
      </c>
    </row>
    <row r="284" spans="1:10" ht="16">
      <c r="A284" s="93" t="s">
        <v>408</v>
      </c>
      <c r="B284" s="94" t="s">
        <v>402</v>
      </c>
      <c r="C284" s="95" t="s">
        <v>107</v>
      </c>
      <c r="D284" s="96" t="s">
        <v>62</v>
      </c>
      <c r="E284" s="97">
        <v>33463</v>
      </c>
      <c r="F284" s="97">
        <v>596</v>
      </c>
      <c r="G284" s="97">
        <v>5689</v>
      </c>
      <c r="H284" s="114">
        <v>66.93209447946073</v>
      </c>
      <c r="I284" s="125">
        <v>45394</v>
      </c>
      <c r="J284" s="115">
        <v>62.758242389978932</v>
      </c>
    </row>
    <row r="285" spans="1:10" ht="16">
      <c r="A285" s="100" t="s">
        <v>247</v>
      </c>
      <c r="B285" s="101" t="s">
        <v>223</v>
      </c>
      <c r="C285" s="102" t="s">
        <v>107</v>
      </c>
      <c r="D285" s="103" t="s">
        <v>60</v>
      </c>
      <c r="E285" s="104">
        <v>40715</v>
      </c>
      <c r="F285" s="104">
        <v>1996</v>
      </c>
      <c r="G285" s="104">
        <v>814</v>
      </c>
      <c r="H285" s="116">
        <v>25.007304246164178</v>
      </c>
      <c r="I285" s="126">
        <v>18196</v>
      </c>
      <c r="J285" s="117">
        <v>24.172827910175641</v>
      </c>
    </row>
    <row r="286" spans="1:10" ht="16">
      <c r="A286" s="93" t="s">
        <v>658</v>
      </c>
      <c r="B286" s="94" t="s">
        <v>642</v>
      </c>
      <c r="C286" s="95" t="s">
        <v>107</v>
      </c>
      <c r="D286" s="96" t="s">
        <v>77</v>
      </c>
      <c r="E286" s="97">
        <v>888</v>
      </c>
      <c r="F286" s="97">
        <v>444</v>
      </c>
      <c r="G286" s="97">
        <v>9</v>
      </c>
      <c r="H286" s="114">
        <v>12.868445426251906</v>
      </c>
      <c r="I286" s="125">
        <v>5456</v>
      </c>
      <c r="J286" s="115">
        <v>30.9923668374195</v>
      </c>
    </row>
    <row r="287" spans="1:10" ht="16">
      <c r="A287" s="100" t="s">
        <v>1088</v>
      </c>
      <c r="B287" s="101" t="s">
        <v>1081</v>
      </c>
      <c r="C287" s="102" t="s">
        <v>107</v>
      </c>
      <c r="D287" s="103" t="s">
        <v>77</v>
      </c>
      <c r="E287" s="104">
        <v>13970</v>
      </c>
      <c r="F287" s="104">
        <v>490</v>
      </c>
      <c r="G287" s="104">
        <v>1956</v>
      </c>
      <c r="H287" s="116">
        <v>17.177639017439429</v>
      </c>
      <c r="I287" s="126">
        <v>2265</v>
      </c>
      <c r="J287" s="117">
        <v>15.173966363319378</v>
      </c>
    </row>
    <row r="288" spans="1:10" ht="16">
      <c r="A288" s="93" t="s">
        <v>659</v>
      </c>
      <c r="B288" s="94" t="s">
        <v>642</v>
      </c>
      <c r="C288" s="95" t="s">
        <v>107</v>
      </c>
      <c r="D288" s="96" t="s">
        <v>59</v>
      </c>
      <c r="E288" s="97">
        <v>8181</v>
      </c>
      <c r="F288" s="97">
        <v>538</v>
      </c>
      <c r="G288" s="97">
        <v>245</v>
      </c>
      <c r="H288" s="114">
        <v>10.56016854569334</v>
      </c>
      <c r="I288" s="125">
        <v>898</v>
      </c>
      <c r="J288" s="115">
        <v>16.48501774536178</v>
      </c>
    </row>
    <row r="289" spans="1:10" ht="16">
      <c r="A289" s="100" t="s">
        <v>593</v>
      </c>
      <c r="B289" s="101" t="s">
        <v>591</v>
      </c>
      <c r="C289" s="102" t="s">
        <v>76</v>
      </c>
      <c r="D289" s="103" t="s">
        <v>77</v>
      </c>
      <c r="E289" s="104">
        <v>6908</v>
      </c>
      <c r="F289" s="104">
        <v>147</v>
      </c>
      <c r="G289" s="104">
        <v>1658</v>
      </c>
      <c r="H289" s="116">
        <v>10.629267621476851</v>
      </c>
      <c r="I289" s="126">
        <v>6419</v>
      </c>
      <c r="J289" s="117">
        <v>14.558218836131745</v>
      </c>
    </row>
    <row r="290" spans="1:10" ht="16">
      <c r="A290" s="93" t="s">
        <v>409</v>
      </c>
      <c r="B290" s="94" t="s">
        <v>402</v>
      </c>
      <c r="C290" s="95" t="s">
        <v>107</v>
      </c>
      <c r="D290" s="96" t="s">
        <v>61</v>
      </c>
      <c r="E290" s="97">
        <v>5807</v>
      </c>
      <c r="F290" s="97">
        <v>328</v>
      </c>
      <c r="G290" s="97">
        <v>1278</v>
      </c>
      <c r="H290" s="114">
        <v>17.089279062383543</v>
      </c>
      <c r="I290" s="125">
        <v>5079</v>
      </c>
      <c r="J290" s="115">
        <v>25.693241130681713</v>
      </c>
    </row>
    <row r="291" spans="1:10" ht="16">
      <c r="A291" s="100" t="s">
        <v>960</v>
      </c>
      <c r="B291" s="101" t="s">
        <v>959</v>
      </c>
      <c r="C291" s="102" t="s">
        <v>76</v>
      </c>
      <c r="D291" s="103" t="s">
        <v>62</v>
      </c>
      <c r="E291" s="104">
        <v>24763</v>
      </c>
      <c r="F291" s="104">
        <v>2913</v>
      </c>
      <c r="G291" s="104">
        <v>991</v>
      </c>
      <c r="H291" s="116">
        <v>8.7239714788213121</v>
      </c>
      <c r="I291" s="126">
        <v>1253</v>
      </c>
      <c r="J291" s="117">
        <v>22.010087985142111</v>
      </c>
    </row>
    <row r="292" spans="1:10" ht="16">
      <c r="A292" s="93" t="s">
        <v>543</v>
      </c>
      <c r="B292" s="94" t="s">
        <v>537</v>
      </c>
      <c r="C292" s="95" t="s">
        <v>76</v>
      </c>
      <c r="D292" s="96" t="s">
        <v>63</v>
      </c>
      <c r="E292" s="97">
        <v>8330</v>
      </c>
      <c r="F292" s="97">
        <v>291</v>
      </c>
      <c r="G292" s="97">
        <v>583</v>
      </c>
      <c r="H292" s="114">
        <v>8.824833301569365</v>
      </c>
      <c r="I292" s="125">
        <v>6719</v>
      </c>
      <c r="J292" s="115">
        <v>12.496520658821124</v>
      </c>
    </row>
    <row r="293" spans="1:10" ht="16">
      <c r="A293" s="100" t="s">
        <v>1211</v>
      </c>
      <c r="B293" s="101" t="s">
        <v>1190</v>
      </c>
      <c r="C293" s="102" t="s">
        <v>107</v>
      </c>
      <c r="D293" s="103" t="s">
        <v>59</v>
      </c>
      <c r="E293" s="104">
        <v>16760</v>
      </c>
      <c r="F293" s="104">
        <v>1432</v>
      </c>
      <c r="G293" s="104">
        <v>9386</v>
      </c>
      <c r="H293" s="116">
        <v>88.032718696894563</v>
      </c>
      <c r="I293" s="126">
        <v>85074</v>
      </c>
      <c r="J293" s="117">
        <v>84.796542967014688</v>
      </c>
    </row>
    <row r="294" spans="1:10" ht="16">
      <c r="A294" s="93" t="s">
        <v>381</v>
      </c>
      <c r="B294" s="94" t="s">
        <v>377</v>
      </c>
      <c r="C294" s="95" t="s">
        <v>107</v>
      </c>
      <c r="D294" s="96" t="s">
        <v>77</v>
      </c>
      <c r="E294" s="97">
        <v>1676</v>
      </c>
      <c r="F294" s="97">
        <v>204</v>
      </c>
      <c r="G294" s="97">
        <v>737</v>
      </c>
      <c r="H294" s="114">
        <v>29.037274486931558</v>
      </c>
      <c r="I294" s="125">
        <v>15240</v>
      </c>
      <c r="J294" s="115">
        <v>34.956149704347439</v>
      </c>
    </row>
    <row r="295" spans="1:10" ht="16">
      <c r="A295" s="100" t="s">
        <v>997</v>
      </c>
      <c r="B295" s="101" t="s">
        <v>988</v>
      </c>
      <c r="C295" s="102" t="s">
        <v>107</v>
      </c>
      <c r="D295" s="103" t="s">
        <v>77</v>
      </c>
      <c r="E295" s="104">
        <v>13499</v>
      </c>
      <c r="F295" s="104">
        <v>605</v>
      </c>
      <c r="G295" s="104">
        <v>405</v>
      </c>
      <c r="H295" s="116">
        <v>17.27058863281486</v>
      </c>
      <c r="I295" s="126">
        <v>3817</v>
      </c>
      <c r="J295" s="117">
        <v>16.154141720442372</v>
      </c>
    </row>
    <row r="296" spans="1:10" ht="16">
      <c r="A296" s="93" t="s">
        <v>487</v>
      </c>
      <c r="B296" s="94" t="s">
        <v>474</v>
      </c>
      <c r="C296" s="95" t="s">
        <v>107</v>
      </c>
      <c r="D296" s="96" t="s">
        <v>60</v>
      </c>
      <c r="E296" s="97">
        <v>4128</v>
      </c>
      <c r="F296" s="97">
        <v>430</v>
      </c>
      <c r="G296" s="97">
        <v>41</v>
      </c>
      <c r="H296" s="114">
        <v>55.813162227548489</v>
      </c>
      <c r="I296" s="125">
        <v>18025</v>
      </c>
      <c r="J296" s="115">
        <v>59.569952463131287</v>
      </c>
    </row>
    <row r="297" spans="1:10" ht="16">
      <c r="A297" s="100" t="s">
        <v>488</v>
      </c>
      <c r="B297" s="101" t="s">
        <v>474</v>
      </c>
      <c r="C297" s="102" t="s">
        <v>107</v>
      </c>
      <c r="D297" s="103" t="s">
        <v>130</v>
      </c>
      <c r="E297" s="104">
        <v>1335</v>
      </c>
      <c r="F297" s="104">
        <v>113</v>
      </c>
      <c r="G297" s="104">
        <v>30</v>
      </c>
      <c r="H297" s="116">
        <v>11.223433799830861</v>
      </c>
      <c r="I297" s="126">
        <v>3123</v>
      </c>
      <c r="J297" s="117">
        <v>28.811282336479586</v>
      </c>
    </row>
    <row r="298" spans="1:10" ht="16">
      <c r="A298" s="93" t="s">
        <v>489</v>
      </c>
      <c r="B298" s="94" t="s">
        <v>474</v>
      </c>
      <c r="C298" s="95" t="s">
        <v>107</v>
      </c>
      <c r="D298" s="96" t="s">
        <v>63</v>
      </c>
      <c r="E298" s="97">
        <v>1274</v>
      </c>
      <c r="F298" s="97">
        <v>134</v>
      </c>
      <c r="G298" s="97">
        <v>29</v>
      </c>
      <c r="H298" s="114">
        <v>20.1993807554427</v>
      </c>
      <c r="I298" s="125">
        <v>10652</v>
      </c>
      <c r="J298" s="115">
        <v>32.45862784236521</v>
      </c>
    </row>
    <row r="299" spans="1:10" ht="16">
      <c r="A299" s="100" t="s">
        <v>490</v>
      </c>
      <c r="B299" s="101" t="s">
        <v>474</v>
      </c>
      <c r="C299" s="102" t="s">
        <v>107</v>
      </c>
      <c r="D299" s="103" t="s">
        <v>92</v>
      </c>
      <c r="E299" s="104">
        <v>7833</v>
      </c>
      <c r="F299" s="104">
        <v>312</v>
      </c>
      <c r="G299" s="104">
        <v>78</v>
      </c>
      <c r="H299" s="116">
        <v>14.299758408760587</v>
      </c>
      <c r="I299" s="126">
        <v>5122</v>
      </c>
      <c r="J299" s="117">
        <v>21.763732076171628</v>
      </c>
    </row>
    <row r="300" spans="1:10" ht="16">
      <c r="A300" s="93" t="s">
        <v>491</v>
      </c>
      <c r="B300" s="94" t="s">
        <v>474</v>
      </c>
      <c r="C300" s="95" t="s">
        <v>107</v>
      </c>
      <c r="D300" s="96" t="s">
        <v>92</v>
      </c>
      <c r="E300" s="97">
        <v>1237</v>
      </c>
      <c r="F300" s="97">
        <v>116</v>
      </c>
      <c r="G300" s="97">
        <v>57</v>
      </c>
      <c r="H300" s="114">
        <v>12.20067004575151</v>
      </c>
      <c r="I300" s="125">
        <v>6033</v>
      </c>
      <c r="J300" s="115">
        <v>27.840686060318728</v>
      </c>
    </row>
    <row r="301" spans="1:10" ht="16">
      <c r="A301" s="100" t="s">
        <v>492</v>
      </c>
      <c r="B301" s="101" t="s">
        <v>474</v>
      </c>
      <c r="C301" s="102" t="s">
        <v>107</v>
      </c>
      <c r="D301" s="103" t="s">
        <v>130</v>
      </c>
      <c r="E301" s="104">
        <v>10267</v>
      </c>
      <c r="F301" s="104">
        <v>638</v>
      </c>
      <c r="G301" s="104">
        <v>103</v>
      </c>
      <c r="H301" s="116">
        <v>40.342264327128717</v>
      </c>
      <c r="I301" s="126">
        <v>13888</v>
      </c>
      <c r="J301" s="117">
        <v>45.640170366091787</v>
      </c>
    </row>
    <row r="302" spans="1:10" ht="16">
      <c r="A302" s="93" t="s">
        <v>493</v>
      </c>
      <c r="B302" s="94" t="s">
        <v>474</v>
      </c>
      <c r="C302" s="95" t="s">
        <v>107</v>
      </c>
      <c r="D302" s="96" t="s">
        <v>130</v>
      </c>
      <c r="E302" s="97">
        <v>7284</v>
      </c>
      <c r="F302" s="97">
        <v>492</v>
      </c>
      <c r="G302" s="97">
        <v>73</v>
      </c>
      <c r="H302" s="114">
        <v>28.25920003959369</v>
      </c>
      <c r="I302" s="125">
        <v>13788</v>
      </c>
      <c r="J302" s="115">
        <v>49.356835054183719</v>
      </c>
    </row>
    <row r="303" spans="1:10" ht="16">
      <c r="A303" s="100" t="s">
        <v>494</v>
      </c>
      <c r="B303" s="101" t="s">
        <v>474</v>
      </c>
      <c r="C303" s="102" t="s">
        <v>107</v>
      </c>
      <c r="D303" s="103" t="s">
        <v>62</v>
      </c>
      <c r="E303" s="104">
        <v>1222</v>
      </c>
      <c r="F303" s="104">
        <v>109</v>
      </c>
      <c r="G303" s="104">
        <v>27</v>
      </c>
      <c r="H303" s="116">
        <v>11.818685073460353</v>
      </c>
      <c r="I303" s="126">
        <v>8797</v>
      </c>
      <c r="J303" s="117">
        <v>21.172840787566074</v>
      </c>
    </row>
    <row r="304" spans="1:10" ht="16">
      <c r="A304" s="93" t="s">
        <v>495</v>
      </c>
      <c r="B304" s="94" t="s">
        <v>474</v>
      </c>
      <c r="C304" s="95" t="s">
        <v>107</v>
      </c>
      <c r="D304" s="96" t="s">
        <v>130</v>
      </c>
      <c r="E304" s="97">
        <v>5699</v>
      </c>
      <c r="F304" s="97">
        <v>422</v>
      </c>
      <c r="G304" s="97">
        <v>57</v>
      </c>
      <c r="H304" s="114">
        <v>22.603646962676567</v>
      </c>
      <c r="I304" s="125">
        <v>8242</v>
      </c>
      <c r="J304" s="115">
        <v>34.581989152448145</v>
      </c>
    </row>
    <row r="305" spans="1:10" ht="16">
      <c r="A305" s="100" t="s">
        <v>496</v>
      </c>
      <c r="B305" s="101" t="s">
        <v>474</v>
      </c>
      <c r="C305" s="102" t="s">
        <v>107</v>
      </c>
      <c r="D305" s="103" t="s">
        <v>92</v>
      </c>
      <c r="E305" s="104">
        <v>2088</v>
      </c>
      <c r="F305" s="104">
        <v>175</v>
      </c>
      <c r="G305" s="104">
        <v>96</v>
      </c>
      <c r="H305" s="116">
        <v>18.068246912547803</v>
      </c>
      <c r="I305" s="126">
        <v>9512</v>
      </c>
      <c r="J305" s="117">
        <v>25.398648848563177</v>
      </c>
    </row>
    <row r="306" spans="1:10" ht="16">
      <c r="A306" s="93" t="s">
        <v>497</v>
      </c>
      <c r="B306" s="94" t="s">
        <v>474</v>
      </c>
      <c r="C306" s="95" t="s">
        <v>107</v>
      </c>
      <c r="D306" s="96" t="s">
        <v>84</v>
      </c>
      <c r="E306" s="97">
        <v>1128</v>
      </c>
      <c r="F306" s="97">
        <v>116</v>
      </c>
      <c r="G306" s="97">
        <v>52</v>
      </c>
      <c r="H306" s="114">
        <v>24.411973390160686</v>
      </c>
      <c r="I306" s="125">
        <v>18417</v>
      </c>
      <c r="J306" s="115">
        <v>32.849991964126708</v>
      </c>
    </row>
    <row r="307" spans="1:10" ht="16">
      <c r="A307" s="100" t="s">
        <v>498</v>
      </c>
      <c r="B307" s="101" t="s">
        <v>474</v>
      </c>
      <c r="C307" s="102" t="s">
        <v>107</v>
      </c>
      <c r="D307" s="103" t="s">
        <v>84</v>
      </c>
      <c r="E307" s="104">
        <v>6860</v>
      </c>
      <c r="F307" s="104">
        <v>504</v>
      </c>
      <c r="G307" s="104">
        <v>315</v>
      </c>
      <c r="H307" s="116">
        <v>24.502623116127637</v>
      </c>
      <c r="I307" s="126">
        <v>8644</v>
      </c>
      <c r="J307" s="117">
        <v>38.513770294061615</v>
      </c>
    </row>
    <row r="308" spans="1:10" ht="16">
      <c r="A308" s="93" t="s">
        <v>499</v>
      </c>
      <c r="B308" s="94" t="s">
        <v>474</v>
      </c>
      <c r="C308" s="95" t="s">
        <v>107</v>
      </c>
      <c r="D308" s="96" t="s">
        <v>59</v>
      </c>
      <c r="E308" s="97">
        <v>9167</v>
      </c>
      <c r="F308" s="97">
        <v>745</v>
      </c>
      <c r="G308" s="97">
        <v>421</v>
      </c>
      <c r="H308" s="114">
        <v>39.888169679869954</v>
      </c>
      <c r="I308" s="125">
        <v>15214</v>
      </c>
      <c r="J308" s="115">
        <v>42.206303670960843</v>
      </c>
    </row>
    <row r="309" spans="1:10" ht="16">
      <c r="A309" s="100" t="s">
        <v>500</v>
      </c>
      <c r="B309" s="101" t="s">
        <v>474</v>
      </c>
      <c r="C309" s="102" t="s">
        <v>107</v>
      </c>
      <c r="D309" s="103" t="s">
        <v>60</v>
      </c>
      <c r="E309" s="104">
        <v>9241</v>
      </c>
      <c r="F309" s="104">
        <v>592</v>
      </c>
      <c r="G309" s="104">
        <v>92</v>
      </c>
      <c r="H309" s="116">
        <v>30.60704016473867</v>
      </c>
      <c r="I309" s="126">
        <v>7842</v>
      </c>
      <c r="J309" s="117">
        <v>45.425884906079453</v>
      </c>
    </row>
    <row r="310" spans="1:10" ht="16">
      <c r="A310" s="93" t="s">
        <v>501</v>
      </c>
      <c r="B310" s="94" t="s">
        <v>474</v>
      </c>
      <c r="C310" s="95" t="s">
        <v>107</v>
      </c>
      <c r="D310" s="96" t="s">
        <v>92</v>
      </c>
      <c r="E310" s="97">
        <v>1387</v>
      </c>
      <c r="F310" s="97">
        <v>110</v>
      </c>
      <c r="G310" s="97">
        <v>64</v>
      </c>
      <c r="H310" s="114">
        <v>8.6147082209235375</v>
      </c>
      <c r="I310" s="125">
        <v>3549</v>
      </c>
      <c r="J310" s="115">
        <v>18.069281062677632</v>
      </c>
    </row>
    <row r="311" spans="1:10" ht="16">
      <c r="A311" s="100" t="s">
        <v>502</v>
      </c>
      <c r="B311" s="101" t="s">
        <v>474</v>
      </c>
      <c r="C311" s="102" t="s">
        <v>107</v>
      </c>
      <c r="D311" s="103" t="s">
        <v>61</v>
      </c>
      <c r="E311" s="104">
        <v>7561</v>
      </c>
      <c r="F311" s="104">
        <v>461</v>
      </c>
      <c r="G311" s="104">
        <v>151</v>
      </c>
      <c r="H311" s="116">
        <v>28.219308717999848</v>
      </c>
      <c r="I311" s="126">
        <v>13208</v>
      </c>
      <c r="J311" s="117">
        <v>39.147005364303489</v>
      </c>
    </row>
    <row r="312" spans="1:10" ht="16">
      <c r="A312" s="93" t="s">
        <v>503</v>
      </c>
      <c r="B312" s="94" t="s">
        <v>474</v>
      </c>
      <c r="C312" s="95" t="s">
        <v>107</v>
      </c>
      <c r="D312" s="96" t="s">
        <v>63</v>
      </c>
      <c r="E312" s="97">
        <v>1119</v>
      </c>
      <c r="F312" s="97">
        <v>147</v>
      </c>
      <c r="G312" s="97">
        <v>51</v>
      </c>
      <c r="H312" s="114">
        <v>12.896547385087278</v>
      </c>
      <c r="I312" s="125">
        <v>12854</v>
      </c>
      <c r="J312" s="115">
        <v>28.54616230355515</v>
      </c>
    </row>
    <row r="313" spans="1:10" ht="16">
      <c r="A313" s="100" t="s">
        <v>1325</v>
      </c>
      <c r="B313" s="101" t="s">
        <v>1288</v>
      </c>
      <c r="C313" s="102" t="s">
        <v>76</v>
      </c>
      <c r="D313" s="103" t="s">
        <v>59</v>
      </c>
      <c r="E313" s="104">
        <v>66872</v>
      </c>
      <c r="F313" s="104">
        <v>4917</v>
      </c>
      <c r="G313" s="104">
        <v>10031</v>
      </c>
      <c r="H313" s="116">
        <v>50.408979627044729</v>
      </c>
      <c r="I313" s="126">
        <v>38213</v>
      </c>
      <c r="J313" s="117">
        <v>51.651694618687998</v>
      </c>
    </row>
    <row r="314" spans="1:10" ht="16">
      <c r="A314" s="93" t="s">
        <v>305</v>
      </c>
      <c r="B314" s="94" t="s">
        <v>304</v>
      </c>
      <c r="C314" s="95" t="s">
        <v>107</v>
      </c>
      <c r="D314" s="96" t="s">
        <v>130</v>
      </c>
      <c r="E314" s="97">
        <v>20851</v>
      </c>
      <c r="F314" s="97">
        <v>851</v>
      </c>
      <c r="G314" s="97">
        <v>1436</v>
      </c>
      <c r="H314" s="114">
        <v>10.704130001658537</v>
      </c>
      <c r="I314" s="125">
        <v>3495</v>
      </c>
      <c r="J314" s="115">
        <v>15.156475177055336</v>
      </c>
    </row>
    <row r="315" spans="1:10" ht="16">
      <c r="A315" s="100" t="s">
        <v>998</v>
      </c>
      <c r="B315" s="101" t="s">
        <v>988</v>
      </c>
      <c r="C315" s="102" t="s">
        <v>107</v>
      </c>
      <c r="D315" s="103" t="s">
        <v>80</v>
      </c>
      <c r="E315" s="104">
        <v>19196</v>
      </c>
      <c r="F315" s="104">
        <v>817</v>
      </c>
      <c r="G315" s="104">
        <v>1152</v>
      </c>
      <c r="H315" s="116">
        <v>20.771385463828562</v>
      </c>
      <c r="I315" s="126">
        <v>4963</v>
      </c>
      <c r="J315" s="117">
        <v>24.085370085871457</v>
      </c>
    </row>
    <row r="316" spans="1:10" ht="16">
      <c r="A316" s="93" t="s">
        <v>504</v>
      </c>
      <c r="B316" s="94" t="s">
        <v>474</v>
      </c>
      <c r="C316" s="95" t="s">
        <v>107</v>
      </c>
      <c r="D316" s="96" t="s">
        <v>77</v>
      </c>
      <c r="E316" s="97">
        <v>2146</v>
      </c>
      <c r="F316" s="97">
        <v>118</v>
      </c>
      <c r="G316" s="97">
        <v>48</v>
      </c>
      <c r="H316" s="114">
        <v>24.420441095055548</v>
      </c>
      <c r="I316" s="125">
        <v>11473</v>
      </c>
      <c r="J316" s="115">
        <v>38.960824195736059</v>
      </c>
    </row>
    <row r="317" spans="1:10" ht="16">
      <c r="A317" s="100" t="s">
        <v>861</v>
      </c>
      <c r="B317" s="101" t="s">
        <v>858</v>
      </c>
      <c r="C317" s="102" t="s">
        <v>107</v>
      </c>
      <c r="D317" s="103" t="s">
        <v>62</v>
      </c>
      <c r="E317" s="104">
        <v>30614</v>
      </c>
      <c r="F317" s="104">
        <v>1554</v>
      </c>
      <c r="G317" s="104">
        <v>2449</v>
      </c>
      <c r="H317" s="116">
        <v>8.0791463379659181</v>
      </c>
      <c r="I317" s="126">
        <v>4016</v>
      </c>
      <c r="J317" s="117">
        <v>14.840411145899115</v>
      </c>
    </row>
    <row r="318" spans="1:10" ht="16">
      <c r="A318" s="93" t="s">
        <v>1326</v>
      </c>
      <c r="B318" s="94" t="s">
        <v>1288</v>
      </c>
      <c r="C318" s="95" t="s">
        <v>107</v>
      </c>
      <c r="D318" s="96" t="s">
        <v>59</v>
      </c>
      <c r="E318" s="97">
        <v>32469</v>
      </c>
      <c r="F318" s="97">
        <v>1727</v>
      </c>
      <c r="G318" s="97">
        <v>3896</v>
      </c>
      <c r="H318" s="114">
        <v>33.406780344858305</v>
      </c>
      <c r="I318" s="125">
        <v>19988</v>
      </c>
      <c r="J318" s="115">
        <v>29.904888111475476</v>
      </c>
    </row>
    <row r="319" spans="1:10" ht="16">
      <c r="A319" s="100" t="s">
        <v>544</v>
      </c>
      <c r="B319" s="101" t="s">
        <v>537</v>
      </c>
      <c r="C319" s="102" t="s">
        <v>76</v>
      </c>
      <c r="D319" s="103" t="s">
        <v>59</v>
      </c>
      <c r="E319" s="104">
        <v>8673</v>
      </c>
      <c r="F319" s="104">
        <v>964</v>
      </c>
      <c r="G319" s="104">
        <v>260</v>
      </c>
      <c r="H319" s="116">
        <v>10.60826371960847</v>
      </c>
      <c r="I319" s="126">
        <v>5371</v>
      </c>
      <c r="J319" s="117">
        <v>38.095984696889964</v>
      </c>
    </row>
    <row r="320" spans="1:10" ht="16">
      <c r="A320" s="93" t="s">
        <v>545</v>
      </c>
      <c r="B320" s="94" t="s">
        <v>537</v>
      </c>
      <c r="C320" s="95" t="s">
        <v>107</v>
      </c>
      <c r="D320" s="96" t="s">
        <v>82</v>
      </c>
      <c r="E320" s="97">
        <v>13273</v>
      </c>
      <c r="F320" s="97">
        <v>419</v>
      </c>
      <c r="G320" s="97">
        <v>133</v>
      </c>
      <c r="H320" s="114">
        <v>33.404399448697745</v>
      </c>
      <c r="I320" s="125">
        <v>14156</v>
      </c>
      <c r="J320" s="115">
        <v>28.590128891920717</v>
      </c>
    </row>
    <row r="321" spans="1:10" ht="16">
      <c r="A321" s="100" t="s">
        <v>894</v>
      </c>
      <c r="B321" s="101" t="s">
        <v>893</v>
      </c>
      <c r="C321" s="102" t="s">
        <v>107</v>
      </c>
      <c r="D321" s="103" t="s">
        <v>80</v>
      </c>
      <c r="E321" s="104">
        <v>8898</v>
      </c>
      <c r="F321" s="104">
        <v>368</v>
      </c>
      <c r="G321" s="104">
        <v>1068</v>
      </c>
      <c r="H321" s="116">
        <v>27.367922868841628</v>
      </c>
      <c r="I321" s="126">
        <v>7836</v>
      </c>
      <c r="J321" s="117">
        <v>23.876838117348587</v>
      </c>
    </row>
    <row r="322" spans="1:10" ht="16">
      <c r="A322" s="93" t="s">
        <v>546</v>
      </c>
      <c r="B322" s="94" t="s">
        <v>537</v>
      </c>
      <c r="C322" s="95" t="s">
        <v>76</v>
      </c>
      <c r="D322" s="96" t="s">
        <v>130</v>
      </c>
      <c r="E322" s="97">
        <v>11340</v>
      </c>
      <c r="F322" s="97">
        <v>922</v>
      </c>
      <c r="G322" s="97">
        <v>113</v>
      </c>
      <c r="H322" s="114">
        <v>12.07836154850926</v>
      </c>
      <c r="I322" s="125">
        <v>2712</v>
      </c>
      <c r="J322" s="115">
        <v>41.708193589636295</v>
      </c>
    </row>
    <row r="323" spans="1:10" ht="16">
      <c r="A323" s="100" t="s">
        <v>547</v>
      </c>
      <c r="B323" s="101" t="s">
        <v>537</v>
      </c>
      <c r="C323" s="102" t="s">
        <v>107</v>
      </c>
      <c r="D323" s="103" t="s">
        <v>63</v>
      </c>
      <c r="E323" s="104">
        <v>10064</v>
      </c>
      <c r="F323" s="104">
        <v>486</v>
      </c>
      <c r="G323" s="104">
        <v>101</v>
      </c>
      <c r="H323" s="116">
        <v>23.99239422462772</v>
      </c>
      <c r="I323" s="126">
        <v>9855</v>
      </c>
      <c r="J323" s="117">
        <v>26.246805898537573</v>
      </c>
    </row>
    <row r="324" spans="1:10" ht="16">
      <c r="A324" s="93" t="s">
        <v>1160</v>
      </c>
      <c r="B324" s="94" t="s">
        <v>1142</v>
      </c>
      <c r="C324" s="95" t="s">
        <v>76</v>
      </c>
      <c r="D324" s="96" t="s">
        <v>130</v>
      </c>
      <c r="E324" s="97">
        <v>26215</v>
      </c>
      <c r="F324" s="97">
        <v>892</v>
      </c>
      <c r="G324" s="97">
        <v>524</v>
      </c>
      <c r="H324" s="114">
        <v>10.192219090986116</v>
      </c>
      <c r="I324" s="125">
        <v>1108</v>
      </c>
      <c r="J324" s="115">
        <v>13.328960624933574</v>
      </c>
    </row>
    <row r="325" spans="1:10" ht="16">
      <c r="A325" s="100" t="s">
        <v>1161</v>
      </c>
      <c r="B325" s="101" t="s">
        <v>1142</v>
      </c>
      <c r="C325" s="102" t="s">
        <v>107</v>
      </c>
      <c r="D325" s="103" t="s">
        <v>130</v>
      </c>
      <c r="E325" s="104">
        <v>34825</v>
      </c>
      <c r="F325" s="104">
        <v>1514</v>
      </c>
      <c r="G325" s="104">
        <v>1393</v>
      </c>
      <c r="H325" s="116">
        <v>28.224345364938738</v>
      </c>
      <c r="I325" s="126">
        <v>8461</v>
      </c>
      <c r="J325" s="117">
        <v>25.899164240316889</v>
      </c>
    </row>
    <row r="326" spans="1:10" ht="16">
      <c r="A326" s="93" t="s">
        <v>1162</v>
      </c>
      <c r="B326" s="94" t="s">
        <v>1142</v>
      </c>
      <c r="C326" s="95" t="s">
        <v>76</v>
      </c>
      <c r="D326" s="96" t="s">
        <v>63</v>
      </c>
      <c r="E326" s="97">
        <v>122002</v>
      </c>
      <c r="F326" s="97">
        <v>2044</v>
      </c>
      <c r="G326" s="97">
        <v>7320</v>
      </c>
      <c r="H326" s="114">
        <v>25.038103650470784</v>
      </c>
      <c r="I326" s="125">
        <v>5853</v>
      </c>
      <c r="J326" s="115">
        <v>25.893553264737459</v>
      </c>
    </row>
    <row r="327" spans="1:10" ht="16">
      <c r="A327" s="100" t="s">
        <v>925</v>
      </c>
      <c r="B327" s="101" t="s">
        <v>919</v>
      </c>
      <c r="C327" s="102" t="s">
        <v>107</v>
      </c>
      <c r="D327" s="103" t="s">
        <v>82</v>
      </c>
      <c r="E327" s="104">
        <v>10206</v>
      </c>
      <c r="F327" s="104">
        <v>779</v>
      </c>
      <c r="G327" s="104">
        <v>1633</v>
      </c>
      <c r="H327" s="116">
        <v>28.280553779233983</v>
      </c>
      <c r="I327" s="126">
        <v>14005</v>
      </c>
      <c r="J327" s="117">
        <v>30.976953593604545</v>
      </c>
    </row>
    <row r="328" spans="1:10" ht="16">
      <c r="A328" s="93" t="s">
        <v>1177</v>
      </c>
      <c r="B328" s="94" t="s">
        <v>1178</v>
      </c>
      <c r="C328" s="95" t="s">
        <v>76</v>
      </c>
      <c r="D328" s="96" t="s">
        <v>82</v>
      </c>
      <c r="E328" s="97">
        <v>16220</v>
      </c>
      <c r="F328" s="97">
        <v>1886</v>
      </c>
      <c r="G328" s="97">
        <v>162</v>
      </c>
      <c r="H328" s="114">
        <v>8.7196440789849046</v>
      </c>
      <c r="I328" s="125">
        <v>355</v>
      </c>
      <c r="J328" s="115">
        <v>22.271797897545266</v>
      </c>
    </row>
    <row r="329" spans="1:10" ht="16">
      <c r="A329" s="100" t="s">
        <v>399</v>
      </c>
      <c r="B329" s="101" t="s">
        <v>400</v>
      </c>
      <c r="C329" s="102" t="s">
        <v>76</v>
      </c>
      <c r="D329" s="103" t="s">
        <v>60</v>
      </c>
      <c r="E329" s="104">
        <v>19670</v>
      </c>
      <c r="F329" s="104">
        <v>823</v>
      </c>
      <c r="G329" s="104">
        <v>393</v>
      </c>
      <c r="H329" s="116">
        <v>9.6990284161893641</v>
      </c>
      <c r="I329" s="126">
        <v>468</v>
      </c>
      <c r="J329" s="117">
        <v>14.895777769870183</v>
      </c>
    </row>
    <row r="330" spans="1:10" ht="16">
      <c r="A330" s="93" t="s">
        <v>660</v>
      </c>
      <c r="B330" s="94" t="s">
        <v>642</v>
      </c>
      <c r="C330" s="95" t="s">
        <v>107</v>
      </c>
      <c r="D330" s="96" t="s">
        <v>82</v>
      </c>
      <c r="E330" s="97">
        <v>5516</v>
      </c>
      <c r="F330" s="97">
        <v>400</v>
      </c>
      <c r="G330" s="97">
        <v>165</v>
      </c>
      <c r="H330" s="114">
        <v>10.325356616824246</v>
      </c>
      <c r="I330" s="125">
        <v>1226</v>
      </c>
      <c r="J330" s="115">
        <v>20.227777359887646</v>
      </c>
    </row>
    <row r="331" spans="1:10" ht="16">
      <c r="A331" s="100" t="s">
        <v>1163</v>
      </c>
      <c r="B331" s="101" t="s">
        <v>1142</v>
      </c>
      <c r="C331" s="102" t="s">
        <v>107</v>
      </c>
      <c r="D331" s="103" t="s">
        <v>80</v>
      </c>
      <c r="E331" s="104">
        <v>5090</v>
      </c>
      <c r="F331" s="104">
        <v>260</v>
      </c>
      <c r="G331" s="104">
        <v>204</v>
      </c>
      <c r="H331" s="116">
        <v>11.482018301419595</v>
      </c>
      <c r="I331" s="126">
        <v>3294</v>
      </c>
      <c r="J331" s="117">
        <v>20.299864340358038</v>
      </c>
    </row>
    <row r="332" spans="1:10" ht="16">
      <c r="A332" s="93" t="s">
        <v>410</v>
      </c>
      <c r="B332" s="94" t="s">
        <v>402</v>
      </c>
      <c r="C332" s="95" t="s">
        <v>107</v>
      </c>
      <c r="D332" s="96" t="s">
        <v>82</v>
      </c>
      <c r="E332" s="97">
        <v>1142</v>
      </c>
      <c r="F332" s="97">
        <v>70</v>
      </c>
      <c r="G332" s="97">
        <v>868</v>
      </c>
      <c r="H332" s="114">
        <v>33.374484613424784</v>
      </c>
      <c r="I332" s="125">
        <v>16928</v>
      </c>
      <c r="J332" s="115">
        <v>40.712779531828183</v>
      </c>
    </row>
    <row r="333" spans="1:10" ht="16">
      <c r="A333" s="100" t="s">
        <v>505</v>
      </c>
      <c r="B333" s="101" t="s">
        <v>474</v>
      </c>
      <c r="C333" s="102" t="s">
        <v>107</v>
      </c>
      <c r="D333" s="103" t="s">
        <v>92</v>
      </c>
      <c r="E333" s="104">
        <v>11528</v>
      </c>
      <c r="F333" s="104">
        <v>627</v>
      </c>
      <c r="G333" s="104">
        <v>115</v>
      </c>
      <c r="H333" s="116">
        <v>23.201876492685077</v>
      </c>
      <c r="I333" s="126">
        <v>6451</v>
      </c>
      <c r="J333" s="117">
        <v>34.38199847349307</v>
      </c>
    </row>
    <row r="334" spans="1:10" ht="16">
      <c r="A334" s="93" t="s">
        <v>882</v>
      </c>
      <c r="B334" s="94" t="s">
        <v>879</v>
      </c>
      <c r="C334" s="95" t="s">
        <v>76</v>
      </c>
      <c r="D334" s="96" t="s">
        <v>82</v>
      </c>
      <c r="E334" s="97">
        <v>40608</v>
      </c>
      <c r="F334" s="97">
        <v>3726</v>
      </c>
      <c r="G334" s="97">
        <v>3655</v>
      </c>
      <c r="H334" s="114">
        <v>17.399669702084335</v>
      </c>
      <c r="I334" s="125">
        <v>10521</v>
      </c>
      <c r="J334" s="115">
        <v>26.276635704933838</v>
      </c>
    </row>
    <row r="335" spans="1:10" ht="16">
      <c r="A335" s="100" t="s">
        <v>100</v>
      </c>
      <c r="B335" s="101" t="s">
        <v>89</v>
      </c>
      <c r="C335" s="102" t="s">
        <v>76</v>
      </c>
      <c r="D335" s="103" t="s">
        <v>60</v>
      </c>
      <c r="E335" s="104">
        <v>11491</v>
      </c>
      <c r="F335" s="104">
        <v>542</v>
      </c>
      <c r="G335" s="104">
        <v>1264</v>
      </c>
      <c r="H335" s="116">
        <v>28.932045503844527</v>
      </c>
      <c r="I335" s="126">
        <v>26563</v>
      </c>
      <c r="J335" s="117">
        <v>23.901639854009055</v>
      </c>
    </row>
    <row r="336" spans="1:10" ht="16">
      <c r="A336" s="93" t="s">
        <v>506</v>
      </c>
      <c r="B336" s="94" t="s">
        <v>474</v>
      </c>
      <c r="C336" s="95" t="s">
        <v>107</v>
      </c>
      <c r="D336" s="96" t="s">
        <v>62</v>
      </c>
      <c r="E336" s="97">
        <v>10653</v>
      </c>
      <c r="F336" s="97">
        <v>1098</v>
      </c>
      <c r="G336" s="97">
        <v>320</v>
      </c>
      <c r="H336" s="114">
        <v>8.8249537574422146</v>
      </c>
      <c r="I336" s="125">
        <v>4205</v>
      </c>
      <c r="J336" s="115">
        <v>29.829017538391579</v>
      </c>
    </row>
    <row r="337" spans="1:10" ht="16">
      <c r="A337" s="100" t="s">
        <v>1024</v>
      </c>
      <c r="B337" s="101" t="s">
        <v>1020</v>
      </c>
      <c r="C337" s="102" t="s">
        <v>76</v>
      </c>
      <c r="D337" s="103" t="s">
        <v>62</v>
      </c>
      <c r="E337" s="104">
        <v>12182</v>
      </c>
      <c r="F337" s="104">
        <v>781</v>
      </c>
      <c r="G337" s="104">
        <v>1096</v>
      </c>
      <c r="H337" s="116">
        <v>17.023544793417653</v>
      </c>
      <c r="I337" s="126">
        <v>8198</v>
      </c>
      <c r="J337" s="117">
        <v>22.725890776090708</v>
      </c>
    </row>
    <row r="338" spans="1:10" ht="16">
      <c r="A338" s="93" t="s">
        <v>507</v>
      </c>
      <c r="B338" s="94" t="s">
        <v>474</v>
      </c>
      <c r="C338" s="95" t="s">
        <v>76</v>
      </c>
      <c r="D338" s="96" t="s">
        <v>60</v>
      </c>
      <c r="E338" s="97">
        <v>7938</v>
      </c>
      <c r="F338" s="97">
        <v>571</v>
      </c>
      <c r="G338" s="97">
        <v>318</v>
      </c>
      <c r="H338" s="114">
        <v>17.768853896638319</v>
      </c>
      <c r="I338" s="125">
        <v>4700</v>
      </c>
      <c r="J338" s="115">
        <v>44.420461491853636</v>
      </c>
    </row>
    <row r="339" spans="1:10" ht="16">
      <c r="A339" s="100" t="s">
        <v>248</v>
      </c>
      <c r="B339" s="101" t="s">
        <v>223</v>
      </c>
      <c r="C339" s="102" t="s">
        <v>107</v>
      </c>
      <c r="D339" s="103" t="s">
        <v>82</v>
      </c>
      <c r="E339" s="104">
        <v>21455</v>
      </c>
      <c r="F339" s="104">
        <v>1500</v>
      </c>
      <c r="G339" s="104">
        <v>429</v>
      </c>
      <c r="H339" s="116">
        <v>11.325106795758035</v>
      </c>
      <c r="I339" s="126">
        <v>6725</v>
      </c>
      <c r="J339" s="117">
        <v>15.448431178655417</v>
      </c>
    </row>
    <row r="340" spans="1:10" ht="16">
      <c r="A340" s="93" t="s">
        <v>249</v>
      </c>
      <c r="B340" s="94" t="s">
        <v>223</v>
      </c>
      <c r="C340" s="95" t="s">
        <v>107</v>
      </c>
      <c r="D340" s="96" t="s">
        <v>82</v>
      </c>
      <c r="E340" s="97">
        <v>35335</v>
      </c>
      <c r="F340" s="97">
        <v>3719</v>
      </c>
      <c r="G340" s="97">
        <v>1767</v>
      </c>
      <c r="H340" s="114">
        <v>11.320953604900833</v>
      </c>
      <c r="I340" s="125">
        <v>3475</v>
      </c>
      <c r="J340" s="115">
        <v>19.306435778678239</v>
      </c>
    </row>
    <row r="341" spans="1:10" ht="16">
      <c r="A341" s="100" t="s">
        <v>661</v>
      </c>
      <c r="B341" s="101" t="s">
        <v>642</v>
      </c>
      <c r="C341" s="102" t="s">
        <v>107</v>
      </c>
      <c r="D341" s="103" t="s">
        <v>80</v>
      </c>
      <c r="E341" s="104">
        <v>1078</v>
      </c>
      <c r="F341" s="104">
        <v>1198</v>
      </c>
      <c r="G341" s="104">
        <v>11</v>
      </c>
      <c r="H341" s="116">
        <v>8.9415068873283321</v>
      </c>
      <c r="I341" s="126">
        <v>4538</v>
      </c>
      <c r="J341" s="117">
        <v>29.034953257994996</v>
      </c>
    </row>
    <row r="342" spans="1:10" ht="16">
      <c r="A342" s="93" t="s">
        <v>250</v>
      </c>
      <c r="B342" s="94" t="s">
        <v>223</v>
      </c>
      <c r="C342" s="95" t="s">
        <v>107</v>
      </c>
      <c r="D342" s="96" t="s">
        <v>84</v>
      </c>
      <c r="E342" s="97">
        <v>70450</v>
      </c>
      <c r="F342" s="97">
        <v>6523</v>
      </c>
      <c r="G342" s="97">
        <v>2114</v>
      </c>
      <c r="H342" s="114">
        <v>16.36545699641249</v>
      </c>
      <c r="I342" s="125">
        <v>4519</v>
      </c>
      <c r="J342" s="115">
        <v>27.390051943429356</v>
      </c>
    </row>
    <row r="343" spans="1:10" ht="16">
      <c r="A343" s="100" t="s">
        <v>251</v>
      </c>
      <c r="B343" s="101" t="s">
        <v>223</v>
      </c>
      <c r="C343" s="102" t="s">
        <v>76</v>
      </c>
      <c r="D343" s="103" t="s">
        <v>60</v>
      </c>
      <c r="E343" s="104">
        <v>34904</v>
      </c>
      <c r="F343" s="104">
        <v>2493</v>
      </c>
      <c r="G343" s="104">
        <v>11867</v>
      </c>
      <c r="H343" s="116">
        <v>15.773582072698032</v>
      </c>
      <c r="I343" s="126">
        <v>5802</v>
      </c>
      <c r="J343" s="117">
        <v>21.731126095061565</v>
      </c>
    </row>
    <row r="344" spans="1:10" ht="16">
      <c r="A344" s="93" t="s">
        <v>411</v>
      </c>
      <c r="B344" s="94" t="s">
        <v>402</v>
      </c>
      <c r="C344" s="95" t="s">
        <v>76</v>
      </c>
      <c r="D344" s="96" t="s">
        <v>84</v>
      </c>
      <c r="E344" s="97">
        <v>31919</v>
      </c>
      <c r="F344" s="97">
        <v>1187</v>
      </c>
      <c r="G344" s="97">
        <v>3511</v>
      </c>
      <c r="H344" s="114">
        <v>23.528532266060026</v>
      </c>
      <c r="I344" s="125">
        <v>17547</v>
      </c>
      <c r="J344" s="115">
        <v>35.806816928374609</v>
      </c>
    </row>
    <row r="345" spans="1:10" ht="16">
      <c r="A345" s="100" t="s">
        <v>128</v>
      </c>
      <c r="B345" s="101" t="s">
        <v>127</v>
      </c>
      <c r="C345" s="102" t="s">
        <v>76</v>
      </c>
      <c r="D345" s="103" t="s">
        <v>59</v>
      </c>
      <c r="E345" s="104">
        <v>6122</v>
      </c>
      <c r="F345" s="104">
        <v>583</v>
      </c>
      <c r="G345" s="104">
        <v>673</v>
      </c>
      <c r="H345" s="116">
        <v>20.665452268741181</v>
      </c>
      <c r="I345" s="126">
        <v>9354</v>
      </c>
      <c r="J345" s="117">
        <v>28.292826282766345</v>
      </c>
    </row>
    <row r="346" spans="1:10" ht="16">
      <c r="A346" s="93" t="s">
        <v>1327</v>
      </c>
      <c r="B346" s="94" t="s">
        <v>1288</v>
      </c>
      <c r="C346" s="95" t="s">
        <v>76</v>
      </c>
      <c r="D346" s="96" t="s">
        <v>80</v>
      </c>
      <c r="E346" s="97">
        <v>16171</v>
      </c>
      <c r="F346" s="97">
        <v>3594</v>
      </c>
      <c r="G346" s="97">
        <v>4204</v>
      </c>
      <c r="H346" s="114">
        <v>91.44853470676145</v>
      </c>
      <c r="I346" s="125">
        <v>89903</v>
      </c>
      <c r="J346" s="115">
        <v>81.950925351357057</v>
      </c>
    </row>
    <row r="347" spans="1:10" ht="16">
      <c r="A347" s="100" t="s">
        <v>755</v>
      </c>
      <c r="B347" s="101" t="s">
        <v>753</v>
      </c>
      <c r="C347" s="102" t="s">
        <v>76</v>
      </c>
      <c r="D347" s="103" t="s">
        <v>63</v>
      </c>
      <c r="E347" s="104">
        <v>21512</v>
      </c>
      <c r="F347" s="104">
        <v>1605</v>
      </c>
      <c r="G347" s="104">
        <v>3657</v>
      </c>
      <c r="H347" s="116">
        <v>9.2494381698760275</v>
      </c>
      <c r="I347" s="126">
        <v>9152</v>
      </c>
      <c r="J347" s="117">
        <v>16.610458370031438</v>
      </c>
    </row>
    <row r="348" spans="1:10" ht="16">
      <c r="A348" s="93" t="s">
        <v>662</v>
      </c>
      <c r="B348" s="94" t="s">
        <v>642</v>
      </c>
      <c r="C348" s="95" t="s">
        <v>76</v>
      </c>
      <c r="D348" s="96" t="s">
        <v>60</v>
      </c>
      <c r="E348" s="97">
        <v>4653</v>
      </c>
      <c r="F348" s="97">
        <v>1224</v>
      </c>
      <c r="G348" s="97">
        <v>93</v>
      </c>
      <c r="H348" s="114">
        <v>14.33290230295</v>
      </c>
      <c r="I348" s="125">
        <v>3782</v>
      </c>
      <c r="J348" s="115">
        <v>35.504795782041128</v>
      </c>
    </row>
    <row r="349" spans="1:10" ht="16">
      <c r="A349" s="100" t="s">
        <v>412</v>
      </c>
      <c r="B349" s="101" t="s">
        <v>402</v>
      </c>
      <c r="C349" s="102" t="s">
        <v>76</v>
      </c>
      <c r="D349" s="103" t="s">
        <v>77</v>
      </c>
      <c r="E349" s="104">
        <v>28575</v>
      </c>
      <c r="F349" s="104">
        <v>611</v>
      </c>
      <c r="G349" s="104">
        <v>2572</v>
      </c>
      <c r="H349" s="116">
        <v>34.892372033589112</v>
      </c>
      <c r="I349" s="126">
        <v>18381</v>
      </c>
      <c r="J349" s="117">
        <v>38.246508808964251</v>
      </c>
    </row>
    <row r="350" spans="1:10" ht="16">
      <c r="A350" s="93" t="s">
        <v>548</v>
      </c>
      <c r="B350" s="94" t="s">
        <v>537</v>
      </c>
      <c r="C350" s="95" t="s">
        <v>107</v>
      </c>
      <c r="D350" s="96" t="s">
        <v>59</v>
      </c>
      <c r="E350" s="97">
        <v>6582</v>
      </c>
      <c r="F350" s="97">
        <v>295</v>
      </c>
      <c r="G350" s="97">
        <v>66</v>
      </c>
      <c r="H350" s="114">
        <v>24.113073484858155</v>
      </c>
      <c r="I350" s="125">
        <v>6026</v>
      </c>
      <c r="J350" s="115">
        <v>25.436419980506454</v>
      </c>
    </row>
    <row r="351" spans="1:10" ht="16">
      <c r="A351" s="100" t="s">
        <v>355</v>
      </c>
      <c r="B351" s="101" t="s">
        <v>344</v>
      </c>
      <c r="C351" s="102" t="s">
        <v>76</v>
      </c>
      <c r="D351" s="103" t="s">
        <v>59</v>
      </c>
      <c r="E351" s="104">
        <v>74546</v>
      </c>
      <c r="F351" s="104">
        <v>1878</v>
      </c>
      <c r="G351" s="104">
        <v>745</v>
      </c>
      <c r="H351" s="116">
        <v>8.70548248858662</v>
      </c>
      <c r="I351" s="126">
        <v>5401</v>
      </c>
      <c r="J351" s="117">
        <v>13.274623134909493</v>
      </c>
    </row>
    <row r="352" spans="1:10" ht="16">
      <c r="A352" s="93" t="s">
        <v>663</v>
      </c>
      <c r="B352" s="94" t="s">
        <v>642</v>
      </c>
      <c r="C352" s="95" t="s">
        <v>107</v>
      </c>
      <c r="D352" s="96" t="s">
        <v>80</v>
      </c>
      <c r="E352" s="97">
        <v>6392</v>
      </c>
      <c r="F352" s="97">
        <v>659</v>
      </c>
      <c r="G352" s="97">
        <v>128</v>
      </c>
      <c r="H352" s="114">
        <v>12.266077146795613</v>
      </c>
      <c r="I352" s="125">
        <v>3423</v>
      </c>
      <c r="J352" s="115">
        <v>21.826649431925603</v>
      </c>
    </row>
    <row r="353" spans="1:10" ht="16">
      <c r="A353" s="100" t="s">
        <v>664</v>
      </c>
      <c r="B353" s="101" t="s">
        <v>642</v>
      </c>
      <c r="C353" s="102" t="s">
        <v>107</v>
      </c>
      <c r="D353" s="103" t="s">
        <v>130</v>
      </c>
      <c r="E353" s="104">
        <v>10541</v>
      </c>
      <c r="F353" s="104">
        <v>1044</v>
      </c>
      <c r="G353" s="104">
        <v>316</v>
      </c>
      <c r="H353" s="116">
        <v>11.405317909671856</v>
      </c>
      <c r="I353" s="126">
        <v>2112</v>
      </c>
      <c r="J353" s="117">
        <v>22.066818580926999</v>
      </c>
    </row>
    <row r="354" spans="1:10" ht="16">
      <c r="A354" s="93" t="s">
        <v>665</v>
      </c>
      <c r="B354" s="94" t="s">
        <v>642</v>
      </c>
      <c r="C354" s="95" t="s">
        <v>107</v>
      </c>
      <c r="D354" s="96" t="s">
        <v>80</v>
      </c>
      <c r="E354" s="97">
        <v>18104</v>
      </c>
      <c r="F354" s="97">
        <v>1240</v>
      </c>
      <c r="G354" s="97">
        <v>543</v>
      </c>
      <c r="H354" s="114">
        <v>7.6109589089472243</v>
      </c>
      <c r="I354" s="125">
        <v>970</v>
      </c>
      <c r="J354" s="115">
        <v>15.122446537047516</v>
      </c>
    </row>
    <row r="355" spans="1:10" ht="16">
      <c r="A355" s="100" t="s">
        <v>666</v>
      </c>
      <c r="B355" s="101" t="s">
        <v>642</v>
      </c>
      <c r="C355" s="102" t="s">
        <v>107</v>
      </c>
      <c r="D355" s="103" t="s">
        <v>84</v>
      </c>
      <c r="E355" s="104">
        <v>10420</v>
      </c>
      <c r="F355" s="104">
        <v>1063</v>
      </c>
      <c r="G355" s="104">
        <v>521</v>
      </c>
      <c r="H355" s="116">
        <v>17.710688411530903</v>
      </c>
      <c r="I355" s="126">
        <v>5048</v>
      </c>
      <c r="J355" s="117">
        <v>26.802154460577395</v>
      </c>
    </row>
    <row r="356" spans="1:10" ht="16">
      <c r="A356" s="93" t="s">
        <v>999</v>
      </c>
      <c r="B356" s="94" t="s">
        <v>988</v>
      </c>
      <c r="C356" s="95" t="s">
        <v>107</v>
      </c>
      <c r="D356" s="96" t="s">
        <v>80</v>
      </c>
      <c r="E356" s="97">
        <v>23127</v>
      </c>
      <c r="F356" s="97">
        <v>1001</v>
      </c>
      <c r="G356" s="97">
        <v>694</v>
      </c>
      <c r="H356" s="114">
        <v>15.586150196740762</v>
      </c>
      <c r="I356" s="125">
        <v>2744</v>
      </c>
      <c r="J356" s="115">
        <v>18.536553809483671</v>
      </c>
    </row>
    <row r="357" spans="1:10" ht="16">
      <c r="A357" s="100" t="s">
        <v>667</v>
      </c>
      <c r="B357" s="101" t="s">
        <v>642</v>
      </c>
      <c r="C357" s="102" t="s">
        <v>107</v>
      </c>
      <c r="D357" s="103" t="s">
        <v>60</v>
      </c>
      <c r="E357" s="104">
        <v>841</v>
      </c>
      <c r="F357" s="104">
        <v>765</v>
      </c>
      <c r="G357" s="104">
        <v>25</v>
      </c>
      <c r="H357" s="116">
        <v>9.2286086039044886</v>
      </c>
      <c r="I357" s="126">
        <v>6214</v>
      </c>
      <c r="J357" s="117">
        <v>32.318796112503811</v>
      </c>
    </row>
    <row r="358" spans="1:10" ht="16">
      <c r="A358" s="93" t="s">
        <v>668</v>
      </c>
      <c r="B358" s="94" t="s">
        <v>642</v>
      </c>
      <c r="C358" s="95" t="s">
        <v>107</v>
      </c>
      <c r="D358" s="96" t="s">
        <v>82</v>
      </c>
      <c r="E358" s="97">
        <v>30346</v>
      </c>
      <c r="F358" s="97">
        <v>2709</v>
      </c>
      <c r="G358" s="97">
        <v>910</v>
      </c>
      <c r="H358" s="114">
        <v>8.2515769623260233</v>
      </c>
      <c r="I358" s="125">
        <v>638</v>
      </c>
      <c r="J358" s="115">
        <v>25.206879274932575</v>
      </c>
    </row>
    <row r="359" spans="1:10" ht="16">
      <c r="A359" s="100" t="s">
        <v>1328</v>
      </c>
      <c r="B359" s="101" t="s">
        <v>1288</v>
      </c>
      <c r="C359" s="102" t="s">
        <v>107</v>
      </c>
      <c r="D359" s="103" t="s">
        <v>92</v>
      </c>
      <c r="E359" s="104">
        <v>21536</v>
      </c>
      <c r="F359" s="104">
        <v>1506</v>
      </c>
      <c r="G359" s="104">
        <v>1938</v>
      </c>
      <c r="H359" s="116">
        <v>20.709321538288485</v>
      </c>
      <c r="I359" s="126">
        <v>9396</v>
      </c>
      <c r="J359" s="117">
        <v>25.063912359186986</v>
      </c>
    </row>
    <row r="360" spans="1:10" ht="16">
      <c r="A360" s="93" t="s">
        <v>1089</v>
      </c>
      <c r="B360" s="94" t="s">
        <v>1081</v>
      </c>
      <c r="C360" s="95" t="s">
        <v>76</v>
      </c>
      <c r="D360" s="96" t="s">
        <v>61</v>
      </c>
      <c r="E360" s="97">
        <v>6881</v>
      </c>
      <c r="F360" s="97">
        <v>564</v>
      </c>
      <c r="G360" s="97">
        <v>482</v>
      </c>
      <c r="H360" s="114">
        <v>23.39308984291366</v>
      </c>
      <c r="I360" s="125">
        <v>6121</v>
      </c>
      <c r="J360" s="115">
        <v>23.478296080474426</v>
      </c>
    </row>
    <row r="361" spans="1:10" ht="16">
      <c r="A361" s="100" t="s">
        <v>413</v>
      </c>
      <c r="B361" s="101" t="s">
        <v>402</v>
      </c>
      <c r="C361" s="102" t="s">
        <v>107</v>
      </c>
      <c r="D361" s="103" t="s">
        <v>63</v>
      </c>
      <c r="E361" s="104">
        <v>27255</v>
      </c>
      <c r="F361" s="104">
        <v>1065</v>
      </c>
      <c r="G361" s="104">
        <v>5996</v>
      </c>
      <c r="H361" s="116">
        <v>48.509517769348129</v>
      </c>
      <c r="I361" s="126">
        <v>31832</v>
      </c>
      <c r="J361" s="117">
        <v>46.260109334017791</v>
      </c>
    </row>
    <row r="362" spans="1:10" ht="16">
      <c r="A362" s="93" t="s">
        <v>1063</v>
      </c>
      <c r="B362" s="94" t="s">
        <v>1062</v>
      </c>
      <c r="C362" s="95" t="s">
        <v>76</v>
      </c>
      <c r="D362" s="96" t="s">
        <v>61</v>
      </c>
      <c r="E362" s="97">
        <v>8552</v>
      </c>
      <c r="F362" s="97">
        <v>668</v>
      </c>
      <c r="G362" s="97">
        <v>7184</v>
      </c>
      <c r="H362" s="114">
        <v>13.967032128906784</v>
      </c>
      <c r="I362" s="125">
        <v>6330</v>
      </c>
      <c r="J362" s="115">
        <v>16.809797288836364</v>
      </c>
    </row>
    <row r="363" spans="1:10" ht="16">
      <c r="A363" s="100" t="s">
        <v>1064</v>
      </c>
      <c r="B363" s="101" t="s">
        <v>1062</v>
      </c>
      <c r="C363" s="102" t="s">
        <v>76</v>
      </c>
      <c r="D363" s="103" t="s">
        <v>130</v>
      </c>
      <c r="E363" s="104">
        <v>7777</v>
      </c>
      <c r="F363" s="104">
        <v>864</v>
      </c>
      <c r="G363" s="104">
        <v>1555</v>
      </c>
      <c r="H363" s="116">
        <v>72.270393842141289</v>
      </c>
      <c r="I363" s="126">
        <v>68796</v>
      </c>
      <c r="J363" s="117">
        <v>55.945561420844079</v>
      </c>
    </row>
    <row r="364" spans="1:10" ht="16">
      <c r="A364" s="93" t="s">
        <v>1122</v>
      </c>
      <c r="B364" s="94" t="s">
        <v>1120</v>
      </c>
      <c r="C364" s="95" t="s">
        <v>76</v>
      </c>
      <c r="D364" s="96" t="s">
        <v>59</v>
      </c>
      <c r="E364" s="97">
        <v>68067</v>
      </c>
      <c r="F364" s="97">
        <v>3066</v>
      </c>
      <c r="G364" s="97">
        <v>681</v>
      </c>
      <c r="H364" s="114">
        <v>13.457160485905591</v>
      </c>
      <c r="I364" s="125">
        <v>1403</v>
      </c>
      <c r="J364" s="115">
        <v>19.370546422823072</v>
      </c>
    </row>
    <row r="365" spans="1:10" ht="16">
      <c r="A365" s="100" t="s">
        <v>772</v>
      </c>
      <c r="B365" s="101" t="s">
        <v>773</v>
      </c>
      <c r="C365" s="102" t="s">
        <v>107</v>
      </c>
      <c r="D365" s="103" t="s">
        <v>63</v>
      </c>
      <c r="E365" s="104">
        <v>9956</v>
      </c>
      <c r="F365" s="104">
        <v>677</v>
      </c>
      <c r="G365" s="104">
        <v>597</v>
      </c>
      <c r="H365" s="116">
        <v>11.998850786429728</v>
      </c>
      <c r="I365" s="126">
        <v>649</v>
      </c>
      <c r="J365" s="117">
        <v>16.901345763181418</v>
      </c>
    </row>
    <row r="366" spans="1:10" ht="16">
      <c r="A366" s="93" t="s">
        <v>926</v>
      </c>
      <c r="B366" s="94" t="s">
        <v>919</v>
      </c>
      <c r="C366" s="95" t="s">
        <v>76</v>
      </c>
      <c r="D366" s="96" t="s">
        <v>84</v>
      </c>
      <c r="E366" s="97">
        <v>26670</v>
      </c>
      <c r="F366" s="97">
        <v>2469</v>
      </c>
      <c r="G366" s="97">
        <v>3467</v>
      </c>
      <c r="H366" s="114">
        <v>17.536042965243571</v>
      </c>
      <c r="I366" s="125">
        <v>8157</v>
      </c>
      <c r="J366" s="115">
        <v>29.362812696780502</v>
      </c>
    </row>
    <row r="367" spans="1:10" ht="16">
      <c r="A367" s="100" t="s">
        <v>927</v>
      </c>
      <c r="B367" s="101" t="s">
        <v>919</v>
      </c>
      <c r="C367" s="102" t="s">
        <v>107</v>
      </c>
      <c r="D367" s="103" t="s">
        <v>92</v>
      </c>
      <c r="E367" s="104">
        <v>15260</v>
      </c>
      <c r="F367" s="104">
        <v>1426</v>
      </c>
      <c r="G367" s="104">
        <v>1679</v>
      </c>
      <c r="H367" s="116">
        <v>9.024340866716118</v>
      </c>
      <c r="I367" s="126">
        <v>976</v>
      </c>
      <c r="J367" s="117">
        <v>18.576392532208494</v>
      </c>
    </row>
    <row r="368" spans="1:10" ht="16">
      <c r="A368" s="93" t="s">
        <v>1212</v>
      </c>
      <c r="B368" s="94" t="s">
        <v>1190</v>
      </c>
      <c r="C368" s="95" t="s">
        <v>76</v>
      </c>
      <c r="D368" s="96" t="s">
        <v>62</v>
      </c>
      <c r="E368" s="97">
        <v>9004</v>
      </c>
      <c r="F368" s="97">
        <v>600</v>
      </c>
      <c r="G368" s="97">
        <v>1711</v>
      </c>
      <c r="H368" s="114">
        <v>22.402999702986516</v>
      </c>
      <c r="I368" s="125">
        <v>14454</v>
      </c>
      <c r="J368" s="115">
        <v>20.54258962059739</v>
      </c>
    </row>
    <row r="369" spans="1:10" ht="16">
      <c r="A369" s="100" t="s">
        <v>669</v>
      </c>
      <c r="B369" s="101" t="s">
        <v>642</v>
      </c>
      <c r="C369" s="102" t="s">
        <v>107</v>
      </c>
      <c r="D369" s="103" t="s">
        <v>77</v>
      </c>
      <c r="E369" s="104">
        <v>34916</v>
      </c>
      <c r="F369" s="104">
        <v>3357</v>
      </c>
      <c r="G369" s="104">
        <v>2793</v>
      </c>
      <c r="H369" s="116">
        <v>26.391394331420472</v>
      </c>
      <c r="I369" s="126">
        <v>9586</v>
      </c>
      <c r="J369" s="117">
        <v>32.289306001853497</v>
      </c>
    </row>
    <row r="370" spans="1:10" ht="16">
      <c r="A370" s="93" t="s">
        <v>1329</v>
      </c>
      <c r="B370" s="94" t="s">
        <v>1288</v>
      </c>
      <c r="C370" s="95" t="s">
        <v>76</v>
      </c>
      <c r="D370" s="96" t="s">
        <v>84</v>
      </c>
      <c r="E370" s="97">
        <v>24559</v>
      </c>
      <c r="F370" s="97">
        <v>1204</v>
      </c>
      <c r="G370" s="97">
        <v>2210</v>
      </c>
      <c r="H370" s="114">
        <v>19.883821677442011</v>
      </c>
      <c r="I370" s="125">
        <v>10663</v>
      </c>
      <c r="J370" s="115">
        <v>24.210220205855979</v>
      </c>
    </row>
    <row r="371" spans="1:10" ht="16">
      <c r="A371" s="100" t="s">
        <v>1186</v>
      </c>
      <c r="B371" s="101" t="s">
        <v>1185</v>
      </c>
      <c r="C371" s="102" t="s">
        <v>76</v>
      </c>
      <c r="D371" s="103" t="s">
        <v>84</v>
      </c>
      <c r="E371" s="104">
        <v>3651</v>
      </c>
      <c r="F371" s="104">
        <v>384</v>
      </c>
      <c r="G371" s="104">
        <v>949</v>
      </c>
      <c r="H371" s="116">
        <v>33.042932535408973</v>
      </c>
      <c r="I371" s="126">
        <v>17828</v>
      </c>
      <c r="J371" s="117">
        <v>28.370950149492881</v>
      </c>
    </row>
    <row r="372" spans="1:10" ht="16">
      <c r="A372" s="93" t="s">
        <v>549</v>
      </c>
      <c r="B372" s="94" t="s">
        <v>537</v>
      </c>
      <c r="C372" s="95" t="s">
        <v>76</v>
      </c>
      <c r="D372" s="96" t="s">
        <v>80</v>
      </c>
      <c r="E372" s="97">
        <v>12656</v>
      </c>
      <c r="F372" s="97">
        <v>606</v>
      </c>
      <c r="G372" s="97">
        <v>127</v>
      </c>
      <c r="H372" s="114">
        <v>13.150086781578283</v>
      </c>
      <c r="I372" s="125">
        <v>2722</v>
      </c>
      <c r="J372" s="115">
        <v>28.744630126701217</v>
      </c>
    </row>
    <row r="373" spans="1:10" ht="16">
      <c r="A373" s="100" t="s">
        <v>1123</v>
      </c>
      <c r="B373" s="101" t="s">
        <v>1120</v>
      </c>
      <c r="C373" s="102" t="s">
        <v>76</v>
      </c>
      <c r="D373" s="103" t="s">
        <v>84</v>
      </c>
      <c r="E373" s="104">
        <v>38655</v>
      </c>
      <c r="F373" s="104">
        <v>1962</v>
      </c>
      <c r="G373" s="104">
        <v>773</v>
      </c>
      <c r="H373" s="116">
        <v>12.818503031832803</v>
      </c>
      <c r="I373" s="126">
        <v>2215</v>
      </c>
      <c r="J373" s="117">
        <v>21.699657287435656</v>
      </c>
    </row>
    <row r="374" spans="1:10" ht="16">
      <c r="A374" s="93" t="s">
        <v>508</v>
      </c>
      <c r="B374" s="94" t="s">
        <v>474</v>
      </c>
      <c r="C374" s="95" t="s">
        <v>107</v>
      </c>
      <c r="D374" s="96" t="s">
        <v>84</v>
      </c>
      <c r="E374" s="97">
        <v>21390</v>
      </c>
      <c r="F374" s="97">
        <v>1633</v>
      </c>
      <c r="G374" s="97">
        <v>428</v>
      </c>
      <c r="H374" s="114">
        <v>12.110625653738873</v>
      </c>
      <c r="I374" s="125">
        <v>3041</v>
      </c>
      <c r="J374" s="115">
        <v>16.956258930858443</v>
      </c>
    </row>
    <row r="375" spans="1:10" ht="16">
      <c r="A375" s="100" t="s">
        <v>670</v>
      </c>
      <c r="B375" s="101" t="s">
        <v>642</v>
      </c>
      <c r="C375" s="102" t="s">
        <v>107</v>
      </c>
      <c r="D375" s="103" t="s">
        <v>63</v>
      </c>
      <c r="E375" s="104">
        <v>33125</v>
      </c>
      <c r="F375" s="104">
        <v>2436</v>
      </c>
      <c r="G375" s="104">
        <v>663</v>
      </c>
      <c r="H375" s="116">
        <v>12.109707182947654</v>
      </c>
      <c r="I375" s="126">
        <v>6736</v>
      </c>
      <c r="J375" s="117">
        <v>20.118127549072103</v>
      </c>
    </row>
    <row r="376" spans="1:10" ht="16">
      <c r="A376" s="93" t="s">
        <v>961</v>
      </c>
      <c r="B376" s="94" t="s">
        <v>959</v>
      </c>
      <c r="C376" s="95" t="s">
        <v>76</v>
      </c>
      <c r="D376" s="96" t="s">
        <v>63</v>
      </c>
      <c r="E376" s="97">
        <v>32853</v>
      </c>
      <c r="F376" s="97">
        <v>4159</v>
      </c>
      <c r="G376" s="97">
        <v>6899</v>
      </c>
      <c r="H376" s="114">
        <v>16.747287002287234</v>
      </c>
      <c r="I376" s="125">
        <v>15992</v>
      </c>
      <c r="J376" s="115">
        <v>29.766223028962422</v>
      </c>
    </row>
    <row r="377" spans="1:10" ht="16">
      <c r="A377" s="100" t="s">
        <v>962</v>
      </c>
      <c r="B377" s="101" t="s">
        <v>959</v>
      </c>
      <c r="C377" s="102" t="s">
        <v>107</v>
      </c>
      <c r="D377" s="103" t="s">
        <v>130</v>
      </c>
      <c r="E377" s="104">
        <v>6882</v>
      </c>
      <c r="F377" s="104">
        <v>1012</v>
      </c>
      <c r="G377" s="104">
        <v>895</v>
      </c>
      <c r="H377" s="116">
        <v>15.987141193015082</v>
      </c>
      <c r="I377" s="126">
        <v>8294</v>
      </c>
      <c r="J377" s="117">
        <v>27.872543692649856</v>
      </c>
    </row>
    <row r="378" spans="1:10" ht="16">
      <c r="A378" s="93" t="s">
        <v>963</v>
      </c>
      <c r="B378" s="94" t="s">
        <v>959</v>
      </c>
      <c r="C378" s="95" t="s">
        <v>76</v>
      </c>
      <c r="D378" s="96" t="s">
        <v>92</v>
      </c>
      <c r="E378" s="97">
        <v>38865</v>
      </c>
      <c r="F378" s="97">
        <v>4798</v>
      </c>
      <c r="G378" s="97">
        <v>4275</v>
      </c>
      <c r="H378" s="114">
        <v>7.9278775069268983</v>
      </c>
      <c r="I378" s="125">
        <v>3879</v>
      </c>
      <c r="J378" s="115">
        <v>22.34179492656515</v>
      </c>
    </row>
    <row r="379" spans="1:10" ht="16">
      <c r="A379" s="100" t="s">
        <v>1124</v>
      </c>
      <c r="B379" s="101" t="s">
        <v>1120</v>
      </c>
      <c r="C379" s="102" t="s">
        <v>107</v>
      </c>
      <c r="D379" s="103" t="s">
        <v>84</v>
      </c>
      <c r="E379" s="104">
        <v>26846</v>
      </c>
      <c r="F379" s="104">
        <v>1078</v>
      </c>
      <c r="G379" s="104">
        <v>2549</v>
      </c>
      <c r="H379" s="116">
        <v>9.9059702966161982</v>
      </c>
      <c r="I379" s="126">
        <v>1022</v>
      </c>
      <c r="J379" s="117">
        <v>15.308395165078585</v>
      </c>
    </row>
    <row r="380" spans="1:10" ht="16">
      <c r="A380" s="93" t="s">
        <v>964</v>
      </c>
      <c r="B380" s="94" t="s">
        <v>959</v>
      </c>
      <c r="C380" s="95" t="s">
        <v>76</v>
      </c>
      <c r="D380" s="96" t="s">
        <v>62</v>
      </c>
      <c r="E380" s="97">
        <v>11708</v>
      </c>
      <c r="F380" s="97">
        <v>1697</v>
      </c>
      <c r="G380" s="97">
        <v>117</v>
      </c>
      <c r="H380" s="114">
        <v>8.4955469661194538</v>
      </c>
      <c r="I380" s="125">
        <v>5317</v>
      </c>
      <c r="J380" s="115">
        <v>30.307022061135868</v>
      </c>
    </row>
    <row r="381" spans="1:10" ht="16">
      <c r="A381" s="100" t="s">
        <v>965</v>
      </c>
      <c r="B381" s="101" t="s">
        <v>959</v>
      </c>
      <c r="C381" s="102" t="s">
        <v>76</v>
      </c>
      <c r="D381" s="103" t="s">
        <v>62</v>
      </c>
      <c r="E381" s="104">
        <v>38971</v>
      </c>
      <c r="F381" s="104">
        <v>3747</v>
      </c>
      <c r="G381" s="104">
        <v>3897</v>
      </c>
      <c r="H381" s="116">
        <v>26.711899629161113</v>
      </c>
      <c r="I381" s="126">
        <v>12845</v>
      </c>
      <c r="J381" s="117">
        <v>24.729218207368795</v>
      </c>
    </row>
    <row r="382" spans="1:10" ht="16">
      <c r="A382" s="93" t="s">
        <v>1213</v>
      </c>
      <c r="B382" s="94" t="s">
        <v>1190</v>
      </c>
      <c r="C382" s="95" t="s">
        <v>76</v>
      </c>
      <c r="D382" s="96" t="s">
        <v>84</v>
      </c>
      <c r="E382" s="97">
        <v>15700</v>
      </c>
      <c r="F382" s="97">
        <v>892</v>
      </c>
      <c r="G382" s="97">
        <v>5652</v>
      </c>
      <c r="H382" s="114">
        <v>16.543144620686139</v>
      </c>
      <c r="I382" s="125">
        <v>5265</v>
      </c>
      <c r="J382" s="115">
        <v>18.502448870779418</v>
      </c>
    </row>
    <row r="383" spans="1:10" ht="16">
      <c r="A383" s="100" t="s">
        <v>671</v>
      </c>
      <c r="B383" s="101" t="s">
        <v>642</v>
      </c>
      <c r="C383" s="102" t="s">
        <v>76</v>
      </c>
      <c r="D383" s="103" t="s">
        <v>130</v>
      </c>
      <c r="E383" s="104">
        <v>8503</v>
      </c>
      <c r="F383" s="104">
        <v>1575</v>
      </c>
      <c r="G383" s="104">
        <v>592</v>
      </c>
      <c r="H383" s="116">
        <v>10.42700204758426</v>
      </c>
      <c r="I383" s="126">
        <v>1855</v>
      </c>
      <c r="J383" s="117">
        <v>24.50859889264229</v>
      </c>
    </row>
    <row r="384" spans="1:10" ht="16">
      <c r="A384" s="93" t="s">
        <v>672</v>
      </c>
      <c r="B384" s="94" t="s">
        <v>642</v>
      </c>
      <c r="C384" s="95" t="s">
        <v>107</v>
      </c>
      <c r="D384" s="96" t="s">
        <v>80</v>
      </c>
      <c r="E384" s="97">
        <v>15593</v>
      </c>
      <c r="F384" s="97">
        <v>1641</v>
      </c>
      <c r="G384" s="97">
        <v>1092</v>
      </c>
      <c r="H384" s="114">
        <v>23.30402690134731</v>
      </c>
      <c r="I384" s="125">
        <v>7210</v>
      </c>
      <c r="J384" s="115">
        <v>32.730668886250868</v>
      </c>
    </row>
    <row r="385" spans="1:10" ht="16">
      <c r="A385" s="100" t="s">
        <v>1164</v>
      </c>
      <c r="B385" s="101" t="s">
        <v>1142</v>
      </c>
      <c r="C385" s="102" t="s">
        <v>76</v>
      </c>
      <c r="D385" s="103" t="s">
        <v>84</v>
      </c>
      <c r="E385" s="104">
        <v>5381</v>
      </c>
      <c r="F385" s="104">
        <v>345</v>
      </c>
      <c r="G385" s="104">
        <v>323</v>
      </c>
      <c r="H385" s="116">
        <v>35.042602323324708</v>
      </c>
      <c r="I385" s="126">
        <v>17032</v>
      </c>
      <c r="J385" s="117">
        <v>27.60492641403016</v>
      </c>
    </row>
    <row r="386" spans="1:10" ht="16">
      <c r="A386" s="93" t="s">
        <v>673</v>
      </c>
      <c r="B386" s="94" t="s">
        <v>642</v>
      </c>
      <c r="C386" s="95" t="s">
        <v>107</v>
      </c>
      <c r="D386" s="96" t="s">
        <v>80</v>
      </c>
      <c r="E386" s="97">
        <v>5469</v>
      </c>
      <c r="F386" s="97">
        <v>675</v>
      </c>
      <c r="G386" s="97">
        <v>55</v>
      </c>
      <c r="H386" s="114">
        <v>11.178174866386415</v>
      </c>
      <c r="I386" s="125">
        <v>2264</v>
      </c>
      <c r="J386" s="115">
        <v>20.507355832383976</v>
      </c>
    </row>
    <row r="387" spans="1:10" ht="16">
      <c r="A387" s="100" t="s">
        <v>674</v>
      </c>
      <c r="B387" s="101" t="s">
        <v>642</v>
      </c>
      <c r="C387" s="102" t="s">
        <v>107</v>
      </c>
      <c r="D387" s="103" t="s">
        <v>63</v>
      </c>
      <c r="E387" s="104">
        <v>6505</v>
      </c>
      <c r="F387" s="104">
        <v>374</v>
      </c>
      <c r="G387" s="104">
        <v>65</v>
      </c>
      <c r="H387" s="116">
        <v>10.17493933070382</v>
      </c>
      <c r="I387" s="126">
        <v>920</v>
      </c>
      <c r="J387" s="117">
        <v>17.246572814266955</v>
      </c>
    </row>
    <row r="388" spans="1:10" ht="16">
      <c r="A388" s="93" t="s">
        <v>1000</v>
      </c>
      <c r="B388" s="94" t="s">
        <v>988</v>
      </c>
      <c r="C388" s="95" t="s">
        <v>76</v>
      </c>
      <c r="D388" s="96" t="s">
        <v>92</v>
      </c>
      <c r="E388" s="97">
        <v>12225</v>
      </c>
      <c r="F388" s="97">
        <v>527</v>
      </c>
      <c r="G388" s="97">
        <v>1956</v>
      </c>
      <c r="H388" s="114">
        <v>38.659570941062171</v>
      </c>
      <c r="I388" s="125">
        <v>10533</v>
      </c>
      <c r="J388" s="115">
        <v>33.406883592620055</v>
      </c>
    </row>
    <row r="389" spans="1:10" ht="16">
      <c r="A389" s="100" t="s">
        <v>1001</v>
      </c>
      <c r="B389" s="101" t="s">
        <v>988</v>
      </c>
      <c r="C389" s="102" t="s">
        <v>107</v>
      </c>
      <c r="D389" s="103" t="s">
        <v>82</v>
      </c>
      <c r="E389" s="104">
        <v>17081</v>
      </c>
      <c r="F389" s="104">
        <v>1512</v>
      </c>
      <c r="G389" s="104">
        <v>1708</v>
      </c>
      <c r="H389" s="116">
        <v>10.881723381436991</v>
      </c>
      <c r="I389" s="126">
        <v>1759</v>
      </c>
      <c r="J389" s="117">
        <v>18.866238366500543</v>
      </c>
    </row>
    <row r="390" spans="1:10" ht="16">
      <c r="A390" s="93" t="s">
        <v>1002</v>
      </c>
      <c r="B390" s="94" t="s">
        <v>988</v>
      </c>
      <c r="C390" s="95" t="s">
        <v>107</v>
      </c>
      <c r="D390" s="96" t="s">
        <v>60</v>
      </c>
      <c r="E390" s="97">
        <v>9481</v>
      </c>
      <c r="F390" s="97">
        <v>930</v>
      </c>
      <c r="G390" s="97">
        <v>758</v>
      </c>
      <c r="H390" s="114">
        <v>66.696141487145283</v>
      </c>
      <c r="I390" s="125">
        <v>38714</v>
      </c>
      <c r="J390" s="115">
        <v>62.996191668741567</v>
      </c>
    </row>
    <row r="391" spans="1:10" ht="16">
      <c r="A391" s="100" t="s">
        <v>1003</v>
      </c>
      <c r="B391" s="101" t="s">
        <v>988</v>
      </c>
      <c r="C391" s="102" t="s">
        <v>107</v>
      </c>
      <c r="D391" s="103" t="s">
        <v>82</v>
      </c>
      <c r="E391" s="104">
        <v>22965</v>
      </c>
      <c r="F391" s="104">
        <v>1435</v>
      </c>
      <c r="G391" s="104">
        <v>5052</v>
      </c>
      <c r="H391" s="116">
        <v>51.04407746779718</v>
      </c>
      <c r="I391" s="126">
        <v>32473</v>
      </c>
      <c r="J391" s="117">
        <v>48.961809087396027</v>
      </c>
    </row>
    <row r="392" spans="1:10" ht="16">
      <c r="A392" s="93" t="s">
        <v>1065</v>
      </c>
      <c r="B392" s="94" t="s">
        <v>1062</v>
      </c>
      <c r="C392" s="95" t="s">
        <v>107</v>
      </c>
      <c r="D392" s="96" t="s">
        <v>62</v>
      </c>
      <c r="E392" s="97">
        <v>12659</v>
      </c>
      <c r="F392" s="97">
        <v>806</v>
      </c>
      <c r="G392" s="97">
        <v>2532</v>
      </c>
      <c r="H392" s="114">
        <v>43.169436509337167</v>
      </c>
      <c r="I392" s="125">
        <v>26688</v>
      </c>
      <c r="J392" s="115">
        <v>41.377874685630466</v>
      </c>
    </row>
    <row r="393" spans="1:10" ht="16">
      <c r="A393" s="100" t="s">
        <v>146</v>
      </c>
      <c r="B393" s="101" t="s">
        <v>144</v>
      </c>
      <c r="C393" s="102" t="s">
        <v>107</v>
      </c>
      <c r="D393" s="103" t="s">
        <v>80</v>
      </c>
      <c r="E393" s="104">
        <v>45049</v>
      </c>
      <c r="F393" s="104">
        <v>1241</v>
      </c>
      <c r="G393" s="104">
        <v>6757</v>
      </c>
      <c r="H393" s="116">
        <v>74.53792437915493</v>
      </c>
      <c r="I393" s="126">
        <v>63153</v>
      </c>
      <c r="J393" s="117">
        <v>59.409124796991733</v>
      </c>
    </row>
    <row r="394" spans="1:10" ht="16">
      <c r="A394" s="93" t="s">
        <v>675</v>
      </c>
      <c r="B394" s="94" t="s">
        <v>642</v>
      </c>
      <c r="C394" s="95" t="s">
        <v>107</v>
      </c>
      <c r="D394" s="96" t="s">
        <v>60</v>
      </c>
      <c r="E394" s="97">
        <v>10032</v>
      </c>
      <c r="F394" s="97">
        <v>1320</v>
      </c>
      <c r="G394" s="97">
        <v>702</v>
      </c>
      <c r="H394" s="114">
        <v>14.183410479033331</v>
      </c>
      <c r="I394" s="125">
        <v>3360</v>
      </c>
      <c r="J394" s="115">
        <v>26.416292358139447</v>
      </c>
    </row>
    <row r="395" spans="1:10" ht="16">
      <c r="A395" s="100" t="s">
        <v>676</v>
      </c>
      <c r="B395" s="101" t="s">
        <v>642</v>
      </c>
      <c r="C395" s="102" t="s">
        <v>107</v>
      </c>
      <c r="D395" s="103" t="s">
        <v>130</v>
      </c>
      <c r="E395" s="104">
        <v>4850</v>
      </c>
      <c r="F395" s="104">
        <v>664</v>
      </c>
      <c r="G395" s="104">
        <v>97</v>
      </c>
      <c r="H395" s="116">
        <v>10.617347797947142</v>
      </c>
      <c r="I395" s="126">
        <v>5621</v>
      </c>
      <c r="J395" s="117">
        <v>21.808041094471971</v>
      </c>
    </row>
    <row r="396" spans="1:10" ht="16">
      <c r="A396" s="93" t="s">
        <v>763</v>
      </c>
      <c r="B396" s="94" t="s">
        <v>764</v>
      </c>
      <c r="C396" s="95" t="s">
        <v>76</v>
      </c>
      <c r="D396" s="96" t="s">
        <v>63</v>
      </c>
      <c r="E396" s="97">
        <v>36551</v>
      </c>
      <c r="F396" s="97">
        <v>1549</v>
      </c>
      <c r="G396" s="97">
        <v>5483</v>
      </c>
      <c r="H396" s="114">
        <v>9.9534334313870634</v>
      </c>
      <c r="I396" s="125">
        <v>3155</v>
      </c>
      <c r="J396" s="115">
        <v>19.246282805409635</v>
      </c>
    </row>
    <row r="397" spans="1:10" ht="16">
      <c r="A397" s="100" t="s">
        <v>677</v>
      </c>
      <c r="B397" s="101" t="s">
        <v>642</v>
      </c>
      <c r="C397" s="102" t="s">
        <v>107</v>
      </c>
      <c r="D397" s="103" t="s">
        <v>84</v>
      </c>
      <c r="E397" s="104">
        <v>24766</v>
      </c>
      <c r="F397" s="104">
        <v>1041</v>
      </c>
      <c r="G397" s="104">
        <v>743</v>
      </c>
      <c r="H397" s="116">
        <v>9.5071282941438309</v>
      </c>
      <c r="I397" s="126">
        <v>1289</v>
      </c>
      <c r="J397" s="117">
        <v>15.498308136237434</v>
      </c>
    </row>
    <row r="398" spans="1:10" ht="16">
      <c r="A398" s="93" t="s">
        <v>678</v>
      </c>
      <c r="B398" s="94" t="s">
        <v>642</v>
      </c>
      <c r="C398" s="95" t="s">
        <v>107</v>
      </c>
      <c r="D398" s="96" t="s">
        <v>59</v>
      </c>
      <c r="E398" s="97">
        <v>3989</v>
      </c>
      <c r="F398" s="97">
        <v>307</v>
      </c>
      <c r="G398" s="97">
        <v>199</v>
      </c>
      <c r="H398" s="114">
        <v>16.781799072681178</v>
      </c>
      <c r="I398" s="125">
        <v>1686</v>
      </c>
      <c r="J398" s="115">
        <v>21.509795428343246</v>
      </c>
    </row>
    <row r="399" spans="1:10" ht="16">
      <c r="A399" s="100" t="s">
        <v>679</v>
      </c>
      <c r="B399" s="101" t="s">
        <v>642</v>
      </c>
      <c r="C399" s="102" t="s">
        <v>107</v>
      </c>
      <c r="D399" s="103" t="s">
        <v>77</v>
      </c>
      <c r="E399" s="104">
        <v>1330</v>
      </c>
      <c r="F399" s="104">
        <v>391</v>
      </c>
      <c r="G399" s="104">
        <v>13</v>
      </c>
      <c r="H399" s="116">
        <v>13.985350868209052</v>
      </c>
      <c r="I399" s="126">
        <v>4590</v>
      </c>
      <c r="J399" s="117">
        <v>32.916080947431411</v>
      </c>
    </row>
    <row r="400" spans="1:10" ht="16">
      <c r="A400" s="93" t="s">
        <v>680</v>
      </c>
      <c r="B400" s="94" t="s">
        <v>642</v>
      </c>
      <c r="C400" s="95" t="s">
        <v>107</v>
      </c>
      <c r="D400" s="96" t="s">
        <v>62</v>
      </c>
      <c r="E400" s="97">
        <v>22566</v>
      </c>
      <c r="F400" s="97">
        <v>2507</v>
      </c>
      <c r="G400" s="97">
        <v>2031</v>
      </c>
      <c r="H400" s="114">
        <v>78.78162651312914</v>
      </c>
      <c r="I400" s="125">
        <v>46866</v>
      </c>
      <c r="J400" s="115">
        <v>73.783541918238896</v>
      </c>
    </row>
    <row r="401" spans="1:10" ht="16">
      <c r="A401" s="100" t="s">
        <v>1004</v>
      </c>
      <c r="B401" s="101" t="s">
        <v>988</v>
      </c>
      <c r="C401" s="102" t="s">
        <v>76</v>
      </c>
      <c r="D401" s="103" t="s">
        <v>84</v>
      </c>
      <c r="E401" s="104">
        <v>22102</v>
      </c>
      <c r="F401" s="104">
        <v>1278</v>
      </c>
      <c r="G401" s="104">
        <v>4862</v>
      </c>
      <c r="H401" s="116">
        <v>40.964913649361918</v>
      </c>
      <c r="I401" s="126">
        <v>22961</v>
      </c>
      <c r="J401" s="117">
        <v>34.136289113485667</v>
      </c>
    </row>
    <row r="402" spans="1:10" ht="16">
      <c r="A402" s="93" t="s">
        <v>1005</v>
      </c>
      <c r="B402" s="94" t="s">
        <v>988</v>
      </c>
      <c r="C402" s="95" t="s">
        <v>107</v>
      </c>
      <c r="D402" s="96" t="s">
        <v>80</v>
      </c>
      <c r="E402" s="97">
        <v>24155</v>
      </c>
      <c r="F402" s="97">
        <v>1028</v>
      </c>
      <c r="G402" s="97">
        <v>1449</v>
      </c>
      <c r="H402" s="114">
        <v>28.967058202619501</v>
      </c>
      <c r="I402" s="125">
        <v>7071</v>
      </c>
      <c r="J402" s="115">
        <v>24.928116164813961</v>
      </c>
    </row>
    <row r="403" spans="1:10" ht="16">
      <c r="A403" s="100" t="s">
        <v>681</v>
      </c>
      <c r="B403" s="101" t="s">
        <v>642</v>
      </c>
      <c r="C403" s="102" t="s">
        <v>107</v>
      </c>
      <c r="D403" s="103" t="s">
        <v>60</v>
      </c>
      <c r="E403" s="104">
        <v>5653</v>
      </c>
      <c r="F403" s="104">
        <v>349</v>
      </c>
      <c r="G403" s="104">
        <v>226</v>
      </c>
      <c r="H403" s="116">
        <v>12.615840857238227</v>
      </c>
      <c r="I403" s="126">
        <v>3917</v>
      </c>
      <c r="J403" s="117">
        <v>19.555160946500781</v>
      </c>
    </row>
    <row r="404" spans="1:10" ht="16">
      <c r="A404" s="93" t="s">
        <v>682</v>
      </c>
      <c r="B404" s="94" t="s">
        <v>642</v>
      </c>
      <c r="C404" s="95" t="s">
        <v>107</v>
      </c>
      <c r="D404" s="96" t="s">
        <v>82</v>
      </c>
      <c r="E404" s="97">
        <v>18643</v>
      </c>
      <c r="F404" s="97">
        <v>2119</v>
      </c>
      <c r="G404" s="97">
        <v>2424</v>
      </c>
      <c r="H404" s="114">
        <v>39.787457333517054</v>
      </c>
      <c r="I404" s="125">
        <v>13478</v>
      </c>
      <c r="J404" s="115">
        <v>44.504109908045486</v>
      </c>
    </row>
    <row r="405" spans="1:10" ht="16">
      <c r="A405" s="100" t="s">
        <v>760</v>
      </c>
      <c r="B405" s="101" t="s">
        <v>759</v>
      </c>
      <c r="C405" s="102" t="s">
        <v>107</v>
      </c>
      <c r="D405" s="103" t="s">
        <v>77</v>
      </c>
      <c r="E405" s="104">
        <v>17205</v>
      </c>
      <c r="F405" s="104">
        <v>3246</v>
      </c>
      <c r="G405" s="104">
        <v>688</v>
      </c>
      <c r="H405" s="116">
        <v>7.8212915133128895</v>
      </c>
      <c r="I405" s="126">
        <v>1343</v>
      </c>
      <c r="J405" s="117">
        <v>21.911080011659578</v>
      </c>
    </row>
    <row r="406" spans="1:10" ht="16">
      <c r="A406" s="93" t="s">
        <v>101</v>
      </c>
      <c r="B406" s="94" t="s">
        <v>89</v>
      </c>
      <c r="C406" s="95" t="s">
        <v>76</v>
      </c>
      <c r="D406" s="96" t="s">
        <v>84</v>
      </c>
      <c r="E406" s="97">
        <v>22292</v>
      </c>
      <c r="F406" s="97">
        <v>658</v>
      </c>
      <c r="G406" s="97">
        <v>6465</v>
      </c>
      <c r="H406" s="114">
        <v>33.51522965307538</v>
      </c>
      <c r="I406" s="125">
        <v>24371</v>
      </c>
      <c r="J406" s="115">
        <v>27.861750347219985</v>
      </c>
    </row>
    <row r="407" spans="1:10" ht="16">
      <c r="A407" s="100" t="s">
        <v>862</v>
      </c>
      <c r="B407" s="101" t="s">
        <v>858</v>
      </c>
      <c r="C407" s="102" t="s">
        <v>107</v>
      </c>
      <c r="D407" s="103" t="s">
        <v>92</v>
      </c>
      <c r="E407" s="104">
        <v>3859</v>
      </c>
      <c r="F407" s="104">
        <v>264</v>
      </c>
      <c r="G407" s="104">
        <v>39</v>
      </c>
      <c r="H407" s="116">
        <v>12.864598574761597</v>
      </c>
      <c r="I407" s="126">
        <v>4375</v>
      </c>
      <c r="J407" s="117">
        <v>20.472298491624471</v>
      </c>
    </row>
    <row r="408" spans="1:10" ht="16">
      <c r="A408" s="93" t="s">
        <v>187</v>
      </c>
      <c r="B408" s="94" t="s">
        <v>184</v>
      </c>
      <c r="C408" s="95" t="s">
        <v>76</v>
      </c>
      <c r="D408" s="96" t="s">
        <v>60</v>
      </c>
      <c r="E408" s="97">
        <v>8050</v>
      </c>
      <c r="F408" s="97">
        <v>329</v>
      </c>
      <c r="G408" s="97">
        <v>1047</v>
      </c>
      <c r="H408" s="114">
        <v>20.279623852559009</v>
      </c>
      <c r="I408" s="125">
        <v>9219</v>
      </c>
      <c r="J408" s="115">
        <v>18.028803961739282</v>
      </c>
    </row>
    <row r="409" spans="1:10" ht="16">
      <c r="A409" s="100" t="s">
        <v>1214</v>
      </c>
      <c r="B409" s="101" t="s">
        <v>1190</v>
      </c>
      <c r="C409" s="102" t="s">
        <v>76</v>
      </c>
      <c r="D409" s="103" t="s">
        <v>60</v>
      </c>
      <c r="E409" s="104">
        <v>12657</v>
      </c>
      <c r="F409" s="104">
        <v>1013</v>
      </c>
      <c r="G409" s="104">
        <v>4810</v>
      </c>
      <c r="H409" s="116">
        <v>39.643470680583135</v>
      </c>
      <c r="I409" s="126">
        <v>36508</v>
      </c>
      <c r="J409" s="117">
        <v>34.735235193899527</v>
      </c>
    </row>
    <row r="410" spans="1:10" ht="16">
      <c r="A410" s="93" t="s">
        <v>370</v>
      </c>
      <c r="B410" s="94" t="s">
        <v>369</v>
      </c>
      <c r="C410" s="95" t="s">
        <v>107</v>
      </c>
      <c r="D410" s="96" t="s">
        <v>62</v>
      </c>
      <c r="E410" s="97">
        <v>3851</v>
      </c>
      <c r="F410" s="97">
        <v>137</v>
      </c>
      <c r="G410" s="97">
        <v>732</v>
      </c>
      <c r="H410" s="114">
        <v>30.46356284189644</v>
      </c>
      <c r="I410" s="125">
        <v>13055</v>
      </c>
      <c r="J410" s="115">
        <v>28.360568185671795</v>
      </c>
    </row>
    <row r="411" spans="1:10" ht="16">
      <c r="A411" s="100" t="s">
        <v>765</v>
      </c>
      <c r="B411" s="101" t="s">
        <v>766</v>
      </c>
      <c r="C411" s="102" t="s">
        <v>107</v>
      </c>
      <c r="D411" s="103" t="s">
        <v>130</v>
      </c>
      <c r="E411" s="104">
        <v>4216</v>
      </c>
      <c r="F411" s="104">
        <v>114</v>
      </c>
      <c r="G411" s="104">
        <v>42</v>
      </c>
      <c r="H411" s="116">
        <v>18.184922740227147</v>
      </c>
      <c r="I411" s="126">
        <v>976</v>
      </c>
      <c r="J411" s="117">
        <v>18.217547879647917</v>
      </c>
    </row>
    <row r="412" spans="1:10" ht="16">
      <c r="A412" s="93" t="s">
        <v>188</v>
      </c>
      <c r="B412" s="94" t="s">
        <v>184</v>
      </c>
      <c r="C412" s="95" t="s">
        <v>76</v>
      </c>
      <c r="D412" s="96" t="s">
        <v>60</v>
      </c>
      <c r="E412" s="97">
        <v>29250</v>
      </c>
      <c r="F412" s="97">
        <v>1691</v>
      </c>
      <c r="G412" s="97">
        <v>3803</v>
      </c>
      <c r="H412" s="114">
        <v>32.500535149823357</v>
      </c>
      <c r="I412" s="125">
        <v>21575</v>
      </c>
      <c r="J412" s="115">
        <v>40.624080553333762</v>
      </c>
    </row>
    <row r="413" spans="1:10" ht="16">
      <c r="A413" s="100" t="s">
        <v>771</v>
      </c>
      <c r="B413" s="101" t="s">
        <v>770</v>
      </c>
      <c r="C413" s="102" t="s">
        <v>107</v>
      </c>
      <c r="D413" s="103" t="s">
        <v>63</v>
      </c>
      <c r="E413" s="104">
        <v>7866</v>
      </c>
      <c r="F413" s="104">
        <v>587</v>
      </c>
      <c r="G413" s="104">
        <v>1416</v>
      </c>
      <c r="H413" s="116">
        <v>10.687621422447947</v>
      </c>
      <c r="I413" s="126">
        <v>2630</v>
      </c>
      <c r="J413" s="117">
        <v>31.167263861107347</v>
      </c>
    </row>
    <row r="414" spans="1:10" ht="16">
      <c r="A414" s="93" t="s">
        <v>1215</v>
      </c>
      <c r="B414" s="94" t="s">
        <v>1190</v>
      </c>
      <c r="C414" s="95" t="s">
        <v>76</v>
      </c>
      <c r="D414" s="96" t="s">
        <v>84</v>
      </c>
      <c r="E414" s="97">
        <v>19726</v>
      </c>
      <c r="F414" s="97">
        <v>1012</v>
      </c>
      <c r="G414" s="97">
        <v>2367</v>
      </c>
      <c r="H414" s="114">
        <v>14.615427853787963</v>
      </c>
      <c r="I414" s="125">
        <v>5574</v>
      </c>
      <c r="J414" s="115">
        <v>16.755223744028747</v>
      </c>
    </row>
    <row r="415" spans="1:10" ht="16">
      <c r="A415" s="100" t="s">
        <v>1330</v>
      </c>
      <c r="B415" s="101" t="s">
        <v>1288</v>
      </c>
      <c r="C415" s="102" t="s">
        <v>107</v>
      </c>
      <c r="D415" s="103" t="s">
        <v>82</v>
      </c>
      <c r="E415" s="104">
        <v>6462</v>
      </c>
      <c r="F415" s="104">
        <v>598</v>
      </c>
      <c r="G415" s="104">
        <v>1099</v>
      </c>
      <c r="H415" s="116">
        <v>21.312825625729555</v>
      </c>
      <c r="I415" s="126">
        <v>10614</v>
      </c>
      <c r="J415" s="117">
        <v>27.860023447275804</v>
      </c>
    </row>
    <row r="416" spans="1:10" ht="16">
      <c r="A416" s="93" t="s">
        <v>414</v>
      </c>
      <c r="B416" s="94" t="s">
        <v>402</v>
      </c>
      <c r="C416" s="95" t="s">
        <v>107</v>
      </c>
      <c r="D416" s="96" t="s">
        <v>61</v>
      </c>
      <c r="E416" s="97">
        <v>27625</v>
      </c>
      <c r="F416" s="97">
        <v>512</v>
      </c>
      <c r="G416" s="97">
        <v>3868</v>
      </c>
      <c r="H416" s="114">
        <v>29.948079433903708</v>
      </c>
      <c r="I416" s="125">
        <v>13883</v>
      </c>
      <c r="J416" s="115">
        <v>37.443526889373551</v>
      </c>
    </row>
    <row r="417" spans="1:10" ht="16">
      <c r="A417" s="100" t="s">
        <v>823</v>
      </c>
      <c r="B417" s="101" t="s">
        <v>820</v>
      </c>
      <c r="C417" s="102" t="s">
        <v>76</v>
      </c>
      <c r="D417" s="103" t="s">
        <v>77</v>
      </c>
      <c r="E417" s="104">
        <v>28741</v>
      </c>
      <c r="F417" s="104">
        <v>1537</v>
      </c>
      <c r="G417" s="104">
        <v>4599</v>
      </c>
      <c r="H417" s="116">
        <v>65.679676824928734</v>
      </c>
      <c r="I417" s="126">
        <v>54093</v>
      </c>
      <c r="J417" s="117">
        <v>48.969313573789861</v>
      </c>
    </row>
    <row r="418" spans="1:10" ht="16">
      <c r="A418" s="93" t="s">
        <v>835</v>
      </c>
      <c r="B418" s="94" t="s">
        <v>834</v>
      </c>
      <c r="C418" s="95" t="s">
        <v>107</v>
      </c>
      <c r="D418" s="96" t="s">
        <v>80</v>
      </c>
      <c r="E418" s="97">
        <v>2476</v>
      </c>
      <c r="F418" s="97">
        <v>183</v>
      </c>
      <c r="G418" s="97">
        <v>966</v>
      </c>
      <c r="H418" s="114">
        <v>20.69983973797164</v>
      </c>
      <c r="I418" s="125">
        <v>9610</v>
      </c>
      <c r="J418" s="115">
        <v>25.174221813379933</v>
      </c>
    </row>
    <row r="419" spans="1:10" ht="16">
      <c r="A419" s="100" t="s">
        <v>1216</v>
      </c>
      <c r="B419" s="101" t="s">
        <v>1190</v>
      </c>
      <c r="C419" s="102" t="s">
        <v>76</v>
      </c>
      <c r="D419" s="103" t="s">
        <v>82</v>
      </c>
      <c r="E419" s="104">
        <v>19461</v>
      </c>
      <c r="F419" s="104">
        <v>1118</v>
      </c>
      <c r="G419" s="104">
        <v>2725</v>
      </c>
      <c r="H419" s="116">
        <v>18.142274078508283</v>
      </c>
      <c r="I419" s="126">
        <v>13765</v>
      </c>
      <c r="J419" s="117">
        <v>17.821092462937987</v>
      </c>
    </row>
    <row r="420" spans="1:10" ht="16">
      <c r="A420" s="93" t="s">
        <v>415</v>
      </c>
      <c r="B420" s="94" t="s">
        <v>402</v>
      </c>
      <c r="C420" s="95" t="s">
        <v>76</v>
      </c>
      <c r="D420" s="96" t="s">
        <v>84</v>
      </c>
      <c r="E420" s="97">
        <v>34519</v>
      </c>
      <c r="F420" s="97">
        <v>995</v>
      </c>
      <c r="G420" s="97">
        <v>5868</v>
      </c>
      <c r="H420" s="114">
        <v>77.380456229319535</v>
      </c>
      <c r="I420" s="125">
        <v>68473</v>
      </c>
      <c r="J420" s="115">
        <v>69.136281411610881</v>
      </c>
    </row>
    <row r="421" spans="1:10" ht="16">
      <c r="A421" s="100" t="s">
        <v>928</v>
      </c>
      <c r="B421" s="101" t="s">
        <v>919</v>
      </c>
      <c r="C421" s="102" t="s">
        <v>76</v>
      </c>
      <c r="D421" s="103" t="s">
        <v>61</v>
      </c>
      <c r="E421" s="104">
        <v>18077</v>
      </c>
      <c r="F421" s="104">
        <v>2288</v>
      </c>
      <c r="G421" s="104">
        <v>1265</v>
      </c>
      <c r="H421" s="116">
        <v>12.202180001516663</v>
      </c>
      <c r="I421" s="126">
        <v>1512</v>
      </c>
      <c r="J421" s="117">
        <v>26.350129876145154</v>
      </c>
    </row>
    <row r="422" spans="1:10" ht="16">
      <c r="A422" s="93" t="s">
        <v>883</v>
      </c>
      <c r="B422" s="94" t="s">
        <v>879</v>
      </c>
      <c r="C422" s="95" t="s">
        <v>107</v>
      </c>
      <c r="D422" s="96" t="s">
        <v>82</v>
      </c>
      <c r="E422" s="97">
        <v>16372</v>
      </c>
      <c r="F422" s="97">
        <v>1259</v>
      </c>
      <c r="G422" s="97">
        <v>655</v>
      </c>
      <c r="H422" s="114">
        <v>11.272638613635538</v>
      </c>
      <c r="I422" s="125">
        <v>2012</v>
      </c>
      <c r="J422" s="115">
        <v>17.062701827296923</v>
      </c>
    </row>
    <row r="423" spans="1:10" ht="16">
      <c r="A423" s="100" t="s">
        <v>929</v>
      </c>
      <c r="B423" s="101" t="s">
        <v>919</v>
      </c>
      <c r="C423" s="102" t="s">
        <v>107</v>
      </c>
      <c r="D423" s="103" t="s">
        <v>60</v>
      </c>
      <c r="E423" s="104">
        <v>29235</v>
      </c>
      <c r="F423" s="104">
        <v>4005</v>
      </c>
      <c r="G423" s="104">
        <v>8478</v>
      </c>
      <c r="H423" s="116">
        <v>63.383027203507737</v>
      </c>
      <c r="I423" s="126">
        <v>9877</v>
      </c>
      <c r="J423" s="117">
        <v>78.904677811639786</v>
      </c>
    </row>
    <row r="424" spans="1:10" ht="16">
      <c r="A424" s="93" t="s">
        <v>1217</v>
      </c>
      <c r="B424" s="94" t="s">
        <v>1190</v>
      </c>
      <c r="C424" s="95" t="s">
        <v>76</v>
      </c>
      <c r="D424" s="96" t="s">
        <v>84</v>
      </c>
      <c r="E424" s="97">
        <v>10570</v>
      </c>
      <c r="F424" s="97">
        <v>874</v>
      </c>
      <c r="G424" s="97">
        <v>7505</v>
      </c>
      <c r="H424" s="114">
        <v>83.07733152723128</v>
      </c>
      <c r="I424" s="125">
        <v>77108</v>
      </c>
      <c r="J424" s="115">
        <v>69.179553604347646</v>
      </c>
    </row>
    <row r="425" spans="1:10" ht="16">
      <c r="A425" s="100" t="s">
        <v>1218</v>
      </c>
      <c r="B425" s="101" t="s">
        <v>1190</v>
      </c>
      <c r="C425" s="102" t="s">
        <v>76</v>
      </c>
      <c r="D425" s="103" t="s">
        <v>63</v>
      </c>
      <c r="E425" s="104">
        <v>12168</v>
      </c>
      <c r="F425" s="104">
        <v>737</v>
      </c>
      <c r="G425" s="104">
        <v>4015</v>
      </c>
      <c r="H425" s="116">
        <v>10.406645835844058</v>
      </c>
      <c r="I425" s="126">
        <v>1971</v>
      </c>
      <c r="J425" s="117">
        <v>15.672248610985722</v>
      </c>
    </row>
    <row r="426" spans="1:10" ht="16">
      <c r="A426" s="93" t="s">
        <v>167</v>
      </c>
      <c r="B426" s="94" t="s">
        <v>150</v>
      </c>
      <c r="C426" s="95" t="s">
        <v>76</v>
      </c>
      <c r="D426" s="96" t="s">
        <v>62</v>
      </c>
      <c r="E426" s="97">
        <v>26685</v>
      </c>
      <c r="F426" s="97">
        <v>1744</v>
      </c>
      <c r="G426" s="97">
        <v>267</v>
      </c>
      <c r="H426" s="114">
        <v>13.988145538689951</v>
      </c>
      <c r="I426" s="125">
        <v>2192</v>
      </c>
      <c r="J426" s="115">
        <v>22.061818164791848</v>
      </c>
    </row>
    <row r="427" spans="1:10" ht="16">
      <c r="A427" s="100" t="s">
        <v>1219</v>
      </c>
      <c r="B427" s="101" t="s">
        <v>1190</v>
      </c>
      <c r="C427" s="102" t="s">
        <v>107</v>
      </c>
      <c r="D427" s="103" t="s">
        <v>60</v>
      </c>
      <c r="E427" s="104">
        <v>14749</v>
      </c>
      <c r="F427" s="104">
        <v>1031</v>
      </c>
      <c r="G427" s="104">
        <v>3687</v>
      </c>
      <c r="H427" s="116">
        <v>34.994468967353377</v>
      </c>
      <c r="I427" s="126">
        <v>18203</v>
      </c>
      <c r="J427" s="117">
        <v>34.44142413859683</v>
      </c>
    </row>
    <row r="428" spans="1:10" ht="16">
      <c r="A428" s="93" t="s">
        <v>1331</v>
      </c>
      <c r="B428" s="94" t="s">
        <v>1288</v>
      </c>
      <c r="C428" s="95" t="s">
        <v>76</v>
      </c>
      <c r="D428" s="96" t="s">
        <v>84</v>
      </c>
      <c r="E428" s="97">
        <v>29169</v>
      </c>
      <c r="F428" s="97">
        <v>1409</v>
      </c>
      <c r="G428" s="97">
        <v>1750</v>
      </c>
      <c r="H428" s="114">
        <v>27.152097317998209</v>
      </c>
      <c r="I428" s="125">
        <v>14617</v>
      </c>
      <c r="J428" s="115">
        <v>34.793144412093199</v>
      </c>
    </row>
    <row r="429" spans="1:10" ht="16">
      <c r="A429" s="100" t="s">
        <v>1332</v>
      </c>
      <c r="B429" s="101" t="s">
        <v>1288</v>
      </c>
      <c r="C429" s="102" t="s">
        <v>107</v>
      </c>
      <c r="D429" s="103" t="s">
        <v>84</v>
      </c>
      <c r="E429" s="104">
        <v>11210</v>
      </c>
      <c r="F429" s="104">
        <v>496</v>
      </c>
      <c r="G429" s="104">
        <v>448</v>
      </c>
      <c r="H429" s="116">
        <v>9.7826525779702962</v>
      </c>
      <c r="I429" s="126">
        <v>4371</v>
      </c>
      <c r="J429" s="117">
        <v>17.691098143792519</v>
      </c>
    </row>
    <row r="430" spans="1:10" ht="16">
      <c r="A430" s="93" t="s">
        <v>1066</v>
      </c>
      <c r="B430" s="94" t="s">
        <v>1062</v>
      </c>
      <c r="C430" s="95" t="s">
        <v>76</v>
      </c>
      <c r="D430" s="96" t="s">
        <v>61</v>
      </c>
      <c r="E430" s="97">
        <v>27266</v>
      </c>
      <c r="F430" s="97">
        <v>2253</v>
      </c>
      <c r="G430" s="97">
        <v>5181</v>
      </c>
      <c r="H430" s="114">
        <v>54.792779537731363</v>
      </c>
      <c r="I430" s="125">
        <v>46890</v>
      </c>
      <c r="J430" s="115">
        <v>41.152542172259672</v>
      </c>
    </row>
    <row r="431" spans="1:10" ht="16">
      <c r="A431" s="100" t="s">
        <v>1179</v>
      </c>
      <c r="B431" s="101" t="s">
        <v>1178</v>
      </c>
      <c r="C431" s="102" t="s">
        <v>107</v>
      </c>
      <c r="D431" s="103" t="s">
        <v>63</v>
      </c>
      <c r="E431" s="104">
        <v>21560</v>
      </c>
      <c r="F431" s="104">
        <v>2053</v>
      </c>
      <c r="G431" s="104">
        <v>216</v>
      </c>
      <c r="H431" s="116">
        <v>8.8694124816018149</v>
      </c>
      <c r="I431" s="126">
        <v>4428</v>
      </c>
      <c r="J431" s="117">
        <v>18.545389937456299</v>
      </c>
    </row>
    <row r="432" spans="1:10" ht="16">
      <c r="A432" s="93" t="s">
        <v>824</v>
      </c>
      <c r="B432" s="94" t="s">
        <v>820</v>
      </c>
      <c r="C432" s="95" t="s">
        <v>76</v>
      </c>
      <c r="D432" s="96" t="s">
        <v>84</v>
      </c>
      <c r="E432" s="97">
        <v>16857</v>
      </c>
      <c r="F432" s="97">
        <v>906</v>
      </c>
      <c r="G432" s="97">
        <v>9103</v>
      </c>
      <c r="H432" s="114">
        <v>48.687748291044414</v>
      </c>
      <c r="I432" s="125">
        <v>37253</v>
      </c>
      <c r="J432" s="115">
        <v>40.352802209016801</v>
      </c>
    </row>
    <row r="433" spans="1:10" ht="16">
      <c r="A433" s="100" t="s">
        <v>778</v>
      </c>
      <c r="B433" s="101" t="s">
        <v>779</v>
      </c>
      <c r="C433" s="102" t="s">
        <v>76</v>
      </c>
      <c r="D433" s="103" t="s">
        <v>77</v>
      </c>
      <c r="E433" s="104">
        <v>9924</v>
      </c>
      <c r="F433" s="104">
        <v>407</v>
      </c>
      <c r="G433" s="104">
        <v>7840</v>
      </c>
      <c r="H433" s="116">
        <v>23.102110645890352</v>
      </c>
      <c r="I433" s="126">
        <v>18654</v>
      </c>
      <c r="J433" s="117">
        <v>28.080393508842779</v>
      </c>
    </row>
    <row r="434" spans="1:10" ht="16">
      <c r="A434" s="93" t="s">
        <v>102</v>
      </c>
      <c r="B434" s="94" t="s">
        <v>89</v>
      </c>
      <c r="C434" s="95" t="s">
        <v>76</v>
      </c>
      <c r="D434" s="96" t="s">
        <v>63</v>
      </c>
      <c r="E434" s="97">
        <v>30234</v>
      </c>
      <c r="F434" s="97">
        <v>441</v>
      </c>
      <c r="G434" s="97">
        <v>8768</v>
      </c>
      <c r="H434" s="114">
        <v>42.855436848982343</v>
      </c>
      <c r="I434" s="125">
        <v>30682</v>
      </c>
      <c r="J434" s="115">
        <v>38.700043656219378</v>
      </c>
    </row>
    <row r="435" spans="1:10" ht="16">
      <c r="A435" s="100" t="s">
        <v>1125</v>
      </c>
      <c r="B435" s="101" t="s">
        <v>1120</v>
      </c>
      <c r="C435" s="102" t="s">
        <v>76</v>
      </c>
      <c r="D435" s="103" t="s">
        <v>84</v>
      </c>
      <c r="E435" s="104">
        <v>13534</v>
      </c>
      <c r="F435" s="104">
        <v>607</v>
      </c>
      <c r="G435" s="104">
        <v>541</v>
      </c>
      <c r="H435" s="116">
        <v>9.8003636962733438</v>
      </c>
      <c r="I435" s="126">
        <v>6753</v>
      </c>
      <c r="J435" s="117">
        <v>14.40445313851261</v>
      </c>
    </row>
    <row r="436" spans="1:10" ht="16">
      <c r="A436" s="93" t="s">
        <v>509</v>
      </c>
      <c r="B436" s="94" t="s">
        <v>474</v>
      </c>
      <c r="C436" s="95" t="s">
        <v>76</v>
      </c>
      <c r="D436" s="96" t="s">
        <v>84</v>
      </c>
      <c r="E436" s="97">
        <v>39252</v>
      </c>
      <c r="F436" s="97">
        <v>1443</v>
      </c>
      <c r="G436" s="97">
        <v>879</v>
      </c>
      <c r="H436" s="114">
        <v>9.5392483019276035</v>
      </c>
      <c r="I436" s="125">
        <v>1616</v>
      </c>
      <c r="J436" s="115">
        <v>14.760759019815481</v>
      </c>
    </row>
    <row r="437" spans="1:10" ht="16">
      <c r="A437" s="100" t="s">
        <v>1126</v>
      </c>
      <c r="B437" s="101" t="s">
        <v>1120</v>
      </c>
      <c r="C437" s="102" t="s">
        <v>76</v>
      </c>
      <c r="D437" s="103" t="s">
        <v>82</v>
      </c>
      <c r="E437" s="104">
        <v>38192</v>
      </c>
      <c r="F437" s="104">
        <v>1303</v>
      </c>
      <c r="G437" s="104">
        <v>3626</v>
      </c>
      <c r="H437" s="116">
        <v>8.6801032378680478</v>
      </c>
      <c r="I437" s="126">
        <v>923</v>
      </c>
      <c r="J437" s="117">
        <v>19.154324551226296</v>
      </c>
    </row>
    <row r="438" spans="1:10" ht="16">
      <c r="A438" s="93" t="s">
        <v>1127</v>
      </c>
      <c r="B438" s="94" t="s">
        <v>1120</v>
      </c>
      <c r="C438" s="95" t="s">
        <v>107</v>
      </c>
      <c r="D438" s="96" t="s">
        <v>63</v>
      </c>
      <c r="E438" s="97">
        <v>28476</v>
      </c>
      <c r="F438" s="97">
        <v>2792</v>
      </c>
      <c r="G438" s="97">
        <v>1139</v>
      </c>
      <c r="H438" s="114">
        <v>21.814681373064229</v>
      </c>
      <c r="I438" s="125">
        <v>9551</v>
      </c>
      <c r="J438" s="115">
        <v>32.531770115657686</v>
      </c>
    </row>
    <row r="439" spans="1:10" ht="16">
      <c r="A439" s="100" t="s">
        <v>1175</v>
      </c>
      <c r="B439" s="101" t="s">
        <v>1176</v>
      </c>
      <c r="C439" s="102" t="s">
        <v>107</v>
      </c>
      <c r="D439" s="103" t="s">
        <v>80</v>
      </c>
      <c r="E439" s="104">
        <v>34651</v>
      </c>
      <c r="F439" s="104">
        <v>1468</v>
      </c>
      <c r="G439" s="104">
        <v>2772</v>
      </c>
      <c r="H439" s="116">
        <v>13.023744816042099</v>
      </c>
      <c r="I439" s="126">
        <v>8937</v>
      </c>
      <c r="J439" s="117">
        <v>16.704823416068677</v>
      </c>
    </row>
    <row r="440" spans="1:10" ht="16">
      <c r="A440" s="93" t="s">
        <v>1220</v>
      </c>
      <c r="B440" s="94" t="s">
        <v>1190</v>
      </c>
      <c r="C440" s="95" t="s">
        <v>76</v>
      </c>
      <c r="D440" s="96" t="s">
        <v>61</v>
      </c>
      <c r="E440" s="97">
        <v>28146</v>
      </c>
      <c r="F440" s="97">
        <v>1864</v>
      </c>
      <c r="G440" s="97">
        <v>4503</v>
      </c>
      <c r="H440" s="114">
        <v>14.882410543784172</v>
      </c>
      <c r="I440" s="125">
        <v>7926</v>
      </c>
      <c r="J440" s="115">
        <v>20.610209922885428</v>
      </c>
    </row>
    <row r="441" spans="1:10" ht="16">
      <c r="A441" s="100" t="s">
        <v>510</v>
      </c>
      <c r="B441" s="101" t="s">
        <v>474</v>
      </c>
      <c r="C441" s="102" t="s">
        <v>107</v>
      </c>
      <c r="D441" s="103" t="s">
        <v>60</v>
      </c>
      <c r="E441" s="104">
        <v>23082</v>
      </c>
      <c r="F441" s="104">
        <v>2684</v>
      </c>
      <c r="G441" s="104">
        <v>2539</v>
      </c>
      <c r="H441" s="116">
        <v>12.168151822658057</v>
      </c>
      <c r="I441" s="126">
        <v>1113</v>
      </c>
      <c r="J441" s="117">
        <v>24.387589844861747</v>
      </c>
    </row>
    <row r="442" spans="1:10" ht="16">
      <c r="A442" s="93" t="s">
        <v>356</v>
      </c>
      <c r="B442" s="94" t="s">
        <v>344</v>
      </c>
      <c r="C442" s="95" t="s">
        <v>76</v>
      </c>
      <c r="D442" s="96" t="s">
        <v>80</v>
      </c>
      <c r="E442" s="97">
        <v>140126</v>
      </c>
      <c r="F442" s="97">
        <v>5628</v>
      </c>
      <c r="G442" s="97">
        <v>4204</v>
      </c>
      <c r="H442" s="114">
        <v>9.5629538286805644</v>
      </c>
      <c r="I442" s="125">
        <v>8177</v>
      </c>
      <c r="J442" s="115">
        <v>19.687587219442253</v>
      </c>
    </row>
    <row r="443" spans="1:10" ht="16">
      <c r="A443" s="100" t="s">
        <v>601</v>
      </c>
      <c r="B443" s="101" t="s">
        <v>598</v>
      </c>
      <c r="C443" s="102" t="s">
        <v>107</v>
      </c>
      <c r="D443" s="103" t="s">
        <v>82</v>
      </c>
      <c r="E443" s="104">
        <v>10603</v>
      </c>
      <c r="F443" s="104">
        <v>512</v>
      </c>
      <c r="G443" s="104">
        <v>424</v>
      </c>
      <c r="H443" s="116">
        <v>19.310386820261549</v>
      </c>
      <c r="I443" s="126">
        <v>12531</v>
      </c>
      <c r="J443" s="117">
        <v>22.285819397106376</v>
      </c>
    </row>
    <row r="444" spans="1:10" ht="16">
      <c r="A444" s="93" t="s">
        <v>1165</v>
      </c>
      <c r="B444" s="94" t="s">
        <v>1142</v>
      </c>
      <c r="C444" s="95" t="s">
        <v>107</v>
      </c>
      <c r="D444" s="96" t="s">
        <v>82</v>
      </c>
      <c r="E444" s="97">
        <v>59480</v>
      </c>
      <c r="F444" s="97">
        <v>2044</v>
      </c>
      <c r="G444" s="97">
        <v>2379</v>
      </c>
      <c r="H444" s="114">
        <v>9.0600434049966907</v>
      </c>
      <c r="I444" s="125">
        <v>1756</v>
      </c>
      <c r="J444" s="115">
        <v>21.976996632306669</v>
      </c>
    </row>
    <row r="445" spans="1:10" ht="16">
      <c r="A445" s="100" t="s">
        <v>1333</v>
      </c>
      <c r="B445" s="101" t="s">
        <v>1288</v>
      </c>
      <c r="C445" s="102" t="s">
        <v>76</v>
      </c>
      <c r="D445" s="103" t="s">
        <v>63</v>
      </c>
      <c r="E445" s="104">
        <v>10472</v>
      </c>
      <c r="F445" s="104">
        <v>873</v>
      </c>
      <c r="G445" s="104">
        <v>419</v>
      </c>
      <c r="H445" s="116">
        <v>14.817802082246198</v>
      </c>
      <c r="I445" s="126">
        <v>4961</v>
      </c>
      <c r="J445" s="117">
        <v>36.756169869211888</v>
      </c>
    </row>
    <row r="446" spans="1:10" ht="16">
      <c r="A446" s="93" t="s">
        <v>326</v>
      </c>
      <c r="B446" s="94" t="s">
        <v>322</v>
      </c>
      <c r="C446" s="95" t="s">
        <v>76</v>
      </c>
      <c r="D446" s="96" t="s">
        <v>60</v>
      </c>
      <c r="E446" s="97">
        <v>31611</v>
      </c>
      <c r="F446" s="97">
        <v>1565</v>
      </c>
      <c r="G446" s="97">
        <v>6638</v>
      </c>
      <c r="H446" s="114">
        <v>25.91211464504018</v>
      </c>
      <c r="I446" s="125">
        <v>9302</v>
      </c>
      <c r="J446" s="115">
        <v>23.34736539914342</v>
      </c>
    </row>
    <row r="447" spans="1:10" ht="16">
      <c r="A447" s="100" t="s">
        <v>550</v>
      </c>
      <c r="B447" s="101" t="s">
        <v>537</v>
      </c>
      <c r="C447" s="102" t="s">
        <v>76</v>
      </c>
      <c r="D447" s="103" t="s">
        <v>61</v>
      </c>
      <c r="E447" s="104">
        <v>9134</v>
      </c>
      <c r="F447" s="104">
        <v>862</v>
      </c>
      <c r="G447" s="104">
        <v>274</v>
      </c>
      <c r="H447" s="116">
        <v>12.634487670826219</v>
      </c>
      <c r="I447" s="126">
        <v>9053</v>
      </c>
      <c r="J447" s="117">
        <v>28.943181497726744</v>
      </c>
    </row>
    <row r="448" spans="1:10" ht="16">
      <c r="A448" s="93" t="s">
        <v>1334</v>
      </c>
      <c r="B448" s="94" t="s">
        <v>1288</v>
      </c>
      <c r="C448" s="95" t="s">
        <v>107</v>
      </c>
      <c r="D448" s="96" t="s">
        <v>84</v>
      </c>
      <c r="E448" s="97">
        <v>11247</v>
      </c>
      <c r="F448" s="97">
        <v>1308</v>
      </c>
      <c r="G448" s="97">
        <v>3824</v>
      </c>
      <c r="H448" s="114">
        <v>92.416430583438455</v>
      </c>
      <c r="I448" s="125">
        <v>92023</v>
      </c>
      <c r="J448" s="115">
        <v>91.058097739250499</v>
      </c>
    </row>
    <row r="449" spans="1:10" ht="16">
      <c r="A449" s="100" t="s">
        <v>836</v>
      </c>
      <c r="B449" s="101" t="s">
        <v>834</v>
      </c>
      <c r="C449" s="102" t="s">
        <v>76</v>
      </c>
      <c r="D449" s="103" t="s">
        <v>61</v>
      </c>
      <c r="E449" s="104">
        <v>18653</v>
      </c>
      <c r="F449" s="104">
        <v>1151</v>
      </c>
      <c r="G449" s="104">
        <v>5782</v>
      </c>
      <c r="H449" s="116">
        <v>19.48043540282551</v>
      </c>
      <c r="I449" s="126">
        <v>9377</v>
      </c>
      <c r="J449" s="117">
        <v>23.470624815715908</v>
      </c>
    </row>
    <row r="450" spans="1:10" ht="16">
      <c r="A450" s="93" t="s">
        <v>582</v>
      </c>
      <c r="B450" s="94" t="s">
        <v>581</v>
      </c>
      <c r="C450" s="95" t="s">
        <v>76</v>
      </c>
      <c r="D450" s="96" t="s">
        <v>60</v>
      </c>
      <c r="E450" s="97">
        <v>9291</v>
      </c>
      <c r="F450" s="97">
        <v>328</v>
      </c>
      <c r="G450" s="97">
        <v>1115</v>
      </c>
      <c r="H450" s="114">
        <v>30.109768017362114</v>
      </c>
      <c r="I450" s="125">
        <v>24092</v>
      </c>
      <c r="J450" s="115">
        <v>21.22882039292362</v>
      </c>
    </row>
    <row r="451" spans="1:10" ht="16">
      <c r="A451" s="100" t="s">
        <v>189</v>
      </c>
      <c r="B451" s="101" t="s">
        <v>184</v>
      </c>
      <c r="C451" s="102" t="s">
        <v>76</v>
      </c>
      <c r="D451" s="103" t="s">
        <v>82</v>
      </c>
      <c r="E451" s="104">
        <v>31294</v>
      </c>
      <c r="F451" s="104">
        <v>2407</v>
      </c>
      <c r="G451" s="104">
        <v>9075</v>
      </c>
      <c r="H451" s="116">
        <v>72.82342753724258</v>
      </c>
      <c r="I451" s="126">
        <v>61057</v>
      </c>
      <c r="J451" s="117">
        <v>65.406950806750018</v>
      </c>
    </row>
    <row r="452" spans="1:10" ht="16">
      <c r="A452" s="93" t="s">
        <v>190</v>
      </c>
      <c r="B452" s="94" t="s">
        <v>184</v>
      </c>
      <c r="C452" s="95" t="s">
        <v>76</v>
      </c>
      <c r="D452" s="96" t="s">
        <v>80</v>
      </c>
      <c r="E452" s="97">
        <v>24412</v>
      </c>
      <c r="F452" s="97">
        <v>869</v>
      </c>
      <c r="G452" s="97">
        <v>4150</v>
      </c>
      <c r="H452" s="114">
        <v>50.456003050754198</v>
      </c>
      <c r="I452" s="125">
        <v>47640</v>
      </c>
      <c r="J452" s="115">
        <v>44.728401868185507</v>
      </c>
    </row>
    <row r="453" spans="1:10" ht="16">
      <c r="A453" s="100" t="s">
        <v>129</v>
      </c>
      <c r="B453" s="101" t="s">
        <v>127</v>
      </c>
      <c r="C453" s="102" t="s">
        <v>76</v>
      </c>
      <c r="D453" s="103" t="s">
        <v>130</v>
      </c>
      <c r="E453" s="104">
        <v>3352</v>
      </c>
      <c r="F453" s="104">
        <v>308</v>
      </c>
      <c r="G453" s="104">
        <v>804</v>
      </c>
      <c r="H453" s="116">
        <v>25.614267365205084</v>
      </c>
      <c r="I453" s="126">
        <v>23142</v>
      </c>
      <c r="J453" s="117">
        <v>31.802575556467254</v>
      </c>
    </row>
    <row r="454" spans="1:10" ht="16">
      <c r="A454" s="93" t="s">
        <v>131</v>
      </c>
      <c r="B454" s="94" t="s">
        <v>127</v>
      </c>
      <c r="C454" s="95" t="s">
        <v>76</v>
      </c>
      <c r="D454" s="96" t="s">
        <v>63</v>
      </c>
      <c r="E454" s="97">
        <v>2966</v>
      </c>
      <c r="F454" s="97">
        <v>690</v>
      </c>
      <c r="G454" s="97">
        <v>1305</v>
      </c>
      <c r="H454" s="114">
        <v>14.594626835084997</v>
      </c>
      <c r="I454" s="125">
        <v>12767</v>
      </c>
      <c r="J454" s="115">
        <v>31.429831635150741</v>
      </c>
    </row>
    <row r="455" spans="1:10" ht="16">
      <c r="A455" s="100" t="s">
        <v>132</v>
      </c>
      <c r="B455" s="101" t="s">
        <v>127</v>
      </c>
      <c r="C455" s="102" t="s">
        <v>76</v>
      </c>
      <c r="D455" s="103" t="s">
        <v>130</v>
      </c>
      <c r="E455" s="104">
        <v>7142</v>
      </c>
      <c r="F455" s="104">
        <v>882</v>
      </c>
      <c r="G455" s="104">
        <v>2143</v>
      </c>
      <c r="H455" s="116">
        <v>23.711804653658898</v>
      </c>
      <c r="I455" s="126">
        <v>21335</v>
      </c>
      <c r="J455" s="117">
        <v>33.635188950947388</v>
      </c>
    </row>
    <row r="456" spans="1:10" ht="16">
      <c r="A456" s="93" t="s">
        <v>683</v>
      </c>
      <c r="B456" s="94" t="s">
        <v>642</v>
      </c>
      <c r="C456" s="95" t="s">
        <v>107</v>
      </c>
      <c r="D456" s="96" t="s">
        <v>92</v>
      </c>
      <c r="E456" s="97">
        <v>33309</v>
      </c>
      <c r="F456" s="97">
        <v>2847</v>
      </c>
      <c r="G456" s="97">
        <v>1332</v>
      </c>
      <c r="H456" s="114">
        <v>8.6673444648717712</v>
      </c>
      <c r="I456" s="125">
        <v>1037</v>
      </c>
      <c r="J456" s="115">
        <v>18.582517496747545</v>
      </c>
    </row>
    <row r="457" spans="1:10" ht="16">
      <c r="A457" s="100" t="s">
        <v>684</v>
      </c>
      <c r="B457" s="101" t="s">
        <v>642</v>
      </c>
      <c r="C457" s="102" t="s">
        <v>107</v>
      </c>
      <c r="D457" s="103" t="s">
        <v>92</v>
      </c>
      <c r="E457" s="104">
        <v>15412</v>
      </c>
      <c r="F457" s="104">
        <v>491</v>
      </c>
      <c r="G457" s="104">
        <v>154</v>
      </c>
      <c r="H457" s="116">
        <v>10.004998454551771</v>
      </c>
      <c r="I457" s="126">
        <v>1168</v>
      </c>
      <c r="J457" s="117">
        <v>16.121099220020156</v>
      </c>
    </row>
    <row r="458" spans="1:10" ht="16">
      <c r="A458" s="93" t="s">
        <v>191</v>
      </c>
      <c r="B458" s="94" t="s">
        <v>184</v>
      </c>
      <c r="C458" s="95" t="s">
        <v>76</v>
      </c>
      <c r="D458" s="96" t="s">
        <v>80</v>
      </c>
      <c r="E458" s="97">
        <v>15127</v>
      </c>
      <c r="F458" s="97">
        <v>1104</v>
      </c>
      <c r="G458" s="97">
        <v>2723</v>
      </c>
      <c r="H458" s="114">
        <v>19.995116658662599</v>
      </c>
      <c r="I458" s="125">
        <v>11566</v>
      </c>
      <c r="J458" s="115">
        <v>21.149568189116195</v>
      </c>
    </row>
    <row r="459" spans="1:10" ht="16">
      <c r="A459" s="100" t="s">
        <v>327</v>
      </c>
      <c r="B459" s="101" t="s">
        <v>322</v>
      </c>
      <c r="C459" s="102" t="s">
        <v>76</v>
      </c>
      <c r="D459" s="103" t="s">
        <v>63</v>
      </c>
      <c r="E459" s="104">
        <v>7215</v>
      </c>
      <c r="F459" s="104">
        <v>501</v>
      </c>
      <c r="G459" s="104">
        <v>1154</v>
      </c>
      <c r="H459" s="116">
        <v>15.669202753481942</v>
      </c>
      <c r="I459" s="126">
        <v>1130</v>
      </c>
      <c r="J459" s="117">
        <v>18.885211125618575</v>
      </c>
    </row>
    <row r="460" spans="1:10" ht="16">
      <c r="A460" s="93" t="s">
        <v>357</v>
      </c>
      <c r="B460" s="94" t="s">
        <v>344</v>
      </c>
      <c r="C460" s="95" t="s">
        <v>107</v>
      </c>
      <c r="D460" s="96" t="s">
        <v>60</v>
      </c>
      <c r="E460" s="97">
        <v>84587</v>
      </c>
      <c r="F460" s="97">
        <v>2324</v>
      </c>
      <c r="G460" s="97">
        <v>846</v>
      </c>
      <c r="H460" s="114">
        <v>8.0018365596451382</v>
      </c>
      <c r="I460" s="125">
        <v>2088</v>
      </c>
      <c r="J460" s="115">
        <v>15.864601730128349</v>
      </c>
    </row>
    <row r="461" spans="1:10" ht="16">
      <c r="A461" s="100" t="s">
        <v>804</v>
      </c>
      <c r="B461" s="101" t="s">
        <v>798</v>
      </c>
      <c r="C461" s="102" t="s">
        <v>107</v>
      </c>
      <c r="D461" s="103" t="s">
        <v>63</v>
      </c>
      <c r="E461" s="104">
        <v>57827</v>
      </c>
      <c r="F461" s="104">
        <v>2891</v>
      </c>
      <c r="G461" s="104">
        <v>4024</v>
      </c>
      <c r="H461" s="116">
        <v>16.675782993735599</v>
      </c>
      <c r="I461" s="126">
        <v>11256</v>
      </c>
      <c r="J461" s="117">
        <v>16.643618522501043</v>
      </c>
    </row>
    <row r="462" spans="1:10" ht="16">
      <c r="A462" s="93" t="s">
        <v>1335</v>
      </c>
      <c r="B462" s="94" t="s">
        <v>1288</v>
      </c>
      <c r="C462" s="95" t="s">
        <v>76</v>
      </c>
      <c r="D462" s="96" t="s">
        <v>77</v>
      </c>
      <c r="E462" s="97">
        <v>44789</v>
      </c>
      <c r="F462" s="97">
        <v>2714</v>
      </c>
      <c r="G462" s="97">
        <v>7166</v>
      </c>
      <c r="H462" s="114">
        <v>58.221164494318955</v>
      </c>
      <c r="I462" s="125">
        <v>46081</v>
      </c>
      <c r="J462" s="115">
        <v>56.915799177810761</v>
      </c>
    </row>
    <row r="463" spans="1:10" ht="16">
      <c r="A463" s="100" t="s">
        <v>1166</v>
      </c>
      <c r="B463" s="101" t="s">
        <v>1142</v>
      </c>
      <c r="C463" s="102" t="s">
        <v>107</v>
      </c>
      <c r="D463" s="103" t="s">
        <v>80</v>
      </c>
      <c r="E463" s="104">
        <v>27455</v>
      </c>
      <c r="F463" s="104">
        <v>869</v>
      </c>
      <c r="G463" s="104">
        <v>1647</v>
      </c>
      <c r="H463" s="116">
        <v>24.057921249813859</v>
      </c>
      <c r="I463" s="126">
        <v>7228</v>
      </c>
      <c r="J463" s="117">
        <v>29.160027920329831</v>
      </c>
    </row>
    <row r="464" spans="1:10" ht="16">
      <c r="A464" s="93" t="s">
        <v>1221</v>
      </c>
      <c r="B464" s="94" t="s">
        <v>1190</v>
      </c>
      <c r="C464" s="95" t="s">
        <v>76</v>
      </c>
      <c r="D464" s="96" t="s">
        <v>92</v>
      </c>
      <c r="E464" s="97">
        <v>15649</v>
      </c>
      <c r="F464" s="97">
        <v>869</v>
      </c>
      <c r="G464" s="97">
        <v>7042</v>
      </c>
      <c r="H464" s="114">
        <v>18.212296599316456</v>
      </c>
      <c r="I464" s="125">
        <v>12887</v>
      </c>
      <c r="J464" s="115">
        <v>20.313821606031762</v>
      </c>
    </row>
    <row r="465" spans="1:10" ht="16">
      <c r="A465" s="100" t="s">
        <v>685</v>
      </c>
      <c r="B465" s="101" t="s">
        <v>642</v>
      </c>
      <c r="C465" s="102" t="s">
        <v>107</v>
      </c>
      <c r="D465" s="103" t="s">
        <v>63</v>
      </c>
      <c r="E465" s="104">
        <v>7118</v>
      </c>
      <c r="F465" s="104">
        <v>749</v>
      </c>
      <c r="G465" s="104">
        <v>214</v>
      </c>
      <c r="H465" s="116">
        <v>11.856028564134316</v>
      </c>
      <c r="I465" s="126">
        <v>2499</v>
      </c>
      <c r="J465" s="117">
        <v>21.846952031561901</v>
      </c>
    </row>
    <row r="466" spans="1:10" ht="16">
      <c r="A466" s="93" t="s">
        <v>1090</v>
      </c>
      <c r="B466" s="94" t="s">
        <v>1081</v>
      </c>
      <c r="C466" s="95" t="s">
        <v>76</v>
      </c>
      <c r="D466" s="96" t="s">
        <v>63</v>
      </c>
      <c r="E466" s="97">
        <v>18590</v>
      </c>
      <c r="F466" s="97">
        <v>819</v>
      </c>
      <c r="G466" s="97">
        <v>2231</v>
      </c>
      <c r="H466" s="114">
        <v>12.072056235747885</v>
      </c>
      <c r="I466" s="125">
        <v>1182</v>
      </c>
      <c r="J466" s="115">
        <v>14.463916368624277</v>
      </c>
    </row>
    <row r="467" spans="1:10" ht="16">
      <c r="A467" s="100" t="s">
        <v>358</v>
      </c>
      <c r="B467" s="101" t="s">
        <v>344</v>
      </c>
      <c r="C467" s="102" t="s">
        <v>76</v>
      </c>
      <c r="D467" s="103" t="s">
        <v>59</v>
      </c>
      <c r="E467" s="104">
        <v>59181</v>
      </c>
      <c r="F467" s="104">
        <v>3794</v>
      </c>
      <c r="G467" s="104">
        <v>592</v>
      </c>
      <c r="H467" s="116">
        <v>7.3236835080788119</v>
      </c>
      <c r="I467" s="126">
        <v>1755</v>
      </c>
      <c r="J467" s="117">
        <v>16.053734577918792</v>
      </c>
    </row>
    <row r="468" spans="1:10" ht="16">
      <c r="A468" s="93" t="s">
        <v>930</v>
      </c>
      <c r="B468" s="94" t="s">
        <v>919</v>
      </c>
      <c r="C468" s="95" t="s">
        <v>107</v>
      </c>
      <c r="D468" s="96" t="s">
        <v>92</v>
      </c>
      <c r="E468" s="97">
        <v>19965</v>
      </c>
      <c r="F468" s="97">
        <v>1174</v>
      </c>
      <c r="G468" s="97">
        <v>599</v>
      </c>
      <c r="H468" s="114">
        <v>10.187482974649136</v>
      </c>
      <c r="I468" s="125">
        <v>432</v>
      </c>
      <c r="J468" s="115">
        <v>16.096746157215069</v>
      </c>
    </row>
    <row r="469" spans="1:10" ht="16">
      <c r="A469" s="100" t="s">
        <v>1336</v>
      </c>
      <c r="B469" s="101" t="s">
        <v>1288</v>
      </c>
      <c r="C469" s="102" t="s">
        <v>76</v>
      </c>
      <c r="D469" s="103" t="s">
        <v>59</v>
      </c>
      <c r="E469" s="104">
        <v>26121</v>
      </c>
      <c r="F469" s="104">
        <v>1375</v>
      </c>
      <c r="G469" s="104">
        <v>784</v>
      </c>
      <c r="H469" s="116">
        <v>16.24439614428282</v>
      </c>
      <c r="I469" s="126">
        <v>7001</v>
      </c>
      <c r="J469" s="117">
        <v>22.556135357967342</v>
      </c>
    </row>
    <row r="470" spans="1:10" ht="16">
      <c r="A470" s="93" t="s">
        <v>1337</v>
      </c>
      <c r="B470" s="94" t="s">
        <v>1288</v>
      </c>
      <c r="C470" s="95" t="s">
        <v>107</v>
      </c>
      <c r="D470" s="96" t="s">
        <v>59</v>
      </c>
      <c r="E470" s="97">
        <v>8084</v>
      </c>
      <c r="F470" s="97">
        <v>364</v>
      </c>
      <c r="G470" s="97">
        <v>1132</v>
      </c>
      <c r="H470" s="114">
        <v>25.155563798889641</v>
      </c>
      <c r="I470" s="125">
        <v>14678</v>
      </c>
      <c r="J470" s="115">
        <v>25.199550303930042</v>
      </c>
    </row>
    <row r="471" spans="1:10" ht="16">
      <c r="A471" s="100" t="s">
        <v>813</v>
      </c>
      <c r="B471" s="101" t="s">
        <v>814</v>
      </c>
      <c r="C471" s="102" t="s">
        <v>76</v>
      </c>
      <c r="D471" s="103" t="s">
        <v>61</v>
      </c>
      <c r="E471" s="104">
        <v>81914</v>
      </c>
      <c r="F471" s="104">
        <v>2453</v>
      </c>
      <c r="G471" s="104">
        <v>4096</v>
      </c>
      <c r="H471" s="116">
        <v>10.12897735642602</v>
      </c>
      <c r="I471" s="126">
        <v>1749</v>
      </c>
      <c r="J471" s="117">
        <v>29.067243708162085</v>
      </c>
    </row>
    <row r="472" spans="1:10" ht="16">
      <c r="A472" s="93" t="s">
        <v>103</v>
      </c>
      <c r="B472" s="94" t="s">
        <v>89</v>
      </c>
      <c r="C472" s="95" t="s">
        <v>76</v>
      </c>
      <c r="D472" s="96" t="s">
        <v>80</v>
      </c>
      <c r="E472" s="97">
        <v>52989</v>
      </c>
      <c r="F472" s="97">
        <v>1563</v>
      </c>
      <c r="G472" s="97">
        <v>20666</v>
      </c>
      <c r="H472" s="114">
        <v>56.605630291428362</v>
      </c>
      <c r="I472" s="125">
        <v>47477</v>
      </c>
      <c r="J472" s="115">
        <v>47.865096357108975</v>
      </c>
    </row>
    <row r="473" spans="1:10" ht="16">
      <c r="A473" s="100" t="s">
        <v>1338</v>
      </c>
      <c r="B473" s="101" t="s">
        <v>1288</v>
      </c>
      <c r="C473" s="102" t="s">
        <v>107</v>
      </c>
      <c r="D473" s="103" t="s">
        <v>61</v>
      </c>
      <c r="E473" s="104">
        <v>14357</v>
      </c>
      <c r="F473" s="104">
        <v>740</v>
      </c>
      <c r="G473" s="104">
        <v>431</v>
      </c>
      <c r="H473" s="116">
        <v>19.548213721575923</v>
      </c>
      <c r="I473" s="126">
        <v>13066</v>
      </c>
      <c r="J473" s="117">
        <v>19.573855498107694</v>
      </c>
    </row>
    <row r="474" spans="1:10" ht="16">
      <c r="A474" s="93" t="s">
        <v>805</v>
      </c>
      <c r="B474" s="94" t="s">
        <v>798</v>
      </c>
      <c r="C474" s="95" t="s">
        <v>107</v>
      </c>
      <c r="D474" s="96" t="s">
        <v>130</v>
      </c>
      <c r="E474" s="97">
        <v>14343</v>
      </c>
      <c r="F474" s="97">
        <v>885</v>
      </c>
      <c r="G474" s="97">
        <v>1578</v>
      </c>
      <c r="H474" s="114">
        <v>19.113500888875066</v>
      </c>
      <c r="I474" s="125">
        <v>7699</v>
      </c>
      <c r="J474" s="115">
        <v>21.094546497926761</v>
      </c>
    </row>
    <row r="475" spans="1:10" ht="16">
      <c r="A475" s="100" t="s">
        <v>382</v>
      </c>
      <c r="B475" s="101" t="s">
        <v>377</v>
      </c>
      <c r="C475" s="102" t="s">
        <v>76</v>
      </c>
      <c r="D475" s="103" t="s">
        <v>60</v>
      </c>
      <c r="E475" s="104">
        <v>39405</v>
      </c>
      <c r="F475" s="104">
        <v>2021</v>
      </c>
      <c r="G475" s="104">
        <v>5911</v>
      </c>
      <c r="H475" s="116">
        <v>27.303294800037222</v>
      </c>
      <c r="I475" s="126">
        <v>18313</v>
      </c>
      <c r="J475" s="117">
        <v>36.404361367378307</v>
      </c>
    </row>
    <row r="476" spans="1:10" ht="16">
      <c r="A476" s="93" t="s">
        <v>931</v>
      </c>
      <c r="B476" s="94" t="s">
        <v>919</v>
      </c>
      <c r="C476" s="95" t="s">
        <v>107</v>
      </c>
      <c r="D476" s="96" t="s">
        <v>63</v>
      </c>
      <c r="E476" s="97">
        <v>15248</v>
      </c>
      <c r="F476" s="97">
        <v>1303</v>
      </c>
      <c r="G476" s="97">
        <v>1372</v>
      </c>
      <c r="H476" s="114">
        <v>12.678947160063389</v>
      </c>
      <c r="I476" s="125">
        <v>442</v>
      </c>
      <c r="J476" s="115">
        <v>24.18451003563678</v>
      </c>
    </row>
    <row r="477" spans="1:10" ht="16">
      <c r="A477" s="100" t="s">
        <v>932</v>
      </c>
      <c r="B477" s="101" t="s">
        <v>919</v>
      </c>
      <c r="C477" s="102" t="s">
        <v>107</v>
      </c>
      <c r="D477" s="103" t="s">
        <v>61</v>
      </c>
      <c r="E477" s="104">
        <v>5716</v>
      </c>
      <c r="F477" s="104">
        <v>510</v>
      </c>
      <c r="G477" s="104">
        <v>857</v>
      </c>
      <c r="H477" s="116">
        <v>46.546892075196709</v>
      </c>
      <c r="I477" s="126">
        <v>21623</v>
      </c>
      <c r="J477" s="117">
        <v>53.629676429108287</v>
      </c>
    </row>
    <row r="478" spans="1:10" ht="16">
      <c r="A478" s="93" t="s">
        <v>933</v>
      </c>
      <c r="B478" s="94" t="s">
        <v>919</v>
      </c>
      <c r="C478" s="95" t="s">
        <v>107</v>
      </c>
      <c r="D478" s="96" t="s">
        <v>63</v>
      </c>
      <c r="E478" s="97">
        <v>11422</v>
      </c>
      <c r="F478" s="97">
        <v>777</v>
      </c>
      <c r="G478" s="97">
        <v>1142</v>
      </c>
      <c r="H478" s="114">
        <v>11.260177000090117</v>
      </c>
      <c r="I478" s="125">
        <v>680</v>
      </c>
      <c r="J478" s="115">
        <v>19.595557473419532</v>
      </c>
    </row>
    <row r="479" spans="1:10" ht="16">
      <c r="A479" s="100" t="s">
        <v>781</v>
      </c>
      <c r="B479" s="101" t="s">
        <v>782</v>
      </c>
      <c r="C479" s="102" t="s">
        <v>107</v>
      </c>
      <c r="D479" s="103" t="s">
        <v>61</v>
      </c>
      <c r="E479" s="104">
        <v>11080</v>
      </c>
      <c r="F479" s="104">
        <v>833</v>
      </c>
      <c r="G479" s="104">
        <v>997</v>
      </c>
      <c r="H479" s="116">
        <v>10.347140693051493</v>
      </c>
      <c r="I479" s="126">
        <v>1129</v>
      </c>
      <c r="J479" s="117">
        <v>17.149758309606963</v>
      </c>
    </row>
    <row r="480" spans="1:10" ht="16">
      <c r="A480" s="93" t="s">
        <v>104</v>
      </c>
      <c r="B480" s="94" t="s">
        <v>89</v>
      </c>
      <c r="C480" s="95" t="s">
        <v>76</v>
      </c>
      <c r="D480" s="96" t="s">
        <v>82</v>
      </c>
      <c r="E480" s="97">
        <v>14905</v>
      </c>
      <c r="F480" s="97">
        <v>538</v>
      </c>
      <c r="G480" s="97">
        <v>5515</v>
      </c>
      <c r="H480" s="114">
        <v>24.984881080934802</v>
      </c>
      <c r="I480" s="125">
        <v>15481</v>
      </c>
      <c r="J480" s="115">
        <v>19.476530184272974</v>
      </c>
    </row>
    <row r="481" spans="1:10" ht="16">
      <c r="A481" s="100" t="s">
        <v>686</v>
      </c>
      <c r="B481" s="101" t="s">
        <v>642</v>
      </c>
      <c r="C481" s="102" t="s">
        <v>107</v>
      </c>
      <c r="D481" s="103" t="s">
        <v>130</v>
      </c>
      <c r="E481" s="104">
        <v>3365</v>
      </c>
      <c r="F481" s="104">
        <v>192</v>
      </c>
      <c r="G481" s="104">
        <v>135</v>
      </c>
      <c r="H481" s="116">
        <v>10.36499275216765</v>
      </c>
      <c r="I481" s="126">
        <v>4113</v>
      </c>
      <c r="J481" s="117">
        <v>16.188595625944878</v>
      </c>
    </row>
    <row r="482" spans="1:10" ht="16">
      <c r="A482" s="93" t="s">
        <v>687</v>
      </c>
      <c r="B482" s="94" t="s">
        <v>642</v>
      </c>
      <c r="C482" s="95" t="s">
        <v>107</v>
      </c>
      <c r="D482" s="96" t="s">
        <v>61</v>
      </c>
      <c r="E482" s="97">
        <v>2300</v>
      </c>
      <c r="F482" s="97">
        <v>215</v>
      </c>
      <c r="G482" s="97">
        <v>276</v>
      </c>
      <c r="H482" s="114">
        <v>15.410422758628345</v>
      </c>
      <c r="I482" s="125">
        <v>1730</v>
      </c>
      <c r="J482" s="115">
        <v>25.114442831059375</v>
      </c>
    </row>
    <row r="483" spans="1:10" ht="16">
      <c r="A483" s="100" t="s">
        <v>688</v>
      </c>
      <c r="B483" s="101" t="s">
        <v>642</v>
      </c>
      <c r="C483" s="102" t="s">
        <v>107</v>
      </c>
      <c r="D483" s="103" t="s">
        <v>84</v>
      </c>
      <c r="E483" s="104">
        <v>9163</v>
      </c>
      <c r="F483" s="104">
        <v>1309</v>
      </c>
      <c r="G483" s="104">
        <v>367</v>
      </c>
      <c r="H483" s="116">
        <v>14.81288249754869</v>
      </c>
      <c r="I483" s="126">
        <v>3431</v>
      </c>
      <c r="J483" s="117">
        <v>26.192318394294151</v>
      </c>
    </row>
    <row r="484" spans="1:10" ht="16">
      <c r="A484" s="93" t="s">
        <v>689</v>
      </c>
      <c r="B484" s="94" t="s">
        <v>642</v>
      </c>
      <c r="C484" s="95" t="s">
        <v>76</v>
      </c>
      <c r="D484" s="96" t="s">
        <v>62</v>
      </c>
      <c r="E484" s="97">
        <v>4444</v>
      </c>
      <c r="F484" s="97">
        <v>585</v>
      </c>
      <c r="G484" s="97">
        <v>89</v>
      </c>
      <c r="H484" s="114">
        <v>14.707944578650933</v>
      </c>
      <c r="I484" s="125">
        <v>3954</v>
      </c>
      <c r="J484" s="115">
        <v>24.193316919140457</v>
      </c>
    </row>
    <row r="485" spans="1:10" ht="16">
      <c r="A485" s="100" t="s">
        <v>690</v>
      </c>
      <c r="B485" s="101" t="s">
        <v>642</v>
      </c>
      <c r="C485" s="102" t="s">
        <v>107</v>
      </c>
      <c r="D485" s="103" t="s">
        <v>130</v>
      </c>
      <c r="E485" s="104">
        <v>5661</v>
      </c>
      <c r="F485" s="104">
        <v>349</v>
      </c>
      <c r="G485" s="104">
        <v>226</v>
      </c>
      <c r="H485" s="116">
        <v>20.015245794898657</v>
      </c>
      <c r="I485" s="126">
        <v>2509</v>
      </c>
      <c r="J485" s="117">
        <v>18.944573077267812</v>
      </c>
    </row>
    <row r="486" spans="1:10" ht="16">
      <c r="A486" s="93" t="s">
        <v>691</v>
      </c>
      <c r="B486" s="94" t="s">
        <v>642</v>
      </c>
      <c r="C486" s="95" t="s">
        <v>107</v>
      </c>
      <c r="D486" s="96" t="s">
        <v>59</v>
      </c>
      <c r="E486" s="97">
        <v>15676</v>
      </c>
      <c r="F486" s="97">
        <v>1704</v>
      </c>
      <c r="G486" s="97">
        <v>1724</v>
      </c>
      <c r="H486" s="114">
        <v>48.686946445020808</v>
      </c>
      <c r="I486" s="125">
        <v>20804</v>
      </c>
      <c r="J486" s="115">
        <v>48.325195956600474</v>
      </c>
    </row>
    <row r="487" spans="1:10" ht="16">
      <c r="A487" s="100" t="s">
        <v>252</v>
      </c>
      <c r="B487" s="101" t="s">
        <v>223</v>
      </c>
      <c r="C487" s="102" t="s">
        <v>76</v>
      </c>
      <c r="D487" s="103" t="s">
        <v>92</v>
      </c>
      <c r="E487" s="104">
        <v>25963</v>
      </c>
      <c r="F487" s="104">
        <v>1633</v>
      </c>
      <c r="G487" s="104">
        <v>779</v>
      </c>
      <c r="H487" s="116">
        <v>17.659929819792108</v>
      </c>
      <c r="I487" s="126">
        <v>7457</v>
      </c>
      <c r="J487" s="117">
        <v>24.126894676473693</v>
      </c>
    </row>
    <row r="488" spans="1:10" ht="16">
      <c r="A488" s="93" t="s">
        <v>253</v>
      </c>
      <c r="B488" s="94" t="s">
        <v>223</v>
      </c>
      <c r="C488" s="95" t="s">
        <v>107</v>
      </c>
      <c r="D488" s="96" t="s">
        <v>62</v>
      </c>
      <c r="E488" s="97">
        <v>15420</v>
      </c>
      <c r="F488" s="97">
        <v>1713</v>
      </c>
      <c r="G488" s="97">
        <v>771</v>
      </c>
      <c r="H488" s="114">
        <v>26.669989062751483</v>
      </c>
      <c r="I488" s="125">
        <v>9404</v>
      </c>
      <c r="J488" s="115">
        <v>38.262595714815049</v>
      </c>
    </row>
    <row r="489" spans="1:10" ht="16">
      <c r="A489" s="100" t="s">
        <v>254</v>
      </c>
      <c r="B489" s="101" t="s">
        <v>223</v>
      </c>
      <c r="C489" s="102" t="s">
        <v>76</v>
      </c>
      <c r="D489" s="103" t="s">
        <v>130</v>
      </c>
      <c r="E489" s="104">
        <v>27490</v>
      </c>
      <c r="F489" s="104">
        <v>2083</v>
      </c>
      <c r="G489" s="104">
        <v>825</v>
      </c>
      <c r="H489" s="116">
        <v>12.397431843565958</v>
      </c>
      <c r="I489" s="126">
        <v>6623</v>
      </c>
      <c r="J489" s="117">
        <v>21.057380703437261</v>
      </c>
    </row>
    <row r="490" spans="1:10" ht="16">
      <c r="A490" s="93" t="s">
        <v>255</v>
      </c>
      <c r="B490" s="94" t="s">
        <v>223</v>
      </c>
      <c r="C490" s="95" t="s">
        <v>76</v>
      </c>
      <c r="D490" s="96" t="s">
        <v>61</v>
      </c>
      <c r="E490" s="97">
        <v>33175</v>
      </c>
      <c r="F490" s="97">
        <v>2387</v>
      </c>
      <c r="G490" s="97">
        <v>664</v>
      </c>
      <c r="H490" s="114">
        <v>12.247652735718091</v>
      </c>
      <c r="I490" s="125">
        <v>6467</v>
      </c>
      <c r="J490" s="115">
        <v>17.939578875378206</v>
      </c>
    </row>
    <row r="491" spans="1:10" ht="16">
      <c r="A491" s="100" t="s">
        <v>256</v>
      </c>
      <c r="B491" s="101" t="s">
        <v>223</v>
      </c>
      <c r="C491" s="102" t="s">
        <v>107</v>
      </c>
      <c r="D491" s="103" t="s">
        <v>77</v>
      </c>
      <c r="E491" s="104">
        <v>34569</v>
      </c>
      <c r="F491" s="104">
        <v>2230</v>
      </c>
      <c r="G491" s="104">
        <v>3457</v>
      </c>
      <c r="H491" s="116">
        <v>48.519224101285559</v>
      </c>
      <c r="I491" s="126">
        <v>34561</v>
      </c>
      <c r="J491" s="117">
        <v>51.058726164176541</v>
      </c>
    </row>
    <row r="492" spans="1:10" ht="16">
      <c r="A492" s="93" t="s">
        <v>257</v>
      </c>
      <c r="B492" s="94" t="s">
        <v>223</v>
      </c>
      <c r="C492" s="95" t="s">
        <v>107</v>
      </c>
      <c r="D492" s="96" t="s">
        <v>77</v>
      </c>
      <c r="E492" s="97">
        <v>29542</v>
      </c>
      <c r="F492" s="97">
        <v>1780</v>
      </c>
      <c r="G492" s="97">
        <v>886</v>
      </c>
      <c r="H492" s="114">
        <v>21.73031391070413</v>
      </c>
      <c r="I492" s="125">
        <v>4212</v>
      </c>
      <c r="J492" s="115">
        <v>21.760508033920871</v>
      </c>
    </row>
    <row r="493" spans="1:10" ht="16">
      <c r="A493" s="100" t="s">
        <v>258</v>
      </c>
      <c r="B493" s="101" t="s">
        <v>223</v>
      </c>
      <c r="C493" s="102" t="s">
        <v>107</v>
      </c>
      <c r="D493" s="103" t="s">
        <v>80</v>
      </c>
      <c r="E493" s="104">
        <v>21857</v>
      </c>
      <c r="F493" s="104">
        <v>1410</v>
      </c>
      <c r="G493" s="104">
        <v>656</v>
      </c>
      <c r="H493" s="116">
        <v>15.678953574350484</v>
      </c>
      <c r="I493" s="126">
        <v>10494</v>
      </c>
      <c r="J493" s="117">
        <v>17.388217640600775</v>
      </c>
    </row>
    <row r="494" spans="1:10" ht="16">
      <c r="A494" s="93" t="s">
        <v>259</v>
      </c>
      <c r="B494" s="94" t="s">
        <v>223</v>
      </c>
      <c r="C494" s="95" t="s">
        <v>76</v>
      </c>
      <c r="D494" s="96" t="s">
        <v>92</v>
      </c>
      <c r="E494" s="97">
        <v>28061</v>
      </c>
      <c r="F494" s="97">
        <v>2110</v>
      </c>
      <c r="G494" s="97">
        <v>1964</v>
      </c>
      <c r="H494" s="114">
        <v>22.640418782157738</v>
      </c>
      <c r="I494" s="125">
        <v>16622</v>
      </c>
      <c r="J494" s="115">
        <v>36.387741875682458</v>
      </c>
    </row>
    <row r="495" spans="1:10" ht="16">
      <c r="A495" s="100" t="s">
        <v>966</v>
      </c>
      <c r="B495" s="101" t="s">
        <v>967</v>
      </c>
      <c r="C495" s="102" t="s">
        <v>107</v>
      </c>
      <c r="D495" s="103" t="s">
        <v>63</v>
      </c>
      <c r="E495" s="104">
        <v>25088</v>
      </c>
      <c r="F495" s="104">
        <v>1578</v>
      </c>
      <c r="G495" s="104">
        <v>6774</v>
      </c>
      <c r="H495" s="116">
        <v>70.454934794728416</v>
      </c>
      <c r="I495" s="126">
        <v>59880</v>
      </c>
      <c r="J495" s="117">
        <v>57.814414550117014</v>
      </c>
    </row>
    <row r="496" spans="1:10" ht="16">
      <c r="A496" s="93" t="s">
        <v>692</v>
      </c>
      <c r="B496" s="94" t="s">
        <v>642</v>
      </c>
      <c r="C496" s="95" t="s">
        <v>107</v>
      </c>
      <c r="D496" s="96" t="s">
        <v>92</v>
      </c>
      <c r="E496" s="97">
        <v>1240</v>
      </c>
      <c r="F496" s="97">
        <v>376</v>
      </c>
      <c r="G496" s="97">
        <v>12</v>
      </c>
      <c r="H496" s="114">
        <v>11.613039229620183</v>
      </c>
      <c r="I496" s="125">
        <v>2430</v>
      </c>
      <c r="J496" s="115">
        <v>25.765068347833989</v>
      </c>
    </row>
    <row r="497" spans="1:10" ht="16">
      <c r="A497" s="100" t="s">
        <v>1128</v>
      </c>
      <c r="B497" s="101" t="s">
        <v>1120</v>
      </c>
      <c r="C497" s="102" t="s">
        <v>76</v>
      </c>
      <c r="D497" s="103" t="s">
        <v>63</v>
      </c>
      <c r="E497" s="104">
        <v>22863</v>
      </c>
      <c r="F497" s="104">
        <v>1466</v>
      </c>
      <c r="G497" s="104">
        <v>229</v>
      </c>
      <c r="H497" s="116">
        <v>8.6085978416205897</v>
      </c>
      <c r="I497" s="126">
        <v>1085</v>
      </c>
      <c r="J497" s="117">
        <v>17.566542349683527</v>
      </c>
    </row>
    <row r="498" spans="1:10" ht="16">
      <c r="A498" s="93" t="s">
        <v>451</v>
      </c>
      <c r="B498" s="94" t="s">
        <v>448</v>
      </c>
      <c r="C498" s="95" t="s">
        <v>76</v>
      </c>
      <c r="D498" s="96" t="s">
        <v>130</v>
      </c>
      <c r="E498" s="97">
        <v>57697</v>
      </c>
      <c r="F498" s="97">
        <v>2032</v>
      </c>
      <c r="G498" s="97">
        <v>5770</v>
      </c>
      <c r="H498" s="114">
        <v>15.607605650249376</v>
      </c>
      <c r="I498" s="125">
        <v>10984</v>
      </c>
      <c r="J498" s="115">
        <v>22.088199474485787</v>
      </c>
    </row>
    <row r="499" spans="1:10" ht="16">
      <c r="A499" s="100" t="s">
        <v>806</v>
      </c>
      <c r="B499" s="101" t="s">
        <v>798</v>
      </c>
      <c r="C499" s="102" t="s">
        <v>76</v>
      </c>
      <c r="D499" s="103" t="s">
        <v>84</v>
      </c>
      <c r="E499" s="104">
        <v>161718</v>
      </c>
      <c r="F499" s="104">
        <v>9457</v>
      </c>
      <c r="G499" s="104">
        <v>12937</v>
      </c>
      <c r="H499" s="116">
        <v>30.732158074765199</v>
      </c>
      <c r="I499" s="126">
        <v>5819</v>
      </c>
      <c r="J499" s="117">
        <v>32.844909365753942</v>
      </c>
    </row>
    <row r="500" spans="1:10" ht="16">
      <c r="A500" s="93" t="s">
        <v>1091</v>
      </c>
      <c r="B500" s="94" t="s">
        <v>1081</v>
      </c>
      <c r="C500" s="95" t="s">
        <v>107</v>
      </c>
      <c r="D500" s="96" t="s">
        <v>63</v>
      </c>
      <c r="E500" s="97">
        <v>10838</v>
      </c>
      <c r="F500" s="97">
        <v>1153</v>
      </c>
      <c r="G500" s="97">
        <v>1084</v>
      </c>
      <c r="H500" s="114">
        <v>22.713542751877991</v>
      </c>
      <c r="I500" s="125">
        <v>5083</v>
      </c>
      <c r="J500" s="115">
        <v>25.608089603113058</v>
      </c>
    </row>
    <row r="501" spans="1:10" ht="16">
      <c r="A501" s="100" t="s">
        <v>1092</v>
      </c>
      <c r="B501" s="101" t="s">
        <v>1081</v>
      </c>
      <c r="C501" s="102" t="s">
        <v>76</v>
      </c>
      <c r="D501" s="103" t="s">
        <v>59</v>
      </c>
      <c r="E501" s="104">
        <v>8180</v>
      </c>
      <c r="F501" s="104">
        <v>375</v>
      </c>
      <c r="G501" s="104">
        <v>654</v>
      </c>
      <c r="H501" s="116">
        <v>18.631079218822684</v>
      </c>
      <c r="I501" s="126">
        <v>2347</v>
      </c>
      <c r="J501" s="117">
        <v>20.731112918806971</v>
      </c>
    </row>
    <row r="502" spans="1:10" ht="16">
      <c r="A502" s="93" t="s">
        <v>1093</v>
      </c>
      <c r="B502" s="94" t="s">
        <v>1081</v>
      </c>
      <c r="C502" s="95" t="s">
        <v>107</v>
      </c>
      <c r="D502" s="96" t="s">
        <v>84</v>
      </c>
      <c r="E502" s="97">
        <v>20663</v>
      </c>
      <c r="F502" s="97">
        <v>1508</v>
      </c>
      <c r="G502" s="97">
        <v>2686</v>
      </c>
      <c r="H502" s="114">
        <v>41.52591822404964</v>
      </c>
      <c r="I502" s="125">
        <v>9469</v>
      </c>
      <c r="J502" s="115">
        <v>33.679301766903528</v>
      </c>
    </row>
    <row r="503" spans="1:10" ht="16">
      <c r="A503" s="100" t="s">
        <v>1094</v>
      </c>
      <c r="B503" s="101" t="s">
        <v>1081</v>
      </c>
      <c r="C503" s="102" t="s">
        <v>76</v>
      </c>
      <c r="D503" s="103" t="s">
        <v>92</v>
      </c>
      <c r="E503" s="104">
        <v>13558</v>
      </c>
      <c r="F503" s="104">
        <v>869</v>
      </c>
      <c r="G503" s="104">
        <v>2169</v>
      </c>
      <c r="H503" s="116">
        <v>29.959018389308468</v>
      </c>
      <c r="I503" s="126">
        <v>3885</v>
      </c>
      <c r="J503" s="117">
        <v>24.10154357412771</v>
      </c>
    </row>
    <row r="504" spans="1:10" ht="16">
      <c r="A504" s="93" t="s">
        <v>1095</v>
      </c>
      <c r="B504" s="94" t="s">
        <v>1081</v>
      </c>
      <c r="C504" s="95" t="s">
        <v>107</v>
      </c>
      <c r="D504" s="96" t="s">
        <v>63</v>
      </c>
      <c r="E504" s="97">
        <v>12017</v>
      </c>
      <c r="F504" s="97">
        <v>720</v>
      </c>
      <c r="G504" s="97">
        <v>1442</v>
      </c>
      <c r="H504" s="114">
        <v>43.546484395153605</v>
      </c>
      <c r="I504" s="125">
        <v>11120</v>
      </c>
      <c r="J504" s="115">
        <v>35.889399288664841</v>
      </c>
    </row>
    <row r="505" spans="1:10" ht="16">
      <c r="A505" s="100" t="s">
        <v>1096</v>
      </c>
      <c r="B505" s="101" t="s">
        <v>1081</v>
      </c>
      <c r="C505" s="102" t="s">
        <v>107</v>
      </c>
      <c r="D505" s="103" t="s">
        <v>82</v>
      </c>
      <c r="E505" s="104">
        <v>12219</v>
      </c>
      <c r="F505" s="104">
        <v>465</v>
      </c>
      <c r="G505" s="104">
        <v>367</v>
      </c>
      <c r="H505" s="116">
        <v>12.794783577760374</v>
      </c>
      <c r="I505" s="126">
        <v>1022</v>
      </c>
      <c r="J505" s="117">
        <v>15.52623391995931</v>
      </c>
    </row>
    <row r="506" spans="1:10" ht="16">
      <c r="A506" s="93" t="s">
        <v>1097</v>
      </c>
      <c r="B506" s="94" t="s">
        <v>1081</v>
      </c>
      <c r="C506" s="95" t="s">
        <v>107</v>
      </c>
      <c r="D506" s="96" t="s">
        <v>80</v>
      </c>
      <c r="E506" s="97">
        <v>7158</v>
      </c>
      <c r="F506" s="97">
        <v>287</v>
      </c>
      <c r="G506" s="97">
        <v>286</v>
      </c>
      <c r="H506" s="114">
        <v>20.396516167331157</v>
      </c>
      <c r="I506" s="125">
        <v>931</v>
      </c>
      <c r="J506" s="115">
        <v>14.382521490289582</v>
      </c>
    </row>
    <row r="507" spans="1:10" ht="16">
      <c r="A507" s="100" t="s">
        <v>1098</v>
      </c>
      <c r="B507" s="101" t="s">
        <v>1081</v>
      </c>
      <c r="C507" s="102" t="s">
        <v>107</v>
      </c>
      <c r="D507" s="103" t="s">
        <v>92</v>
      </c>
      <c r="E507" s="104">
        <v>10161</v>
      </c>
      <c r="F507" s="104">
        <v>682</v>
      </c>
      <c r="G507" s="104">
        <v>508</v>
      </c>
      <c r="H507" s="116">
        <v>19.192333403685367</v>
      </c>
      <c r="I507" s="126">
        <v>2550</v>
      </c>
      <c r="J507" s="117">
        <v>19.63001758043081</v>
      </c>
    </row>
    <row r="508" spans="1:10" ht="16">
      <c r="A508" s="93" t="s">
        <v>1099</v>
      </c>
      <c r="B508" s="94" t="s">
        <v>1081</v>
      </c>
      <c r="C508" s="95" t="s">
        <v>107</v>
      </c>
      <c r="D508" s="96" t="s">
        <v>62</v>
      </c>
      <c r="E508" s="97">
        <v>15077</v>
      </c>
      <c r="F508" s="97">
        <v>1012</v>
      </c>
      <c r="G508" s="97">
        <v>754</v>
      </c>
      <c r="H508" s="114">
        <v>17.458180922684093</v>
      </c>
      <c r="I508" s="125">
        <v>3182</v>
      </c>
      <c r="J508" s="115">
        <v>21.546328850883857</v>
      </c>
    </row>
    <row r="509" spans="1:10" ht="16">
      <c r="A509" s="100" t="s">
        <v>1100</v>
      </c>
      <c r="B509" s="101" t="s">
        <v>1081</v>
      </c>
      <c r="C509" s="102" t="s">
        <v>76</v>
      </c>
      <c r="D509" s="103" t="s">
        <v>80</v>
      </c>
      <c r="E509" s="104">
        <v>10269</v>
      </c>
      <c r="F509" s="104">
        <v>567</v>
      </c>
      <c r="G509" s="104">
        <v>924</v>
      </c>
      <c r="H509" s="116">
        <v>24.783049631556182</v>
      </c>
      <c r="I509" s="126">
        <v>7220</v>
      </c>
      <c r="J509" s="117">
        <v>16.5372252733609</v>
      </c>
    </row>
    <row r="510" spans="1:10" ht="16">
      <c r="A510" s="93" t="s">
        <v>383</v>
      </c>
      <c r="B510" s="94" t="s">
        <v>377</v>
      </c>
      <c r="C510" s="95" t="s">
        <v>107</v>
      </c>
      <c r="D510" s="96" t="s">
        <v>84</v>
      </c>
      <c r="E510" s="97">
        <v>6173</v>
      </c>
      <c r="F510" s="97">
        <v>315</v>
      </c>
      <c r="G510" s="97">
        <v>1728</v>
      </c>
      <c r="H510" s="114">
        <v>25.919815535884386</v>
      </c>
      <c r="I510" s="125">
        <v>8678</v>
      </c>
      <c r="J510" s="115">
        <v>30.046120250275525</v>
      </c>
    </row>
    <row r="511" spans="1:10" ht="16">
      <c r="A511" s="100" t="s">
        <v>511</v>
      </c>
      <c r="B511" s="101" t="s">
        <v>474</v>
      </c>
      <c r="C511" s="102" t="s">
        <v>107</v>
      </c>
      <c r="D511" s="103" t="s">
        <v>63</v>
      </c>
      <c r="E511" s="104">
        <v>5851</v>
      </c>
      <c r="F511" s="104">
        <v>311</v>
      </c>
      <c r="G511" s="104">
        <v>234</v>
      </c>
      <c r="H511" s="116">
        <v>15.951698835440435</v>
      </c>
      <c r="I511" s="126">
        <v>6804</v>
      </c>
      <c r="J511" s="117">
        <v>27.340931390472299</v>
      </c>
    </row>
    <row r="512" spans="1:10" ht="16">
      <c r="A512" s="93" t="s">
        <v>512</v>
      </c>
      <c r="B512" s="94" t="s">
        <v>474</v>
      </c>
      <c r="C512" s="95" t="s">
        <v>107</v>
      </c>
      <c r="D512" s="96" t="s">
        <v>80</v>
      </c>
      <c r="E512" s="97">
        <v>6081</v>
      </c>
      <c r="F512" s="97">
        <v>318</v>
      </c>
      <c r="G512" s="97">
        <v>486</v>
      </c>
      <c r="H512" s="114">
        <v>17.702968280779981</v>
      </c>
      <c r="I512" s="125">
        <v>5815</v>
      </c>
      <c r="J512" s="115">
        <v>25.638554157808262</v>
      </c>
    </row>
    <row r="513" spans="1:10" ht="16">
      <c r="A513" s="100" t="s">
        <v>807</v>
      </c>
      <c r="B513" s="101" t="s">
        <v>798</v>
      </c>
      <c r="C513" s="102" t="s">
        <v>107</v>
      </c>
      <c r="D513" s="103" t="s">
        <v>63</v>
      </c>
      <c r="E513" s="104">
        <v>177983</v>
      </c>
      <c r="F513" s="104">
        <v>16480</v>
      </c>
      <c r="G513" s="104">
        <v>12385</v>
      </c>
      <c r="H513" s="116">
        <v>9.5553327661221665</v>
      </c>
      <c r="I513" s="126">
        <v>1019</v>
      </c>
      <c r="J513" s="117">
        <v>18.275623583570194</v>
      </c>
    </row>
    <row r="514" spans="1:10" ht="16">
      <c r="A514" s="93" t="s">
        <v>934</v>
      </c>
      <c r="B514" s="94" t="s">
        <v>919</v>
      </c>
      <c r="C514" s="95" t="s">
        <v>107</v>
      </c>
      <c r="D514" s="96" t="s">
        <v>92</v>
      </c>
      <c r="E514" s="97">
        <v>6489</v>
      </c>
      <c r="F514" s="97">
        <v>601</v>
      </c>
      <c r="G514" s="97">
        <v>1557</v>
      </c>
      <c r="H514" s="114">
        <v>36.456678911618269</v>
      </c>
      <c r="I514" s="125">
        <v>12202</v>
      </c>
      <c r="J514" s="115">
        <v>38.374612981788395</v>
      </c>
    </row>
    <row r="515" spans="1:10" ht="16">
      <c r="A515" s="100" t="s">
        <v>935</v>
      </c>
      <c r="B515" s="101" t="s">
        <v>919</v>
      </c>
      <c r="C515" s="102" t="s">
        <v>76</v>
      </c>
      <c r="D515" s="103" t="s">
        <v>77</v>
      </c>
      <c r="E515" s="104">
        <v>9847</v>
      </c>
      <c r="F515" s="104">
        <v>1015</v>
      </c>
      <c r="G515" s="104">
        <v>689</v>
      </c>
      <c r="H515" s="116">
        <v>12.575217461995036</v>
      </c>
      <c r="I515" s="126">
        <v>3073</v>
      </c>
      <c r="J515" s="117">
        <v>20.912092561026519</v>
      </c>
    </row>
    <row r="516" spans="1:10" ht="16">
      <c r="A516" s="93" t="s">
        <v>1101</v>
      </c>
      <c r="B516" s="94" t="s">
        <v>1081</v>
      </c>
      <c r="C516" s="95" t="s">
        <v>107</v>
      </c>
      <c r="D516" s="96" t="s">
        <v>61</v>
      </c>
      <c r="E516" s="97">
        <v>9190</v>
      </c>
      <c r="F516" s="97">
        <v>696</v>
      </c>
      <c r="G516" s="97">
        <v>551</v>
      </c>
      <c r="H516" s="114">
        <v>28.89075057186507</v>
      </c>
      <c r="I516" s="125">
        <v>6237</v>
      </c>
      <c r="J516" s="115">
        <v>25.275390485998589</v>
      </c>
    </row>
    <row r="517" spans="1:10" ht="16">
      <c r="A517" s="100" t="s">
        <v>1102</v>
      </c>
      <c r="B517" s="101" t="s">
        <v>1081</v>
      </c>
      <c r="C517" s="102" t="s">
        <v>76</v>
      </c>
      <c r="D517" s="103" t="s">
        <v>84</v>
      </c>
      <c r="E517" s="104">
        <v>8645</v>
      </c>
      <c r="F517" s="104">
        <v>509</v>
      </c>
      <c r="G517" s="104">
        <v>346</v>
      </c>
      <c r="H517" s="116">
        <v>15.07492877913492</v>
      </c>
      <c r="I517" s="126">
        <v>3809</v>
      </c>
      <c r="J517" s="117">
        <v>20.209673341552993</v>
      </c>
    </row>
    <row r="518" spans="1:10" ht="16">
      <c r="A518" s="93" t="s">
        <v>1103</v>
      </c>
      <c r="B518" s="94" t="s">
        <v>1081</v>
      </c>
      <c r="C518" s="95" t="s">
        <v>107</v>
      </c>
      <c r="D518" s="96" t="s">
        <v>82</v>
      </c>
      <c r="E518" s="97">
        <v>9994</v>
      </c>
      <c r="F518" s="97">
        <v>629</v>
      </c>
      <c r="G518" s="97">
        <v>800</v>
      </c>
      <c r="H518" s="114">
        <v>21.071255569312548</v>
      </c>
      <c r="I518" s="125">
        <v>4638</v>
      </c>
      <c r="J518" s="115">
        <v>21.932570139027547</v>
      </c>
    </row>
    <row r="519" spans="1:10" ht="16">
      <c r="A519" s="100" t="s">
        <v>1104</v>
      </c>
      <c r="B519" s="101" t="s">
        <v>1081</v>
      </c>
      <c r="C519" s="102" t="s">
        <v>107</v>
      </c>
      <c r="D519" s="103" t="s">
        <v>130</v>
      </c>
      <c r="E519" s="104">
        <v>10789</v>
      </c>
      <c r="F519" s="104">
        <v>892</v>
      </c>
      <c r="G519" s="104">
        <v>2589</v>
      </c>
      <c r="H519" s="116">
        <v>37.943557504487359</v>
      </c>
      <c r="I519" s="126">
        <v>8597</v>
      </c>
      <c r="J519" s="117">
        <v>32.801220382060713</v>
      </c>
    </row>
    <row r="520" spans="1:10" ht="16">
      <c r="A520" s="93" t="s">
        <v>1105</v>
      </c>
      <c r="B520" s="94" t="s">
        <v>1081</v>
      </c>
      <c r="C520" s="95" t="s">
        <v>107</v>
      </c>
      <c r="D520" s="96" t="s">
        <v>84</v>
      </c>
      <c r="E520" s="97">
        <v>8652</v>
      </c>
      <c r="F520" s="97">
        <v>401</v>
      </c>
      <c r="G520" s="97">
        <v>779</v>
      </c>
      <c r="H520" s="114">
        <v>22.105229697397931</v>
      </c>
      <c r="I520" s="125">
        <v>3740</v>
      </c>
      <c r="J520" s="115">
        <v>18.962909828988931</v>
      </c>
    </row>
    <row r="521" spans="1:10" ht="16">
      <c r="A521" s="100" t="s">
        <v>1106</v>
      </c>
      <c r="B521" s="101" t="s">
        <v>1081</v>
      </c>
      <c r="C521" s="102" t="s">
        <v>107</v>
      </c>
      <c r="D521" s="103" t="s">
        <v>61</v>
      </c>
      <c r="E521" s="104">
        <v>27254</v>
      </c>
      <c r="F521" s="104">
        <v>2455</v>
      </c>
      <c r="G521" s="104">
        <v>2998</v>
      </c>
      <c r="H521" s="116">
        <v>62.870035983831862</v>
      </c>
      <c r="I521" s="126">
        <v>40248</v>
      </c>
      <c r="J521" s="117">
        <v>57.394324914613236</v>
      </c>
    </row>
    <row r="522" spans="1:10" ht="16">
      <c r="A522" s="93" t="s">
        <v>1107</v>
      </c>
      <c r="B522" s="94" t="s">
        <v>1081</v>
      </c>
      <c r="C522" s="95" t="s">
        <v>107</v>
      </c>
      <c r="D522" s="96" t="s">
        <v>60</v>
      </c>
      <c r="E522" s="97">
        <v>8340</v>
      </c>
      <c r="F522" s="97">
        <v>428</v>
      </c>
      <c r="G522" s="97">
        <v>1251</v>
      </c>
      <c r="H522" s="114">
        <v>41.949130595333941</v>
      </c>
      <c r="I522" s="125">
        <v>16543</v>
      </c>
      <c r="J522" s="115">
        <v>30.694829468481466</v>
      </c>
    </row>
    <row r="523" spans="1:10" ht="16">
      <c r="A523" s="100" t="s">
        <v>1180</v>
      </c>
      <c r="B523" s="101" t="s">
        <v>1178</v>
      </c>
      <c r="C523" s="102" t="s">
        <v>107</v>
      </c>
      <c r="D523" s="103" t="s">
        <v>59</v>
      </c>
      <c r="E523" s="104">
        <v>13411</v>
      </c>
      <c r="F523" s="104">
        <v>1597</v>
      </c>
      <c r="G523" s="104">
        <v>1207</v>
      </c>
      <c r="H523" s="116">
        <v>8.5523595328024893</v>
      </c>
      <c r="I523" s="126">
        <v>510</v>
      </c>
      <c r="J523" s="117">
        <v>20.382229421895367</v>
      </c>
    </row>
    <row r="524" spans="1:10" ht="16">
      <c r="A524" s="93" t="s">
        <v>452</v>
      </c>
      <c r="B524" s="94" t="s">
        <v>448</v>
      </c>
      <c r="C524" s="95" t="s">
        <v>107</v>
      </c>
      <c r="D524" s="96" t="s">
        <v>77</v>
      </c>
      <c r="E524" s="97">
        <v>14133</v>
      </c>
      <c r="F524" s="97">
        <v>686</v>
      </c>
      <c r="G524" s="97">
        <v>1131</v>
      </c>
      <c r="H524" s="114">
        <v>12.92923210852617</v>
      </c>
      <c r="I524" s="125">
        <v>5833</v>
      </c>
      <c r="J524" s="115">
        <v>23.59392621077075</v>
      </c>
    </row>
    <row r="525" spans="1:10" ht="16">
      <c r="A525" s="100" t="s">
        <v>1108</v>
      </c>
      <c r="B525" s="101" t="s">
        <v>1081</v>
      </c>
      <c r="C525" s="102" t="s">
        <v>107</v>
      </c>
      <c r="D525" s="103" t="s">
        <v>84</v>
      </c>
      <c r="E525" s="104">
        <v>14853</v>
      </c>
      <c r="F525" s="104">
        <v>825</v>
      </c>
      <c r="G525" s="104">
        <v>1485</v>
      </c>
      <c r="H525" s="116">
        <v>46.295416616060862</v>
      </c>
      <c r="I525" s="126">
        <v>23222</v>
      </c>
      <c r="J525" s="117">
        <v>35.740181421963683</v>
      </c>
    </row>
    <row r="526" spans="1:10" ht="16">
      <c r="A526" s="93" t="s">
        <v>306</v>
      </c>
      <c r="B526" s="94" t="s">
        <v>304</v>
      </c>
      <c r="C526" s="95" t="s">
        <v>107</v>
      </c>
      <c r="D526" s="96" t="s">
        <v>59</v>
      </c>
      <c r="E526" s="97">
        <v>52085</v>
      </c>
      <c r="F526" s="97">
        <v>2325</v>
      </c>
      <c r="G526" s="97">
        <v>521</v>
      </c>
      <c r="H526" s="114">
        <v>14.670522287183326</v>
      </c>
      <c r="I526" s="125">
        <v>3832</v>
      </c>
      <c r="J526" s="115">
        <v>19.258879163994546</v>
      </c>
    </row>
    <row r="527" spans="1:10" ht="16">
      <c r="A527" s="100" t="s">
        <v>85</v>
      </c>
      <c r="B527" s="101" t="s">
        <v>86</v>
      </c>
      <c r="C527" s="102" t="s">
        <v>76</v>
      </c>
      <c r="D527" s="103" t="s">
        <v>77</v>
      </c>
      <c r="E527" s="104">
        <v>46096</v>
      </c>
      <c r="F527" s="104">
        <v>4802</v>
      </c>
      <c r="G527" s="104">
        <v>922</v>
      </c>
      <c r="H527" s="116">
        <v>7.8424608452362854</v>
      </c>
      <c r="I527" s="126">
        <v>1862</v>
      </c>
      <c r="J527" s="117">
        <v>18.460993840812744</v>
      </c>
    </row>
    <row r="528" spans="1:10" ht="16">
      <c r="A528" s="93" t="s">
        <v>583</v>
      </c>
      <c r="B528" s="94" t="s">
        <v>581</v>
      </c>
      <c r="C528" s="95" t="s">
        <v>76</v>
      </c>
      <c r="D528" s="96" t="s">
        <v>130</v>
      </c>
      <c r="E528" s="97">
        <v>13911</v>
      </c>
      <c r="F528" s="97">
        <v>523</v>
      </c>
      <c r="G528" s="97">
        <v>2365</v>
      </c>
      <c r="H528" s="114">
        <v>30.007292065511137</v>
      </c>
      <c r="I528" s="125">
        <v>22926</v>
      </c>
      <c r="J528" s="115">
        <v>28.062968069767397</v>
      </c>
    </row>
    <row r="529" spans="1:10" ht="16">
      <c r="A529" s="100" t="s">
        <v>1109</v>
      </c>
      <c r="B529" s="101" t="s">
        <v>1081</v>
      </c>
      <c r="C529" s="102" t="s">
        <v>107</v>
      </c>
      <c r="D529" s="103" t="s">
        <v>59</v>
      </c>
      <c r="E529" s="104">
        <v>5550</v>
      </c>
      <c r="F529" s="104">
        <v>238</v>
      </c>
      <c r="G529" s="104">
        <v>222</v>
      </c>
      <c r="H529" s="116">
        <v>16.434572729854519</v>
      </c>
      <c r="I529" s="126">
        <v>1080</v>
      </c>
      <c r="J529" s="117">
        <v>14.555216527550728</v>
      </c>
    </row>
    <row r="530" spans="1:10" ht="16">
      <c r="A530" s="93" t="s">
        <v>936</v>
      </c>
      <c r="B530" s="94" t="s">
        <v>919</v>
      </c>
      <c r="C530" s="95" t="s">
        <v>107</v>
      </c>
      <c r="D530" s="96" t="s">
        <v>61</v>
      </c>
      <c r="E530" s="97">
        <v>7090</v>
      </c>
      <c r="F530" s="97">
        <v>627</v>
      </c>
      <c r="G530" s="97">
        <v>1843</v>
      </c>
      <c r="H530" s="114">
        <v>23.735676304539556</v>
      </c>
      <c r="I530" s="125">
        <v>6945</v>
      </c>
      <c r="J530" s="115">
        <v>24.867849802958695</v>
      </c>
    </row>
    <row r="531" spans="1:10" ht="16">
      <c r="A531" s="100" t="s">
        <v>863</v>
      </c>
      <c r="B531" s="101" t="s">
        <v>858</v>
      </c>
      <c r="C531" s="102" t="s">
        <v>107</v>
      </c>
      <c r="D531" s="103" t="s">
        <v>61</v>
      </c>
      <c r="E531" s="104">
        <v>10645</v>
      </c>
      <c r="F531" s="104">
        <v>1314</v>
      </c>
      <c r="G531" s="104">
        <v>319</v>
      </c>
      <c r="H531" s="116">
        <v>12.350272662189747</v>
      </c>
      <c r="I531" s="126">
        <v>4172</v>
      </c>
      <c r="J531" s="117">
        <v>21.552705774133841</v>
      </c>
    </row>
    <row r="532" spans="1:10" ht="16">
      <c r="A532" s="93" t="s">
        <v>968</v>
      </c>
      <c r="B532" s="94" t="s">
        <v>967</v>
      </c>
      <c r="C532" s="95" t="s">
        <v>76</v>
      </c>
      <c r="D532" s="96" t="s">
        <v>77</v>
      </c>
      <c r="E532" s="97">
        <v>30869</v>
      </c>
      <c r="F532" s="97">
        <v>1725</v>
      </c>
      <c r="G532" s="97">
        <v>8643</v>
      </c>
      <c r="H532" s="114">
        <v>90.947480058390525</v>
      </c>
      <c r="I532" s="125">
        <v>69659</v>
      </c>
      <c r="J532" s="115">
        <v>77.198959413345207</v>
      </c>
    </row>
    <row r="533" spans="1:10" ht="16">
      <c r="A533" s="100" t="s">
        <v>87</v>
      </c>
      <c r="B533" s="101" t="s">
        <v>86</v>
      </c>
      <c r="C533" s="102" t="s">
        <v>76</v>
      </c>
      <c r="D533" s="103" t="s">
        <v>59</v>
      </c>
      <c r="E533" s="104">
        <v>20987</v>
      </c>
      <c r="F533" s="104">
        <v>1312</v>
      </c>
      <c r="G533" s="104">
        <v>2099</v>
      </c>
      <c r="H533" s="116">
        <v>8.2245475110666568</v>
      </c>
      <c r="I533" s="126">
        <v>669</v>
      </c>
      <c r="J533" s="117">
        <v>16.528929719507055</v>
      </c>
    </row>
    <row r="534" spans="1:10" ht="16">
      <c r="A534" s="93" t="s">
        <v>1110</v>
      </c>
      <c r="B534" s="94" t="s">
        <v>1081</v>
      </c>
      <c r="C534" s="95" t="s">
        <v>107</v>
      </c>
      <c r="D534" s="96" t="s">
        <v>77</v>
      </c>
      <c r="E534" s="97">
        <v>4258</v>
      </c>
      <c r="F534" s="97">
        <v>835</v>
      </c>
      <c r="G534" s="97">
        <v>85</v>
      </c>
      <c r="H534" s="114">
        <v>19.703499514619882</v>
      </c>
      <c r="I534" s="125">
        <v>11369</v>
      </c>
      <c r="J534" s="115">
        <v>38.786289657721994</v>
      </c>
    </row>
    <row r="535" spans="1:10" ht="16">
      <c r="A535" s="100" t="s">
        <v>1111</v>
      </c>
      <c r="B535" s="101" t="s">
        <v>1081</v>
      </c>
      <c r="C535" s="102" t="s">
        <v>107</v>
      </c>
      <c r="D535" s="103" t="s">
        <v>130</v>
      </c>
      <c r="E535" s="104">
        <v>9215</v>
      </c>
      <c r="F535" s="104">
        <v>370</v>
      </c>
      <c r="G535" s="104">
        <v>369</v>
      </c>
      <c r="H535" s="116">
        <v>27.106160553798301</v>
      </c>
      <c r="I535" s="126">
        <v>2004</v>
      </c>
      <c r="J535" s="117">
        <v>18.14198690632514</v>
      </c>
    </row>
    <row r="536" spans="1:10" ht="16">
      <c r="A536" s="93" t="s">
        <v>1339</v>
      </c>
      <c r="B536" s="94" t="s">
        <v>1288</v>
      </c>
      <c r="C536" s="95" t="s">
        <v>107</v>
      </c>
      <c r="D536" s="96" t="s">
        <v>92</v>
      </c>
      <c r="E536" s="97">
        <v>9279</v>
      </c>
      <c r="F536" s="97">
        <v>615</v>
      </c>
      <c r="G536" s="97">
        <v>1577</v>
      </c>
      <c r="H536" s="114">
        <v>19.823508773505498</v>
      </c>
      <c r="I536" s="125">
        <v>11241</v>
      </c>
      <c r="J536" s="115">
        <v>21.963709719290431</v>
      </c>
    </row>
    <row r="537" spans="1:10" ht="16">
      <c r="A537" s="100" t="s">
        <v>1340</v>
      </c>
      <c r="B537" s="101" t="s">
        <v>1288</v>
      </c>
      <c r="C537" s="102" t="s">
        <v>107</v>
      </c>
      <c r="D537" s="103" t="s">
        <v>62</v>
      </c>
      <c r="E537" s="104">
        <v>1809</v>
      </c>
      <c r="F537" s="104">
        <v>160</v>
      </c>
      <c r="G537" s="104">
        <v>145</v>
      </c>
      <c r="H537" s="116">
        <v>15.401978577736198</v>
      </c>
      <c r="I537" s="126">
        <v>10384</v>
      </c>
      <c r="J537" s="117">
        <v>22.896676528063644</v>
      </c>
    </row>
    <row r="538" spans="1:10" ht="16">
      <c r="A538" s="93" t="s">
        <v>1341</v>
      </c>
      <c r="B538" s="94" t="s">
        <v>1288</v>
      </c>
      <c r="C538" s="95" t="s">
        <v>76</v>
      </c>
      <c r="D538" s="96" t="s">
        <v>77</v>
      </c>
      <c r="E538" s="97">
        <v>12753</v>
      </c>
      <c r="F538" s="97">
        <v>773</v>
      </c>
      <c r="G538" s="97">
        <v>1020</v>
      </c>
      <c r="H538" s="114">
        <v>15.606301731851373</v>
      </c>
      <c r="I538" s="125">
        <v>8067</v>
      </c>
      <c r="J538" s="115">
        <v>21.696833821219428</v>
      </c>
    </row>
    <row r="539" spans="1:10" ht="16">
      <c r="A539" s="100" t="s">
        <v>1342</v>
      </c>
      <c r="B539" s="101" t="s">
        <v>1288</v>
      </c>
      <c r="C539" s="102" t="s">
        <v>76</v>
      </c>
      <c r="D539" s="103" t="s">
        <v>130</v>
      </c>
      <c r="E539" s="104">
        <v>44466</v>
      </c>
      <c r="F539" s="104">
        <v>4996</v>
      </c>
      <c r="G539" s="104">
        <v>14674</v>
      </c>
      <c r="H539" s="116">
        <v>77.506063712344627</v>
      </c>
      <c r="I539" s="126">
        <v>74877</v>
      </c>
      <c r="J539" s="117">
        <v>77.006101864287885</v>
      </c>
    </row>
    <row r="540" spans="1:10" ht="16">
      <c r="A540" s="93" t="s">
        <v>1222</v>
      </c>
      <c r="B540" s="94" t="s">
        <v>1190</v>
      </c>
      <c r="C540" s="95" t="s">
        <v>76</v>
      </c>
      <c r="D540" s="96" t="s">
        <v>92</v>
      </c>
      <c r="E540" s="97">
        <v>22691</v>
      </c>
      <c r="F540" s="97">
        <v>1609</v>
      </c>
      <c r="G540" s="97">
        <v>6127</v>
      </c>
      <c r="H540" s="114">
        <v>36.428895301781374</v>
      </c>
      <c r="I540" s="125">
        <v>31069</v>
      </c>
      <c r="J540" s="115">
        <v>32.12769036587855</v>
      </c>
    </row>
    <row r="541" spans="1:10" ht="16">
      <c r="A541" s="100" t="s">
        <v>884</v>
      </c>
      <c r="B541" s="101" t="s">
        <v>879</v>
      </c>
      <c r="C541" s="102" t="s">
        <v>76</v>
      </c>
      <c r="D541" s="103" t="s">
        <v>130</v>
      </c>
      <c r="E541" s="104">
        <v>22438</v>
      </c>
      <c r="F541" s="104">
        <v>2021</v>
      </c>
      <c r="G541" s="104">
        <v>449</v>
      </c>
      <c r="H541" s="116">
        <v>10.659993776664724</v>
      </c>
      <c r="I541" s="126">
        <v>2423</v>
      </c>
      <c r="J541" s="117">
        <v>19.777679495782508</v>
      </c>
    </row>
    <row r="542" spans="1:10" ht="16">
      <c r="A542" s="93" t="s">
        <v>693</v>
      </c>
      <c r="B542" s="94" t="s">
        <v>642</v>
      </c>
      <c r="C542" s="95" t="s">
        <v>107</v>
      </c>
      <c r="D542" s="96" t="s">
        <v>59</v>
      </c>
      <c r="E542" s="97">
        <v>12158</v>
      </c>
      <c r="F542" s="97">
        <v>1539</v>
      </c>
      <c r="G542" s="97">
        <v>243</v>
      </c>
      <c r="H542" s="114">
        <v>13.666285824281683</v>
      </c>
      <c r="I542" s="125">
        <v>5441</v>
      </c>
      <c r="J542" s="115">
        <v>24.057986268934798</v>
      </c>
    </row>
    <row r="543" spans="1:10" ht="16">
      <c r="A543" s="100" t="s">
        <v>694</v>
      </c>
      <c r="B543" s="101" t="s">
        <v>642</v>
      </c>
      <c r="C543" s="102" t="s">
        <v>107</v>
      </c>
      <c r="D543" s="103" t="s">
        <v>130</v>
      </c>
      <c r="E543" s="104">
        <v>850</v>
      </c>
      <c r="F543" s="104">
        <v>944</v>
      </c>
      <c r="G543" s="104">
        <v>59</v>
      </c>
      <c r="H543" s="116">
        <v>8.9044111771335395</v>
      </c>
      <c r="I543" s="126">
        <v>4914</v>
      </c>
      <c r="J543" s="117">
        <v>25.724990879459913</v>
      </c>
    </row>
    <row r="544" spans="1:10" ht="16">
      <c r="A544" s="93" t="s">
        <v>384</v>
      </c>
      <c r="B544" s="94" t="s">
        <v>377</v>
      </c>
      <c r="C544" s="95" t="s">
        <v>76</v>
      </c>
      <c r="D544" s="96" t="s">
        <v>92</v>
      </c>
      <c r="E544" s="97">
        <v>68013</v>
      </c>
      <c r="F544" s="97">
        <v>3350</v>
      </c>
      <c r="G544" s="97">
        <v>7481</v>
      </c>
      <c r="H544" s="114">
        <v>13.578780295052622</v>
      </c>
      <c r="I544" s="125">
        <v>5038</v>
      </c>
      <c r="J544" s="115">
        <v>18.220807642926918</v>
      </c>
    </row>
    <row r="545" spans="1:10" ht="16">
      <c r="A545" s="100" t="s">
        <v>1343</v>
      </c>
      <c r="B545" s="101" t="s">
        <v>1288</v>
      </c>
      <c r="C545" s="102" t="s">
        <v>107</v>
      </c>
      <c r="D545" s="103" t="s">
        <v>130</v>
      </c>
      <c r="E545" s="104">
        <v>30231</v>
      </c>
      <c r="F545" s="104">
        <v>2418</v>
      </c>
      <c r="G545" s="104">
        <v>4535</v>
      </c>
      <c r="H545" s="116">
        <v>35.397350321787791</v>
      </c>
      <c r="I545" s="126">
        <v>22920</v>
      </c>
      <c r="J545" s="117">
        <v>37.551333393770385</v>
      </c>
    </row>
    <row r="546" spans="1:10" ht="16">
      <c r="A546" s="93" t="s">
        <v>260</v>
      </c>
      <c r="B546" s="94" t="s">
        <v>223</v>
      </c>
      <c r="C546" s="95" t="s">
        <v>107</v>
      </c>
      <c r="D546" s="96" t="s">
        <v>84</v>
      </c>
      <c r="E546" s="97">
        <v>30733</v>
      </c>
      <c r="F546" s="97">
        <v>1851</v>
      </c>
      <c r="G546" s="97">
        <v>615</v>
      </c>
      <c r="H546" s="114">
        <v>12.780869889080993</v>
      </c>
      <c r="I546" s="125">
        <v>3496</v>
      </c>
      <c r="J546" s="115">
        <v>17.54045323049262</v>
      </c>
    </row>
    <row r="547" spans="1:10" ht="16">
      <c r="A547" s="100" t="s">
        <v>976</v>
      </c>
      <c r="B547" s="101" t="s">
        <v>977</v>
      </c>
      <c r="C547" s="102" t="s">
        <v>76</v>
      </c>
      <c r="D547" s="103" t="s">
        <v>59</v>
      </c>
      <c r="E547" s="104">
        <v>36749</v>
      </c>
      <c r="F547" s="104">
        <v>1229</v>
      </c>
      <c r="G547" s="104">
        <v>1470</v>
      </c>
      <c r="H547" s="116">
        <v>17.748152295489881</v>
      </c>
      <c r="I547" s="126">
        <v>12081</v>
      </c>
      <c r="J547" s="117">
        <v>21.097827377589081</v>
      </c>
    </row>
    <row r="548" spans="1:10" ht="16">
      <c r="A548" s="93" t="s">
        <v>261</v>
      </c>
      <c r="B548" s="94" t="s">
        <v>223</v>
      </c>
      <c r="C548" s="95" t="s">
        <v>76</v>
      </c>
      <c r="D548" s="96" t="s">
        <v>80</v>
      </c>
      <c r="E548" s="97">
        <v>25425</v>
      </c>
      <c r="F548" s="97">
        <v>1730</v>
      </c>
      <c r="G548" s="97">
        <v>509</v>
      </c>
      <c r="H548" s="114">
        <v>10.57120206507355</v>
      </c>
      <c r="I548" s="125">
        <v>5102</v>
      </c>
      <c r="J548" s="115">
        <v>24.757553565072218</v>
      </c>
    </row>
    <row r="549" spans="1:10" ht="16">
      <c r="A549" s="100" t="s">
        <v>262</v>
      </c>
      <c r="B549" s="101" t="s">
        <v>223</v>
      </c>
      <c r="C549" s="102" t="s">
        <v>76</v>
      </c>
      <c r="D549" s="103" t="s">
        <v>82</v>
      </c>
      <c r="E549" s="104">
        <v>36015</v>
      </c>
      <c r="F549" s="104">
        <v>2484</v>
      </c>
      <c r="G549" s="104">
        <v>1441</v>
      </c>
      <c r="H549" s="116">
        <v>22.178672377506022</v>
      </c>
      <c r="I549" s="126">
        <v>4299</v>
      </c>
      <c r="J549" s="117">
        <v>25.511571664435273</v>
      </c>
    </row>
    <row r="550" spans="1:10" ht="16">
      <c r="A550" s="93" t="s">
        <v>262</v>
      </c>
      <c r="B550" s="94" t="s">
        <v>1288</v>
      </c>
      <c r="C550" s="95" t="s">
        <v>107</v>
      </c>
      <c r="D550" s="96" t="s">
        <v>80</v>
      </c>
      <c r="E550" s="97">
        <v>19575</v>
      </c>
      <c r="F550" s="97">
        <v>1408</v>
      </c>
      <c r="G550" s="97">
        <v>6851</v>
      </c>
      <c r="H550" s="114">
        <v>28.298492389522089</v>
      </c>
      <c r="I550" s="125">
        <v>27266</v>
      </c>
      <c r="J550" s="115">
        <v>38.096696231857109</v>
      </c>
    </row>
    <row r="551" spans="1:10" ht="16">
      <c r="A551" s="100" t="s">
        <v>1344</v>
      </c>
      <c r="B551" s="101" t="s">
        <v>1288</v>
      </c>
      <c r="C551" s="102" t="s">
        <v>76</v>
      </c>
      <c r="D551" s="103" t="s">
        <v>80</v>
      </c>
      <c r="E551" s="104">
        <v>29684</v>
      </c>
      <c r="F551" s="104">
        <v>1056</v>
      </c>
      <c r="G551" s="104">
        <v>1484</v>
      </c>
      <c r="H551" s="116">
        <v>15.276052049993138</v>
      </c>
      <c r="I551" s="126">
        <v>12217</v>
      </c>
      <c r="J551" s="117">
        <v>20.49911485254135</v>
      </c>
    </row>
    <row r="552" spans="1:10" ht="16">
      <c r="A552" s="93" t="s">
        <v>1223</v>
      </c>
      <c r="B552" s="94" t="s">
        <v>1190</v>
      </c>
      <c r="C552" s="95" t="s">
        <v>76</v>
      </c>
      <c r="D552" s="96" t="s">
        <v>77</v>
      </c>
      <c r="E552" s="97">
        <v>21811</v>
      </c>
      <c r="F552" s="97">
        <v>1246</v>
      </c>
      <c r="G552" s="97">
        <v>3708</v>
      </c>
      <c r="H552" s="114">
        <v>18.411786847014074</v>
      </c>
      <c r="I552" s="125">
        <v>15549</v>
      </c>
      <c r="J552" s="115">
        <v>20.270565050795113</v>
      </c>
    </row>
    <row r="553" spans="1:10" ht="16">
      <c r="A553" s="100" t="s">
        <v>263</v>
      </c>
      <c r="B553" s="101" t="s">
        <v>223</v>
      </c>
      <c r="C553" s="102" t="s">
        <v>76</v>
      </c>
      <c r="D553" s="103" t="s">
        <v>61</v>
      </c>
      <c r="E553" s="104">
        <v>29327</v>
      </c>
      <c r="F553" s="104">
        <v>1917</v>
      </c>
      <c r="G553" s="104">
        <v>293</v>
      </c>
      <c r="H553" s="116">
        <v>13.186618920275489</v>
      </c>
      <c r="I553" s="126">
        <v>5021</v>
      </c>
      <c r="J553" s="117">
        <v>20.758686245792742</v>
      </c>
    </row>
    <row r="554" spans="1:10" ht="16">
      <c r="A554" s="93" t="s">
        <v>264</v>
      </c>
      <c r="B554" s="94" t="s">
        <v>223</v>
      </c>
      <c r="C554" s="95" t="s">
        <v>76</v>
      </c>
      <c r="D554" s="96" t="s">
        <v>77</v>
      </c>
      <c r="E554" s="97">
        <v>24237</v>
      </c>
      <c r="F554" s="97">
        <v>1638</v>
      </c>
      <c r="G554" s="97">
        <v>969</v>
      </c>
      <c r="H554" s="114">
        <v>13.050160399997509</v>
      </c>
      <c r="I554" s="125">
        <v>4826</v>
      </c>
      <c r="J554" s="115">
        <v>19.931785237308777</v>
      </c>
    </row>
    <row r="555" spans="1:10" ht="16">
      <c r="A555" s="100" t="s">
        <v>265</v>
      </c>
      <c r="B555" s="101" t="s">
        <v>223</v>
      </c>
      <c r="C555" s="102" t="s">
        <v>107</v>
      </c>
      <c r="D555" s="103" t="s">
        <v>130</v>
      </c>
      <c r="E555" s="104">
        <v>28432</v>
      </c>
      <c r="F555" s="104">
        <v>2045</v>
      </c>
      <c r="G555" s="104">
        <v>1137</v>
      </c>
      <c r="H555" s="116">
        <v>34.339634955135054</v>
      </c>
      <c r="I555" s="126">
        <v>13543</v>
      </c>
      <c r="J555" s="117">
        <v>26.21968280421676</v>
      </c>
    </row>
    <row r="556" spans="1:10" ht="16">
      <c r="A556" s="93" t="s">
        <v>1345</v>
      </c>
      <c r="B556" s="94" t="s">
        <v>1288</v>
      </c>
      <c r="C556" s="95" t="s">
        <v>107</v>
      </c>
      <c r="D556" s="96" t="s">
        <v>84</v>
      </c>
      <c r="E556" s="97">
        <v>17951</v>
      </c>
      <c r="F556" s="97">
        <v>1402</v>
      </c>
      <c r="G556" s="97">
        <v>3590</v>
      </c>
      <c r="H556" s="114">
        <v>83.906301343877089</v>
      </c>
      <c r="I556" s="125">
        <v>82137</v>
      </c>
      <c r="J556" s="115">
        <v>74.962964102729387</v>
      </c>
    </row>
    <row r="557" spans="1:10" ht="16">
      <c r="A557" s="100" t="s">
        <v>849</v>
      </c>
      <c r="B557" s="101" t="s">
        <v>850</v>
      </c>
      <c r="C557" s="102" t="s">
        <v>76</v>
      </c>
      <c r="D557" s="103" t="s">
        <v>59</v>
      </c>
      <c r="E557" s="104">
        <v>5790</v>
      </c>
      <c r="F557" s="104">
        <v>839</v>
      </c>
      <c r="G557" s="104">
        <v>1216</v>
      </c>
      <c r="H557" s="116">
        <v>10.716726661108149</v>
      </c>
      <c r="I557" s="126">
        <v>7069</v>
      </c>
      <c r="J557" s="117">
        <v>26.655000399200667</v>
      </c>
    </row>
    <row r="558" spans="1:10" ht="16">
      <c r="A558" s="93" t="s">
        <v>851</v>
      </c>
      <c r="B558" s="94" t="s">
        <v>850</v>
      </c>
      <c r="C558" s="95" t="s">
        <v>107</v>
      </c>
      <c r="D558" s="96" t="s">
        <v>84</v>
      </c>
      <c r="E558" s="97">
        <v>35181</v>
      </c>
      <c r="F558" s="97">
        <v>2227</v>
      </c>
      <c r="G558" s="97">
        <v>2814</v>
      </c>
      <c r="H558" s="114">
        <v>28.544136854622074</v>
      </c>
      <c r="I558" s="125">
        <v>18257</v>
      </c>
      <c r="J558" s="115">
        <v>26.38887742094564</v>
      </c>
    </row>
    <row r="559" spans="1:10" ht="16">
      <c r="A559" s="100" t="s">
        <v>1224</v>
      </c>
      <c r="B559" s="101" t="s">
        <v>1190</v>
      </c>
      <c r="C559" s="102" t="s">
        <v>76</v>
      </c>
      <c r="D559" s="103" t="s">
        <v>62</v>
      </c>
      <c r="E559" s="104">
        <v>24140</v>
      </c>
      <c r="F559" s="104">
        <v>1609</v>
      </c>
      <c r="G559" s="104">
        <v>4587</v>
      </c>
      <c r="H559" s="116">
        <v>13.409715473133948</v>
      </c>
      <c r="I559" s="126">
        <v>7768</v>
      </c>
      <c r="J559" s="117">
        <v>18.144616595096259</v>
      </c>
    </row>
    <row r="560" spans="1:10" ht="16">
      <c r="A560" s="93" t="s">
        <v>1346</v>
      </c>
      <c r="B560" s="94" t="s">
        <v>1288</v>
      </c>
      <c r="C560" s="95" t="s">
        <v>76</v>
      </c>
      <c r="D560" s="96" t="s">
        <v>63</v>
      </c>
      <c r="E560" s="97">
        <v>17785</v>
      </c>
      <c r="F560" s="97">
        <v>760</v>
      </c>
      <c r="G560" s="97">
        <v>1067</v>
      </c>
      <c r="H560" s="114">
        <v>10.660880429407184</v>
      </c>
      <c r="I560" s="125">
        <v>10302</v>
      </c>
      <c r="J560" s="115">
        <v>34.361373770952092</v>
      </c>
    </row>
    <row r="561" spans="1:10" ht="16">
      <c r="A561" s="100" t="s">
        <v>895</v>
      </c>
      <c r="B561" s="101" t="s">
        <v>893</v>
      </c>
      <c r="C561" s="102" t="s">
        <v>107</v>
      </c>
      <c r="D561" s="103" t="s">
        <v>82</v>
      </c>
      <c r="E561" s="104">
        <v>19694</v>
      </c>
      <c r="F561" s="104">
        <v>1088</v>
      </c>
      <c r="G561" s="104">
        <v>3348</v>
      </c>
      <c r="H561" s="116">
        <v>26.682641444667048</v>
      </c>
      <c r="I561" s="126">
        <v>12088</v>
      </c>
      <c r="J561" s="117">
        <v>25.037080692149878</v>
      </c>
    </row>
    <row r="562" spans="1:10" ht="16">
      <c r="A562" s="93" t="s">
        <v>937</v>
      </c>
      <c r="B562" s="94" t="s">
        <v>919</v>
      </c>
      <c r="C562" s="95" t="s">
        <v>107</v>
      </c>
      <c r="D562" s="96" t="s">
        <v>63</v>
      </c>
      <c r="E562" s="97">
        <v>11640</v>
      </c>
      <c r="F562" s="97">
        <v>1021</v>
      </c>
      <c r="G562" s="97">
        <v>2328</v>
      </c>
      <c r="H562" s="114">
        <v>12.771513768580469</v>
      </c>
      <c r="I562" s="125">
        <v>1929</v>
      </c>
      <c r="J562" s="115">
        <v>21.269311666867853</v>
      </c>
    </row>
    <row r="563" spans="1:10" ht="16">
      <c r="A563" s="100" t="s">
        <v>938</v>
      </c>
      <c r="B563" s="101" t="s">
        <v>919</v>
      </c>
      <c r="C563" s="102" t="s">
        <v>107</v>
      </c>
      <c r="D563" s="103" t="s">
        <v>80</v>
      </c>
      <c r="E563" s="104">
        <v>7123</v>
      </c>
      <c r="F563" s="104">
        <v>1149</v>
      </c>
      <c r="G563" s="104">
        <v>1425</v>
      </c>
      <c r="H563" s="116">
        <v>31.975562429141505</v>
      </c>
      <c r="I563" s="126">
        <v>9736</v>
      </c>
      <c r="J563" s="117">
        <v>43.430516368949604</v>
      </c>
    </row>
    <row r="564" spans="1:10" ht="16">
      <c r="A564" s="93" t="s">
        <v>1347</v>
      </c>
      <c r="B564" s="94" t="s">
        <v>1288</v>
      </c>
      <c r="C564" s="95" t="s">
        <v>76</v>
      </c>
      <c r="D564" s="96" t="s">
        <v>92</v>
      </c>
      <c r="E564" s="97">
        <v>15887</v>
      </c>
      <c r="F564" s="97">
        <v>841</v>
      </c>
      <c r="G564" s="97">
        <v>635</v>
      </c>
      <c r="H564" s="114">
        <v>13.210551618672879</v>
      </c>
      <c r="I564" s="125">
        <v>3121</v>
      </c>
      <c r="J564" s="115">
        <v>26.49130560411421</v>
      </c>
    </row>
    <row r="565" spans="1:10" ht="16">
      <c r="A565" s="100" t="s">
        <v>266</v>
      </c>
      <c r="B565" s="101" t="s">
        <v>223</v>
      </c>
      <c r="C565" s="102" t="s">
        <v>76</v>
      </c>
      <c r="D565" s="103" t="s">
        <v>130</v>
      </c>
      <c r="E565" s="104">
        <v>32059</v>
      </c>
      <c r="F565" s="104">
        <v>1832</v>
      </c>
      <c r="G565" s="104">
        <v>1282</v>
      </c>
      <c r="H565" s="116">
        <v>15.896938326397789</v>
      </c>
      <c r="I565" s="126">
        <v>4088</v>
      </c>
      <c r="J565" s="117">
        <v>20.353046654595452</v>
      </c>
    </row>
    <row r="566" spans="1:10" ht="16">
      <c r="A566" s="93" t="s">
        <v>695</v>
      </c>
      <c r="B566" s="94" t="s">
        <v>642</v>
      </c>
      <c r="C566" s="95" t="s">
        <v>107</v>
      </c>
      <c r="D566" s="96" t="s">
        <v>84</v>
      </c>
      <c r="E566" s="97">
        <v>2775</v>
      </c>
      <c r="F566" s="97">
        <v>188</v>
      </c>
      <c r="G566" s="97">
        <v>111</v>
      </c>
      <c r="H566" s="114">
        <v>13.150635272412964</v>
      </c>
      <c r="I566" s="125">
        <v>1733</v>
      </c>
      <c r="J566" s="115">
        <v>23.38976406903539</v>
      </c>
    </row>
    <row r="567" spans="1:10" ht="16">
      <c r="A567" s="100" t="s">
        <v>1348</v>
      </c>
      <c r="B567" s="101" t="s">
        <v>1288</v>
      </c>
      <c r="C567" s="102" t="s">
        <v>107</v>
      </c>
      <c r="D567" s="103" t="s">
        <v>62</v>
      </c>
      <c r="E567" s="104">
        <v>54372</v>
      </c>
      <c r="F567" s="104">
        <v>4350</v>
      </c>
      <c r="G567" s="104">
        <v>7068</v>
      </c>
      <c r="H567" s="116">
        <v>56.101807144457609</v>
      </c>
      <c r="I567" s="126">
        <v>49087</v>
      </c>
      <c r="J567" s="117">
        <v>57.908106138383808</v>
      </c>
    </row>
    <row r="568" spans="1:10" ht="16">
      <c r="A568" s="93" t="s">
        <v>1349</v>
      </c>
      <c r="B568" s="94" t="s">
        <v>1288</v>
      </c>
      <c r="C568" s="95" t="s">
        <v>76</v>
      </c>
      <c r="D568" s="96" t="s">
        <v>63</v>
      </c>
      <c r="E568" s="97">
        <v>25013</v>
      </c>
      <c r="F568" s="97">
        <v>1122</v>
      </c>
      <c r="G568" s="97">
        <v>1251</v>
      </c>
      <c r="H568" s="114">
        <v>17.615961410244495</v>
      </c>
      <c r="I568" s="125">
        <v>7684</v>
      </c>
      <c r="J568" s="115">
        <v>28.830345092865876</v>
      </c>
    </row>
    <row r="569" spans="1:10" ht="16">
      <c r="A569" s="100" t="s">
        <v>696</v>
      </c>
      <c r="B569" s="101" t="s">
        <v>642</v>
      </c>
      <c r="C569" s="102" t="s">
        <v>107</v>
      </c>
      <c r="D569" s="103" t="s">
        <v>84</v>
      </c>
      <c r="E569" s="104">
        <v>5693</v>
      </c>
      <c r="F569" s="104">
        <v>619</v>
      </c>
      <c r="G569" s="104">
        <v>57</v>
      </c>
      <c r="H569" s="116">
        <v>9.8821212505650813</v>
      </c>
      <c r="I569" s="126">
        <v>1915</v>
      </c>
      <c r="J569" s="117">
        <v>20.352046885385352</v>
      </c>
    </row>
    <row r="570" spans="1:10" ht="16">
      <c r="A570" s="93" t="s">
        <v>697</v>
      </c>
      <c r="B570" s="94" t="s">
        <v>642</v>
      </c>
      <c r="C570" s="95" t="s">
        <v>107</v>
      </c>
      <c r="D570" s="96" t="s">
        <v>82</v>
      </c>
      <c r="E570" s="97">
        <v>13099</v>
      </c>
      <c r="F570" s="97">
        <v>1637</v>
      </c>
      <c r="G570" s="97">
        <v>1048</v>
      </c>
      <c r="H570" s="114">
        <v>17.27928743003849</v>
      </c>
      <c r="I570" s="125">
        <v>4520</v>
      </c>
      <c r="J570" s="115">
        <v>25.945257925127422</v>
      </c>
    </row>
    <row r="571" spans="1:10" ht="16">
      <c r="A571" s="100" t="s">
        <v>1350</v>
      </c>
      <c r="B571" s="101" t="s">
        <v>1288</v>
      </c>
      <c r="C571" s="102" t="s">
        <v>107</v>
      </c>
      <c r="D571" s="103" t="s">
        <v>82</v>
      </c>
      <c r="E571" s="104">
        <v>21494</v>
      </c>
      <c r="F571" s="104">
        <v>1360</v>
      </c>
      <c r="G571" s="104">
        <v>1505</v>
      </c>
      <c r="H571" s="116">
        <v>21.985403675908003</v>
      </c>
      <c r="I571" s="126">
        <v>15328</v>
      </c>
      <c r="J571" s="117">
        <v>24.806267038158524</v>
      </c>
    </row>
    <row r="572" spans="1:10" ht="16">
      <c r="A572" s="93" t="s">
        <v>1351</v>
      </c>
      <c r="B572" s="94" t="s">
        <v>1288</v>
      </c>
      <c r="C572" s="95" t="s">
        <v>76</v>
      </c>
      <c r="D572" s="96" t="s">
        <v>92</v>
      </c>
      <c r="E572" s="97">
        <v>18878</v>
      </c>
      <c r="F572" s="97">
        <v>1037</v>
      </c>
      <c r="G572" s="97">
        <v>566</v>
      </c>
      <c r="H572" s="114">
        <v>19.95068605544704</v>
      </c>
      <c r="I572" s="125">
        <v>10048</v>
      </c>
      <c r="J572" s="115">
        <v>23.577046290537393</v>
      </c>
    </row>
    <row r="573" spans="1:10" ht="16">
      <c r="A573" s="100" t="s">
        <v>1167</v>
      </c>
      <c r="B573" s="101" t="s">
        <v>1142</v>
      </c>
      <c r="C573" s="102" t="s">
        <v>76</v>
      </c>
      <c r="D573" s="103" t="s">
        <v>82</v>
      </c>
      <c r="E573" s="104">
        <v>36179</v>
      </c>
      <c r="F573" s="104">
        <v>1096</v>
      </c>
      <c r="G573" s="104">
        <v>2171</v>
      </c>
      <c r="H573" s="116">
        <v>8.9861291929466738</v>
      </c>
      <c r="I573" s="126">
        <v>696</v>
      </c>
      <c r="J573" s="117">
        <v>15.911530135815855</v>
      </c>
    </row>
    <row r="574" spans="1:10" ht="16">
      <c r="A574" s="93" t="s">
        <v>1025</v>
      </c>
      <c r="B574" s="94" t="s">
        <v>1020</v>
      </c>
      <c r="C574" s="95" t="s">
        <v>76</v>
      </c>
      <c r="D574" s="96" t="s">
        <v>80</v>
      </c>
      <c r="E574" s="97">
        <v>22962</v>
      </c>
      <c r="F574" s="97">
        <v>272</v>
      </c>
      <c r="G574" s="97">
        <v>459</v>
      </c>
      <c r="H574" s="114">
        <v>14.436391128476476</v>
      </c>
      <c r="I574" s="125">
        <v>10657</v>
      </c>
      <c r="J574" s="115">
        <v>17.485155551340263</v>
      </c>
    </row>
    <row r="575" spans="1:10" ht="16">
      <c r="A575" s="100" t="s">
        <v>1352</v>
      </c>
      <c r="B575" s="101" t="s">
        <v>1288</v>
      </c>
      <c r="C575" s="102" t="s">
        <v>76</v>
      </c>
      <c r="D575" s="103" t="s">
        <v>59</v>
      </c>
      <c r="E575" s="104">
        <v>2895</v>
      </c>
      <c r="F575" s="104">
        <v>2895</v>
      </c>
      <c r="G575" s="104">
        <v>87</v>
      </c>
      <c r="H575" s="116">
        <v>17.390284597463243</v>
      </c>
      <c r="I575" s="126">
        <v>16822</v>
      </c>
      <c r="J575" s="117">
        <v>36.656602652056371</v>
      </c>
    </row>
    <row r="576" spans="1:10" ht="16">
      <c r="A576" s="93" t="s">
        <v>1353</v>
      </c>
      <c r="B576" s="94" t="s">
        <v>1288</v>
      </c>
      <c r="C576" s="95" t="s">
        <v>107</v>
      </c>
      <c r="D576" s="96" t="s">
        <v>92</v>
      </c>
      <c r="E576" s="97">
        <v>24798</v>
      </c>
      <c r="F576" s="97">
        <v>1550</v>
      </c>
      <c r="G576" s="97">
        <v>2728</v>
      </c>
      <c r="H576" s="114">
        <v>30.897603393028675</v>
      </c>
      <c r="I576" s="125">
        <v>20290</v>
      </c>
      <c r="J576" s="115">
        <v>31.151435331838815</v>
      </c>
    </row>
    <row r="577" spans="1:10" ht="16">
      <c r="A577" s="100" t="s">
        <v>698</v>
      </c>
      <c r="B577" s="101" t="s">
        <v>642</v>
      </c>
      <c r="C577" s="102" t="s">
        <v>107</v>
      </c>
      <c r="D577" s="103" t="s">
        <v>62</v>
      </c>
      <c r="E577" s="104">
        <v>8279</v>
      </c>
      <c r="F577" s="104">
        <v>930</v>
      </c>
      <c r="G577" s="104">
        <v>331</v>
      </c>
      <c r="H577" s="116">
        <v>14.860399221117985</v>
      </c>
      <c r="I577" s="126">
        <v>3930</v>
      </c>
      <c r="J577" s="117">
        <v>25.888159297992974</v>
      </c>
    </row>
    <row r="578" spans="1:10" ht="16">
      <c r="A578" s="93" t="s">
        <v>699</v>
      </c>
      <c r="B578" s="94" t="s">
        <v>642</v>
      </c>
      <c r="C578" s="95" t="s">
        <v>107</v>
      </c>
      <c r="D578" s="96" t="s">
        <v>63</v>
      </c>
      <c r="E578" s="97">
        <v>1248</v>
      </c>
      <c r="F578" s="97">
        <v>462</v>
      </c>
      <c r="G578" s="97">
        <v>12</v>
      </c>
      <c r="H578" s="114">
        <v>10.310849724279546</v>
      </c>
      <c r="I578" s="125">
        <v>1297</v>
      </c>
      <c r="J578" s="115">
        <v>27.3641677430725</v>
      </c>
    </row>
    <row r="579" spans="1:10" ht="16">
      <c r="A579" s="100" t="s">
        <v>700</v>
      </c>
      <c r="B579" s="101" t="s">
        <v>642</v>
      </c>
      <c r="C579" s="102" t="s">
        <v>107</v>
      </c>
      <c r="D579" s="103" t="s">
        <v>63</v>
      </c>
      <c r="E579" s="104">
        <v>7746</v>
      </c>
      <c r="F579" s="104">
        <v>767</v>
      </c>
      <c r="G579" s="104">
        <v>310</v>
      </c>
      <c r="H579" s="116">
        <v>13.698972324530375</v>
      </c>
      <c r="I579" s="126">
        <v>2760</v>
      </c>
      <c r="J579" s="117">
        <v>23.220912159706049</v>
      </c>
    </row>
    <row r="580" spans="1:10" ht="16">
      <c r="A580" s="93" t="s">
        <v>701</v>
      </c>
      <c r="B580" s="94" t="s">
        <v>642</v>
      </c>
      <c r="C580" s="95" t="s">
        <v>107</v>
      </c>
      <c r="D580" s="96" t="s">
        <v>82</v>
      </c>
      <c r="E580" s="97">
        <v>22892</v>
      </c>
      <c r="F580" s="97">
        <v>3094</v>
      </c>
      <c r="G580" s="97">
        <v>2518</v>
      </c>
      <c r="H580" s="114">
        <v>49.632958182344986</v>
      </c>
      <c r="I580" s="125">
        <v>16997</v>
      </c>
      <c r="J580" s="115">
        <v>51.722464863779322</v>
      </c>
    </row>
    <row r="581" spans="1:10" ht="16">
      <c r="A581" s="100" t="s">
        <v>513</v>
      </c>
      <c r="B581" s="101" t="s">
        <v>474</v>
      </c>
      <c r="C581" s="102" t="s">
        <v>107</v>
      </c>
      <c r="D581" s="103" t="s">
        <v>77</v>
      </c>
      <c r="E581" s="104">
        <v>12454</v>
      </c>
      <c r="F581" s="104">
        <v>700</v>
      </c>
      <c r="G581" s="104">
        <v>249</v>
      </c>
      <c r="H581" s="116">
        <v>10.867300765463179</v>
      </c>
      <c r="I581" s="126">
        <v>3288</v>
      </c>
      <c r="J581" s="117">
        <v>36.085830298509904</v>
      </c>
    </row>
    <row r="582" spans="1:10" ht="16">
      <c r="A582" s="93" t="s">
        <v>1225</v>
      </c>
      <c r="B582" s="94" t="s">
        <v>1190</v>
      </c>
      <c r="C582" s="95" t="s">
        <v>76</v>
      </c>
      <c r="D582" s="96" t="s">
        <v>77</v>
      </c>
      <c r="E582" s="97">
        <v>13915</v>
      </c>
      <c r="F582" s="97">
        <v>859</v>
      </c>
      <c r="G582" s="97">
        <v>3896</v>
      </c>
      <c r="H582" s="114">
        <v>24.039847494814637</v>
      </c>
      <c r="I582" s="125">
        <v>9059</v>
      </c>
      <c r="J582" s="115">
        <v>28.798362637514447</v>
      </c>
    </row>
    <row r="583" spans="1:10" ht="16">
      <c r="A583" s="100" t="s">
        <v>1168</v>
      </c>
      <c r="B583" s="101" t="s">
        <v>1142</v>
      </c>
      <c r="C583" s="102" t="s">
        <v>76</v>
      </c>
      <c r="D583" s="103" t="s">
        <v>80</v>
      </c>
      <c r="E583" s="104">
        <v>47035</v>
      </c>
      <c r="F583" s="104">
        <v>2138</v>
      </c>
      <c r="G583" s="104">
        <v>1881</v>
      </c>
      <c r="H583" s="116">
        <v>13.828446910938727</v>
      </c>
      <c r="I583" s="126">
        <v>9328</v>
      </c>
      <c r="J583" s="117">
        <v>28.616595837297652</v>
      </c>
    </row>
    <row r="584" spans="1:10" ht="16">
      <c r="A584" s="93" t="s">
        <v>1169</v>
      </c>
      <c r="B584" s="94" t="s">
        <v>1142</v>
      </c>
      <c r="C584" s="95" t="s">
        <v>107</v>
      </c>
      <c r="D584" s="96" t="s">
        <v>62</v>
      </c>
      <c r="E584" s="97">
        <v>46705</v>
      </c>
      <c r="F584" s="97">
        <v>1698</v>
      </c>
      <c r="G584" s="97">
        <v>1401</v>
      </c>
      <c r="H584" s="114">
        <v>8.4468905815231956</v>
      </c>
      <c r="I584" s="125">
        <v>976</v>
      </c>
      <c r="J584" s="115">
        <v>11.922845195403134</v>
      </c>
    </row>
    <row r="585" spans="1:10" ht="16">
      <c r="A585" s="100" t="s">
        <v>1026</v>
      </c>
      <c r="B585" s="101" t="s">
        <v>1020</v>
      </c>
      <c r="C585" s="102" t="s">
        <v>76</v>
      </c>
      <c r="D585" s="103" t="s">
        <v>92</v>
      </c>
      <c r="E585" s="104">
        <v>12113</v>
      </c>
      <c r="F585" s="104">
        <v>841</v>
      </c>
      <c r="G585" s="104">
        <v>2180</v>
      </c>
      <c r="H585" s="116">
        <v>14.243409609180894</v>
      </c>
      <c r="I585" s="126">
        <v>6022</v>
      </c>
      <c r="J585" s="117">
        <v>22.216712370300762</v>
      </c>
    </row>
    <row r="586" spans="1:10" ht="16">
      <c r="A586" s="93" t="s">
        <v>514</v>
      </c>
      <c r="B586" s="94" t="s">
        <v>474</v>
      </c>
      <c r="C586" s="95" t="s">
        <v>107</v>
      </c>
      <c r="D586" s="96" t="s">
        <v>63</v>
      </c>
      <c r="E586" s="97">
        <v>19912</v>
      </c>
      <c r="F586" s="97">
        <v>851</v>
      </c>
      <c r="G586" s="97">
        <v>199</v>
      </c>
      <c r="H586" s="114">
        <v>14.55560864544354</v>
      </c>
      <c r="I586" s="125">
        <v>8239</v>
      </c>
      <c r="J586" s="115">
        <v>27.347082221084754</v>
      </c>
    </row>
    <row r="587" spans="1:10" ht="16">
      <c r="A587" s="100" t="s">
        <v>385</v>
      </c>
      <c r="B587" s="101" t="s">
        <v>377</v>
      </c>
      <c r="C587" s="102" t="s">
        <v>76</v>
      </c>
      <c r="D587" s="103" t="s">
        <v>63</v>
      </c>
      <c r="E587" s="104">
        <v>33434</v>
      </c>
      <c r="F587" s="104">
        <v>921</v>
      </c>
      <c r="G587" s="104">
        <v>5684</v>
      </c>
      <c r="H587" s="116">
        <v>17.333577156404989</v>
      </c>
      <c r="I587" s="126">
        <v>2400</v>
      </c>
      <c r="J587" s="117">
        <v>24.143309484161978</v>
      </c>
    </row>
    <row r="588" spans="1:10" ht="16">
      <c r="A588" s="93" t="s">
        <v>386</v>
      </c>
      <c r="B588" s="94" t="s">
        <v>377</v>
      </c>
      <c r="C588" s="95" t="s">
        <v>76</v>
      </c>
      <c r="D588" s="96" t="s">
        <v>80</v>
      </c>
      <c r="E588" s="97">
        <v>28726</v>
      </c>
      <c r="F588" s="97">
        <v>1981</v>
      </c>
      <c r="G588" s="97">
        <v>4883</v>
      </c>
      <c r="H588" s="114">
        <v>33.189443736409125</v>
      </c>
      <c r="I588" s="125">
        <v>27889</v>
      </c>
      <c r="J588" s="115">
        <v>34.017382170298518</v>
      </c>
    </row>
    <row r="589" spans="1:10" ht="16">
      <c r="A589" s="100" t="s">
        <v>267</v>
      </c>
      <c r="B589" s="101" t="s">
        <v>223</v>
      </c>
      <c r="C589" s="102" t="s">
        <v>107</v>
      </c>
      <c r="D589" s="103" t="s">
        <v>84</v>
      </c>
      <c r="E589" s="104">
        <v>39575</v>
      </c>
      <c r="F589" s="104">
        <v>3441</v>
      </c>
      <c r="G589" s="104">
        <v>5936</v>
      </c>
      <c r="H589" s="116">
        <v>90.709661800045382</v>
      </c>
      <c r="I589" s="126">
        <v>65947</v>
      </c>
      <c r="J589" s="117">
        <v>89.380490908315409</v>
      </c>
    </row>
    <row r="590" spans="1:10" ht="16">
      <c r="A590" s="93" t="s">
        <v>1354</v>
      </c>
      <c r="B590" s="94" t="s">
        <v>1288</v>
      </c>
      <c r="C590" s="95" t="s">
        <v>107</v>
      </c>
      <c r="D590" s="96" t="s">
        <v>77</v>
      </c>
      <c r="E590" s="97">
        <v>46204</v>
      </c>
      <c r="F590" s="97">
        <v>3020</v>
      </c>
      <c r="G590" s="97">
        <v>7393</v>
      </c>
      <c r="H590" s="114">
        <v>67.672533722330371</v>
      </c>
      <c r="I590" s="125">
        <v>50904</v>
      </c>
      <c r="J590" s="115">
        <v>55.784605452957251</v>
      </c>
    </row>
    <row r="591" spans="1:10" ht="16">
      <c r="A591" s="100" t="s">
        <v>939</v>
      </c>
      <c r="B591" s="101" t="s">
        <v>919</v>
      </c>
      <c r="C591" s="102" t="s">
        <v>107</v>
      </c>
      <c r="D591" s="103" t="s">
        <v>63</v>
      </c>
      <c r="E591" s="104">
        <v>8922</v>
      </c>
      <c r="F591" s="104">
        <v>991</v>
      </c>
      <c r="G591" s="104">
        <v>625</v>
      </c>
      <c r="H591" s="116">
        <v>11.195979257618683</v>
      </c>
      <c r="I591" s="126">
        <v>296</v>
      </c>
      <c r="J591" s="117">
        <v>19.738364414931496</v>
      </c>
    </row>
    <row r="592" spans="1:10" ht="16">
      <c r="A592" s="93" t="s">
        <v>940</v>
      </c>
      <c r="B592" s="94" t="s">
        <v>919</v>
      </c>
      <c r="C592" s="95" t="s">
        <v>76</v>
      </c>
      <c r="D592" s="96" t="s">
        <v>77</v>
      </c>
      <c r="E592" s="97">
        <v>9252</v>
      </c>
      <c r="F592" s="97">
        <v>881</v>
      </c>
      <c r="G592" s="97">
        <v>93</v>
      </c>
      <c r="H592" s="114">
        <v>9.893743429358457</v>
      </c>
      <c r="I592" s="125">
        <v>408</v>
      </c>
      <c r="J592" s="115">
        <v>18.613819409770151</v>
      </c>
    </row>
    <row r="593" spans="1:10" ht="16">
      <c r="A593" s="100" t="s">
        <v>941</v>
      </c>
      <c r="B593" s="101" t="s">
        <v>919</v>
      </c>
      <c r="C593" s="102" t="s">
        <v>107</v>
      </c>
      <c r="D593" s="103" t="s">
        <v>61</v>
      </c>
      <c r="E593" s="104">
        <v>18251</v>
      </c>
      <c r="F593" s="104">
        <v>2028</v>
      </c>
      <c r="G593" s="104">
        <v>5110</v>
      </c>
      <c r="H593" s="116">
        <v>16.722426940277511</v>
      </c>
      <c r="I593" s="126">
        <v>9917</v>
      </c>
      <c r="J593" s="117">
        <v>26.245748143656513</v>
      </c>
    </row>
    <row r="594" spans="1:10" ht="16">
      <c r="A594" s="93" t="s">
        <v>942</v>
      </c>
      <c r="B594" s="94" t="s">
        <v>919</v>
      </c>
      <c r="C594" s="95" t="s">
        <v>76</v>
      </c>
      <c r="D594" s="96" t="s">
        <v>84</v>
      </c>
      <c r="E594" s="97">
        <v>8078</v>
      </c>
      <c r="F594" s="97">
        <v>1282</v>
      </c>
      <c r="G594" s="97">
        <v>485</v>
      </c>
      <c r="H594" s="114">
        <v>9.7252993759250792</v>
      </c>
      <c r="I594" s="125">
        <v>397</v>
      </c>
      <c r="J594" s="115">
        <v>23.517465374167244</v>
      </c>
    </row>
    <row r="595" spans="1:10" ht="16">
      <c r="A595" s="100" t="s">
        <v>864</v>
      </c>
      <c r="B595" s="101" t="s">
        <v>858</v>
      </c>
      <c r="C595" s="102" t="s">
        <v>107</v>
      </c>
      <c r="D595" s="103" t="s">
        <v>82</v>
      </c>
      <c r="E595" s="104">
        <v>12452</v>
      </c>
      <c r="F595" s="104">
        <v>239</v>
      </c>
      <c r="G595" s="104">
        <v>197</v>
      </c>
      <c r="H595" s="116">
        <v>9.5428284223948818</v>
      </c>
      <c r="I595" s="126">
        <v>1708</v>
      </c>
      <c r="J595" s="117">
        <v>14.369639783606988</v>
      </c>
    </row>
    <row r="596" spans="1:10" ht="16">
      <c r="A596" s="93" t="s">
        <v>1006</v>
      </c>
      <c r="B596" s="94" t="s">
        <v>988</v>
      </c>
      <c r="C596" s="95" t="s">
        <v>107</v>
      </c>
      <c r="D596" s="96" t="s">
        <v>84</v>
      </c>
      <c r="E596" s="97">
        <v>3215</v>
      </c>
      <c r="F596" s="97">
        <v>312</v>
      </c>
      <c r="G596" s="97">
        <v>96</v>
      </c>
      <c r="H596" s="114">
        <v>51.199589884034872</v>
      </c>
      <c r="I596" s="125">
        <v>36807</v>
      </c>
      <c r="J596" s="115">
        <v>52.063144081636317</v>
      </c>
    </row>
    <row r="597" spans="1:10" ht="16">
      <c r="A597" s="100" t="s">
        <v>896</v>
      </c>
      <c r="B597" s="101" t="s">
        <v>893</v>
      </c>
      <c r="C597" s="102" t="s">
        <v>107</v>
      </c>
      <c r="D597" s="103" t="s">
        <v>60</v>
      </c>
      <c r="E597" s="104">
        <v>18511</v>
      </c>
      <c r="F597" s="104">
        <v>1083</v>
      </c>
      <c r="G597" s="104">
        <v>1111</v>
      </c>
      <c r="H597" s="116">
        <v>9.5060909888285572</v>
      </c>
      <c r="I597" s="126">
        <v>4304</v>
      </c>
      <c r="J597" s="117">
        <v>14.310630513369883</v>
      </c>
    </row>
    <row r="598" spans="1:10" ht="16">
      <c r="A598" s="93" t="s">
        <v>602</v>
      </c>
      <c r="B598" s="94" t="s">
        <v>598</v>
      </c>
      <c r="C598" s="95" t="s">
        <v>107</v>
      </c>
      <c r="D598" s="96" t="s">
        <v>59</v>
      </c>
      <c r="E598" s="97">
        <v>6122</v>
      </c>
      <c r="F598" s="97">
        <v>251</v>
      </c>
      <c r="G598" s="97">
        <v>61</v>
      </c>
      <c r="H598" s="114">
        <v>22.998027009888375</v>
      </c>
      <c r="I598" s="125">
        <v>18715</v>
      </c>
      <c r="J598" s="115">
        <v>17.724075805517337</v>
      </c>
    </row>
    <row r="599" spans="1:10" ht="16">
      <c r="A599" s="100" t="s">
        <v>913</v>
      </c>
      <c r="B599" s="101" t="s">
        <v>909</v>
      </c>
      <c r="C599" s="102" t="s">
        <v>107</v>
      </c>
      <c r="D599" s="103" t="s">
        <v>82</v>
      </c>
      <c r="E599" s="104">
        <v>29437</v>
      </c>
      <c r="F599" s="104">
        <v>2181</v>
      </c>
      <c r="G599" s="104">
        <v>883</v>
      </c>
      <c r="H599" s="116">
        <v>10.593356036525876</v>
      </c>
      <c r="I599" s="126">
        <v>1324</v>
      </c>
      <c r="J599" s="117">
        <v>16.822801190702805</v>
      </c>
    </row>
    <row r="600" spans="1:10" ht="16">
      <c r="A600" s="93" t="s">
        <v>1027</v>
      </c>
      <c r="B600" s="94" t="s">
        <v>1020</v>
      </c>
      <c r="C600" s="95" t="s">
        <v>107</v>
      </c>
      <c r="D600" s="96" t="s">
        <v>130</v>
      </c>
      <c r="E600" s="97">
        <v>4749</v>
      </c>
      <c r="F600" s="97">
        <v>448</v>
      </c>
      <c r="G600" s="97">
        <v>285</v>
      </c>
      <c r="H600" s="114">
        <v>11.438301421607262</v>
      </c>
      <c r="I600" s="125">
        <v>2619</v>
      </c>
      <c r="J600" s="115">
        <v>23.522666216365913</v>
      </c>
    </row>
    <row r="601" spans="1:10" ht="16">
      <c r="A601" s="100" t="s">
        <v>1028</v>
      </c>
      <c r="B601" s="101" t="s">
        <v>1020</v>
      </c>
      <c r="C601" s="102" t="s">
        <v>107</v>
      </c>
      <c r="D601" s="103" t="s">
        <v>60</v>
      </c>
      <c r="E601" s="104">
        <v>25484</v>
      </c>
      <c r="F601" s="104">
        <v>2404</v>
      </c>
      <c r="G601" s="104">
        <v>4077</v>
      </c>
      <c r="H601" s="116">
        <v>17.387073534382019</v>
      </c>
      <c r="I601" s="126">
        <v>9816</v>
      </c>
      <c r="J601" s="117">
        <v>24.425639315482496</v>
      </c>
    </row>
    <row r="602" spans="1:10" ht="16">
      <c r="A602" s="93" t="s">
        <v>603</v>
      </c>
      <c r="B602" s="94" t="s">
        <v>598</v>
      </c>
      <c r="C602" s="95" t="s">
        <v>107</v>
      </c>
      <c r="D602" s="96" t="s">
        <v>62</v>
      </c>
      <c r="E602" s="97">
        <v>35184</v>
      </c>
      <c r="F602" s="97">
        <v>1407</v>
      </c>
      <c r="G602" s="97">
        <v>5981</v>
      </c>
      <c r="H602" s="114">
        <v>36.142111935521513</v>
      </c>
      <c r="I602" s="125">
        <v>21067</v>
      </c>
      <c r="J602" s="115">
        <v>33.735725158596672</v>
      </c>
    </row>
    <row r="603" spans="1:10" ht="16">
      <c r="A603" s="100" t="s">
        <v>914</v>
      </c>
      <c r="B603" s="101" t="s">
        <v>909</v>
      </c>
      <c r="C603" s="102" t="s">
        <v>107</v>
      </c>
      <c r="D603" s="103" t="s">
        <v>59</v>
      </c>
      <c r="E603" s="104">
        <v>12646</v>
      </c>
      <c r="F603" s="104">
        <v>620</v>
      </c>
      <c r="G603" s="104">
        <v>379</v>
      </c>
      <c r="H603" s="116">
        <v>9.0038046377800338</v>
      </c>
      <c r="I603" s="126">
        <v>1480</v>
      </c>
      <c r="J603" s="117">
        <v>14.39022054068294</v>
      </c>
    </row>
    <row r="604" spans="1:10" ht="16">
      <c r="A604" s="93" t="s">
        <v>604</v>
      </c>
      <c r="B604" s="94" t="s">
        <v>598</v>
      </c>
      <c r="C604" s="95" t="s">
        <v>107</v>
      </c>
      <c r="D604" s="96" t="s">
        <v>60</v>
      </c>
      <c r="E604" s="97">
        <v>31425</v>
      </c>
      <c r="F604" s="97">
        <v>878</v>
      </c>
      <c r="G604" s="97">
        <v>4085</v>
      </c>
      <c r="H604" s="114">
        <v>26.35408167018106</v>
      </c>
      <c r="I604" s="125">
        <v>14132</v>
      </c>
      <c r="J604" s="115">
        <v>26.244332544399494</v>
      </c>
    </row>
    <row r="605" spans="1:10" ht="16">
      <c r="A605" s="100" t="s">
        <v>1029</v>
      </c>
      <c r="B605" s="101" t="s">
        <v>1020</v>
      </c>
      <c r="C605" s="102" t="s">
        <v>107</v>
      </c>
      <c r="D605" s="103" t="s">
        <v>80</v>
      </c>
      <c r="E605" s="104">
        <v>21119</v>
      </c>
      <c r="F605" s="104">
        <v>2112</v>
      </c>
      <c r="G605" s="104">
        <v>2957</v>
      </c>
      <c r="H605" s="116">
        <v>12.59333326483779</v>
      </c>
      <c r="I605" s="126">
        <v>4968</v>
      </c>
      <c r="J605" s="117">
        <v>23.039872105168399</v>
      </c>
    </row>
    <row r="606" spans="1:10" ht="16">
      <c r="A606" s="93" t="s">
        <v>1030</v>
      </c>
      <c r="B606" s="94" t="s">
        <v>1020</v>
      </c>
      <c r="C606" s="95" t="s">
        <v>76</v>
      </c>
      <c r="D606" s="96" t="s">
        <v>61</v>
      </c>
      <c r="E606" s="97">
        <v>11636</v>
      </c>
      <c r="F606" s="97">
        <v>539</v>
      </c>
      <c r="G606" s="97">
        <v>1513</v>
      </c>
      <c r="H606" s="114">
        <v>40.352613750122487</v>
      </c>
      <c r="I606" s="125">
        <v>37987</v>
      </c>
      <c r="J606" s="115">
        <v>38.329006784619594</v>
      </c>
    </row>
    <row r="607" spans="1:10" ht="16">
      <c r="A607" s="100" t="s">
        <v>515</v>
      </c>
      <c r="B607" s="101" t="s">
        <v>474</v>
      </c>
      <c r="C607" s="102" t="s">
        <v>107</v>
      </c>
      <c r="D607" s="103" t="s">
        <v>82</v>
      </c>
      <c r="E607" s="104">
        <v>6107</v>
      </c>
      <c r="F607" s="104">
        <v>355</v>
      </c>
      <c r="G607" s="104">
        <v>61</v>
      </c>
      <c r="H607" s="116">
        <v>19.754200327703813</v>
      </c>
      <c r="I607" s="126">
        <v>3597</v>
      </c>
      <c r="J607" s="117">
        <v>37.218353095862902</v>
      </c>
    </row>
    <row r="608" spans="1:10" ht="16">
      <c r="A608" s="93" t="s">
        <v>215</v>
      </c>
      <c r="B608" s="94" t="s">
        <v>212</v>
      </c>
      <c r="C608" s="95" t="s">
        <v>76</v>
      </c>
      <c r="D608" s="96" t="s">
        <v>61</v>
      </c>
      <c r="E608" s="97">
        <v>28541</v>
      </c>
      <c r="F608" s="97">
        <v>1903</v>
      </c>
      <c r="G608" s="97">
        <v>1998</v>
      </c>
      <c r="H608" s="114">
        <v>28.877823482091934</v>
      </c>
      <c r="I608" s="125">
        <v>13869</v>
      </c>
      <c r="J608" s="115">
        <v>24.863609245280092</v>
      </c>
    </row>
    <row r="609" spans="1:10" ht="16">
      <c r="A609" s="100" t="s">
        <v>168</v>
      </c>
      <c r="B609" s="101" t="s">
        <v>150</v>
      </c>
      <c r="C609" s="102" t="s">
        <v>76</v>
      </c>
      <c r="D609" s="103" t="s">
        <v>62</v>
      </c>
      <c r="E609" s="104">
        <v>34101</v>
      </c>
      <c r="F609" s="104">
        <v>1601</v>
      </c>
      <c r="G609" s="104">
        <v>1705</v>
      </c>
      <c r="H609" s="116">
        <v>8.2404510325299327</v>
      </c>
      <c r="I609" s="126">
        <v>543</v>
      </c>
      <c r="J609" s="117">
        <v>15.35502382939436</v>
      </c>
    </row>
    <row r="610" spans="1:10" ht="16">
      <c r="A610" s="93" t="s">
        <v>872</v>
      </c>
      <c r="B610" s="94" t="s">
        <v>873</v>
      </c>
      <c r="C610" s="95" t="s">
        <v>107</v>
      </c>
      <c r="D610" s="96" t="s">
        <v>62</v>
      </c>
      <c r="E610" s="97">
        <v>24984</v>
      </c>
      <c r="F610" s="97">
        <v>3331</v>
      </c>
      <c r="G610" s="97">
        <v>750</v>
      </c>
      <c r="H610" s="114">
        <v>8.8496565163900378</v>
      </c>
      <c r="I610" s="125">
        <v>2979</v>
      </c>
      <c r="J610" s="115">
        <v>20.260024518757106</v>
      </c>
    </row>
    <row r="611" spans="1:10" ht="16">
      <c r="A611" s="100" t="s">
        <v>169</v>
      </c>
      <c r="B611" s="101" t="s">
        <v>150</v>
      </c>
      <c r="C611" s="102" t="s">
        <v>76</v>
      </c>
      <c r="D611" s="103" t="s">
        <v>60</v>
      </c>
      <c r="E611" s="104">
        <v>15581</v>
      </c>
      <c r="F611" s="104">
        <v>711</v>
      </c>
      <c r="G611" s="104">
        <v>779</v>
      </c>
      <c r="H611" s="116">
        <v>25.896412273439154</v>
      </c>
      <c r="I611" s="126">
        <v>7231</v>
      </c>
      <c r="J611" s="117">
        <v>28.305503518333591</v>
      </c>
    </row>
    <row r="612" spans="1:10" ht="16">
      <c r="A612" s="93" t="s">
        <v>170</v>
      </c>
      <c r="B612" s="94" t="s">
        <v>150</v>
      </c>
      <c r="C612" s="95" t="s">
        <v>107</v>
      </c>
      <c r="D612" s="96" t="s">
        <v>60</v>
      </c>
      <c r="E612" s="97">
        <v>16750</v>
      </c>
      <c r="F612" s="97">
        <v>735</v>
      </c>
      <c r="G612" s="97">
        <v>1153</v>
      </c>
      <c r="H612" s="114">
        <v>14.396736592275916</v>
      </c>
      <c r="I612" s="125">
        <v>5624</v>
      </c>
      <c r="J612" s="115">
        <v>19.425273850646708</v>
      </c>
    </row>
    <row r="613" spans="1:10" ht="16">
      <c r="A613" s="100" t="s">
        <v>307</v>
      </c>
      <c r="B613" s="101" t="s">
        <v>304</v>
      </c>
      <c r="C613" s="102" t="s">
        <v>76</v>
      </c>
      <c r="D613" s="103" t="s">
        <v>84</v>
      </c>
      <c r="E613" s="104">
        <v>30048</v>
      </c>
      <c r="F613" s="104">
        <v>1951</v>
      </c>
      <c r="G613" s="104">
        <v>300</v>
      </c>
      <c r="H613" s="116">
        <v>9.3129075979113747</v>
      </c>
      <c r="I613" s="126">
        <v>8881</v>
      </c>
      <c r="J613" s="117">
        <v>16.242940414215056</v>
      </c>
    </row>
    <row r="614" spans="1:10" ht="16">
      <c r="A614" s="93" t="s">
        <v>1355</v>
      </c>
      <c r="B614" s="94" t="s">
        <v>1288</v>
      </c>
      <c r="C614" s="95" t="s">
        <v>76</v>
      </c>
      <c r="D614" s="96" t="s">
        <v>80</v>
      </c>
      <c r="E614" s="97">
        <v>20219</v>
      </c>
      <c r="F614" s="97">
        <v>1099</v>
      </c>
      <c r="G614" s="97">
        <v>1820</v>
      </c>
      <c r="H614" s="114">
        <v>18.899966896101866</v>
      </c>
      <c r="I614" s="125">
        <v>8300</v>
      </c>
      <c r="J614" s="115">
        <v>21.744930550463014</v>
      </c>
    </row>
    <row r="615" spans="1:10" ht="16">
      <c r="A615" s="100" t="s">
        <v>1129</v>
      </c>
      <c r="B615" s="101" t="s">
        <v>1120</v>
      </c>
      <c r="C615" s="102" t="s">
        <v>76</v>
      </c>
      <c r="D615" s="103" t="s">
        <v>80</v>
      </c>
      <c r="E615" s="104">
        <v>39257</v>
      </c>
      <c r="F615" s="104">
        <v>2485</v>
      </c>
      <c r="G615" s="104">
        <v>785</v>
      </c>
      <c r="H615" s="116">
        <v>10.673137163870932</v>
      </c>
      <c r="I615" s="126">
        <v>1803</v>
      </c>
      <c r="J615" s="117">
        <v>18.876591410046313</v>
      </c>
    </row>
    <row r="616" spans="1:10" ht="16">
      <c r="A616" s="93" t="s">
        <v>1356</v>
      </c>
      <c r="B616" s="94" t="s">
        <v>1288</v>
      </c>
      <c r="C616" s="95" t="s">
        <v>107</v>
      </c>
      <c r="D616" s="96" t="s">
        <v>80</v>
      </c>
      <c r="E616" s="97">
        <v>7983</v>
      </c>
      <c r="F616" s="97">
        <v>986</v>
      </c>
      <c r="G616" s="97">
        <v>1996</v>
      </c>
      <c r="H616" s="114">
        <v>96.528519395130431</v>
      </c>
      <c r="I616" s="125">
        <v>95271</v>
      </c>
      <c r="J616" s="115">
        <v>91.114174511566972</v>
      </c>
    </row>
    <row r="617" spans="1:10" ht="16">
      <c r="A617" s="100" t="s">
        <v>516</v>
      </c>
      <c r="B617" s="101" t="s">
        <v>474</v>
      </c>
      <c r="C617" s="102" t="s">
        <v>107</v>
      </c>
      <c r="D617" s="103" t="s">
        <v>59</v>
      </c>
      <c r="E617" s="104">
        <v>8325</v>
      </c>
      <c r="F617" s="104">
        <v>570</v>
      </c>
      <c r="G617" s="104">
        <v>186</v>
      </c>
      <c r="H617" s="116">
        <v>10.403305137442896</v>
      </c>
      <c r="I617" s="126">
        <v>1265</v>
      </c>
      <c r="J617" s="117">
        <v>19.844267415918484</v>
      </c>
    </row>
    <row r="618" spans="1:10" ht="16">
      <c r="A618" s="93" t="s">
        <v>1357</v>
      </c>
      <c r="B618" s="94" t="s">
        <v>1288</v>
      </c>
      <c r="C618" s="95" t="s">
        <v>107</v>
      </c>
      <c r="D618" s="96" t="s">
        <v>84</v>
      </c>
      <c r="E618" s="97">
        <v>40451</v>
      </c>
      <c r="F618" s="97">
        <v>2576</v>
      </c>
      <c r="G618" s="97">
        <v>9304</v>
      </c>
      <c r="H618" s="114">
        <v>67.23903017888135</v>
      </c>
      <c r="I618" s="125">
        <v>41936</v>
      </c>
      <c r="J618" s="115">
        <v>57.902671311143855</v>
      </c>
    </row>
    <row r="619" spans="1:10" ht="16">
      <c r="A619" s="100" t="s">
        <v>1007</v>
      </c>
      <c r="B619" s="101" t="s">
        <v>988</v>
      </c>
      <c r="C619" s="102" t="s">
        <v>107</v>
      </c>
      <c r="D619" s="103" t="s">
        <v>62</v>
      </c>
      <c r="E619" s="104">
        <v>24331</v>
      </c>
      <c r="F619" s="104">
        <v>1330</v>
      </c>
      <c r="G619" s="104">
        <v>2676</v>
      </c>
      <c r="H619" s="116">
        <v>30.081984329399617</v>
      </c>
      <c r="I619" s="126">
        <v>7511</v>
      </c>
      <c r="J619" s="117">
        <v>27.931426708636234</v>
      </c>
    </row>
    <row r="620" spans="1:10" ht="16">
      <c r="A620" s="93" t="s">
        <v>906</v>
      </c>
      <c r="B620" s="94" t="s">
        <v>907</v>
      </c>
      <c r="C620" s="95" t="s">
        <v>76</v>
      </c>
      <c r="D620" s="96" t="s">
        <v>82</v>
      </c>
      <c r="E620" s="97">
        <v>15585</v>
      </c>
      <c r="F620" s="97">
        <v>901</v>
      </c>
      <c r="G620" s="97">
        <v>5922</v>
      </c>
      <c r="H620" s="114">
        <v>27.992449800270705</v>
      </c>
      <c r="I620" s="125">
        <v>17702</v>
      </c>
      <c r="J620" s="115">
        <v>20.268497390914639</v>
      </c>
    </row>
    <row r="621" spans="1:10" ht="16">
      <c r="A621" s="100" t="s">
        <v>865</v>
      </c>
      <c r="B621" s="101" t="s">
        <v>858</v>
      </c>
      <c r="C621" s="102" t="s">
        <v>76</v>
      </c>
      <c r="D621" s="103" t="s">
        <v>82</v>
      </c>
      <c r="E621" s="104">
        <v>14694</v>
      </c>
      <c r="F621" s="104">
        <v>593</v>
      </c>
      <c r="G621" s="104">
        <v>147</v>
      </c>
      <c r="H621" s="116">
        <v>18.657432425022733</v>
      </c>
      <c r="I621" s="126">
        <v>15337</v>
      </c>
      <c r="J621" s="117">
        <v>21.385502697792464</v>
      </c>
    </row>
    <row r="622" spans="1:10" ht="16">
      <c r="A622" s="93" t="s">
        <v>1226</v>
      </c>
      <c r="B622" s="94" t="s">
        <v>1190</v>
      </c>
      <c r="C622" s="95" t="s">
        <v>76</v>
      </c>
      <c r="D622" s="96" t="s">
        <v>62</v>
      </c>
      <c r="E622" s="97">
        <v>17799</v>
      </c>
      <c r="F622" s="97">
        <v>1262</v>
      </c>
      <c r="G622" s="97">
        <v>7654</v>
      </c>
      <c r="H622" s="114">
        <v>43.263055823582647</v>
      </c>
      <c r="I622" s="125">
        <v>42346</v>
      </c>
      <c r="J622" s="115">
        <v>35.337632899044912</v>
      </c>
    </row>
    <row r="623" spans="1:10" ht="16">
      <c r="A623" s="100" t="s">
        <v>105</v>
      </c>
      <c r="B623" s="101" t="s">
        <v>89</v>
      </c>
      <c r="C623" s="102" t="s">
        <v>76</v>
      </c>
      <c r="D623" s="103" t="s">
        <v>92</v>
      </c>
      <c r="E623" s="104">
        <v>34871</v>
      </c>
      <c r="F623" s="104">
        <v>913</v>
      </c>
      <c r="G623" s="104">
        <v>5579</v>
      </c>
      <c r="H623" s="116">
        <v>40.414899388408976</v>
      </c>
      <c r="I623" s="126">
        <v>34949</v>
      </c>
      <c r="J623" s="117">
        <v>32.447594262837008</v>
      </c>
    </row>
    <row r="624" spans="1:10" ht="16">
      <c r="A624" s="93" t="s">
        <v>825</v>
      </c>
      <c r="B624" s="94" t="s">
        <v>820</v>
      </c>
      <c r="C624" s="95" t="s">
        <v>76</v>
      </c>
      <c r="D624" s="96" t="s">
        <v>130</v>
      </c>
      <c r="E624" s="97">
        <v>20024</v>
      </c>
      <c r="F624" s="97">
        <v>1144</v>
      </c>
      <c r="G624" s="97">
        <v>2803</v>
      </c>
      <c r="H624" s="114">
        <v>50.742080190469942</v>
      </c>
      <c r="I624" s="125">
        <v>44072</v>
      </c>
      <c r="J624" s="115">
        <v>36.448204886483637</v>
      </c>
    </row>
    <row r="625" spans="1:10" ht="16">
      <c r="A625" s="100" t="s">
        <v>268</v>
      </c>
      <c r="B625" s="101" t="s">
        <v>223</v>
      </c>
      <c r="C625" s="102" t="s">
        <v>76</v>
      </c>
      <c r="D625" s="103" t="s">
        <v>63</v>
      </c>
      <c r="E625" s="104">
        <v>25590</v>
      </c>
      <c r="F625" s="104">
        <v>2047</v>
      </c>
      <c r="G625" s="104">
        <v>1535</v>
      </c>
      <c r="H625" s="116">
        <v>22.058516162225843</v>
      </c>
      <c r="I625" s="126">
        <v>10073</v>
      </c>
      <c r="J625" s="117">
        <v>43.017277744511468</v>
      </c>
    </row>
    <row r="626" spans="1:10" ht="16">
      <c r="A626" s="93" t="s">
        <v>1358</v>
      </c>
      <c r="B626" s="94" t="s">
        <v>1288</v>
      </c>
      <c r="C626" s="95" t="s">
        <v>107</v>
      </c>
      <c r="D626" s="96" t="s">
        <v>130</v>
      </c>
      <c r="E626" s="97">
        <v>7798</v>
      </c>
      <c r="F626" s="97">
        <v>500</v>
      </c>
      <c r="G626" s="97">
        <v>1560</v>
      </c>
      <c r="H626" s="114">
        <v>29.214639700901824</v>
      </c>
      <c r="I626" s="125">
        <v>16945</v>
      </c>
      <c r="J626" s="115">
        <v>30.74124966154605</v>
      </c>
    </row>
    <row r="627" spans="1:10" ht="16">
      <c r="A627" s="100" t="s">
        <v>1359</v>
      </c>
      <c r="B627" s="101" t="s">
        <v>1288</v>
      </c>
      <c r="C627" s="102" t="s">
        <v>107</v>
      </c>
      <c r="D627" s="103" t="s">
        <v>82</v>
      </c>
      <c r="E627" s="104">
        <v>6667</v>
      </c>
      <c r="F627" s="104">
        <v>749</v>
      </c>
      <c r="G627" s="104">
        <v>1867</v>
      </c>
      <c r="H627" s="116">
        <v>39.770114256228013</v>
      </c>
      <c r="I627" s="126">
        <v>37284</v>
      </c>
      <c r="J627" s="117">
        <v>49.249545990373669</v>
      </c>
    </row>
    <row r="628" spans="1:10" ht="16">
      <c r="A628" s="93" t="s">
        <v>767</v>
      </c>
      <c r="B628" s="94" t="s">
        <v>766</v>
      </c>
      <c r="C628" s="95" t="s">
        <v>107</v>
      </c>
      <c r="D628" s="96" t="s">
        <v>77</v>
      </c>
      <c r="E628" s="97">
        <v>10805</v>
      </c>
      <c r="F628" s="97">
        <v>363</v>
      </c>
      <c r="G628" s="97">
        <v>1189</v>
      </c>
      <c r="H628" s="114">
        <v>18.260467150531351</v>
      </c>
      <c r="I628" s="125">
        <v>3584</v>
      </c>
      <c r="J628" s="115">
        <v>19.639101786689281</v>
      </c>
    </row>
    <row r="629" spans="1:10" ht="16">
      <c r="A629" s="100" t="s">
        <v>702</v>
      </c>
      <c r="B629" s="101" t="s">
        <v>642</v>
      </c>
      <c r="C629" s="102" t="s">
        <v>76</v>
      </c>
      <c r="D629" s="103" t="s">
        <v>60</v>
      </c>
      <c r="E629" s="104">
        <v>20183</v>
      </c>
      <c r="F629" s="104">
        <v>1431</v>
      </c>
      <c r="G629" s="104">
        <v>807</v>
      </c>
      <c r="H629" s="116">
        <v>9.6218854966176117</v>
      </c>
      <c r="I629" s="126">
        <v>4317</v>
      </c>
      <c r="J629" s="117">
        <v>17.040090690230265</v>
      </c>
    </row>
    <row r="630" spans="1:10" ht="16">
      <c r="A630" s="93" t="s">
        <v>171</v>
      </c>
      <c r="B630" s="94" t="s">
        <v>150</v>
      </c>
      <c r="C630" s="95" t="s">
        <v>76</v>
      </c>
      <c r="D630" s="96" t="s">
        <v>80</v>
      </c>
      <c r="E630" s="97">
        <v>22879</v>
      </c>
      <c r="F630" s="97">
        <v>2571</v>
      </c>
      <c r="G630" s="97">
        <v>1144</v>
      </c>
      <c r="H630" s="114">
        <v>11.875261538256998</v>
      </c>
      <c r="I630" s="125">
        <v>1684</v>
      </c>
      <c r="J630" s="115">
        <v>25.002974931660098</v>
      </c>
    </row>
    <row r="631" spans="1:10" ht="16">
      <c r="A631" s="100" t="s">
        <v>703</v>
      </c>
      <c r="B631" s="101" t="s">
        <v>642</v>
      </c>
      <c r="C631" s="102" t="s">
        <v>107</v>
      </c>
      <c r="D631" s="103" t="s">
        <v>59</v>
      </c>
      <c r="E631" s="104">
        <v>34413</v>
      </c>
      <c r="F631" s="104">
        <v>1880</v>
      </c>
      <c r="G631" s="104">
        <v>2065</v>
      </c>
      <c r="H631" s="116">
        <v>13.229879559732836</v>
      </c>
      <c r="I631" s="126">
        <v>2221</v>
      </c>
      <c r="J631" s="117">
        <v>19.285941993179023</v>
      </c>
    </row>
    <row r="632" spans="1:10" ht="16">
      <c r="A632" s="93" t="s">
        <v>106</v>
      </c>
      <c r="B632" s="94" t="s">
        <v>89</v>
      </c>
      <c r="C632" s="95" t="s">
        <v>107</v>
      </c>
      <c r="D632" s="96" t="s">
        <v>61</v>
      </c>
      <c r="E632" s="97">
        <v>33848</v>
      </c>
      <c r="F632" s="97">
        <v>1511</v>
      </c>
      <c r="G632" s="97">
        <v>10154</v>
      </c>
      <c r="H632" s="114">
        <v>26.255691822669192</v>
      </c>
      <c r="I632" s="125">
        <v>16878</v>
      </c>
      <c r="J632" s="115">
        <v>26.5528630134393</v>
      </c>
    </row>
    <row r="633" spans="1:10" ht="16">
      <c r="A633" s="100" t="s">
        <v>1227</v>
      </c>
      <c r="B633" s="101" t="s">
        <v>1190</v>
      </c>
      <c r="C633" s="102" t="s">
        <v>76</v>
      </c>
      <c r="D633" s="103" t="s">
        <v>130</v>
      </c>
      <c r="E633" s="104">
        <v>9489</v>
      </c>
      <c r="F633" s="104">
        <v>465</v>
      </c>
      <c r="G633" s="104">
        <v>2088</v>
      </c>
      <c r="H633" s="116">
        <v>11.713474121648453</v>
      </c>
      <c r="I633" s="126">
        <v>2693</v>
      </c>
      <c r="J633" s="117">
        <v>17.655032842544077</v>
      </c>
    </row>
    <row r="634" spans="1:10" ht="16">
      <c r="A634" s="93" t="s">
        <v>1360</v>
      </c>
      <c r="B634" s="94" t="s">
        <v>1288</v>
      </c>
      <c r="C634" s="95" t="s">
        <v>107</v>
      </c>
      <c r="D634" s="96" t="s">
        <v>82</v>
      </c>
      <c r="E634" s="97">
        <v>13996</v>
      </c>
      <c r="F634" s="97">
        <v>891</v>
      </c>
      <c r="G634" s="97">
        <v>2519</v>
      </c>
      <c r="H634" s="114">
        <v>18.549498077231945</v>
      </c>
      <c r="I634" s="125">
        <v>7093</v>
      </c>
      <c r="J634" s="115">
        <v>20.752297335879607</v>
      </c>
    </row>
    <row r="635" spans="1:10" ht="16">
      <c r="A635" s="100" t="s">
        <v>339</v>
      </c>
      <c r="B635" s="101" t="s">
        <v>336</v>
      </c>
      <c r="C635" s="102" t="s">
        <v>76</v>
      </c>
      <c r="D635" s="103" t="s">
        <v>62</v>
      </c>
      <c r="E635" s="104">
        <v>6382</v>
      </c>
      <c r="F635" s="104">
        <v>355</v>
      </c>
      <c r="G635" s="104">
        <v>766</v>
      </c>
      <c r="H635" s="116">
        <v>33.435402096890201</v>
      </c>
      <c r="I635" s="126">
        <v>12470</v>
      </c>
      <c r="J635" s="117">
        <v>22.282054401071875</v>
      </c>
    </row>
    <row r="636" spans="1:10" ht="16">
      <c r="A636" s="93" t="s">
        <v>584</v>
      </c>
      <c r="B636" s="94" t="s">
        <v>581</v>
      </c>
      <c r="C636" s="95" t="s">
        <v>76</v>
      </c>
      <c r="D636" s="96" t="s">
        <v>62</v>
      </c>
      <c r="E636" s="97">
        <v>2265</v>
      </c>
      <c r="F636" s="97">
        <v>107</v>
      </c>
      <c r="G636" s="97">
        <v>1472</v>
      </c>
      <c r="H636" s="114">
        <v>27.1477355298682</v>
      </c>
      <c r="I636" s="125">
        <v>24293</v>
      </c>
      <c r="J636" s="115">
        <v>30.687261867115705</v>
      </c>
    </row>
    <row r="637" spans="1:10" ht="16">
      <c r="A637" s="100" t="s">
        <v>1228</v>
      </c>
      <c r="B637" s="101" t="s">
        <v>1190</v>
      </c>
      <c r="C637" s="102" t="s">
        <v>76</v>
      </c>
      <c r="D637" s="103" t="s">
        <v>61</v>
      </c>
      <c r="E637" s="104">
        <v>9503</v>
      </c>
      <c r="F637" s="104">
        <v>625</v>
      </c>
      <c r="G637" s="104">
        <v>3421</v>
      </c>
      <c r="H637" s="116">
        <v>30.602526615778601</v>
      </c>
      <c r="I637" s="126">
        <v>22267</v>
      </c>
      <c r="J637" s="117">
        <v>31.548947131298206</v>
      </c>
    </row>
    <row r="638" spans="1:10" ht="16">
      <c r="A638" s="93" t="s">
        <v>1229</v>
      </c>
      <c r="B638" s="94" t="s">
        <v>1190</v>
      </c>
      <c r="C638" s="95" t="s">
        <v>76</v>
      </c>
      <c r="D638" s="96" t="s">
        <v>80</v>
      </c>
      <c r="E638" s="97">
        <v>2067</v>
      </c>
      <c r="F638" s="97">
        <v>190</v>
      </c>
      <c r="G638" s="97">
        <v>393</v>
      </c>
      <c r="H638" s="114">
        <v>18.37594682216065</v>
      </c>
      <c r="I638" s="125">
        <v>12741</v>
      </c>
      <c r="J638" s="115">
        <v>27.875165094179618</v>
      </c>
    </row>
    <row r="639" spans="1:10" ht="16">
      <c r="A639" s="100" t="s">
        <v>943</v>
      </c>
      <c r="B639" s="101" t="s">
        <v>919</v>
      </c>
      <c r="C639" s="102" t="s">
        <v>76</v>
      </c>
      <c r="D639" s="103" t="s">
        <v>84</v>
      </c>
      <c r="E639" s="104">
        <v>19803</v>
      </c>
      <c r="F639" s="104">
        <v>1707</v>
      </c>
      <c r="G639" s="104">
        <v>5743</v>
      </c>
      <c r="H639" s="116">
        <v>11.725208812901679</v>
      </c>
      <c r="I639" s="126">
        <v>2912</v>
      </c>
      <c r="J639" s="117">
        <v>37.196136614280974</v>
      </c>
    </row>
    <row r="640" spans="1:10" ht="16">
      <c r="A640" s="93" t="s">
        <v>416</v>
      </c>
      <c r="B640" s="94" t="s">
        <v>402</v>
      </c>
      <c r="C640" s="95" t="s">
        <v>107</v>
      </c>
      <c r="D640" s="96" t="s">
        <v>59</v>
      </c>
      <c r="E640" s="97">
        <v>43015</v>
      </c>
      <c r="F640" s="97">
        <v>711</v>
      </c>
      <c r="G640" s="97">
        <v>6022</v>
      </c>
      <c r="H640" s="114">
        <v>45.801094123425273</v>
      </c>
      <c r="I640" s="125">
        <v>26191</v>
      </c>
      <c r="J640" s="115">
        <v>40.267864765485179</v>
      </c>
    </row>
    <row r="641" spans="1:10" ht="16">
      <c r="A641" s="100" t="s">
        <v>1361</v>
      </c>
      <c r="B641" s="101" t="s">
        <v>1288</v>
      </c>
      <c r="C641" s="102" t="s">
        <v>76</v>
      </c>
      <c r="D641" s="103" t="s">
        <v>63</v>
      </c>
      <c r="E641" s="104">
        <v>2425</v>
      </c>
      <c r="F641" s="104">
        <v>1213</v>
      </c>
      <c r="G641" s="104">
        <v>24</v>
      </c>
      <c r="H641" s="116">
        <v>13.369311309832037</v>
      </c>
      <c r="I641" s="126">
        <v>11953</v>
      </c>
      <c r="J641" s="117">
        <v>37.404989227890525</v>
      </c>
    </row>
    <row r="642" spans="1:10" ht="16">
      <c r="A642" s="93" t="s">
        <v>1362</v>
      </c>
      <c r="B642" s="94" t="s">
        <v>1288</v>
      </c>
      <c r="C642" s="95" t="s">
        <v>76</v>
      </c>
      <c r="D642" s="96" t="s">
        <v>63</v>
      </c>
      <c r="E642" s="97">
        <v>44801</v>
      </c>
      <c r="F642" s="97">
        <v>4000</v>
      </c>
      <c r="G642" s="97">
        <v>7616</v>
      </c>
      <c r="H642" s="114">
        <v>48.591238969428282</v>
      </c>
      <c r="I642" s="125">
        <v>35926</v>
      </c>
      <c r="J642" s="115">
        <v>48.414858009461561</v>
      </c>
    </row>
    <row r="643" spans="1:10" ht="16">
      <c r="A643" s="100" t="s">
        <v>417</v>
      </c>
      <c r="B643" s="101" t="s">
        <v>402</v>
      </c>
      <c r="C643" s="102" t="s">
        <v>107</v>
      </c>
      <c r="D643" s="103" t="s">
        <v>61</v>
      </c>
      <c r="E643" s="104">
        <v>45377</v>
      </c>
      <c r="F643" s="104">
        <v>743</v>
      </c>
      <c r="G643" s="104">
        <v>9529</v>
      </c>
      <c r="H643" s="116">
        <v>61.773560470356543</v>
      </c>
      <c r="I643" s="126">
        <v>41453</v>
      </c>
      <c r="J643" s="117">
        <v>56.240415113390512</v>
      </c>
    </row>
    <row r="644" spans="1:10" ht="16">
      <c r="A644" s="93" t="s">
        <v>192</v>
      </c>
      <c r="B644" s="94" t="s">
        <v>184</v>
      </c>
      <c r="C644" s="95" t="s">
        <v>76</v>
      </c>
      <c r="D644" s="96" t="s">
        <v>84</v>
      </c>
      <c r="E644" s="97">
        <v>33694</v>
      </c>
      <c r="F644" s="97">
        <v>782</v>
      </c>
      <c r="G644" s="97">
        <v>1348</v>
      </c>
      <c r="H644" s="114">
        <v>26.998585565315061</v>
      </c>
      <c r="I644" s="125">
        <v>10069</v>
      </c>
      <c r="J644" s="115">
        <v>20.099299468794317</v>
      </c>
    </row>
    <row r="645" spans="1:10" ht="16">
      <c r="A645" s="100" t="s">
        <v>1170</v>
      </c>
      <c r="B645" s="101" t="s">
        <v>1142</v>
      </c>
      <c r="C645" s="102" t="s">
        <v>107</v>
      </c>
      <c r="D645" s="103" t="s">
        <v>59</v>
      </c>
      <c r="E645" s="104">
        <v>3605</v>
      </c>
      <c r="F645" s="104">
        <v>168</v>
      </c>
      <c r="G645" s="104">
        <v>324</v>
      </c>
      <c r="H645" s="116">
        <v>35.600300421072326</v>
      </c>
      <c r="I645" s="126">
        <v>19809</v>
      </c>
      <c r="J645" s="117">
        <v>28.593611925934621</v>
      </c>
    </row>
    <row r="646" spans="1:10" ht="16">
      <c r="A646" s="93" t="s">
        <v>704</v>
      </c>
      <c r="B646" s="94" t="s">
        <v>642</v>
      </c>
      <c r="C646" s="95" t="s">
        <v>107</v>
      </c>
      <c r="D646" s="96" t="s">
        <v>63</v>
      </c>
      <c r="E646" s="97">
        <v>6799</v>
      </c>
      <c r="F646" s="97">
        <v>708</v>
      </c>
      <c r="G646" s="97">
        <v>136</v>
      </c>
      <c r="H646" s="114">
        <v>13.037264012244293</v>
      </c>
      <c r="I646" s="125">
        <v>2359</v>
      </c>
      <c r="J646" s="115">
        <v>22.017982612758125</v>
      </c>
    </row>
    <row r="647" spans="1:10" ht="16">
      <c r="A647" s="100" t="s">
        <v>944</v>
      </c>
      <c r="B647" s="101" t="s">
        <v>919</v>
      </c>
      <c r="C647" s="102" t="s">
        <v>76</v>
      </c>
      <c r="D647" s="103" t="s">
        <v>62</v>
      </c>
      <c r="E647" s="104">
        <v>21489</v>
      </c>
      <c r="F647" s="104">
        <v>2904</v>
      </c>
      <c r="G647" s="104">
        <v>2579</v>
      </c>
      <c r="H647" s="116">
        <v>31.748449656702483</v>
      </c>
      <c r="I647" s="126">
        <v>6158</v>
      </c>
      <c r="J647" s="117">
        <v>46.691030238646881</v>
      </c>
    </row>
    <row r="648" spans="1:10" ht="16">
      <c r="A648" s="93" t="s">
        <v>945</v>
      </c>
      <c r="B648" s="94" t="s">
        <v>919</v>
      </c>
      <c r="C648" s="95" t="s">
        <v>107</v>
      </c>
      <c r="D648" s="96" t="s">
        <v>92</v>
      </c>
      <c r="E648" s="97">
        <v>7298</v>
      </c>
      <c r="F648" s="97">
        <v>657</v>
      </c>
      <c r="G648" s="97">
        <v>803</v>
      </c>
      <c r="H648" s="114">
        <v>10.766734472252253</v>
      </c>
      <c r="I648" s="125">
        <v>5181</v>
      </c>
      <c r="J648" s="115">
        <v>20.652266721925781</v>
      </c>
    </row>
    <row r="649" spans="1:10" ht="16">
      <c r="A649" s="100" t="s">
        <v>705</v>
      </c>
      <c r="B649" s="101" t="s">
        <v>642</v>
      </c>
      <c r="C649" s="102" t="s">
        <v>107</v>
      </c>
      <c r="D649" s="103" t="s">
        <v>92</v>
      </c>
      <c r="E649" s="104">
        <v>1909</v>
      </c>
      <c r="F649" s="104">
        <v>1273</v>
      </c>
      <c r="G649" s="104">
        <v>133</v>
      </c>
      <c r="H649" s="116">
        <v>10.185748177877365</v>
      </c>
      <c r="I649" s="126">
        <v>2749</v>
      </c>
      <c r="J649" s="117">
        <v>24.521997475425049</v>
      </c>
    </row>
    <row r="650" spans="1:10" ht="16">
      <c r="A650" s="93" t="s">
        <v>706</v>
      </c>
      <c r="B650" s="94" t="s">
        <v>642</v>
      </c>
      <c r="C650" s="95" t="s">
        <v>107</v>
      </c>
      <c r="D650" s="96" t="s">
        <v>82</v>
      </c>
      <c r="E650" s="97">
        <v>8579</v>
      </c>
      <c r="F650" s="97">
        <v>600</v>
      </c>
      <c r="G650" s="97">
        <v>429</v>
      </c>
      <c r="H650" s="114">
        <v>13.017345381125327</v>
      </c>
      <c r="I650" s="125">
        <v>2979</v>
      </c>
      <c r="J650" s="115">
        <v>19.251028447388251</v>
      </c>
    </row>
    <row r="651" spans="1:10" ht="16">
      <c r="A651" s="100" t="s">
        <v>946</v>
      </c>
      <c r="B651" s="101" t="s">
        <v>919</v>
      </c>
      <c r="C651" s="102" t="s">
        <v>76</v>
      </c>
      <c r="D651" s="103" t="s">
        <v>82</v>
      </c>
      <c r="E651" s="104">
        <v>9660</v>
      </c>
      <c r="F651" s="104">
        <v>911</v>
      </c>
      <c r="G651" s="104">
        <v>1063</v>
      </c>
      <c r="H651" s="116">
        <v>12.685139813751706</v>
      </c>
      <c r="I651" s="126">
        <v>3898</v>
      </c>
      <c r="J651" s="117">
        <v>18.614444527835783</v>
      </c>
    </row>
    <row r="652" spans="1:10" ht="16">
      <c r="A652" s="93" t="s">
        <v>1363</v>
      </c>
      <c r="B652" s="94" t="s">
        <v>1288</v>
      </c>
      <c r="C652" s="95" t="s">
        <v>76</v>
      </c>
      <c r="D652" s="96" t="s">
        <v>61</v>
      </c>
      <c r="E652" s="97">
        <v>30799</v>
      </c>
      <c r="F652" s="97">
        <v>1010</v>
      </c>
      <c r="G652" s="97">
        <v>2464</v>
      </c>
      <c r="H652" s="114">
        <v>24.590517695693947</v>
      </c>
      <c r="I652" s="125">
        <v>15212</v>
      </c>
      <c r="J652" s="115">
        <v>23.770863314782382</v>
      </c>
    </row>
    <row r="653" spans="1:10" ht="16">
      <c r="A653" s="100" t="s">
        <v>172</v>
      </c>
      <c r="B653" s="101" t="s">
        <v>150</v>
      </c>
      <c r="C653" s="102" t="s">
        <v>76</v>
      </c>
      <c r="D653" s="103" t="s">
        <v>62</v>
      </c>
      <c r="E653" s="104">
        <v>12922</v>
      </c>
      <c r="F653" s="104">
        <v>1086</v>
      </c>
      <c r="G653" s="104">
        <v>129</v>
      </c>
      <c r="H653" s="116">
        <v>9.8474714301685857</v>
      </c>
      <c r="I653" s="126">
        <v>1855</v>
      </c>
      <c r="J653" s="117">
        <v>18.583775428471238</v>
      </c>
    </row>
    <row r="654" spans="1:10" ht="16">
      <c r="A654" s="93" t="s">
        <v>605</v>
      </c>
      <c r="B654" s="94" t="s">
        <v>598</v>
      </c>
      <c r="C654" s="95" t="s">
        <v>76</v>
      </c>
      <c r="D654" s="96" t="s">
        <v>92</v>
      </c>
      <c r="E654" s="97">
        <v>71318</v>
      </c>
      <c r="F654" s="97">
        <v>3348</v>
      </c>
      <c r="G654" s="97">
        <v>4279</v>
      </c>
      <c r="H654" s="114">
        <v>40.351490620651845</v>
      </c>
      <c r="I654" s="125">
        <v>27962</v>
      </c>
      <c r="J654" s="115">
        <v>40.838366205036131</v>
      </c>
    </row>
    <row r="655" spans="1:10" ht="16">
      <c r="A655" s="100" t="s">
        <v>707</v>
      </c>
      <c r="B655" s="101" t="s">
        <v>642</v>
      </c>
      <c r="C655" s="102" t="s">
        <v>107</v>
      </c>
      <c r="D655" s="103" t="s">
        <v>60</v>
      </c>
      <c r="E655" s="104">
        <v>1336</v>
      </c>
      <c r="F655" s="104">
        <v>382</v>
      </c>
      <c r="G655" s="104">
        <v>93</v>
      </c>
      <c r="H655" s="116">
        <v>11.97907324906955</v>
      </c>
      <c r="I655" s="126">
        <v>3889</v>
      </c>
      <c r="J655" s="117">
        <v>29.623240017594156</v>
      </c>
    </row>
    <row r="656" spans="1:10" ht="16">
      <c r="A656" s="93" t="s">
        <v>517</v>
      </c>
      <c r="B656" s="94" t="s">
        <v>474</v>
      </c>
      <c r="C656" s="95" t="s">
        <v>76</v>
      </c>
      <c r="D656" s="96" t="s">
        <v>82</v>
      </c>
      <c r="E656" s="97">
        <v>12234</v>
      </c>
      <c r="F656" s="97">
        <v>844</v>
      </c>
      <c r="G656" s="97">
        <v>274</v>
      </c>
      <c r="H656" s="114">
        <v>12.00562114388803</v>
      </c>
      <c r="I656" s="125">
        <v>3808</v>
      </c>
      <c r="J656" s="115">
        <v>17.618793858295593</v>
      </c>
    </row>
    <row r="657" spans="1:10" ht="16">
      <c r="A657" s="100" t="s">
        <v>518</v>
      </c>
      <c r="B657" s="101" t="s">
        <v>474</v>
      </c>
      <c r="C657" s="102" t="s">
        <v>107</v>
      </c>
      <c r="D657" s="103" t="s">
        <v>92</v>
      </c>
      <c r="E657" s="104">
        <v>14381</v>
      </c>
      <c r="F657" s="104">
        <v>851</v>
      </c>
      <c r="G657" s="104">
        <v>144</v>
      </c>
      <c r="H657" s="116">
        <v>9.4754346112035961</v>
      </c>
      <c r="I657" s="126">
        <v>969</v>
      </c>
      <c r="J657" s="117">
        <v>18.456482139046152</v>
      </c>
    </row>
    <row r="658" spans="1:10" ht="16">
      <c r="A658" s="93" t="s">
        <v>519</v>
      </c>
      <c r="B658" s="94" t="s">
        <v>474</v>
      </c>
      <c r="C658" s="95" t="s">
        <v>76</v>
      </c>
      <c r="D658" s="96" t="s">
        <v>61</v>
      </c>
      <c r="E658" s="97">
        <v>6056</v>
      </c>
      <c r="F658" s="97">
        <v>477</v>
      </c>
      <c r="G658" s="97">
        <v>121</v>
      </c>
      <c r="H658" s="114">
        <v>18.529648757790603</v>
      </c>
      <c r="I658" s="125">
        <v>8746</v>
      </c>
      <c r="J658" s="115">
        <v>39.70579903243663</v>
      </c>
    </row>
    <row r="659" spans="1:10" ht="16">
      <c r="A659" s="100" t="s">
        <v>387</v>
      </c>
      <c r="B659" s="101" t="s">
        <v>377</v>
      </c>
      <c r="C659" s="102" t="s">
        <v>76</v>
      </c>
      <c r="D659" s="103" t="s">
        <v>130</v>
      </c>
      <c r="E659" s="104">
        <v>11915</v>
      </c>
      <c r="F659" s="104">
        <v>264</v>
      </c>
      <c r="G659" s="104">
        <v>4051</v>
      </c>
      <c r="H659" s="116">
        <v>27.404929517005172</v>
      </c>
      <c r="I659" s="126">
        <v>15412</v>
      </c>
      <c r="J659" s="117">
        <v>30.362084642788421</v>
      </c>
    </row>
    <row r="660" spans="1:10" ht="16">
      <c r="A660" s="93" t="s">
        <v>606</v>
      </c>
      <c r="B660" s="94" t="s">
        <v>598</v>
      </c>
      <c r="C660" s="95" t="s">
        <v>107</v>
      </c>
      <c r="D660" s="96" t="s">
        <v>130</v>
      </c>
      <c r="E660" s="97">
        <v>558</v>
      </c>
      <c r="F660" s="97">
        <v>82</v>
      </c>
      <c r="G660" s="97">
        <v>61</v>
      </c>
      <c r="H660" s="114">
        <v>39.026591706825016</v>
      </c>
      <c r="I660" s="125">
        <v>30270</v>
      </c>
      <c r="J660" s="115">
        <v>58.152487998830715</v>
      </c>
    </row>
    <row r="661" spans="1:10" ht="16">
      <c r="A661" s="100" t="s">
        <v>947</v>
      </c>
      <c r="B661" s="101" t="s">
        <v>919</v>
      </c>
      <c r="C661" s="102" t="s">
        <v>76</v>
      </c>
      <c r="D661" s="103" t="s">
        <v>77</v>
      </c>
      <c r="E661" s="104">
        <v>15354</v>
      </c>
      <c r="F661" s="104">
        <v>1872</v>
      </c>
      <c r="G661" s="104">
        <v>2457</v>
      </c>
      <c r="H661" s="116">
        <v>10.024439016307177</v>
      </c>
      <c r="I661" s="126">
        <v>345</v>
      </c>
      <c r="J661" s="117">
        <v>24.733309670573806</v>
      </c>
    </row>
    <row r="662" spans="1:10" ht="16">
      <c r="A662" s="93" t="s">
        <v>1008</v>
      </c>
      <c r="B662" s="94" t="s">
        <v>988</v>
      </c>
      <c r="C662" s="95" t="s">
        <v>107</v>
      </c>
      <c r="D662" s="96" t="s">
        <v>61</v>
      </c>
      <c r="E662" s="97">
        <v>12119</v>
      </c>
      <c r="F662" s="97">
        <v>713</v>
      </c>
      <c r="G662" s="97">
        <v>1212</v>
      </c>
      <c r="H662" s="114">
        <v>21.220498633824569</v>
      </c>
      <c r="I662" s="125">
        <v>15726</v>
      </c>
      <c r="J662" s="115">
        <v>24.047972502761592</v>
      </c>
    </row>
    <row r="663" spans="1:10" ht="16">
      <c r="A663" s="100" t="s">
        <v>468</v>
      </c>
      <c r="B663" s="101" t="s">
        <v>466</v>
      </c>
      <c r="C663" s="102" t="s">
        <v>76</v>
      </c>
      <c r="D663" s="103" t="s">
        <v>82</v>
      </c>
      <c r="E663" s="104">
        <v>10996</v>
      </c>
      <c r="F663" s="104">
        <v>1122</v>
      </c>
      <c r="G663" s="104">
        <v>3409</v>
      </c>
      <c r="H663" s="116">
        <v>12.554649902349155</v>
      </c>
      <c r="I663" s="126">
        <v>9157</v>
      </c>
      <c r="J663" s="117">
        <v>26.499147596608228</v>
      </c>
    </row>
    <row r="664" spans="1:10" ht="16">
      <c r="A664" s="93" t="s">
        <v>551</v>
      </c>
      <c r="B664" s="94" t="s">
        <v>537</v>
      </c>
      <c r="C664" s="95" t="s">
        <v>107</v>
      </c>
      <c r="D664" s="96" t="s">
        <v>84</v>
      </c>
      <c r="E664" s="97">
        <v>12496</v>
      </c>
      <c r="F664" s="97">
        <v>811</v>
      </c>
      <c r="G664" s="97">
        <v>125</v>
      </c>
      <c r="H664" s="114">
        <v>10.670226002012589</v>
      </c>
      <c r="I664" s="125">
        <v>3954</v>
      </c>
      <c r="J664" s="115">
        <v>17.849822722591021</v>
      </c>
    </row>
    <row r="665" spans="1:10" ht="16">
      <c r="A665" s="100" t="s">
        <v>1009</v>
      </c>
      <c r="B665" s="101" t="s">
        <v>988</v>
      </c>
      <c r="C665" s="102" t="s">
        <v>107</v>
      </c>
      <c r="D665" s="103" t="s">
        <v>77</v>
      </c>
      <c r="E665" s="104">
        <v>26182</v>
      </c>
      <c r="F665" s="104">
        <v>2111</v>
      </c>
      <c r="G665" s="104">
        <v>3142</v>
      </c>
      <c r="H665" s="116">
        <v>72.333748787443</v>
      </c>
      <c r="I665" s="126">
        <v>47694</v>
      </c>
      <c r="J665" s="117">
        <v>72.648108948843486</v>
      </c>
    </row>
    <row r="666" spans="1:10" ht="16">
      <c r="A666" s="93" t="s">
        <v>1010</v>
      </c>
      <c r="B666" s="94" t="s">
        <v>988</v>
      </c>
      <c r="C666" s="95" t="s">
        <v>107</v>
      </c>
      <c r="D666" s="96" t="s">
        <v>59</v>
      </c>
      <c r="E666" s="97">
        <v>11912</v>
      </c>
      <c r="F666" s="97">
        <v>693</v>
      </c>
      <c r="G666" s="97">
        <v>476</v>
      </c>
      <c r="H666" s="114">
        <v>14.162832995374801</v>
      </c>
      <c r="I666" s="125">
        <v>2147</v>
      </c>
      <c r="J666" s="115">
        <v>18.452347594972782</v>
      </c>
    </row>
    <row r="667" spans="1:10" ht="16">
      <c r="A667" s="100" t="s">
        <v>532</v>
      </c>
      <c r="B667" s="101" t="s">
        <v>530</v>
      </c>
      <c r="C667" s="102" t="s">
        <v>107</v>
      </c>
      <c r="D667" s="103" t="s">
        <v>60</v>
      </c>
      <c r="E667" s="104">
        <v>14624</v>
      </c>
      <c r="F667" s="104">
        <v>1380</v>
      </c>
      <c r="G667" s="104">
        <v>585</v>
      </c>
      <c r="H667" s="116">
        <v>11.307184760042059</v>
      </c>
      <c r="I667" s="126">
        <v>2646</v>
      </c>
      <c r="J667" s="117">
        <v>19.796279378792544</v>
      </c>
    </row>
    <row r="668" spans="1:10" ht="16">
      <c r="A668" s="93" t="s">
        <v>552</v>
      </c>
      <c r="B668" s="94" t="s">
        <v>537</v>
      </c>
      <c r="C668" s="95" t="s">
        <v>76</v>
      </c>
      <c r="D668" s="96" t="s">
        <v>130</v>
      </c>
      <c r="E668" s="97">
        <v>6350</v>
      </c>
      <c r="F668" s="97">
        <v>327</v>
      </c>
      <c r="G668" s="97">
        <v>292</v>
      </c>
      <c r="H668" s="114">
        <v>12.118416980864671</v>
      </c>
      <c r="I668" s="125">
        <v>1270</v>
      </c>
      <c r="J668" s="115">
        <v>20.21814245514118</v>
      </c>
    </row>
    <row r="669" spans="1:10" ht="16">
      <c r="A669" s="100" t="s">
        <v>553</v>
      </c>
      <c r="B669" s="101" t="s">
        <v>537</v>
      </c>
      <c r="C669" s="102" t="s">
        <v>76</v>
      </c>
      <c r="D669" s="103" t="s">
        <v>84</v>
      </c>
      <c r="E669" s="104">
        <v>14998</v>
      </c>
      <c r="F669" s="104">
        <v>638</v>
      </c>
      <c r="G669" s="104">
        <v>689</v>
      </c>
      <c r="H669" s="116">
        <v>13.777679941283642</v>
      </c>
      <c r="I669" s="126">
        <v>2123</v>
      </c>
      <c r="J669" s="117">
        <v>18.086122593053979</v>
      </c>
    </row>
    <row r="670" spans="1:10" ht="16">
      <c r="A670" s="93" t="s">
        <v>554</v>
      </c>
      <c r="B670" s="94" t="s">
        <v>537</v>
      </c>
      <c r="C670" s="95" t="s">
        <v>76</v>
      </c>
      <c r="D670" s="96" t="s">
        <v>59</v>
      </c>
      <c r="E670" s="97">
        <v>18403</v>
      </c>
      <c r="F670" s="97">
        <v>860</v>
      </c>
      <c r="G670" s="97">
        <v>368</v>
      </c>
      <c r="H670" s="114">
        <v>19.086634847277868</v>
      </c>
      <c r="I670" s="125">
        <v>7263</v>
      </c>
      <c r="J670" s="115">
        <v>22.881718009702787</v>
      </c>
    </row>
    <row r="671" spans="1:10" ht="16">
      <c r="A671" s="100" t="s">
        <v>555</v>
      </c>
      <c r="B671" s="101" t="s">
        <v>537</v>
      </c>
      <c r="C671" s="102" t="s">
        <v>76</v>
      </c>
      <c r="D671" s="103" t="s">
        <v>77</v>
      </c>
      <c r="E671" s="104">
        <v>12713</v>
      </c>
      <c r="F671" s="104">
        <v>1397</v>
      </c>
      <c r="G671" s="104">
        <v>254</v>
      </c>
      <c r="H671" s="116">
        <v>15.104024286813964</v>
      </c>
      <c r="I671" s="126">
        <v>5511</v>
      </c>
      <c r="J671" s="117">
        <v>43.372109528473082</v>
      </c>
    </row>
    <row r="672" spans="1:10" ht="16">
      <c r="A672" s="93" t="s">
        <v>556</v>
      </c>
      <c r="B672" s="94" t="s">
        <v>537</v>
      </c>
      <c r="C672" s="95" t="s">
        <v>76</v>
      </c>
      <c r="D672" s="96" t="s">
        <v>59</v>
      </c>
      <c r="E672" s="97">
        <v>12309</v>
      </c>
      <c r="F672" s="97">
        <v>583</v>
      </c>
      <c r="G672" s="97">
        <v>246</v>
      </c>
      <c r="H672" s="114">
        <v>19.051971042893317</v>
      </c>
      <c r="I672" s="125">
        <v>3011</v>
      </c>
      <c r="J672" s="115">
        <v>27.851823900051972</v>
      </c>
    </row>
    <row r="673" spans="1:10" ht="16">
      <c r="A673" s="100" t="s">
        <v>557</v>
      </c>
      <c r="B673" s="101" t="s">
        <v>537</v>
      </c>
      <c r="C673" s="102" t="s">
        <v>76</v>
      </c>
      <c r="D673" s="103" t="s">
        <v>62</v>
      </c>
      <c r="E673" s="104">
        <v>7378</v>
      </c>
      <c r="F673" s="104">
        <v>324</v>
      </c>
      <c r="G673" s="104">
        <v>339</v>
      </c>
      <c r="H673" s="116">
        <v>11.171842064466647</v>
      </c>
      <c r="I673" s="126">
        <v>4001</v>
      </c>
      <c r="J673" s="117">
        <v>15.691524280763891</v>
      </c>
    </row>
    <row r="674" spans="1:10" ht="16">
      <c r="A674" s="93" t="s">
        <v>558</v>
      </c>
      <c r="B674" s="94" t="s">
        <v>537</v>
      </c>
      <c r="C674" s="95" t="s">
        <v>107</v>
      </c>
      <c r="D674" s="96" t="s">
        <v>92</v>
      </c>
      <c r="E674" s="97">
        <v>8448</v>
      </c>
      <c r="F674" s="97">
        <v>343</v>
      </c>
      <c r="G674" s="97">
        <v>588</v>
      </c>
      <c r="H674" s="114">
        <v>14.027890223341432</v>
      </c>
      <c r="I674" s="125">
        <v>3885</v>
      </c>
      <c r="J674" s="115">
        <v>18.26610320395616</v>
      </c>
    </row>
    <row r="675" spans="1:10" ht="16">
      <c r="A675" s="100" t="s">
        <v>269</v>
      </c>
      <c r="B675" s="101" t="s">
        <v>223</v>
      </c>
      <c r="C675" s="102" t="s">
        <v>107</v>
      </c>
      <c r="D675" s="103" t="s">
        <v>84</v>
      </c>
      <c r="E675" s="104">
        <v>45767</v>
      </c>
      <c r="F675" s="104">
        <v>3135</v>
      </c>
      <c r="G675" s="104">
        <v>3204</v>
      </c>
      <c r="H675" s="116">
        <v>29.362220549569404</v>
      </c>
      <c r="I675" s="126">
        <v>10361</v>
      </c>
      <c r="J675" s="117">
        <v>33.124213784876723</v>
      </c>
    </row>
    <row r="676" spans="1:10" ht="16">
      <c r="A676" s="93" t="s">
        <v>270</v>
      </c>
      <c r="B676" s="94" t="s">
        <v>223</v>
      </c>
      <c r="C676" s="95" t="s">
        <v>107</v>
      </c>
      <c r="D676" s="96" t="s">
        <v>82</v>
      </c>
      <c r="E676" s="97">
        <v>38853</v>
      </c>
      <c r="F676" s="97">
        <v>3500</v>
      </c>
      <c r="G676" s="97">
        <v>5051</v>
      </c>
      <c r="H676" s="114">
        <v>63.259412203342173</v>
      </c>
      <c r="I676" s="125">
        <v>30287</v>
      </c>
      <c r="J676" s="115">
        <v>58.134697198375115</v>
      </c>
    </row>
    <row r="677" spans="1:10" ht="16">
      <c r="A677" s="100" t="s">
        <v>271</v>
      </c>
      <c r="B677" s="101" t="s">
        <v>223</v>
      </c>
      <c r="C677" s="102" t="s">
        <v>107</v>
      </c>
      <c r="D677" s="103" t="s">
        <v>92</v>
      </c>
      <c r="E677" s="104">
        <v>23789</v>
      </c>
      <c r="F677" s="104">
        <v>1329</v>
      </c>
      <c r="G677" s="104">
        <v>714</v>
      </c>
      <c r="H677" s="116">
        <v>10.55532012556119</v>
      </c>
      <c r="I677" s="126">
        <v>4077</v>
      </c>
      <c r="J677" s="117">
        <v>15.313883267941961</v>
      </c>
    </row>
    <row r="678" spans="1:10" ht="16">
      <c r="A678" s="93" t="s">
        <v>272</v>
      </c>
      <c r="B678" s="94" t="s">
        <v>223</v>
      </c>
      <c r="C678" s="95" t="s">
        <v>107</v>
      </c>
      <c r="D678" s="96" t="s">
        <v>77</v>
      </c>
      <c r="E678" s="97">
        <v>36637</v>
      </c>
      <c r="F678" s="97">
        <v>3242</v>
      </c>
      <c r="G678" s="97">
        <v>2198</v>
      </c>
      <c r="H678" s="114">
        <v>25.645464591527759</v>
      </c>
      <c r="I678" s="125">
        <v>7369</v>
      </c>
      <c r="J678" s="115">
        <v>21.221225849472706</v>
      </c>
    </row>
    <row r="679" spans="1:10" ht="16">
      <c r="A679" s="100" t="s">
        <v>273</v>
      </c>
      <c r="B679" s="101" t="s">
        <v>223</v>
      </c>
      <c r="C679" s="102" t="s">
        <v>76</v>
      </c>
      <c r="D679" s="103" t="s">
        <v>130</v>
      </c>
      <c r="E679" s="104">
        <v>15130</v>
      </c>
      <c r="F679" s="104">
        <v>1043</v>
      </c>
      <c r="G679" s="104">
        <v>757</v>
      </c>
      <c r="H679" s="116">
        <v>14.141613805817368</v>
      </c>
      <c r="I679" s="126">
        <v>4704</v>
      </c>
      <c r="J679" s="117">
        <v>28.51239901191364</v>
      </c>
    </row>
    <row r="680" spans="1:10" ht="16">
      <c r="A680" s="93" t="s">
        <v>274</v>
      </c>
      <c r="B680" s="94" t="s">
        <v>223</v>
      </c>
      <c r="C680" s="95" t="s">
        <v>107</v>
      </c>
      <c r="D680" s="96" t="s">
        <v>60</v>
      </c>
      <c r="E680" s="97">
        <v>10305</v>
      </c>
      <c r="F680" s="97">
        <v>881</v>
      </c>
      <c r="G680" s="97">
        <v>103</v>
      </c>
      <c r="H680" s="114">
        <v>15.085172071841278</v>
      </c>
      <c r="I680" s="125">
        <v>5666</v>
      </c>
      <c r="J680" s="115">
        <v>22.163320298096071</v>
      </c>
    </row>
    <row r="681" spans="1:10" ht="16">
      <c r="A681" s="100" t="s">
        <v>559</v>
      </c>
      <c r="B681" s="101" t="s">
        <v>537</v>
      </c>
      <c r="C681" s="102" t="s">
        <v>107</v>
      </c>
      <c r="D681" s="103" t="s">
        <v>61</v>
      </c>
      <c r="E681" s="104">
        <v>9260</v>
      </c>
      <c r="F681" s="104">
        <v>468</v>
      </c>
      <c r="G681" s="104">
        <v>185</v>
      </c>
      <c r="H681" s="116">
        <v>37.445145303503409</v>
      </c>
      <c r="I681" s="126">
        <v>15129</v>
      </c>
      <c r="J681" s="117">
        <v>29.55774696147143</v>
      </c>
    </row>
    <row r="682" spans="1:10" ht="16">
      <c r="A682" s="93" t="s">
        <v>1230</v>
      </c>
      <c r="B682" s="94" t="s">
        <v>1190</v>
      </c>
      <c r="C682" s="95" t="s">
        <v>76</v>
      </c>
      <c r="D682" s="96" t="s">
        <v>77</v>
      </c>
      <c r="E682" s="97">
        <v>25119</v>
      </c>
      <c r="F682" s="97">
        <v>1478</v>
      </c>
      <c r="G682" s="97">
        <v>3265</v>
      </c>
      <c r="H682" s="114">
        <v>13.394940468101732</v>
      </c>
      <c r="I682" s="125">
        <v>5514</v>
      </c>
      <c r="J682" s="115">
        <v>17.974102759557585</v>
      </c>
    </row>
    <row r="683" spans="1:10" ht="16">
      <c r="A683" s="100" t="s">
        <v>275</v>
      </c>
      <c r="B683" s="101" t="s">
        <v>223</v>
      </c>
      <c r="C683" s="102" t="s">
        <v>107</v>
      </c>
      <c r="D683" s="103" t="s">
        <v>60</v>
      </c>
      <c r="E683" s="104">
        <v>35171</v>
      </c>
      <c r="F683" s="104">
        <v>2269</v>
      </c>
      <c r="G683" s="104">
        <v>352</v>
      </c>
      <c r="H683" s="116">
        <v>23.229575629686575</v>
      </c>
      <c r="I683" s="126">
        <v>16172</v>
      </c>
      <c r="J683" s="117">
        <v>22.830417156576601</v>
      </c>
    </row>
    <row r="684" spans="1:10" ht="16">
      <c r="A684" s="93" t="s">
        <v>708</v>
      </c>
      <c r="B684" s="94" t="s">
        <v>642</v>
      </c>
      <c r="C684" s="95" t="s">
        <v>107</v>
      </c>
      <c r="D684" s="96" t="s">
        <v>59</v>
      </c>
      <c r="E684" s="97">
        <v>7886</v>
      </c>
      <c r="F684" s="97">
        <v>329</v>
      </c>
      <c r="G684" s="97">
        <v>1262</v>
      </c>
      <c r="H684" s="114">
        <v>12.506791191683789</v>
      </c>
      <c r="I684" s="125">
        <v>1295</v>
      </c>
      <c r="J684" s="115">
        <v>17.181024052125863</v>
      </c>
    </row>
    <row r="685" spans="1:10" ht="16">
      <c r="A685" s="100" t="s">
        <v>709</v>
      </c>
      <c r="B685" s="101" t="s">
        <v>642</v>
      </c>
      <c r="C685" s="102" t="s">
        <v>107</v>
      </c>
      <c r="D685" s="103" t="s">
        <v>59</v>
      </c>
      <c r="E685" s="104">
        <v>1164</v>
      </c>
      <c r="F685" s="104">
        <v>375</v>
      </c>
      <c r="G685" s="104">
        <v>23</v>
      </c>
      <c r="H685" s="116">
        <v>11.175527132026094</v>
      </c>
      <c r="I685" s="126">
        <v>2803</v>
      </c>
      <c r="J685" s="117">
        <v>25.946119053086271</v>
      </c>
    </row>
    <row r="686" spans="1:10" ht="16">
      <c r="A686" s="93" t="s">
        <v>710</v>
      </c>
      <c r="B686" s="94" t="s">
        <v>642</v>
      </c>
      <c r="C686" s="95" t="s">
        <v>107</v>
      </c>
      <c r="D686" s="96" t="s">
        <v>61</v>
      </c>
      <c r="E686" s="97">
        <v>6086</v>
      </c>
      <c r="F686" s="97">
        <v>801</v>
      </c>
      <c r="G686" s="97">
        <v>122</v>
      </c>
      <c r="H686" s="114">
        <v>11.266455909429244</v>
      </c>
      <c r="I686" s="125">
        <v>1671</v>
      </c>
      <c r="J686" s="115">
        <v>22.119412925259102</v>
      </c>
    </row>
    <row r="687" spans="1:10" ht="16">
      <c r="A687" s="100" t="s">
        <v>711</v>
      </c>
      <c r="B687" s="101" t="s">
        <v>642</v>
      </c>
      <c r="C687" s="102" t="s">
        <v>107</v>
      </c>
      <c r="D687" s="103" t="s">
        <v>84</v>
      </c>
      <c r="E687" s="104">
        <v>10812</v>
      </c>
      <c r="F687" s="104">
        <v>1050</v>
      </c>
      <c r="G687" s="104">
        <v>324</v>
      </c>
      <c r="H687" s="116">
        <v>15.215365478596636</v>
      </c>
      <c r="I687" s="126">
        <v>4118</v>
      </c>
      <c r="J687" s="117">
        <v>21.820942768503429</v>
      </c>
    </row>
    <row r="688" spans="1:10" ht="16">
      <c r="A688" s="93" t="s">
        <v>560</v>
      </c>
      <c r="B688" s="94" t="s">
        <v>537</v>
      </c>
      <c r="C688" s="95" t="s">
        <v>107</v>
      </c>
      <c r="D688" s="96" t="s">
        <v>130</v>
      </c>
      <c r="E688" s="97">
        <v>14286</v>
      </c>
      <c r="F688" s="97">
        <v>693</v>
      </c>
      <c r="G688" s="97">
        <v>657</v>
      </c>
      <c r="H688" s="114">
        <v>25.096640379118835</v>
      </c>
      <c r="I688" s="125">
        <v>6887</v>
      </c>
      <c r="J688" s="115">
        <v>25.284041175913472</v>
      </c>
    </row>
    <row r="689" spans="1:10" ht="16">
      <c r="A689" s="100" t="s">
        <v>561</v>
      </c>
      <c r="B689" s="101" t="s">
        <v>537</v>
      </c>
      <c r="C689" s="102" t="s">
        <v>76</v>
      </c>
      <c r="D689" s="103" t="s">
        <v>130</v>
      </c>
      <c r="E689" s="104">
        <v>10465</v>
      </c>
      <c r="F689" s="104">
        <v>960</v>
      </c>
      <c r="G689" s="104">
        <v>209</v>
      </c>
      <c r="H689" s="116">
        <v>10.949240249347032</v>
      </c>
      <c r="I689" s="126">
        <v>2246</v>
      </c>
      <c r="J689" s="117">
        <v>16.991137645573509</v>
      </c>
    </row>
    <row r="690" spans="1:10" ht="16">
      <c r="A690" s="93" t="s">
        <v>562</v>
      </c>
      <c r="B690" s="94" t="s">
        <v>537</v>
      </c>
      <c r="C690" s="95" t="s">
        <v>107</v>
      </c>
      <c r="D690" s="96" t="s">
        <v>130</v>
      </c>
      <c r="E690" s="97">
        <v>1602</v>
      </c>
      <c r="F690" s="97">
        <v>101</v>
      </c>
      <c r="G690" s="97">
        <v>111</v>
      </c>
      <c r="H690" s="114">
        <v>20.502630763602909</v>
      </c>
      <c r="I690" s="125">
        <v>9542</v>
      </c>
      <c r="J690" s="115">
        <v>24.392416863404573</v>
      </c>
    </row>
    <row r="691" spans="1:10" ht="16">
      <c r="A691" s="100" t="s">
        <v>712</v>
      </c>
      <c r="B691" s="101" t="s">
        <v>642</v>
      </c>
      <c r="C691" s="102" t="s">
        <v>107</v>
      </c>
      <c r="D691" s="103" t="s">
        <v>84</v>
      </c>
      <c r="E691" s="104">
        <v>9956</v>
      </c>
      <c r="F691" s="104">
        <v>732</v>
      </c>
      <c r="G691" s="104">
        <v>299</v>
      </c>
      <c r="H691" s="116">
        <v>14.227278703084103</v>
      </c>
      <c r="I691" s="126">
        <v>2082</v>
      </c>
      <c r="J691" s="117">
        <v>17.901468500255991</v>
      </c>
    </row>
    <row r="692" spans="1:10" ht="16">
      <c r="A692" s="93" t="s">
        <v>713</v>
      </c>
      <c r="B692" s="94" t="s">
        <v>642</v>
      </c>
      <c r="C692" s="95" t="s">
        <v>76</v>
      </c>
      <c r="D692" s="96" t="s">
        <v>82</v>
      </c>
      <c r="E692" s="97">
        <v>3659</v>
      </c>
      <c r="F692" s="97">
        <v>1742</v>
      </c>
      <c r="G692" s="97">
        <v>37</v>
      </c>
      <c r="H692" s="114">
        <v>9.0193822238391022</v>
      </c>
      <c r="I692" s="125">
        <v>1761</v>
      </c>
      <c r="J692" s="115">
        <v>30.435635352480695</v>
      </c>
    </row>
    <row r="693" spans="1:10" ht="16">
      <c r="A693" s="100" t="s">
        <v>948</v>
      </c>
      <c r="B693" s="101" t="s">
        <v>919</v>
      </c>
      <c r="C693" s="102" t="s">
        <v>107</v>
      </c>
      <c r="D693" s="103" t="s">
        <v>92</v>
      </c>
      <c r="E693" s="104">
        <v>23800</v>
      </c>
      <c r="F693" s="104">
        <v>1425</v>
      </c>
      <c r="G693" s="104">
        <v>952</v>
      </c>
      <c r="H693" s="116">
        <v>13.074538920707329</v>
      </c>
      <c r="I693" s="126">
        <v>973</v>
      </c>
      <c r="J693" s="117">
        <v>18.983017235319604</v>
      </c>
    </row>
    <row r="694" spans="1:10" ht="16">
      <c r="A694" s="93" t="s">
        <v>276</v>
      </c>
      <c r="B694" s="94" t="s">
        <v>223</v>
      </c>
      <c r="C694" s="95" t="s">
        <v>107</v>
      </c>
      <c r="D694" s="96" t="s">
        <v>61</v>
      </c>
      <c r="E694" s="97">
        <v>64648</v>
      </c>
      <c r="F694" s="97">
        <v>4685</v>
      </c>
      <c r="G694" s="97">
        <v>2586</v>
      </c>
      <c r="H694" s="114">
        <v>25.006391891655802</v>
      </c>
      <c r="I694" s="125">
        <v>9571</v>
      </c>
      <c r="J694" s="115">
        <v>31.190280216085842</v>
      </c>
    </row>
    <row r="695" spans="1:10" ht="16">
      <c r="A695" s="100" t="s">
        <v>815</v>
      </c>
      <c r="B695" s="101" t="s">
        <v>814</v>
      </c>
      <c r="C695" s="102" t="s">
        <v>107</v>
      </c>
      <c r="D695" s="103" t="s">
        <v>80</v>
      </c>
      <c r="E695" s="104">
        <v>90736</v>
      </c>
      <c r="F695" s="104">
        <v>1589</v>
      </c>
      <c r="G695" s="104">
        <v>1815</v>
      </c>
      <c r="H695" s="116">
        <v>7.9926505223536601</v>
      </c>
      <c r="I695" s="126">
        <v>4122</v>
      </c>
      <c r="J695" s="117">
        <v>26.01108196305373</v>
      </c>
    </row>
    <row r="696" spans="1:10" ht="16">
      <c r="A696" s="93" t="s">
        <v>885</v>
      </c>
      <c r="B696" s="94" t="s">
        <v>879</v>
      </c>
      <c r="C696" s="95" t="s">
        <v>107</v>
      </c>
      <c r="D696" s="96" t="s">
        <v>59</v>
      </c>
      <c r="E696" s="97">
        <v>20646</v>
      </c>
      <c r="F696" s="97">
        <v>1639</v>
      </c>
      <c r="G696" s="97">
        <v>206</v>
      </c>
      <c r="H696" s="114">
        <v>9.497036782184141</v>
      </c>
      <c r="I696" s="125">
        <v>3030</v>
      </c>
      <c r="J696" s="115">
        <v>16.506741981319919</v>
      </c>
    </row>
    <row r="697" spans="1:10" ht="16">
      <c r="A697" s="100" t="s">
        <v>1130</v>
      </c>
      <c r="B697" s="101" t="s">
        <v>1120</v>
      </c>
      <c r="C697" s="102" t="s">
        <v>76</v>
      </c>
      <c r="D697" s="103" t="s">
        <v>59</v>
      </c>
      <c r="E697" s="104">
        <v>24542</v>
      </c>
      <c r="F697" s="104">
        <v>1239</v>
      </c>
      <c r="G697" s="104">
        <v>736</v>
      </c>
      <c r="H697" s="116">
        <v>8.7775554829161369</v>
      </c>
      <c r="I697" s="126">
        <v>1140</v>
      </c>
      <c r="J697" s="117">
        <v>16.427638170042986</v>
      </c>
    </row>
    <row r="698" spans="1:10" ht="16">
      <c r="A698" s="93" t="s">
        <v>193</v>
      </c>
      <c r="B698" s="94" t="s">
        <v>184</v>
      </c>
      <c r="C698" s="95" t="s">
        <v>76</v>
      </c>
      <c r="D698" s="96" t="s">
        <v>62</v>
      </c>
      <c r="E698" s="97">
        <v>26521</v>
      </c>
      <c r="F698" s="97">
        <v>971</v>
      </c>
      <c r="G698" s="97">
        <v>7956</v>
      </c>
      <c r="H698" s="114">
        <v>35.85907769457225</v>
      </c>
      <c r="I698" s="125">
        <v>26841</v>
      </c>
      <c r="J698" s="115">
        <v>24.185281966581854</v>
      </c>
    </row>
    <row r="699" spans="1:10" ht="16">
      <c r="A699" s="100" t="s">
        <v>971</v>
      </c>
      <c r="B699" s="101" t="s">
        <v>970</v>
      </c>
      <c r="C699" s="102" t="s">
        <v>76</v>
      </c>
      <c r="D699" s="103" t="s">
        <v>62</v>
      </c>
      <c r="E699" s="104">
        <v>6570</v>
      </c>
      <c r="F699" s="104">
        <v>466</v>
      </c>
      <c r="G699" s="104">
        <v>131</v>
      </c>
      <c r="H699" s="116">
        <v>9.0829087208742507</v>
      </c>
      <c r="I699" s="126">
        <v>892</v>
      </c>
      <c r="J699" s="117">
        <v>18.370243412244086</v>
      </c>
    </row>
    <row r="700" spans="1:10" ht="16">
      <c r="A700" s="93" t="s">
        <v>972</v>
      </c>
      <c r="B700" s="94" t="s">
        <v>970</v>
      </c>
      <c r="C700" s="95" t="s">
        <v>107</v>
      </c>
      <c r="D700" s="96" t="s">
        <v>82</v>
      </c>
      <c r="E700" s="97">
        <v>13108</v>
      </c>
      <c r="F700" s="97">
        <v>986</v>
      </c>
      <c r="G700" s="97">
        <v>393</v>
      </c>
      <c r="H700" s="114">
        <v>13.010250260781529</v>
      </c>
      <c r="I700" s="125">
        <v>1259</v>
      </c>
      <c r="J700" s="115">
        <v>22.685030446272904</v>
      </c>
    </row>
    <row r="701" spans="1:10" ht="16">
      <c r="A701" s="100" t="s">
        <v>1231</v>
      </c>
      <c r="B701" s="101" t="s">
        <v>1190</v>
      </c>
      <c r="C701" s="102" t="s">
        <v>76</v>
      </c>
      <c r="D701" s="103" t="s">
        <v>92</v>
      </c>
      <c r="E701" s="104">
        <v>5194</v>
      </c>
      <c r="F701" s="104">
        <v>429</v>
      </c>
      <c r="G701" s="104">
        <v>2753</v>
      </c>
      <c r="H701" s="116">
        <v>38.410054352652196</v>
      </c>
      <c r="I701" s="126">
        <v>11867</v>
      </c>
      <c r="J701" s="117">
        <v>42.614906110952546</v>
      </c>
    </row>
    <row r="702" spans="1:10" ht="16">
      <c r="A702" s="93" t="s">
        <v>181</v>
      </c>
      <c r="B702" s="94" t="s">
        <v>182</v>
      </c>
      <c r="C702" s="95" t="s">
        <v>76</v>
      </c>
      <c r="D702" s="96" t="s">
        <v>62</v>
      </c>
      <c r="E702" s="97">
        <v>21988</v>
      </c>
      <c r="F702" s="97">
        <v>2364</v>
      </c>
      <c r="G702" s="97">
        <v>1319</v>
      </c>
      <c r="H702" s="114">
        <v>10.140752952480558</v>
      </c>
      <c r="I702" s="125">
        <v>1408</v>
      </c>
      <c r="J702" s="115">
        <v>21.104429110551312</v>
      </c>
    </row>
    <row r="703" spans="1:10" ht="16">
      <c r="A703" s="100" t="s">
        <v>1011</v>
      </c>
      <c r="B703" s="101" t="s">
        <v>988</v>
      </c>
      <c r="C703" s="102" t="s">
        <v>107</v>
      </c>
      <c r="D703" s="103" t="s">
        <v>63</v>
      </c>
      <c r="E703" s="104">
        <v>9559</v>
      </c>
      <c r="F703" s="104">
        <v>417</v>
      </c>
      <c r="G703" s="104">
        <v>1051</v>
      </c>
      <c r="H703" s="116">
        <v>28.88808962556778</v>
      </c>
      <c r="I703" s="126">
        <v>6705</v>
      </c>
      <c r="J703" s="117">
        <v>25.311947946865025</v>
      </c>
    </row>
    <row r="704" spans="1:10" ht="16">
      <c r="A704" s="93" t="s">
        <v>359</v>
      </c>
      <c r="B704" s="94" t="s">
        <v>344</v>
      </c>
      <c r="C704" s="95" t="s">
        <v>76</v>
      </c>
      <c r="D704" s="96" t="s">
        <v>77</v>
      </c>
      <c r="E704" s="97">
        <v>52056</v>
      </c>
      <c r="F704" s="97">
        <v>1808</v>
      </c>
      <c r="G704" s="97">
        <v>1165</v>
      </c>
      <c r="H704" s="114">
        <v>8.0182933627549744</v>
      </c>
      <c r="I704" s="125">
        <v>2639</v>
      </c>
      <c r="J704" s="115">
        <v>13.988749792544484</v>
      </c>
    </row>
    <row r="705" spans="1:10" ht="16">
      <c r="A705" s="100" t="s">
        <v>277</v>
      </c>
      <c r="B705" s="101" t="s">
        <v>223</v>
      </c>
      <c r="C705" s="102" t="s">
        <v>76</v>
      </c>
      <c r="D705" s="103" t="s">
        <v>60</v>
      </c>
      <c r="E705" s="104">
        <v>44835</v>
      </c>
      <c r="F705" s="104">
        <v>2734</v>
      </c>
      <c r="G705" s="104">
        <v>3138</v>
      </c>
      <c r="H705" s="116">
        <v>21.692995930286383</v>
      </c>
      <c r="I705" s="126">
        <v>14210</v>
      </c>
      <c r="J705" s="117">
        <v>24.210442254754806</v>
      </c>
    </row>
    <row r="706" spans="1:10" ht="16">
      <c r="A706" s="93" t="s">
        <v>1012</v>
      </c>
      <c r="B706" s="94" t="s">
        <v>988</v>
      </c>
      <c r="C706" s="95" t="s">
        <v>107</v>
      </c>
      <c r="D706" s="96" t="s">
        <v>59</v>
      </c>
      <c r="E706" s="97">
        <v>15516</v>
      </c>
      <c r="F706" s="97">
        <v>848</v>
      </c>
      <c r="G706" s="97">
        <v>931</v>
      </c>
      <c r="H706" s="114">
        <v>11.013865317526896</v>
      </c>
      <c r="I706" s="125">
        <v>1641</v>
      </c>
      <c r="J706" s="115">
        <v>21.291220866228855</v>
      </c>
    </row>
    <row r="707" spans="1:10" ht="16">
      <c r="A707" s="100" t="s">
        <v>714</v>
      </c>
      <c r="B707" s="101" t="s">
        <v>642</v>
      </c>
      <c r="C707" s="102" t="s">
        <v>76</v>
      </c>
      <c r="D707" s="103" t="s">
        <v>77</v>
      </c>
      <c r="E707" s="104">
        <v>13369</v>
      </c>
      <c r="F707" s="104">
        <v>552</v>
      </c>
      <c r="G707" s="104">
        <v>1203</v>
      </c>
      <c r="H707" s="116">
        <v>11.902644736712903</v>
      </c>
      <c r="I707" s="126">
        <v>1741</v>
      </c>
      <c r="J707" s="117">
        <v>22.248868296195756</v>
      </c>
    </row>
    <row r="708" spans="1:10" ht="16">
      <c r="A708" s="93" t="s">
        <v>388</v>
      </c>
      <c r="B708" s="94" t="s">
        <v>377</v>
      </c>
      <c r="C708" s="95" t="s">
        <v>76</v>
      </c>
      <c r="D708" s="96" t="s">
        <v>59</v>
      </c>
      <c r="E708" s="97">
        <v>43076</v>
      </c>
      <c r="F708" s="97">
        <v>3191</v>
      </c>
      <c r="G708" s="97">
        <v>8184</v>
      </c>
      <c r="H708" s="114">
        <v>50.970188320909287</v>
      </c>
      <c r="I708" s="125">
        <v>40540</v>
      </c>
      <c r="J708" s="115">
        <v>63.263760692482478</v>
      </c>
    </row>
    <row r="709" spans="1:10" ht="16">
      <c r="A709" s="100" t="s">
        <v>278</v>
      </c>
      <c r="B709" s="101" t="s">
        <v>223</v>
      </c>
      <c r="C709" s="102" t="s">
        <v>107</v>
      </c>
      <c r="D709" s="103" t="s">
        <v>62</v>
      </c>
      <c r="E709" s="104">
        <v>41139</v>
      </c>
      <c r="F709" s="104">
        <v>2960</v>
      </c>
      <c r="G709" s="104">
        <v>2057</v>
      </c>
      <c r="H709" s="116">
        <v>29.485906496151738</v>
      </c>
      <c r="I709" s="126">
        <v>17903</v>
      </c>
      <c r="J709" s="117">
        <v>24.632392493599184</v>
      </c>
    </row>
    <row r="710" spans="1:10" ht="16">
      <c r="A710" s="93" t="s">
        <v>949</v>
      </c>
      <c r="B710" s="94" t="s">
        <v>919</v>
      </c>
      <c r="C710" s="95" t="s">
        <v>107</v>
      </c>
      <c r="D710" s="96" t="s">
        <v>63</v>
      </c>
      <c r="E710" s="97">
        <v>28840</v>
      </c>
      <c r="F710" s="97">
        <v>1687</v>
      </c>
      <c r="G710" s="97">
        <v>1442</v>
      </c>
      <c r="H710" s="114">
        <v>10.877126957594827</v>
      </c>
      <c r="I710" s="125">
        <v>2243</v>
      </c>
      <c r="J710" s="115">
        <v>16.460748421609363</v>
      </c>
    </row>
    <row r="711" spans="1:10" ht="16">
      <c r="A711" s="100" t="s">
        <v>360</v>
      </c>
      <c r="B711" s="101" t="s">
        <v>344</v>
      </c>
      <c r="C711" s="102" t="s">
        <v>76</v>
      </c>
      <c r="D711" s="103" t="s">
        <v>62</v>
      </c>
      <c r="E711" s="104">
        <v>47488</v>
      </c>
      <c r="F711" s="104">
        <v>991</v>
      </c>
      <c r="G711" s="104">
        <v>950</v>
      </c>
      <c r="H711" s="116">
        <v>8.0353395276189303</v>
      </c>
      <c r="I711" s="126">
        <v>3067</v>
      </c>
      <c r="J711" s="117">
        <v>13.05046632863437</v>
      </c>
    </row>
    <row r="712" spans="1:10" ht="16">
      <c r="A712" s="93" t="s">
        <v>279</v>
      </c>
      <c r="B712" s="94" t="s">
        <v>223</v>
      </c>
      <c r="C712" s="95" t="s">
        <v>107</v>
      </c>
      <c r="D712" s="96" t="s">
        <v>80</v>
      </c>
      <c r="E712" s="97">
        <v>32951</v>
      </c>
      <c r="F712" s="97">
        <v>2841</v>
      </c>
      <c r="G712" s="97">
        <v>1648</v>
      </c>
      <c r="H712" s="114">
        <v>34.124948742756501</v>
      </c>
      <c r="I712" s="125">
        <v>14303</v>
      </c>
      <c r="J712" s="115">
        <v>30.564510228019287</v>
      </c>
    </row>
    <row r="713" spans="1:10" ht="16">
      <c r="A713" s="100" t="s">
        <v>108</v>
      </c>
      <c r="B713" s="101" t="s">
        <v>89</v>
      </c>
      <c r="C713" s="102" t="s">
        <v>76</v>
      </c>
      <c r="D713" s="103" t="s">
        <v>77</v>
      </c>
      <c r="E713" s="104">
        <v>9064</v>
      </c>
      <c r="F713" s="104">
        <v>363</v>
      </c>
      <c r="G713" s="104">
        <v>2266</v>
      </c>
      <c r="H713" s="116">
        <v>22.281881350802205</v>
      </c>
      <c r="I713" s="126">
        <v>10715</v>
      </c>
      <c r="J713" s="117">
        <v>18.522671340897713</v>
      </c>
    </row>
    <row r="714" spans="1:10" ht="16">
      <c r="A714" s="93" t="s">
        <v>950</v>
      </c>
      <c r="B714" s="94" t="s">
        <v>919</v>
      </c>
      <c r="C714" s="95" t="s">
        <v>76</v>
      </c>
      <c r="D714" s="96" t="s">
        <v>59</v>
      </c>
      <c r="E714" s="97">
        <v>19038</v>
      </c>
      <c r="F714" s="97">
        <v>2092</v>
      </c>
      <c r="G714" s="97">
        <v>1713</v>
      </c>
      <c r="H714" s="114">
        <v>10.364409640492307</v>
      </c>
      <c r="I714" s="125">
        <v>2128</v>
      </c>
      <c r="J714" s="115">
        <v>21.323183955733555</v>
      </c>
    </row>
    <row r="715" spans="1:10" ht="16">
      <c r="A715" s="100" t="s">
        <v>280</v>
      </c>
      <c r="B715" s="101" t="s">
        <v>223</v>
      </c>
      <c r="C715" s="102" t="s">
        <v>76</v>
      </c>
      <c r="D715" s="103" t="s">
        <v>62</v>
      </c>
      <c r="E715" s="104">
        <v>19306</v>
      </c>
      <c r="F715" s="104">
        <v>2925</v>
      </c>
      <c r="G715" s="104">
        <v>1351</v>
      </c>
      <c r="H715" s="116">
        <v>12.232057165508113</v>
      </c>
      <c r="I715" s="126">
        <v>3117</v>
      </c>
      <c r="J715" s="117">
        <v>27.287716391331244</v>
      </c>
    </row>
    <row r="716" spans="1:10" ht="16">
      <c r="A716" s="93" t="s">
        <v>281</v>
      </c>
      <c r="B716" s="94" t="s">
        <v>223</v>
      </c>
      <c r="C716" s="95" t="s">
        <v>107</v>
      </c>
      <c r="D716" s="96" t="s">
        <v>77</v>
      </c>
      <c r="E716" s="97">
        <v>3198</v>
      </c>
      <c r="F716" s="97">
        <v>337</v>
      </c>
      <c r="G716" s="97">
        <v>220</v>
      </c>
      <c r="H716" s="114">
        <v>23.851388988818918</v>
      </c>
      <c r="I716" s="125">
        <v>20161</v>
      </c>
      <c r="J716" s="115">
        <v>24.29172455849465</v>
      </c>
    </row>
    <row r="717" spans="1:10" ht="16">
      <c r="A717" s="100" t="s">
        <v>282</v>
      </c>
      <c r="B717" s="101" t="s">
        <v>223</v>
      </c>
      <c r="C717" s="102" t="s">
        <v>107</v>
      </c>
      <c r="D717" s="103" t="s">
        <v>59</v>
      </c>
      <c r="E717" s="104">
        <v>38059</v>
      </c>
      <c r="F717" s="104">
        <v>2394</v>
      </c>
      <c r="G717" s="104">
        <v>761</v>
      </c>
      <c r="H717" s="116">
        <v>17.075946735334728</v>
      </c>
      <c r="I717" s="126">
        <v>3466</v>
      </c>
      <c r="J717" s="117">
        <v>18.624332365815363</v>
      </c>
    </row>
    <row r="718" spans="1:10" ht="16">
      <c r="A718" s="93" t="s">
        <v>283</v>
      </c>
      <c r="B718" s="94" t="s">
        <v>223</v>
      </c>
      <c r="C718" s="95" t="s">
        <v>76</v>
      </c>
      <c r="D718" s="96" t="s">
        <v>77</v>
      </c>
      <c r="E718" s="97">
        <v>22283</v>
      </c>
      <c r="F718" s="97">
        <v>1401</v>
      </c>
      <c r="G718" s="97">
        <v>446</v>
      </c>
      <c r="H718" s="114">
        <v>11.689550937694849</v>
      </c>
      <c r="I718" s="125">
        <v>5656</v>
      </c>
      <c r="J718" s="115">
        <v>18.622021687193392</v>
      </c>
    </row>
    <row r="719" spans="1:10" ht="16">
      <c r="A719" s="100" t="s">
        <v>520</v>
      </c>
      <c r="B719" s="101" t="s">
        <v>474</v>
      </c>
      <c r="C719" s="102" t="s">
        <v>107</v>
      </c>
      <c r="D719" s="103" t="s">
        <v>59</v>
      </c>
      <c r="E719" s="104">
        <v>7832</v>
      </c>
      <c r="F719" s="104">
        <v>505</v>
      </c>
      <c r="G719" s="104">
        <v>175</v>
      </c>
      <c r="H719" s="116">
        <v>10.302768607869886</v>
      </c>
      <c r="I719" s="126">
        <v>3337</v>
      </c>
      <c r="J719" s="117">
        <v>37.331094597708365</v>
      </c>
    </row>
    <row r="720" spans="1:10" ht="16">
      <c r="A720" s="93" t="s">
        <v>1131</v>
      </c>
      <c r="B720" s="94" t="s">
        <v>1120</v>
      </c>
      <c r="C720" s="95" t="s">
        <v>76</v>
      </c>
      <c r="D720" s="96" t="s">
        <v>82</v>
      </c>
      <c r="E720" s="97">
        <v>22247</v>
      </c>
      <c r="F720" s="97">
        <v>1279</v>
      </c>
      <c r="G720" s="97">
        <v>2112</v>
      </c>
      <c r="H720" s="114">
        <v>8.5276079470068922</v>
      </c>
      <c r="I720" s="125">
        <v>1096</v>
      </c>
      <c r="J720" s="115">
        <v>20.45703690124623</v>
      </c>
    </row>
    <row r="721" spans="1:10" ht="16">
      <c r="A721" s="100" t="s">
        <v>521</v>
      </c>
      <c r="B721" s="101" t="s">
        <v>474</v>
      </c>
      <c r="C721" s="102" t="s">
        <v>107</v>
      </c>
      <c r="D721" s="103" t="s">
        <v>130</v>
      </c>
      <c r="E721" s="104">
        <v>51031</v>
      </c>
      <c r="F721" s="104">
        <v>3271</v>
      </c>
      <c r="G721" s="104">
        <v>1021</v>
      </c>
      <c r="H721" s="116">
        <v>8.5773904157971508</v>
      </c>
      <c r="I721" s="126">
        <v>1539</v>
      </c>
      <c r="J721" s="117">
        <v>17.893497367474414</v>
      </c>
    </row>
    <row r="722" spans="1:10" ht="16">
      <c r="A722" s="93" t="s">
        <v>715</v>
      </c>
      <c r="B722" s="94" t="s">
        <v>642</v>
      </c>
      <c r="C722" s="95" t="s">
        <v>107</v>
      </c>
      <c r="D722" s="96" t="s">
        <v>61</v>
      </c>
      <c r="E722" s="97">
        <v>846</v>
      </c>
      <c r="F722" s="97">
        <v>846</v>
      </c>
      <c r="G722" s="97">
        <v>8</v>
      </c>
      <c r="H722" s="114">
        <v>8.8260058184984995</v>
      </c>
      <c r="I722" s="125">
        <v>2962</v>
      </c>
      <c r="J722" s="115">
        <v>27.646038725509104</v>
      </c>
    </row>
    <row r="723" spans="1:10" ht="16">
      <c r="A723" s="100" t="s">
        <v>951</v>
      </c>
      <c r="B723" s="101" t="s">
        <v>919</v>
      </c>
      <c r="C723" s="102" t="s">
        <v>107</v>
      </c>
      <c r="D723" s="103" t="s">
        <v>130</v>
      </c>
      <c r="E723" s="104">
        <v>8021</v>
      </c>
      <c r="F723" s="104">
        <v>642</v>
      </c>
      <c r="G723" s="104">
        <v>1444</v>
      </c>
      <c r="H723" s="116">
        <v>13.241123255014585</v>
      </c>
      <c r="I723" s="126">
        <v>2746</v>
      </c>
      <c r="J723" s="117">
        <v>20.258433887822903</v>
      </c>
    </row>
    <row r="724" spans="1:10" ht="16">
      <c r="A724" s="93" t="s">
        <v>1232</v>
      </c>
      <c r="B724" s="94" t="s">
        <v>1190</v>
      </c>
      <c r="C724" s="95" t="s">
        <v>107</v>
      </c>
      <c r="D724" s="96" t="s">
        <v>62</v>
      </c>
      <c r="E724" s="97">
        <v>8558</v>
      </c>
      <c r="F724" s="97">
        <v>578</v>
      </c>
      <c r="G724" s="97">
        <v>1027</v>
      </c>
      <c r="H724" s="114">
        <v>10.177892617840277</v>
      </c>
      <c r="I724" s="125">
        <v>4299</v>
      </c>
      <c r="J724" s="115">
        <v>17.263755120847609</v>
      </c>
    </row>
    <row r="725" spans="1:10" ht="16">
      <c r="A725" s="100" t="s">
        <v>1364</v>
      </c>
      <c r="B725" s="101" t="s">
        <v>1288</v>
      </c>
      <c r="C725" s="102" t="s">
        <v>107</v>
      </c>
      <c r="D725" s="103" t="s">
        <v>82</v>
      </c>
      <c r="E725" s="104">
        <v>16135</v>
      </c>
      <c r="F725" s="104">
        <v>2210</v>
      </c>
      <c r="G725" s="104">
        <v>3711</v>
      </c>
      <c r="H725" s="116">
        <v>96.764745703115793</v>
      </c>
      <c r="I725" s="126">
        <v>96430</v>
      </c>
      <c r="J725" s="117">
        <v>92.916964427733291</v>
      </c>
    </row>
    <row r="726" spans="1:10" ht="16">
      <c r="A726" s="93" t="s">
        <v>1365</v>
      </c>
      <c r="B726" s="94" t="s">
        <v>1288</v>
      </c>
      <c r="C726" s="95" t="s">
        <v>76</v>
      </c>
      <c r="D726" s="96" t="s">
        <v>82</v>
      </c>
      <c r="E726" s="97">
        <v>15947</v>
      </c>
      <c r="F726" s="97">
        <v>961</v>
      </c>
      <c r="G726" s="97">
        <v>1595</v>
      </c>
      <c r="H726" s="114">
        <v>35.437332918806824</v>
      </c>
      <c r="I726" s="125">
        <v>25893</v>
      </c>
      <c r="J726" s="115">
        <v>24.458238214606446</v>
      </c>
    </row>
    <row r="727" spans="1:10" ht="16">
      <c r="A727" s="100" t="s">
        <v>173</v>
      </c>
      <c r="B727" s="101" t="s">
        <v>150</v>
      </c>
      <c r="C727" s="102" t="s">
        <v>76</v>
      </c>
      <c r="D727" s="103" t="s">
        <v>61</v>
      </c>
      <c r="E727" s="104">
        <v>11911</v>
      </c>
      <c r="F727" s="104">
        <v>953</v>
      </c>
      <c r="G727" s="104">
        <v>820</v>
      </c>
      <c r="H727" s="116">
        <v>9.0806956309565141</v>
      </c>
      <c r="I727" s="126">
        <v>2289</v>
      </c>
      <c r="J727" s="117">
        <v>18.424051831749466</v>
      </c>
    </row>
    <row r="728" spans="1:10" ht="16">
      <c r="A728" s="93" t="s">
        <v>174</v>
      </c>
      <c r="B728" s="94" t="s">
        <v>150</v>
      </c>
      <c r="C728" s="95" t="s">
        <v>76</v>
      </c>
      <c r="D728" s="96" t="s">
        <v>92</v>
      </c>
      <c r="E728" s="97">
        <v>3954</v>
      </c>
      <c r="F728" s="97">
        <v>841</v>
      </c>
      <c r="G728" s="97">
        <v>272</v>
      </c>
      <c r="H728" s="114">
        <v>8.1966544127488508</v>
      </c>
      <c r="I728" s="125">
        <v>656</v>
      </c>
      <c r="J728" s="115">
        <v>27.733431062727078</v>
      </c>
    </row>
    <row r="729" spans="1:10" ht="16">
      <c r="A729" s="100" t="s">
        <v>978</v>
      </c>
      <c r="B729" s="101" t="s">
        <v>977</v>
      </c>
      <c r="C729" s="102" t="s">
        <v>76</v>
      </c>
      <c r="D729" s="103" t="s">
        <v>80</v>
      </c>
      <c r="E729" s="104">
        <v>24308</v>
      </c>
      <c r="F729" s="104">
        <v>931</v>
      </c>
      <c r="G729" s="104">
        <v>1945</v>
      </c>
      <c r="H729" s="116">
        <v>35.462076510001438</v>
      </c>
      <c r="I729" s="126">
        <v>25899</v>
      </c>
      <c r="J729" s="117">
        <v>30.26264002594209</v>
      </c>
    </row>
    <row r="730" spans="1:10" ht="16">
      <c r="A730" s="93" t="s">
        <v>1366</v>
      </c>
      <c r="B730" s="94" t="s">
        <v>1288</v>
      </c>
      <c r="C730" s="95" t="s">
        <v>107</v>
      </c>
      <c r="D730" s="96" t="s">
        <v>59</v>
      </c>
      <c r="E730" s="97">
        <v>5943</v>
      </c>
      <c r="F730" s="97">
        <v>356</v>
      </c>
      <c r="G730" s="97">
        <v>2258</v>
      </c>
      <c r="H730" s="114">
        <v>16.264379792262183</v>
      </c>
      <c r="I730" s="125">
        <v>9290</v>
      </c>
      <c r="J730" s="115">
        <v>23.367501542501014</v>
      </c>
    </row>
    <row r="731" spans="1:10" ht="16">
      <c r="A731" s="100" t="s">
        <v>1067</v>
      </c>
      <c r="B731" s="101" t="s">
        <v>1062</v>
      </c>
      <c r="C731" s="102" t="s">
        <v>107</v>
      </c>
      <c r="D731" s="103" t="s">
        <v>59</v>
      </c>
      <c r="E731" s="104">
        <v>27185</v>
      </c>
      <c r="F731" s="104">
        <v>1394</v>
      </c>
      <c r="G731" s="104">
        <v>3806</v>
      </c>
      <c r="H731" s="116">
        <v>46.814447777560162</v>
      </c>
      <c r="I731" s="126">
        <v>39497</v>
      </c>
      <c r="J731" s="117">
        <v>30.587083342011198</v>
      </c>
    </row>
    <row r="732" spans="1:10" ht="16">
      <c r="A732" s="93" t="s">
        <v>1367</v>
      </c>
      <c r="B732" s="94" t="s">
        <v>1288</v>
      </c>
      <c r="C732" s="95" t="s">
        <v>107</v>
      </c>
      <c r="D732" s="96" t="s">
        <v>92</v>
      </c>
      <c r="E732" s="97">
        <v>24201</v>
      </c>
      <c r="F732" s="97">
        <v>2305</v>
      </c>
      <c r="G732" s="97">
        <v>5566</v>
      </c>
      <c r="H732" s="114">
        <v>24.00184271296726</v>
      </c>
      <c r="I732" s="125">
        <v>18184</v>
      </c>
      <c r="J732" s="115">
        <v>35.001877577653012</v>
      </c>
    </row>
    <row r="733" spans="1:10" ht="16">
      <c r="A733" s="100" t="s">
        <v>361</v>
      </c>
      <c r="B733" s="101" t="s">
        <v>344</v>
      </c>
      <c r="C733" s="102" t="s">
        <v>76</v>
      </c>
      <c r="D733" s="103" t="s">
        <v>61</v>
      </c>
      <c r="E733" s="104">
        <v>35363</v>
      </c>
      <c r="F733" s="104">
        <v>3274</v>
      </c>
      <c r="G733" s="104">
        <v>354</v>
      </c>
      <c r="H733" s="116">
        <v>8.752215007953799</v>
      </c>
      <c r="I733" s="126">
        <v>7228</v>
      </c>
      <c r="J733" s="117">
        <v>20.878276520829594</v>
      </c>
    </row>
    <row r="734" spans="1:10" ht="16">
      <c r="A734" s="93" t="s">
        <v>855</v>
      </c>
      <c r="B734" s="94" t="s">
        <v>856</v>
      </c>
      <c r="C734" s="95" t="s">
        <v>107</v>
      </c>
      <c r="D734" s="96" t="s">
        <v>84</v>
      </c>
      <c r="E734" s="97">
        <v>6823</v>
      </c>
      <c r="F734" s="97">
        <v>922</v>
      </c>
      <c r="G734" s="97">
        <v>273</v>
      </c>
      <c r="H734" s="114">
        <v>11.531826997168123</v>
      </c>
      <c r="I734" s="125">
        <v>2028</v>
      </c>
      <c r="J734" s="115">
        <v>24.39975170021523</v>
      </c>
    </row>
    <row r="735" spans="1:10" ht="16">
      <c r="A735" s="100" t="s">
        <v>1181</v>
      </c>
      <c r="B735" s="101" t="s">
        <v>1178</v>
      </c>
      <c r="C735" s="102" t="s">
        <v>107</v>
      </c>
      <c r="D735" s="103" t="s">
        <v>59</v>
      </c>
      <c r="E735" s="104">
        <v>9293</v>
      </c>
      <c r="F735" s="104">
        <v>894</v>
      </c>
      <c r="G735" s="104">
        <v>1208</v>
      </c>
      <c r="H735" s="116">
        <v>10.097119743028925</v>
      </c>
      <c r="I735" s="126">
        <v>1370</v>
      </c>
      <c r="J735" s="117">
        <v>20.385685236649699</v>
      </c>
    </row>
    <row r="736" spans="1:10" ht="16">
      <c r="A736" s="93" t="s">
        <v>284</v>
      </c>
      <c r="B736" s="94" t="s">
        <v>223</v>
      </c>
      <c r="C736" s="95" t="s">
        <v>76</v>
      </c>
      <c r="D736" s="96" t="s">
        <v>82</v>
      </c>
      <c r="E736" s="97">
        <v>53603</v>
      </c>
      <c r="F736" s="97">
        <v>3229</v>
      </c>
      <c r="G736" s="97">
        <v>4824</v>
      </c>
      <c r="H736" s="114">
        <v>35.806533694643598</v>
      </c>
      <c r="I736" s="125">
        <v>22866</v>
      </c>
      <c r="J736" s="115">
        <v>44.281583112137156</v>
      </c>
    </row>
    <row r="737" spans="1:10" ht="16">
      <c r="A737" s="100" t="s">
        <v>1013</v>
      </c>
      <c r="B737" s="101" t="s">
        <v>988</v>
      </c>
      <c r="C737" s="102" t="s">
        <v>107</v>
      </c>
      <c r="D737" s="103" t="s">
        <v>82</v>
      </c>
      <c r="E737" s="104">
        <v>23342</v>
      </c>
      <c r="F737" s="104">
        <v>1197</v>
      </c>
      <c r="G737" s="104">
        <v>3501</v>
      </c>
      <c r="H737" s="116">
        <v>61.422781733660287</v>
      </c>
      <c r="I737" s="126">
        <v>43120</v>
      </c>
      <c r="J737" s="117">
        <v>58.276821964612637</v>
      </c>
    </row>
    <row r="738" spans="1:10" ht="16">
      <c r="A738" s="93" t="s">
        <v>1132</v>
      </c>
      <c r="B738" s="94" t="s">
        <v>1120</v>
      </c>
      <c r="C738" s="95" t="s">
        <v>76</v>
      </c>
      <c r="D738" s="96" t="s">
        <v>82</v>
      </c>
      <c r="E738" s="97">
        <v>15901</v>
      </c>
      <c r="F738" s="97">
        <v>466</v>
      </c>
      <c r="G738" s="97">
        <v>159</v>
      </c>
      <c r="H738" s="114">
        <v>13.183031688240689</v>
      </c>
      <c r="I738" s="125">
        <v>3414</v>
      </c>
      <c r="J738" s="115">
        <v>20.212767679243331</v>
      </c>
    </row>
    <row r="739" spans="1:10" ht="16">
      <c r="A739" s="100" t="s">
        <v>1233</v>
      </c>
      <c r="B739" s="101" t="s">
        <v>1190</v>
      </c>
      <c r="C739" s="102" t="s">
        <v>107</v>
      </c>
      <c r="D739" s="103" t="s">
        <v>84</v>
      </c>
      <c r="E739" s="104">
        <v>16445</v>
      </c>
      <c r="F739" s="104">
        <v>985</v>
      </c>
      <c r="G739" s="104">
        <v>3782</v>
      </c>
      <c r="H739" s="116">
        <v>24.413147158301367</v>
      </c>
      <c r="I739" s="126">
        <v>22553</v>
      </c>
      <c r="J739" s="117">
        <v>22.172492126346615</v>
      </c>
    </row>
    <row r="740" spans="1:10" ht="16">
      <c r="A740" s="93" t="s">
        <v>1068</v>
      </c>
      <c r="B740" s="94" t="s">
        <v>1062</v>
      </c>
      <c r="C740" s="95" t="s">
        <v>76</v>
      </c>
      <c r="D740" s="96" t="s">
        <v>63</v>
      </c>
      <c r="E740" s="97">
        <v>3737</v>
      </c>
      <c r="F740" s="97">
        <v>830</v>
      </c>
      <c r="G740" s="97">
        <v>149</v>
      </c>
      <c r="H740" s="114">
        <v>30.351737044538261</v>
      </c>
      <c r="I740" s="125">
        <v>21809</v>
      </c>
      <c r="J740" s="115">
        <v>31.461211280730751</v>
      </c>
    </row>
    <row r="741" spans="1:10" ht="16">
      <c r="A741" s="100" t="s">
        <v>109</v>
      </c>
      <c r="B741" s="101" t="s">
        <v>89</v>
      </c>
      <c r="C741" s="102" t="s">
        <v>107</v>
      </c>
      <c r="D741" s="103" t="s">
        <v>84</v>
      </c>
      <c r="E741" s="104">
        <v>14379</v>
      </c>
      <c r="F741" s="104">
        <v>515</v>
      </c>
      <c r="G741" s="104">
        <v>3882</v>
      </c>
      <c r="H741" s="116">
        <v>29.222410592068389</v>
      </c>
      <c r="I741" s="126">
        <v>19312</v>
      </c>
      <c r="J741" s="117">
        <v>24.884133994718439</v>
      </c>
    </row>
    <row r="742" spans="1:10" ht="16">
      <c r="A742" s="93" t="s">
        <v>886</v>
      </c>
      <c r="B742" s="94" t="s">
        <v>879</v>
      </c>
      <c r="C742" s="95" t="s">
        <v>76</v>
      </c>
      <c r="D742" s="96" t="s">
        <v>82</v>
      </c>
      <c r="E742" s="97">
        <v>13561</v>
      </c>
      <c r="F742" s="97">
        <v>384</v>
      </c>
      <c r="G742" s="97">
        <v>1220</v>
      </c>
      <c r="H742" s="114">
        <v>12.70327261388203</v>
      </c>
      <c r="I742" s="125">
        <v>2642</v>
      </c>
      <c r="J742" s="115">
        <v>16.083185599921887</v>
      </c>
    </row>
    <row r="743" spans="1:10" ht="16">
      <c r="A743" s="100" t="s">
        <v>1368</v>
      </c>
      <c r="B743" s="101" t="s">
        <v>1288</v>
      </c>
      <c r="C743" s="102" t="s">
        <v>76</v>
      </c>
      <c r="D743" s="103" t="s">
        <v>82</v>
      </c>
      <c r="E743" s="104">
        <v>20236</v>
      </c>
      <c r="F743" s="104">
        <v>1289</v>
      </c>
      <c r="G743" s="104">
        <v>4047</v>
      </c>
      <c r="H743" s="116">
        <v>29.682024300395799</v>
      </c>
      <c r="I743" s="126">
        <v>23252</v>
      </c>
      <c r="J743" s="117">
        <v>35.912603806290328</v>
      </c>
    </row>
    <row r="744" spans="1:10" ht="16">
      <c r="A744" s="93" t="s">
        <v>563</v>
      </c>
      <c r="B744" s="94" t="s">
        <v>537</v>
      </c>
      <c r="C744" s="95" t="s">
        <v>107</v>
      </c>
      <c r="D744" s="96" t="s">
        <v>62</v>
      </c>
      <c r="E744" s="97">
        <v>8047</v>
      </c>
      <c r="F744" s="97">
        <v>847</v>
      </c>
      <c r="G744" s="97">
        <v>370</v>
      </c>
      <c r="H744" s="114">
        <v>12.596400695363144</v>
      </c>
      <c r="I744" s="125">
        <v>4430</v>
      </c>
      <c r="J744" s="115">
        <v>45.264187201218128</v>
      </c>
    </row>
    <row r="745" spans="1:10" ht="16">
      <c r="A745" s="100" t="s">
        <v>1112</v>
      </c>
      <c r="B745" s="101" t="s">
        <v>1081</v>
      </c>
      <c r="C745" s="102" t="s">
        <v>76</v>
      </c>
      <c r="D745" s="103" t="s">
        <v>77</v>
      </c>
      <c r="E745" s="104">
        <v>5973</v>
      </c>
      <c r="F745" s="104">
        <v>586</v>
      </c>
      <c r="G745" s="104">
        <v>597</v>
      </c>
      <c r="H745" s="116">
        <v>32.15828062957376</v>
      </c>
      <c r="I745" s="126">
        <v>21676</v>
      </c>
      <c r="J745" s="117">
        <v>29.579952288997074</v>
      </c>
    </row>
    <row r="746" spans="1:10" ht="16">
      <c r="A746" s="93" t="s">
        <v>364</v>
      </c>
      <c r="B746" s="94" t="s">
        <v>365</v>
      </c>
      <c r="C746" s="95" t="s">
        <v>76</v>
      </c>
      <c r="D746" s="96" t="s">
        <v>60</v>
      </c>
      <c r="E746" s="97">
        <v>7681</v>
      </c>
      <c r="F746" s="97">
        <v>282</v>
      </c>
      <c r="G746" s="97">
        <v>922</v>
      </c>
      <c r="H746" s="114">
        <v>20.621202614712008</v>
      </c>
      <c r="I746" s="125">
        <v>5985</v>
      </c>
      <c r="J746" s="115">
        <v>17.692999954539363</v>
      </c>
    </row>
    <row r="747" spans="1:10" ht="16">
      <c r="A747" s="100" t="s">
        <v>366</v>
      </c>
      <c r="B747" s="101" t="s">
        <v>365</v>
      </c>
      <c r="C747" s="102" t="s">
        <v>107</v>
      </c>
      <c r="D747" s="103" t="s">
        <v>82</v>
      </c>
      <c r="E747" s="104">
        <v>9895</v>
      </c>
      <c r="F747" s="104">
        <v>454</v>
      </c>
      <c r="G747" s="104">
        <v>1385</v>
      </c>
      <c r="H747" s="116">
        <v>13.227135899622505</v>
      </c>
      <c r="I747" s="126">
        <v>3729</v>
      </c>
      <c r="J747" s="117">
        <v>18.045841772054072</v>
      </c>
    </row>
    <row r="748" spans="1:10" ht="16">
      <c r="A748" s="93" t="s">
        <v>522</v>
      </c>
      <c r="B748" s="94" t="s">
        <v>474</v>
      </c>
      <c r="C748" s="95" t="s">
        <v>76</v>
      </c>
      <c r="D748" s="96" t="s">
        <v>63</v>
      </c>
      <c r="E748" s="97">
        <v>6279</v>
      </c>
      <c r="F748" s="97">
        <v>826</v>
      </c>
      <c r="G748" s="97">
        <v>141</v>
      </c>
      <c r="H748" s="114">
        <v>9.5549658986771249</v>
      </c>
      <c r="I748" s="125">
        <v>326</v>
      </c>
      <c r="J748" s="115">
        <v>24.406226718007346</v>
      </c>
    </row>
    <row r="749" spans="1:10" ht="16">
      <c r="A749" s="100" t="s">
        <v>1113</v>
      </c>
      <c r="B749" s="101" t="s">
        <v>1081</v>
      </c>
      <c r="C749" s="102" t="s">
        <v>107</v>
      </c>
      <c r="D749" s="103" t="s">
        <v>82</v>
      </c>
      <c r="E749" s="104">
        <v>26032</v>
      </c>
      <c r="F749" s="104">
        <v>1054</v>
      </c>
      <c r="G749" s="104">
        <v>2083</v>
      </c>
      <c r="H749" s="116">
        <v>13.231275691850097</v>
      </c>
      <c r="I749" s="126">
        <v>1756</v>
      </c>
      <c r="J749" s="117">
        <v>16.412464649762327</v>
      </c>
    </row>
    <row r="750" spans="1:10" ht="16">
      <c r="A750" s="93" t="s">
        <v>371</v>
      </c>
      <c r="B750" s="94" t="s">
        <v>369</v>
      </c>
      <c r="C750" s="95" t="s">
        <v>76</v>
      </c>
      <c r="D750" s="96" t="s">
        <v>63</v>
      </c>
      <c r="E750" s="97">
        <v>15149</v>
      </c>
      <c r="F750" s="97">
        <v>695</v>
      </c>
      <c r="G750" s="97">
        <v>909</v>
      </c>
      <c r="H750" s="114">
        <v>35.619830022821191</v>
      </c>
      <c r="I750" s="125">
        <v>28544</v>
      </c>
      <c r="J750" s="115">
        <v>26.536281276222809</v>
      </c>
    </row>
    <row r="751" spans="1:10" ht="16">
      <c r="A751" s="100" t="s">
        <v>362</v>
      </c>
      <c r="B751" s="101" t="s">
        <v>344</v>
      </c>
      <c r="C751" s="102" t="s">
        <v>76</v>
      </c>
      <c r="D751" s="103" t="s">
        <v>82</v>
      </c>
      <c r="E751" s="104">
        <v>128995</v>
      </c>
      <c r="F751" s="104">
        <v>5466</v>
      </c>
      <c r="G751" s="104">
        <v>1290</v>
      </c>
      <c r="H751" s="116">
        <v>7.707149107476476</v>
      </c>
      <c r="I751" s="126">
        <v>2597</v>
      </c>
      <c r="J751" s="117">
        <v>21.16197902013651</v>
      </c>
    </row>
    <row r="752" spans="1:10" ht="16">
      <c r="A752" s="93" t="s">
        <v>1182</v>
      </c>
      <c r="B752" s="94" t="s">
        <v>1178</v>
      </c>
      <c r="C752" s="95" t="s">
        <v>76</v>
      </c>
      <c r="D752" s="96" t="s">
        <v>60</v>
      </c>
      <c r="E752" s="97">
        <v>23229</v>
      </c>
      <c r="F752" s="97">
        <v>2640</v>
      </c>
      <c r="G752" s="97">
        <v>697</v>
      </c>
      <c r="H752" s="114">
        <v>9.836674063209438</v>
      </c>
      <c r="I752" s="125">
        <v>837</v>
      </c>
      <c r="J752" s="115">
        <v>24.343359157760236</v>
      </c>
    </row>
    <row r="753" spans="1:10" ht="16">
      <c r="A753" s="100" t="s">
        <v>418</v>
      </c>
      <c r="B753" s="101" t="s">
        <v>402</v>
      </c>
      <c r="C753" s="102" t="s">
        <v>107</v>
      </c>
      <c r="D753" s="103" t="s">
        <v>82</v>
      </c>
      <c r="E753" s="104">
        <v>22622</v>
      </c>
      <c r="F753" s="104">
        <v>373</v>
      </c>
      <c r="G753" s="104">
        <v>5429</v>
      </c>
      <c r="H753" s="116">
        <v>54.743828117872582</v>
      </c>
      <c r="I753" s="126">
        <v>33730</v>
      </c>
      <c r="J753" s="117">
        <v>50.921445918551498</v>
      </c>
    </row>
    <row r="754" spans="1:10" ht="16">
      <c r="A754" s="93" t="s">
        <v>915</v>
      </c>
      <c r="B754" s="94" t="s">
        <v>909</v>
      </c>
      <c r="C754" s="95" t="s">
        <v>107</v>
      </c>
      <c r="D754" s="96" t="s">
        <v>59</v>
      </c>
      <c r="E754" s="97">
        <v>19745</v>
      </c>
      <c r="F754" s="97">
        <v>1103</v>
      </c>
      <c r="G754" s="97">
        <v>197</v>
      </c>
      <c r="H754" s="114">
        <v>10.11115069484279</v>
      </c>
      <c r="I754" s="125">
        <v>1725</v>
      </c>
      <c r="J754" s="115">
        <v>15.803613228951134</v>
      </c>
    </row>
    <row r="755" spans="1:10" ht="16">
      <c r="A755" s="100" t="s">
        <v>419</v>
      </c>
      <c r="B755" s="101" t="s">
        <v>402</v>
      </c>
      <c r="C755" s="102" t="s">
        <v>107</v>
      </c>
      <c r="D755" s="103" t="s">
        <v>61</v>
      </c>
      <c r="E755" s="104">
        <v>18166</v>
      </c>
      <c r="F755" s="104">
        <v>445</v>
      </c>
      <c r="G755" s="104">
        <v>3088</v>
      </c>
      <c r="H755" s="116">
        <v>44.538223221148563</v>
      </c>
      <c r="I755" s="126">
        <v>22378</v>
      </c>
      <c r="J755" s="117">
        <v>42.790827606061939</v>
      </c>
    </row>
    <row r="756" spans="1:10" ht="16">
      <c r="A756" s="93" t="s">
        <v>340</v>
      </c>
      <c r="B756" s="94" t="s">
        <v>336</v>
      </c>
      <c r="C756" s="95" t="s">
        <v>107</v>
      </c>
      <c r="D756" s="96" t="s">
        <v>82</v>
      </c>
      <c r="E756" s="97">
        <v>9265</v>
      </c>
      <c r="F756" s="97">
        <v>1404</v>
      </c>
      <c r="G756" s="97">
        <v>2316</v>
      </c>
      <c r="H756" s="114">
        <v>40.98696578167614</v>
      </c>
      <c r="I756" s="125">
        <v>29785</v>
      </c>
      <c r="J756" s="115">
        <v>40.211723288795056</v>
      </c>
    </row>
    <row r="757" spans="1:10" ht="16">
      <c r="A757" s="100" t="s">
        <v>328</v>
      </c>
      <c r="B757" s="101" t="s">
        <v>322</v>
      </c>
      <c r="C757" s="102" t="s">
        <v>76</v>
      </c>
      <c r="D757" s="103" t="s">
        <v>84</v>
      </c>
      <c r="E757" s="104">
        <v>5321</v>
      </c>
      <c r="F757" s="104">
        <v>560</v>
      </c>
      <c r="G757" s="104">
        <v>639</v>
      </c>
      <c r="H757" s="116">
        <v>12.468237457450448</v>
      </c>
      <c r="I757" s="126">
        <v>796</v>
      </c>
      <c r="J757" s="117">
        <v>20.051087117591965</v>
      </c>
    </row>
    <row r="758" spans="1:10" ht="16">
      <c r="A758" s="93" t="s">
        <v>1031</v>
      </c>
      <c r="B758" s="94" t="s">
        <v>1020</v>
      </c>
      <c r="C758" s="95" t="s">
        <v>107</v>
      </c>
      <c r="D758" s="96" t="s">
        <v>84</v>
      </c>
      <c r="E758" s="97">
        <v>40592</v>
      </c>
      <c r="F758" s="97">
        <v>2899</v>
      </c>
      <c r="G758" s="97">
        <v>5277</v>
      </c>
      <c r="H758" s="114">
        <v>14.999271668125306</v>
      </c>
      <c r="I758" s="125">
        <v>5736</v>
      </c>
      <c r="J758" s="115">
        <v>22.689324825690676</v>
      </c>
    </row>
    <row r="759" spans="1:10" ht="16">
      <c r="A759" s="100" t="s">
        <v>420</v>
      </c>
      <c r="B759" s="101" t="s">
        <v>402</v>
      </c>
      <c r="C759" s="102" t="s">
        <v>107</v>
      </c>
      <c r="D759" s="103" t="s">
        <v>82</v>
      </c>
      <c r="E759" s="104">
        <v>40472</v>
      </c>
      <c r="F759" s="104">
        <v>847</v>
      </c>
      <c r="G759" s="104">
        <v>10927</v>
      </c>
      <c r="H759" s="116">
        <v>70.820875797287215</v>
      </c>
      <c r="I759" s="126">
        <v>60238</v>
      </c>
      <c r="J759" s="117">
        <v>65.141821793537233</v>
      </c>
    </row>
    <row r="760" spans="1:10" ht="16">
      <c r="A760" s="93" t="s">
        <v>594</v>
      </c>
      <c r="B760" s="94" t="s">
        <v>591</v>
      </c>
      <c r="C760" s="95" t="s">
        <v>107</v>
      </c>
      <c r="D760" s="96" t="s">
        <v>84</v>
      </c>
      <c r="E760" s="97">
        <v>14703</v>
      </c>
      <c r="F760" s="97">
        <v>674</v>
      </c>
      <c r="G760" s="97">
        <v>735</v>
      </c>
      <c r="H760" s="114">
        <v>32.157629932705682</v>
      </c>
      <c r="I760" s="125">
        <v>17962</v>
      </c>
      <c r="J760" s="115">
        <v>32.657148844922752</v>
      </c>
    </row>
    <row r="761" spans="1:10" ht="16">
      <c r="A761" s="100" t="s">
        <v>585</v>
      </c>
      <c r="B761" s="101" t="s">
        <v>581</v>
      </c>
      <c r="C761" s="102" t="s">
        <v>107</v>
      </c>
      <c r="D761" s="103" t="s">
        <v>130</v>
      </c>
      <c r="E761" s="104">
        <v>14904</v>
      </c>
      <c r="F761" s="104">
        <v>745</v>
      </c>
      <c r="G761" s="104">
        <v>2981</v>
      </c>
      <c r="H761" s="116">
        <v>13.367540273493658</v>
      </c>
      <c r="I761" s="126">
        <v>4445</v>
      </c>
      <c r="J761" s="117">
        <v>15.857449703965212</v>
      </c>
    </row>
    <row r="762" spans="1:10" ht="16">
      <c r="A762" s="93" t="s">
        <v>1234</v>
      </c>
      <c r="B762" s="94" t="s">
        <v>1190</v>
      </c>
      <c r="C762" s="95" t="s">
        <v>76</v>
      </c>
      <c r="D762" s="96" t="s">
        <v>61</v>
      </c>
      <c r="E762" s="97">
        <v>11919</v>
      </c>
      <c r="F762" s="97">
        <v>651</v>
      </c>
      <c r="G762" s="97">
        <v>1311</v>
      </c>
      <c r="H762" s="114">
        <v>11.074228942108897</v>
      </c>
      <c r="I762" s="125">
        <v>4727</v>
      </c>
      <c r="J762" s="115">
        <v>16.360739631548118</v>
      </c>
    </row>
    <row r="763" spans="1:10" ht="16">
      <c r="A763" s="100" t="s">
        <v>564</v>
      </c>
      <c r="B763" s="101" t="s">
        <v>537</v>
      </c>
      <c r="C763" s="102" t="s">
        <v>76</v>
      </c>
      <c r="D763" s="103" t="s">
        <v>82</v>
      </c>
      <c r="E763" s="104">
        <v>12511</v>
      </c>
      <c r="F763" s="104">
        <v>1813</v>
      </c>
      <c r="G763" s="104">
        <v>876</v>
      </c>
      <c r="H763" s="116">
        <v>16.421330745024072</v>
      </c>
      <c r="I763" s="126">
        <v>7758</v>
      </c>
      <c r="J763" s="117">
        <v>45.055227388393376</v>
      </c>
    </row>
    <row r="764" spans="1:10" ht="16">
      <c r="A764" s="93" t="s">
        <v>716</v>
      </c>
      <c r="B764" s="94" t="s">
        <v>642</v>
      </c>
      <c r="C764" s="95" t="s">
        <v>107</v>
      </c>
      <c r="D764" s="96" t="s">
        <v>82</v>
      </c>
      <c r="E764" s="97">
        <v>22873</v>
      </c>
      <c r="F764" s="97">
        <v>1370</v>
      </c>
      <c r="G764" s="97">
        <v>457</v>
      </c>
      <c r="H764" s="114">
        <v>10.935839512832715</v>
      </c>
      <c r="I764" s="125">
        <v>10476</v>
      </c>
      <c r="J764" s="115">
        <v>15.48774977347037</v>
      </c>
    </row>
    <row r="765" spans="1:10" ht="16">
      <c r="A765" s="100" t="s">
        <v>595</v>
      </c>
      <c r="B765" s="101" t="s">
        <v>591</v>
      </c>
      <c r="C765" s="102" t="s">
        <v>76</v>
      </c>
      <c r="D765" s="103" t="s">
        <v>63</v>
      </c>
      <c r="E765" s="104">
        <v>22414</v>
      </c>
      <c r="F765" s="104">
        <v>1005</v>
      </c>
      <c r="G765" s="104">
        <v>1569</v>
      </c>
      <c r="H765" s="116">
        <v>51.725057578936067</v>
      </c>
      <c r="I765" s="126">
        <v>36670</v>
      </c>
      <c r="J765" s="117">
        <v>42.182358944467261</v>
      </c>
    </row>
    <row r="766" spans="1:10" ht="16">
      <c r="A766" s="93" t="s">
        <v>1369</v>
      </c>
      <c r="B766" s="94" t="s">
        <v>1288</v>
      </c>
      <c r="C766" s="95" t="s">
        <v>76</v>
      </c>
      <c r="D766" s="96" t="s">
        <v>82</v>
      </c>
      <c r="E766" s="97">
        <v>35814</v>
      </c>
      <c r="F766" s="97">
        <v>2755</v>
      </c>
      <c r="G766" s="97">
        <v>3223</v>
      </c>
      <c r="H766" s="114">
        <v>24.38298228620457</v>
      </c>
      <c r="I766" s="125">
        <v>18705</v>
      </c>
      <c r="J766" s="115">
        <v>39.855718599428037</v>
      </c>
    </row>
    <row r="767" spans="1:10" ht="16">
      <c r="A767" s="100" t="s">
        <v>1370</v>
      </c>
      <c r="B767" s="101" t="s">
        <v>1288</v>
      </c>
      <c r="C767" s="102" t="s">
        <v>107</v>
      </c>
      <c r="D767" s="103" t="s">
        <v>84</v>
      </c>
      <c r="E767" s="104">
        <v>60818</v>
      </c>
      <c r="F767" s="104">
        <v>2452</v>
      </c>
      <c r="G767" s="104">
        <v>4865</v>
      </c>
      <c r="H767" s="116">
        <v>55.028794158475179</v>
      </c>
      <c r="I767" s="126">
        <v>34484</v>
      </c>
      <c r="J767" s="117">
        <v>49.327520707077973</v>
      </c>
    </row>
    <row r="768" spans="1:10" ht="16">
      <c r="A768" s="93" t="s">
        <v>1371</v>
      </c>
      <c r="B768" s="94" t="s">
        <v>1288</v>
      </c>
      <c r="C768" s="95" t="s">
        <v>76</v>
      </c>
      <c r="D768" s="96" t="s">
        <v>82</v>
      </c>
      <c r="E768" s="97">
        <v>31893</v>
      </c>
      <c r="F768" s="97">
        <v>1670</v>
      </c>
      <c r="G768" s="97">
        <v>319</v>
      </c>
      <c r="H768" s="114">
        <v>14.703014982366655</v>
      </c>
      <c r="I768" s="125">
        <v>3981</v>
      </c>
      <c r="J768" s="115">
        <v>17.850765225120682</v>
      </c>
    </row>
    <row r="769" spans="1:10" ht="16">
      <c r="A769" s="100" t="s">
        <v>1372</v>
      </c>
      <c r="B769" s="101" t="s">
        <v>1288</v>
      </c>
      <c r="C769" s="102" t="s">
        <v>107</v>
      </c>
      <c r="D769" s="103" t="s">
        <v>59</v>
      </c>
      <c r="E769" s="104">
        <v>33015</v>
      </c>
      <c r="F769" s="104">
        <v>1603</v>
      </c>
      <c r="G769" s="104">
        <v>2971</v>
      </c>
      <c r="H769" s="116">
        <v>21.21395107061938</v>
      </c>
      <c r="I769" s="126">
        <v>9770</v>
      </c>
      <c r="J769" s="117">
        <v>30.943978805926918</v>
      </c>
    </row>
    <row r="770" spans="1:10" ht="16">
      <c r="A770" s="93" t="s">
        <v>523</v>
      </c>
      <c r="B770" s="94" t="s">
        <v>474</v>
      </c>
      <c r="C770" s="95" t="s">
        <v>107</v>
      </c>
      <c r="D770" s="96" t="s">
        <v>61</v>
      </c>
      <c r="E770" s="97">
        <v>3904</v>
      </c>
      <c r="F770" s="97">
        <v>279</v>
      </c>
      <c r="G770" s="97">
        <v>39</v>
      </c>
      <c r="H770" s="114">
        <v>12.870324692325029</v>
      </c>
      <c r="I770" s="125">
        <v>3645</v>
      </c>
      <c r="J770" s="115">
        <v>26.690046160052791</v>
      </c>
    </row>
    <row r="771" spans="1:10" ht="16">
      <c r="A771" s="100" t="s">
        <v>1133</v>
      </c>
      <c r="B771" s="101" t="s">
        <v>1120</v>
      </c>
      <c r="C771" s="102" t="s">
        <v>76</v>
      </c>
      <c r="D771" s="103" t="s">
        <v>60</v>
      </c>
      <c r="E771" s="104">
        <v>33506</v>
      </c>
      <c r="F771" s="104">
        <v>2769</v>
      </c>
      <c r="G771" s="104">
        <v>335</v>
      </c>
      <c r="H771" s="116">
        <v>12.217370714153049</v>
      </c>
      <c r="I771" s="126">
        <v>1460</v>
      </c>
      <c r="J771" s="117">
        <v>19.581077497192339</v>
      </c>
    </row>
    <row r="772" spans="1:10" ht="16">
      <c r="A772" s="93" t="s">
        <v>524</v>
      </c>
      <c r="B772" s="94" t="s">
        <v>474</v>
      </c>
      <c r="C772" s="95" t="s">
        <v>107</v>
      </c>
      <c r="D772" s="96" t="s">
        <v>80</v>
      </c>
      <c r="E772" s="97">
        <v>7752</v>
      </c>
      <c r="F772" s="97">
        <v>524</v>
      </c>
      <c r="G772" s="97">
        <v>78</v>
      </c>
      <c r="H772" s="114">
        <v>10.066217679712665</v>
      </c>
      <c r="I772" s="125">
        <v>6548</v>
      </c>
      <c r="J772" s="115">
        <v>19.905691087240221</v>
      </c>
    </row>
    <row r="773" spans="1:10" ht="16">
      <c r="A773" s="100" t="s">
        <v>463</v>
      </c>
      <c r="B773" s="101" t="s">
        <v>459</v>
      </c>
      <c r="C773" s="102" t="s">
        <v>107</v>
      </c>
      <c r="D773" s="103" t="s">
        <v>82</v>
      </c>
      <c r="E773" s="104">
        <v>10125</v>
      </c>
      <c r="F773" s="104">
        <v>454</v>
      </c>
      <c r="G773" s="104">
        <v>3139</v>
      </c>
      <c r="H773" s="116">
        <v>66.570278279703587</v>
      </c>
      <c r="I773" s="126">
        <v>59511</v>
      </c>
      <c r="J773" s="117">
        <v>58.026325941383654</v>
      </c>
    </row>
    <row r="774" spans="1:10" ht="16">
      <c r="A774" s="93" t="s">
        <v>1373</v>
      </c>
      <c r="B774" s="94" t="s">
        <v>1288</v>
      </c>
      <c r="C774" s="95" t="s">
        <v>76</v>
      </c>
      <c r="D774" s="96" t="s">
        <v>60</v>
      </c>
      <c r="E774" s="97">
        <v>10434</v>
      </c>
      <c r="F774" s="97">
        <v>1110</v>
      </c>
      <c r="G774" s="97">
        <v>3652</v>
      </c>
      <c r="H774" s="114">
        <v>16.089025713874307</v>
      </c>
      <c r="I774" s="125">
        <v>4629</v>
      </c>
      <c r="J774" s="115">
        <v>24.107415055229346</v>
      </c>
    </row>
    <row r="775" spans="1:10" ht="16">
      <c r="A775" s="100" t="s">
        <v>1235</v>
      </c>
      <c r="B775" s="101" t="s">
        <v>1190</v>
      </c>
      <c r="C775" s="102" t="s">
        <v>76</v>
      </c>
      <c r="D775" s="103" t="s">
        <v>82</v>
      </c>
      <c r="E775" s="104">
        <v>61915</v>
      </c>
      <c r="F775" s="104">
        <v>1917</v>
      </c>
      <c r="G775" s="104">
        <v>4953</v>
      </c>
      <c r="H775" s="116">
        <v>16.800591231653765</v>
      </c>
      <c r="I775" s="126">
        <v>10825</v>
      </c>
      <c r="J775" s="117">
        <v>19.130243569131281</v>
      </c>
    </row>
    <row r="776" spans="1:10" ht="16">
      <c r="A776" s="93" t="s">
        <v>717</v>
      </c>
      <c r="B776" s="94" t="s">
        <v>642</v>
      </c>
      <c r="C776" s="95" t="s">
        <v>107</v>
      </c>
      <c r="D776" s="96" t="s">
        <v>130</v>
      </c>
      <c r="E776" s="97">
        <v>1165</v>
      </c>
      <c r="F776" s="97">
        <v>108</v>
      </c>
      <c r="G776" s="97">
        <v>58</v>
      </c>
      <c r="H776" s="114">
        <v>12.895704520618247</v>
      </c>
      <c r="I776" s="125">
        <v>5321</v>
      </c>
      <c r="J776" s="115">
        <v>21.611974657359458</v>
      </c>
    </row>
    <row r="777" spans="1:10" ht="16">
      <c r="A777" s="100" t="s">
        <v>718</v>
      </c>
      <c r="B777" s="101" t="s">
        <v>642</v>
      </c>
      <c r="C777" s="102" t="s">
        <v>107</v>
      </c>
      <c r="D777" s="103" t="s">
        <v>92</v>
      </c>
      <c r="E777" s="104">
        <v>4813</v>
      </c>
      <c r="F777" s="104">
        <v>319</v>
      </c>
      <c r="G777" s="104">
        <v>241</v>
      </c>
      <c r="H777" s="116">
        <v>18.809146415399741</v>
      </c>
      <c r="I777" s="126">
        <v>2671</v>
      </c>
      <c r="J777" s="117">
        <v>19.801110216916854</v>
      </c>
    </row>
    <row r="778" spans="1:10" ht="16">
      <c r="A778" s="93" t="s">
        <v>1374</v>
      </c>
      <c r="B778" s="94" t="s">
        <v>1288</v>
      </c>
      <c r="C778" s="95" t="s">
        <v>76</v>
      </c>
      <c r="D778" s="96" t="s">
        <v>63</v>
      </c>
      <c r="E778" s="97">
        <v>25907</v>
      </c>
      <c r="F778" s="97">
        <v>1542</v>
      </c>
      <c r="G778" s="97">
        <v>1295</v>
      </c>
      <c r="H778" s="114">
        <v>24.157849194231392</v>
      </c>
      <c r="I778" s="125">
        <v>18904</v>
      </c>
      <c r="J778" s="115">
        <v>33.318812788014469</v>
      </c>
    </row>
    <row r="779" spans="1:10" ht="16">
      <c r="A779" s="100" t="s">
        <v>639</v>
      </c>
      <c r="B779" s="101" t="s">
        <v>640</v>
      </c>
      <c r="C779" s="102" t="s">
        <v>76</v>
      </c>
      <c r="D779" s="103" t="s">
        <v>92</v>
      </c>
      <c r="E779" s="104">
        <v>23305</v>
      </c>
      <c r="F779" s="104">
        <v>1050</v>
      </c>
      <c r="G779" s="104">
        <v>233</v>
      </c>
      <c r="H779" s="116">
        <v>11.268705505402746</v>
      </c>
      <c r="I779" s="126">
        <v>8257</v>
      </c>
      <c r="J779" s="117">
        <v>18.235817372758024</v>
      </c>
    </row>
    <row r="780" spans="1:10" ht="16">
      <c r="A780" s="93" t="s">
        <v>719</v>
      </c>
      <c r="B780" s="94" t="s">
        <v>642</v>
      </c>
      <c r="C780" s="95" t="s">
        <v>107</v>
      </c>
      <c r="D780" s="96" t="s">
        <v>63</v>
      </c>
      <c r="E780" s="97">
        <v>25913</v>
      </c>
      <c r="F780" s="97">
        <v>2445</v>
      </c>
      <c r="G780" s="97">
        <v>3110</v>
      </c>
      <c r="H780" s="114">
        <v>90.447028185618464</v>
      </c>
      <c r="I780" s="125">
        <v>54505</v>
      </c>
      <c r="J780" s="115">
        <v>86.47043326181138</v>
      </c>
    </row>
    <row r="781" spans="1:10" ht="16">
      <c r="A781" s="100" t="s">
        <v>285</v>
      </c>
      <c r="B781" s="101" t="s">
        <v>223</v>
      </c>
      <c r="C781" s="102" t="s">
        <v>76</v>
      </c>
      <c r="D781" s="103" t="s">
        <v>82</v>
      </c>
      <c r="E781" s="104">
        <v>34780</v>
      </c>
      <c r="F781" s="104">
        <v>2484</v>
      </c>
      <c r="G781" s="104">
        <v>2087</v>
      </c>
      <c r="H781" s="116">
        <v>35.970794818464945</v>
      </c>
      <c r="I781" s="126">
        <v>13890</v>
      </c>
      <c r="J781" s="117">
        <v>32.734588796409334</v>
      </c>
    </row>
    <row r="782" spans="1:10" ht="16">
      <c r="A782" s="93" t="s">
        <v>826</v>
      </c>
      <c r="B782" s="94" t="s">
        <v>820</v>
      </c>
      <c r="C782" s="95" t="s">
        <v>107</v>
      </c>
      <c r="D782" s="96" t="s">
        <v>60</v>
      </c>
      <c r="E782" s="97">
        <v>8033</v>
      </c>
      <c r="F782" s="97">
        <v>375</v>
      </c>
      <c r="G782" s="97">
        <v>1205</v>
      </c>
      <c r="H782" s="114">
        <v>48.91737344654311</v>
      </c>
      <c r="I782" s="125">
        <v>30312</v>
      </c>
      <c r="J782" s="115">
        <v>37.104104711962506</v>
      </c>
    </row>
    <row r="783" spans="1:10" ht="16">
      <c r="A783" s="100" t="s">
        <v>1171</v>
      </c>
      <c r="B783" s="101" t="s">
        <v>1142</v>
      </c>
      <c r="C783" s="102" t="s">
        <v>107</v>
      </c>
      <c r="D783" s="103" t="s">
        <v>60</v>
      </c>
      <c r="E783" s="104">
        <v>5836</v>
      </c>
      <c r="F783" s="104">
        <v>347</v>
      </c>
      <c r="G783" s="104">
        <v>58</v>
      </c>
      <c r="H783" s="116">
        <v>11.932834227378246</v>
      </c>
      <c r="I783" s="126">
        <v>2625</v>
      </c>
      <c r="J783" s="117">
        <v>16.255731175980639</v>
      </c>
    </row>
    <row r="784" spans="1:10" ht="16">
      <c r="A784" s="93" t="s">
        <v>720</v>
      </c>
      <c r="B784" s="94" t="s">
        <v>642</v>
      </c>
      <c r="C784" s="95" t="s">
        <v>107</v>
      </c>
      <c r="D784" s="96" t="s">
        <v>92</v>
      </c>
      <c r="E784" s="97">
        <v>5204</v>
      </c>
      <c r="F784" s="97">
        <v>394</v>
      </c>
      <c r="G784" s="97">
        <v>52</v>
      </c>
      <c r="H784" s="114">
        <v>13.953180885523814</v>
      </c>
      <c r="I784" s="125">
        <v>3539</v>
      </c>
      <c r="J784" s="115">
        <v>22.324266615080212</v>
      </c>
    </row>
    <row r="785" spans="1:10" ht="16">
      <c r="A785" s="100" t="s">
        <v>721</v>
      </c>
      <c r="B785" s="101" t="s">
        <v>642</v>
      </c>
      <c r="C785" s="102" t="s">
        <v>107</v>
      </c>
      <c r="D785" s="103" t="s">
        <v>130</v>
      </c>
      <c r="E785" s="104">
        <v>17735</v>
      </c>
      <c r="F785" s="104">
        <v>2163</v>
      </c>
      <c r="G785" s="104">
        <v>2128</v>
      </c>
      <c r="H785" s="116">
        <v>54.569830463509831</v>
      </c>
      <c r="I785" s="126">
        <v>21738</v>
      </c>
      <c r="J785" s="117">
        <v>53.619423505804498</v>
      </c>
    </row>
    <row r="786" spans="1:10" ht="16">
      <c r="A786" s="93" t="s">
        <v>722</v>
      </c>
      <c r="B786" s="94" t="s">
        <v>642</v>
      </c>
      <c r="C786" s="95" t="s">
        <v>107</v>
      </c>
      <c r="D786" s="96" t="s">
        <v>84</v>
      </c>
      <c r="E786" s="97">
        <v>29848</v>
      </c>
      <c r="F786" s="97">
        <v>2296</v>
      </c>
      <c r="G786" s="97">
        <v>597</v>
      </c>
      <c r="H786" s="114">
        <v>9.7805081595830448</v>
      </c>
      <c r="I786" s="125">
        <v>2063</v>
      </c>
      <c r="J786" s="115">
        <v>19.447628626104152</v>
      </c>
    </row>
    <row r="787" spans="1:10" ht="16">
      <c r="A787" s="100" t="s">
        <v>1172</v>
      </c>
      <c r="B787" s="101" t="s">
        <v>1142</v>
      </c>
      <c r="C787" s="102" t="s">
        <v>107</v>
      </c>
      <c r="D787" s="103" t="s">
        <v>59</v>
      </c>
      <c r="E787" s="104">
        <v>23679</v>
      </c>
      <c r="F787" s="104">
        <v>1133</v>
      </c>
      <c r="G787" s="104">
        <v>474</v>
      </c>
      <c r="H787" s="116">
        <v>7.7086302191000868</v>
      </c>
      <c r="I787" s="126">
        <v>1390</v>
      </c>
      <c r="J787" s="117">
        <v>13.244411488393453</v>
      </c>
    </row>
    <row r="788" spans="1:10" ht="16">
      <c r="A788" s="93" t="s">
        <v>723</v>
      </c>
      <c r="B788" s="94" t="s">
        <v>642</v>
      </c>
      <c r="C788" s="95" t="s">
        <v>107</v>
      </c>
      <c r="D788" s="96" t="s">
        <v>62</v>
      </c>
      <c r="E788" s="97">
        <v>7553</v>
      </c>
      <c r="F788" s="97">
        <v>868</v>
      </c>
      <c r="G788" s="97">
        <v>227</v>
      </c>
      <c r="H788" s="114">
        <v>19.912334835809983</v>
      </c>
      <c r="I788" s="125">
        <v>2875</v>
      </c>
      <c r="J788" s="115">
        <v>26.629298993572316</v>
      </c>
    </row>
    <row r="789" spans="1:10" ht="16">
      <c r="A789" s="100" t="s">
        <v>724</v>
      </c>
      <c r="B789" s="101" t="s">
        <v>642</v>
      </c>
      <c r="C789" s="102" t="s">
        <v>107</v>
      </c>
      <c r="D789" s="103" t="s">
        <v>63</v>
      </c>
      <c r="E789" s="104">
        <v>7481</v>
      </c>
      <c r="F789" s="104">
        <v>502</v>
      </c>
      <c r="G789" s="104">
        <v>75</v>
      </c>
      <c r="H789" s="116">
        <v>10.478443641641777</v>
      </c>
      <c r="I789" s="126">
        <v>764</v>
      </c>
      <c r="J789" s="117">
        <v>17.222236640480372</v>
      </c>
    </row>
    <row r="790" spans="1:10" ht="16">
      <c r="A790" s="93" t="s">
        <v>725</v>
      </c>
      <c r="B790" s="94" t="s">
        <v>642</v>
      </c>
      <c r="C790" s="95" t="s">
        <v>107</v>
      </c>
      <c r="D790" s="96" t="s">
        <v>60</v>
      </c>
      <c r="E790" s="97">
        <v>9285</v>
      </c>
      <c r="F790" s="97">
        <v>363</v>
      </c>
      <c r="G790" s="97">
        <v>186</v>
      </c>
      <c r="H790" s="114">
        <v>9.4233687122148133</v>
      </c>
      <c r="I790" s="125">
        <v>380</v>
      </c>
      <c r="J790" s="115">
        <v>15.650530332173233</v>
      </c>
    </row>
    <row r="791" spans="1:10" ht="16">
      <c r="A791" s="100" t="s">
        <v>726</v>
      </c>
      <c r="B791" s="101" t="s">
        <v>642</v>
      </c>
      <c r="C791" s="102" t="s">
        <v>107</v>
      </c>
      <c r="D791" s="103" t="s">
        <v>77</v>
      </c>
      <c r="E791" s="104">
        <v>9752</v>
      </c>
      <c r="F791" s="104">
        <v>1266</v>
      </c>
      <c r="G791" s="104">
        <v>1268</v>
      </c>
      <c r="H791" s="116">
        <v>52.128406430804738</v>
      </c>
      <c r="I791" s="126">
        <v>19480</v>
      </c>
      <c r="J791" s="117">
        <v>51.777960078968825</v>
      </c>
    </row>
    <row r="792" spans="1:10" ht="16">
      <c r="A792" s="93" t="s">
        <v>727</v>
      </c>
      <c r="B792" s="94" t="s">
        <v>642</v>
      </c>
      <c r="C792" s="95" t="s">
        <v>107</v>
      </c>
      <c r="D792" s="96" t="s">
        <v>84</v>
      </c>
      <c r="E792" s="97">
        <v>2999</v>
      </c>
      <c r="F792" s="97">
        <v>909</v>
      </c>
      <c r="G792" s="97">
        <v>270</v>
      </c>
      <c r="H792" s="114">
        <v>24.414462634131972</v>
      </c>
      <c r="I792" s="125">
        <v>14093</v>
      </c>
      <c r="J792" s="115">
        <v>45.818649761988674</v>
      </c>
    </row>
    <row r="793" spans="1:10" ht="16">
      <c r="A793" s="100" t="s">
        <v>728</v>
      </c>
      <c r="B793" s="101" t="s">
        <v>642</v>
      </c>
      <c r="C793" s="102" t="s">
        <v>76</v>
      </c>
      <c r="D793" s="103" t="s">
        <v>61</v>
      </c>
      <c r="E793" s="104">
        <v>1350</v>
      </c>
      <c r="F793" s="104">
        <v>844</v>
      </c>
      <c r="G793" s="104">
        <v>14</v>
      </c>
      <c r="H793" s="116">
        <v>11.410403876000853</v>
      </c>
      <c r="I793" s="126">
        <v>3807</v>
      </c>
      <c r="J793" s="117">
        <v>30.253402155605158</v>
      </c>
    </row>
    <row r="794" spans="1:10" ht="16">
      <c r="A794" s="93" t="s">
        <v>729</v>
      </c>
      <c r="B794" s="94" t="s">
        <v>642</v>
      </c>
      <c r="C794" s="95" t="s">
        <v>107</v>
      </c>
      <c r="D794" s="96" t="s">
        <v>80</v>
      </c>
      <c r="E794" s="97">
        <v>9160</v>
      </c>
      <c r="F794" s="97">
        <v>674</v>
      </c>
      <c r="G794" s="97">
        <v>458</v>
      </c>
      <c r="H794" s="114">
        <v>17.929185041237101</v>
      </c>
      <c r="I794" s="125">
        <v>9472</v>
      </c>
      <c r="J794" s="115">
        <v>25.872981306492864</v>
      </c>
    </row>
    <row r="795" spans="1:10" ht="16">
      <c r="A795" s="100" t="s">
        <v>730</v>
      </c>
      <c r="B795" s="101" t="s">
        <v>642</v>
      </c>
      <c r="C795" s="102" t="s">
        <v>107</v>
      </c>
      <c r="D795" s="103" t="s">
        <v>62</v>
      </c>
      <c r="E795" s="104">
        <v>12221</v>
      </c>
      <c r="F795" s="104">
        <v>361</v>
      </c>
      <c r="G795" s="104">
        <v>244</v>
      </c>
      <c r="H795" s="116">
        <v>10.728641702462129</v>
      </c>
      <c r="I795" s="126">
        <v>1057</v>
      </c>
      <c r="J795" s="117">
        <v>16.719155487833998</v>
      </c>
    </row>
    <row r="796" spans="1:10" ht="16">
      <c r="A796" s="93" t="s">
        <v>731</v>
      </c>
      <c r="B796" s="94" t="s">
        <v>642</v>
      </c>
      <c r="C796" s="95" t="s">
        <v>107</v>
      </c>
      <c r="D796" s="96" t="s">
        <v>60</v>
      </c>
      <c r="E796" s="97">
        <v>5766</v>
      </c>
      <c r="F796" s="97">
        <v>390</v>
      </c>
      <c r="G796" s="97">
        <v>346</v>
      </c>
      <c r="H796" s="114">
        <v>23.589760066486313</v>
      </c>
      <c r="I796" s="125">
        <v>4203</v>
      </c>
      <c r="J796" s="115">
        <v>24.580178031265127</v>
      </c>
    </row>
    <row r="797" spans="1:10" ht="16">
      <c r="A797" s="100" t="s">
        <v>732</v>
      </c>
      <c r="B797" s="101" t="s">
        <v>642</v>
      </c>
      <c r="C797" s="102" t="s">
        <v>107</v>
      </c>
      <c r="D797" s="103" t="s">
        <v>84</v>
      </c>
      <c r="E797" s="104">
        <v>2654</v>
      </c>
      <c r="F797" s="104">
        <v>248</v>
      </c>
      <c r="G797" s="104">
        <v>186</v>
      </c>
      <c r="H797" s="116">
        <v>14.214602419087855</v>
      </c>
      <c r="I797" s="126">
        <v>1518</v>
      </c>
      <c r="J797" s="117">
        <v>25.174487528134037</v>
      </c>
    </row>
    <row r="798" spans="1:10" ht="16">
      <c r="A798" s="93" t="s">
        <v>733</v>
      </c>
      <c r="B798" s="94" t="s">
        <v>642</v>
      </c>
      <c r="C798" s="95" t="s">
        <v>107</v>
      </c>
      <c r="D798" s="96" t="s">
        <v>80</v>
      </c>
      <c r="E798" s="97">
        <v>18490</v>
      </c>
      <c r="F798" s="97">
        <v>758</v>
      </c>
      <c r="G798" s="97">
        <v>370</v>
      </c>
      <c r="H798" s="114">
        <v>24.52322601442819</v>
      </c>
      <c r="I798" s="125">
        <v>4696</v>
      </c>
      <c r="J798" s="115">
        <v>22.416802080766029</v>
      </c>
    </row>
    <row r="799" spans="1:10" ht="16">
      <c r="A799" s="100" t="s">
        <v>952</v>
      </c>
      <c r="B799" s="101" t="s">
        <v>919</v>
      </c>
      <c r="C799" s="102" t="s">
        <v>107</v>
      </c>
      <c r="D799" s="103" t="s">
        <v>59</v>
      </c>
      <c r="E799" s="104">
        <v>9121</v>
      </c>
      <c r="F799" s="104">
        <v>1048</v>
      </c>
      <c r="G799" s="104">
        <v>2554</v>
      </c>
      <c r="H799" s="116">
        <v>20.706986565475638</v>
      </c>
      <c r="I799" s="126">
        <v>7403</v>
      </c>
      <c r="J799" s="117">
        <v>26.356128702321641</v>
      </c>
    </row>
    <row r="800" spans="1:10" ht="16">
      <c r="A800" s="93" t="s">
        <v>953</v>
      </c>
      <c r="B800" s="94" t="s">
        <v>919</v>
      </c>
      <c r="C800" s="95" t="s">
        <v>107</v>
      </c>
      <c r="D800" s="96" t="s">
        <v>61</v>
      </c>
      <c r="E800" s="97">
        <v>7655</v>
      </c>
      <c r="F800" s="97">
        <v>643</v>
      </c>
      <c r="G800" s="97">
        <v>2220</v>
      </c>
      <c r="H800" s="114">
        <v>34.692596788941721</v>
      </c>
      <c r="I800" s="125">
        <v>7902</v>
      </c>
      <c r="J800" s="115">
        <v>41.096064318584943</v>
      </c>
    </row>
    <row r="801" spans="1:10" ht="16">
      <c r="A801" s="100" t="s">
        <v>286</v>
      </c>
      <c r="B801" s="101" t="s">
        <v>223</v>
      </c>
      <c r="C801" s="102" t="s">
        <v>107</v>
      </c>
      <c r="D801" s="103" t="s">
        <v>60</v>
      </c>
      <c r="E801" s="104">
        <v>35690</v>
      </c>
      <c r="F801" s="104">
        <v>2724</v>
      </c>
      <c r="G801" s="104">
        <v>4640</v>
      </c>
      <c r="H801" s="116">
        <v>44.036164928308978</v>
      </c>
      <c r="I801" s="126">
        <v>15133</v>
      </c>
      <c r="J801" s="117">
        <v>35.826938389431248</v>
      </c>
    </row>
    <row r="802" spans="1:10" ht="16">
      <c r="A802" s="93" t="s">
        <v>734</v>
      </c>
      <c r="B802" s="94" t="s">
        <v>642</v>
      </c>
      <c r="C802" s="95" t="s">
        <v>107</v>
      </c>
      <c r="D802" s="96" t="s">
        <v>92</v>
      </c>
      <c r="E802" s="97">
        <v>6096</v>
      </c>
      <c r="F802" s="97">
        <v>813</v>
      </c>
      <c r="G802" s="97">
        <v>122</v>
      </c>
      <c r="H802" s="114">
        <v>11.050060138051624</v>
      </c>
      <c r="I802" s="125">
        <v>1428</v>
      </c>
      <c r="J802" s="115">
        <v>22.152808029176118</v>
      </c>
    </row>
    <row r="803" spans="1:10" ht="16">
      <c r="A803" s="100" t="s">
        <v>735</v>
      </c>
      <c r="B803" s="101" t="s">
        <v>642</v>
      </c>
      <c r="C803" s="102" t="s">
        <v>107</v>
      </c>
      <c r="D803" s="103" t="s">
        <v>82</v>
      </c>
      <c r="E803" s="104">
        <v>32404</v>
      </c>
      <c r="F803" s="104">
        <v>1062</v>
      </c>
      <c r="G803" s="104">
        <v>1620</v>
      </c>
      <c r="H803" s="116">
        <v>9.5677186295866807</v>
      </c>
      <c r="I803" s="126">
        <v>602</v>
      </c>
      <c r="J803" s="117">
        <v>15.764802096850289</v>
      </c>
    </row>
    <row r="804" spans="1:10" ht="16">
      <c r="A804" s="93" t="s">
        <v>736</v>
      </c>
      <c r="B804" s="94" t="s">
        <v>642</v>
      </c>
      <c r="C804" s="95" t="s">
        <v>107</v>
      </c>
      <c r="D804" s="96" t="s">
        <v>77</v>
      </c>
      <c r="E804" s="97">
        <v>2135</v>
      </c>
      <c r="F804" s="97">
        <v>243</v>
      </c>
      <c r="G804" s="97">
        <v>149</v>
      </c>
      <c r="H804" s="114">
        <v>17.695810915661752</v>
      </c>
      <c r="I804" s="125">
        <v>2731</v>
      </c>
      <c r="J804" s="115">
        <v>22.440492768975972</v>
      </c>
    </row>
    <row r="805" spans="1:10" ht="16">
      <c r="A805" s="100" t="s">
        <v>817</v>
      </c>
      <c r="B805" s="101" t="s">
        <v>818</v>
      </c>
      <c r="C805" s="102" t="s">
        <v>107</v>
      </c>
      <c r="D805" s="103" t="s">
        <v>82</v>
      </c>
      <c r="E805" s="104">
        <v>418053</v>
      </c>
      <c r="F805" s="104">
        <v>11613</v>
      </c>
      <c r="G805" s="104">
        <v>29090</v>
      </c>
      <c r="H805" s="116">
        <v>7.3856057193156506</v>
      </c>
      <c r="I805" s="126">
        <v>2172</v>
      </c>
      <c r="J805" s="117">
        <v>11.928993371833393</v>
      </c>
    </row>
    <row r="806" spans="1:10" ht="16">
      <c r="A806" s="93" t="s">
        <v>586</v>
      </c>
      <c r="B806" s="94" t="s">
        <v>581</v>
      </c>
      <c r="C806" s="95" t="s">
        <v>76</v>
      </c>
      <c r="D806" s="96" t="s">
        <v>82</v>
      </c>
      <c r="E806" s="97">
        <v>16853</v>
      </c>
      <c r="F806" s="97">
        <v>770</v>
      </c>
      <c r="G806" s="97">
        <v>5056</v>
      </c>
      <c r="H806" s="114">
        <v>43.906167324208283</v>
      </c>
      <c r="I806" s="125">
        <v>33120</v>
      </c>
      <c r="J806" s="115">
        <v>42.300949822282718</v>
      </c>
    </row>
    <row r="807" spans="1:10" ht="16">
      <c r="A807" s="100" t="s">
        <v>979</v>
      </c>
      <c r="B807" s="101" t="s">
        <v>977</v>
      </c>
      <c r="C807" s="102" t="s">
        <v>76</v>
      </c>
      <c r="D807" s="103" t="s">
        <v>80</v>
      </c>
      <c r="E807" s="104">
        <v>45992</v>
      </c>
      <c r="F807" s="104">
        <v>1167</v>
      </c>
      <c r="G807" s="104">
        <v>920</v>
      </c>
      <c r="H807" s="116">
        <v>7.4282263328305724</v>
      </c>
      <c r="I807" s="126">
        <v>3029</v>
      </c>
      <c r="J807" s="117">
        <v>14.86098186105842</v>
      </c>
    </row>
    <row r="808" spans="1:10" ht="16">
      <c r="A808" s="93" t="s">
        <v>287</v>
      </c>
      <c r="B808" s="94" t="s">
        <v>223</v>
      </c>
      <c r="C808" s="95" t="s">
        <v>107</v>
      </c>
      <c r="D808" s="96" t="s">
        <v>92</v>
      </c>
      <c r="E808" s="97">
        <v>38783</v>
      </c>
      <c r="F808" s="97">
        <v>3232</v>
      </c>
      <c r="G808" s="97">
        <v>4266</v>
      </c>
      <c r="H808" s="114">
        <v>94.134991837469897</v>
      </c>
      <c r="I808" s="125">
        <v>70175</v>
      </c>
      <c r="J808" s="115">
        <v>86.841070797192941</v>
      </c>
    </row>
    <row r="809" spans="1:10" ht="16">
      <c r="A809" s="100" t="s">
        <v>421</v>
      </c>
      <c r="B809" s="101" t="s">
        <v>402</v>
      </c>
      <c r="C809" s="102" t="s">
        <v>107</v>
      </c>
      <c r="D809" s="103" t="s">
        <v>82</v>
      </c>
      <c r="E809" s="104">
        <v>20020</v>
      </c>
      <c r="F809" s="104">
        <v>1925</v>
      </c>
      <c r="G809" s="104">
        <v>2803</v>
      </c>
      <c r="H809" s="116">
        <v>16.572036210603457</v>
      </c>
      <c r="I809" s="126">
        <v>7898</v>
      </c>
      <c r="J809" s="117">
        <v>26.038167819027976</v>
      </c>
    </row>
    <row r="810" spans="1:10" ht="16">
      <c r="A810" s="93" t="s">
        <v>422</v>
      </c>
      <c r="B810" s="94" t="s">
        <v>402</v>
      </c>
      <c r="C810" s="95" t="s">
        <v>107</v>
      </c>
      <c r="D810" s="96" t="s">
        <v>62</v>
      </c>
      <c r="E810" s="97">
        <v>34267</v>
      </c>
      <c r="F810" s="97">
        <v>315</v>
      </c>
      <c r="G810" s="97">
        <v>3427</v>
      </c>
      <c r="H810" s="114">
        <v>41.776586281156725</v>
      </c>
      <c r="I810" s="125">
        <v>22533</v>
      </c>
      <c r="J810" s="115">
        <v>37.946567527904584</v>
      </c>
    </row>
    <row r="811" spans="1:10" ht="16">
      <c r="A811" s="100" t="s">
        <v>423</v>
      </c>
      <c r="B811" s="101" t="s">
        <v>402</v>
      </c>
      <c r="C811" s="102" t="s">
        <v>107</v>
      </c>
      <c r="D811" s="103" t="s">
        <v>59</v>
      </c>
      <c r="E811" s="104">
        <v>32309</v>
      </c>
      <c r="F811" s="104">
        <v>945</v>
      </c>
      <c r="G811" s="104">
        <v>4523</v>
      </c>
      <c r="H811" s="116">
        <v>48.785387825333423</v>
      </c>
      <c r="I811" s="126">
        <v>35450</v>
      </c>
      <c r="J811" s="117">
        <v>46.690811500964848</v>
      </c>
    </row>
    <row r="812" spans="1:10" ht="16">
      <c r="A812" s="93" t="s">
        <v>1375</v>
      </c>
      <c r="B812" s="94" t="s">
        <v>1288</v>
      </c>
      <c r="C812" s="95" t="s">
        <v>76</v>
      </c>
      <c r="D812" s="96" t="s">
        <v>92</v>
      </c>
      <c r="E812" s="97">
        <v>11017</v>
      </c>
      <c r="F812" s="97">
        <v>1124</v>
      </c>
      <c r="G812" s="97">
        <v>1763</v>
      </c>
      <c r="H812" s="114">
        <v>35.190121833811894</v>
      </c>
      <c r="I812" s="125">
        <v>32389</v>
      </c>
      <c r="J812" s="115">
        <v>50.074675308550759</v>
      </c>
    </row>
    <row r="813" spans="1:10" ht="16">
      <c r="A813" s="100" t="s">
        <v>1376</v>
      </c>
      <c r="B813" s="101" t="s">
        <v>1288</v>
      </c>
      <c r="C813" s="102" t="s">
        <v>76</v>
      </c>
      <c r="D813" s="103" t="s">
        <v>61</v>
      </c>
      <c r="E813" s="104">
        <v>11185</v>
      </c>
      <c r="F813" s="104">
        <v>1141</v>
      </c>
      <c r="G813" s="104">
        <v>1230</v>
      </c>
      <c r="H813" s="116">
        <v>24.919716796294541</v>
      </c>
      <c r="I813" s="126">
        <v>17565</v>
      </c>
      <c r="J813" s="117">
        <v>43.167535934192202</v>
      </c>
    </row>
    <row r="814" spans="1:10" ht="16">
      <c r="A814" s="93" t="s">
        <v>1114</v>
      </c>
      <c r="B814" s="94" t="s">
        <v>1081</v>
      </c>
      <c r="C814" s="95" t="s">
        <v>76</v>
      </c>
      <c r="D814" s="96" t="s">
        <v>60</v>
      </c>
      <c r="E814" s="97">
        <v>15704</v>
      </c>
      <c r="F814" s="97">
        <v>586</v>
      </c>
      <c r="G814" s="97">
        <v>1570</v>
      </c>
      <c r="H814" s="114">
        <v>13.236294388714329</v>
      </c>
      <c r="I814" s="125">
        <v>1350</v>
      </c>
      <c r="J814" s="115">
        <v>15.697302421123458</v>
      </c>
    </row>
    <row r="815" spans="1:10" ht="16">
      <c r="A815" s="100" t="s">
        <v>1115</v>
      </c>
      <c r="B815" s="101" t="s">
        <v>1081</v>
      </c>
      <c r="C815" s="102" t="s">
        <v>76</v>
      </c>
      <c r="D815" s="103" t="s">
        <v>82</v>
      </c>
      <c r="E815" s="104">
        <v>3492</v>
      </c>
      <c r="F815" s="104">
        <v>346</v>
      </c>
      <c r="G815" s="104">
        <v>175</v>
      </c>
      <c r="H815" s="116">
        <v>14.191423093994782</v>
      </c>
      <c r="I815" s="126">
        <v>2181</v>
      </c>
      <c r="J815" s="117">
        <v>20.505900251916998</v>
      </c>
    </row>
    <row r="816" spans="1:10" ht="16">
      <c r="A816" s="93" t="s">
        <v>1236</v>
      </c>
      <c r="B816" s="94" t="s">
        <v>1190</v>
      </c>
      <c r="C816" s="95" t="s">
        <v>76</v>
      </c>
      <c r="D816" s="96" t="s">
        <v>77</v>
      </c>
      <c r="E816" s="97">
        <v>32665</v>
      </c>
      <c r="F816" s="97">
        <v>3082</v>
      </c>
      <c r="G816" s="97">
        <v>16986</v>
      </c>
      <c r="H816" s="114">
        <v>88.838679182783949</v>
      </c>
      <c r="I816" s="125">
        <v>85312</v>
      </c>
      <c r="J816" s="115">
        <v>77.92355446975759</v>
      </c>
    </row>
    <row r="817" spans="1:10" ht="16">
      <c r="A817" s="100" t="s">
        <v>954</v>
      </c>
      <c r="B817" s="101" t="s">
        <v>919</v>
      </c>
      <c r="C817" s="102" t="s">
        <v>107</v>
      </c>
      <c r="D817" s="103" t="s">
        <v>82</v>
      </c>
      <c r="E817" s="104">
        <v>14111</v>
      </c>
      <c r="F817" s="104">
        <v>2520</v>
      </c>
      <c r="G817" s="104">
        <v>141</v>
      </c>
      <c r="H817" s="116">
        <v>8.1772688458324634</v>
      </c>
      <c r="I817" s="126">
        <v>898</v>
      </c>
      <c r="J817" s="117">
        <v>20.945032298761056</v>
      </c>
    </row>
    <row r="818" spans="1:10" ht="16">
      <c r="A818" s="93" t="s">
        <v>852</v>
      </c>
      <c r="B818" s="94" t="s">
        <v>850</v>
      </c>
      <c r="C818" s="95" t="s">
        <v>76</v>
      </c>
      <c r="D818" s="96" t="s">
        <v>84</v>
      </c>
      <c r="E818" s="97">
        <v>16475</v>
      </c>
      <c r="F818" s="97">
        <v>1267</v>
      </c>
      <c r="G818" s="97">
        <v>1648</v>
      </c>
      <c r="H818" s="114">
        <v>18.065045747490917</v>
      </c>
      <c r="I818" s="125">
        <v>14495</v>
      </c>
      <c r="J818" s="115">
        <v>21.502318456806293</v>
      </c>
    </row>
    <row r="819" spans="1:10" ht="16">
      <c r="A819" s="100" t="s">
        <v>424</v>
      </c>
      <c r="B819" s="101" t="s">
        <v>402</v>
      </c>
      <c r="C819" s="102" t="s">
        <v>107</v>
      </c>
      <c r="D819" s="103" t="s">
        <v>92</v>
      </c>
      <c r="E819" s="104">
        <v>10629</v>
      </c>
      <c r="F819" s="104">
        <v>384</v>
      </c>
      <c r="G819" s="104">
        <v>1382</v>
      </c>
      <c r="H819" s="116">
        <v>37.092318962249166</v>
      </c>
      <c r="I819" s="126">
        <v>34770</v>
      </c>
      <c r="J819" s="117">
        <v>41.251995755025767</v>
      </c>
    </row>
    <row r="820" spans="1:10" ht="16">
      <c r="A820" s="93" t="s">
        <v>1014</v>
      </c>
      <c r="B820" s="94" t="s">
        <v>988</v>
      </c>
      <c r="C820" s="95" t="s">
        <v>107</v>
      </c>
      <c r="D820" s="96" t="s">
        <v>82</v>
      </c>
      <c r="E820" s="97">
        <v>4127</v>
      </c>
      <c r="F820" s="97">
        <v>297</v>
      </c>
      <c r="G820" s="97">
        <v>330</v>
      </c>
      <c r="H820" s="114">
        <v>38.809342874835394</v>
      </c>
      <c r="I820" s="125">
        <v>35324</v>
      </c>
      <c r="J820" s="115">
        <v>28.526886553111197</v>
      </c>
    </row>
    <row r="821" spans="1:10" ht="16">
      <c r="A821" s="100" t="s">
        <v>1237</v>
      </c>
      <c r="B821" s="101" t="s">
        <v>1190</v>
      </c>
      <c r="C821" s="102" t="s">
        <v>76</v>
      </c>
      <c r="D821" s="103" t="s">
        <v>84</v>
      </c>
      <c r="E821" s="104">
        <v>17817</v>
      </c>
      <c r="F821" s="104">
        <v>1042</v>
      </c>
      <c r="G821" s="104">
        <v>1425</v>
      </c>
      <c r="H821" s="116">
        <v>18.482471306433013</v>
      </c>
      <c r="I821" s="126">
        <v>7419</v>
      </c>
      <c r="J821" s="117">
        <v>21.590074632992071</v>
      </c>
    </row>
    <row r="822" spans="1:10" ht="16">
      <c r="A822" s="93" t="s">
        <v>1187</v>
      </c>
      <c r="B822" s="94" t="s">
        <v>1185</v>
      </c>
      <c r="C822" s="95" t="s">
        <v>76</v>
      </c>
      <c r="D822" s="96" t="s">
        <v>130</v>
      </c>
      <c r="E822" s="97">
        <v>7523</v>
      </c>
      <c r="F822" s="97">
        <v>818</v>
      </c>
      <c r="G822" s="97">
        <v>1580</v>
      </c>
      <c r="H822" s="114">
        <v>19.430562406370175</v>
      </c>
      <c r="I822" s="125">
        <v>16252</v>
      </c>
      <c r="J822" s="115">
        <v>24.560803283716524</v>
      </c>
    </row>
    <row r="823" spans="1:10" ht="16">
      <c r="A823" s="100" t="s">
        <v>874</v>
      </c>
      <c r="B823" s="101" t="s">
        <v>873</v>
      </c>
      <c r="C823" s="102" t="s">
        <v>76</v>
      </c>
      <c r="D823" s="103" t="s">
        <v>92</v>
      </c>
      <c r="E823" s="104">
        <v>6236</v>
      </c>
      <c r="F823" s="104">
        <v>588</v>
      </c>
      <c r="G823" s="104">
        <v>99</v>
      </c>
      <c r="H823" s="116">
        <v>12.042845581305839</v>
      </c>
      <c r="I823" s="126">
        <v>9515</v>
      </c>
      <c r="J823" s="117">
        <v>17.824829874876013</v>
      </c>
    </row>
    <row r="824" spans="1:10" ht="16">
      <c r="A824" s="93" t="s">
        <v>533</v>
      </c>
      <c r="B824" s="94" t="s">
        <v>530</v>
      </c>
      <c r="C824" s="95" t="s">
        <v>76</v>
      </c>
      <c r="D824" s="96" t="s">
        <v>92</v>
      </c>
      <c r="E824" s="97">
        <v>38310</v>
      </c>
      <c r="F824" s="97">
        <v>4455</v>
      </c>
      <c r="G824" s="97">
        <v>766</v>
      </c>
      <c r="H824" s="114">
        <v>11.392941635078886</v>
      </c>
      <c r="I824" s="125">
        <v>1815</v>
      </c>
      <c r="J824" s="115">
        <v>23.947036088890417</v>
      </c>
    </row>
    <row r="825" spans="1:10" ht="16">
      <c r="A825" s="100" t="s">
        <v>179</v>
      </c>
      <c r="B825" s="101" t="s">
        <v>180</v>
      </c>
      <c r="C825" s="102" t="s">
        <v>76</v>
      </c>
      <c r="D825" s="103" t="s">
        <v>130</v>
      </c>
      <c r="E825" s="104">
        <v>3830</v>
      </c>
      <c r="F825" s="104">
        <v>351</v>
      </c>
      <c r="G825" s="104">
        <v>575</v>
      </c>
      <c r="H825" s="116">
        <v>19.475283812967906</v>
      </c>
      <c r="I825" s="126">
        <v>14415</v>
      </c>
      <c r="J825" s="117">
        <v>23.44740115814627</v>
      </c>
    </row>
    <row r="826" spans="1:10" ht="16">
      <c r="A826" s="93" t="s">
        <v>783</v>
      </c>
      <c r="B826" s="94" t="s">
        <v>782</v>
      </c>
      <c r="C826" s="95" t="s">
        <v>76</v>
      </c>
      <c r="D826" s="96" t="s">
        <v>63</v>
      </c>
      <c r="E826" s="97">
        <v>17180</v>
      </c>
      <c r="F826" s="97">
        <v>1701</v>
      </c>
      <c r="G826" s="97">
        <v>2577</v>
      </c>
      <c r="H826" s="114">
        <v>19.658024390658944</v>
      </c>
      <c r="I826" s="125">
        <v>6416</v>
      </c>
      <c r="J826" s="115">
        <v>34.477830286501749</v>
      </c>
    </row>
    <row r="827" spans="1:10" ht="16">
      <c r="A827" s="100" t="s">
        <v>784</v>
      </c>
      <c r="B827" s="101" t="s">
        <v>782</v>
      </c>
      <c r="C827" s="102" t="s">
        <v>107</v>
      </c>
      <c r="D827" s="103" t="s">
        <v>92</v>
      </c>
      <c r="E827" s="104">
        <v>12154</v>
      </c>
      <c r="F827" s="104">
        <v>711</v>
      </c>
      <c r="G827" s="104">
        <v>608</v>
      </c>
      <c r="H827" s="116">
        <v>12.03666909024207</v>
      </c>
      <c r="I827" s="126">
        <v>7633</v>
      </c>
      <c r="J827" s="117">
        <v>17.379813850196637</v>
      </c>
    </row>
    <row r="828" spans="1:10" ht="16">
      <c r="A828" s="93" t="s">
        <v>785</v>
      </c>
      <c r="B828" s="94" t="s">
        <v>782</v>
      </c>
      <c r="C828" s="95" t="s">
        <v>76</v>
      </c>
      <c r="D828" s="96" t="s">
        <v>84</v>
      </c>
      <c r="E828" s="97">
        <v>15973</v>
      </c>
      <c r="F828" s="97">
        <v>850</v>
      </c>
      <c r="G828" s="97">
        <v>958</v>
      </c>
      <c r="H828" s="114">
        <v>9.4188135058876856</v>
      </c>
      <c r="I828" s="125">
        <v>966</v>
      </c>
      <c r="J828" s="115">
        <v>18.079834979486137</v>
      </c>
    </row>
    <row r="829" spans="1:10" ht="16">
      <c r="A829" s="100" t="s">
        <v>786</v>
      </c>
      <c r="B829" s="101" t="s">
        <v>782</v>
      </c>
      <c r="C829" s="102" t="s">
        <v>76</v>
      </c>
      <c r="D829" s="103" t="s">
        <v>80</v>
      </c>
      <c r="E829" s="104">
        <v>20018</v>
      </c>
      <c r="F829" s="104">
        <v>1654</v>
      </c>
      <c r="G829" s="104">
        <v>4604</v>
      </c>
      <c r="H829" s="116">
        <v>31.956392699455549</v>
      </c>
      <c r="I829" s="126">
        <v>6021</v>
      </c>
      <c r="J829" s="117">
        <v>32.328367760766902</v>
      </c>
    </row>
    <row r="830" spans="1:10" ht="16">
      <c r="A830" s="93" t="s">
        <v>787</v>
      </c>
      <c r="B830" s="94" t="s">
        <v>782</v>
      </c>
      <c r="C830" s="95" t="s">
        <v>76</v>
      </c>
      <c r="D830" s="96" t="s">
        <v>82</v>
      </c>
      <c r="E830" s="97">
        <v>20908</v>
      </c>
      <c r="F830" s="97">
        <v>1954</v>
      </c>
      <c r="G830" s="97">
        <v>3136</v>
      </c>
      <c r="H830" s="114">
        <v>22.955101185577306</v>
      </c>
      <c r="I830" s="125">
        <v>6151</v>
      </c>
      <c r="J830" s="115">
        <v>35.832846120993239</v>
      </c>
    </row>
    <row r="831" spans="1:10" ht="16">
      <c r="A831" s="100" t="s">
        <v>788</v>
      </c>
      <c r="B831" s="101" t="s">
        <v>782</v>
      </c>
      <c r="C831" s="102" t="s">
        <v>76</v>
      </c>
      <c r="D831" s="103" t="s">
        <v>62</v>
      </c>
      <c r="E831" s="104">
        <v>19087</v>
      </c>
      <c r="F831" s="104">
        <v>1704</v>
      </c>
      <c r="G831" s="104">
        <v>2672</v>
      </c>
      <c r="H831" s="116">
        <v>25.890201315968028</v>
      </c>
      <c r="I831" s="126">
        <v>7419</v>
      </c>
      <c r="J831" s="117">
        <v>37.159482623405694</v>
      </c>
    </row>
    <row r="832" spans="1:10" ht="16">
      <c r="A832" s="93" t="s">
        <v>789</v>
      </c>
      <c r="B832" s="94" t="s">
        <v>782</v>
      </c>
      <c r="C832" s="95" t="s">
        <v>76</v>
      </c>
      <c r="D832" s="96" t="s">
        <v>61</v>
      </c>
      <c r="E832" s="97">
        <v>54483</v>
      </c>
      <c r="F832" s="97">
        <v>3186</v>
      </c>
      <c r="G832" s="97">
        <v>3791</v>
      </c>
      <c r="H832" s="114">
        <v>13.417271079006113</v>
      </c>
      <c r="I832" s="125">
        <v>1421</v>
      </c>
      <c r="J832" s="115">
        <v>18.533011436251389</v>
      </c>
    </row>
    <row r="833" spans="1:10" ht="16">
      <c r="A833" s="100" t="s">
        <v>790</v>
      </c>
      <c r="B833" s="101" t="s">
        <v>782</v>
      </c>
      <c r="C833" s="102" t="s">
        <v>107</v>
      </c>
      <c r="D833" s="103" t="s">
        <v>130</v>
      </c>
      <c r="E833" s="104">
        <v>6212</v>
      </c>
      <c r="F833" s="104">
        <v>391</v>
      </c>
      <c r="G833" s="104">
        <v>1056</v>
      </c>
      <c r="H833" s="116">
        <v>30.603163831940506</v>
      </c>
      <c r="I833" s="126">
        <v>8175</v>
      </c>
      <c r="J833" s="117">
        <v>27.483919846138964</v>
      </c>
    </row>
    <row r="834" spans="1:10" ht="16">
      <c r="A834" s="93" t="s">
        <v>791</v>
      </c>
      <c r="B834" s="94" t="s">
        <v>782</v>
      </c>
      <c r="C834" s="95" t="s">
        <v>107</v>
      </c>
      <c r="D834" s="96" t="s">
        <v>63</v>
      </c>
      <c r="E834" s="97">
        <v>6780</v>
      </c>
      <c r="F834" s="97">
        <v>421</v>
      </c>
      <c r="G834" s="97">
        <v>407</v>
      </c>
      <c r="H834" s="114">
        <v>14.115933099072295</v>
      </c>
      <c r="I834" s="125">
        <v>4754</v>
      </c>
      <c r="J834" s="115">
        <v>18.207987200110036</v>
      </c>
    </row>
    <row r="835" spans="1:10" ht="16">
      <c r="A835" s="100" t="s">
        <v>792</v>
      </c>
      <c r="B835" s="101" t="s">
        <v>782</v>
      </c>
      <c r="C835" s="102" t="s">
        <v>76</v>
      </c>
      <c r="D835" s="103" t="s">
        <v>80</v>
      </c>
      <c r="E835" s="104">
        <v>18763</v>
      </c>
      <c r="F835" s="104">
        <v>1165</v>
      </c>
      <c r="G835" s="104">
        <v>375</v>
      </c>
      <c r="H835" s="116">
        <v>13.052794353266197</v>
      </c>
      <c r="I835" s="126">
        <v>10062</v>
      </c>
      <c r="J835" s="117">
        <v>15.413981171275539</v>
      </c>
    </row>
    <row r="836" spans="1:10" ht="16">
      <c r="A836" s="93" t="s">
        <v>793</v>
      </c>
      <c r="B836" s="94" t="s">
        <v>782</v>
      </c>
      <c r="C836" s="95" t="s">
        <v>76</v>
      </c>
      <c r="D836" s="96" t="s">
        <v>59</v>
      </c>
      <c r="E836" s="97">
        <v>12871</v>
      </c>
      <c r="F836" s="97">
        <v>1100</v>
      </c>
      <c r="G836" s="97">
        <v>3218</v>
      </c>
      <c r="H836" s="114">
        <v>21.092117767949489</v>
      </c>
      <c r="I836" s="125">
        <v>1967</v>
      </c>
      <c r="J836" s="115">
        <v>31.275840688175279</v>
      </c>
    </row>
    <row r="837" spans="1:10" ht="16">
      <c r="A837" s="100" t="s">
        <v>1377</v>
      </c>
      <c r="B837" s="101" t="s">
        <v>1288</v>
      </c>
      <c r="C837" s="102" t="s">
        <v>107</v>
      </c>
      <c r="D837" s="103" t="s">
        <v>84</v>
      </c>
      <c r="E837" s="104">
        <v>25849</v>
      </c>
      <c r="F837" s="104">
        <v>1486</v>
      </c>
      <c r="G837" s="104">
        <v>4394</v>
      </c>
      <c r="H837" s="116">
        <v>33.316296410366768</v>
      </c>
      <c r="I837" s="126">
        <v>24211</v>
      </c>
      <c r="J837" s="117">
        <v>37.547446897567823</v>
      </c>
    </row>
    <row r="838" spans="1:10" ht="16">
      <c r="A838" s="93" t="s">
        <v>587</v>
      </c>
      <c r="B838" s="94" t="s">
        <v>581</v>
      </c>
      <c r="C838" s="95" t="s">
        <v>76</v>
      </c>
      <c r="D838" s="96" t="s">
        <v>60</v>
      </c>
      <c r="E838" s="97">
        <v>16861</v>
      </c>
      <c r="F838" s="97">
        <v>937</v>
      </c>
      <c r="G838" s="97">
        <v>3035</v>
      </c>
      <c r="H838" s="114">
        <v>23.187125012296676</v>
      </c>
      <c r="I838" s="125">
        <v>17931</v>
      </c>
      <c r="J838" s="115">
        <v>25.667062821829813</v>
      </c>
    </row>
    <row r="839" spans="1:10" ht="16">
      <c r="A839" s="100" t="s">
        <v>588</v>
      </c>
      <c r="B839" s="101" t="s">
        <v>581</v>
      </c>
      <c r="C839" s="102" t="s">
        <v>76</v>
      </c>
      <c r="D839" s="103" t="s">
        <v>63</v>
      </c>
      <c r="E839" s="104">
        <v>22541</v>
      </c>
      <c r="F839" s="104">
        <v>976</v>
      </c>
      <c r="G839" s="104">
        <v>6537</v>
      </c>
      <c r="H839" s="116">
        <v>36.808775717643378</v>
      </c>
      <c r="I839" s="126">
        <v>26913</v>
      </c>
      <c r="J839" s="117">
        <v>31.116005046088691</v>
      </c>
    </row>
    <row r="840" spans="1:10" ht="16">
      <c r="A840" s="93" t="s">
        <v>1238</v>
      </c>
      <c r="B840" s="94" t="s">
        <v>1190</v>
      </c>
      <c r="C840" s="95" t="s">
        <v>76</v>
      </c>
      <c r="D840" s="96" t="s">
        <v>84</v>
      </c>
      <c r="E840" s="97">
        <v>12399</v>
      </c>
      <c r="F840" s="97">
        <v>790</v>
      </c>
      <c r="G840" s="97">
        <v>4836</v>
      </c>
      <c r="H840" s="114">
        <v>33.888297130041295</v>
      </c>
      <c r="I840" s="125">
        <v>31802</v>
      </c>
      <c r="J840" s="115">
        <v>31.150313508750589</v>
      </c>
    </row>
    <row r="841" spans="1:10" ht="16">
      <c r="A841" s="100" t="s">
        <v>110</v>
      </c>
      <c r="B841" s="101" t="s">
        <v>89</v>
      </c>
      <c r="C841" s="102" t="s">
        <v>107</v>
      </c>
      <c r="D841" s="103" t="s">
        <v>63</v>
      </c>
      <c r="E841" s="104">
        <v>21093</v>
      </c>
      <c r="F841" s="104">
        <v>705</v>
      </c>
      <c r="G841" s="104">
        <v>6117</v>
      </c>
      <c r="H841" s="116">
        <v>41.745406699008818</v>
      </c>
      <c r="I841" s="126">
        <v>39769</v>
      </c>
      <c r="J841" s="117">
        <v>34.315167299232563</v>
      </c>
    </row>
    <row r="842" spans="1:10" ht="16">
      <c r="A842" s="93" t="s">
        <v>866</v>
      </c>
      <c r="B842" s="94" t="s">
        <v>858</v>
      </c>
      <c r="C842" s="95" t="s">
        <v>107</v>
      </c>
      <c r="D842" s="96" t="s">
        <v>60</v>
      </c>
      <c r="E842" s="97">
        <v>24440</v>
      </c>
      <c r="F842" s="97">
        <v>690</v>
      </c>
      <c r="G842" s="97">
        <v>1701</v>
      </c>
      <c r="H842" s="114">
        <v>17.144596631040105</v>
      </c>
      <c r="I842" s="125">
        <v>4725</v>
      </c>
      <c r="J842" s="115">
        <v>18.484250790418692</v>
      </c>
    </row>
    <row r="843" spans="1:10" ht="16">
      <c r="A843" s="100" t="s">
        <v>1378</v>
      </c>
      <c r="B843" s="101" t="s">
        <v>1288</v>
      </c>
      <c r="C843" s="102" t="s">
        <v>76</v>
      </c>
      <c r="D843" s="103" t="s">
        <v>63</v>
      </c>
      <c r="E843" s="104">
        <v>35120</v>
      </c>
      <c r="F843" s="104">
        <v>1561</v>
      </c>
      <c r="G843" s="104">
        <v>1405</v>
      </c>
      <c r="H843" s="116">
        <v>23.392407809696266</v>
      </c>
      <c r="I843" s="126">
        <v>17460</v>
      </c>
      <c r="J843" s="117">
        <v>27.031023026443648</v>
      </c>
    </row>
    <row r="844" spans="1:10" ht="16">
      <c r="A844" s="93" t="s">
        <v>1379</v>
      </c>
      <c r="B844" s="94" t="s">
        <v>1288</v>
      </c>
      <c r="C844" s="95" t="s">
        <v>76</v>
      </c>
      <c r="D844" s="96" t="s">
        <v>63</v>
      </c>
      <c r="E844" s="97">
        <v>16927</v>
      </c>
      <c r="F844" s="97">
        <v>1014</v>
      </c>
      <c r="G844" s="97">
        <v>1016</v>
      </c>
      <c r="H844" s="114">
        <v>33.886281317258117</v>
      </c>
      <c r="I844" s="125">
        <v>32872</v>
      </c>
      <c r="J844" s="115">
        <v>39.688866034179249</v>
      </c>
    </row>
    <row r="845" spans="1:10" ht="16">
      <c r="A845" s="100" t="s">
        <v>1380</v>
      </c>
      <c r="B845" s="101" t="s">
        <v>1288</v>
      </c>
      <c r="C845" s="102" t="s">
        <v>107</v>
      </c>
      <c r="D845" s="103" t="s">
        <v>82</v>
      </c>
      <c r="E845" s="104">
        <v>6729</v>
      </c>
      <c r="F845" s="104">
        <v>413</v>
      </c>
      <c r="G845" s="104">
        <v>538</v>
      </c>
      <c r="H845" s="116">
        <v>22.993858049414456</v>
      </c>
      <c r="I845" s="126">
        <v>13142</v>
      </c>
      <c r="J845" s="117">
        <v>22.816504088365399</v>
      </c>
    </row>
    <row r="846" spans="1:10" ht="16">
      <c r="A846" s="93" t="s">
        <v>1381</v>
      </c>
      <c r="B846" s="94" t="s">
        <v>1288</v>
      </c>
      <c r="C846" s="95" t="s">
        <v>76</v>
      </c>
      <c r="D846" s="96" t="s">
        <v>130</v>
      </c>
      <c r="E846" s="97">
        <v>3593</v>
      </c>
      <c r="F846" s="97">
        <v>413</v>
      </c>
      <c r="G846" s="97">
        <v>180</v>
      </c>
      <c r="H846" s="114">
        <v>25.4520737376059</v>
      </c>
      <c r="I846" s="125">
        <v>18234</v>
      </c>
      <c r="J846" s="115">
        <v>27.65348363169527</v>
      </c>
    </row>
    <row r="847" spans="1:10" ht="16">
      <c r="A847" s="100" t="s">
        <v>194</v>
      </c>
      <c r="B847" s="101" t="s">
        <v>184</v>
      </c>
      <c r="C847" s="102" t="s">
        <v>76</v>
      </c>
      <c r="D847" s="103" t="s">
        <v>61</v>
      </c>
      <c r="E847" s="104">
        <v>31919</v>
      </c>
      <c r="F847" s="104">
        <v>1520</v>
      </c>
      <c r="G847" s="104">
        <v>8299</v>
      </c>
      <c r="H847" s="116">
        <v>49.673046997507605</v>
      </c>
      <c r="I847" s="126">
        <v>34339</v>
      </c>
      <c r="J847" s="117">
        <v>48.7652334569635</v>
      </c>
    </row>
    <row r="848" spans="1:10" ht="16">
      <c r="A848" s="93" t="s">
        <v>897</v>
      </c>
      <c r="B848" s="94" t="s">
        <v>893</v>
      </c>
      <c r="C848" s="95" t="s">
        <v>76</v>
      </c>
      <c r="D848" s="96" t="s">
        <v>59</v>
      </c>
      <c r="E848" s="97">
        <v>7780</v>
      </c>
      <c r="F848" s="97">
        <v>603</v>
      </c>
      <c r="G848" s="97">
        <v>1245</v>
      </c>
      <c r="H848" s="114">
        <v>13.993319128923957</v>
      </c>
      <c r="I848" s="125">
        <v>5482</v>
      </c>
      <c r="J848" s="115">
        <v>17.836866403811108</v>
      </c>
    </row>
    <row r="849" spans="1:10" ht="16">
      <c r="A849" s="100" t="s">
        <v>1032</v>
      </c>
      <c r="B849" s="101" t="s">
        <v>1020</v>
      </c>
      <c r="C849" s="102" t="s">
        <v>76</v>
      </c>
      <c r="D849" s="103" t="s">
        <v>130</v>
      </c>
      <c r="E849" s="104">
        <v>27207</v>
      </c>
      <c r="F849" s="104">
        <v>1479</v>
      </c>
      <c r="G849" s="104">
        <v>2449</v>
      </c>
      <c r="H849" s="116">
        <v>15.457484238617289</v>
      </c>
      <c r="I849" s="126">
        <v>4272</v>
      </c>
      <c r="J849" s="117">
        <v>20.966262173378507</v>
      </c>
    </row>
    <row r="850" spans="1:10" ht="16">
      <c r="A850" s="93" t="s">
        <v>827</v>
      </c>
      <c r="B850" s="94" t="s">
        <v>820</v>
      </c>
      <c r="C850" s="95" t="s">
        <v>76</v>
      </c>
      <c r="D850" s="96" t="s">
        <v>61</v>
      </c>
      <c r="E850" s="97">
        <v>26723</v>
      </c>
      <c r="F850" s="97">
        <v>1979</v>
      </c>
      <c r="G850" s="97">
        <v>4810</v>
      </c>
      <c r="H850" s="114">
        <v>63.951578129193102</v>
      </c>
      <c r="I850" s="125">
        <v>57976</v>
      </c>
      <c r="J850" s="115">
        <v>48.042231501947349</v>
      </c>
    </row>
    <row r="851" spans="1:10" ht="16">
      <c r="A851" s="100" t="s">
        <v>308</v>
      </c>
      <c r="B851" s="101" t="s">
        <v>304</v>
      </c>
      <c r="C851" s="102" t="s">
        <v>76</v>
      </c>
      <c r="D851" s="103" t="s">
        <v>63</v>
      </c>
      <c r="E851" s="104">
        <v>41389</v>
      </c>
      <c r="F851" s="104">
        <v>1725</v>
      </c>
      <c r="G851" s="104">
        <v>2850</v>
      </c>
      <c r="H851" s="116">
        <v>17.58944518294053</v>
      </c>
      <c r="I851" s="126">
        <v>2986</v>
      </c>
      <c r="J851" s="117">
        <v>16.987128920758177</v>
      </c>
    </row>
    <row r="852" spans="1:10" ht="16">
      <c r="A852" s="93" t="s">
        <v>147</v>
      </c>
      <c r="B852" s="94" t="s">
        <v>144</v>
      </c>
      <c r="C852" s="95" t="s">
        <v>76</v>
      </c>
      <c r="D852" s="96" t="s">
        <v>130</v>
      </c>
      <c r="E852" s="97">
        <v>15166</v>
      </c>
      <c r="F852" s="97">
        <v>518</v>
      </c>
      <c r="G852" s="97">
        <v>2578</v>
      </c>
      <c r="H852" s="114">
        <v>44.648312452987099</v>
      </c>
      <c r="I852" s="125">
        <v>33874</v>
      </c>
      <c r="J852" s="115">
        <v>36.356074271776272</v>
      </c>
    </row>
    <row r="853" spans="1:10" ht="16">
      <c r="A853" s="100" t="s">
        <v>1382</v>
      </c>
      <c r="B853" s="101" t="s">
        <v>1288</v>
      </c>
      <c r="C853" s="102" t="s">
        <v>76</v>
      </c>
      <c r="D853" s="103" t="s">
        <v>82</v>
      </c>
      <c r="E853" s="104">
        <v>39124</v>
      </c>
      <c r="F853" s="104">
        <v>2126</v>
      </c>
      <c r="G853" s="104">
        <v>3912</v>
      </c>
      <c r="H853" s="116">
        <v>53.745572402589879</v>
      </c>
      <c r="I853" s="126">
        <v>45925</v>
      </c>
      <c r="J853" s="117">
        <v>52.860698846325654</v>
      </c>
    </row>
    <row r="854" spans="1:10" ht="16">
      <c r="A854" s="93" t="s">
        <v>1383</v>
      </c>
      <c r="B854" s="94" t="s">
        <v>1288</v>
      </c>
      <c r="C854" s="95" t="s">
        <v>76</v>
      </c>
      <c r="D854" s="96" t="s">
        <v>92</v>
      </c>
      <c r="E854" s="97">
        <v>24754</v>
      </c>
      <c r="F854" s="97">
        <v>1250</v>
      </c>
      <c r="G854" s="97">
        <v>1238</v>
      </c>
      <c r="H854" s="114">
        <v>23.374769581159867</v>
      </c>
      <c r="I854" s="125">
        <v>8594</v>
      </c>
      <c r="J854" s="115">
        <v>27.628242749471276</v>
      </c>
    </row>
    <row r="855" spans="1:10" ht="16">
      <c r="A855" s="100" t="s">
        <v>837</v>
      </c>
      <c r="B855" s="101" t="s">
        <v>834</v>
      </c>
      <c r="C855" s="102" t="s">
        <v>76</v>
      </c>
      <c r="D855" s="103" t="s">
        <v>130</v>
      </c>
      <c r="E855" s="104">
        <v>32821</v>
      </c>
      <c r="F855" s="104">
        <v>1485</v>
      </c>
      <c r="G855" s="104">
        <v>10503</v>
      </c>
      <c r="H855" s="116">
        <v>43.954466609950373</v>
      </c>
      <c r="I855" s="126">
        <v>35243</v>
      </c>
      <c r="J855" s="117">
        <v>31.592807103167551</v>
      </c>
    </row>
    <row r="856" spans="1:10" ht="16">
      <c r="A856" s="93" t="s">
        <v>898</v>
      </c>
      <c r="B856" s="94" t="s">
        <v>893</v>
      </c>
      <c r="C856" s="95" t="s">
        <v>76</v>
      </c>
      <c r="D856" s="96" t="s">
        <v>62</v>
      </c>
      <c r="E856" s="97">
        <v>9774</v>
      </c>
      <c r="F856" s="97">
        <v>592</v>
      </c>
      <c r="G856" s="97">
        <v>1173</v>
      </c>
      <c r="H856" s="114">
        <v>25.655391111714291</v>
      </c>
      <c r="I856" s="125">
        <v>10418</v>
      </c>
      <c r="J856" s="115">
        <v>24.983791456716656</v>
      </c>
    </row>
    <row r="857" spans="1:10" ht="16">
      <c r="A857" s="100" t="s">
        <v>577</v>
      </c>
      <c r="B857" s="101" t="s">
        <v>578</v>
      </c>
      <c r="C857" s="102" t="s">
        <v>76</v>
      </c>
      <c r="D857" s="103" t="s">
        <v>63</v>
      </c>
      <c r="E857" s="104">
        <v>66399</v>
      </c>
      <c r="F857" s="104">
        <v>6385</v>
      </c>
      <c r="G857" s="104">
        <v>4620</v>
      </c>
      <c r="H857" s="116">
        <v>8.0024987629383073</v>
      </c>
      <c r="I857" s="126">
        <v>3505</v>
      </c>
      <c r="J857" s="117">
        <v>20.356212244165285</v>
      </c>
    </row>
    <row r="858" spans="1:10" ht="16">
      <c r="A858" s="93" t="s">
        <v>1033</v>
      </c>
      <c r="B858" s="94" t="s">
        <v>1020</v>
      </c>
      <c r="C858" s="95" t="s">
        <v>76</v>
      </c>
      <c r="D858" s="96" t="s">
        <v>80</v>
      </c>
      <c r="E858" s="97">
        <v>46214</v>
      </c>
      <c r="F858" s="97">
        <v>3916</v>
      </c>
      <c r="G858" s="97">
        <v>4621</v>
      </c>
      <c r="H858" s="114">
        <v>32.986957911957127</v>
      </c>
      <c r="I858" s="125">
        <v>28522</v>
      </c>
      <c r="J858" s="115">
        <v>38.224673997943249</v>
      </c>
    </row>
    <row r="859" spans="1:10" ht="16">
      <c r="A859" s="100" t="s">
        <v>607</v>
      </c>
      <c r="B859" s="101" t="s">
        <v>598</v>
      </c>
      <c r="C859" s="102" t="s">
        <v>76</v>
      </c>
      <c r="D859" s="103" t="s">
        <v>60</v>
      </c>
      <c r="E859" s="104">
        <v>29564</v>
      </c>
      <c r="F859" s="104">
        <v>1442</v>
      </c>
      <c r="G859" s="104">
        <v>296</v>
      </c>
      <c r="H859" s="116">
        <v>17.911145883081257</v>
      </c>
      <c r="I859" s="126">
        <v>14952</v>
      </c>
      <c r="J859" s="117">
        <v>17.377554467800692</v>
      </c>
    </row>
    <row r="860" spans="1:10" ht="16">
      <c r="A860" s="93" t="s">
        <v>1073</v>
      </c>
      <c r="B860" s="94" t="s">
        <v>1072</v>
      </c>
      <c r="C860" s="95" t="s">
        <v>76</v>
      </c>
      <c r="D860" s="96" t="s">
        <v>60</v>
      </c>
      <c r="E860" s="97">
        <v>11518</v>
      </c>
      <c r="F860" s="97">
        <v>729</v>
      </c>
      <c r="G860" s="97">
        <v>3110</v>
      </c>
      <c r="H860" s="114">
        <v>41.649035649485079</v>
      </c>
      <c r="I860" s="125">
        <v>37690</v>
      </c>
      <c r="J860" s="115">
        <v>43.212076308693604</v>
      </c>
    </row>
    <row r="861" spans="1:10" ht="16">
      <c r="A861" s="100" t="s">
        <v>1239</v>
      </c>
      <c r="B861" s="101" t="s">
        <v>1190</v>
      </c>
      <c r="C861" s="102" t="s">
        <v>107</v>
      </c>
      <c r="D861" s="103" t="s">
        <v>63</v>
      </c>
      <c r="E861" s="104">
        <v>13825</v>
      </c>
      <c r="F861" s="104">
        <v>843</v>
      </c>
      <c r="G861" s="104">
        <v>4424</v>
      </c>
      <c r="H861" s="116">
        <v>32.008272924132079</v>
      </c>
      <c r="I861" s="126">
        <v>23619</v>
      </c>
      <c r="J861" s="117">
        <v>28.778220574733364</v>
      </c>
    </row>
    <row r="862" spans="1:10" ht="16">
      <c r="A862" s="93" t="s">
        <v>425</v>
      </c>
      <c r="B862" s="94" t="s">
        <v>402</v>
      </c>
      <c r="C862" s="95" t="s">
        <v>107</v>
      </c>
      <c r="D862" s="96" t="s">
        <v>63</v>
      </c>
      <c r="E862" s="97">
        <v>9255</v>
      </c>
      <c r="F862" s="97">
        <v>312</v>
      </c>
      <c r="G862" s="97">
        <v>926</v>
      </c>
      <c r="H862" s="114">
        <v>34.946032118269748</v>
      </c>
      <c r="I862" s="125">
        <v>19337</v>
      </c>
      <c r="J862" s="115">
        <v>35.255154050534365</v>
      </c>
    </row>
    <row r="863" spans="1:10" ht="16">
      <c r="A863" s="100" t="s">
        <v>1240</v>
      </c>
      <c r="B863" s="101" t="s">
        <v>1190</v>
      </c>
      <c r="C863" s="102" t="s">
        <v>76</v>
      </c>
      <c r="D863" s="103" t="s">
        <v>63</v>
      </c>
      <c r="E863" s="104">
        <v>10808</v>
      </c>
      <c r="F863" s="104">
        <v>540</v>
      </c>
      <c r="G863" s="104">
        <v>3675</v>
      </c>
      <c r="H863" s="116">
        <v>14.190215387614048</v>
      </c>
      <c r="I863" s="126">
        <v>4020</v>
      </c>
      <c r="J863" s="117">
        <v>17.817609066719555</v>
      </c>
    </row>
    <row r="864" spans="1:10" ht="16">
      <c r="A864" s="93" t="s">
        <v>899</v>
      </c>
      <c r="B864" s="94" t="s">
        <v>893</v>
      </c>
      <c r="C864" s="95" t="s">
        <v>76</v>
      </c>
      <c r="D864" s="96" t="s">
        <v>60</v>
      </c>
      <c r="E864" s="97">
        <v>7022</v>
      </c>
      <c r="F864" s="97">
        <v>447</v>
      </c>
      <c r="G864" s="97">
        <v>983</v>
      </c>
      <c r="H864" s="114">
        <v>16.578806616226331</v>
      </c>
      <c r="I864" s="125">
        <v>8078</v>
      </c>
      <c r="J864" s="115">
        <v>18.636838777026881</v>
      </c>
    </row>
    <row r="865" spans="1:10" ht="16">
      <c r="A865" s="100" t="s">
        <v>608</v>
      </c>
      <c r="B865" s="101" t="s">
        <v>598</v>
      </c>
      <c r="C865" s="102" t="s">
        <v>76</v>
      </c>
      <c r="D865" s="103" t="s">
        <v>63</v>
      </c>
      <c r="E865" s="104">
        <v>19022</v>
      </c>
      <c r="F865" s="104">
        <v>334</v>
      </c>
      <c r="G865" s="104">
        <v>1332</v>
      </c>
      <c r="H865" s="116">
        <v>21.181446187083139</v>
      </c>
      <c r="I865" s="126">
        <v>12490</v>
      </c>
      <c r="J865" s="117">
        <v>20.105103651125912</v>
      </c>
    </row>
    <row r="866" spans="1:10" ht="16">
      <c r="A866" s="93" t="s">
        <v>853</v>
      </c>
      <c r="B866" s="94" t="s">
        <v>850</v>
      </c>
      <c r="C866" s="95" t="s">
        <v>76</v>
      </c>
      <c r="D866" s="96" t="s">
        <v>82</v>
      </c>
      <c r="E866" s="97">
        <v>14007</v>
      </c>
      <c r="F866" s="97">
        <v>1121</v>
      </c>
      <c r="G866" s="97">
        <v>1961</v>
      </c>
      <c r="H866" s="114">
        <v>30.222594062361853</v>
      </c>
      <c r="I866" s="125">
        <v>27775</v>
      </c>
      <c r="J866" s="115">
        <v>29.733290121563897</v>
      </c>
    </row>
    <row r="867" spans="1:10" ht="16">
      <c r="A867" s="100" t="s">
        <v>1074</v>
      </c>
      <c r="B867" s="101" t="s">
        <v>1072</v>
      </c>
      <c r="C867" s="102" t="s">
        <v>76</v>
      </c>
      <c r="D867" s="103" t="s">
        <v>77</v>
      </c>
      <c r="E867" s="104">
        <v>11090</v>
      </c>
      <c r="F867" s="104">
        <v>672</v>
      </c>
      <c r="G867" s="104">
        <v>1774</v>
      </c>
      <c r="H867" s="116">
        <v>41.389538296825393</v>
      </c>
      <c r="I867" s="126">
        <v>35756</v>
      </c>
      <c r="J867" s="117">
        <v>45.449571144648012</v>
      </c>
    </row>
    <row r="868" spans="1:10" ht="16">
      <c r="A868" s="93" t="s">
        <v>565</v>
      </c>
      <c r="B868" s="94" t="s">
        <v>537</v>
      </c>
      <c r="C868" s="95" t="s">
        <v>76</v>
      </c>
      <c r="D868" s="96" t="s">
        <v>59</v>
      </c>
      <c r="E868" s="97">
        <v>11000</v>
      </c>
      <c r="F868" s="97">
        <v>451</v>
      </c>
      <c r="G868" s="97">
        <v>110</v>
      </c>
      <c r="H868" s="114">
        <v>8.3640883992126849</v>
      </c>
      <c r="I868" s="125">
        <v>746</v>
      </c>
      <c r="J868" s="115">
        <v>17.07072844817954</v>
      </c>
    </row>
    <row r="869" spans="1:10" ht="16">
      <c r="A869" s="100" t="s">
        <v>1241</v>
      </c>
      <c r="B869" s="101" t="s">
        <v>1190</v>
      </c>
      <c r="C869" s="102" t="s">
        <v>76</v>
      </c>
      <c r="D869" s="103" t="s">
        <v>59</v>
      </c>
      <c r="E869" s="104">
        <v>29542</v>
      </c>
      <c r="F869" s="104">
        <v>1906</v>
      </c>
      <c r="G869" s="104">
        <v>8567</v>
      </c>
      <c r="H869" s="116">
        <v>46.238486747171486</v>
      </c>
      <c r="I869" s="126">
        <v>42171</v>
      </c>
      <c r="J869" s="117">
        <v>39.828126957615126</v>
      </c>
    </row>
    <row r="870" spans="1:10" ht="16">
      <c r="A870" s="93" t="s">
        <v>74</v>
      </c>
      <c r="B870" s="94" t="s">
        <v>75</v>
      </c>
      <c r="C870" s="95" t="s">
        <v>76</v>
      </c>
      <c r="D870" s="96" t="s">
        <v>77</v>
      </c>
      <c r="E870" s="97">
        <v>34037</v>
      </c>
      <c r="F870" s="97">
        <v>1389</v>
      </c>
      <c r="G870" s="97">
        <v>340</v>
      </c>
      <c r="H870" s="114">
        <v>7.8555492169273373</v>
      </c>
      <c r="I870" s="125">
        <v>1108</v>
      </c>
      <c r="J870" s="115">
        <v>16.248217415186616</v>
      </c>
    </row>
    <row r="871" spans="1:10" ht="16">
      <c r="A871" s="100" t="s">
        <v>609</v>
      </c>
      <c r="B871" s="101" t="s">
        <v>598</v>
      </c>
      <c r="C871" s="102" t="s">
        <v>76</v>
      </c>
      <c r="D871" s="103" t="s">
        <v>82</v>
      </c>
      <c r="E871" s="104">
        <v>65819</v>
      </c>
      <c r="F871" s="104">
        <v>2742</v>
      </c>
      <c r="G871" s="104">
        <v>7898</v>
      </c>
      <c r="H871" s="116">
        <v>35.563397998204053</v>
      </c>
      <c r="I871" s="126">
        <v>29222</v>
      </c>
      <c r="J871" s="117">
        <v>51.809407741732208</v>
      </c>
    </row>
    <row r="872" spans="1:10" ht="16">
      <c r="A872" s="93" t="s">
        <v>426</v>
      </c>
      <c r="B872" s="94" t="s">
        <v>402</v>
      </c>
      <c r="C872" s="95" t="s">
        <v>76</v>
      </c>
      <c r="D872" s="96" t="s">
        <v>82</v>
      </c>
      <c r="E872" s="97">
        <v>36352</v>
      </c>
      <c r="F872" s="97">
        <v>537</v>
      </c>
      <c r="G872" s="97">
        <v>4726</v>
      </c>
      <c r="H872" s="114">
        <v>47.844988041504202</v>
      </c>
      <c r="I872" s="125">
        <v>41454</v>
      </c>
      <c r="J872" s="115">
        <v>47.880293957047733</v>
      </c>
    </row>
    <row r="873" spans="1:10" ht="16">
      <c r="A873" s="100" t="s">
        <v>389</v>
      </c>
      <c r="B873" s="101" t="s">
        <v>377</v>
      </c>
      <c r="C873" s="102" t="s">
        <v>76</v>
      </c>
      <c r="D873" s="103" t="s">
        <v>84</v>
      </c>
      <c r="E873" s="104">
        <v>54965</v>
      </c>
      <c r="F873" s="104">
        <v>2545</v>
      </c>
      <c r="G873" s="104">
        <v>7145</v>
      </c>
      <c r="H873" s="116">
        <v>23.594586833586551</v>
      </c>
      <c r="I873" s="126">
        <v>15282</v>
      </c>
      <c r="J873" s="117">
        <v>30.660782308295516</v>
      </c>
    </row>
    <row r="874" spans="1:10" ht="16">
      <c r="A874" s="93" t="s">
        <v>1242</v>
      </c>
      <c r="B874" s="94" t="s">
        <v>1190</v>
      </c>
      <c r="C874" s="95" t="s">
        <v>76</v>
      </c>
      <c r="D874" s="96" t="s">
        <v>80</v>
      </c>
      <c r="E874" s="97">
        <v>8917</v>
      </c>
      <c r="F874" s="97">
        <v>504</v>
      </c>
      <c r="G874" s="97">
        <v>2497</v>
      </c>
      <c r="H874" s="114">
        <v>16.58193795882443</v>
      </c>
      <c r="I874" s="125">
        <v>5481</v>
      </c>
      <c r="J874" s="115">
        <v>19.629233392822016</v>
      </c>
    </row>
    <row r="875" spans="1:10" ht="16">
      <c r="A875" s="100" t="s">
        <v>534</v>
      </c>
      <c r="B875" s="101" t="s">
        <v>530</v>
      </c>
      <c r="C875" s="102" t="s">
        <v>76</v>
      </c>
      <c r="D875" s="103" t="s">
        <v>61</v>
      </c>
      <c r="E875" s="104">
        <v>52975</v>
      </c>
      <c r="F875" s="104">
        <v>2803</v>
      </c>
      <c r="G875" s="104">
        <v>530</v>
      </c>
      <c r="H875" s="116">
        <v>9.4620401782578352</v>
      </c>
      <c r="I875" s="126">
        <v>798</v>
      </c>
      <c r="J875" s="117">
        <v>16.643120510024243</v>
      </c>
    </row>
    <row r="876" spans="1:10" ht="16">
      <c r="A876" s="93" t="s">
        <v>427</v>
      </c>
      <c r="B876" s="94" t="s">
        <v>402</v>
      </c>
      <c r="C876" s="95" t="s">
        <v>76</v>
      </c>
      <c r="D876" s="96" t="s">
        <v>130</v>
      </c>
      <c r="E876" s="97">
        <v>18915</v>
      </c>
      <c r="F876" s="97">
        <v>593</v>
      </c>
      <c r="G876" s="97">
        <v>2270</v>
      </c>
      <c r="H876" s="114">
        <v>36.938723941696516</v>
      </c>
      <c r="I876" s="125">
        <v>20293</v>
      </c>
      <c r="J876" s="115">
        <v>37.669615154178352</v>
      </c>
    </row>
    <row r="877" spans="1:10" ht="16">
      <c r="A877" s="100" t="s">
        <v>610</v>
      </c>
      <c r="B877" s="101" t="s">
        <v>598</v>
      </c>
      <c r="C877" s="102" t="s">
        <v>107</v>
      </c>
      <c r="D877" s="103" t="s">
        <v>82</v>
      </c>
      <c r="E877" s="104">
        <v>14206</v>
      </c>
      <c r="F877" s="104">
        <v>522</v>
      </c>
      <c r="G877" s="104">
        <v>994</v>
      </c>
      <c r="H877" s="116">
        <v>17.529053864054692</v>
      </c>
      <c r="I877" s="126">
        <v>12235</v>
      </c>
      <c r="J877" s="117">
        <v>15.648689787155568</v>
      </c>
    </row>
    <row r="878" spans="1:10" ht="16">
      <c r="A878" s="93" t="s">
        <v>1243</v>
      </c>
      <c r="B878" s="94" t="s">
        <v>1190</v>
      </c>
      <c r="C878" s="95" t="s">
        <v>76</v>
      </c>
      <c r="D878" s="96" t="s">
        <v>84</v>
      </c>
      <c r="E878" s="97">
        <v>17155</v>
      </c>
      <c r="F878" s="97">
        <v>953</v>
      </c>
      <c r="G878" s="97">
        <v>3603</v>
      </c>
      <c r="H878" s="114">
        <v>14.616746097902418</v>
      </c>
      <c r="I878" s="125">
        <v>6254</v>
      </c>
      <c r="J878" s="115">
        <v>17.847565263614744</v>
      </c>
    </row>
    <row r="879" spans="1:10" ht="16">
      <c r="A879" s="100" t="s">
        <v>1244</v>
      </c>
      <c r="B879" s="101" t="s">
        <v>1190</v>
      </c>
      <c r="C879" s="102" t="s">
        <v>76</v>
      </c>
      <c r="D879" s="103" t="s">
        <v>60</v>
      </c>
      <c r="E879" s="104">
        <v>21783</v>
      </c>
      <c r="F879" s="104">
        <v>1602</v>
      </c>
      <c r="G879" s="104">
        <v>5881</v>
      </c>
      <c r="H879" s="116">
        <v>48.949874108104645</v>
      </c>
      <c r="I879" s="126">
        <v>46375</v>
      </c>
      <c r="J879" s="117">
        <v>42.32136661004612</v>
      </c>
    </row>
    <row r="880" spans="1:10" ht="16">
      <c r="A880" s="93" t="s">
        <v>195</v>
      </c>
      <c r="B880" s="94" t="s">
        <v>184</v>
      </c>
      <c r="C880" s="95" t="s">
        <v>76</v>
      </c>
      <c r="D880" s="96" t="s">
        <v>84</v>
      </c>
      <c r="E880" s="97">
        <v>52108</v>
      </c>
      <c r="F880" s="97">
        <v>2879</v>
      </c>
      <c r="G880" s="97">
        <v>16675</v>
      </c>
      <c r="H880" s="114">
        <v>73.577088678937642</v>
      </c>
      <c r="I880" s="125">
        <v>67792</v>
      </c>
      <c r="J880" s="115">
        <v>61.693883843175691</v>
      </c>
    </row>
    <row r="881" spans="1:10" ht="16">
      <c r="A881" s="100" t="s">
        <v>916</v>
      </c>
      <c r="B881" s="101" t="s">
        <v>909</v>
      </c>
      <c r="C881" s="102" t="s">
        <v>76</v>
      </c>
      <c r="D881" s="103" t="s">
        <v>60</v>
      </c>
      <c r="E881" s="104">
        <v>30192</v>
      </c>
      <c r="F881" s="104">
        <v>1725</v>
      </c>
      <c r="G881" s="104">
        <v>604</v>
      </c>
      <c r="H881" s="116">
        <v>11.349086736904301</v>
      </c>
      <c r="I881" s="126">
        <v>1642</v>
      </c>
      <c r="J881" s="117">
        <v>19.175160831994209</v>
      </c>
    </row>
    <row r="882" spans="1:10" ht="16">
      <c r="A882" s="93" t="s">
        <v>1034</v>
      </c>
      <c r="B882" s="94" t="s">
        <v>1020</v>
      </c>
      <c r="C882" s="95" t="s">
        <v>76</v>
      </c>
      <c r="D882" s="96" t="s">
        <v>62</v>
      </c>
      <c r="E882" s="97">
        <v>7369</v>
      </c>
      <c r="F882" s="97">
        <v>550</v>
      </c>
      <c r="G882" s="97">
        <v>221</v>
      </c>
      <c r="H882" s="114">
        <v>12.021811807261907</v>
      </c>
      <c r="I882" s="125">
        <v>3159</v>
      </c>
      <c r="J882" s="115">
        <v>21.503502901350437</v>
      </c>
    </row>
    <row r="883" spans="1:10" ht="16">
      <c r="A883" s="100" t="s">
        <v>1035</v>
      </c>
      <c r="B883" s="101" t="s">
        <v>1020</v>
      </c>
      <c r="C883" s="102" t="s">
        <v>76</v>
      </c>
      <c r="D883" s="103" t="s">
        <v>130</v>
      </c>
      <c r="E883" s="104">
        <v>19288</v>
      </c>
      <c r="F883" s="104">
        <v>1010</v>
      </c>
      <c r="G883" s="104">
        <v>1543</v>
      </c>
      <c r="H883" s="116">
        <v>15.780423749455485</v>
      </c>
      <c r="I883" s="126">
        <v>4295</v>
      </c>
      <c r="J883" s="117">
        <v>27.477303523512703</v>
      </c>
    </row>
    <row r="884" spans="1:10" ht="16">
      <c r="A884" s="93" t="s">
        <v>611</v>
      </c>
      <c r="B884" s="94" t="s">
        <v>598</v>
      </c>
      <c r="C884" s="95" t="s">
        <v>76</v>
      </c>
      <c r="D884" s="96" t="s">
        <v>130</v>
      </c>
      <c r="E884" s="97">
        <v>27403</v>
      </c>
      <c r="F884" s="97">
        <v>830</v>
      </c>
      <c r="G884" s="97">
        <v>548</v>
      </c>
      <c r="H884" s="114">
        <v>18.425599600370653</v>
      </c>
      <c r="I884" s="125">
        <v>10523</v>
      </c>
      <c r="J884" s="115">
        <v>18.348401380974437</v>
      </c>
    </row>
    <row r="885" spans="1:10" ht="16">
      <c r="A885" s="100" t="s">
        <v>196</v>
      </c>
      <c r="B885" s="101" t="s">
        <v>184</v>
      </c>
      <c r="C885" s="102" t="s">
        <v>76</v>
      </c>
      <c r="D885" s="103" t="s">
        <v>59</v>
      </c>
      <c r="E885" s="104">
        <v>28560</v>
      </c>
      <c r="F885" s="104">
        <v>1785</v>
      </c>
      <c r="G885" s="104">
        <v>5426</v>
      </c>
      <c r="H885" s="116">
        <v>34.886059815258967</v>
      </c>
      <c r="I885" s="126">
        <v>29018</v>
      </c>
      <c r="J885" s="117">
        <v>34.42488717564099</v>
      </c>
    </row>
    <row r="886" spans="1:10" ht="16">
      <c r="A886" s="93" t="s">
        <v>1384</v>
      </c>
      <c r="B886" s="94" t="s">
        <v>1288</v>
      </c>
      <c r="C886" s="95" t="s">
        <v>107</v>
      </c>
      <c r="D886" s="96" t="s">
        <v>63</v>
      </c>
      <c r="E886" s="97">
        <v>41081</v>
      </c>
      <c r="F886" s="97">
        <v>2999</v>
      </c>
      <c r="G886" s="97">
        <v>6984</v>
      </c>
      <c r="H886" s="114">
        <v>91.286692879898055</v>
      </c>
      <c r="I886" s="125">
        <v>90016</v>
      </c>
      <c r="J886" s="115">
        <v>83.403611790851855</v>
      </c>
    </row>
    <row r="887" spans="1:10" ht="16">
      <c r="A887" s="100" t="s">
        <v>1385</v>
      </c>
      <c r="B887" s="101" t="s">
        <v>1288</v>
      </c>
      <c r="C887" s="102" t="s">
        <v>76</v>
      </c>
      <c r="D887" s="103" t="s">
        <v>62</v>
      </c>
      <c r="E887" s="104">
        <v>39164</v>
      </c>
      <c r="F887" s="104">
        <v>3264</v>
      </c>
      <c r="G887" s="104">
        <v>5483</v>
      </c>
      <c r="H887" s="116">
        <v>67.605121182555251</v>
      </c>
      <c r="I887" s="126">
        <v>55695</v>
      </c>
      <c r="J887" s="117">
        <v>63.071666517454084</v>
      </c>
    </row>
    <row r="888" spans="1:10" ht="16">
      <c r="A888" s="93" t="s">
        <v>1386</v>
      </c>
      <c r="B888" s="94" t="s">
        <v>1288</v>
      </c>
      <c r="C888" s="95" t="s">
        <v>76</v>
      </c>
      <c r="D888" s="96" t="s">
        <v>80</v>
      </c>
      <c r="E888" s="97">
        <v>32706</v>
      </c>
      <c r="F888" s="97">
        <v>1982</v>
      </c>
      <c r="G888" s="97">
        <v>8504</v>
      </c>
      <c r="H888" s="114">
        <v>46.863890009817069</v>
      </c>
      <c r="I888" s="125">
        <v>44217</v>
      </c>
      <c r="J888" s="115">
        <v>43.579188958686196</v>
      </c>
    </row>
    <row r="889" spans="1:10" ht="16">
      <c r="A889" s="100" t="s">
        <v>1387</v>
      </c>
      <c r="B889" s="101" t="s">
        <v>1288</v>
      </c>
      <c r="C889" s="102" t="s">
        <v>76</v>
      </c>
      <c r="D889" s="103" t="s">
        <v>82</v>
      </c>
      <c r="E889" s="104">
        <v>41066</v>
      </c>
      <c r="F889" s="104">
        <v>4369</v>
      </c>
      <c r="G889" s="104">
        <v>6981</v>
      </c>
      <c r="H889" s="116">
        <v>89.127843409048026</v>
      </c>
      <c r="I889" s="126">
        <v>86336</v>
      </c>
      <c r="J889" s="117">
        <v>83.415531508515997</v>
      </c>
    </row>
    <row r="890" spans="1:10" ht="16">
      <c r="A890" s="93" t="s">
        <v>1388</v>
      </c>
      <c r="B890" s="94" t="s">
        <v>1288</v>
      </c>
      <c r="C890" s="95" t="s">
        <v>76</v>
      </c>
      <c r="D890" s="96" t="s">
        <v>59</v>
      </c>
      <c r="E890" s="97">
        <v>7324</v>
      </c>
      <c r="F890" s="97">
        <v>350</v>
      </c>
      <c r="G890" s="97">
        <v>586</v>
      </c>
      <c r="H890" s="114">
        <v>22.2271787960266</v>
      </c>
      <c r="I890" s="125">
        <v>20682</v>
      </c>
      <c r="J890" s="115">
        <v>17.725740181473228</v>
      </c>
    </row>
    <row r="891" spans="1:10" ht="16">
      <c r="A891" s="100" t="s">
        <v>1389</v>
      </c>
      <c r="B891" s="101" t="s">
        <v>1288</v>
      </c>
      <c r="C891" s="102" t="s">
        <v>76</v>
      </c>
      <c r="D891" s="103" t="s">
        <v>60</v>
      </c>
      <c r="E891" s="104">
        <v>22272</v>
      </c>
      <c r="F891" s="104">
        <v>1237</v>
      </c>
      <c r="G891" s="104">
        <v>3118</v>
      </c>
      <c r="H891" s="116">
        <v>30.871480332656965</v>
      </c>
      <c r="I891" s="126">
        <v>26132</v>
      </c>
      <c r="J891" s="117">
        <v>31.743968161746103</v>
      </c>
    </row>
    <row r="892" spans="1:10" ht="16">
      <c r="A892" s="93" t="s">
        <v>1390</v>
      </c>
      <c r="B892" s="94" t="s">
        <v>1288</v>
      </c>
      <c r="C892" s="95" t="s">
        <v>107</v>
      </c>
      <c r="D892" s="96" t="s">
        <v>60</v>
      </c>
      <c r="E892" s="97">
        <v>33579</v>
      </c>
      <c r="F892" s="97">
        <v>2583</v>
      </c>
      <c r="G892" s="97">
        <v>7723</v>
      </c>
      <c r="H892" s="114">
        <v>79.531344433822028</v>
      </c>
      <c r="I892" s="125">
        <v>77275</v>
      </c>
      <c r="J892" s="115">
        <v>63.585205240428948</v>
      </c>
    </row>
    <row r="893" spans="1:10" ht="16">
      <c r="A893" s="100" t="s">
        <v>1391</v>
      </c>
      <c r="B893" s="101" t="s">
        <v>1288</v>
      </c>
      <c r="C893" s="102" t="s">
        <v>76</v>
      </c>
      <c r="D893" s="103" t="s">
        <v>82</v>
      </c>
      <c r="E893" s="104">
        <v>24089</v>
      </c>
      <c r="F893" s="104">
        <v>873</v>
      </c>
      <c r="G893" s="104">
        <v>3854</v>
      </c>
      <c r="H893" s="116">
        <v>63.892688091107686</v>
      </c>
      <c r="I893" s="126">
        <v>61404</v>
      </c>
      <c r="J893" s="117">
        <v>48.156805422350331</v>
      </c>
    </row>
    <row r="894" spans="1:10" ht="16">
      <c r="A894" s="93" t="s">
        <v>1392</v>
      </c>
      <c r="B894" s="94" t="s">
        <v>1288</v>
      </c>
      <c r="C894" s="95" t="s">
        <v>107</v>
      </c>
      <c r="D894" s="96" t="s">
        <v>62</v>
      </c>
      <c r="E894" s="97">
        <v>18783</v>
      </c>
      <c r="F894" s="97">
        <v>817</v>
      </c>
      <c r="G894" s="97">
        <v>1878</v>
      </c>
      <c r="H894" s="114">
        <v>35.660473325912669</v>
      </c>
      <c r="I894" s="125">
        <v>34112</v>
      </c>
      <c r="J894" s="115">
        <v>33.158241271351017</v>
      </c>
    </row>
    <row r="895" spans="1:10" ht="16">
      <c r="A895" s="100" t="s">
        <v>1245</v>
      </c>
      <c r="B895" s="101" t="s">
        <v>1190</v>
      </c>
      <c r="C895" s="102" t="s">
        <v>107</v>
      </c>
      <c r="D895" s="103" t="s">
        <v>130</v>
      </c>
      <c r="E895" s="104">
        <v>18978</v>
      </c>
      <c r="F895" s="104">
        <v>1741</v>
      </c>
      <c r="G895" s="104">
        <v>7022</v>
      </c>
      <c r="H895" s="116">
        <v>98.707783651638863</v>
      </c>
      <c r="I895" s="126">
        <v>94689</v>
      </c>
      <c r="J895" s="117">
        <v>91.682506643012715</v>
      </c>
    </row>
    <row r="896" spans="1:10" ht="16">
      <c r="A896" s="93" t="s">
        <v>175</v>
      </c>
      <c r="B896" s="94" t="s">
        <v>150</v>
      </c>
      <c r="C896" s="95" t="s">
        <v>107</v>
      </c>
      <c r="D896" s="96" t="s">
        <v>82</v>
      </c>
      <c r="E896" s="97">
        <v>28795</v>
      </c>
      <c r="F896" s="97">
        <v>1907</v>
      </c>
      <c r="G896" s="97">
        <v>864</v>
      </c>
      <c r="H896" s="114">
        <v>38.669522422462322</v>
      </c>
      <c r="I896" s="125">
        <v>13318</v>
      </c>
      <c r="J896" s="115">
        <v>45.084690534192539</v>
      </c>
    </row>
    <row r="897" spans="1:10" ht="16">
      <c r="A897" s="100" t="s">
        <v>111</v>
      </c>
      <c r="B897" s="101" t="s">
        <v>89</v>
      </c>
      <c r="C897" s="102" t="s">
        <v>76</v>
      </c>
      <c r="D897" s="103" t="s">
        <v>62</v>
      </c>
      <c r="E897" s="104">
        <v>10823</v>
      </c>
      <c r="F897" s="104">
        <v>299</v>
      </c>
      <c r="G897" s="104">
        <v>3463</v>
      </c>
      <c r="H897" s="116">
        <v>31.794026288059808</v>
      </c>
      <c r="I897" s="126">
        <v>30987</v>
      </c>
      <c r="J897" s="117">
        <v>25.950568456762444</v>
      </c>
    </row>
    <row r="898" spans="1:10" ht="16">
      <c r="A898" s="93" t="s">
        <v>838</v>
      </c>
      <c r="B898" s="94" t="s">
        <v>834</v>
      </c>
      <c r="C898" s="95" t="s">
        <v>107</v>
      </c>
      <c r="D898" s="96" t="s">
        <v>84</v>
      </c>
      <c r="E898" s="97">
        <v>13089</v>
      </c>
      <c r="F898" s="97">
        <v>727</v>
      </c>
      <c r="G898" s="97">
        <v>3141</v>
      </c>
      <c r="H898" s="114">
        <v>27.998942734021039</v>
      </c>
      <c r="I898" s="125">
        <v>19805</v>
      </c>
      <c r="J898" s="115">
        <v>24.836444527694823</v>
      </c>
    </row>
    <row r="899" spans="1:10" ht="16">
      <c r="A899" s="100" t="s">
        <v>980</v>
      </c>
      <c r="B899" s="101" t="s">
        <v>977</v>
      </c>
      <c r="C899" s="102" t="s">
        <v>76</v>
      </c>
      <c r="D899" s="103" t="s">
        <v>63</v>
      </c>
      <c r="E899" s="104">
        <v>21812</v>
      </c>
      <c r="F899" s="104">
        <v>1833</v>
      </c>
      <c r="G899" s="104">
        <v>3708</v>
      </c>
      <c r="H899" s="116">
        <v>43.485225228355944</v>
      </c>
      <c r="I899" s="126">
        <v>38672</v>
      </c>
      <c r="J899" s="117">
        <v>33.245845223452214</v>
      </c>
    </row>
    <row r="900" spans="1:10" ht="16">
      <c r="A900" s="93" t="s">
        <v>1134</v>
      </c>
      <c r="B900" s="94" t="s">
        <v>1135</v>
      </c>
      <c r="C900" s="95" t="s">
        <v>76</v>
      </c>
      <c r="D900" s="96" t="s">
        <v>130</v>
      </c>
      <c r="E900" s="97">
        <v>32088</v>
      </c>
      <c r="F900" s="97">
        <v>3177</v>
      </c>
      <c r="G900" s="97">
        <v>321</v>
      </c>
      <c r="H900" s="114">
        <v>9.0325767843106366</v>
      </c>
      <c r="I900" s="125">
        <v>1698</v>
      </c>
      <c r="J900" s="115">
        <v>19.898849175639352</v>
      </c>
    </row>
    <row r="901" spans="1:10" ht="16">
      <c r="A901" s="100" t="s">
        <v>1036</v>
      </c>
      <c r="B901" s="101" t="s">
        <v>1020</v>
      </c>
      <c r="C901" s="102" t="s">
        <v>76</v>
      </c>
      <c r="D901" s="103" t="s">
        <v>130</v>
      </c>
      <c r="E901" s="104">
        <v>23530</v>
      </c>
      <c r="F901" s="104">
        <v>1705</v>
      </c>
      <c r="G901" s="104">
        <v>1412</v>
      </c>
      <c r="H901" s="116">
        <v>13.196132762161822</v>
      </c>
      <c r="I901" s="126">
        <v>4107</v>
      </c>
      <c r="J901" s="117">
        <v>16.772399409717764</v>
      </c>
    </row>
    <row r="902" spans="1:10" ht="16">
      <c r="A902" s="93" t="s">
        <v>612</v>
      </c>
      <c r="B902" s="94" t="s">
        <v>598</v>
      </c>
      <c r="C902" s="95" t="s">
        <v>76</v>
      </c>
      <c r="D902" s="96" t="s">
        <v>130</v>
      </c>
      <c r="E902" s="97">
        <v>25392</v>
      </c>
      <c r="F902" s="97">
        <v>1245</v>
      </c>
      <c r="G902" s="97">
        <v>508</v>
      </c>
      <c r="H902" s="114">
        <v>17.80018704177299</v>
      </c>
      <c r="I902" s="125">
        <v>12052</v>
      </c>
      <c r="J902" s="115">
        <v>33.962671660525892</v>
      </c>
    </row>
    <row r="903" spans="1:10" ht="16">
      <c r="A903" s="100" t="s">
        <v>176</v>
      </c>
      <c r="B903" s="101" t="s">
        <v>150</v>
      </c>
      <c r="C903" s="102" t="s">
        <v>76</v>
      </c>
      <c r="D903" s="103" t="s">
        <v>59</v>
      </c>
      <c r="E903" s="104">
        <v>17101</v>
      </c>
      <c r="F903" s="104">
        <v>687</v>
      </c>
      <c r="G903" s="104">
        <v>855</v>
      </c>
      <c r="H903" s="116">
        <v>7.8466441475262521</v>
      </c>
      <c r="I903" s="126">
        <v>638</v>
      </c>
      <c r="J903" s="117">
        <v>14.179660458052261</v>
      </c>
    </row>
    <row r="904" spans="1:10" ht="16">
      <c r="A904" s="93" t="s">
        <v>1393</v>
      </c>
      <c r="B904" s="94" t="s">
        <v>1288</v>
      </c>
      <c r="C904" s="95" t="s">
        <v>76</v>
      </c>
      <c r="D904" s="96" t="s">
        <v>80</v>
      </c>
      <c r="E904" s="97">
        <v>56228</v>
      </c>
      <c r="F904" s="97">
        <v>1593</v>
      </c>
      <c r="G904" s="97">
        <v>2249</v>
      </c>
      <c r="H904" s="114">
        <v>29.079741807982899</v>
      </c>
      <c r="I904" s="125">
        <v>14379</v>
      </c>
      <c r="J904" s="115">
        <v>27.218458021007379</v>
      </c>
    </row>
    <row r="905" spans="1:10" ht="16">
      <c r="A905" s="100" t="s">
        <v>1246</v>
      </c>
      <c r="B905" s="101" t="s">
        <v>1190</v>
      </c>
      <c r="C905" s="102" t="s">
        <v>76</v>
      </c>
      <c r="D905" s="103" t="s">
        <v>77</v>
      </c>
      <c r="E905" s="104">
        <v>18824</v>
      </c>
      <c r="F905" s="104">
        <v>1141</v>
      </c>
      <c r="G905" s="104">
        <v>3388</v>
      </c>
      <c r="H905" s="116">
        <v>13.287369818250024</v>
      </c>
      <c r="I905" s="126">
        <v>5081</v>
      </c>
      <c r="J905" s="117">
        <v>15.855914781994437</v>
      </c>
    </row>
    <row r="906" spans="1:10" ht="16">
      <c r="A906" s="93" t="s">
        <v>390</v>
      </c>
      <c r="B906" s="94" t="s">
        <v>377</v>
      </c>
      <c r="C906" s="95" t="s">
        <v>76</v>
      </c>
      <c r="D906" s="96" t="s">
        <v>92</v>
      </c>
      <c r="E906" s="97">
        <v>14867</v>
      </c>
      <c r="F906" s="97">
        <v>912</v>
      </c>
      <c r="G906" s="97">
        <v>2379</v>
      </c>
      <c r="H906" s="114">
        <v>13.815032770133273</v>
      </c>
      <c r="I906" s="125">
        <v>3275</v>
      </c>
      <c r="J906" s="115">
        <v>16.848003436262331</v>
      </c>
    </row>
    <row r="907" spans="1:10" ht="16">
      <c r="A907" s="100" t="s">
        <v>329</v>
      </c>
      <c r="B907" s="101" t="s">
        <v>322</v>
      </c>
      <c r="C907" s="102" t="s">
        <v>76</v>
      </c>
      <c r="D907" s="103" t="s">
        <v>59</v>
      </c>
      <c r="E907" s="104">
        <v>4285</v>
      </c>
      <c r="F907" s="104">
        <v>437</v>
      </c>
      <c r="G907" s="104">
        <v>857</v>
      </c>
      <c r="H907" s="116">
        <v>15.449842497432384</v>
      </c>
      <c r="I907" s="126">
        <v>2684</v>
      </c>
      <c r="J907" s="117">
        <v>25.120118521420434</v>
      </c>
    </row>
    <row r="908" spans="1:10" ht="16">
      <c r="A908" s="93" t="s">
        <v>1247</v>
      </c>
      <c r="B908" s="94" t="s">
        <v>1190</v>
      </c>
      <c r="C908" s="95" t="s">
        <v>76</v>
      </c>
      <c r="D908" s="96" t="s">
        <v>60</v>
      </c>
      <c r="E908" s="97">
        <v>10915</v>
      </c>
      <c r="F908" s="97">
        <v>560</v>
      </c>
      <c r="G908" s="97">
        <v>1201</v>
      </c>
      <c r="H908" s="114">
        <v>13.622064843209488</v>
      </c>
      <c r="I908" s="125">
        <v>3248</v>
      </c>
      <c r="J908" s="115">
        <v>16.225263085666988</v>
      </c>
    </row>
    <row r="909" spans="1:10" ht="16">
      <c r="A909" s="100" t="s">
        <v>1394</v>
      </c>
      <c r="B909" s="101" t="s">
        <v>1288</v>
      </c>
      <c r="C909" s="102" t="s">
        <v>107</v>
      </c>
      <c r="D909" s="103" t="s">
        <v>60</v>
      </c>
      <c r="E909" s="104">
        <v>13833</v>
      </c>
      <c r="F909" s="104">
        <v>2427</v>
      </c>
      <c r="G909" s="104">
        <v>3873</v>
      </c>
      <c r="H909" s="116">
        <v>92.368919335059047</v>
      </c>
      <c r="I909" s="126">
        <v>88504</v>
      </c>
      <c r="J909" s="117">
        <v>89.741693643673358</v>
      </c>
    </row>
    <row r="910" spans="1:10" ht="16">
      <c r="A910" s="93" t="s">
        <v>216</v>
      </c>
      <c r="B910" s="94" t="s">
        <v>212</v>
      </c>
      <c r="C910" s="95" t="s">
        <v>107</v>
      </c>
      <c r="D910" s="96" t="s">
        <v>60</v>
      </c>
      <c r="E910" s="97">
        <v>35447</v>
      </c>
      <c r="F910" s="97">
        <v>2363</v>
      </c>
      <c r="G910" s="97">
        <v>2127</v>
      </c>
      <c r="H910" s="114">
        <v>17.107831747504768</v>
      </c>
      <c r="I910" s="125">
        <v>5875</v>
      </c>
      <c r="J910" s="115">
        <v>23.538779017046732</v>
      </c>
    </row>
    <row r="911" spans="1:10" ht="16">
      <c r="A911" s="100" t="s">
        <v>1395</v>
      </c>
      <c r="B911" s="101" t="s">
        <v>1288</v>
      </c>
      <c r="C911" s="102" t="s">
        <v>76</v>
      </c>
      <c r="D911" s="103" t="s">
        <v>61</v>
      </c>
      <c r="E911" s="104">
        <v>28434</v>
      </c>
      <c r="F911" s="104">
        <v>1394</v>
      </c>
      <c r="G911" s="104">
        <v>2559</v>
      </c>
      <c r="H911" s="116">
        <v>31.637758194047656</v>
      </c>
      <c r="I911" s="126">
        <v>25959</v>
      </c>
      <c r="J911" s="117">
        <v>36.0594122451731</v>
      </c>
    </row>
    <row r="912" spans="1:10" ht="16">
      <c r="A912" s="93" t="s">
        <v>391</v>
      </c>
      <c r="B912" s="94" t="s">
        <v>377</v>
      </c>
      <c r="C912" s="95" t="s">
        <v>76</v>
      </c>
      <c r="D912" s="96" t="s">
        <v>84</v>
      </c>
      <c r="E912" s="97">
        <v>34644</v>
      </c>
      <c r="F912" s="97">
        <v>1843</v>
      </c>
      <c r="G912" s="97">
        <v>4504</v>
      </c>
      <c r="H912" s="114">
        <v>10.701472324135411</v>
      </c>
      <c r="I912" s="125">
        <v>5788</v>
      </c>
      <c r="J912" s="115">
        <v>19.443703612780606</v>
      </c>
    </row>
    <row r="913" spans="1:10" ht="16">
      <c r="A913" s="100" t="s">
        <v>900</v>
      </c>
      <c r="B913" s="101" t="s">
        <v>893</v>
      </c>
      <c r="C913" s="102" t="s">
        <v>76</v>
      </c>
      <c r="D913" s="103" t="s">
        <v>80</v>
      </c>
      <c r="E913" s="104">
        <v>21404</v>
      </c>
      <c r="F913" s="104">
        <v>1216</v>
      </c>
      <c r="G913" s="104">
        <v>4067</v>
      </c>
      <c r="H913" s="116">
        <v>28.322542874956316</v>
      </c>
      <c r="I913" s="126">
        <v>13430</v>
      </c>
      <c r="J913" s="117">
        <v>23.703804914527993</v>
      </c>
    </row>
    <row r="914" spans="1:10" ht="16">
      <c r="A914" s="93" t="s">
        <v>428</v>
      </c>
      <c r="B914" s="94" t="s">
        <v>402</v>
      </c>
      <c r="C914" s="95" t="s">
        <v>76</v>
      </c>
      <c r="D914" s="96" t="s">
        <v>77</v>
      </c>
      <c r="E914" s="97">
        <v>36965</v>
      </c>
      <c r="F914" s="97">
        <v>1013</v>
      </c>
      <c r="G914" s="97">
        <v>5914</v>
      </c>
      <c r="H914" s="114">
        <v>43.038699862476712</v>
      </c>
      <c r="I914" s="125">
        <v>35073</v>
      </c>
      <c r="J914" s="115">
        <v>44.319440635942762</v>
      </c>
    </row>
    <row r="915" spans="1:10" ht="16">
      <c r="A915" s="100" t="s">
        <v>1058</v>
      </c>
      <c r="B915" s="101" t="s">
        <v>1059</v>
      </c>
      <c r="C915" s="102" t="s">
        <v>76</v>
      </c>
      <c r="D915" s="103" t="s">
        <v>60</v>
      </c>
      <c r="E915" s="104">
        <v>22322</v>
      </c>
      <c r="F915" s="104">
        <v>754</v>
      </c>
      <c r="G915" s="104">
        <v>223</v>
      </c>
      <c r="H915" s="116">
        <v>8.1163150632012293</v>
      </c>
      <c r="I915" s="126">
        <v>1141</v>
      </c>
      <c r="J915" s="117">
        <v>13.79825449492183</v>
      </c>
    </row>
    <row r="916" spans="1:10" ht="16">
      <c r="A916" s="93" t="s">
        <v>1396</v>
      </c>
      <c r="B916" s="94" t="s">
        <v>1288</v>
      </c>
      <c r="C916" s="95" t="s">
        <v>107</v>
      </c>
      <c r="D916" s="96" t="s">
        <v>61</v>
      </c>
      <c r="E916" s="97">
        <v>33186</v>
      </c>
      <c r="F916" s="97">
        <v>2036</v>
      </c>
      <c r="G916" s="97">
        <v>3650</v>
      </c>
      <c r="H916" s="114">
        <v>45.651975706425112</v>
      </c>
      <c r="I916" s="125">
        <v>42457</v>
      </c>
      <c r="J916" s="115">
        <v>45.656839301698568</v>
      </c>
    </row>
    <row r="917" spans="1:10" ht="16">
      <c r="A917" s="100" t="s">
        <v>1397</v>
      </c>
      <c r="B917" s="101" t="s">
        <v>1288</v>
      </c>
      <c r="C917" s="102" t="s">
        <v>76</v>
      </c>
      <c r="D917" s="103" t="s">
        <v>92</v>
      </c>
      <c r="E917" s="104">
        <v>32446</v>
      </c>
      <c r="F917" s="104">
        <v>2135</v>
      </c>
      <c r="G917" s="104">
        <v>2920</v>
      </c>
      <c r="H917" s="116">
        <v>30.660872340483486</v>
      </c>
      <c r="I917" s="126">
        <v>18090</v>
      </c>
      <c r="J917" s="117">
        <v>36.55387611894858</v>
      </c>
    </row>
    <row r="918" spans="1:10" ht="16">
      <c r="A918" s="93" t="s">
        <v>78</v>
      </c>
      <c r="B918" s="94" t="s">
        <v>75</v>
      </c>
      <c r="C918" s="95" t="s">
        <v>76</v>
      </c>
      <c r="D918" s="96" t="s">
        <v>62</v>
      </c>
      <c r="E918" s="97">
        <v>35382</v>
      </c>
      <c r="F918" s="97">
        <v>1726</v>
      </c>
      <c r="G918" s="97">
        <v>1769</v>
      </c>
      <c r="H918" s="114">
        <v>7.6842837291732033</v>
      </c>
      <c r="I918" s="125">
        <v>669</v>
      </c>
      <c r="J918" s="115">
        <v>19.986371595759358</v>
      </c>
    </row>
    <row r="919" spans="1:10" ht="16">
      <c r="A919" s="100" t="s">
        <v>341</v>
      </c>
      <c r="B919" s="101" t="s">
        <v>336</v>
      </c>
      <c r="C919" s="102" t="s">
        <v>76</v>
      </c>
      <c r="D919" s="103" t="s">
        <v>63</v>
      </c>
      <c r="E919" s="104">
        <v>31219</v>
      </c>
      <c r="F919" s="104">
        <v>7260</v>
      </c>
      <c r="G919" s="104">
        <v>5307</v>
      </c>
      <c r="H919" s="116">
        <v>44.37706340189078</v>
      </c>
      <c r="I919" s="126">
        <v>39576</v>
      </c>
      <c r="J919" s="117">
        <v>48.827200462271186</v>
      </c>
    </row>
    <row r="920" spans="1:10" ht="16">
      <c r="A920" s="93" t="s">
        <v>311</v>
      </c>
      <c r="B920" s="94" t="s">
        <v>312</v>
      </c>
      <c r="C920" s="95" t="s">
        <v>76</v>
      </c>
      <c r="D920" s="96" t="s">
        <v>77</v>
      </c>
      <c r="E920" s="97">
        <v>33900</v>
      </c>
      <c r="F920" s="97">
        <v>2245</v>
      </c>
      <c r="G920" s="97">
        <v>678</v>
      </c>
      <c r="H920" s="114">
        <v>8.1674492670413734</v>
      </c>
      <c r="I920" s="125">
        <v>6220</v>
      </c>
      <c r="J920" s="115">
        <v>16.924595713665198</v>
      </c>
    </row>
    <row r="921" spans="1:10" ht="16">
      <c r="A921" s="100" t="s">
        <v>453</v>
      </c>
      <c r="B921" s="101" t="s">
        <v>448</v>
      </c>
      <c r="C921" s="102" t="s">
        <v>76</v>
      </c>
      <c r="D921" s="103" t="s">
        <v>92</v>
      </c>
      <c r="E921" s="104">
        <v>13321</v>
      </c>
      <c r="F921" s="104">
        <v>569</v>
      </c>
      <c r="G921" s="104">
        <v>533</v>
      </c>
      <c r="H921" s="116">
        <v>20.799207223351697</v>
      </c>
      <c r="I921" s="126">
        <v>18434</v>
      </c>
      <c r="J921" s="117">
        <v>18.676820343671935</v>
      </c>
    </row>
    <row r="922" spans="1:10" ht="16">
      <c r="A922" s="93" t="s">
        <v>320</v>
      </c>
      <c r="B922" s="94" t="s">
        <v>319</v>
      </c>
      <c r="C922" s="95" t="s">
        <v>76</v>
      </c>
      <c r="D922" s="96" t="s">
        <v>92</v>
      </c>
      <c r="E922" s="97">
        <v>6635</v>
      </c>
      <c r="F922" s="97">
        <v>302</v>
      </c>
      <c r="G922" s="97">
        <v>730</v>
      </c>
      <c r="H922" s="114">
        <v>25.571851561027959</v>
      </c>
      <c r="I922" s="125">
        <v>15388</v>
      </c>
      <c r="J922" s="115">
        <v>24.762421999297345</v>
      </c>
    </row>
    <row r="923" spans="1:10" ht="16">
      <c r="A923" s="100" t="s">
        <v>1117</v>
      </c>
      <c r="B923" s="101" t="s">
        <v>1118</v>
      </c>
      <c r="C923" s="102" t="s">
        <v>107</v>
      </c>
      <c r="D923" s="103" t="s">
        <v>63</v>
      </c>
      <c r="E923" s="104">
        <v>30139</v>
      </c>
      <c r="F923" s="104">
        <v>1578</v>
      </c>
      <c r="G923" s="104">
        <v>478</v>
      </c>
      <c r="H923" s="116">
        <v>7.6138001931552193</v>
      </c>
      <c r="I923" s="126">
        <v>1523</v>
      </c>
      <c r="J923" s="117">
        <v>14.499965672018126</v>
      </c>
    </row>
    <row r="924" spans="1:10" ht="16">
      <c r="A924" s="93" t="s">
        <v>469</v>
      </c>
      <c r="B924" s="94" t="s">
        <v>466</v>
      </c>
      <c r="C924" s="95" t="s">
        <v>76</v>
      </c>
      <c r="D924" s="96" t="s">
        <v>130</v>
      </c>
      <c r="E924" s="97">
        <v>26771</v>
      </c>
      <c r="F924" s="97">
        <v>2250</v>
      </c>
      <c r="G924" s="97">
        <v>4819</v>
      </c>
      <c r="H924" s="114">
        <v>10.617812099592218</v>
      </c>
      <c r="I924" s="125">
        <v>3001</v>
      </c>
      <c r="J924" s="115">
        <v>20.780104664808999</v>
      </c>
    </row>
    <row r="925" spans="1:10" ht="16">
      <c r="A925" s="100" t="s">
        <v>1398</v>
      </c>
      <c r="B925" s="101" t="s">
        <v>1288</v>
      </c>
      <c r="C925" s="102" t="s">
        <v>76</v>
      </c>
      <c r="D925" s="103" t="s">
        <v>60</v>
      </c>
      <c r="E925" s="104">
        <v>20566</v>
      </c>
      <c r="F925" s="104">
        <v>1210</v>
      </c>
      <c r="G925" s="104">
        <v>2057</v>
      </c>
      <c r="H925" s="116">
        <v>38.744279631939563</v>
      </c>
      <c r="I925" s="126">
        <v>27455</v>
      </c>
      <c r="J925" s="117">
        <v>28.726797640472402</v>
      </c>
    </row>
    <row r="926" spans="1:10" ht="16">
      <c r="A926" s="93" t="s">
        <v>525</v>
      </c>
      <c r="B926" s="94" t="s">
        <v>474</v>
      </c>
      <c r="C926" s="95" t="s">
        <v>107</v>
      </c>
      <c r="D926" s="96" t="s">
        <v>82</v>
      </c>
      <c r="E926" s="97">
        <v>24547</v>
      </c>
      <c r="F926" s="97">
        <v>1067</v>
      </c>
      <c r="G926" s="97">
        <v>245</v>
      </c>
      <c r="H926" s="114">
        <v>17.830632917279459</v>
      </c>
      <c r="I926" s="125">
        <v>7631</v>
      </c>
      <c r="J926" s="115">
        <v>38.509083607766179</v>
      </c>
    </row>
    <row r="927" spans="1:10" ht="16">
      <c r="A927" s="100" t="s">
        <v>1399</v>
      </c>
      <c r="B927" s="101" t="s">
        <v>1288</v>
      </c>
      <c r="C927" s="102" t="s">
        <v>76</v>
      </c>
      <c r="D927" s="103" t="s">
        <v>60</v>
      </c>
      <c r="E927" s="104">
        <v>9535</v>
      </c>
      <c r="F927" s="104">
        <v>733</v>
      </c>
      <c r="G927" s="104">
        <v>858</v>
      </c>
      <c r="H927" s="116">
        <v>22.803495275440962</v>
      </c>
      <c r="I927" s="126">
        <v>16919</v>
      </c>
      <c r="J927" s="117">
        <v>41.38165353421163</v>
      </c>
    </row>
    <row r="928" spans="1:10" ht="16">
      <c r="A928" s="93" t="s">
        <v>1248</v>
      </c>
      <c r="B928" s="94" t="s">
        <v>1190</v>
      </c>
      <c r="C928" s="95" t="s">
        <v>76</v>
      </c>
      <c r="D928" s="96" t="s">
        <v>82</v>
      </c>
      <c r="E928" s="97">
        <v>13502</v>
      </c>
      <c r="F928" s="97">
        <v>888</v>
      </c>
      <c r="G928" s="97">
        <v>1755</v>
      </c>
      <c r="H928" s="114">
        <v>11.172906578074343</v>
      </c>
      <c r="I928" s="125">
        <v>3342</v>
      </c>
      <c r="J928" s="115">
        <v>16.836866100902949</v>
      </c>
    </row>
    <row r="929" spans="1:10" ht="16">
      <c r="A929" s="100" t="s">
        <v>217</v>
      </c>
      <c r="B929" s="101" t="s">
        <v>212</v>
      </c>
      <c r="C929" s="102" t="s">
        <v>76</v>
      </c>
      <c r="D929" s="103" t="s">
        <v>63</v>
      </c>
      <c r="E929" s="104">
        <v>15384</v>
      </c>
      <c r="F929" s="104">
        <v>810</v>
      </c>
      <c r="G929" s="104">
        <v>615</v>
      </c>
      <c r="H929" s="116">
        <v>8.9985686421903495</v>
      </c>
      <c r="I929" s="126">
        <v>8789</v>
      </c>
      <c r="J929" s="117">
        <v>14.398912281720813</v>
      </c>
    </row>
    <row r="930" spans="1:10" ht="16">
      <c r="A930" s="93" t="s">
        <v>1037</v>
      </c>
      <c r="B930" s="94" t="s">
        <v>1020</v>
      </c>
      <c r="C930" s="95" t="s">
        <v>76</v>
      </c>
      <c r="D930" s="96" t="s">
        <v>59</v>
      </c>
      <c r="E930" s="97">
        <v>9209</v>
      </c>
      <c r="F930" s="97">
        <v>422</v>
      </c>
      <c r="G930" s="97">
        <v>1013</v>
      </c>
      <c r="H930" s="114">
        <v>18.306303216219096</v>
      </c>
      <c r="I930" s="125">
        <v>7033</v>
      </c>
      <c r="J930" s="115">
        <v>22.046459605968519</v>
      </c>
    </row>
    <row r="931" spans="1:10" ht="16">
      <c r="A931" s="100" t="s">
        <v>139</v>
      </c>
      <c r="B931" s="101" t="s">
        <v>140</v>
      </c>
      <c r="C931" s="102" t="s">
        <v>107</v>
      </c>
      <c r="D931" s="103" t="s">
        <v>80</v>
      </c>
      <c r="E931" s="104">
        <v>34108</v>
      </c>
      <c r="F931" s="104">
        <v>2186</v>
      </c>
      <c r="G931" s="104">
        <v>1705</v>
      </c>
      <c r="H931" s="116">
        <v>9.448135353263595</v>
      </c>
      <c r="I931" s="126">
        <v>1486</v>
      </c>
      <c r="J931" s="117">
        <v>16.234845700104763</v>
      </c>
    </row>
    <row r="932" spans="1:10" ht="16">
      <c r="A932" s="93" t="s">
        <v>429</v>
      </c>
      <c r="B932" s="94" t="s">
        <v>402</v>
      </c>
      <c r="C932" s="95" t="s">
        <v>107</v>
      </c>
      <c r="D932" s="96" t="s">
        <v>77</v>
      </c>
      <c r="E932" s="97">
        <v>42698</v>
      </c>
      <c r="F932" s="97">
        <v>806</v>
      </c>
      <c r="G932" s="97">
        <v>8113</v>
      </c>
      <c r="H932" s="114">
        <v>33.254364846112011</v>
      </c>
      <c r="I932" s="125">
        <v>30182</v>
      </c>
      <c r="J932" s="115">
        <v>35.039089934271786</v>
      </c>
    </row>
    <row r="933" spans="1:10" ht="16">
      <c r="A933" s="100" t="s">
        <v>1249</v>
      </c>
      <c r="B933" s="101" t="s">
        <v>1190</v>
      </c>
      <c r="C933" s="102" t="s">
        <v>76</v>
      </c>
      <c r="D933" s="103" t="s">
        <v>92</v>
      </c>
      <c r="E933" s="104">
        <v>12122</v>
      </c>
      <c r="F933" s="104">
        <v>689</v>
      </c>
      <c r="G933" s="104">
        <v>2667</v>
      </c>
      <c r="H933" s="116">
        <v>31.562141478130599</v>
      </c>
      <c r="I933" s="126">
        <v>28329</v>
      </c>
      <c r="J933" s="117">
        <v>25.046830098013654</v>
      </c>
    </row>
    <row r="934" spans="1:10" ht="16">
      <c r="A934" s="93" t="s">
        <v>1250</v>
      </c>
      <c r="B934" s="94" t="s">
        <v>1190</v>
      </c>
      <c r="C934" s="95" t="s">
        <v>76</v>
      </c>
      <c r="D934" s="96" t="s">
        <v>62</v>
      </c>
      <c r="E934" s="97">
        <v>15195</v>
      </c>
      <c r="F934" s="97">
        <v>1093</v>
      </c>
      <c r="G934" s="97">
        <v>4255</v>
      </c>
      <c r="H934" s="114">
        <v>30.4075939772484</v>
      </c>
      <c r="I934" s="125">
        <v>29380</v>
      </c>
      <c r="J934" s="115">
        <v>28.397274534048375</v>
      </c>
    </row>
    <row r="935" spans="1:10" ht="16">
      <c r="A935" s="100" t="s">
        <v>1251</v>
      </c>
      <c r="B935" s="101" t="s">
        <v>1190</v>
      </c>
      <c r="C935" s="102" t="s">
        <v>76</v>
      </c>
      <c r="D935" s="103" t="s">
        <v>62</v>
      </c>
      <c r="E935" s="104">
        <v>10302</v>
      </c>
      <c r="F935" s="104">
        <v>599</v>
      </c>
      <c r="G935" s="104">
        <v>3091</v>
      </c>
      <c r="H935" s="116">
        <v>15.208406339668379</v>
      </c>
      <c r="I935" s="126">
        <v>4816</v>
      </c>
      <c r="J935" s="117">
        <v>20.75671062150721</v>
      </c>
    </row>
    <row r="936" spans="1:10" ht="16">
      <c r="A936" s="93" t="s">
        <v>372</v>
      </c>
      <c r="B936" s="94" t="s">
        <v>369</v>
      </c>
      <c r="C936" s="95" t="s">
        <v>76</v>
      </c>
      <c r="D936" s="96" t="s">
        <v>130</v>
      </c>
      <c r="E936" s="97">
        <v>11630</v>
      </c>
      <c r="F936" s="97">
        <v>629</v>
      </c>
      <c r="G936" s="97">
        <v>698</v>
      </c>
      <c r="H936" s="114">
        <v>28.798208182196436</v>
      </c>
      <c r="I936" s="125">
        <v>19794</v>
      </c>
      <c r="J936" s="115">
        <v>25.547433556663851</v>
      </c>
    </row>
    <row r="937" spans="1:10" ht="16">
      <c r="A937" s="100" t="s">
        <v>330</v>
      </c>
      <c r="B937" s="101" t="s">
        <v>322</v>
      </c>
      <c r="C937" s="102" t="s">
        <v>76</v>
      </c>
      <c r="D937" s="103" t="s">
        <v>130</v>
      </c>
      <c r="E937" s="104">
        <v>14011</v>
      </c>
      <c r="F937" s="104">
        <v>499</v>
      </c>
      <c r="G937" s="104">
        <v>3223</v>
      </c>
      <c r="H937" s="116">
        <v>13.576264479469012</v>
      </c>
      <c r="I937" s="126">
        <v>785</v>
      </c>
      <c r="J937" s="117">
        <v>19.897760768937754</v>
      </c>
    </row>
    <row r="938" spans="1:10" ht="16">
      <c r="A938" s="93" t="s">
        <v>1252</v>
      </c>
      <c r="B938" s="94" t="s">
        <v>1190</v>
      </c>
      <c r="C938" s="95" t="s">
        <v>76</v>
      </c>
      <c r="D938" s="96" t="s">
        <v>60</v>
      </c>
      <c r="E938" s="97">
        <v>29433</v>
      </c>
      <c r="F938" s="97">
        <v>2299</v>
      </c>
      <c r="G938" s="97">
        <v>12068</v>
      </c>
      <c r="H938" s="114">
        <v>74.965695995158839</v>
      </c>
      <c r="I938" s="125">
        <v>71522</v>
      </c>
      <c r="J938" s="115">
        <v>68.057110269457297</v>
      </c>
    </row>
    <row r="939" spans="1:10" ht="16">
      <c r="A939" s="100" t="s">
        <v>288</v>
      </c>
      <c r="B939" s="101" t="s">
        <v>223</v>
      </c>
      <c r="C939" s="102" t="s">
        <v>107</v>
      </c>
      <c r="D939" s="103" t="s">
        <v>84</v>
      </c>
      <c r="E939" s="104">
        <v>33242</v>
      </c>
      <c r="F939" s="104">
        <v>2027</v>
      </c>
      <c r="G939" s="104">
        <v>1330</v>
      </c>
      <c r="H939" s="116">
        <v>22.480886345115298</v>
      </c>
      <c r="I939" s="126">
        <v>12284</v>
      </c>
      <c r="J939" s="117">
        <v>24.15538803983333</v>
      </c>
    </row>
    <row r="940" spans="1:10" ht="16">
      <c r="A940" s="93" t="s">
        <v>867</v>
      </c>
      <c r="B940" s="94" t="s">
        <v>858</v>
      </c>
      <c r="C940" s="95" t="s">
        <v>107</v>
      </c>
      <c r="D940" s="96" t="s">
        <v>84</v>
      </c>
      <c r="E940" s="97">
        <v>14654</v>
      </c>
      <c r="F940" s="97">
        <v>1011</v>
      </c>
      <c r="G940" s="97">
        <v>293</v>
      </c>
      <c r="H940" s="114">
        <v>9.6055933703879699</v>
      </c>
      <c r="I940" s="125">
        <v>1884</v>
      </c>
      <c r="J940" s="115">
        <v>15.746518914308439</v>
      </c>
    </row>
    <row r="941" spans="1:10" ht="16">
      <c r="A941" s="100" t="s">
        <v>430</v>
      </c>
      <c r="B941" s="101" t="s">
        <v>402</v>
      </c>
      <c r="C941" s="102" t="s">
        <v>107</v>
      </c>
      <c r="D941" s="103" t="s">
        <v>62</v>
      </c>
      <c r="E941" s="104">
        <v>38111</v>
      </c>
      <c r="F941" s="104">
        <v>669</v>
      </c>
      <c r="G941" s="104">
        <v>4573</v>
      </c>
      <c r="H941" s="116">
        <v>46.210182917105826</v>
      </c>
      <c r="I941" s="126">
        <v>34547</v>
      </c>
      <c r="J941" s="117">
        <v>41.155918733117176</v>
      </c>
    </row>
    <row r="942" spans="1:10" ht="16">
      <c r="A942" s="93" t="s">
        <v>1253</v>
      </c>
      <c r="B942" s="94" t="s">
        <v>1190</v>
      </c>
      <c r="C942" s="95" t="s">
        <v>76</v>
      </c>
      <c r="D942" s="96" t="s">
        <v>61</v>
      </c>
      <c r="E942" s="97">
        <v>11923</v>
      </c>
      <c r="F942" s="97">
        <v>741</v>
      </c>
      <c r="G942" s="97">
        <v>4650</v>
      </c>
      <c r="H942" s="114">
        <v>35.060022105102071</v>
      </c>
      <c r="I942" s="125">
        <v>23580</v>
      </c>
      <c r="J942" s="115">
        <v>32.029854500184648</v>
      </c>
    </row>
    <row r="943" spans="1:10" ht="16">
      <c r="A943" s="100" t="s">
        <v>1254</v>
      </c>
      <c r="B943" s="101" t="s">
        <v>1190</v>
      </c>
      <c r="C943" s="102" t="s">
        <v>76</v>
      </c>
      <c r="D943" s="103" t="s">
        <v>130</v>
      </c>
      <c r="E943" s="104">
        <v>21451</v>
      </c>
      <c r="F943" s="104">
        <v>1219</v>
      </c>
      <c r="G943" s="104">
        <v>6006</v>
      </c>
      <c r="H943" s="116">
        <v>39.653766893648395</v>
      </c>
      <c r="I943" s="126">
        <v>36050</v>
      </c>
      <c r="J943" s="117">
        <v>34.84127475501581</v>
      </c>
    </row>
    <row r="944" spans="1:10" ht="16">
      <c r="A944" s="93" t="s">
        <v>613</v>
      </c>
      <c r="B944" s="94" t="s">
        <v>598</v>
      </c>
      <c r="C944" s="95" t="s">
        <v>76</v>
      </c>
      <c r="D944" s="96" t="s">
        <v>130</v>
      </c>
      <c r="E944" s="97">
        <v>14644</v>
      </c>
      <c r="F944" s="97">
        <v>581</v>
      </c>
      <c r="G944" s="97">
        <v>1025</v>
      </c>
      <c r="H944" s="114">
        <v>20.297804577882566</v>
      </c>
      <c r="I944" s="125">
        <v>15229</v>
      </c>
      <c r="J944" s="115">
        <v>21.613540885049236</v>
      </c>
    </row>
    <row r="945" spans="1:10" ht="16">
      <c r="A945" s="100" t="s">
        <v>614</v>
      </c>
      <c r="B945" s="101" t="s">
        <v>598</v>
      </c>
      <c r="C945" s="102" t="s">
        <v>76</v>
      </c>
      <c r="D945" s="103" t="s">
        <v>80</v>
      </c>
      <c r="E945" s="104">
        <v>34686</v>
      </c>
      <c r="F945" s="104">
        <v>1700</v>
      </c>
      <c r="G945" s="104">
        <v>3815</v>
      </c>
      <c r="H945" s="116">
        <v>25.4833320206736</v>
      </c>
      <c r="I945" s="126">
        <v>16550</v>
      </c>
      <c r="J945" s="117">
        <v>38.136507537864858</v>
      </c>
    </row>
    <row r="946" spans="1:10" ht="16">
      <c r="A946" s="93" t="s">
        <v>1400</v>
      </c>
      <c r="B946" s="94" t="s">
        <v>1288</v>
      </c>
      <c r="C946" s="95" t="s">
        <v>76</v>
      </c>
      <c r="D946" s="96" t="s">
        <v>59</v>
      </c>
      <c r="E946" s="97">
        <v>46642</v>
      </c>
      <c r="F946" s="97">
        <v>2776</v>
      </c>
      <c r="G946" s="97">
        <v>4664</v>
      </c>
      <c r="H946" s="114">
        <v>54.302093014419633</v>
      </c>
      <c r="I946" s="125">
        <v>33326</v>
      </c>
      <c r="J946" s="115">
        <v>54.829767409312097</v>
      </c>
    </row>
    <row r="947" spans="1:10" ht="16">
      <c r="A947" s="100" t="s">
        <v>177</v>
      </c>
      <c r="B947" s="101" t="s">
        <v>150</v>
      </c>
      <c r="C947" s="102" t="s">
        <v>107</v>
      </c>
      <c r="D947" s="103" t="s">
        <v>62</v>
      </c>
      <c r="E947" s="104">
        <v>23923</v>
      </c>
      <c r="F947" s="104">
        <v>1574</v>
      </c>
      <c r="G947" s="104">
        <v>1647</v>
      </c>
      <c r="H947" s="116">
        <v>7.6628213350952334</v>
      </c>
      <c r="I947" s="126">
        <v>3091</v>
      </c>
      <c r="J947" s="117">
        <v>15.464629404895406</v>
      </c>
    </row>
    <row r="948" spans="1:10" ht="16">
      <c r="A948" s="93" t="s">
        <v>431</v>
      </c>
      <c r="B948" s="94" t="s">
        <v>402</v>
      </c>
      <c r="C948" s="95" t="s">
        <v>76</v>
      </c>
      <c r="D948" s="96" t="s">
        <v>63</v>
      </c>
      <c r="E948" s="97">
        <v>21475</v>
      </c>
      <c r="F948" s="97">
        <v>502</v>
      </c>
      <c r="G948" s="97">
        <v>4939</v>
      </c>
      <c r="H948" s="114">
        <v>52.125770514291958</v>
      </c>
      <c r="I948" s="125">
        <v>43047</v>
      </c>
      <c r="J948" s="115">
        <v>49.224412893476071</v>
      </c>
    </row>
    <row r="949" spans="1:10" ht="16">
      <c r="A949" s="100" t="s">
        <v>1075</v>
      </c>
      <c r="B949" s="101" t="s">
        <v>1072</v>
      </c>
      <c r="C949" s="102" t="s">
        <v>76</v>
      </c>
      <c r="D949" s="103" t="s">
        <v>92</v>
      </c>
      <c r="E949" s="104">
        <v>10887</v>
      </c>
      <c r="F949" s="104">
        <v>337</v>
      </c>
      <c r="G949" s="104">
        <v>1960</v>
      </c>
      <c r="H949" s="116">
        <v>32.894025508080873</v>
      </c>
      <c r="I949" s="126">
        <v>20992</v>
      </c>
      <c r="J949" s="117">
        <v>32.609518676840757</v>
      </c>
    </row>
    <row r="950" spans="1:10" ht="16">
      <c r="A950" s="93" t="s">
        <v>737</v>
      </c>
      <c r="B950" s="94" t="s">
        <v>642</v>
      </c>
      <c r="C950" s="95" t="s">
        <v>107</v>
      </c>
      <c r="D950" s="96" t="s">
        <v>82</v>
      </c>
      <c r="E950" s="97">
        <v>5020</v>
      </c>
      <c r="F950" s="97">
        <v>540</v>
      </c>
      <c r="G950" s="97">
        <v>201</v>
      </c>
      <c r="H950" s="114">
        <v>11.40020724998748</v>
      </c>
      <c r="I950" s="125">
        <v>1115</v>
      </c>
      <c r="J950" s="115">
        <v>19.714689237285501</v>
      </c>
    </row>
    <row r="951" spans="1:10" ht="16">
      <c r="A951" s="100" t="s">
        <v>887</v>
      </c>
      <c r="B951" s="101" t="s">
        <v>879</v>
      </c>
      <c r="C951" s="102" t="s">
        <v>76</v>
      </c>
      <c r="D951" s="103" t="s">
        <v>130</v>
      </c>
      <c r="E951" s="104">
        <v>27859</v>
      </c>
      <c r="F951" s="104">
        <v>1629</v>
      </c>
      <c r="G951" s="104">
        <v>557</v>
      </c>
      <c r="H951" s="116">
        <v>11.027310649454137</v>
      </c>
      <c r="I951" s="126">
        <v>2186</v>
      </c>
      <c r="J951" s="117">
        <v>16.494414732904957</v>
      </c>
    </row>
    <row r="952" spans="1:10" ht="16">
      <c r="A952" s="93" t="s">
        <v>1076</v>
      </c>
      <c r="B952" s="94" t="s">
        <v>1072</v>
      </c>
      <c r="C952" s="95" t="s">
        <v>76</v>
      </c>
      <c r="D952" s="96" t="s">
        <v>63</v>
      </c>
      <c r="E952" s="97">
        <v>16935</v>
      </c>
      <c r="F952" s="97">
        <v>1086</v>
      </c>
      <c r="G952" s="97">
        <v>6605</v>
      </c>
      <c r="H952" s="114">
        <v>44.058967714477987</v>
      </c>
      <c r="I952" s="125">
        <v>35222</v>
      </c>
      <c r="J952" s="115">
        <v>38.487109920071468</v>
      </c>
    </row>
    <row r="953" spans="1:10" ht="16">
      <c r="A953" s="100" t="s">
        <v>615</v>
      </c>
      <c r="B953" s="101" t="s">
        <v>598</v>
      </c>
      <c r="C953" s="102" t="s">
        <v>76</v>
      </c>
      <c r="D953" s="103" t="s">
        <v>80</v>
      </c>
      <c r="E953" s="104">
        <v>23977</v>
      </c>
      <c r="F953" s="104">
        <v>1230</v>
      </c>
      <c r="G953" s="104">
        <v>2158</v>
      </c>
      <c r="H953" s="116">
        <v>23.887019184481979</v>
      </c>
      <c r="I953" s="126">
        <v>14873</v>
      </c>
      <c r="J953" s="117">
        <v>32.870301731107446</v>
      </c>
    </row>
    <row r="954" spans="1:10" ht="16">
      <c r="A954" s="93" t="s">
        <v>1401</v>
      </c>
      <c r="B954" s="94" t="s">
        <v>1288</v>
      </c>
      <c r="C954" s="95" t="s">
        <v>76</v>
      </c>
      <c r="D954" s="96" t="s">
        <v>62</v>
      </c>
      <c r="E954" s="97">
        <v>35164</v>
      </c>
      <c r="F954" s="97">
        <v>2157</v>
      </c>
      <c r="G954" s="97">
        <v>2461</v>
      </c>
      <c r="H954" s="114">
        <v>36.491474904946877</v>
      </c>
      <c r="I954" s="125">
        <v>20003</v>
      </c>
      <c r="J954" s="115">
        <v>35.471630579414274</v>
      </c>
    </row>
    <row r="955" spans="1:10" ht="16">
      <c r="A955" s="100" t="s">
        <v>445</v>
      </c>
      <c r="B955" s="101" t="s">
        <v>446</v>
      </c>
      <c r="C955" s="102" t="s">
        <v>107</v>
      </c>
      <c r="D955" s="103" t="s">
        <v>77</v>
      </c>
      <c r="E955" s="104">
        <v>36819</v>
      </c>
      <c r="F955" s="104">
        <v>1283</v>
      </c>
      <c r="G955" s="104">
        <v>368</v>
      </c>
      <c r="H955" s="116">
        <v>16.249413979308294</v>
      </c>
      <c r="I955" s="126">
        <v>4411</v>
      </c>
      <c r="J955" s="117">
        <v>15.861828910951544</v>
      </c>
    </row>
    <row r="956" spans="1:10" ht="16">
      <c r="A956" s="93" t="s">
        <v>1038</v>
      </c>
      <c r="B956" s="94" t="s">
        <v>1020</v>
      </c>
      <c r="C956" s="95" t="s">
        <v>76</v>
      </c>
      <c r="D956" s="96" t="s">
        <v>130</v>
      </c>
      <c r="E956" s="97">
        <v>13906</v>
      </c>
      <c r="F956" s="97">
        <v>732</v>
      </c>
      <c r="G956" s="97">
        <v>1947</v>
      </c>
      <c r="H956" s="114">
        <v>18.319869181140046</v>
      </c>
      <c r="I956" s="125">
        <v>10581</v>
      </c>
      <c r="J956" s="115">
        <v>19.894892648679981</v>
      </c>
    </row>
    <row r="957" spans="1:10" ht="16">
      <c r="A957" s="100" t="s">
        <v>1255</v>
      </c>
      <c r="B957" s="101" t="s">
        <v>1190</v>
      </c>
      <c r="C957" s="102" t="s">
        <v>76</v>
      </c>
      <c r="D957" s="103" t="s">
        <v>92</v>
      </c>
      <c r="E957" s="104">
        <v>25357</v>
      </c>
      <c r="F957" s="104">
        <v>1647</v>
      </c>
      <c r="G957" s="104">
        <v>9382</v>
      </c>
      <c r="H957" s="116">
        <v>48.452238919484152</v>
      </c>
      <c r="I957" s="126">
        <v>44082</v>
      </c>
      <c r="J957" s="117">
        <v>41.529091538262115</v>
      </c>
    </row>
    <row r="958" spans="1:10" ht="16">
      <c r="A958" s="93" t="s">
        <v>1069</v>
      </c>
      <c r="B958" s="94" t="s">
        <v>1062</v>
      </c>
      <c r="C958" s="95" t="s">
        <v>107</v>
      </c>
      <c r="D958" s="96" t="s">
        <v>63</v>
      </c>
      <c r="E958" s="97">
        <v>19677</v>
      </c>
      <c r="F958" s="97">
        <v>1929</v>
      </c>
      <c r="G958" s="97">
        <v>2558</v>
      </c>
      <c r="H958" s="114">
        <v>41.657350287217625</v>
      </c>
      <c r="I958" s="125">
        <v>38911</v>
      </c>
      <c r="J958" s="115">
        <v>28.305480437191129</v>
      </c>
    </row>
    <row r="959" spans="1:10" ht="16">
      <c r="A959" s="100" t="s">
        <v>1039</v>
      </c>
      <c r="B959" s="101" t="s">
        <v>1020</v>
      </c>
      <c r="C959" s="102" t="s">
        <v>76</v>
      </c>
      <c r="D959" s="103" t="s">
        <v>63</v>
      </c>
      <c r="E959" s="104">
        <v>56044</v>
      </c>
      <c r="F959" s="104">
        <v>3639</v>
      </c>
      <c r="G959" s="104">
        <v>5604</v>
      </c>
      <c r="H959" s="116">
        <v>21.228906034367185</v>
      </c>
      <c r="I959" s="126">
        <v>10915</v>
      </c>
      <c r="J959" s="117">
        <v>19.616753853269554</v>
      </c>
    </row>
    <row r="960" spans="1:10" ht="16">
      <c r="A960" s="93" t="s">
        <v>133</v>
      </c>
      <c r="B960" s="94" t="s">
        <v>127</v>
      </c>
      <c r="C960" s="95" t="s">
        <v>76</v>
      </c>
      <c r="D960" s="96" t="s">
        <v>62</v>
      </c>
      <c r="E960" s="97">
        <v>20312</v>
      </c>
      <c r="F960" s="97">
        <v>927</v>
      </c>
      <c r="G960" s="97">
        <v>2641</v>
      </c>
      <c r="H960" s="114">
        <v>18.633594327548327</v>
      </c>
      <c r="I960" s="125">
        <v>10315</v>
      </c>
      <c r="J960" s="115">
        <v>23.696798620116034</v>
      </c>
    </row>
    <row r="961" spans="1:10" ht="16">
      <c r="A961" s="100" t="s">
        <v>1256</v>
      </c>
      <c r="B961" s="101" t="s">
        <v>1190</v>
      </c>
      <c r="C961" s="102" t="s">
        <v>76</v>
      </c>
      <c r="D961" s="103" t="s">
        <v>63</v>
      </c>
      <c r="E961" s="104">
        <v>14477</v>
      </c>
      <c r="F961" s="104">
        <v>804</v>
      </c>
      <c r="G961" s="104">
        <v>5212</v>
      </c>
      <c r="H961" s="116">
        <v>15.455648712688401</v>
      </c>
      <c r="I961" s="126">
        <v>6071</v>
      </c>
      <c r="J961" s="117">
        <v>17.126216981474435</v>
      </c>
    </row>
    <row r="962" spans="1:10" ht="16">
      <c r="A962" s="93" t="s">
        <v>432</v>
      </c>
      <c r="B962" s="94" t="s">
        <v>402</v>
      </c>
      <c r="C962" s="95" t="s">
        <v>76</v>
      </c>
      <c r="D962" s="96" t="s">
        <v>82</v>
      </c>
      <c r="E962" s="97">
        <v>10247</v>
      </c>
      <c r="F962" s="97">
        <v>486</v>
      </c>
      <c r="G962" s="97">
        <v>717</v>
      </c>
      <c r="H962" s="114">
        <v>22.66704606915085</v>
      </c>
      <c r="I962" s="125">
        <v>13570</v>
      </c>
      <c r="J962" s="115">
        <v>30.303620527380083</v>
      </c>
    </row>
    <row r="963" spans="1:10" ht="16">
      <c r="A963" s="100" t="s">
        <v>828</v>
      </c>
      <c r="B963" s="101" t="s">
        <v>820</v>
      </c>
      <c r="C963" s="102" t="s">
        <v>76</v>
      </c>
      <c r="D963" s="103" t="s">
        <v>60</v>
      </c>
      <c r="E963" s="104">
        <v>27228</v>
      </c>
      <c r="F963" s="104">
        <v>1144</v>
      </c>
      <c r="G963" s="104">
        <v>5718</v>
      </c>
      <c r="H963" s="116">
        <v>55.72964975812495</v>
      </c>
      <c r="I963" s="126">
        <v>51032</v>
      </c>
      <c r="J963" s="117">
        <v>43.043092517683185</v>
      </c>
    </row>
    <row r="964" spans="1:10" ht="16">
      <c r="A964" s="93" t="s">
        <v>808</v>
      </c>
      <c r="B964" s="94" t="s">
        <v>798</v>
      </c>
      <c r="C964" s="95" t="s">
        <v>76</v>
      </c>
      <c r="D964" s="96" t="s">
        <v>82</v>
      </c>
      <c r="E964" s="97">
        <v>123932</v>
      </c>
      <c r="F964" s="97">
        <v>2229</v>
      </c>
      <c r="G964" s="97">
        <v>8624</v>
      </c>
      <c r="H964" s="114">
        <v>8.0354992204251445</v>
      </c>
      <c r="I964" s="125">
        <v>833</v>
      </c>
      <c r="J964" s="115">
        <v>16.126334045729681</v>
      </c>
    </row>
    <row r="965" spans="1:10" ht="16">
      <c r="A965" s="100" t="s">
        <v>809</v>
      </c>
      <c r="B965" s="101" t="s">
        <v>798</v>
      </c>
      <c r="C965" s="102" t="s">
        <v>76</v>
      </c>
      <c r="D965" s="103" t="s">
        <v>60</v>
      </c>
      <c r="E965" s="104">
        <v>26034</v>
      </c>
      <c r="F965" s="104">
        <v>1315</v>
      </c>
      <c r="G965" s="104">
        <v>781</v>
      </c>
      <c r="H965" s="116">
        <v>8.7983657639486239</v>
      </c>
      <c r="I965" s="126">
        <v>1280</v>
      </c>
      <c r="J965" s="117">
        <v>17.285596788407471</v>
      </c>
    </row>
    <row r="966" spans="1:10" ht="16">
      <c r="A966" s="93" t="s">
        <v>197</v>
      </c>
      <c r="B966" s="94" t="s">
        <v>184</v>
      </c>
      <c r="C966" s="95" t="s">
        <v>76</v>
      </c>
      <c r="D966" s="96" t="s">
        <v>63</v>
      </c>
      <c r="E966" s="97">
        <v>22165</v>
      </c>
      <c r="F966" s="97">
        <v>762</v>
      </c>
      <c r="G966" s="97">
        <v>1995</v>
      </c>
      <c r="H966" s="114">
        <v>30.086329811782104</v>
      </c>
      <c r="I966" s="125">
        <v>14057</v>
      </c>
      <c r="J966" s="115">
        <v>26.965182500882367</v>
      </c>
    </row>
    <row r="967" spans="1:10" ht="16">
      <c r="A967" s="100" t="s">
        <v>566</v>
      </c>
      <c r="B967" s="101" t="s">
        <v>537</v>
      </c>
      <c r="C967" s="102" t="s">
        <v>76</v>
      </c>
      <c r="D967" s="103" t="s">
        <v>61</v>
      </c>
      <c r="E967" s="104">
        <v>16240</v>
      </c>
      <c r="F967" s="104">
        <v>576</v>
      </c>
      <c r="G967" s="104">
        <v>746</v>
      </c>
      <c r="H967" s="116">
        <v>14.567339863022482</v>
      </c>
      <c r="I967" s="126">
        <v>4101</v>
      </c>
      <c r="J967" s="117">
        <v>20.416288427703204</v>
      </c>
    </row>
    <row r="968" spans="1:10" ht="16">
      <c r="A968" s="93" t="s">
        <v>596</v>
      </c>
      <c r="B968" s="94" t="s">
        <v>591</v>
      </c>
      <c r="C968" s="95" t="s">
        <v>76</v>
      </c>
      <c r="D968" s="96" t="s">
        <v>61</v>
      </c>
      <c r="E968" s="97">
        <v>16164</v>
      </c>
      <c r="F968" s="97">
        <v>770</v>
      </c>
      <c r="G968" s="97">
        <v>323</v>
      </c>
      <c r="H968" s="114">
        <v>32.229324156325212</v>
      </c>
      <c r="I968" s="125">
        <v>16876</v>
      </c>
      <c r="J968" s="115">
        <v>26.87705428941188</v>
      </c>
    </row>
    <row r="969" spans="1:10" ht="16">
      <c r="A969" s="100" t="s">
        <v>433</v>
      </c>
      <c r="B969" s="101" t="s">
        <v>402</v>
      </c>
      <c r="C969" s="102" t="s">
        <v>76</v>
      </c>
      <c r="D969" s="103" t="s">
        <v>80</v>
      </c>
      <c r="E969" s="104">
        <v>30375</v>
      </c>
      <c r="F969" s="104">
        <v>512</v>
      </c>
      <c r="G969" s="104">
        <v>3645</v>
      </c>
      <c r="H969" s="116">
        <v>49.832004664435821</v>
      </c>
      <c r="I969" s="126">
        <v>36941</v>
      </c>
      <c r="J969" s="117">
        <v>44.745227492984974</v>
      </c>
    </row>
    <row r="970" spans="1:10" ht="16">
      <c r="A970" s="93" t="s">
        <v>316</v>
      </c>
      <c r="B970" s="94" t="s">
        <v>317</v>
      </c>
      <c r="C970" s="95" t="s">
        <v>76</v>
      </c>
      <c r="D970" s="96" t="s">
        <v>62</v>
      </c>
      <c r="E970" s="97">
        <v>14856</v>
      </c>
      <c r="F970" s="97">
        <v>1516</v>
      </c>
      <c r="G970" s="97">
        <v>1040</v>
      </c>
      <c r="H970" s="114">
        <v>9.1210621824997862</v>
      </c>
      <c r="I970" s="125">
        <v>913</v>
      </c>
      <c r="J970" s="115">
        <v>21.902293268566858</v>
      </c>
    </row>
    <row r="971" spans="1:10" ht="16">
      <c r="A971" s="100" t="s">
        <v>373</v>
      </c>
      <c r="B971" s="101" t="s">
        <v>369</v>
      </c>
      <c r="C971" s="102" t="s">
        <v>76</v>
      </c>
      <c r="D971" s="103" t="s">
        <v>61</v>
      </c>
      <c r="E971" s="104">
        <v>22072</v>
      </c>
      <c r="F971" s="104">
        <v>1330</v>
      </c>
      <c r="G971" s="104">
        <v>1104</v>
      </c>
      <c r="H971" s="116">
        <v>59.914823180424293</v>
      </c>
      <c r="I971" s="126">
        <v>52363</v>
      </c>
      <c r="J971" s="117">
        <v>43.423623363319869</v>
      </c>
    </row>
    <row r="972" spans="1:10" ht="16">
      <c r="A972" s="93" t="s">
        <v>1257</v>
      </c>
      <c r="B972" s="94" t="s">
        <v>1190</v>
      </c>
      <c r="C972" s="95" t="s">
        <v>76</v>
      </c>
      <c r="D972" s="96" t="s">
        <v>60</v>
      </c>
      <c r="E972" s="97">
        <v>17584</v>
      </c>
      <c r="F972" s="97">
        <v>1005</v>
      </c>
      <c r="G972" s="97">
        <v>4924</v>
      </c>
      <c r="H972" s="114">
        <v>13.691036301874666</v>
      </c>
      <c r="I972" s="125">
        <v>5600</v>
      </c>
      <c r="J972" s="115">
        <v>17.651169654702461</v>
      </c>
    </row>
    <row r="973" spans="1:10" ht="16">
      <c r="A973" s="100" t="s">
        <v>434</v>
      </c>
      <c r="B973" s="101" t="s">
        <v>402</v>
      </c>
      <c r="C973" s="102" t="s">
        <v>76</v>
      </c>
      <c r="D973" s="103" t="s">
        <v>61</v>
      </c>
      <c r="E973" s="104">
        <v>9234</v>
      </c>
      <c r="F973" s="104">
        <v>244</v>
      </c>
      <c r="G973" s="104">
        <v>1385</v>
      </c>
      <c r="H973" s="116">
        <v>31.956484666689995</v>
      </c>
      <c r="I973" s="126">
        <v>28689</v>
      </c>
      <c r="J973" s="117">
        <v>35.116651452639708</v>
      </c>
    </row>
    <row r="974" spans="1:10" ht="16">
      <c r="A974" s="93" t="s">
        <v>464</v>
      </c>
      <c r="B974" s="94" t="s">
        <v>459</v>
      </c>
      <c r="C974" s="95" t="s">
        <v>76</v>
      </c>
      <c r="D974" s="96" t="s">
        <v>60</v>
      </c>
      <c r="E974" s="97">
        <v>18260</v>
      </c>
      <c r="F974" s="97">
        <v>1003</v>
      </c>
      <c r="G974" s="97">
        <v>8034</v>
      </c>
      <c r="H974" s="114">
        <v>77.783301115307282</v>
      </c>
      <c r="I974" s="125">
        <v>59258</v>
      </c>
      <c r="J974" s="115">
        <v>69.954387154193469</v>
      </c>
    </row>
    <row r="975" spans="1:10" ht="16">
      <c r="A975" s="100" t="s">
        <v>1402</v>
      </c>
      <c r="B975" s="101" t="s">
        <v>1288</v>
      </c>
      <c r="C975" s="102" t="s">
        <v>107</v>
      </c>
      <c r="D975" s="103" t="s">
        <v>61</v>
      </c>
      <c r="E975" s="104">
        <v>44128</v>
      </c>
      <c r="F975" s="104">
        <v>1717</v>
      </c>
      <c r="G975" s="104">
        <v>3972</v>
      </c>
      <c r="H975" s="116">
        <v>25.908894026053606</v>
      </c>
      <c r="I975" s="126">
        <v>15094</v>
      </c>
      <c r="J975" s="117">
        <v>34.525598669586834</v>
      </c>
    </row>
    <row r="976" spans="1:10" ht="16">
      <c r="A976" s="93" t="s">
        <v>1258</v>
      </c>
      <c r="B976" s="94" t="s">
        <v>1190</v>
      </c>
      <c r="C976" s="95" t="s">
        <v>76</v>
      </c>
      <c r="D976" s="96" t="s">
        <v>63</v>
      </c>
      <c r="E976" s="97">
        <v>14483</v>
      </c>
      <c r="F976" s="97">
        <v>700</v>
      </c>
      <c r="G976" s="97">
        <v>3476</v>
      </c>
      <c r="H976" s="114">
        <v>20.159839944341133</v>
      </c>
      <c r="I976" s="125">
        <v>9033</v>
      </c>
      <c r="J976" s="115">
        <v>23.144557388859841</v>
      </c>
    </row>
    <row r="977" spans="1:10" ht="16">
      <c r="A977" s="100" t="s">
        <v>1259</v>
      </c>
      <c r="B977" s="101" t="s">
        <v>1190</v>
      </c>
      <c r="C977" s="102" t="s">
        <v>76</v>
      </c>
      <c r="D977" s="103" t="s">
        <v>63</v>
      </c>
      <c r="E977" s="104">
        <v>14047</v>
      </c>
      <c r="F977" s="104">
        <v>772</v>
      </c>
      <c r="G977" s="104">
        <v>2669</v>
      </c>
      <c r="H977" s="116">
        <v>23.973820412200386</v>
      </c>
      <c r="I977" s="126">
        <v>12984</v>
      </c>
      <c r="J977" s="117">
        <v>23.213886604818583</v>
      </c>
    </row>
    <row r="978" spans="1:10" ht="16">
      <c r="A978" s="93" t="s">
        <v>738</v>
      </c>
      <c r="B978" s="94" t="s">
        <v>642</v>
      </c>
      <c r="C978" s="95" t="s">
        <v>107</v>
      </c>
      <c r="D978" s="96" t="s">
        <v>61</v>
      </c>
      <c r="E978" s="97">
        <v>6566</v>
      </c>
      <c r="F978" s="97">
        <v>513</v>
      </c>
      <c r="G978" s="97">
        <v>197</v>
      </c>
      <c r="H978" s="114">
        <v>12.534816152510247</v>
      </c>
      <c r="I978" s="125">
        <v>1306</v>
      </c>
      <c r="J978" s="115">
        <v>16.891294327343399</v>
      </c>
    </row>
    <row r="979" spans="1:10" ht="16">
      <c r="A979" s="100" t="s">
        <v>844</v>
      </c>
      <c r="B979" s="101" t="s">
        <v>843</v>
      </c>
      <c r="C979" s="102" t="s">
        <v>107</v>
      </c>
      <c r="D979" s="103" t="s">
        <v>80</v>
      </c>
      <c r="E979" s="104">
        <v>26648</v>
      </c>
      <c r="F979" s="104">
        <v>1625</v>
      </c>
      <c r="G979" s="104">
        <v>266</v>
      </c>
      <c r="H979" s="116">
        <v>12.350245652470434</v>
      </c>
      <c r="I979" s="126">
        <v>9464</v>
      </c>
      <c r="J979" s="117">
        <v>23.843560267489689</v>
      </c>
    </row>
    <row r="980" spans="1:10" ht="16">
      <c r="A980" s="93" t="s">
        <v>471</v>
      </c>
      <c r="B980" s="94" t="s">
        <v>472</v>
      </c>
      <c r="C980" s="95" t="s">
        <v>76</v>
      </c>
      <c r="D980" s="96" t="s">
        <v>60</v>
      </c>
      <c r="E980" s="97">
        <v>8135</v>
      </c>
      <c r="F980" s="97">
        <v>585</v>
      </c>
      <c r="G980" s="97">
        <v>976</v>
      </c>
      <c r="H980" s="114">
        <v>30.830132977684695</v>
      </c>
      <c r="I980" s="125">
        <v>22599</v>
      </c>
      <c r="J980" s="115">
        <v>19.751396433572864</v>
      </c>
    </row>
    <row r="981" spans="1:10" ht="16">
      <c r="A981" s="100" t="s">
        <v>1403</v>
      </c>
      <c r="B981" s="101" t="s">
        <v>1288</v>
      </c>
      <c r="C981" s="102" t="s">
        <v>107</v>
      </c>
      <c r="D981" s="103" t="s">
        <v>63</v>
      </c>
      <c r="E981" s="104">
        <v>9694</v>
      </c>
      <c r="F981" s="104">
        <v>570</v>
      </c>
      <c r="G981" s="104">
        <v>776</v>
      </c>
      <c r="H981" s="116">
        <v>21.818578429701414</v>
      </c>
      <c r="I981" s="126">
        <v>11350</v>
      </c>
      <c r="J981" s="117">
        <v>34.275647728409403</v>
      </c>
    </row>
    <row r="982" spans="1:10" ht="16">
      <c r="A982" s="93" t="s">
        <v>1404</v>
      </c>
      <c r="B982" s="94" t="s">
        <v>1288</v>
      </c>
      <c r="C982" s="95" t="s">
        <v>76</v>
      </c>
      <c r="D982" s="96" t="s">
        <v>92</v>
      </c>
      <c r="E982" s="97">
        <v>27031</v>
      </c>
      <c r="F982" s="97">
        <v>2351</v>
      </c>
      <c r="G982" s="97">
        <v>5406</v>
      </c>
      <c r="H982" s="114">
        <v>33.872827220061353</v>
      </c>
      <c r="I982" s="125">
        <v>23409</v>
      </c>
      <c r="J982" s="115">
        <v>45.477801085782694</v>
      </c>
    </row>
    <row r="983" spans="1:10" ht="16">
      <c r="A983" s="100" t="s">
        <v>1405</v>
      </c>
      <c r="B983" s="101" t="s">
        <v>1288</v>
      </c>
      <c r="C983" s="102" t="s">
        <v>107</v>
      </c>
      <c r="D983" s="103" t="s">
        <v>59</v>
      </c>
      <c r="E983" s="104">
        <v>44916</v>
      </c>
      <c r="F983" s="104">
        <v>2509</v>
      </c>
      <c r="G983" s="104">
        <v>10780</v>
      </c>
      <c r="H983" s="116">
        <v>78.97895080353878</v>
      </c>
      <c r="I983" s="126">
        <v>65960</v>
      </c>
      <c r="J983" s="117">
        <v>63.234754094424858</v>
      </c>
    </row>
    <row r="984" spans="1:10" ht="16">
      <c r="A984" s="93" t="s">
        <v>535</v>
      </c>
      <c r="B984" s="94" t="s">
        <v>530</v>
      </c>
      <c r="C984" s="95" t="s">
        <v>76</v>
      </c>
      <c r="D984" s="96" t="s">
        <v>92</v>
      </c>
      <c r="E984" s="97">
        <v>41170</v>
      </c>
      <c r="F984" s="97">
        <v>4159</v>
      </c>
      <c r="G984" s="97">
        <v>4529</v>
      </c>
      <c r="H984" s="114">
        <v>19.572328307638546</v>
      </c>
      <c r="I984" s="125">
        <v>3302</v>
      </c>
      <c r="J984" s="115">
        <v>39.545703589640787</v>
      </c>
    </row>
    <row r="985" spans="1:10" ht="16">
      <c r="A985" s="100" t="s">
        <v>134</v>
      </c>
      <c r="B985" s="101" t="s">
        <v>127</v>
      </c>
      <c r="C985" s="102" t="s">
        <v>76</v>
      </c>
      <c r="D985" s="103" t="s">
        <v>60</v>
      </c>
      <c r="E985" s="104">
        <v>14128</v>
      </c>
      <c r="F985" s="104">
        <v>1121</v>
      </c>
      <c r="G985" s="104">
        <v>5651</v>
      </c>
      <c r="H985" s="116">
        <v>22.412977293419694</v>
      </c>
      <c r="I985" s="126">
        <v>13626</v>
      </c>
      <c r="J985" s="117">
        <v>28.452853644549823</v>
      </c>
    </row>
    <row r="986" spans="1:10" ht="16">
      <c r="A986" s="93" t="s">
        <v>616</v>
      </c>
      <c r="B986" s="94" t="s">
        <v>598</v>
      </c>
      <c r="C986" s="95" t="s">
        <v>76</v>
      </c>
      <c r="D986" s="96" t="s">
        <v>130</v>
      </c>
      <c r="E986" s="97">
        <v>7646</v>
      </c>
      <c r="F986" s="97">
        <v>346</v>
      </c>
      <c r="G986" s="97">
        <v>459</v>
      </c>
      <c r="H986" s="114">
        <v>20.395016947743223</v>
      </c>
      <c r="I986" s="125">
        <v>14125</v>
      </c>
      <c r="J986" s="115">
        <v>19.066171964817052</v>
      </c>
    </row>
    <row r="987" spans="1:10" ht="16">
      <c r="A987" s="100" t="s">
        <v>289</v>
      </c>
      <c r="B987" s="101" t="s">
        <v>223</v>
      </c>
      <c r="C987" s="102" t="s">
        <v>76</v>
      </c>
      <c r="D987" s="103" t="s">
        <v>59</v>
      </c>
      <c r="E987" s="104">
        <v>15775</v>
      </c>
      <c r="F987" s="104">
        <v>907</v>
      </c>
      <c r="G987" s="104">
        <v>2840</v>
      </c>
      <c r="H987" s="116">
        <v>17.008927342697792</v>
      </c>
      <c r="I987" s="126">
        <v>5717</v>
      </c>
      <c r="J987" s="117">
        <v>25.549210680220575</v>
      </c>
    </row>
    <row r="988" spans="1:10" ht="16">
      <c r="A988" s="93" t="s">
        <v>454</v>
      </c>
      <c r="B988" s="94" t="s">
        <v>448</v>
      </c>
      <c r="C988" s="95" t="s">
        <v>107</v>
      </c>
      <c r="D988" s="96" t="s">
        <v>92</v>
      </c>
      <c r="E988" s="97">
        <v>21902</v>
      </c>
      <c r="F988" s="97">
        <v>494</v>
      </c>
      <c r="G988" s="97">
        <v>657</v>
      </c>
      <c r="H988" s="114">
        <v>15.168189710419654</v>
      </c>
      <c r="I988" s="125">
        <v>8984</v>
      </c>
      <c r="J988" s="115">
        <v>16.956855683716501</v>
      </c>
    </row>
    <row r="989" spans="1:10" ht="16">
      <c r="A989" s="100" t="s">
        <v>1406</v>
      </c>
      <c r="B989" s="101" t="s">
        <v>1288</v>
      </c>
      <c r="C989" s="102" t="s">
        <v>76</v>
      </c>
      <c r="D989" s="103" t="s">
        <v>62</v>
      </c>
      <c r="E989" s="104">
        <v>28945</v>
      </c>
      <c r="F989" s="104">
        <v>2495</v>
      </c>
      <c r="G989" s="104">
        <v>3473</v>
      </c>
      <c r="H989" s="116">
        <v>30.452777060900026</v>
      </c>
      <c r="I989" s="126">
        <v>24423</v>
      </c>
      <c r="J989" s="117">
        <v>44.094945519157442</v>
      </c>
    </row>
    <row r="990" spans="1:10" ht="16">
      <c r="A990" s="93" t="s">
        <v>567</v>
      </c>
      <c r="B990" s="94" t="s">
        <v>537</v>
      </c>
      <c r="C990" s="95" t="s">
        <v>76</v>
      </c>
      <c r="D990" s="96" t="s">
        <v>92</v>
      </c>
      <c r="E990" s="97">
        <v>13782</v>
      </c>
      <c r="F990" s="97">
        <v>659</v>
      </c>
      <c r="G990" s="97">
        <v>138</v>
      </c>
      <c r="H990" s="114">
        <v>22.639419295458772</v>
      </c>
      <c r="I990" s="125">
        <v>3077</v>
      </c>
      <c r="J990" s="115">
        <v>31.739996504249895</v>
      </c>
    </row>
    <row r="991" spans="1:10" ht="16">
      <c r="A991" s="100" t="s">
        <v>981</v>
      </c>
      <c r="B991" s="101" t="s">
        <v>977</v>
      </c>
      <c r="C991" s="102" t="s">
        <v>76</v>
      </c>
      <c r="D991" s="103" t="s">
        <v>63</v>
      </c>
      <c r="E991" s="104">
        <v>26445</v>
      </c>
      <c r="F991" s="104">
        <v>1106</v>
      </c>
      <c r="G991" s="104">
        <v>3967</v>
      </c>
      <c r="H991" s="116">
        <v>26.175316842125699</v>
      </c>
      <c r="I991" s="126">
        <v>11023</v>
      </c>
      <c r="J991" s="117">
        <v>19.763944802218049</v>
      </c>
    </row>
    <row r="992" spans="1:10" ht="16">
      <c r="A992" s="93" t="s">
        <v>756</v>
      </c>
      <c r="B992" s="94" t="s">
        <v>753</v>
      </c>
      <c r="C992" s="95" t="s">
        <v>76</v>
      </c>
      <c r="D992" s="96" t="s">
        <v>60</v>
      </c>
      <c r="E992" s="97">
        <v>30495</v>
      </c>
      <c r="F992" s="97">
        <v>1804</v>
      </c>
      <c r="G992" s="97">
        <v>4879</v>
      </c>
      <c r="H992" s="114">
        <v>11.065702537947741</v>
      </c>
      <c r="I992" s="125">
        <v>3023</v>
      </c>
      <c r="J992" s="115">
        <v>25.62577636945079</v>
      </c>
    </row>
    <row r="993" spans="1:10" ht="16">
      <c r="A993" s="100" t="s">
        <v>435</v>
      </c>
      <c r="B993" s="101" t="s">
        <v>402</v>
      </c>
      <c r="C993" s="102" t="s">
        <v>107</v>
      </c>
      <c r="D993" s="103" t="s">
        <v>77</v>
      </c>
      <c r="E993" s="104">
        <v>14869</v>
      </c>
      <c r="F993" s="104">
        <v>288</v>
      </c>
      <c r="G993" s="104">
        <v>2676</v>
      </c>
      <c r="H993" s="116">
        <v>24.458213646090805</v>
      </c>
      <c r="I993" s="126">
        <v>9981</v>
      </c>
      <c r="J993" s="117">
        <v>34.177459389896988</v>
      </c>
    </row>
    <row r="994" spans="1:10" ht="16">
      <c r="A994" s="93" t="s">
        <v>1407</v>
      </c>
      <c r="B994" s="94" t="s">
        <v>1288</v>
      </c>
      <c r="C994" s="95" t="s">
        <v>76</v>
      </c>
      <c r="D994" s="96" t="s">
        <v>80</v>
      </c>
      <c r="E994" s="97">
        <v>24526</v>
      </c>
      <c r="F994" s="97">
        <v>2477</v>
      </c>
      <c r="G994" s="97">
        <v>2207</v>
      </c>
      <c r="H994" s="114">
        <v>23.463628082209382</v>
      </c>
      <c r="I994" s="125">
        <v>15533</v>
      </c>
      <c r="J994" s="115">
        <v>37.265435941653472</v>
      </c>
    </row>
    <row r="995" spans="1:10" ht="16">
      <c r="A995" s="100" t="s">
        <v>568</v>
      </c>
      <c r="B995" s="101" t="s">
        <v>537</v>
      </c>
      <c r="C995" s="102" t="s">
        <v>76</v>
      </c>
      <c r="D995" s="103" t="s">
        <v>62</v>
      </c>
      <c r="E995" s="104">
        <v>8438</v>
      </c>
      <c r="F995" s="104">
        <v>308</v>
      </c>
      <c r="G995" s="104">
        <v>253</v>
      </c>
      <c r="H995" s="116">
        <v>18.501461251931147</v>
      </c>
      <c r="I995" s="126">
        <v>13839</v>
      </c>
      <c r="J995" s="117">
        <v>20.416870969611075</v>
      </c>
    </row>
    <row r="996" spans="1:10" ht="16">
      <c r="A996" s="93" t="s">
        <v>1260</v>
      </c>
      <c r="B996" s="94" t="s">
        <v>1190</v>
      </c>
      <c r="C996" s="95" t="s">
        <v>76</v>
      </c>
      <c r="D996" s="96" t="s">
        <v>84</v>
      </c>
      <c r="E996" s="97">
        <v>17754</v>
      </c>
      <c r="F996" s="97">
        <v>888</v>
      </c>
      <c r="G996" s="97">
        <v>5504</v>
      </c>
      <c r="H996" s="114">
        <v>28.903146860068052</v>
      </c>
      <c r="I996" s="125">
        <v>19383</v>
      </c>
      <c r="J996" s="115">
        <v>24.240342666490992</v>
      </c>
    </row>
    <row r="997" spans="1:10" ht="16">
      <c r="A997" s="100" t="s">
        <v>1408</v>
      </c>
      <c r="B997" s="101" t="s">
        <v>1288</v>
      </c>
      <c r="C997" s="102" t="s">
        <v>76</v>
      </c>
      <c r="D997" s="103" t="s">
        <v>130</v>
      </c>
      <c r="E997" s="104">
        <v>27078</v>
      </c>
      <c r="F997" s="104">
        <v>2184</v>
      </c>
      <c r="G997" s="104">
        <v>1083</v>
      </c>
      <c r="H997" s="116">
        <v>25.895462071575658</v>
      </c>
      <c r="I997" s="126">
        <v>13931</v>
      </c>
      <c r="J997" s="117">
        <v>37.457913427718857</v>
      </c>
    </row>
    <row r="998" spans="1:10" ht="16">
      <c r="A998" s="93" t="s">
        <v>436</v>
      </c>
      <c r="B998" s="94" t="s">
        <v>402</v>
      </c>
      <c r="C998" s="95" t="s">
        <v>76</v>
      </c>
      <c r="D998" s="96" t="s">
        <v>130</v>
      </c>
      <c r="E998" s="97">
        <v>26412</v>
      </c>
      <c r="F998" s="97">
        <v>1190</v>
      </c>
      <c r="G998" s="97">
        <v>2113</v>
      </c>
      <c r="H998" s="114">
        <v>27.644466108056193</v>
      </c>
      <c r="I998" s="125">
        <v>24011</v>
      </c>
      <c r="J998" s="115">
        <v>31.260582821984514</v>
      </c>
    </row>
    <row r="999" spans="1:10" ht="16">
      <c r="A999" s="100" t="s">
        <v>135</v>
      </c>
      <c r="B999" s="101" t="s">
        <v>127</v>
      </c>
      <c r="C999" s="102" t="s">
        <v>76</v>
      </c>
      <c r="D999" s="103" t="s">
        <v>80</v>
      </c>
      <c r="E999" s="104">
        <v>3639</v>
      </c>
      <c r="F999" s="104">
        <v>337</v>
      </c>
      <c r="G999" s="104">
        <v>801</v>
      </c>
      <c r="H999" s="116">
        <v>16.853011755667492</v>
      </c>
      <c r="I999" s="126">
        <v>14411</v>
      </c>
      <c r="J999" s="117">
        <v>25.99015230761901</v>
      </c>
    </row>
    <row r="1000" spans="1:10" ht="16">
      <c r="A1000" s="93" t="s">
        <v>437</v>
      </c>
      <c r="B1000" s="94" t="s">
        <v>402</v>
      </c>
      <c r="C1000" s="95" t="s">
        <v>76</v>
      </c>
      <c r="D1000" s="96" t="s">
        <v>84</v>
      </c>
      <c r="E1000" s="97">
        <v>11387</v>
      </c>
      <c r="F1000" s="97">
        <v>203</v>
      </c>
      <c r="G1000" s="97">
        <v>1480</v>
      </c>
      <c r="H1000" s="114">
        <v>44.240192066335098</v>
      </c>
      <c r="I1000" s="125">
        <v>29415</v>
      </c>
      <c r="J1000" s="115">
        <v>38.813978346572</v>
      </c>
    </row>
    <row r="1001" spans="1:10" ht="16">
      <c r="A1001" s="100" t="s">
        <v>569</v>
      </c>
      <c r="B1001" s="101" t="s">
        <v>537</v>
      </c>
      <c r="C1001" s="102" t="s">
        <v>76</v>
      </c>
      <c r="D1001" s="103" t="s">
        <v>82</v>
      </c>
      <c r="E1001" s="104">
        <v>9441</v>
      </c>
      <c r="F1001" s="104">
        <v>327</v>
      </c>
      <c r="G1001" s="104">
        <v>94</v>
      </c>
      <c r="H1001" s="116">
        <v>14.00960010216226</v>
      </c>
      <c r="I1001" s="126">
        <v>6141</v>
      </c>
      <c r="J1001" s="117">
        <v>14.930300766893597</v>
      </c>
    </row>
    <row r="1002" spans="1:10" ht="16">
      <c r="A1002" s="93" t="s">
        <v>982</v>
      </c>
      <c r="B1002" s="94" t="s">
        <v>977</v>
      </c>
      <c r="C1002" s="95" t="s">
        <v>76</v>
      </c>
      <c r="D1002" s="96" t="s">
        <v>63</v>
      </c>
      <c r="E1002" s="97">
        <v>36660</v>
      </c>
      <c r="F1002" s="97">
        <v>1255</v>
      </c>
      <c r="G1002" s="97">
        <v>1466</v>
      </c>
      <c r="H1002" s="114">
        <v>29.676448090077148</v>
      </c>
      <c r="I1002" s="125">
        <v>20196</v>
      </c>
      <c r="J1002" s="115">
        <v>25.882288781188716</v>
      </c>
    </row>
    <row r="1003" spans="1:10" ht="16">
      <c r="A1003" s="100" t="s">
        <v>218</v>
      </c>
      <c r="B1003" s="101" t="s">
        <v>212</v>
      </c>
      <c r="C1003" s="102" t="s">
        <v>107</v>
      </c>
      <c r="D1003" s="103" t="s">
        <v>59</v>
      </c>
      <c r="E1003" s="104">
        <v>10437</v>
      </c>
      <c r="F1003" s="104">
        <v>424</v>
      </c>
      <c r="G1003" s="104">
        <v>104</v>
      </c>
      <c r="H1003" s="116">
        <v>16.401208344079155</v>
      </c>
      <c r="I1003" s="126">
        <v>5497</v>
      </c>
      <c r="J1003" s="117">
        <v>15.893696656357717</v>
      </c>
    </row>
    <row r="1004" spans="1:10" ht="16">
      <c r="A1004" s="93" t="s">
        <v>1040</v>
      </c>
      <c r="B1004" s="94" t="s">
        <v>1020</v>
      </c>
      <c r="C1004" s="95" t="s">
        <v>76</v>
      </c>
      <c r="D1004" s="96" t="s">
        <v>82</v>
      </c>
      <c r="E1004" s="97">
        <v>18336</v>
      </c>
      <c r="F1004" s="97">
        <v>1421</v>
      </c>
      <c r="G1004" s="97">
        <v>733</v>
      </c>
      <c r="H1004" s="114">
        <v>11.953177635644106</v>
      </c>
      <c r="I1004" s="125">
        <v>7931</v>
      </c>
      <c r="J1004" s="115">
        <v>19.374842419751481</v>
      </c>
    </row>
    <row r="1005" spans="1:10" ht="16">
      <c r="A1005" s="100" t="s">
        <v>845</v>
      </c>
      <c r="B1005" s="101" t="s">
        <v>843</v>
      </c>
      <c r="C1005" s="102" t="s">
        <v>107</v>
      </c>
      <c r="D1005" s="103" t="s">
        <v>82</v>
      </c>
      <c r="E1005" s="104">
        <v>34056</v>
      </c>
      <c r="F1005" s="104">
        <v>1678</v>
      </c>
      <c r="G1005" s="104">
        <v>2370</v>
      </c>
      <c r="H1005" s="116">
        <v>9.3697389774106021</v>
      </c>
      <c r="I1005" s="126">
        <v>5312</v>
      </c>
      <c r="J1005" s="117">
        <v>16.479862950964854</v>
      </c>
    </row>
    <row r="1006" spans="1:10" ht="16">
      <c r="A1006" s="93" t="s">
        <v>1041</v>
      </c>
      <c r="B1006" s="94" t="s">
        <v>1020</v>
      </c>
      <c r="C1006" s="95" t="s">
        <v>76</v>
      </c>
      <c r="D1006" s="96" t="s">
        <v>61</v>
      </c>
      <c r="E1006" s="97">
        <v>18714</v>
      </c>
      <c r="F1006" s="97">
        <v>1094</v>
      </c>
      <c r="G1006" s="97">
        <v>1310</v>
      </c>
      <c r="H1006" s="114">
        <v>12.836138445956038</v>
      </c>
      <c r="I1006" s="125">
        <v>5308</v>
      </c>
      <c r="J1006" s="115">
        <v>17.831401733083659</v>
      </c>
    </row>
    <row r="1007" spans="1:10" ht="16">
      <c r="A1007" s="100" t="s">
        <v>768</v>
      </c>
      <c r="B1007" s="101" t="s">
        <v>766</v>
      </c>
      <c r="C1007" s="102" t="s">
        <v>76</v>
      </c>
      <c r="D1007" s="103" t="s">
        <v>80</v>
      </c>
      <c r="E1007" s="104">
        <v>12367</v>
      </c>
      <c r="F1007" s="104">
        <v>374</v>
      </c>
      <c r="G1007" s="104">
        <v>742</v>
      </c>
      <c r="H1007" s="116">
        <v>19.511813306059622</v>
      </c>
      <c r="I1007" s="126">
        <v>4820</v>
      </c>
      <c r="J1007" s="117">
        <v>17.128412781828825</v>
      </c>
    </row>
    <row r="1008" spans="1:10" ht="16">
      <c r="A1008" s="93" t="s">
        <v>1077</v>
      </c>
      <c r="B1008" s="94" t="s">
        <v>1072</v>
      </c>
      <c r="C1008" s="95" t="s">
        <v>76</v>
      </c>
      <c r="D1008" s="96" t="s">
        <v>62</v>
      </c>
      <c r="E1008" s="97">
        <v>12197</v>
      </c>
      <c r="F1008" s="97">
        <v>1271</v>
      </c>
      <c r="G1008" s="97">
        <v>2927</v>
      </c>
      <c r="H1008" s="114">
        <v>44.812112910796309</v>
      </c>
      <c r="I1008" s="125">
        <v>32526</v>
      </c>
      <c r="J1008" s="115">
        <v>33.280368701185701</v>
      </c>
    </row>
    <row r="1009" spans="1:10" ht="16">
      <c r="A1009" s="100" t="s">
        <v>1261</v>
      </c>
      <c r="B1009" s="101" t="s">
        <v>1190</v>
      </c>
      <c r="C1009" s="102" t="s">
        <v>76</v>
      </c>
      <c r="D1009" s="103" t="s">
        <v>77</v>
      </c>
      <c r="E1009" s="104">
        <v>30236</v>
      </c>
      <c r="F1009" s="104">
        <v>2129</v>
      </c>
      <c r="G1009" s="104">
        <v>8768</v>
      </c>
      <c r="H1009" s="116">
        <v>45.996655157870947</v>
      </c>
      <c r="I1009" s="126">
        <v>35889</v>
      </c>
      <c r="J1009" s="117">
        <v>41.11859707341317</v>
      </c>
    </row>
    <row r="1010" spans="1:10" ht="16">
      <c r="A1010" s="93" t="s">
        <v>1262</v>
      </c>
      <c r="B1010" s="94" t="s">
        <v>1190</v>
      </c>
      <c r="C1010" s="95" t="s">
        <v>76</v>
      </c>
      <c r="D1010" s="96" t="s">
        <v>61</v>
      </c>
      <c r="E1010" s="97">
        <v>14645</v>
      </c>
      <c r="F1010" s="97">
        <v>1024</v>
      </c>
      <c r="G1010" s="97">
        <v>4686</v>
      </c>
      <c r="H1010" s="114">
        <v>35.073630707725982</v>
      </c>
      <c r="I1010" s="125">
        <v>33488</v>
      </c>
      <c r="J1010" s="115">
        <v>31.062108269625057</v>
      </c>
    </row>
    <row r="1011" spans="1:10" ht="16">
      <c r="A1011" s="100" t="s">
        <v>136</v>
      </c>
      <c r="B1011" s="101" t="s">
        <v>127</v>
      </c>
      <c r="C1011" s="102" t="s">
        <v>107</v>
      </c>
      <c r="D1011" s="103" t="s">
        <v>62</v>
      </c>
      <c r="E1011" s="104">
        <v>3074</v>
      </c>
      <c r="F1011" s="104">
        <v>521</v>
      </c>
      <c r="G1011" s="104">
        <v>461</v>
      </c>
      <c r="H1011" s="116">
        <v>11.55035505046262</v>
      </c>
      <c r="I1011" s="126">
        <v>4053</v>
      </c>
      <c r="J1011" s="117">
        <v>28.201920859371768</v>
      </c>
    </row>
    <row r="1012" spans="1:10" ht="16">
      <c r="A1012" s="93" t="s">
        <v>198</v>
      </c>
      <c r="B1012" s="94" t="s">
        <v>184</v>
      </c>
      <c r="C1012" s="95" t="s">
        <v>76</v>
      </c>
      <c r="D1012" s="96" t="s">
        <v>84</v>
      </c>
      <c r="E1012" s="97">
        <v>6996</v>
      </c>
      <c r="F1012" s="97">
        <v>542</v>
      </c>
      <c r="G1012" s="97">
        <v>840</v>
      </c>
      <c r="H1012" s="114">
        <v>13.156891238679059</v>
      </c>
      <c r="I1012" s="125">
        <v>2848</v>
      </c>
      <c r="J1012" s="115">
        <v>17.406886189956612</v>
      </c>
    </row>
    <row r="1013" spans="1:10" ht="16">
      <c r="A1013" s="100" t="s">
        <v>392</v>
      </c>
      <c r="B1013" s="101" t="s">
        <v>377</v>
      </c>
      <c r="C1013" s="102" t="s">
        <v>76</v>
      </c>
      <c r="D1013" s="103" t="s">
        <v>77</v>
      </c>
      <c r="E1013" s="104">
        <v>69287</v>
      </c>
      <c r="F1013" s="104">
        <v>2389</v>
      </c>
      <c r="G1013" s="104">
        <v>9007</v>
      </c>
      <c r="H1013" s="116">
        <v>17.310059085502711</v>
      </c>
      <c r="I1013" s="126">
        <v>9306</v>
      </c>
      <c r="J1013" s="117">
        <v>20.672504099297928</v>
      </c>
    </row>
    <row r="1014" spans="1:10" ht="16">
      <c r="A1014" s="93" t="s">
        <v>589</v>
      </c>
      <c r="B1014" s="94" t="s">
        <v>581</v>
      </c>
      <c r="C1014" s="95" t="s">
        <v>107</v>
      </c>
      <c r="D1014" s="96" t="s">
        <v>84</v>
      </c>
      <c r="E1014" s="97">
        <v>14221</v>
      </c>
      <c r="F1014" s="97">
        <v>655</v>
      </c>
      <c r="G1014" s="97">
        <v>2418</v>
      </c>
      <c r="H1014" s="114">
        <v>24.230697593526148</v>
      </c>
      <c r="I1014" s="125">
        <v>12884</v>
      </c>
      <c r="J1014" s="115">
        <v>20.692465073929526</v>
      </c>
    </row>
    <row r="1015" spans="1:10" ht="16">
      <c r="A1015" s="100" t="s">
        <v>1263</v>
      </c>
      <c r="B1015" s="101" t="s">
        <v>1190</v>
      </c>
      <c r="C1015" s="102" t="s">
        <v>76</v>
      </c>
      <c r="D1015" s="103" t="s">
        <v>77</v>
      </c>
      <c r="E1015" s="104">
        <v>12060</v>
      </c>
      <c r="F1015" s="104">
        <v>799</v>
      </c>
      <c r="G1015" s="104">
        <v>1568</v>
      </c>
      <c r="H1015" s="116">
        <v>14.755206010525267</v>
      </c>
      <c r="I1015" s="126">
        <v>9165</v>
      </c>
      <c r="J1015" s="117">
        <v>17.499051357973794</v>
      </c>
    </row>
    <row r="1016" spans="1:10" ht="16">
      <c r="A1016" s="93" t="s">
        <v>901</v>
      </c>
      <c r="B1016" s="94" t="s">
        <v>893</v>
      </c>
      <c r="C1016" s="95" t="s">
        <v>76</v>
      </c>
      <c r="D1016" s="96" t="s">
        <v>92</v>
      </c>
      <c r="E1016" s="97">
        <v>47886</v>
      </c>
      <c r="F1016" s="97">
        <v>2705</v>
      </c>
      <c r="G1016" s="97">
        <v>5746</v>
      </c>
      <c r="H1016" s="114">
        <v>30.085775498418798</v>
      </c>
      <c r="I1016" s="125">
        <v>15753</v>
      </c>
      <c r="J1016" s="115">
        <v>25.604580866035494</v>
      </c>
    </row>
    <row r="1017" spans="1:10" ht="16">
      <c r="A1017" s="100" t="s">
        <v>1264</v>
      </c>
      <c r="B1017" s="101" t="s">
        <v>1190</v>
      </c>
      <c r="C1017" s="102" t="s">
        <v>76</v>
      </c>
      <c r="D1017" s="103" t="s">
        <v>84</v>
      </c>
      <c r="E1017" s="104">
        <v>23057</v>
      </c>
      <c r="F1017" s="104">
        <v>1671</v>
      </c>
      <c r="G1017" s="104">
        <v>7609</v>
      </c>
      <c r="H1017" s="116">
        <v>37.773466929372603</v>
      </c>
      <c r="I1017" s="126">
        <v>33381</v>
      </c>
      <c r="J1017" s="117">
        <v>35.595882510130622</v>
      </c>
    </row>
    <row r="1018" spans="1:10" ht="16">
      <c r="A1018" s="93" t="s">
        <v>973</v>
      </c>
      <c r="B1018" s="94" t="s">
        <v>974</v>
      </c>
      <c r="C1018" s="95" t="s">
        <v>76</v>
      </c>
      <c r="D1018" s="96" t="s">
        <v>84</v>
      </c>
      <c r="E1018" s="97">
        <v>40110</v>
      </c>
      <c r="F1018" s="97">
        <v>2729</v>
      </c>
      <c r="G1018" s="97">
        <v>2407</v>
      </c>
      <c r="H1018" s="114">
        <v>19.443709873365325</v>
      </c>
      <c r="I1018" s="125">
        <v>8448</v>
      </c>
      <c r="J1018" s="115">
        <v>21.280509159288037</v>
      </c>
    </row>
    <row r="1019" spans="1:10" ht="16">
      <c r="A1019" s="100" t="s">
        <v>1042</v>
      </c>
      <c r="B1019" s="101" t="s">
        <v>1020</v>
      </c>
      <c r="C1019" s="102" t="s">
        <v>76</v>
      </c>
      <c r="D1019" s="103" t="s">
        <v>77</v>
      </c>
      <c r="E1019" s="104">
        <v>8595</v>
      </c>
      <c r="F1019" s="104">
        <v>585</v>
      </c>
      <c r="G1019" s="104">
        <v>688</v>
      </c>
      <c r="H1019" s="116">
        <v>15.431388585800867</v>
      </c>
      <c r="I1019" s="126">
        <v>7477</v>
      </c>
      <c r="J1019" s="117">
        <v>24.166896866975279</v>
      </c>
    </row>
    <row r="1020" spans="1:10" ht="16">
      <c r="A1020" s="93" t="s">
        <v>393</v>
      </c>
      <c r="B1020" s="94" t="s">
        <v>377</v>
      </c>
      <c r="C1020" s="95" t="s">
        <v>76</v>
      </c>
      <c r="D1020" s="96" t="s">
        <v>80</v>
      </c>
      <c r="E1020" s="97">
        <v>58678</v>
      </c>
      <c r="F1020" s="97">
        <v>3056</v>
      </c>
      <c r="G1020" s="97">
        <v>9388</v>
      </c>
      <c r="H1020" s="114">
        <v>14.128284059639441</v>
      </c>
      <c r="I1020" s="125">
        <v>8397</v>
      </c>
      <c r="J1020" s="115">
        <v>22.222658903268616</v>
      </c>
    </row>
    <row r="1021" spans="1:10" ht="16">
      <c r="A1021" s="100" t="s">
        <v>776</v>
      </c>
      <c r="B1021" s="101" t="s">
        <v>777</v>
      </c>
      <c r="C1021" s="102" t="s">
        <v>76</v>
      </c>
      <c r="D1021" s="103" t="s">
        <v>63</v>
      </c>
      <c r="E1021" s="104">
        <v>4654</v>
      </c>
      <c r="F1021" s="104">
        <v>249</v>
      </c>
      <c r="G1021" s="104">
        <v>2280</v>
      </c>
      <c r="H1021" s="116">
        <v>36.512042886486725</v>
      </c>
      <c r="I1021" s="126">
        <v>27758</v>
      </c>
      <c r="J1021" s="117">
        <v>38.003104203623877</v>
      </c>
    </row>
    <row r="1022" spans="1:10" ht="16">
      <c r="A1022" s="93" t="s">
        <v>780</v>
      </c>
      <c r="B1022" s="94" t="s">
        <v>779</v>
      </c>
      <c r="C1022" s="95" t="s">
        <v>76</v>
      </c>
      <c r="D1022" s="96" t="s">
        <v>60</v>
      </c>
      <c r="E1022" s="97">
        <v>9340</v>
      </c>
      <c r="F1022" s="97">
        <v>649</v>
      </c>
      <c r="G1022" s="97">
        <v>3456</v>
      </c>
      <c r="H1022" s="114">
        <v>32.823851047264597</v>
      </c>
      <c r="I1022" s="125">
        <v>20329</v>
      </c>
      <c r="J1022" s="115">
        <v>32.484179688022792</v>
      </c>
    </row>
    <row r="1023" spans="1:10" ht="16">
      <c r="A1023" s="100" t="s">
        <v>1043</v>
      </c>
      <c r="B1023" s="101" t="s">
        <v>1020</v>
      </c>
      <c r="C1023" s="102" t="s">
        <v>76</v>
      </c>
      <c r="D1023" s="103" t="s">
        <v>84</v>
      </c>
      <c r="E1023" s="104">
        <v>35654</v>
      </c>
      <c r="F1023" s="104">
        <v>2764</v>
      </c>
      <c r="G1023" s="104">
        <v>3209</v>
      </c>
      <c r="H1023" s="116">
        <v>11.920523828246148</v>
      </c>
      <c r="I1023" s="126">
        <v>3824</v>
      </c>
      <c r="J1023" s="117">
        <v>20.764093569490647</v>
      </c>
    </row>
    <row r="1024" spans="1:10" ht="16">
      <c r="A1024" s="93" t="s">
        <v>794</v>
      </c>
      <c r="B1024" s="94" t="s">
        <v>782</v>
      </c>
      <c r="C1024" s="95" t="s">
        <v>76</v>
      </c>
      <c r="D1024" s="96" t="s">
        <v>63</v>
      </c>
      <c r="E1024" s="97">
        <v>15140</v>
      </c>
      <c r="F1024" s="97">
        <v>1893</v>
      </c>
      <c r="G1024" s="97">
        <v>3028</v>
      </c>
      <c r="H1024" s="114">
        <v>31.247191584104385</v>
      </c>
      <c r="I1024" s="125">
        <v>17333</v>
      </c>
      <c r="J1024" s="115">
        <v>41.747874721554403</v>
      </c>
    </row>
    <row r="1025" spans="1:10" ht="16">
      <c r="A1025" s="100" t="s">
        <v>795</v>
      </c>
      <c r="B1025" s="101" t="s">
        <v>796</v>
      </c>
      <c r="C1025" s="102" t="s">
        <v>76</v>
      </c>
      <c r="D1025" s="103" t="s">
        <v>80</v>
      </c>
      <c r="E1025" s="104">
        <v>11772</v>
      </c>
      <c r="F1025" s="104">
        <v>906</v>
      </c>
      <c r="G1025" s="104">
        <v>1059</v>
      </c>
      <c r="H1025" s="116">
        <v>14.080644924326487</v>
      </c>
      <c r="I1025" s="126">
        <v>6672</v>
      </c>
      <c r="J1025" s="117">
        <v>17.172534923993343</v>
      </c>
    </row>
    <row r="1026" spans="1:10" ht="16">
      <c r="A1026" s="93" t="s">
        <v>1265</v>
      </c>
      <c r="B1026" s="94" t="s">
        <v>1190</v>
      </c>
      <c r="C1026" s="95" t="s">
        <v>76</v>
      </c>
      <c r="D1026" s="96" t="s">
        <v>80</v>
      </c>
      <c r="E1026" s="97">
        <v>37038</v>
      </c>
      <c r="F1026" s="97">
        <v>2572</v>
      </c>
      <c r="G1026" s="97">
        <v>14815</v>
      </c>
      <c r="H1026" s="114">
        <v>64.008706075922703</v>
      </c>
      <c r="I1026" s="125">
        <v>54445</v>
      </c>
      <c r="J1026" s="115">
        <v>57.043533174105612</v>
      </c>
    </row>
    <row r="1027" spans="1:10" ht="16">
      <c r="A1027" s="100" t="s">
        <v>199</v>
      </c>
      <c r="B1027" s="101" t="s">
        <v>184</v>
      </c>
      <c r="C1027" s="102" t="s">
        <v>76</v>
      </c>
      <c r="D1027" s="103" t="s">
        <v>59</v>
      </c>
      <c r="E1027" s="104">
        <v>29311</v>
      </c>
      <c r="F1027" s="104">
        <v>997</v>
      </c>
      <c r="G1027" s="104">
        <v>4983</v>
      </c>
      <c r="H1027" s="116">
        <v>31.509815691044672</v>
      </c>
      <c r="I1027" s="126">
        <v>21607</v>
      </c>
      <c r="J1027" s="117">
        <v>28.542342763771114</v>
      </c>
    </row>
    <row r="1028" spans="1:10" ht="16">
      <c r="A1028" s="93" t="s">
        <v>438</v>
      </c>
      <c r="B1028" s="94" t="s">
        <v>402</v>
      </c>
      <c r="C1028" s="95" t="s">
        <v>76</v>
      </c>
      <c r="D1028" s="96" t="s">
        <v>82</v>
      </c>
      <c r="E1028" s="97">
        <v>10730</v>
      </c>
      <c r="F1028" s="97">
        <v>134</v>
      </c>
      <c r="G1028" s="97">
        <v>1931</v>
      </c>
      <c r="H1028" s="114">
        <v>50.786528017955007</v>
      </c>
      <c r="I1028" s="125">
        <v>39255</v>
      </c>
      <c r="J1028" s="115">
        <v>42.741868288476873</v>
      </c>
    </row>
    <row r="1029" spans="1:10" ht="16">
      <c r="A1029" s="100" t="s">
        <v>1136</v>
      </c>
      <c r="B1029" s="101" t="s">
        <v>1135</v>
      </c>
      <c r="C1029" s="102" t="s">
        <v>76</v>
      </c>
      <c r="D1029" s="103" t="s">
        <v>77</v>
      </c>
      <c r="E1029" s="104">
        <v>18361</v>
      </c>
      <c r="F1029" s="104">
        <v>1360</v>
      </c>
      <c r="G1029" s="104">
        <v>184</v>
      </c>
      <c r="H1029" s="116">
        <v>8.229541677594538</v>
      </c>
      <c r="I1029" s="126">
        <v>1908</v>
      </c>
      <c r="J1029" s="117">
        <v>19.419151614064084</v>
      </c>
    </row>
    <row r="1030" spans="1:10" ht="16">
      <c r="A1030" s="93" t="s">
        <v>439</v>
      </c>
      <c r="B1030" s="94" t="s">
        <v>402</v>
      </c>
      <c r="C1030" s="95" t="s">
        <v>76</v>
      </c>
      <c r="D1030" s="96" t="s">
        <v>82</v>
      </c>
      <c r="E1030" s="97">
        <v>25541</v>
      </c>
      <c r="F1030" s="97">
        <v>736</v>
      </c>
      <c r="G1030" s="97">
        <v>3065</v>
      </c>
      <c r="H1030" s="114">
        <v>29.190081078893968</v>
      </c>
      <c r="I1030" s="125">
        <v>21442</v>
      </c>
      <c r="J1030" s="115">
        <v>33.965541870541877</v>
      </c>
    </row>
    <row r="1031" spans="1:10" ht="16">
      <c r="A1031" s="100" t="s">
        <v>975</v>
      </c>
      <c r="B1031" s="101" t="s">
        <v>974</v>
      </c>
      <c r="C1031" s="102" t="s">
        <v>76</v>
      </c>
      <c r="D1031" s="103" t="s">
        <v>60</v>
      </c>
      <c r="E1031" s="104">
        <v>12124</v>
      </c>
      <c r="F1031" s="104">
        <v>891</v>
      </c>
      <c r="G1031" s="104">
        <v>606</v>
      </c>
      <c r="H1031" s="116">
        <v>16.771134862544198</v>
      </c>
      <c r="I1031" s="126">
        <v>4925</v>
      </c>
      <c r="J1031" s="117">
        <v>17.141962217270596</v>
      </c>
    </row>
    <row r="1032" spans="1:10" ht="16">
      <c r="A1032" s="93" t="s">
        <v>816</v>
      </c>
      <c r="B1032" s="94" t="s">
        <v>814</v>
      </c>
      <c r="C1032" s="95" t="s">
        <v>76</v>
      </c>
      <c r="D1032" s="96" t="s">
        <v>82</v>
      </c>
      <c r="E1032" s="97">
        <v>102000</v>
      </c>
      <c r="F1032" s="97">
        <v>1553</v>
      </c>
      <c r="G1032" s="97">
        <v>1020</v>
      </c>
      <c r="H1032" s="114">
        <v>8.7630546601755164</v>
      </c>
      <c r="I1032" s="125">
        <v>2032</v>
      </c>
      <c r="J1032" s="115">
        <v>18.721309451580279</v>
      </c>
    </row>
    <row r="1033" spans="1:10" ht="16">
      <c r="A1033" s="100" t="s">
        <v>1409</v>
      </c>
      <c r="B1033" s="101" t="s">
        <v>1288</v>
      </c>
      <c r="C1033" s="102" t="s">
        <v>107</v>
      </c>
      <c r="D1033" s="103" t="s">
        <v>77</v>
      </c>
      <c r="E1033" s="104">
        <v>11667</v>
      </c>
      <c r="F1033" s="104">
        <v>645</v>
      </c>
      <c r="G1033" s="104">
        <v>933</v>
      </c>
      <c r="H1033" s="116">
        <v>17.503290974049921</v>
      </c>
      <c r="I1033" s="126">
        <v>10194</v>
      </c>
      <c r="J1033" s="117">
        <v>23.720174972061479</v>
      </c>
    </row>
    <row r="1034" spans="1:10" ht="16">
      <c r="A1034" s="93" t="s">
        <v>1410</v>
      </c>
      <c r="B1034" s="94" t="s">
        <v>1288</v>
      </c>
      <c r="C1034" s="95" t="s">
        <v>107</v>
      </c>
      <c r="D1034" s="96" t="s">
        <v>80</v>
      </c>
      <c r="E1034" s="97">
        <v>33108</v>
      </c>
      <c r="F1034" s="97">
        <v>1994</v>
      </c>
      <c r="G1034" s="97">
        <v>3642</v>
      </c>
      <c r="H1034" s="114">
        <v>59.427550801811968</v>
      </c>
      <c r="I1034" s="125">
        <v>53030</v>
      </c>
      <c r="J1034" s="115">
        <v>47.684058604400349</v>
      </c>
    </row>
    <row r="1035" spans="1:10" ht="16">
      <c r="A1035" s="100" t="s">
        <v>1411</v>
      </c>
      <c r="B1035" s="101" t="s">
        <v>1288</v>
      </c>
      <c r="C1035" s="102" t="s">
        <v>107</v>
      </c>
      <c r="D1035" s="103" t="s">
        <v>130</v>
      </c>
      <c r="E1035" s="104">
        <v>61204</v>
      </c>
      <c r="F1035" s="104">
        <v>4708</v>
      </c>
      <c r="G1035" s="104">
        <v>9181</v>
      </c>
      <c r="H1035" s="116">
        <v>31.241065405767959</v>
      </c>
      <c r="I1035" s="126">
        <v>27183</v>
      </c>
      <c r="J1035" s="117">
        <v>38.687363002037493</v>
      </c>
    </row>
    <row r="1036" spans="1:10" ht="16">
      <c r="A1036" s="93" t="s">
        <v>570</v>
      </c>
      <c r="B1036" s="94" t="s">
        <v>537</v>
      </c>
      <c r="C1036" s="95" t="s">
        <v>76</v>
      </c>
      <c r="D1036" s="96" t="s">
        <v>84</v>
      </c>
      <c r="E1036" s="97">
        <v>12942</v>
      </c>
      <c r="F1036" s="97">
        <v>384</v>
      </c>
      <c r="G1036" s="97">
        <v>259</v>
      </c>
      <c r="H1036" s="114">
        <v>11.997631437124497</v>
      </c>
      <c r="I1036" s="125">
        <v>3875</v>
      </c>
      <c r="J1036" s="115">
        <v>28.706134710953002</v>
      </c>
    </row>
    <row r="1037" spans="1:10" ht="16">
      <c r="A1037" s="100" t="s">
        <v>112</v>
      </c>
      <c r="B1037" s="101" t="s">
        <v>89</v>
      </c>
      <c r="C1037" s="102" t="s">
        <v>76</v>
      </c>
      <c r="D1037" s="103" t="s">
        <v>77</v>
      </c>
      <c r="E1037" s="104">
        <v>47385</v>
      </c>
      <c r="F1037" s="104">
        <v>1802</v>
      </c>
      <c r="G1037" s="104">
        <v>21797</v>
      </c>
      <c r="H1037" s="116">
        <v>74.289437445989677</v>
      </c>
      <c r="I1037" s="126">
        <v>66617</v>
      </c>
      <c r="J1037" s="117">
        <v>66.345675741029396</v>
      </c>
    </row>
    <row r="1038" spans="1:10" ht="16">
      <c r="A1038" s="93" t="s">
        <v>1412</v>
      </c>
      <c r="B1038" s="94" t="s">
        <v>1288</v>
      </c>
      <c r="C1038" s="95" t="s">
        <v>76</v>
      </c>
      <c r="D1038" s="96" t="s">
        <v>84</v>
      </c>
      <c r="E1038" s="97">
        <v>15971</v>
      </c>
      <c r="F1038" s="97">
        <v>2535</v>
      </c>
      <c r="G1038" s="97">
        <v>2555</v>
      </c>
      <c r="H1038" s="114">
        <v>25.224818271588777</v>
      </c>
      <c r="I1038" s="125">
        <v>21017</v>
      </c>
      <c r="J1038" s="115">
        <v>44.1353059858696</v>
      </c>
    </row>
    <row r="1039" spans="1:10" ht="16">
      <c r="A1039" s="100" t="s">
        <v>1413</v>
      </c>
      <c r="B1039" s="101" t="s">
        <v>1288</v>
      </c>
      <c r="C1039" s="102" t="s">
        <v>107</v>
      </c>
      <c r="D1039" s="103" t="s">
        <v>59</v>
      </c>
      <c r="E1039" s="104">
        <v>42982</v>
      </c>
      <c r="F1039" s="104">
        <v>5179</v>
      </c>
      <c r="G1039" s="104">
        <v>7307</v>
      </c>
      <c r="H1039" s="116">
        <v>86.223638250122562</v>
      </c>
      <c r="I1039" s="126">
        <v>81842</v>
      </c>
      <c r="J1039" s="117">
        <v>80.023225460170963</v>
      </c>
    </row>
    <row r="1040" spans="1:10" ht="16">
      <c r="A1040" s="93" t="s">
        <v>617</v>
      </c>
      <c r="B1040" s="94" t="s">
        <v>598</v>
      </c>
      <c r="C1040" s="95" t="s">
        <v>76</v>
      </c>
      <c r="D1040" s="96" t="s">
        <v>84</v>
      </c>
      <c r="E1040" s="97">
        <v>45451</v>
      </c>
      <c r="F1040" s="97">
        <v>2124</v>
      </c>
      <c r="G1040" s="97">
        <v>2727</v>
      </c>
      <c r="H1040" s="114">
        <v>29.003209409275069</v>
      </c>
      <c r="I1040" s="125">
        <v>21006</v>
      </c>
      <c r="J1040" s="115">
        <v>36.624202386391254</v>
      </c>
    </row>
    <row r="1041" spans="1:10" ht="16">
      <c r="A1041" s="100" t="s">
        <v>618</v>
      </c>
      <c r="B1041" s="101" t="s">
        <v>598</v>
      </c>
      <c r="C1041" s="102" t="s">
        <v>76</v>
      </c>
      <c r="D1041" s="103" t="s">
        <v>63</v>
      </c>
      <c r="E1041" s="104">
        <v>26509</v>
      </c>
      <c r="F1041" s="104">
        <v>917</v>
      </c>
      <c r="G1041" s="104">
        <v>1591</v>
      </c>
      <c r="H1041" s="116">
        <v>20.638205631484002</v>
      </c>
      <c r="I1041" s="126">
        <v>16454</v>
      </c>
      <c r="J1041" s="117">
        <v>24.284311200465847</v>
      </c>
    </row>
    <row r="1042" spans="1:10" ht="16">
      <c r="A1042" s="93" t="s">
        <v>902</v>
      </c>
      <c r="B1042" s="94" t="s">
        <v>893</v>
      </c>
      <c r="C1042" s="95" t="s">
        <v>76</v>
      </c>
      <c r="D1042" s="96" t="s">
        <v>59</v>
      </c>
      <c r="E1042" s="97">
        <v>18066</v>
      </c>
      <c r="F1042" s="97">
        <v>1009</v>
      </c>
      <c r="G1042" s="97">
        <v>1807</v>
      </c>
      <c r="H1042" s="114">
        <v>20.108726370827451</v>
      </c>
      <c r="I1042" s="125">
        <v>6725</v>
      </c>
      <c r="J1042" s="115">
        <v>22.532247593127977</v>
      </c>
    </row>
    <row r="1043" spans="1:10" ht="16">
      <c r="A1043" s="100" t="s">
        <v>1414</v>
      </c>
      <c r="B1043" s="101" t="s">
        <v>1288</v>
      </c>
      <c r="C1043" s="102" t="s">
        <v>76</v>
      </c>
      <c r="D1043" s="103" t="s">
        <v>130</v>
      </c>
      <c r="E1043" s="104">
        <v>61120</v>
      </c>
      <c r="F1043" s="104">
        <v>4929</v>
      </c>
      <c r="G1043" s="104">
        <v>6723</v>
      </c>
      <c r="H1043" s="116">
        <v>59.559415162033083</v>
      </c>
      <c r="I1043" s="126">
        <v>49104</v>
      </c>
      <c r="J1043" s="117">
        <v>56.014482543891788</v>
      </c>
    </row>
    <row r="1044" spans="1:10" ht="16">
      <c r="A1044" s="93" t="s">
        <v>1415</v>
      </c>
      <c r="B1044" s="94" t="s">
        <v>1288</v>
      </c>
      <c r="C1044" s="95" t="s">
        <v>76</v>
      </c>
      <c r="D1044" s="96" t="s">
        <v>61</v>
      </c>
      <c r="E1044" s="97">
        <v>28513</v>
      </c>
      <c r="F1044" s="97">
        <v>2144</v>
      </c>
      <c r="G1044" s="97">
        <v>1711</v>
      </c>
      <c r="H1044" s="114">
        <v>24.613126056186136</v>
      </c>
      <c r="I1044" s="125">
        <v>16021</v>
      </c>
      <c r="J1044" s="115">
        <v>35.770931852787534</v>
      </c>
    </row>
    <row r="1045" spans="1:10" ht="16">
      <c r="A1045" s="100" t="s">
        <v>1416</v>
      </c>
      <c r="B1045" s="101" t="s">
        <v>1288</v>
      </c>
      <c r="C1045" s="102" t="s">
        <v>76</v>
      </c>
      <c r="D1045" s="103" t="s">
        <v>82</v>
      </c>
      <c r="E1045" s="104">
        <v>7019</v>
      </c>
      <c r="F1045" s="104">
        <v>439</v>
      </c>
      <c r="G1045" s="104">
        <v>421</v>
      </c>
      <c r="H1045" s="116">
        <v>25.114059456533347</v>
      </c>
      <c r="I1045" s="126">
        <v>17419</v>
      </c>
      <c r="J1045" s="117">
        <v>30.471796757984134</v>
      </c>
    </row>
    <row r="1046" spans="1:10" ht="16">
      <c r="A1046" s="93" t="s">
        <v>739</v>
      </c>
      <c r="B1046" s="94" t="s">
        <v>642</v>
      </c>
      <c r="C1046" s="95" t="s">
        <v>107</v>
      </c>
      <c r="D1046" s="96" t="s">
        <v>80</v>
      </c>
      <c r="E1046" s="97">
        <v>5488</v>
      </c>
      <c r="F1046" s="97">
        <v>695</v>
      </c>
      <c r="G1046" s="97">
        <v>165</v>
      </c>
      <c r="H1046" s="114">
        <v>10.023738045794312</v>
      </c>
      <c r="I1046" s="125">
        <v>2204</v>
      </c>
      <c r="J1046" s="115">
        <v>21.011546448057285</v>
      </c>
    </row>
    <row r="1047" spans="1:10" ht="16">
      <c r="A1047" s="100" t="s">
        <v>619</v>
      </c>
      <c r="B1047" s="101" t="s">
        <v>598</v>
      </c>
      <c r="C1047" s="102" t="s">
        <v>76</v>
      </c>
      <c r="D1047" s="103" t="s">
        <v>62</v>
      </c>
      <c r="E1047" s="104">
        <v>17432</v>
      </c>
      <c r="F1047" s="104">
        <v>703</v>
      </c>
      <c r="G1047" s="104">
        <v>1046</v>
      </c>
      <c r="H1047" s="116">
        <v>20.018740302909947</v>
      </c>
      <c r="I1047" s="126">
        <v>13753</v>
      </c>
      <c r="J1047" s="117">
        <v>32.424770856382096</v>
      </c>
    </row>
    <row r="1048" spans="1:10" ht="16">
      <c r="A1048" s="93" t="s">
        <v>1137</v>
      </c>
      <c r="B1048" s="94" t="s">
        <v>1135</v>
      </c>
      <c r="C1048" s="95" t="s">
        <v>76</v>
      </c>
      <c r="D1048" s="96" t="s">
        <v>80</v>
      </c>
      <c r="E1048" s="97">
        <v>19973</v>
      </c>
      <c r="F1048" s="97">
        <v>2059</v>
      </c>
      <c r="G1048" s="97">
        <v>200</v>
      </c>
      <c r="H1048" s="114">
        <v>9.586367774806412</v>
      </c>
      <c r="I1048" s="125">
        <v>1140</v>
      </c>
      <c r="J1048" s="115">
        <v>21.497253863300475</v>
      </c>
    </row>
    <row r="1049" spans="1:10" ht="16">
      <c r="A1049" s="100" t="s">
        <v>811</v>
      </c>
      <c r="B1049" s="101" t="s">
        <v>812</v>
      </c>
      <c r="C1049" s="102" t="s">
        <v>76</v>
      </c>
      <c r="D1049" s="103" t="s">
        <v>130</v>
      </c>
      <c r="E1049" s="104">
        <v>19171</v>
      </c>
      <c r="F1049" s="104">
        <v>702</v>
      </c>
      <c r="G1049" s="104">
        <v>383</v>
      </c>
      <c r="H1049" s="116">
        <v>10.431785525493572</v>
      </c>
      <c r="I1049" s="126">
        <v>1494</v>
      </c>
      <c r="J1049" s="117">
        <v>12.907849432553354</v>
      </c>
    </row>
    <row r="1050" spans="1:10" ht="16">
      <c r="A1050" s="93" t="s">
        <v>200</v>
      </c>
      <c r="B1050" s="94" t="s">
        <v>184</v>
      </c>
      <c r="C1050" s="95" t="s">
        <v>107</v>
      </c>
      <c r="D1050" s="96" t="s">
        <v>92</v>
      </c>
      <c r="E1050" s="97">
        <v>36794</v>
      </c>
      <c r="F1050" s="97">
        <v>1821</v>
      </c>
      <c r="G1050" s="97">
        <v>8095</v>
      </c>
      <c r="H1050" s="114">
        <v>50.477500774749373</v>
      </c>
      <c r="I1050" s="125">
        <v>43084</v>
      </c>
      <c r="J1050" s="115">
        <v>48.84115690513854</v>
      </c>
    </row>
    <row r="1051" spans="1:10" ht="16">
      <c r="A1051" s="100" t="s">
        <v>526</v>
      </c>
      <c r="B1051" s="101" t="s">
        <v>474</v>
      </c>
      <c r="C1051" s="102" t="s">
        <v>107</v>
      </c>
      <c r="D1051" s="103" t="s">
        <v>63</v>
      </c>
      <c r="E1051" s="104">
        <v>7874</v>
      </c>
      <c r="F1051" s="104">
        <v>435</v>
      </c>
      <c r="G1051" s="104">
        <v>176</v>
      </c>
      <c r="H1051" s="116">
        <v>11.171315306810229</v>
      </c>
      <c r="I1051" s="126">
        <v>1821</v>
      </c>
      <c r="J1051" s="117">
        <v>31.430101370836617</v>
      </c>
    </row>
    <row r="1052" spans="1:10" ht="16">
      <c r="A1052" s="93" t="s">
        <v>1044</v>
      </c>
      <c r="B1052" s="94" t="s">
        <v>1020</v>
      </c>
      <c r="C1052" s="95" t="s">
        <v>76</v>
      </c>
      <c r="D1052" s="96" t="s">
        <v>60</v>
      </c>
      <c r="E1052" s="97">
        <v>27662</v>
      </c>
      <c r="F1052" s="97">
        <v>1697</v>
      </c>
      <c r="G1052" s="97">
        <v>1936</v>
      </c>
      <c r="H1052" s="114">
        <v>13.930971201504084</v>
      </c>
      <c r="I1052" s="125">
        <v>4601</v>
      </c>
      <c r="J1052" s="115">
        <v>22.566477739593267</v>
      </c>
    </row>
    <row r="1053" spans="1:10" ht="16">
      <c r="A1053" s="100" t="s">
        <v>527</v>
      </c>
      <c r="B1053" s="101" t="s">
        <v>474</v>
      </c>
      <c r="C1053" s="102" t="s">
        <v>107</v>
      </c>
      <c r="D1053" s="103" t="s">
        <v>63</v>
      </c>
      <c r="E1053" s="104">
        <v>7810</v>
      </c>
      <c r="F1053" s="104">
        <v>367</v>
      </c>
      <c r="G1053" s="104">
        <v>781</v>
      </c>
      <c r="H1053" s="116">
        <v>9.155216339259189</v>
      </c>
      <c r="I1053" s="126">
        <v>728</v>
      </c>
      <c r="J1053" s="117">
        <v>32.215450185385663</v>
      </c>
    </row>
    <row r="1054" spans="1:10" ht="16">
      <c r="A1054" s="93" t="s">
        <v>761</v>
      </c>
      <c r="B1054" s="94" t="s">
        <v>762</v>
      </c>
      <c r="C1054" s="95" t="s">
        <v>107</v>
      </c>
      <c r="D1054" s="96" t="s">
        <v>60</v>
      </c>
      <c r="E1054" s="97">
        <v>69456</v>
      </c>
      <c r="F1054" s="97">
        <v>1767</v>
      </c>
      <c r="G1054" s="97">
        <v>695</v>
      </c>
      <c r="H1054" s="114">
        <v>10.795929388509457</v>
      </c>
      <c r="I1054" s="125">
        <v>4967</v>
      </c>
      <c r="J1054" s="115">
        <v>14.764312459343717</v>
      </c>
    </row>
    <row r="1055" spans="1:10" ht="16">
      <c r="A1055" s="100" t="s">
        <v>394</v>
      </c>
      <c r="B1055" s="101" t="s">
        <v>377</v>
      </c>
      <c r="C1055" s="102" t="s">
        <v>76</v>
      </c>
      <c r="D1055" s="103" t="s">
        <v>92</v>
      </c>
      <c r="E1055" s="104">
        <v>37078</v>
      </c>
      <c r="F1055" s="104">
        <v>1501</v>
      </c>
      <c r="G1055" s="104">
        <v>4079</v>
      </c>
      <c r="H1055" s="116">
        <v>21.01213887577925</v>
      </c>
      <c r="I1055" s="126">
        <v>12104</v>
      </c>
      <c r="J1055" s="117">
        <v>20.296563400287873</v>
      </c>
    </row>
    <row r="1056" spans="1:10" ht="16">
      <c r="A1056" s="93" t="s">
        <v>620</v>
      </c>
      <c r="B1056" s="94" t="s">
        <v>598</v>
      </c>
      <c r="C1056" s="95" t="s">
        <v>76</v>
      </c>
      <c r="D1056" s="96" t="s">
        <v>92</v>
      </c>
      <c r="E1056" s="97">
        <v>49604</v>
      </c>
      <c r="F1056" s="97">
        <v>2531</v>
      </c>
      <c r="G1056" s="97">
        <v>992</v>
      </c>
      <c r="H1056" s="114">
        <v>23.54339072350626</v>
      </c>
      <c r="I1056" s="125">
        <v>16933</v>
      </c>
      <c r="J1056" s="115">
        <v>35.486248526306518</v>
      </c>
    </row>
    <row r="1057" spans="1:10" ht="16">
      <c r="A1057" s="100" t="s">
        <v>1045</v>
      </c>
      <c r="B1057" s="101" t="s">
        <v>1020</v>
      </c>
      <c r="C1057" s="102" t="s">
        <v>76</v>
      </c>
      <c r="D1057" s="103" t="s">
        <v>61</v>
      </c>
      <c r="E1057" s="104">
        <v>10833</v>
      </c>
      <c r="F1057" s="104">
        <v>833</v>
      </c>
      <c r="G1057" s="104">
        <v>2383</v>
      </c>
      <c r="H1057" s="116">
        <v>28.18611560213531</v>
      </c>
      <c r="I1057" s="126">
        <v>22476</v>
      </c>
      <c r="J1057" s="117">
        <v>31.241456674969275</v>
      </c>
    </row>
    <row r="1058" spans="1:10" ht="16">
      <c r="A1058" s="93" t="s">
        <v>1417</v>
      </c>
      <c r="B1058" s="94" t="s">
        <v>1288</v>
      </c>
      <c r="C1058" s="95" t="s">
        <v>76</v>
      </c>
      <c r="D1058" s="96" t="s">
        <v>62</v>
      </c>
      <c r="E1058" s="97">
        <v>3041</v>
      </c>
      <c r="F1058" s="97">
        <v>1322</v>
      </c>
      <c r="G1058" s="97">
        <v>213</v>
      </c>
      <c r="H1058" s="114">
        <v>12.181348954548293</v>
      </c>
      <c r="I1058" s="125">
        <v>7068</v>
      </c>
      <c r="J1058" s="115">
        <v>36.055049032952972</v>
      </c>
    </row>
    <row r="1059" spans="1:10" ht="16">
      <c r="A1059" s="100" t="s">
        <v>1418</v>
      </c>
      <c r="B1059" s="101" t="s">
        <v>1288</v>
      </c>
      <c r="C1059" s="102" t="s">
        <v>107</v>
      </c>
      <c r="D1059" s="103" t="s">
        <v>61</v>
      </c>
      <c r="E1059" s="104">
        <v>24610</v>
      </c>
      <c r="F1059" s="104">
        <v>1431</v>
      </c>
      <c r="G1059" s="104">
        <v>2707</v>
      </c>
      <c r="H1059" s="116">
        <v>28.736838369406279</v>
      </c>
      <c r="I1059" s="126">
        <v>17718</v>
      </c>
      <c r="J1059" s="117">
        <v>30.842033161284927</v>
      </c>
    </row>
    <row r="1060" spans="1:10" ht="16">
      <c r="A1060" s="93" t="s">
        <v>1419</v>
      </c>
      <c r="B1060" s="94" t="s">
        <v>1288</v>
      </c>
      <c r="C1060" s="95" t="s">
        <v>76</v>
      </c>
      <c r="D1060" s="96" t="s">
        <v>80</v>
      </c>
      <c r="E1060" s="97">
        <v>24982</v>
      </c>
      <c r="F1060" s="97">
        <v>1101</v>
      </c>
      <c r="G1060" s="97">
        <v>1249</v>
      </c>
      <c r="H1060" s="114">
        <v>22.93507590902847</v>
      </c>
      <c r="I1060" s="125">
        <v>9449</v>
      </c>
      <c r="J1060" s="115">
        <v>28.922828305298868</v>
      </c>
    </row>
    <row r="1061" spans="1:10" ht="16">
      <c r="A1061" s="100" t="s">
        <v>1420</v>
      </c>
      <c r="B1061" s="101" t="s">
        <v>1288</v>
      </c>
      <c r="C1061" s="102" t="s">
        <v>76</v>
      </c>
      <c r="D1061" s="103" t="s">
        <v>92</v>
      </c>
      <c r="E1061" s="104">
        <v>19382</v>
      </c>
      <c r="F1061" s="104">
        <v>1133</v>
      </c>
      <c r="G1061" s="104">
        <v>969</v>
      </c>
      <c r="H1061" s="116">
        <v>32.702977290780538</v>
      </c>
      <c r="I1061" s="126">
        <v>26641</v>
      </c>
      <c r="J1061" s="117">
        <v>29.568867015823503</v>
      </c>
    </row>
    <row r="1062" spans="1:10" ht="16">
      <c r="A1062" s="93" t="s">
        <v>113</v>
      </c>
      <c r="B1062" s="94" t="s">
        <v>89</v>
      </c>
      <c r="C1062" s="95" t="s">
        <v>76</v>
      </c>
      <c r="D1062" s="96" t="s">
        <v>77</v>
      </c>
      <c r="E1062" s="97">
        <v>22100</v>
      </c>
      <c r="F1062" s="97">
        <v>1068</v>
      </c>
      <c r="G1062" s="97">
        <v>3978</v>
      </c>
      <c r="H1062" s="114">
        <v>29.058087855462077</v>
      </c>
      <c r="I1062" s="125">
        <v>21721</v>
      </c>
      <c r="J1062" s="115">
        <v>24.581500033691626</v>
      </c>
    </row>
    <row r="1063" spans="1:10" ht="16">
      <c r="A1063" s="100" t="s">
        <v>846</v>
      </c>
      <c r="B1063" s="101" t="s">
        <v>843</v>
      </c>
      <c r="C1063" s="102" t="s">
        <v>76</v>
      </c>
      <c r="D1063" s="103" t="s">
        <v>92</v>
      </c>
      <c r="E1063" s="104">
        <v>34227</v>
      </c>
      <c r="F1063" s="104">
        <v>2593</v>
      </c>
      <c r="G1063" s="104">
        <v>342</v>
      </c>
      <c r="H1063" s="116">
        <v>9.2087653910327472</v>
      </c>
      <c r="I1063" s="126">
        <v>1669</v>
      </c>
      <c r="J1063" s="117">
        <v>23.596813902567042</v>
      </c>
    </row>
    <row r="1064" spans="1:10" ht="16">
      <c r="A1064" s="93" t="s">
        <v>1421</v>
      </c>
      <c r="B1064" s="94" t="s">
        <v>1288</v>
      </c>
      <c r="C1064" s="95" t="s">
        <v>76</v>
      </c>
      <c r="D1064" s="96" t="s">
        <v>61</v>
      </c>
      <c r="E1064" s="97">
        <v>35419</v>
      </c>
      <c r="F1064" s="97">
        <v>3768</v>
      </c>
      <c r="G1064" s="97">
        <v>2834</v>
      </c>
      <c r="H1064" s="114">
        <v>63.65096765781049</v>
      </c>
      <c r="I1064" s="125">
        <v>61288</v>
      </c>
      <c r="J1064" s="115">
        <v>60.602881670015307</v>
      </c>
    </row>
    <row r="1065" spans="1:10" ht="16">
      <c r="A1065" s="100" t="s">
        <v>1422</v>
      </c>
      <c r="B1065" s="101" t="s">
        <v>1288</v>
      </c>
      <c r="C1065" s="102" t="s">
        <v>76</v>
      </c>
      <c r="D1065" s="103" t="s">
        <v>61</v>
      </c>
      <c r="E1065" s="104">
        <v>18999</v>
      </c>
      <c r="F1065" s="104">
        <v>856</v>
      </c>
      <c r="G1065" s="104">
        <v>760</v>
      </c>
      <c r="H1065" s="116">
        <v>19.760435943799241</v>
      </c>
      <c r="I1065" s="126">
        <v>9770</v>
      </c>
      <c r="J1065" s="117">
        <v>21.270304412744888</v>
      </c>
    </row>
    <row r="1066" spans="1:10" ht="16">
      <c r="A1066" s="93" t="s">
        <v>1423</v>
      </c>
      <c r="B1066" s="94" t="s">
        <v>1288</v>
      </c>
      <c r="C1066" s="95" t="s">
        <v>76</v>
      </c>
      <c r="D1066" s="96" t="s">
        <v>59</v>
      </c>
      <c r="E1066" s="97">
        <v>14791</v>
      </c>
      <c r="F1066" s="97">
        <v>755</v>
      </c>
      <c r="G1066" s="97">
        <v>296</v>
      </c>
      <c r="H1066" s="114">
        <v>8.4194707069466759</v>
      </c>
      <c r="I1066" s="125">
        <v>1853</v>
      </c>
      <c r="J1066" s="115">
        <v>16.565107183497638</v>
      </c>
    </row>
    <row r="1067" spans="1:10" ht="16">
      <c r="A1067" s="100" t="s">
        <v>1424</v>
      </c>
      <c r="B1067" s="101" t="s">
        <v>1288</v>
      </c>
      <c r="C1067" s="102" t="s">
        <v>76</v>
      </c>
      <c r="D1067" s="103" t="s">
        <v>61</v>
      </c>
      <c r="E1067" s="104">
        <v>12132</v>
      </c>
      <c r="F1067" s="104">
        <v>685</v>
      </c>
      <c r="G1067" s="104">
        <v>243</v>
      </c>
      <c r="H1067" s="116">
        <v>11.327119480397879</v>
      </c>
      <c r="I1067" s="126">
        <v>2721</v>
      </c>
      <c r="J1067" s="117">
        <v>25.464230176141346</v>
      </c>
    </row>
    <row r="1068" spans="1:10" ht="16">
      <c r="A1068" s="93" t="s">
        <v>201</v>
      </c>
      <c r="B1068" s="94" t="s">
        <v>184</v>
      </c>
      <c r="C1068" s="95" t="s">
        <v>76</v>
      </c>
      <c r="D1068" s="96" t="s">
        <v>82</v>
      </c>
      <c r="E1068" s="97">
        <v>2733</v>
      </c>
      <c r="F1068" s="97">
        <v>195</v>
      </c>
      <c r="G1068" s="97">
        <v>219</v>
      </c>
      <c r="H1068" s="114">
        <v>18.768324177855732</v>
      </c>
      <c r="I1068" s="125">
        <v>7869</v>
      </c>
      <c r="J1068" s="115">
        <v>19.808076387469882</v>
      </c>
    </row>
    <row r="1069" spans="1:10" ht="16">
      <c r="A1069" s="100" t="s">
        <v>1425</v>
      </c>
      <c r="B1069" s="101" t="s">
        <v>1288</v>
      </c>
      <c r="C1069" s="102" t="s">
        <v>107</v>
      </c>
      <c r="D1069" s="103" t="s">
        <v>60</v>
      </c>
      <c r="E1069" s="104">
        <v>12104</v>
      </c>
      <c r="F1069" s="104">
        <v>884</v>
      </c>
      <c r="G1069" s="104">
        <v>1452</v>
      </c>
      <c r="H1069" s="116">
        <v>47.06646489114091</v>
      </c>
      <c r="I1069" s="126">
        <v>34038</v>
      </c>
      <c r="J1069" s="117">
        <v>53.343486109219199</v>
      </c>
    </row>
    <row r="1070" spans="1:10" ht="16">
      <c r="A1070" s="93" t="s">
        <v>1266</v>
      </c>
      <c r="B1070" s="94" t="s">
        <v>1190</v>
      </c>
      <c r="C1070" s="95" t="s">
        <v>76</v>
      </c>
      <c r="D1070" s="96" t="s">
        <v>84</v>
      </c>
      <c r="E1070" s="97">
        <v>29699</v>
      </c>
      <c r="F1070" s="97">
        <v>2034</v>
      </c>
      <c r="G1070" s="97">
        <v>8613</v>
      </c>
      <c r="H1070" s="114">
        <v>42.7163045409646</v>
      </c>
      <c r="I1070" s="125">
        <v>34265</v>
      </c>
      <c r="J1070" s="115">
        <v>43.169825736510099</v>
      </c>
    </row>
    <row r="1071" spans="1:10" ht="16">
      <c r="A1071" s="100" t="s">
        <v>740</v>
      </c>
      <c r="B1071" s="101" t="s">
        <v>642</v>
      </c>
      <c r="C1071" s="102" t="s">
        <v>76</v>
      </c>
      <c r="D1071" s="103" t="s">
        <v>80</v>
      </c>
      <c r="E1071" s="104">
        <v>1142</v>
      </c>
      <c r="F1071" s="104">
        <v>439</v>
      </c>
      <c r="G1071" s="104">
        <v>11</v>
      </c>
      <c r="H1071" s="116">
        <v>10.267196914593193</v>
      </c>
      <c r="I1071" s="126">
        <v>9754</v>
      </c>
      <c r="J1071" s="117">
        <v>27.827615753633534</v>
      </c>
    </row>
    <row r="1072" spans="1:10" ht="16">
      <c r="A1072" s="93" t="s">
        <v>1426</v>
      </c>
      <c r="B1072" s="94" t="s">
        <v>1288</v>
      </c>
      <c r="C1072" s="95" t="s">
        <v>76</v>
      </c>
      <c r="D1072" s="96" t="s">
        <v>84</v>
      </c>
      <c r="E1072" s="97">
        <v>22143</v>
      </c>
      <c r="F1072" s="97">
        <v>2050</v>
      </c>
      <c r="G1072" s="97">
        <v>2657</v>
      </c>
      <c r="H1072" s="114">
        <v>29.638592034083647</v>
      </c>
      <c r="I1072" s="125">
        <v>24649</v>
      </c>
      <c r="J1072" s="115">
        <v>34.67050271757914</v>
      </c>
    </row>
    <row r="1073" spans="1:10" ht="16">
      <c r="A1073" s="100" t="s">
        <v>854</v>
      </c>
      <c r="B1073" s="101" t="s">
        <v>850</v>
      </c>
      <c r="C1073" s="102" t="s">
        <v>76</v>
      </c>
      <c r="D1073" s="103" t="s">
        <v>62</v>
      </c>
      <c r="E1073" s="104">
        <v>20783</v>
      </c>
      <c r="F1073" s="104">
        <v>1649</v>
      </c>
      <c r="G1073" s="104">
        <v>3533</v>
      </c>
      <c r="H1073" s="116">
        <v>43.95231951169125</v>
      </c>
      <c r="I1073" s="126">
        <v>39551</v>
      </c>
      <c r="J1073" s="117">
        <v>40.351821223128781</v>
      </c>
    </row>
    <row r="1074" spans="1:10" ht="16">
      <c r="A1074" s="93" t="s">
        <v>331</v>
      </c>
      <c r="B1074" s="94" t="s">
        <v>322</v>
      </c>
      <c r="C1074" s="95" t="s">
        <v>76</v>
      </c>
      <c r="D1074" s="96" t="s">
        <v>59</v>
      </c>
      <c r="E1074" s="97">
        <v>8872</v>
      </c>
      <c r="F1074" s="97">
        <v>485</v>
      </c>
      <c r="G1074" s="97">
        <v>798</v>
      </c>
      <c r="H1074" s="114">
        <v>13.910862601583284</v>
      </c>
      <c r="I1074" s="125">
        <v>3978</v>
      </c>
      <c r="J1074" s="115">
        <v>17.407492629253355</v>
      </c>
    </row>
    <row r="1075" spans="1:10" ht="16">
      <c r="A1075" s="100" t="s">
        <v>839</v>
      </c>
      <c r="B1075" s="101" t="s">
        <v>834</v>
      </c>
      <c r="C1075" s="102" t="s">
        <v>76</v>
      </c>
      <c r="D1075" s="103" t="s">
        <v>84</v>
      </c>
      <c r="E1075" s="104">
        <v>18196</v>
      </c>
      <c r="F1075" s="104">
        <v>910</v>
      </c>
      <c r="G1075" s="104">
        <v>3821</v>
      </c>
      <c r="H1075" s="116">
        <v>32.313414016586663</v>
      </c>
      <c r="I1075" s="126">
        <v>27210</v>
      </c>
      <c r="J1075" s="117">
        <v>30.457652318626188</v>
      </c>
    </row>
    <row r="1076" spans="1:10" ht="16">
      <c r="A1076" s="93" t="s">
        <v>202</v>
      </c>
      <c r="B1076" s="94" t="s">
        <v>184</v>
      </c>
      <c r="C1076" s="95" t="s">
        <v>76</v>
      </c>
      <c r="D1076" s="96" t="s">
        <v>61</v>
      </c>
      <c r="E1076" s="97">
        <v>35365</v>
      </c>
      <c r="F1076" s="97">
        <v>1432</v>
      </c>
      <c r="G1076" s="97">
        <v>6719</v>
      </c>
      <c r="H1076" s="114">
        <v>42.892136685681329</v>
      </c>
      <c r="I1076" s="125">
        <v>36340</v>
      </c>
      <c r="J1076" s="115">
        <v>41.553990005099728</v>
      </c>
    </row>
    <row r="1077" spans="1:10" ht="16">
      <c r="A1077" s="100" t="s">
        <v>374</v>
      </c>
      <c r="B1077" s="101" t="s">
        <v>369</v>
      </c>
      <c r="C1077" s="102" t="s">
        <v>76</v>
      </c>
      <c r="D1077" s="103" t="s">
        <v>59</v>
      </c>
      <c r="E1077" s="104">
        <v>10086</v>
      </c>
      <c r="F1077" s="104">
        <v>336</v>
      </c>
      <c r="G1077" s="104">
        <v>605</v>
      </c>
      <c r="H1077" s="116">
        <v>34.423298711764538</v>
      </c>
      <c r="I1077" s="126">
        <v>26377</v>
      </c>
      <c r="J1077" s="117">
        <v>30.623034164409507</v>
      </c>
    </row>
    <row r="1078" spans="1:10" ht="16">
      <c r="A1078" s="93" t="s">
        <v>1046</v>
      </c>
      <c r="B1078" s="94" t="s">
        <v>1020</v>
      </c>
      <c r="C1078" s="95" t="s">
        <v>76</v>
      </c>
      <c r="D1078" s="96" t="s">
        <v>59</v>
      </c>
      <c r="E1078" s="97">
        <v>21663</v>
      </c>
      <c r="F1078" s="97">
        <v>1706</v>
      </c>
      <c r="G1078" s="97">
        <v>650</v>
      </c>
      <c r="H1078" s="114">
        <v>15.865152522189044</v>
      </c>
      <c r="I1078" s="125">
        <v>8425</v>
      </c>
      <c r="J1078" s="115">
        <v>17.221613970757176</v>
      </c>
    </row>
    <row r="1079" spans="1:10" ht="16">
      <c r="A1079" s="100" t="s">
        <v>1267</v>
      </c>
      <c r="B1079" s="101" t="s">
        <v>1190</v>
      </c>
      <c r="C1079" s="102" t="s">
        <v>107</v>
      </c>
      <c r="D1079" s="103" t="s">
        <v>59</v>
      </c>
      <c r="E1079" s="104">
        <v>20664</v>
      </c>
      <c r="F1079" s="104">
        <v>1845</v>
      </c>
      <c r="G1079" s="104">
        <v>8472</v>
      </c>
      <c r="H1079" s="116">
        <v>100.04345606197853</v>
      </c>
      <c r="I1079" s="126">
        <v>98162</v>
      </c>
      <c r="J1079" s="117">
        <v>90.918513762815039</v>
      </c>
    </row>
    <row r="1080" spans="1:10" ht="16">
      <c r="A1080" s="93" t="s">
        <v>621</v>
      </c>
      <c r="B1080" s="94" t="s">
        <v>598</v>
      </c>
      <c r="C1080" s="95" t="s">
        <v>76</v>
      </c>
      <c r="D1080" s="96" t="s">
        <v>63</v>
      </c>
      <c r="E1080" s="97">
        <v>45169</v>
      </c>
      <c r="F1080" s="97">
        <v>2121</v>
      </c>
      <c r="G1080" s="97">
        <v>1807</v>
      </c>
      <c r="H1080" s="114">
        <v>31.271371751032902</v>
      </c>
      <c r="I1080" s="125">
        <v>24855</v>
      </c>
      <c r="J1080" s="115">
        <v>42.834057313813112</v>
      </c>
    </row>
    <row r="1081" spans="1:10" ht="16">
      <c r="A1081" s="100" t="s">
        <v>622</v>
      </c>
      <c r="B1081" s="101" t="s">
        <v>598</v>
      </c>
      <c r="C1081" s="102" t="s">
        <v>76</v>
      </c>
      <c r="D1081" s="103" t="s">
        <v>77</v>
      </c>
      <c r="E1081" s="104">
        <v>29437</v>
      </c>
      <c r="F1081" s="104">
        <v>1436</v>
      </c>
      <c r="G1081" s="104">
        <v>294</v>
      </c>
      <c r="H1081" s="116">
        <v>18.195360911460028</v>
      </c>
      <c r="I1081" s="126">
        <v>11395</v>
      </c>
      <c r="J1081" s="117">
        <v>22.089412545361142</v>
      </c>
    </row>
    <row r="1082" spans="1:10" ht="16">
      <c r="A1082" s="93" t="s">
        <v>332</v>
      </c>
      <c r="B1082" s="94" t="s">
        <v>322</v>
      </c>
      <c r="C1082" s="95" t="s">
        <v>76</v>
      </c>
      <c r="D1082" s="96" t="s">
        <v>130</v>
      </c>
      <c r="E1082" s="97">
        <v>7266</v>
      </c>
      <c r="F1082" s="97">
        <v>530</v>
      </c>
      <c r="G1082" s="97">
        <v>509</v>
      </c>
      <c r="H1082" s="114">
        <v>16.296420373537504</v>
      </c>
      <c r="I1082" s="125">
        <v>1692</v>
      </c>
      <c r="J1082" s="115">
        <v>18.524111048779758</v>
      </c>
    </row>
    <row r="1083" spans="1:10" ht="16">
      <c r="A1083" s="100" t="s">
        <v>395</v>
      </c>
      <c r="B1083" s="101" t="s">
        <v>377</v>
      </c>
      <c r="C1083" s="102" t="s">
        <v>76</v>
      </c>
      <c r="D1083" s="103" t="s">
        <v>61</v>
      </c>
      <c r="E1083" s="104">
        <v>61390</v>
      </c>
      <c r="F1083" s="104">
        <v>3961</v>
      </c>
      <c r="G1083" s="104">
        <v>10436</v>
      </c>
      <c r="H1083" s="116">
        <v>36.589393087441692</v>
      </c>
      <c r="I1083" s="126">
        <v>31976</v>
      </c>
      <c r="J1083" s="117">
        <v>52.399411684918448</v>
      </c>
    </row>
    <row r="1084" spans="1:10" ht="16">
      <c r="A1084" s="93" t="s">
        <v>623</v>
      </c>
      <c r="B1084" s="94" t="s">
        <v>598</v>
      </c>
      <c r="C1084" s="95" t="s">
        <v>76</v>
      </c>
      <c r="D1084" s="96" t="s">
        <v>62</v>
      </c>
      <c r="E1084" s="97">
        <v>25140</v>
      </c>
      <c r="F1084" s="97">
        <v>918</v>
      </c>
      <c r="G1084" s="97">
        <v>1508</v>
      </c>
      <c r="H1084" s="114">
        <v>19.239360881265618</v>
      </c>
      <c r="I1084" s="125">
        <v>12521</v>
      </c>
      <c r="J1084" s="115">
        <v>18.761481514725162</v>
      </c>
    </row>
    <row r="1085" spans="1:10" ht="16">
      <c r="A1085" s="100" t="s">
        <v>440</v>
      </c>
      <c r="B1085" s="101" t="s">
        <v>402</v>
      </c>
      <c r="C1085" s="102" t="s">
        <v>76</v>
      </c>
      <c r="D1085" s="103" t="s">
        <v>77</v>
      </c>
      <c r="E1085" s="104">
        <v>11387</v>
      </c>
      <c r="F1085" s="104">
        <v>131</v>
      </c>
      <c r="G1085" s="104">
        <v>1366</v>
      </c>
      <c r="H1085" s="116">
        <v>40.067772984762776</v>
      </c>
      <c r="I1085" s="126">
        <v>29770</v>
      </c>
      <c r="J1085" s="117">
        <v>33.513308388079523</v>
      </c>
    </row>
    <row r="1086" spans="1:10" ht="16">
      <c r="A1086" s="93" t="s">
        <v>455</v>
      </c>
      <c r="B1086" s="94" t="s">
        <v>448</v>
      </c>
      <c r="C1086" s="95" t="s">
        <v>107</v>
      </c>
      <c r="D1086" s="96" t="s">
        <v>77</v>
      </c>
      <c r="E1086" s="97">
        <v>25580</v>
      </c>
      <c r="F1086" s="97">
        <v>927</v>
      </c>
      <c r="G1086" s="97">
        <v>1279</v>
      </c>
      <c r="H1086" s="114">
        <v>11.910146940518542</v>
      </c>
      <c r="I1086" s="125">
        <v>4607</v>
      </c>
      <c r="J1086" s="115">
        <v>16.731796345042419</v>
      </c>
    </row>
    <row r="1087" spans="1:10" ht="16">
      <c r="A1087" s="100" t="s">
        <v>624</v>
      </c>
      <c r="B1087" s="101" t="s">
        <v>598</v>
      </c>
      <c r="C1087" s="102" t="s">
        <v>76</v>
      </c>
      <c r="D1087" s="103" t="s">
        <v>60</v>
      </c>
      <c r="E1087" s="104">
        <v>24623</v>
      </c>
      <c r="F1087" s="104">
        <v>593</v>
      </c>
      <c r="G1087" s="104">
        <v>1970</v>
      </c>
      <c r="H1087" s="116">
        <v>26.020245542215964</v>
      </c>
      <c r="I1087" s="126">
        <v>16878</v>
      </c>
      <c r="J1087" s="117">
        <v>24.607435095271722</v>
      </c>
    </row>
    <row r="1088" spans="1:10" ht="16">
      <c r="A1088" s="93" t="s">
        <v>1427</v>
      </c>
      <c r="B1088" s="94" t="s">
        <v>1288</v>
      </c>
      <c r="C1088" s="95" t="s">
        <v>76</v>
      </c>
      <c r="D1088" s="96" t="s">
        <v>84</v>
      </c>
      <c r="E1088" s="97">
        <v>20578</v>
      </c>
      <c r="F1088" s="97">
        <v>3166</v>
      </c>
      <c r="G1088" s="97">
        <v>4321</v>
      </c>
      <c r="H1088" s="114">
        <v>91.191470323603909</v>
      </c>
      <c r="I1088" s="125">
        <v>88910</v>
      </c>
      <c r="J1088" s="115">
        <v>88.143848442672876</v>
      </c>
    </row>
    <row r="1089" spans="1:10" ht="16">
      <c r="A1089" s="100" t="s">
        <v>1060</v>
      </c>
      <c r="B1089" s="101" t="s">
        <v>1059</v>
      </c>
      <c r="C1089" s="102" t="s">
        <v>76</v>
      </c>
      <c r="D1089" s="103" t="s">
        <v>63</v>
      </c>
      <c r="E1089" s="104">
        <v>17482</v>
      </c>
      <c r="F1089" s="104">
        <v>1619</v>
      </c>
      <c r="G1089" s="104">
        <v>175</v>
      </c>
      <c r="H1089" s="116">
        <v>7.6809210385441613</v>
      </c>
      <c r="I1089" s="126">
        <v>7698</v>
      </c>
      <c r="J1089" s="117">
        <v>16.9666507328349</v>
      </c>
    </row>
    <row r="1090" spans="1:10" ht="16">
      <c r="A1090" s="93" t="s">
        <v>625</v>
      </c>
      <c r="B1090" s="94" t="s">
        <v>598</v>
      </c>
      <c r="C1090" s="95" t="s">
        <v>76</v>
      </c>
      <c r="D1090" s="96" t="s">
        <v>92</v>
      </c>
      <c r="E1090" s="97">
        <v>24830</v>
      </c>
      <c r="F1090" s="97">
        <v>769</v>
      </c>
      <c r="G1090" s="97">
        <v>1490</v>
      </c>
      <c r="H1090" s="114">
        <v>23.120488437457627</v>
      </c>
      <c r="I1090" s="125">
        <v>20027</v>
      </c>
      <c r="J1090" s="115">
        <v>18.801066910362824</v>
      </c>
    </row>
    <row r="1091" spans="1:10" ht="16">
      <c r="A1091" s="100" t="s">
        <v>868</v>
      </c>
      <c r="B1091" s="101" t="s">
        <v>858</v>
      </c>
      <c r="C1091" s="102" t="s">
        <v>107</v>
      </c>
      <c r="D1091" s="103" t="s">
        <v>60</v>
      </c>
      <c r="E1091" s="104">
        <v>5647</v>
      </c>
      <c r="F1091" s="104">
        <v>528</v>
      </c>
      <c r="G1091" s="104">
        <v>113</v>
      </c>
      <c r="H1091" s="116">
        <v>10.887362334800606</v>
      </c>
      <c r="I1091" s="126">
        <v>1680</v>
      </c>
      <c r="J1091" s="117">
        <v>25.430965742857165</v>
      </c>
    </row>
    <row r="1092" spans="1:10" ht="16">
      <c r="A1092" s="93" t="s">
        <v>626</v>
      </c>
      <c r="B1092" s="94" t="s">
        <v>598</v>
      </c>
      <c r="C1092" s="95" t="s">
        <v>76</v>
      </c>
      <c r="D1092" s="96" t="s">
        <v>77</v>
      </c>
      <c r="E1092" s="97">
        <v>33726</v>
      </c>
      <c r="F1092" s="97">
        <v>1506</v>
      </c>
      <c r="G1092" s="97">
        <v>2024</v>
      </c>
      <c r="H1092" s="114">
        <v>26.864133683074883</v>
      </c>
      <c r="I1092" s="125">
        <v>19788</v>
      </c>
      <c r="J1092" s="115">
        <v>31.762977853897581</v>
      </c>
    </row>
    <row r="1093" spans="1:10" ht="16">
      <c r="A1093" s="100" t="s">
        <v>1428</v>
      </c>
      <c r="B1093" s="101" t="s">
        <v>1288</v>
      </c>
      <c r="C1093" s="102" t="s">
        <v>76</v>
      </c>
      <c r="D1093" s="103" t="s">
        <v>59</v>
      </c>
      <c r="E1093" s="104">
        <v>26652</v>
      </c>
      <c r="F1093" s="104">
        <v>4595</v>
      </c>
      <c r="G1093" s="104">
        <v>2932</v>
      </c>
      <c r="H1093" s="116">
        <v>46.182525787162547</v>
      </c>
      <c r="I1093" s="126">
        <v>43364</v>
      </c>
      <c r="J1093" s="117">
        <v>48.36302787601123</v>
      </c>
    </row>
    <row r="1094" spans="1:10" ht="16">
      <c r="A1094" s="93" t="s">
        <v>1268</v>
      </c>
      <c r="B1094" s="94" t="s">
        <v>1190</v>
      </c>
      <c r="C1094" s="95" t="s">
        <v>76</v>
      </c>
      <c r="D1094" s="96" t="s">
        <v>82</v>
      </c>
      <c r="E1094" s="97">
        <v>17667</v>
      </c>
      <c r="F1094" s="97">
        <v>1027</v>
      </c>
      <c r="G1094" s="97">
        <v>2650</v>
      </c>
      <c r="H1094" s="114">
        <v>19.518843425384688</v>
      </c>
      <c r="I1094" s="125">
        <v>13058</v>
      </c>
      <c r="J1094" s="115">
        <v>20.44775173067142</v>
      </c>
    </row>
    <row r="1095" spans="1:10" ht="16">
      <c r="A1095" s="100" t="s">
        <v>903</v>
      </c>
      <c r="B1095" s="101" t="s">
        <v>893</v>
      </c>
      <c r="C1095" s="102" t="s">
        <v>76</v>
      </c>
      <c r="D1095" s="103" t="s">
        <v>62</v>
      </c>
      <c r="E1095" s="104">
        <v>32020</v>
      </c>
      <c r="F1095" s="104">
        <v>1712</v>
      </c>
      <c r="G1095" s="104">
        <v>4803</v>
      </c>
      <c r="H1095" s="116">
        <v>27.902399484490008</v>
      </c>
      <c r="I1095" s="126">
        <v>17416</v>
      </c>
      <c r="J1095" s="117">
        <v>27.962625235777722</v>
      </c>
    </row>
    <row r="1096" spans="1:10" ht="16">
      <c r="A1096" s="93" t="s">
        <v>1269</v>
      </c>
      <c r="B1096" s="94" t="s">
        <v>1190</v>
      </c>
      <c r="C1096" s="95" t="s">
        <v>107</v>
      </c>
      <c r="D1096" s="96" t="s">
        <v>92</v>
      </c>
      <c r="E1096" s="97">
        <v>20186</v>
      </c>
      <c r="F1096" s="97">
        <v>1311</v>
      </c>
      <c r="G1096" s="97">
        <v>5248</v>
      </c>
      <c r="H1096" s="114">
        <v>17.009424245858455</v>
      </c>
      <c r="I1096" s="125">
        <v>11567</v>
      </c>
      <c r="J1096" s="115">
        <v>18.441041125252422</v>
      </c>
    </row>
    <row r="1097" spans="1:10" ht="16">
      <c r="A1097" s="100" t="s">
        <v>441</v>
      </c>
      <c r="B1097" s="101" t="s">
        <v>402</v>
      </c>
      <c r="C1097" s="102" t="s">
        <v>76</v>
      </c>
      <c r="D1097" s="103" t="s">
        <v>130</v>
      </c>
      <c r="E1097" s="104">
        <v>20063</v>
      </c>
      <c r="F1097" s="104">
        <v>372</v>
      </c>
      <c r="G1097" s="104">
        <v>2207</v>
      </c>
      <c r="H1097" s="116">
        <v>41.008508410725852</v>
      </c>
      <c r="I1097" s="126">
        <v>26698</v>
      </c>
      <c r="J1097" s="117">
        <v>37.251454554702441</v>
      </c>
    </row>
    <row r="1098" spans="1:10" ht="16">
      <c r="A1098" s="93" t="s">
        <v>983</v>
      </c>
      <c r="B1098" s="94" t="s">
        <v>977</v>
      </c>
      <c r="C1098" s="95" t="s">
        <v>76</v>
      </c>
      <c r="D1098" s="96" t="s">
        <v>92</v>
      </c>
      <c r="E1098" s="97">
        <v>35086</v>
      </c>
      <c r="F1098" s="97">
        <v>1595</v>
      </c>
      <c r="G1098" s="97">
        <v>2807</v>
      </c>
      <c r="H1098" s="114">
        <v>30.247469544548881</v>
      </c>
      <c r="I1098" s="125">
        <v>10023</v>
      </c>
      <c r="J1098" s="115">
        <v>25.735368860063531</v>
      </c>
    </row>
    <row r="1099" spans="1:10" ht="16">
      <c r="A1099" s="100" t="s">
        <v>904</v>
      </c>
      <c r="B1099" s="101" t="s">
        <v>905</v>
      </c>
      <c r="C1099" s="102" t="s">
        <v>76</v>
      </c>
      <c r="D1099" s="103" t="s">
        <v>61</v>
      </c>
      <c r="E1099" s="104">
        <v>49713</v>
      </c>
      <c r="F1099" s="104">
        <v>3576</v>
      </c>
      <c r="G1099" s="104">
        <v>497</v>
      </c>
      <c r="H1099" s="116">
        <v>8.6361129804316317</v>
      </c>
      <c r="I1099" s="126">
        <v>3833</v>
      </c>
      <c r="J1099" s="117">
        <v>18.904243214727941</v>
      </c>
    </row>
    <row r="1100" spans="1:10" ht="16">
      <c r="A1100" s="93" t="s">
        <v>114</v>
      </c>
      <c r="B1100" s="94" t="s">
        <v>89</v>
      </c>
      <c r="C1100" s="95" t="s">
        <v>76</v>
      </c>
      <c r="D1100" s="96" t="s">
        <v>82</v>
      </c>
      <c r="E1100" s="97">
        <v>39144</v>
      </c>
      <c r="F1100" s="97">
        <v>1096</v>
      </c>
      <c r="G1100" s="97">
        <v>13309</v>
      </c>
      <c r="H1100" s="114">
        <v>58.991729938613084</v>
      </c>
      <c r="I1100" s="125">
        <v>51092</v>
      </c>
      <c r="J1100" s="115">
        <v>50.218221848832485</v>
      </c>
    </row>
    <row r="1101" spans="1:10" ht="16">
      <c r="A1101" s="100" t="s">
        <v>1270</v>
      </c>
      <c r="B1101" s="101" t="s">
        <v>1190</v>
      </c>
      <c r="C1101" s="102" t="s">
        <v>76</v>
      </c>
      <c r="D1101" s="103" t="s">
        <v>59</v>
      </c>
      <c r="E1101" s="104">
        <v>14107</v>
      </c>
      <c r="F1101" s="104">
        <v>947</v>
      </c>
      <c r="G1101" s="104">
        <v>4373</v>
      </c>
      <c r="H1101" s="116">
        <v>35.423473567425496</v>
      </c>
      <c r="I1101" s="126">
        <v>27119</v>
      </c>
      <c r="J1101" s="117">
        <v>32.202431456628581</v>
      </c>
    </row>
    <row r="1102" spans="1:10" ht="16">
      <c r="A1102" s="93" t="s">
        <v>203</v>
      </c>
      <c r="B1102" s="94" t="s">
        <v>184</v>
      </c>
      <c r="C1102" s="95" t="s">
        <v>76</v>
      </c>
      <c r="D1102" s="96" t="s">
        <v>61</v>
      </c>
      <c r="E1102" s="97">
        <v>12935</v>
      </c>
      <c r="F1102" s="97">
        <v>553</v>
      </c>
      <c r="G1102" s="97">
        <v>2846</v>
      </c>
      <c r="H1102" s="114">
        <v>15.739388261717135</v>
      </c>
      <c r="I1102" s="125">
        <v>7127</v>
      </c>
      <c r="J1102" s="115">
        <v>17.243794823169004</v>
      </c>
    </row>
    <row r="1103" spans="1:10" ht="16">
      <c r="A1103" s="100" t="s">
        <v>396</v>
      </c>
      <c r="B1103" s="101" t="s">
        <v>377</v>
      </c>
      <c r="C1103" s="102" t="s">
        <v>76</v>
      </c>
      <c r="D1103" s="103" t="s">
        <v>61</v>
      </c>
      <c r="E1103" s="104">
        <v>28351</v>
      </c>
      <c r="F1103" s="104">
        <v>1575</v>
      </c>
      <c r="G1103" s="104">
        <v>3402</v>
      </c>
      <c r="H1103" s="116">
        <v>15.947646243107375</v>
      </c>
      <c r="I1103" s="126">
        <v>7974</v>
      </c>
      <c r="J1103" s="117">
        <v>21.959188924784353</v>
      </c>
    </row>
    <row r="1104" spans="1:10" ht="16">
      <c r="A1104" s="93" t="s">
        <v>1429</v>
      </c>
      <c r="B1104" s="94" t="s">
        <v>1288</v>
      </c>
      <c r="C1104" s="95" t="s">
        <v>76</v>
      </c>
      <c r="D1104" s="96" t="s">
        <v>130</v>
      </c>
      <c r="E1104" s="97">
        <v>16569</v>
      </c>
      <c r="F1104" s="97">
        <v>858</v>
      </c>
      <c r="G1104" s="97">
        <v>497</v>
      </c>
      <c r="H1104" s="114">
        <v>17.77395334279386</v>
      </c>
      <c r="I1104" s="125">
        <v>11763</v>
      </c>
      <c r="J1104" s="115">
        <v>24.105340803868163</v>
      </c>
    </row>
    <row r="1105" spans="1:10" ht="16">
      <c r="A1105" s="100" t="s">
        <v>1430</v>
      </c>
      <c r="B1105" s="101" t="s">
        <v>1288</v>
      </c>
      <c r="C1105" s="102" t="s">
        <v>107</v>
      </c>
      <c r="D1105" s="103" t="s">
        <v>80</v>
      </c>
      <c r="E1105" s="104">
        <v>9824</v>
      </c>
      <c r="F1105" s="104">
        <v>2339</v>
      </c>
      <c r="G1105" s="104">
        <v>3045</v>
      </c>
      <c r="H1105" s="116">
        <v>30.620188666923699</v>
      </c>
      <c r="I1105" s="126">
        <v>27793</v>
      </c>
      <c r="J1105" s="117">
        <v>43.822222969381812</v>
      </c>
    </row>
    <row r="1106" spans="1:10" ht="16">
      <c r="A1106" s="93" t="s">
        <v>1271</v>
      </c>
      <c r="B1106" s="94" t="s">
        <v>1190</v>
      </c>
      <c r="C1106" s="95" t="s">
        <v>76</v>
      </c>
      <c r="D1106" s="96" t="s">
        <v>92</v>
      </c>
      <c r="E1106" s="97">
        <v>7665</v>
      </c>
      <c r="F1106" s="97">
        <v>470</v>
      </c>
      <c r="G1106" s="97">
        <v>2146</v>
      </c>
      <c r="H1106" s="114">
        <v>20.832696229614836</v>
      </c>
      <c r="I1106" s="125">
        <v>6327</v>
      </c>
      <c r="J1106" s="115">
        <v>19.209422207714717</v>
      </c>
    </row>
    <row r="1107" spans="1:10" ht="16">
      <c r="A1107" s="100" t="s">
        <v>627</v>
      </c>
      <c r="B1107" s="101" t="s">
        <v>598</v>
      </c>
      <c r="C1107" s="102" t="s">
        <v>76</v>
      </c>
      <c r="D1107" s="103" t="s">
        <v>63</v>
      </c>
      <c r="E1107" s="104">
        <v>31696</v>
      </c>
      <c r="F1107" s="104">
        <v>633</v>
      </c>
      <c r="G1107" s="104">
        <v>1585</v>
      </c>
      <c r="H1107" s="116">
        <v>23.598723243381766</v>
      </c>
      <c r="I1107" s="126">
        <v>13992</v>
      </c>
      <c r="J1107" s="117">
        <v>23.995699132468864</v>
      </c>
    </row>
    <row r="1108" spans="1:10" ht="16">
      <c r="A1108" s="93" t="s">
        <v>1047</v>
      </c>
      <c r="B1108" s="94" t="s">
        <v>1020</v>
      </c>
      <c r="C1108" s="95" t="s">
        <v>76</v>
      </c>
      <c r="D1108" s="96" t="s">
        <v>62</v>
      </c>
      <c r="E1108" s="97">
        <v>12411</v>
      </c>
      <c r="F1108" s="97">
        <v>1009</v>
      </c>
      <c r="G1108" s="97">
        <v>1365</v>
      </c>
      <c r="H1108" s="114">
        <v>21.584569833563169</v>
      </c>
      <c r="I1108" s="125">
        <v>14330</v>
      </c>
      <c r="J1108" s="115">
        <v>24.339610333542119</v>
      </c>
    </row>
    <row r="1109" spans="1:10" ht="16">
      <c r="A1109" s="100" t="s">
        <v>1048</v>
      </c>
      <c r="B1109" s="101" t="s">
        <v>1020</v>
      </c>
      <c r="C1109" s="102" t="s">
        <v>76</v>
      </c>
      <c r="D1109" s="103" t="s">
        <v>82</v>
      </c>
      <c r="E1109" s="104">
        <v>28673</v>
      </c>
      <c r="F1109" s="104">
        <v>1629</v>
      </c>
      <c r="G1109" s="104">
        <v>4588</v>
      </c>
      <c r="H1109" s="116">
        <v>17.77058763133229</v>
      </c>
      <c r="I1109" s="126">
        <v>6723</v>
      </c>
      <c r="J1109" s="117">
        <v>26.815438967683054</v>
      </c>
    </row>
    <row r="1110" spans="1:10" ht="16">
      <c r="A1110" s="93" t="s">
        <v>628</v>
      </c>
      <c r="B1110" s="94" t="s">
        <v>598</v>
      </c>
      <c r="C1110" s="95" t="s">
        <v>76</v>
      </c>
      <c r="D1110" s="96" t="s">
        <v>77</v>
      </c>
      <c r="E1110" s="97">
        <v>12040</v>
      </c>
      <c r="F1110" s="97">
        <v>405</v>
      </c>
      <c r="G1110" s="97">
        <v>120</v>
      </c>
      <c r="H1110" s="114">
        <v>21.258945547738971</v>
      </c>
      <c r="I1110" s="125">
        <v>11934</v>
      </c>
      <c r="J1110" s="115">
        <v>27.691062487173358</v>
      </c>
    </row>
    <row r="1111" spans="1:10" ht="16">
      <c r="A1111" s="100" t="s">
        <v>629</v>
      </c>
      <c r="B1111" s="101" t="s">
        <v>598</v>
      </c>
      <c r="C1111" s="102" t="s">
        <v>76</v>
      </c>
      <c r="D1111" s="103" t="s">
        <v>84</v>
      </c>
      <c r="E1111" s="104">
        <v>24290</v>
      </c>
      <c r="F1111" s="104">
        <v>941</v>
      </c>
      <c r="G1111" s="104">
        <v>486</v>
      </c>
      <c r="H1111" s="116">
        <v>20.145946323408307</v>
      </c>
      <c r="I1111" s="126">
        <v>18398</v>
      </c>
      <c r="J1111" s="117">
        <v>20.555841712994383</v>
      </c>
    </row>
    <row r="1112" spans="1:10" ht="16">
      <c r="A1112" s="93" t="s">
        <v>1272</v>
      </c>
      <c r="B1112" s="94" t="s">
        <v>1190</v>
      </c>
      <c r="C1112" s="95" t="s">
        <v>76</v>
      </c>
      <c r="D1112" s="96" t="s">
        <v>82</v>
      </c>
      <c r="E1112" s="97">
        <v>15356</v>
      </c>
      <c r="F1112" s="97">
        <v>903</v>
      </c>
      <c r="G1112" s="97">
        <v>3378</v>
      </c>
      <c r="H1112" s="114">
        <v>15.593626078104871</v>
      </c>
      <c r="I1112" s="125">
        <v>5770</v>
      </c>
      <c r="J1112" s="115">
        <v>19.451397334348581</v>
      </c>
    </row>
    <row r="1113" spans="1:10" ht="16">
      <c r="A1113" s="100" t="s">
        <v>1049</v>
      </c>
      <c r="B1113" s="101" t="s">
        <v>1020</v>
      </c>
      <c r="C1113" s="102" t="s">
        <v>76</v>
      </c>
      <c r="D1113" s="103" t="s">
        <v>62</v>
      </c>
      <c r="E1113" s="104">
        <v>25455</v>
      </c>
      <c r="F1113" s="104">
        <v>1675</v>
      </c>
      <c r="G1113" s="104">
        <v>2036</v>
      </c>
      <c r="H1113" s="116">
        <v>16.82202508467746</v>
      </c>
      <c r="I1113" s="126">
        <v>7900</v>
      </c>
      <c r="J1113" s="117">
        <v>22.565952037781255</v>
      </c>
    </row>
    <row r="1114" spans="1:10" ht="16">
      <c r="A1114" s="93" t="s">
        <v>219</v>
      </c>
      <c r="B1114" s="94" t="s">
        <v>212</v>
      </c>
      <c r="C1114" s="95" t="s">
        <v>107</v>
      </c>
      <c r="D1114" s="96" t="s">
        <v>82</v>
      </c>
      <c r="E1114" s="97">
        <v>22818</v>
      </c>
      <c r="F1114" s="97">
        <v>939</v>
      </c>
      <c r="G1114" s="97">
        <v>456</v>
      </c>
      <c r="H1114" s="114">
        <v>15.069473021973005</v>
      </c>
      <c r="I1114" s="125">
        <v>1804</v>
      </c>
      <c r="J1114" s="115">
        <v>16.613863801348085</v>
      </c>
    </row>
    <row r="1115" spans="1:10" ht="16">
      <c r="A1115" s="100" t="s">
        <v>869</v>
      </c>
      <c r="B1115" s="101" t="s">
        <v>858</v>
      </c>
      <c r="C1115" s="102" t="s">
        <v>76</v>
      </c>
      <c r="D1115" s="103" t="s">
        <v>82</v>
      </c>
      <c r="E1115" s="104">
        <v>26206</v>
      </c>
      <c r="F1115" s="104">
        <v>771</v>
      </c>
      <c r="G1115" s="104">
        <v>1824</v>
      </c>
      <c r="H1115" s="116">
        <v>9.2613306111720153</v>
      </c>
      <c r="I1115" s="126">
        <v>918</v>
      </c>
      <c r="J1115" s="117">
        <v>12.580237508333672</v>
      </c>
    </row>
    <row r="1116" spans="1:10" ht="16">
      <c r="A1116" s="93" t="s">
        <v>204</v>
      </c>
      <c r="B1116" s="94" t="s">
        <v>184</v>
      </c>
      <c r="C1116" s="95" t="s">
        <v>76</v>
      </c>
      <c r="D1116" s="96" t="s">
        <v>62</v>
      </c>
      <c r="E1116" s="97">
        <v>17194</v>
      </c>
      <c r="F1116" s="97">
        <v>971</v>
      </c>
      <c r="G1116" s="97">
        <v>3439</v>
      </c>
      <c r="H1116" s="114">
        <v>27.805342377514908</v>
      </c>
      <c r="I1116" s="125">
        <v>13061</v>
      </c>
      <c r="J1116" s="115">
        <v>36.701710733423482</v>
      </c>
    </row>
    <row r="1117" spans="1:10" ht="16">
      <c r="A1117" s="100" t="s">
        <v>630</v>
      </c>
      <c r="B1117" s="101" t="s">
        <v>598</v>
      </c>
      <c r="C1117" s="102" t="s">
        <v>76</v>
      </c>
      <c r="D1117" s="103" t="s">
        <v>62</v>
      </c>
      <c r="E1117" s="104">
        <v>12993</v>
      </c>
      <c r="F1117" s="104">
        <v>539</v>
      </c>
      <c r="G1117" s="104">
        <v>260</v>
      </c>
      <c r="H1117" s="116">
        <v>18.091769714686336</v>
      </c>
      <c r="I1117" s="126">
        <v>8282</v>
      </c>
      <c r="J1117" s="117">
        <v>23.162247731176201</v>
      </c>
    </row>
    <row r="1118" spans="1:10" ht="16">
      <c r="A1118" s="93" t="s">
        <v>290</v>
      </c>
      <c r="B1118" s="94" t="s">
        <v>223</v>
      </c>
      <c r="C1118" s="95" t="s">
        <v>107</v>
      </c>
      <c r="D1118" s="96" t="s">
        <v>63</v>
      </c>
      <c r="E1118" s="97">
        <v>24232</v>
      </c>
      <c r="F1118" s="97">
        <v>1648</v>
      </c>
      <c r="G1118" s="97">
        <v>969</v>
      </c>
      <c r="H1118" s="114">
        <v>25.713171708096343</v>
      </c>
      <c r="I1118" s="125">
        <v>7469</v>
      </c>
      <c r="J1118" s="115">
        <v>28.092074471908148</v>
      </c>
    </row>
    <row r="1119" spans="1:10" ht="16">
      <c r="A1119" s="100" t="s">
        <v>291</v>
      </c>
      <c r="B1119" s="101" t="s">
        <v>223</v>
      </c>
      <c r="C1119" s="102" t="s">
        <v>107</v>
      </c>
      <c r="D1119" s="103" t="s">
        <v>92</v>
      </c>
      <c r="E1119" s="104">
        <v>16245</v>
      </c>
      <c r="F1119" s="104">
        <v>2110</v>
      </c>
      <c r="G1119" s="104">
        <v>650</v>
      </c>
      <c r="H1119" s="116">
        <v>60.147843982243337</v>
      </c>
      <c r="I1119" s="126">
        <v>44524</v>
      </c>
      <c r="J1119" s="117">
        <v>65.12535055086289</v>
      </c>
    </row>
    <row r="1120" spans="1:10" ht="16">
      <c r="A1120" s="93" t="s">
        <v>79</v>
      </c>
      <c r="B1120" s="94" t="s">
        <v>75</v>
      </c>
      <c r="C1120" s="95" t="s">
        <v>76</v>
      </c>
      <c r="D1120" s="96" t="s">
        <v>80</v>
      </c>
      <c r="E1120" s="97">
        <v>22049</v>
      </c>
      <c r="F1120" s="97">
        <v>1885</v>
      </c>
      <c r="G1120" s="97">
        <v>441</v>
      </c>
      <c r="H1120" s="114">
        <v>7.7486476226341079</v>
      </c>
      <c r="I1120" s="125">
        <v>543</v>
      </c>
      <c r="J1120" s="115">
        <v>19.032092541643411</v>
      </c>
    </row>
    <row r="1121" spans="1:10" ht="16">
      <c r="A1121" s="100" t="s">
        <v>81</v>
      </c>
      <c r="B1121" s="101" t="s">
        <v>75</v>
      </c>
      <c r="C1121" s="102" t="s">
        <v>76</v>
      </c>
      <c r="D1121" s="103" t="s">
        <v>82</v>
      </c>
      <c r="E1121" s="104">
        <v>41865</v>
      </c>
      <c r="F1121" s="104">
        <v>1861</v>
      </c>
      <c r="G1121" s="104">
        <v>419</v>
      </c>
      <c r="H1121" s="116">
        <v>7.7458723268320204</v>
      </c>
      <c r="I1121" s="126">
        <v>640</v>
      </c>
      <c r="J1121" s="117">
        <v>16.119759532543998</v>
      </c>
    </row>
    <row r="1122" spans="1:10" ht="16">
      <c r="A1122" s="93" t="s">
        <v>1015</v>
      </c>
      <c r="B1122" s="94" t="s">
        <v>988</v>
      </c>
      <c r="C1122" s="95" t="s">
        <v>76</v>
      </c>
      <c r="D1122" s="96" t="s">
        <v>61</v>
      </c>
      <c r="E1122" s="97">
        <v>8807</v>
      </c>
      <c r="F1122" s="97">
        <v>531</v>
      </c>
      <c r="G1122" s="97">
        <v>440</v>
      </c>
      <c r="H1122" s="114">
        <v>19.048494337975733</v>
      </c>
      <c r="I1122" s="125">
        <v>4571</v>
      </c>
      <c r="J1122" s="115">
        <v>22.827419097769809</v>
      </c>
    </row>
    <row r="1123" spans="1:10" ht="16">
      <c r="A1123" s="100" t="s">
        <v>1050</v>
      </c>
      <c r="B1123" s="101" t="s">
        <v>1020</v>
      </c>
      <c r="C1123" s="102" t="s">
        <v>76</v>
      </c>
      <c r="D1123" s="103" t="s">
        <v>82</v>
      </c>
      <c r="E1123" s="104">
        <v>62811</v>
      </c>
      <c r="F1123" s="104">
        <v>3049</v>
      </c>
      <c r="G1123" s="104">
        <v>3769</v>
      </c>
      <c r="H1123" s="116">
        <v>18.952910922781363</v>
      </c>
      <c r="I1123" s="126">
        <v>6935</v>
      </c>
      <c r="J1123" s="117">
        <v>25.540942640768833</v>
      </c>
    </row>
    <row r="1124" spans="1:10" ht="16">
      <c r="A1124" s="93" t="s">
        <v>1138</v>
      </c>
      <c r="B1124" s="94" t="s">
        <v>1135</v>
      </c>
      <c r="C1124" s="95" t="s">
        <v>76</v>
      </c>
      <c r="D1124" s="96" t="s">
        <v>130</v>
      </c>
      <c r="E1124" s="97">
        <v>32178</v>
      </c>
      <c r="F1124" s="97">
        <v>2384</v>
      </c>
      <c r="G1124" s="97">
        <v>322</v>
      </c>
      <c r="H1124" s="114">
        <v>11.380356924971107</v>
      </c>
      <c r="I1124" s="125">
        <v>1879</v>
      </c>
      <c r="J1124" s="115">
        <v>28.970376148693173</v>
      </c>
    </row>
    <row r="1125" spans="1:10" ht="16">
      <c r="A1125" s="100" t="s">
        <v>1188</v>
      </c>
      <c r="B1125" s="101" t="s">
        <v>1185</v>
      </c>
      <c r="C1125" s="102" t="s">
        <v>76</v>
      </c>
      <c r="D1125" s="103" t="s">
        <v>82</v>
      </c>
      <c r="E1125" s="104">
        <v>14286</v>
      </c>
      <c r="F1125" s="104">
        <v>687</v>
      </c>
      <c r="G1125" s="104">
        <v>8572</v>
      </c>
      <c r="H1125" s="116">
        <v>12.042162267279032</v>
      </c>
      <c r="I1125" s="126">
        <v>4632</v>
      </c>
      <c r="J1125" s="117">
        <v>19.599975995564439</v>
      </c>
    </row>
    <row r="1126" spans="1:10" ht="16">
      <c r="A1126" s="93" t="s">
        <v>1273</v>
      </c>
      <c r="B1126" s="94" t="s">
        <v>1190</v>
      </c>
      <c r="C1126" s="95" t="s">
        <v>107</v>
      </c>
      <c r="D1126" s="96" t="s">
        <v>63</v>
      </c>
      <c r="E1126" s="97">
        <v>26218</v>
      </c>
      <c r="F1126" s="97">
        <v>1748</v>
      </c>
      <c r="G1126" s="97">
        <v>8914</v>
      </c>
      <c r="H1126" s="114">
        <v>46.57087254145155</v>
      </c>
      <c r="I1126" s="125">
        <v>38578</v>
      </c>
      <c r="J1126" s="115">
        <v>46.034959460276539</v>
      </c>
    </row>
    <row r="1127" spans="1:10" ht="16">
      <c r="A1127" s="100" t="s">
        <v>741</v>
      </c>
      <c r="B1127" s="101" t="s">
        <v>642</v>
      </c>
      <c r="C1127" s="102" t="s">
        <v>76</v>
      </c>
      <c r="D1127" s="103" t="s">
        <v>84</v>
      </c>
      <c r="E1127" s="104">
        <v>3002</v>
      </c>
      <c r="F1127" s="104">
        <v>259</v>
      </c>
      <c r="G1127" s="104">
        <v>90</v>
      </c>
      <c r="H1127" s="116">
        <v>12.83844052750433</v>
      </c>
      <c r="I1127" s="126">
        <v>1689</v>
      </c>
      <c r="J1127" s="117">
        <v>21.040383919327986</v>
      </c>
    </row>
    <row r="1128" spans="1:10" ht="16">
      <c r="A1128" s="93" t="s">
        <v>442</v>
      </c>
      <c r="B1128" s="94" t="s">
        <v>402</v>
      </c>
      <c r="C1128" s="95" t="s">
        <v>107</v>
      </c>
      <c r="D1128" s="96" t="s">
        <v>82</v>
      </c>
      <c r="E1128" s="97">
        <v>19268</v>
      </c>
      <c r="F1128" s="97">
        <v>456</v>
      </c>
      <c r="G1128" s="97">
        <v>2312</v>
      </c>
      <c r="H1128" s="114">
        <v>26.189336055053381</v>
      </c>
      <c r="I1128" s="125">
        <v>14503</v>
      </c>
      <c r="J1128" s="115">
        <v>22.293178211213309</v>
      </c>
    </row>
    <row r="1129" spans="1:10" ht="16">
      <c r="A1129" s="100" t="s">
        <v>631</v>
      </c>
      <c r="B1129" s="101" t="s">
        <v>598</v>
      </c>
      <c r="C1129" s="102" t="s">
        <v>76</v>
      </c>
      <c r="D1129" s="103" t="s">
        <v>82</v>
      </c>
      <c r="E1129" s="104">
        <v>12636</v>
      </c>
      <c r="F1129" s="104">
        <v>854</v>
      </c>
      <c r="G1129" s="104">
        <v>1011</v>
      </c>
      <c r="H1129" s="116">
        <v>22.236100246123453</v>
      </c>
      <c r="I1129" s="126">
        <v>14736</v>
      </c>
      <c r="J1129" s="117">
        <v>38.258917041408402</v>
      </c>
    </row>
    <row r="1130" spans="1:10" ht="16">
      <c r="A1130" s="93" t="s">
        <v>888</v>
      </c>
      <c r="B1130" s="94" t="s">
        <v>879</v>
      </c>
      <c r="C1130" s="95" t="s">
        <v>76</v>
      </c>
      <c r="D1130" s="96" t="s">
        <v>62</v>
      </c>
      <c r="E1130" s="97">
        <v>24174</v>
      </c>
      <c r="F1130" s="97">
        <v>1889</v>
      </c>
      <c r="G1130" s="97">
        <v>725</v>
      </c>
      <c r="H1130" s="114">
        <v>9.2883024724341947</v>
      </c>
      <c r="I1130" s="125">
        <v>1732</v>
      </c>
      <c r="J1130" s="115">
        <v>18.472829169497125</v>
      </c>
    </row>
    <row r="1131" spans="1:10" ht="16">
      <c r="A1131" s="100" t="s">
        <v>810</v>
      </c>
      <c r="B1131" s="101" t="s">
        <v>798</v>
      </c>
      <c r="C1131" s="102" t="s">
        <v>76</v>
      </c>
      <c r="D1131" s="103" t="s">
        <v>84</v>
      </c>
      <c r="E1131" s="104">
        <v>29921</v>
      </c>
      <c r="F1131" s="104">
        <v>1432</v>
      </c>
      <c r="G1131" s="104">
        <v>299</v>
      </c>
      <c r="H1131" s="116">
        <v>7.5870893352224726</v>
      </c>
      <c r="I1131" s="126">
        <v>771</v>
      </c>
      <c r="J1131" s="117">
        <v>14.716123954548536</v>
      </c>
    </row>
    <row r="1132" spans="1:10" ht="16">
      <c r="A1132" s="93" t="s">
        <v>1139</v>
      </c>
      <c r="B1132" s="94" t="s">
        <v>1135</v>
      </c>
      <c r="C1132" s="95" t="s">
        <v>76</v>
      </c>
      <c r="D1132" s="96" t="s">
        <v>84</v>
      </c>
      <c r="E1132" s="97">
        <v>25335</v>
      </c>
      <c r="F1132" s="97">
        <v>2282</v>
      </c>
      <c r="G1132" s="97">
        <v>253</v>
      </c>
      <c r="H1132" s="114">
        <v>8.045267620706035</v>
      </c>
      <c r="I1132" s="125">
        <v>1112</v>
      </c>
      <c r="J1132" s="115">
        <v>23.26304801845798</v>
      </c>
    </row>
    <row r="1133" spans="1:10" ht="16">
      <c r="A1133" s="100" t="s">
        <v>984</v>
      </c>
      <c r="B1133" s="101" t="s">
        <v>977</v>
      </c>
      <c r="C1133" s="102" t="s">
        <v>76</v>
      </c>
      <c r="D1133" s="103" t="s">
        <v>61</v>
      </c>
      <c r="E1133" s="104">
        <v>193874</v>
      </c>
      <c r="F1133" s="104">
        <v>1249</v>
      </c>
      <c r="G1133" s="104">
        <v>13571</v>
      </c>
      <c r="H1133" s="116">
        <v>20.063036341861828</v>
      </c>
      <c r="I1133" s="126">
        <v>2922</v>
      </c>
      <c r="J1133" s="117">
        <v>22.509436962602919</v>
      </c>
    </row>
    <row r="1134" spans="1:10" ht="16">
      <c r="A1134" s="93" t="s">
        <v>115</v>
      </c>
      <c r="B1134" s="94" t="s">
        <v>89</v>
      </c>
      <c r="C1134" s="95" t="s">
        <v>76</v>
      </c>
      <c r="D1134" s="96" t="s">
        <v>60</v>
      </c>
      <c r="E1134" s="97">
        <v>20268</v>
      </c>
      <c r="F1134" s="97">
        <v>665</v>
      </c>
      <c r="G1134" s="97">
        <v>5067</v>
      </c>
      <c r="H1134" s="114">
        <v>39.667235390337687</v>
      </c>
      <c r="I1134" s="125">
        <v>25964</v>
      </c>
      <c r="J1134" s="115">
        <v>31.516675728785192</v>
      </c>
    </row>
    <row r="1135" spans="1:10" ht="16">
      <c r="A1135" s="100" t="s">
        <v>1431</v>
      </c>
      <c r="B1135" s="101" t="s">
        <v>1288</v>
      </c>
      <c r="C1135" s="102" t="s">
        <v>76</v>
      </c>
      <c r="D1135" s="103" t="s">
        <v>61</v>
      </c>
      <c r="E1135" s="104">
        <v>32291</v>
      </c>
      <c r="F1135" s="104">
        <v>1993</v>
      </c>
      <c r="G1135" s="104">
        <v>1615</v>
      </c>
      <c r="H1135" s="116">
        <v>26.023754386977771</v>
      </c>
      <c r="I1135" s="126">
        <v>16321</v>
      </c>
      <c r="J1135" s="117">
        <v>33.479781415747823</v>
      </c>
    </row>
    <row r="1136" spans="1:10" ht="16">
      <c r="A1136" s="93" t="s">
        <v>292</v>
      </c>
      <c r="B1136" s="94" t="s">
        <v>223</v>
      </c>
      <c r="C1136" s="95" t="s">
        <v>76</v>
      </c>
      <c r="D1136" s="96" t="s">
        <v>84</v>
      </c>
      <c r="E1136" s="97">
        <v>21401</v>
      </c>
      <c r="F1136" s="97">
        <v>2140</v>
      </c>
      <c r="G1136" s="97">
        <v>1473</v>
      </c>
      <c r="H1136" s="114">
        <v>10.05464262739145</v>
      </c>
      <c r="I1136" s="125">
        <v>1097</v>
      </c>
      <c r="J1136" s="115">
        <v>19.334930076314468</v>
      </c>
    </row>
    <row r="1137" spans="1:10" ht="16">
      <c r="A1137" s="100" t="s">
        <v>1432</v>
      </c>
      <c r="B1137" s="101" t="s">
        <v>1288</v>
      </c>
      <c r="C1137" s="102" t="s">
        <v>76</v>
      </c>
      <c r="D1137" s="103" t="s">
        <v>84</v>
      </c>
      <c r="E1137" s="104">
        <v>14542</v>
      </c>
      <c r="F1137" s="104">
        <v>414</v>
      </c>
      <c r="G1137" s="104">
        <v>436</v>
      </c>
      <c r="H1137" s="116">
        <v>16.257408853053374</v>
      </c>
      <c r="I1137" s="126">
        <v>7431</v>
      </c>
      <c r="J1137" s="117">
        <v>31.753850946498385</v>
      </c>
    </row>
    <row r="1138" spans="1:10" ht="16">
      <c r="A1138" s="93" t="s">
        <v>1433</v>
      </c>
      <c r="B1138" s="94" t="s">
        <v>1288</v>
      </c>
      <c r="C1138" s="95" t="s">
        <v>76</v>
      </c>
      <c r="D1138" s="96" t="s">
        <v>62</v>
      </c>
      <c r="E1138" s="97">
        <v>33885</v>
      </c>
      <c r="F1138" s="97">
        <v>1793</v>
      </c>
      <c r="G1138" s="97">
        <v>4744</v>
      </c>
      <c r="H1138" s="114">
        <v>34.758705940802436</v>
      </c>
      <c r="I1138" s="125">
        <v>29957</v>
      </c>
      <c r="J1138" s="115">
        <v>31.112734524097828</v>
      </c>
    </row>
    <row r="1139" spans="1:10" ht="16">
      <c r="A1139" s="100" t="s">
        <v>1274</v>
      </c>
      <c r="B1139" s="101" t="s">
        <v>1190</v>
      </c>
      <c r="C1139" s="102" t="s">
        <v>76</v>
      </c>
      <c r="D1139" s="103" t="s">
        <v>80</v>
      </c>
      <c r="E1139" s="104">
        <v>15664</v>
      </c>
      <c r="F1139" s="104">
        <v>1058</v>
      </c>
      <c r="G1139" s="104">
        <v>2976</v>
      </c>
      <c r="H1139" s="116">
        <v>10.080121020517424</v>
      </c>
      <c r="I1139" s="126">
        <v>2643</v>
      </c>
      <c r="J1139" s="117">
        <v>17.126749954593926</v>
      </c>
    </row>
    <row r="1140" spans="1:10" ht="16">
      <c r="A1140" s="93" t="s">
        <v>1275</v>
      </c>
      <c r="B1140" s="94" t="s">
        <v>1190</v>
      </c>
      <c r="C1140" s="95" t="s">
        <v>76</v>
      </c>
      <c r="D1140" s="96" t="s">
        <v>60</v>
      </c>
      <c r="E1140" s="97">
        <v>23863</v>
      </c>
      <c r="F1140" s="97">
        <v>1742</v>
      </c>
      <c r="G1140" s="97">
        <v>8113</v>
      </c>
      <c r="H1140" s="114">
        <v>45.271111398562141</v>
      </c>
      <c r="I1140" s="125">
        <v>39073</v>
      </c>
      <c r="J1140" s="115">
        <v>40.680825413496898</v>
      </c>
    </row>
    <row r="1141" spans="1:10" ht="16">
      <c r="A1141" s="100" t="s">
        <v>1434</v>
      </c>
      <c r="B1141" s="101" t="s">
        <v>1288</v>
      </c>
      <c r="C1141" s="102" t="s">
        <v>76</v>
      </c>
      <c r="D1141" s="103" t="s">
        <v>82</v>
      </c>
      <c r="E1141" s="104">
        <v>36929</v>
      </c>
      <c r="F1141" s="104">
        <v>3156</v>
      </c>
      <c r="G1141" s="104">
        <v>9232</v>
      </c>
      <c r="H1141" s="116">
        <v>59.898089410989897</v>
      </c>
      <c r="I1141" s="126">
        <v>55214</v>
      </c>
      <c r="J1141" s="117">
        <v>55.198018363206579</v>
      </c>
    </row>
    <row r="1142" spans="1:10" ht="16">
      <c r="A1142" s="93" t="s">
        <v>342</v>
      </c>
      <c r="B1142" s="94" t="s">
        <v>336</v>
      </c>
      <c r="C1142" s="95" t="s">
        <v>76</v>
      </c>
      <c r="D1142" s="96" t="s">
        <v>63</v>
      </c>
      <c r="E1142" s="97">
        <v>21281</v>
      </c>
      <c r="F1142" s="97">
        <v>1759</v>
      </c>
      <c r="G1142" s="97">
        <v>3618</v>
      </c>
      <c r="H1142" s="114">
        <v>28.614887055862575</v>
      </c>
      <c r="I1142" s="125">
        <v>24082</v>
      </c>
      <c r="J1142" s="115">
        <v>21.529149318531456</v>
      </c>
    </row>
    <row r="1143" spans="1:10" ht="16">
      <c r="A1143" s="100" t="s">
        <v>116</v>
      </c>
      <c r="B1143" s="101" t="s">
        <v>89</v>
      </c>
      <c r="C1143" s="102" t="s">
        <v>76</v>
      </c>
      <c r="D1143" s="103" t="s">
        <v>63</v>
      </c>
      <c r="E1143" s="104">
        <v>12405</v>
      </c>
      <c r="F1143" s="104">
        <v>481</v>
      </c>
      <c r="G1143" s="104">
        <v>1861</v>
      </c>
      <c r="H1143" s="116">
        <v>20.093892222593368</v>
      </c>
      <c r="I1143" s="126">
        <v>11014</v>
      </c>
      <c r="J1143" s="117">
        <v>20.125029781157625</v>
      </c>
    </row>
    <row r="1144" spans="1:10" ht="16">
      <c r="A1144" s="93" t="s">
        <v>313</v>
      </c>
      <c r="B1144" s="94" t="s">
        <v>314</v>
      </c>
      <c r="C1144" s="95" t="s">
        <v>107</v>
      </c>
      <c r="D1144" s="96" t="s">
        <v>60</v>
      </c>
      <c r="E1144" s="97">
        <v>20043</v>
      </c>
      <c r="F1144" s="97">
        <v>891</v>
      </c>
      <c r="G1144" s="97">
        <v>401</v>
      </c>
      <c r="H1144" s="114">
        <v>13.051756420914119</v>
      </c>
      <c r="I1144" s="125">
        <v>7053</v>
      </c>
      <c r="J1144" s="115">
        <v>16.258594236841617</v>
      </c>
    </row>
    <row r="1145" spans="1:10" ht="16">
      <c r="A1145" s="100" t="s">
        <v>1276</v>
      </c>
      <c r="B1145" s="101" t="s">
        <v>1190</v>
      </c>
      <c r="C1145" s="102" t="s">
        <v>76</v>
      </c>
      <c r="D1145" s="103" t="s">
        <v>82</v>
      </c>
      <c r="E1145" s="104">
        <v>9213</v>
      </c>
      <c r="F1145" s="104">
        <v>725</v>
      </c>
      <c r="G1145" s="104">
        <v>4238</v>
      </c>
      <c r="H1145" s="116">
        <v>42.15654788214286</v>
      </c>
      <c r="I1145" s="126">
        <v>28440</v>
      </c>
      <c r="J1145" s="117">
        <v>43.136719360362335</v>
      </c>
    </row>
    <row r="1146" spans="1:10" ht="16">
      <c r="A1146" s="93" t="s">
        <v>1078</v>
      </c>
      <c r="B1146" s="94" t="s">
        <v>1072</v>
      </c>
      <c r="C1146" s="95" t="s">
        <v>107</v>
      </c>
      <c r="D1146" s="96" t="s">
        <v>130</v>
      </c>
      <c r="E1146" s="97">
        <v>7579</v>
      </c>
      <c r="F1146" s="97">
        <v>642</v>
      </c>
      <c r="G1146" s="97">
        <v>2577</v>
      </c>
      <c r="H1146" s="114">
        <v>20.357425469010881</v>
      </c>
      <c r="I1146" s="125">
        <v>11604</v>
      </c>
      <c r="J1146" s="115">
        <v>31.429965671235184</v>
      </c>
    </row>
    <row r="1147" spans="1:10" ht="16">
      <c r="A1147" s="100" t="s">
        <v>1277</v>
      </c>
      <c r="B1147" s="101" t="s">
        <v>1190</v>
      </c>
      <c r="C1147" s="102" t="s">
        <v>76</v>
      </c>
      <c r="D1147" s="103" t="s">
        <v>62</v>
      </c>
      <c r="E1147" s="104">
        <v>9250</v>
      </c>
      <c r="F1147" s="104">
        <v>585</v>
      </c>
      <c r="G1147" s="104">
        <v>2128</v>
      </c>
      <c r="H1147" s="116">
        <v>26.210699867655158</v>
      </c>
      <c r="I1147" s="126">
        <v>19209</v>
      </c>
      <c r="J1147" s="117">
        <v>24.503167339020486</v>
      </c>
    </row>
    <row r="1148" spans="1:10" ht="16">
      <c r="A1148" s="93" t="s">
        <v>397</v>
      </c>
      <c r="B1148" s="94" t="s">
        <v>377</v>
      </c>
      <c r="C1148" s="95" t="s">
        <v>76</v>
      </c>
      <c r="D1148" s="96" t="s">
        <v>80</v>
      </c>
      <c r="E1148" s="97">
        <v>46898</v>
      </c>
      <c r="F1148" s="97">
        <v>2495</v>
      </c>
      <c r="G1148" s="97">
        <v>9380</v>
      </c>
      <c r="H1148" s="114">
        <v>21.793022935166938</v>
      </c>
      <c r="I1148" s="125">
        <v>13191</v>
      </c>
      <c r="J1148" s="115">
        <v>29.289445132716772</v>
      </c>
    </row>
    <row r="1149" spans="1:10" ht="16">
      <c r="A1149" s="100" t="s">
        <v>1278</v>
      </c>
      <c r="B1149" s="101" t="s">
        <v>1190</v>
      </c>
      <c r="C1149" s="102" t="s">
        <v>107</v>
      </c>
      <c r="D1149" s="103" t="s">
        <v>80</v>
      </c>
      <c r="E1149" s="104">
        <v>18517</v>
      </c>
      <c r="F1149" s="104">
        <v>975</v>
      </c>
      <c r="G1149" s="104">
        <v>5000</v>
      </c>
      <c r="H1149" s="116">
        <v>32.365425982853559</v>
      </c>
      <c r="I1149" s="126">
        <v>16423</v>
      </c>
      <c r="J1149" s="117">
        <v>28.649786183150958</v>
      </c>
    </row>
    <row r="1150" spans="1:10" ht="16">
      <c r="A1150" s="93" t="s">
        <v>443</v>
      </c>
      <c r="B1150" s="94" t="s">
        <v>402</v>
      </c>
      <c r="C1150" s="95" t="s">
        <v>107</v>
      </c>
      <c r="D1150" s="96" t="s">
        <v>77</v>
      </c>
      <c r="E1150" s="97">
        <v>26004</v>
      </c>
      <c r="F1150" s="97">
        <v>568</v>
      </c>
      <c r="G1150" s="97">
        <v>5201</v>
      </c>
      <c r="H1150" s="114">
        <v>45.538822433526455</v>
      </c>
      <c r="I1150" s="125">
        <v>23874</v>
      </c>
      <c r="J1150" s="115">
        <v>42.067881668111582</v>
      </c>
    </row>
    <row r="1151" spans="1:10" ht="16">
      <c r="A1151" s="100" t="s">
        <v>1279</v>
      </c>
      <c r="B1151" s="101" t="s">
        <v>1190</v>
      </c>
      <c r="C1151" s="102" t="s">
        <v>76</v>
      </c>
      <c r="D1151" s="103" t="s">
        <v>77</v>
      </c>
      <c r="E1151" s="104">
        <v>13125</v>
      </c>
      <c r="F1151" s="104">
        <v>820</v>
      </c>
      <c r="G1151" s="104">
        <v>4856</v>
      </c>
      <c r="H1151" s="116">
        <v>35.23511819542415</v>
      </c>
      <c r="I1151" s="126">
        <v>24726</v>
      </c>
      <c r="J1151" s="117">
        <v>31.170411098657254</v>
      </c>
    </row>
    <row r="1152" spans="1:10" ht="16">
      <c r="A1152" s="93" t="s">
        <v>1280</v>
      </c>
      <c r="B1152" s="94" t="s">
        <v>1190</v>
      </c>
      <c r="C1152" s="95" t="s">
        <v>76</v>
      </c>
      <c r="D1152" s="96" t="s">
        <v>63</v>
      </c>
      <c r="E1152" s="97">
        <v>14978</v>
      </c>
      <c r="F1152" s="97">
        <v>930</v>
      </c>
      <c r="G1152" s="97">
        <v>5841</v>
      </c>
      <c r="H1152" s="114">
        <v>38.4669638011693</v>
      </c>
      <c r="I1152" s="125">
        <v>34857</v>
      </c>
      <c r="J1152" s="115">
        <v>36.255603925402198</v>
      </c>
    </row>
    <row r="1153" spans="1:10" ht="16">
      <c r="A1153" s="100" t="s">
        <v>117</v>
      </c>
      <c r="B1153" s="101" t="s">
        <v>89</v>
      </c>
      <c r="C1153" s="102" t="s">
        <v>76</v>
      </c>
      <c r="D1153" s="103" t="s">
        <v>61</v>
      </c>
      <c r="E1153" s="104">
        <v>45111</v>
      </c>
      <c r="F1153" s="104">
        <v>2244</v>
      </c>
      <c r="G1153" s="104">
        <v>17593</v>
      </c>
      <c r="H1153" s="116">
        <v>62.419063426074104</v>
      </c>
      <c r="I1153" s="126">
        <v>55859</v>
      </c>
      <c r="J1153" s="117">
        <v>51.007638927224043</v>
      </c>
    </row>
    <row r="1154" spans="1:10" ht="16">
      <c r="A1154" s="93" t="s">
        <v>470</v>
      </c>
      <c r="B1154" s="94" t="s">
        <v>466</v>
      </c>
      <c r="C1154" s="95" t="s">
        <v>76</v>
      </c>
      <c r="D1154" s="96" t="s">
        <v>80</v>
      </c>
      <c r="E1154" s="97">
        <v>19700</v>
      </c>
      <c r="F1154" s="97">
        <v>1576</v>
      </c>
      <c r="G1154" s="97">
        <v>3152</v>
      </c>
      <c r="H1154" s="114">
        <v>13.336556171951448</v>
      </c>
      <c r="I1154" s="125">
        <v>4569</v>
      </c>
      <c r="J1154" s="115">
        <v>22.032208646849313</v>
      </c>
    </row>
    <row r="1155" spans="1:10" ht="16">
      <c r="A1155" s="100" t="s">
        <v>571</v>
      </c>
      <c r="B1155" s="101" t="s">
        <v>537</v>
      </c>
      <c r="C1155" s="102" t="s">
        <v>107</v>
      </c>
      <c r="D1155" s="103" t="s">
        <v>84</v>
      </c>
      <c r="E1155" s="104">
        <v>20360</v>
      </c>
      <c r="F1155" s="104">
        <v>771</v>
      </c>
      <c r="G1155" s="104">
        <v>936</v>
      </c>
      <c r="H1155" s="116">
        <v>20.232055748540446</v>
      </c>
      <c r="I1155" s="126">
        <v>8419</v>
      </c>
      <c r="J1155" s="117">
        <v>28.024699081450169</v>
      </c>
    </row>
    <row r="1156" spans="1:10" ht="16">
      <c r="A1156" s="93" t="s">
        <v>220</v>
      </c>
      <c r="B1156" s="94" t="s">
        <v>212</v>
      </c>
      <c r="C1156" s="95" t="s">
        <v>107</v>
      </c>
      <c r="D1156" s="96" t="s">
        <v>77</v>
      </c>
      <c r="E1156" s="97">
        <v>10795</v>
      </c>
      <c r="F1156" s="97">
        <v>670</v>
      </c>
      <c r="G1156" s="97">
        <v>108</v>
      </c>
      <c r="H1156" s="114">
        <v>11.474359084545744</v>
      </c>
      <c r="I1156" s="125">
        <v>3089</v>
      </c>
      <c r="J1156" s="115">
        <v>15.800034410824198</v>
      </c>
    </row>
    <row r="1157" spans="1:10" ht="16">
      <c r="A1157" s="100" t="s">
        <v>367</v>
      </c>
      <c r="B1157" s="101" t="s">
        <v>365</v>
      </c>
      <c r="C1157" s="102" t="s">
        <v>76</v>
      </c>
      <c r="D1157" s="103" t="s">
        <v>130</v>
      </c>
      <c r="E1157" s="104">
        <v>8532</v>
      </c>
      <c r="F1157" s="104">
        <v>736</v>
      </c>
      <c r="G1157" s="104">
        <v>683</v>
      </c>
      <c r="H1157" s="116">
        <v>27.841692575494598</v>
      </c>
      <c r="I1157" s="126">
        <v>22453</v>
      </c>
      <c r="J1157" s="117">
        <v>27.032720387821499</v>
      </c>
    </row>
    <row r="1158" spans="1:10" ht="16">
      <c r="A1158" s="93" t="s">
        <v>118</v>
      </c>
      <c r="B1158" s="94" t="s">
        <v>89</v>
      </c>
      <c r="C1158" s="95" t="s">
        <v>76</v>
      </c>
      <c r="D1158" s="96" t="s">
        <v>62</v>
      </c>
      <c r="E1158" s="97">
        <v>18219</v>
      </c>
      <c r="F1158" s="97">
        <v>732</v>
      </c>
      <c r="G1158" s="97">
        <v>5466</v>
      </c>
      <c r="H1158" s="114">
        <v>34.608010845704634</v>
      </c>
      <c r="I1158" s="125">
        <v>21357</v>
      </c>
      <c r="J1158" s="115">
        <v>26.73885414806664</v>
      </c>
    </row>
    <row r="1159" spans="1:10" ht="16">
      <c r="A1159" s="100" t="s">
        <v>119</v>
      </c>
      <c r="B1159" s="101" t="s">
        <v>89</v>
      </c>
      <c r="C1159" s="102" t="s">
        <v>76</v>
      </c>
      <c r="D1159" s="103" t="s">
        <v>59</v>
      </c>
      <c r="E1159" s="104">
        <v>26385</v>
      </c>
      <c r="F1159" s="104">
        <v>608</v>
      </c>
      <c r="G1159" s="104">
        <v>8971</v>
      </c>
      <c r="H1159" s="116">
        <v>43.595094256521172</v>
      </c>
      <c r="I1159" s="126">
        <v>32417</v>
      </c>
      <c r="J1159" s="117">
        <v>33.513524054350604</v>
      </c>
    </row>
    <row r="1160" spans="1:10" ht="16">
      <c r="A1160" s="93" t="s">
        <v>579</v>
      </c>
      <c r="B1160" s="94" t="s">
        <v>578</v>
      </c>
      <c r="C1160" s="95" t="s">
        <v>76</v>
      </c>
      <c r="D1160" s="96" t="s">
        <v>60</v>
      </c>
      <c r="E1160" s="97">
        <v>10450</v>
      </c>
      <c r="F1160" s="97">
        <v>1659</v>
      </c>
      <c r="G1160" s="97">
        <v>727</v>
      </c>
      <c r="H1160" s="114">
        <v>7.2488140673169452</v>
      </c>
      <c r="I1160" s="125">
        <v>1438</v>
      </c>
      <c r="J1160" s="115">
        <v>21.431074868468446</v>
      </c>
    </row>
    <row r="1161" spans="1:10" ht="16">
      <c r="A1161" s="100" t="s">
        <v>572</v>
      </c>
      <c r="B1161" s="101" t="s">
        <v>537</v>
      </c>
      <c r="C1161" s="102" t="s">
        <v>107</v>
      </c>
      <c r="D1161" s="103" t="s">
        <v>82</v>
      </c>
      <c r="E1161" s="104">
        <v>53614</v>
      </c>
      <c r="F1161" s="104">
        <v>2188</v>
      </c>
      <c r="G1161" s="104">
        <v>1072</v>
      </c>
      <c r="H1161" s="116">
        <v>23.722665184358871</v>
      </c>
      <c r="I1161" s="126">
        <v>9211</v>
      </c>
      <c r="J1161" s="117">
        <v>37.545076175878108</v>
      </c>
    </row>
    <row r="1162" spans="1:10" ht="16">
      <c r="A1162" s="93" t="s">
        <v>1435</v>
      </c>
      <c r="B1162" s="94" t="s">
        <v>1288</v>
      </c>
      <c r="C1162" s="95" t="s">
        <v>76</v>
      </c>
      <c r="D1162" s="96" t="s">
        <v>82</v>
      </c>
      <c r="E1162" s="97">
        <v>28835</v>
      </c>
      <c r="F1162" s="97">
        <v>1144</v>
      </c>
      <c r="G1162" s="97">
        <v>4325</v>
      </c>
      <c r="H1162" s="114">
        <v>18.82366590684644</v>
      </c>
      <c r="I1162" s="125">
        <v>9256</v>
      </c>
      <c r="J1162" s="115">
        <v>21.737380815340305</v>
      </c>
    </row>
    <row r="1163" spans="1:10" ht="16">
      <c r="A1163" s="100" t="s">
        <v>1436</v>
      </c>
      <c r="B1163" s="101" t="s">
        <v>1288</v>
      </c>
      <c r="C1163" s="102" t="s">
        <v>76</v>
      </c>
      <c r="D1163" s="103" t="s">
        <v>61</v>
      </c>
      <c r="E1163" s="104">
        <v>49165</v>
      </c>
      <c r="F1163" s="104">
        <v>2858</v>
      </c>
      <c r="G1163" s="104">
        <v>4917</v>
      </c>
      <c r="H1163" s="116">
        <v>76.651089175978569</v>
      </c>
      <c r="I1163" s="126">
        <v>71155</v>
      </c>
      <c r="J1163" s="117">
        <v>69.001439687319348</v>
      </c>
    </row>
    <row r="1164" spans="1:10" ht="16">
      <c r="A1164" s="93" t="s">
        <v>1437</v>
      </c>
      <c r="B1164" s="94" t="s">
        <v>1288</v>
      </c>
      <c r="C1164" s="95" t="s">
        <v>107</v>
      </c>
      <c r="D1164" s="96" t="s">
        <v>92</v>
      </c>
      <c r="E1164" s="97">
        <v>22757</v>
      </c>
      <c r="F1164" s="97">
        <v>1054</v>
      </c>
      <c r="G1164" s="97">
        <v>5689</v>
      </c>
      <c r="H1164" s="114">
        <v>29.82382016037544</v>
      </c>
      <c r="I1164" s="125">
        <v>24086</v>
      </c>
      <c r="J1164" s="115">
        <v>23.96576266960167</v>
      </c>
    </row>
    <row r="1165" spans="1:10" ht="16">
      <c r="A1165" s="100" t="s">
        <v>1438</v>
      </c>
      <c r="B1165" s="101" t="s">
        <v>1288</v>
      </c>
      <c r="C1165" s="102" t="s">
        <v>76</v>
      </c>
      <c r="D1165" s="103" t="s">
        <v>77</v>
      </c>
      <c r="E1165" s="104">
        <v>17089</v>
      </c>
      <c r="F1165" s="104">
        <v>737</v>
      </c>
      <c r="G1165" s="104">
        <v>1367</v>
      </c>
      <c r="H1165" s="116">
        <v>23.311201257200505</v>
      </c>
      <c r="I1165" s="126">
        <v>8393</v>
      </c>
      <c r="J1165" s="117">
        <v>21.356275040627285</v>
      </c>
    </row>
    <row r="1166" spans="1:10" ht="16">
      <c r="A1166" s="93" t="s">
        <v>1439</v>
      </c>
      <c r="B1166" s="94" t="s">
        <v>1288</v>
      </c>
      <c r="C1166" s="95" t="s">
        <v>76</v>
      </c>
      <c r="D1166" s="96" t="s">
        <v>80</v>
      </c>
      <c r="E1166" s="97">
        <v>24435</v>
      </c>
      <c r="F1166" s="97">
        <v>997</v>
      </c>
      <c r="G1166" s="97">
        <v>977</v>
      </c>
      <c r="H1166" s="114">
        <v>21.769449552443337</v>
      </c>
      <c r="I1166" s="125">
        <v>16526</v>
      </c>
      <c r="J1166" s="115">
        <v>18.284684591335854</v>
      </c>
    </row>
    <row r="1167" spans="1:10" ht="16">
      <c r="A1167" s="100" t="s">
        <v>456</v>
      </c>
      <c r="B1167" s="101" t="s">
        <v>448</v>
      </c>
      <c r="C1167" s="102" t="s">
        <v>76</v>
      </c>
      <c r="D1167" s="103" t="s">
        <v>130</v>
      </c>
      <c r="E1167" s="104">
        <v>13040</v>
      </c>
      <c r="F1167" s="104">
        <v>316</v>
      </c>
      <c r="G1167" s="104">
        <v>130</v>
      </c>
      <c r="H1167" s="116">
        <v>18.623795735183496</v>
      </c>
      <c r="I1167" s="126">
        <v>7902</v>
      </c>
      <c r="J1167" s="117">
        <v>18.26729745369175</v>
      </c>
    </row>
    <row r="1168" spans="1:10" ht="16">
      <c r="A1168" s="93" t="s">
        <v>221</v>
      </c>
      <c r="B1168" s="94" t="s">
        <v>212</v>
      </c>
      <c r="C1168" s="95" t="s">
        <v>76</v>
      </c>
      <c r="D1168" s="96" t="s">
        <v>82</v>
      </c>
      <c r="E1168" s="97">
        <v>8402</v>
      </c>
      <c r="F1168" s="97">
        <v>583</v>
      </c>
      <c r="G1168" s="97">
        <v>168</v>
      </c>
      <c r="H1168" s="114">
        <v>10.673377980802396</v>
      </c>
      <c r="I1168" s="125">
        <v>1663</v>
      </c>
      <c r="J1168" s="115">
        <v>16.760001052060826</v>
      </c>
    </row>
    <row r="1169" spans="1:10" ht="16">
      <c r="A1169" s="100" t="s">
        <v>309</v>
      </c>
      <c r="B1169" s="101" t="s">
        <v>304</v>
      </c>
      <c r="C1169" s="102" t="s">
        <v>107</v>
      </c>
      <c r="D1169" s="103" t="s">
        <v>61</v>
      </c>
      <c r="E1169" s="104">
        <v>15521</v>
      </c>
      <c r="F1169" s="104">
        <v>1176</v>
      </c>
      <c r="G1169" s="104">
        <v>310</v>
      </c>
      <c r="H1169" s="116">
        <v>16.857887196395186</v>
      </c>
      <c r="I1169" s="126">
        <v>7203</v>
      </c>
      <c r="J1169" s="117">
        <v>21.398513984724435</v>
      </c>
    </row>
    <row r="1170" spans="1:10" ht="16">
      <c r="A1170" s="93" t="s">
        <v>1458</v>
      </c>
      <c r="B1170" s="94" t="s">
        <v>1459</v>
      </c>
      <c r="C1170" s="95" t="s">
        <v>76</v>
      </c>
      <c r="D1170" s="96" t="s">
        <v>84</v>
      </c>
      <c r="E1170" s="97">
        <v>42198</v>
      </c>
      <c r="F1170" s="97">
        <v>2512</v>
      </c>
      <c r="G1170" s="97">
        <v>4007</v>
      </c>
      <c r="H1170" s="114">
        <v>8.4769335981907528</v>
      </c>
      <c r="I1170" s="125">
        <v>766</v>
      </c>
      <c r="J1170" s="115">
        <v>15.318187376794722</v>
      </c>
    </row>
    <row r="1171" spans="1:10" ht="16">
      <c r="A1171" s="100" t="s">
        <v>1051</v>
      </c>
      <c r="B1171" s="101" t="s">
        <v>1020</v>
      </c>
      <c r="C1171" s="102" t="s">
        <v>76</v>
      </c>
      <c r="D1171" s="103" t="s">
        <v>61</v>
      </c>
      <c r="E1171" s="104">
        <v>11277</v>
      </c>
      <c r="F1171" s="104">
        <v>881</v>
      </c>
      <c r="G1171" s="104">
        <v>789</v>
      </c>
      <c r="H1171" s="116">
        <v>13.720270479638012</v>
      </c>
      <c r="I1171" s="126">
        <v>8051</v>
      </c>
      <c r="J1171" s="117">
        <v>20.760920686265553</v>
      </c>
    </row>
    <row r="1172" spans="1:10" ht="16">
      <c r="A1172" s="93" t="s">
        <v>1052</v>
      </c>
      <c r="B1172" s="94" t="s">
        <v>1020</v>
      </c>
      <c r="C1172" s="95" t="s">
        <v>76</v>
      </c>
      <c r="D1172" s="96" t="s">
        <v>82</v>
      </c>
      <c r="E1172" s="97">
        <v>42485</v>
      </c>
      <c r="F1172" s="97">
        <v>2871</v>
      </c>
      <c r="G1172" s="97">
        <v>1699</v>
      </c>
      <c r="H1172" s="114">
        <v>17.832438040928771</v>
      </c>
      <c r="I1172" s="125">
        <v>8175</v>
      </c>
      <c r="J1172" s="115">
        <v>22.980567284730817</v>
      </c>
    </row>
    <row r="1173" spans="1:10" ht="16">
      <c r="A1173" s="100" t="s">
        <v>310</v>
      </c>
      <c r="B1173" s="101" t="s">
        <v>304</v>
      </c>
      <c r="C1173" s="102" t="s">
        <v>76</v>
      </c>
      <c r="D1173" s="103" t="s">
        <v>63</v>
      </c>
      <c r="E1173" s="104">
        <v>14228</v>
      </c>
      <c r="F1173" s="104">
        <v>694</v>
      </c>
      <c r="G1173" s="104">
        <v>427</v>
      </c>
      <c r="H1173" s="116">
        <v>11.662711069110273</v>
      </c>
      <c r="I1173" s="126">
        <v>1322</v>
      </c>
      <c r="J1173" s="117">
        <v>15.498732424025848</v>
      </c>
    </row>
    <row r="1174" spans="1:10" ht="16">
      <c r="A1174" s="93" t="s">
        <v>877</v>
      </c>
      <c r="B1174" s="94" t="s">
        <v>876</v>
      </c>
      <c r="C1174" s="95" t="s">
        <v>76</v>
      </c>
      <c r="D1174" s="96" t="s">
        <v>62</v>
      </c>
      <c r="E1174" s="97">
        <v>39877</v>
      </c>
      <c r="F1174" s="97">
        <v>4747</v>
      </c>
      <c r="G1174" s="97">
        <v>399</v>
      </c>
      <c r="H1174" s="114">
        <v>18.0892763787982</v>
      </c>
      <c r="I1174" s="125">
        <v>15021</v>
      </c>
      <c r="J1174" s="115">
        <v>24.458951326675358</v>
      </c>
    </row>
    <row r="1175" spans="1:10" ht="16">
      <c r="A1175" s="100" t="s">
        <v>870</v>
      </c>
      <c r="B1175" s="101" t="s">
        <v>858</v>
      </c>
      <c r="C1175" s="102" t="s">
        <v>76</v>
      </c>
      <c r="D1175" s="103" t="s">
        <v>82</v>
      </c>
      <c r="E1175" s="104">
        <v>27907</v>
      </c>
      <c r="F1175" s="104">
        <v>1037</v>
      </c>
      <c r="G1175" s="104">
        <v>1942</v>
      </c>
      <c r="H1175" s="116">
        <v>10.558268330026221</v>
      </c>
      <c r="I1175" s="126">
        <v>3614</v>
      </c>
      <c r="J1175" s="117">
        <v>20.419233864029191</v>
      </c>
    </row>
    <row r="1176" spans="1:10" ht="16">
      <c r="A1176" s="93" t="s">
        <v>742</v>
      </c>
      <c r="B1176" s="94" t="s">
        <v>642</v>
      </c>
      <c r="C1176" s="95" t="s">
        <v>107</v>
      </c>
      <c r="D1176" s="96" t="s">
        <v>60</v>
      </c>
      <c r="E1176" s="97">
        <v>8222</v>
      </c>
      <c r="F1176" s="97">
        <v>754</v>
      </c>
      <c r="G1176" s="97">
        <v>164</v>
      </c>
      <c r="H1176" s="114">
        <v>12.409111416715421</v>
      </c>
      <c r="I1176" s="125">
        <v>1879</v>
      </c>
      <c r="J1176" s="115">
        <v>19.906283721971501</v>
      </c>
    </row>
    <row r="1177" spans="1:10" ht="16">
      <c r="A1177" s="100" t="s">
        <v>178</v>
      </c>
      <c r="B1177" s="101" t="s">
        <v>150</v>
      </c>
      <c r="C1177" s="102" t="s">
        <v>76</v>
      </c>
      <c r="D1177" s="103" t="s">
        <v>130</v>
      </c>
      <c r="E1177" s="104">
        <v>21715</v>
      </c>
      <c r="F1177" s="104">
        <v>916</v>
      </c>
      <c r="G1177" s="104">
        <v>1495</v>
      </c>
      <c r="H1177" s="116">
        <v>10.142718010480065</v>
      </c>
      <c r="I1177" s="126">
        <v>2223</v>
      </c>
      <c r="J1177" s="117">
        <v>18.638250366657211</v>
      </c>
    </row>
    <row r="1178" spans="1:10" ht="16">
      <c r="A1178" s="93" t="s">
        <v>120</v>
      </c>
      <c r="B1178" s="94" t="s">
        <v>89</v>
      </c>
      <c r="C1178" s="95" t="s">
        <v>76</v>
      </c>
      <c r="D1178" s="96" t="s">
        <v>84</v>
      </c>
      <c r="E1178" s="97">
        <v>9720</v>
      </c>
      <c r="F1178" s="97">
        <v>311</v>
      </c>
      <c r="G1178" s="97">
        <v>1652</v>
      </c>
      <c r="H1178" s="114">
        <v>23.698104174119774</v>
      </c>
      <c r="I1178" s="125">
        <v>10927</v>
      </c>
      <c r="J1178" s="115">
        <v>17.82136695359592</v>
      </c>
    </row>
    <row r="1179" spans="1:10" ht="16">
      <c r="A1179" s="100" t="s">
        <v>1281</v>
      </c>
      <c r="B1179" s="101" t="s">
        <v>1190</v>
      </c>
      <c r="C1179" s="102" t="s">
        <v>76</v>
      </c>
      <c r="D1179" s="103" t="s">
        <v>84</v>
      </c>
      <c r="E1179" s="104">
        <v>21737</v>
      </c>
      <c r="F1179" s="104">
        <v>1188</v>
      </c>
      <c r="G1179" s="104">
        <v>4565</v>
      </c>
      <c r="H1179" s="116">
        <v>16.17026579713713</v>
      </c>
      <c r="I1179" s="126">
        <v>7424</v>
      </c>
      <c r="J1179" s="117">
        <v>17.991810670677513</v>
      </c>
    </row>
    <row r="1180" spans="1:10" ht="16">
      <c r="A1180" s="93" t="s">
        <v>1282</v>
      </c>
      <c r="B1180" s="94" t="s">
        <v>1190</v>
      </c>
      <c r="C1180" s="95" t="s">
        <v>76</v>
      </c>
      <c r="D1180" s="96" t="s">
        <v>80</v>
      </c>
      <c r="E1180" s="97">
        <v>11730</v>
      </c>
      <c r="F1180" s="97">
        <v>524</v>
      </c>
      <c r="G1180" s="97">
        <v>2463</v>
      </c>
      <c r="H1180" s="114">
        <v>14.532471188843015</v>
      </c>
      <c r="I1180" s="125">
        <v>10799</v>
      </c>
      <c r="J1180" s="115">
        <v>14.044728044438783</v>
      </c>
    </row>
    <row r="1181" spans="1:10" ht="16">
      <c r="A1181" s="100" t="s">
        <v>985</v>
      </c>
      <c r="B1181" s="101" t="s">
        <v>977</v>
      </c>
      <c r="C1181" s="102" t="s">
        <v>76</v>
      </c>
      <c r="D1181" s="103" t="s">
        <v>80</v>
      </c>
      <c r="E1181" s="104">
        <v>21999</v>
      </c>
      <c r="F1181" s="104">
        <v>721</v>
      </c>
      <c r="G1181" s="104">
        <v>1760</v>
      </c>
      <c r="H1181" s="116">
        <v>20.254072996396619</v>
      </c>
      <c r="I1181" s="126">
        <v>12121</v>
      </c>
      <c r="J1181" s="117">
        <v>18.371793416498448</v>
      </c>
    </row>
    <row r="1182" spans="1:10" ht="16">
      <c r="A1182" s="93" t="s">
        <v>986</v>
      </c>
      <c r="B1182" s="94" t="s">
        <v>977</v>
      </c>
      <c r="C1182" s="95" t="s">
        <v>76</v>
      </c>
      <c r="D1182" s="96" t="s">
        <v>59</v>
      </c>
      <c r="E1182" s="97">
        <v>28521</v>
      </c>
      <c r="F1182" s="97">
        <v>1084</v>
      </c>
      <c r="G1182" s="97">
        <v>2282</v>
      </c>
      <c r="H1182" s="114">
        <v>43.809255362627802</v>
      </c>
      <c r="I1182" s="125">
        <v>34059</v>
      </c>
      <c r="J1182" s="115">
        <v>31.978091569651745</v>
      </c>
    </row>
    <row r="1183" spans="1:10" ht="16">
      <c r="A1183" s="100" t="s">
        <v>457</v>
      </c>
      <c r="B1183" s="101" t="s">
        <v>448</v>
      </c>
      <c r="C1183" s="102" t="s">
        <v>76</v>
      </c>
      <c r="D1183" s="103" t="s">
        <v>59</v>
      </c>
      <c r="E1183" s="104">
        <v>17004</v>
      </c>
      <c r="F1183" s="104">
        <v>437</v>
      </c>
      <c r="G1183" s="104">
        <v>680</v>
      </c>
      <c r="H1183" s="116">
        <v>20.70253145764983</v>
      </c>
      <c r="I1183" s="126">
        <v>9940</v>
      </c>
      <c r="J1183" s="117">
        <v>15.917166798874065</v>
      </c>
    </row>
    <row r="1184" spans="1:10" ht="16">
      <c r="A1184" s="93" t="s">
        <v>83</v>
      </c>
      <c r="B1184" s="94" t="s">
        <v>75</v>
      </c>
      <c r="C1184" s="95" t="s">
        <v>76</v>
      </c>
      <c r="D1184" s="96" t="s">
        <v>84</v>
      </c>
      <c r="E1184" s="97">
        <v>43446</v>
      </c>
      <c r="F1184" s="97">
        <v>1773</v>
      </c>
      <c r="G1184" s="97">
        <v>434</v>
      </c>
      <c r="H1184" s="114">
        <v>9.7475041592817391</v>
      </c>
      <c r="I1184" s="125">
        <v>568</v>
      </c>
      <c r="J1184" s="115">
        <v>29.290818220975861</v>
      </c>
    </row>
    <row r="1185" spans="1:10" ht="16">
      <c r="A1185" s="100" t="s">
        <v>1440</v>
      </c>
      <c r="B1185" s="101" t="s">
        <v>1288</v>
      </c>
      <c r="C1185" s="102" t="s">
        <v>76</v>
      </c>
      <c r="D1185" s="103" t="s">
        <v>61</v>
      </c>
      <c r="E1185" s="104">
        <v>18587</v>
      </c>
      <c r="F1185" s="104">
        <v>1199</v>
      </c>
      <c r="G1185" s="104">
        <v>2045</v>
      </c>
      <c r="H1185" s="116">
        <v>14.811525939173739</v>
      </c>
      <c r="I1185" s="126">
        <v>6835</v>
      </c>
      <c r="J1185" s="117">
        <v>33.855442982260342</v>
      </c>
    </row>
    <row r="1186" spans="1:10" ht="16">
      <c r="A1186" s="93" t="s">
        <v>205</v>
      </c>
      <c r="B1186" s="94" t="s">
        <v>184</v>
      </c>
      <c r="C1186" s="95" t="s">
        <v>76</v>
      </c>
      <c r="D1186" s="96" t="s">
        <v>62</v>
      </c>
      <c r="E1186" s="97">
        <v>73370</v>
      </c>
      <c r="F1186" s="97">
        <v>3650</v>
      </c>
      <c r="G1186" s="97">
        <v>15408</v>
      </c>
      <c r="H1186" s="114">
        <v>90.391239218414128</v>
      </c>
      <c r="I1186" s="125">
        <v>83926</v>
      </c>
      <c r="J1186" s="115">
        <v>77.563711033215711</v>
      </c>
    </row>
    <row r="1187" spans="1:10" ht="16">
      <c r="A1187" s="100" t="s">
        <v>398</v>
      </c>
      <c r="B1187" s="101" t="s">
        <v>377</v>
      </c>
      <c r="C1187" s="102" t="s">
        <v>76</v>
      </c>
      <c r="D1187" s="103" t="s">
        <v>59</v>
      </c>
      <c r="E1187" s="104">
        <v>27285</v>
      </c>
      <c r="F1187" s="104">
        <v>1287</v>
      </c>
      <c r="G1187" s="104">
        <v>3001</v>
      </c>
      <c r="H1187" s="116">
        <v>12.765475699677969</v>
      </c>
      <c r="I1187" s="126">
        <v>6192</v>
      </c>
      <c r="J1187" s="117">
        <v>30.811257570573318</v>
      </c>
    </row>
    <row r="1188" spans="1:10" ht="16">
      <c r="A1188" s="93" t="s">
        <v>743</v>
      </c>
      <c r="B1188" s="94" t="s">
        <v>642</v>
      </c>
      <c r="C1188" s="95" t="s">
        <v>107</v>
      </c>
      <c r="D1188" s="96" t="s">
        <v>60</v>
      </c>
      <c r="E1188" s="97">
        <v>9133</v>
      </c>
      <c r="F1188" s="97">
        <v>761</v>
      </c>
      <c r="G1188" s="97">
        <v>274</v>
      </c>
      <c r="H1188" s="114">
        <v>13.253482666259496</v>
      </c>
      <c r="I1188" s="125">
        <v>2733</v>
      </c>
      <c r="J1188" s="115">
        <v>21.346454411267214</v>
      </c>
    </row>
    <row r="1189" spans="1:10" ht="16">
      <c r="A1189" s="100" t="s">
        <v>632</v>
      </c>
      <c r="B1189" s="101" t="s">
        <v>598</v>
      </c>
      <c r="C1189" s="102" t="s">
        <v>76</v>
      </c>
      <c r="D1189" s="103" t="s">
        <v>60</v>
      </c>
      <c r="E1189" s="104">
        <v>12920</v>
      </c>
      <c r="F1189" s="104">
        <v>663</v>
      </c>
      <c r="G1189" s="104">
        <v>904</v>
      </c>
      <c r="H1189" s="116">
        <v>31.749663695771901</v>
      </c>
      <c r="I1189" s="126">
        <v>24787</v>
      </c>
      <c r="J1189" s="117">
        <v>27.77861591566268</v>
      </c>
    </row>
    <row r="1190" spans="1:10" ht="16">
      <c r="A1190" s="93" t="s">
        <v>633</v>
      </c>
      <c r="B1190" s="94" t="s">
        <v>598</v>
      </c>
      <c r="C1190" s="95" t="s">
        <v>76</v>
      </c>
      <c r="D1190" s="96" t="s">
        <v>60</v>
      </c>
      <c r="E1190" s="97">
        <v>15933</v>
      </c>
      <c r="F1190" s="97">
        <v>678</v>
      </c>
      <c r="G1190" s="97">
        <v>1275</v>
      </c>
      <c r="H1190" s="114">
        <v>22.923495054735163</v>
      </c>
      <c r="I1190" s="125">
        <v>15231</v>
      </c>
      <c r="J1190" s="115">
        <v>30.429356134796979</v>
      </c>
    </row>
    <row r="1191" spans="1:10" ht="16">
      <c r="A1191" s="100" t="s">
        <v>744</v>
      </c>
      <c r="B1191" s="101" t="s">
        <v>642</v>
      </c>
      <c r="C1191" s="102" t="s">
        <v>107</v>
      </c>
      <c r="D1191" s="103" t="s">
        <v>130</v>
      </c>
      <c r="E1191" s="104">
        <v>16844</v>
      </c>
      <c r="F1191" s="104">
        <v>1239</v>
      </c>
      <c r="G1191" s="104">
        <v>3537</v>
      </c>
      <c r="H1191" s="116">
        <v>37.577660421469808</v>
      </c>
      <c r="I1191" s="126">
        <v>12820</v>
      </c>
      <c r="J1191" s="117">
        <v>43.986542561090971</v>
      </c>
    </row>
    <row r="1192" spans="1:10" ht="16">
      <c r="A1192" s="93" t="s">
        <v>1441</v>
      </c>
      <c r="B1192" s="94" t="s">
        <v>1288</v>
      </c>
      <c r="C1192" s="95" t="s">
        <v>107</v>
      </c>
      <c r="D1192" s="96" t="s">
        <v>60</v>
      </c>
      <c r="E1192" s="97">
        <v>5067</v>
      </c>
      <c r="F1192" s="97">
        <v>409</v>
      </c>
      <c r="G1192" s="97">
        <v>811</v>
      </c>
      <c r="H1192" s="114">
        <v>17.057608245416812</v>
      </c>
      <c r="I1192" s="125">
        <v>11214</v>
      </c>
      <c r="J1192" s="115">
        <v>34.01590964802093</v>
      </c>
    </row>
    <row r="1193" spans="1:10" ht="16">
      <c r="A1193" s="100" t="s">
        <v>1140</v>
      </c>
      <c r="B1193" s="101" t="s">
        <v>1135</v>
      </c>
      <c r="C1193" s="102" t="s">
        <v>76</v>
      </c>
      <c r="D1193" s="103" t="s">
        <v>77</v>
      </c>
      <c r="E1193" s="104">
        <v>33923</v>
      </c>
      <c r="F1193" s="104">
        <v>3359</v>
      </c>
      <c r="G1193" s="104">
        <v>339</v>
      </c>
      <c r="H1193" s="116">
        <v>10.80823191779432</v>
      </c>
      <c r="I1193" s="126">
        <v>1913</v>
      </c>
      <c r="J1193" s="117">
        <v>26.004157757281586</v>
      </c>
    </row>
    <row r="1194" spans="1:10" ht="16">
      <c r="A1194" s="93" t="s">
        <v>634</v>
      </c>
      <c r="B1194" s="94" t="s">
        <v>598</v>
      </c>
      <c r="C1194" s="95" t="s">
        <v>76</v>
      </c>
      <c r="D1194" s="96" t="s">
        <v>84</v>
      </c>
      <c r="E1194" s="97">
        <v>55957</v>
      </c>
      <c r="F1194" s="97">
        <v>1890</v>
      </c>
      <c r="G1194" s="97">
        <v>4477</v>
      </c>
      <c r="H1194" s="114">
        <v>28.081449113769089</v>
      </c>
      <c r="I1194" s="125">
        <v>20659</v>
      </c>
      <c r="J1194" s="115">
        <v>23.128812327611811</v>
      </c>
    </row>
    <row r="1195" spans="1:10" ht="16">
      <c r="A1195" s="100" t="s">
        <v>375</v>
      </c>
      <c r="B1195" s="101" t="s">
        <v>369</v>
      </c>
      <c r="C1195" s="102" t="s">
        <v>76</v>
      </c>
      <c r="D1195" s="103" t="s">
        <v>84</v>
      </c>
      <c r="E1195" s="104">
        <v>12785</v>
      </c>
      <c r="F1195" s="104">
        <v>784</v>
      </c>
      <c r="G1195" s="104">
        <v>767</v>
      </c>
      <c r="H1195" s="116">
        <v>31.528982721293424</v>
      </c>
      <c r="I1195" s="126">
        <v>22750</v>
      </c>
      <c r="J1195" s="117">
        <v>27.680637105983401</v>
      </c>
    </row>
    <row r="1196" spans="1:10" ht="16">
      <c r="A1196" s="93" t="s">
        <v>829</v>
      </c>
      <c r="B1196" s="94" t="s">
        <v>820</v>
      </c>
      <c r="C1196" s="95" t="s">
        <v>107</v>
      </c>
      <c r="D1196" s="96" t="s">
        <v>59</v>
      </c>
      <c r="E1196" s="97">
        <v>7584</v>
      </c>
      <c r="F1196" s="97">
        <v>546</v>
      </c>
      <c r="G1196" s="97">
        <v>2427</v>
      </c>
      <c r="H1196" s="114">
        <v>47.693265720539095</v>
      </c>
      <c r="I1196" s="125">
        <v>26078</v>
      </c>
      <c r="J1196" s="115">
        <v>35.810658311384117</v>
      </c>
    </row>
    <row r="1197" spans="1:10" ht="16">
      <c r="A1197" s="100" t="s">
        <v>635</v>
      </c>
      <c r="B1197" s="101" t="s">
        <v>598</v>
      </c>
      <c r="C1197" s="102" t="s">
        <v>76</v>
      </c>
      <c r="D1197" s="103" t="s">
        <v>63</v>
      </c>
      <c r="E1197" s="104">
        <v>11793</v>
      </c>
      <c r="F1197" s="104">
        <v>663</v>
      </c>
      <c r="G1197" s="104">
        <v>826</v>
      </c>
      <c r="H1197" s="116">
        <v>16.145801452639887</v>
      </c>
      <c r="I1197" s="126">
        <v>11151</v>
      </c>
      <c r="J1197" s="117">
        <v>26.784460680288525</v>
      </c>
    </row>
    <row r="1198" spans="1:10" ht="16">
      <c r="A1198" s="93" t="s">
        <v>1016</v>
      </c>
      <c r="B1198" s="94" t="s">
        <v>988</v>
      </c>
      <c r="C1198" s="95" t="s">
        <v>107</v>
      </c>
      <c r="D1198" s="96" t="s">
        <v>61</v>
      </c>
      <c r="E1198" s="97">
        <v>12730</v>
      </c>
      <c r="F1198" s="97">
        <v>1107</v>
      </c>
      <c r="G1198" s="97">
        <v>382</v>
      </c>
      <c r="H1198" s="114">
        <v>23.62527596216162</v>
      </c>
      <c r="I1198" s="125">
        <v>14551</v>
      </c>
      <c r="J1198" s="115">
        <v>21.346734794533116</v>
      </c>
    </row>
    <row r="1199" spans="1:10" ht="16">
      <c r="A1199" s="100" t="s">
        <v>636</v>
      </c>
      <c r="B1199" s="101" t="s">
        <v>598</v>
      </c>
      <c r="C1199" s="102" t="s">
        <v>76</v>
      </c>
      <c r="D1199" s="103" t="s">
        <v>62</v>
      </c>
      <c r="E1199" s="104">
        <v>14278</v>
      </c>
      <c r="F1199" s="104">
        <v>361</v>
      </c>
      <c r="G1199" s="104">
        <v>857</v>
      </c>
      <c r="H1199" s="116">
        <v>15.443273324351772</v>
      </c>
      <c r="I1199" s="126">
        <v>13024</v>
      </c>
      <c r="J1199" s="117">
        <v>17.905993311382588</v>
      </c>
    </row>
    <row r="1200" spans="1:10" ht="16">
      <c r="A1200" s="93" t="s">
        <v>1442</v>
      </c>
      <c r="B1200" s="94" t="s">
        <v>1288</v>
      </c>
      <c r="C1200" s="95" t="s">
        <v>107</v>
      </c>
      <c r="D1200" s="96" t="s">
        <v>63</v>
      </c>
      <c r="E1200" s="97">
        <v>30365</v>
      </c>
      <c r="F1200" s="97">
        <v>2138</v>
      </c>
      <c r="G1200" s="97">
        <v>2429</v>
      </c>
      <c r="H1200" s="114">
        <v>35.306609290161163</v>
      </c>
      <c r="I1200" s="125">
        <v>30083</v>
      </c>
      <c r="J1200" s="115">
        <v>39.026407888884478</v>
      </c>
    </row>
    <row r="1201" spans="1:10" ht="16">
      <c r="A1201" s="100" t="s">
        <v>1053</v>
      </c>
      <c r="B1201" s="101" t="s">
        <v>1020</v>
      </c>
      <c r="C1201" s="102" t="s">
        <v>76</v>
      </c>
      <c r="D1201" s="103" t="s">
        <v>61</v>
      </c>
      <c r="E1201" s="104">
        <v>50311</v>
      </c>
      <c r="F1201" s="104">
        <v>3377</v>
      </c>
      <c r="G1201" s="104">
        <v>6037</v>
      </c>
      <c r="H1201" s="116">
        <v>21.589601056226627</v>
      </c>
      <c r="I1201" s="126">
        <v>14789</v>
      </c>
      <c r="J1201" s="117">
        <v>24.976332402084939</v>
      </c>
    </row>
    <row r="1202" spans="1:10" ht="16">
      <c r="A1202" s="93" t="s">
        <v>1054</v>
      </c>
      <c r="B1202" s="94" t="s">
        <v>1020</v>
      </c>
      <c r="C1202" s="95" t="s">
        <v>76</v>
      </c>
      <c r="D1202" s="96" t="s">
        <v>80</v>
      </c>
      <c r="E1202" s="97">
        <v>23232</v>
      </c>
      <c r="F1202" s="97">
        <v>1889</v>
      </c>
      <c r="G1202" s="97">
        <v>1394</v>
      </c>
      <c r="H1202" s="114">
        <v>12.197218499062251</v>
      </c>
      <c r="I1202" s="125">
        <v>2770</v>
      </c>
      <c r="J1202" s="115">
        <v>22.679075378990134</v>
      </c>
    </row>
    <row r="1203" spans="1:10" ht="16">
      <c r="A1203" s="100" t="s">
        <v>871</v>
      </c>
      <c r="B1203" s="101" t="s">
        <v>858</v>
      </c>
      <c r="C1203" s="102" t="s">
        <v>107</v>
      </c>
      <c r="D1203" s="103" t="s">
        <v>92</v>
      </c>
      <c r="E1203" s="104">
        <v>5794</v>
      </c>
      <c r="F1203" s="104">
        <v>203</v>
      </c>
      <c r="G1203" s="104">
        <v>58</v>
      </c>
      <c r="H1203" s="116">
        <v>11.063126466496001</v>
      </c>
      <c r="I1203" s="126">
        <v>955</v>
      </c>
      <c r="J1203" s="117">
        <v>15.025070354510779</v>
      </c>
    </row>
    <row r="1204" spans="1:10" ht="16">
      <c r="A1204" s="93" t="s">
        <v>206</v>
      </c>
      <c r="B1204" s="94" t="s">
        <v>184</v>
      </c>
      <c r="C1204" s="95" t="s">
        <v>76</v>
      </c>
      <c r="D1204" s="96" t="s">
        <v>63</v>
      </c>
      <c r="E1204" s="97">
        <v>21169</v>
      </c>
      <c r="F1204" s="97">
        <v>824</v>
      </c>
      <c r="G1204" s="97">
        <v>4234</v>
      </c>
      <c r="H1204" s="114">
        <v>16.304179830893691</v>
      </c>
      <c r="I1204" s="125">
        <v>11247</v>
      </c>
      <c r="J1204" s="115">
        <v>24.516069273763261</v>
      </c>
    </row>
    <row r="1205" spans="1:10" ht="16">
      <c r="A1205" s="100" t="s">
        <v>137</v>
      </c>
      <c r="B1205" s="101" t="s">
        <v>127</v>
      </c>
      <c r="C1205" s="102" t="s">
        <v>76</v>
      </c>
      <c r="D1205" s="103" t="s">
        <v>77</v>
      </c>
      <c r="E1205" s="104">
        <v>33547</v>
      </c>
      <c r="F1205" s="104">
        <v>835</v>
      </c>
      <c r="G1205" s="104">
        <v>9058</v>
      </c>
      <c r="H1205" s="116">
        <v>56.165538093555604</v>
      </c>
      <c r="I1205" s="126">
        <v>35803</v>
      </c>
      <c r="J1205" s="117">
        <v>48.262144372465649</v>
      </c>
    </row>
    <row r="1206" spans="1:10" ht="16">
      <c r="A1206" s="93" t="s">
        <v>1055</v>
      </c>
      <c r="B1206" s="94" t="s">
        <v>1020</v>
      </c>
      <c r="C1206" s="95" t="s">
        <v>107</v>
      </c>
      <c r="D1206" s="96" t="s">
        <v>77</v>
      </c>
      <c r="E1206" s="97">
        <v>18652</v>
      </c>
      <c r="F1206" s="97">
        <v>1137</v>
      </c>
      <c r="G1206" s="97">
        <v>933</v>
      </c>
      <c r="H1206" s="114">
        <v>14.852085425786676</v>
      </c>
      <c r="I1206" s="125">
        <v>5831</v>
      </c>
      <c r="J1206" s="115">
        <v>18.153978898294298</v>
      </c>
    </row>
    <row r="1207" spans="1:10" ht="16">
      <c r="A1207" s="100" t="s">
        <v>1443</v>
      </c>
      <c r="B1207" s="101" t="s">
        <v>1288</v>
      </c>
      <c r="C1207" s="102" t="s">
        <v>76</v>
      </c>
      <c r="D1207" s="103" t="s">
        <v>130</v>
      </c>
      <c r="E1207" s="104">
        <v>23116</v>
      </c>
      <c r="F1207" s="104">
        <v>2688</v>
      </c>
      <c r="G1207" s="104">
        <v>2774</v>
      </c>
      <c r="H1207" s="116">
        <v>43.972475347188741</v>
      </c>
      <c r="I1207" s="126">
        <v>39831</v>
      </c>
      <c r="J1207" s="117">
        <v>54.706765962850248</v>
      </c>
    </row>
    <row r="1208" spans="1:10" ht="16">
      <c r="A1208" s="93" t="s">
        <v>840</v>
      </c>
      <c r="B1208" s="94" t="s">
        <v>834</v>
      </c>
      <c r="C1208" s="95" t="s">
        <v>76</v>
      </c>
      <c r="D1208" s="96" t="s">
        <v>130</v>
      </c>
      <c r="E1208" s="97">
        <v>9892</v>
      </c>
      <c r="F1208" s="97">
        <v>547</v>
      </c>
      <c r="G1208" s="97">
        <v>1879</v>
      </c>
      <c r="H1208" s="114">
        <v>26.930209656342939</v>
      </c>
      <c r="I1208" s="125">
        <v>12947</v>
      </c>
      <c r="J1208" s="115">
        <v>21.038298967648842</v>
      </c>
    </row>
    <row r="1209" spans="1:10" ht="16">
      <c r="A1209" s="100" t="s">
        <v>889</v>
      </c>
      <c r="B1209" s="101" t="s">
        <v>879</v>
      </c>
      <c r="C1209" s="102" t="s">
        <v>76</v>
      </c>
      <c r="D1209" s="103" t="s">
        <v>84</v>
      </c>
      <c r="E1209" s="104">
        <v>50484</v>
      </c>
      <c r="F1209" s="104">
        <v>3606</v>
      </c>
      <c r="G1209" s="104">
        <v>5048</v>
      </c>
      <c r="H1209" s="116">
        <v>21.895610683731498</v>
      </c>
      <c r="I1209" s="126">
        <v>8989</v>
      </c>
      <c r="J1209" s="117">
        <v>26.182076041434893</v>
      </c>
    </row>
    <row r="1210" spans="1:10" ht="16">
      <c r="A1210" s="93" t="s">
        <v>1283</v>
      </c>
      <c r="B1210" s="94" t="s">
        <v>1190</v>
      </c>
      <c r="C1210" s="95" t="s">
        <v>107</v>
      </c>
      <c r="D1210" s="96" t="s">
        <v>82</v>
      </c>
      <c r="E1210" s="97">
        <v>20599</v>
      </c>
      <c r="F1210" s="97">
        <v>1561</v>
      </c>
      <c r="G1210" s="97">
        <v>8446</v>
      </c>
      <c r="H1210" s="114">
        <v>53.688749179380785</v>
      </c>
      <c r="I1210" s="125">
        <v>46892</v>
      </c>
      <c r="J1210" s="115">
        <v>47.276398800607438</v>
      </c>
    </row>
    <row r="1211" spans="1:10" ht="16">
      <c r="A1211" s="100" t="s">
        <v>1444</v>
      </c>
      <c r="B1211" s="101" t="s">
        <v>1288</v>
      </c>
      <c r="C1211" s="102" t="s">
        <v>76</v>
      </c>
      <c r="D1211" s="103" t="s">
        <v>61</v>
      </c>
      <c r="E1211" s="104">
        <v>45692</v>
      </c>
      <c r="F1211" s="104">
        <v>4116</v>
      </c>
      <c r="G1211" s="104">
        <v>7311</v>
      </c>
      <c r="H1211" s="116">
        <v>82.399480124766612</v>
      </c>
      <c r="I1211" s="126">
        <v>81185</v>
      </c>
      <c r="J1211" s="117">
        <v>72.399862558752559</v>
      </c>
    </row>
    <row r="1212" spans="1:10" ht="16">
      <c r="A1212" s="93" t="s">
        <v>207</v>
      </c>
      <c r="B1212" s="94" t="s">
        <v>184</v>
      </c>
      <c r="C1212" s="95" t="s">
        <v>107</v>
      </c>
      <c r="D1212" s="96" t="s">
        <v>82</v>
      </c>
      <c r="E1212" s="97">
        <v>33519</v>
      </c>
      <c r="F1212" s="97">
        <v>1420</v>
      </c>
      <c r="G1212" s="97">
        <v>6704</v>
      </c>
      <c r="H1212" s="114">
        <v>42.989617946790496</v>
      </c>
      <c r="I1212" s="125">
        <v>27953</v>
      </c>
      <c r="J1212" s="115">
        <v>35.966720838611934</v>
      </c>
    </row>
    <row r="1213" spans="1:10" ht="16">
      <c r="A1213" s="100" t="s">
        <v>333</v>
      </c>
      <c r="B1213" s="101" t="s">
        <v>322</v>
      </c>
      <c r="C1213" s="102" t="s">
        <v>76</v>
      </c>
      <c r="D1213" s="103" t="s">
        <v>61</v>
      </c>
      <c r="E1213" s="104">
        <v>10540</v>
      </c>
      <c r="F1213" s="104">
        <v>693</v>
      </c>
      <c r="G1213" s="104">
        <v>527</v>
      </c>
      <c r="H1213" s="116">
        <v>16.201416109397545</v>
      </c>
      <c r="I1213" s="126">
        <v>2703</v>
      </c>
      <c r="J1213" s="117">
        <v>18.747660554185927</v>
      </c>
    </row>
    <row r="1214" spans="1:10" ht="16">
      <c r="A1214" s="93" t="s">
        <v>121</v>
      </c>
      <c r="B1214" s="94" t="s">
        <v>89</v>
      </c>
      <c r="C1214" s="95" t="s">
        <v>107</v>
      </c>
      <c r="D1214" s="96" t="s">
        <v>60</v>
      </c>
      <c r="E1214" s="97">
        <v>18400</v>
      </c>
      <c r="F1214" s="97">
        <v>793</v>
      </c>
      <c r="G1214" s="97">
        <v>5336</v>
      </c>
      <c r="H1214" s="114">
        <v>43.909904609161934</v>
      </c>
      <c r="I1214" s="125">
        <v>40048</v>
      </c>
      <c r="J1214" s="115">
        <v>33.240910602471232</v>
      </c>
    </row>
    <row r="1215" spans="1:10" ht="16">
      <c r="A1215" s="100" t="s">
        <v>1284</v>
      </c>
      <c r="B1215" s="101" t="s">
        <v>1190</v>
      </c>
      <c r="C1215" s="102" t="s">
        <v>76</v>
      </c>
      <c r="D1215" s="103" t="s">
        <v>59</v>
      </c>
      <c r="E1215" s="104">
        <v>16401</v>
      </c>
      <c r="F1215" s="104">
        <v>943</v>
      </c>
      <c r="G1215" s="104">
        <v>7544</v>
      </c>
      <c r="H1215" s="116">
        <v>16.470704324029793</v>
      </c>
      <c r="I1215" s="126">
        <v>5975</v>
      </c>
      <c r="J1215" s="117">
        <v>18.6312882410962</v>
      </c>
    </row>
    <row r="1216" spans="1:10" ht="16">
      <c r="A1216" s="93" t="s">
        <v>208</v>
      </c>
      <c r="B1216" s="94" t="s">
        <v>184</v>
      </c>
      <c r="C1216" s="95" t="s">
        <v>76</v>
      </c>
      <c r="D1216" s="96" t="s">
        <v>80</v>
      </c>
      <c r="E1216" s="97">
        <v>13140</v>
      </c>
      <c r="F1216" s="97">
        <v>453</v>
      </c>
      <c r="G1216" s="97">
        <v>3022</v>
      </c>
      <c r="H1216" s="114">
        <v>27.288606851770432</v>
      </c>
      <c r="I1216" s="125">
        <v>8975</v>
      </c>
      <c r="J1216" s="115">
        <v>33.999470333953994</v>
      </c>
    </row>
    <row r="1217" spans="1:10" ht="16">
      <c r="A1217" s="100" t="s">
        <v>1445</v>
      </c>
      <c r="B1217" s="101" t="s">
        <v>1288</v>
      </c>
      <c r="C1217" s="102" t="s">
        <v>107</v>
      </c>
      <c r="D1217" s="103" t="s">
        <v>92</v>
      </c>
      <c r="E1217" s="104">
        <v>39154</v>
      </c>
      <c r="F1217" s="104">
        <v>3915</v>
      </c>
      <c r="G1217" s="104">
        <v>5090</v>
      </c>
      <c r="H1217" s="116">
        <v>71.135135470249153</v>
      </c>
      <c r="I1217" s="126">
        <v>60036</v>
      </c>
      <c r="J1217" s="117">
        <v>68.911868282931579</v>
      </c>
    </row>
    <row r="1218" spans="1:10" ht="16">
      <c r="A1218" s="93" t="s">
        <v>1446</v>
      </c>
      <c r="B1218" s="94" t="s">
        <v>1288</v>
      </c>
      <c r="C1218" s="95" t="s">
        <v>76</v>
      </c>
      <c r="D1218" s="96" t="s">
        <v>77</v>
      </c>
      <c r="E1218" s="97">
        <v>20874</v>
      </c>
      <c r="F1218" s="97">
        <v>1082</v>
      </c>
      <c r="G1218" s="97">
        <v>1252</v>
      </c>
      <c r="H1218" s="114">
        <v>23.352171661818442</v>
      </c>
      <c r="I1218" s="125">
        <v>15283</v>
      </c>
      <c r="J1218" s="115">
        <v>22.018833802729439</v>
      </c>
    </row>
    <row r="1219" spans="1:10" ht="16">
      <c r="A1219" s="100" t="s">
        <v>122</v>
      </c>
      <c r="B1219" s="101" t="s">
        <v>89</v>
      </c>
      <c r="C1219" s="102" t="s">
        <v>76</v>
      </c>
      <c r="D1219" s="103" t="s">
        <v>63</v>
      </c>
      <c r="E1219" s="104">
        <v>18642</v>
      </c>
      <c r="F1219" s="104">
        <v>592</v>
      </c>
      <c r="G1219" s="104">
        <v>5406</v>
      </c>
      <c r="H1219" s="116">
        <v>35.049260317126283</v>
      </c>
      <c r="I1219" s="126">
        <v>26523</v>
      </c>
      <c r="J1219" s="117">
        <v>30.422916596106337</v>
      </c>
    </row>
    <row r="1220" spans="1:10" ht="16">
      <c r="A1220" s="93" t="s">
        <v>1285</v>
      </c>
      <c r="B1220" s="94" t="s">
        <v>1190</v>
      </c>
      <c r="C1220" s="95" t="s">
        <v>76</v>
      </c>
      <c r="D1220" s="96" t="s">
        <v>130</v>
      </c>
      <c r="E1220" s="97">
        <v>15687</v>
      </c>
      <c r="F1220" s="97">
        <v>769</v>
      </c>
      <c r="G1220" s="97">
        <v>3294</v>
      </c>
      <c r="H1220" s="114">
        <v>13.487124249439431</v>
      </c>
      <c r="I1220" s="125">
        <v>4666</v>
      </c>
      <c r="J1220" s="115">
        <v>16.768343667318074</v>
      </c>
    </row>
    <row r="1221" spans="1:10" ht="16">
      <c r="A1221" s="100" t="s">
        <v>444</v>
      </c>
      <c r="B1221" s="101" t="s">
        <v>402</v>
      </c>
      <c r="C1221" s="102" t="s">
        <v>76</v>
      </c>
      <c r="D1221" s="103" t="s">
        <v>61</v>
      </c>
      <c r="E1221" s="104">
        <v>23343</v>
      </c>
      <c r="F1221" s="104">
        <v>418</v>
      </c>
      <c r="G1221" s="104">
        <v>2568</v>
      </c>
      <c r="H1221" s="116">
        <v>17.969097316730011</v>
      </c>
      <c r="I1221" s="126">
        <v>10822</v>
      </c>
      <c r="J1221" s="117">
        <v>25.671324429664327</v>
      </c>
    </row>
    <row r="1222" spans="1:10" ht="16">
      <c r="A1222" s="93" t="s">
        <v>745</v>
      </c>
      <c r="B1222" s="94" t="s">
        <v>642</v>
      </c>
      <c r="C1222" s="95" t="s">
        <v>107</v>
      </c>
      <c r="D1222" s="96" t="s">
        <v>60</v>
      </c>
      <c r="E1222" s="97">
        <v>4659</v>
      </c>
      <c r="F1222" s="97">
        <v>740</v>
      </c>
      <c r="G1222" s="97">
        <v>186</v>
      </c>
      <c r="H1222" s="114">
        <v>10.730066782933458</v>
      </c>
      <c r="I1222" s="125">
        <v>2852</v>
      </c>
      <c r="J1222" s="115">
        <v>24.019943464726648</v>
      </c>
    </row>
    <row r="1223" spans="1:10" ht="16">
      <c r="A1223" s="100" t="s">
        <v>1286</v>
      </c>
      <c r="B1223" s="101" t="s">
        <v>1190</v>
      </c>
      <c r="C1223" s="102" t="s">
        <v>76</v>
      </c>
      <c r="D1223" s="103" t="s">
        <v>63</v>
      </c>
      <c r="E1223" s="104">
        <v>16058</v>
      </c>
      <c r="F1223" s="104">
        <v>1078</v>
      </c>
      <c r="G1223" s="104">
        <v>3854</v>
      </c>
      <c r="H1223" s="116">
        <v>46.78521448045074</v>
      </c>
      <c r="I1223" s="126">
        <v>39713</v>
      </c>
      <c r="J1223" s="117">
        <v>41.248181782390461</v>
      </c>
    </row>
    <row r="1224" spans="1:10" ht="16">
      <c r="A1224" s="93" t="s">
        <v>315</v>
      </c>
      <c r="B1224" s="94" t="s">
        <v>314</v>
      </c>
      <c r="C1224" s="95" t="s">
        <v>76</v>
      </c>
      <c r="D1224" s="96" t="s">
        <v>63</v>
      </c>
      <c r="E1224" s="97">
        <v>68216</v>
      </c>
      <c r="F1224" s="97">
        <v>3609</v>
      </c>
      <c r="G1224" s="97">
        <v>2046</v>
      </c>
      <c r="H1224" s="114">
        <v>13.813140474278361</v>
      </c>
      <c r="I1224" s="125">
        <v>3290</v>
      </c>
      <c r="J1224" s="115">
        <v>18.019603277024661</v>
      </c>
    </row>
    <row r="1225" spans="1:10" ht="16">
      <c r="A1225" s="100" t="s">
        <v>573</v>
      </c>
      <c r="B1225" s="101" t="s">
        <v>537</v>
      </c>
      <c r="C1225" s="102" t="s">
        <v>76</v>
      </c>
      <c r="D1225" s="103" t="s">
        <v>61</v>
      </c>
      <c r="E1225" s="104">
        <v>9980</v>
      </c>
      <c r="F1225" s="104">
        <v>398</v>
      </c>
      <c r="G1225" s="104">
        <v>459</v>
      </c>
      <c r="H1225" s="116">
        <v>13.161972942955495</v>
      </c>
      <c r="I1225" s="126">
        <v>3555</v>
      </c>
      <c r="J1225" s="117">
        <v>17.942730502883006</v>
      </c>
    </row>
    <row r="1226" spans="1:10" ht="16">
      <c r="A1226" s="93" t="s">
        <v>1056</v>
      </c>
      <c r="B1226" s="94" t="s">
        <v>1020</v>
      </c>
      <c r="C1226" s="95" t="s">
        <v>76</v>
      </c>
      <c r="D1226" s="96" t="s">
        <v>59</v>
      </c>
      <c r="E1226" s="97">
        <v>28211</v>
      </c>
      <c r="F1226" s="97">
        <v>2739</v>
      </c>
      <c r="G1226" s="97">
        <v>1693</v>
      </c>
      <c r="H1226" s="114">
        <v>13.876056338308267</v>
      </c>
      <c r="I1226" s="125">
        <v>5982</v>
      </c>
      <c r="J1226" s="115">
        <v>22.810521125828867</v>
      </c>
    </row>
    <row r="1227" spans="1:10" ht="16">
      <c r="A1227" s="100" t="s">
        <v>1079</v>
      </c>
      <c r="B1227" s="101" t="s">
        <v>1072</v>
      </c>
      <c r="C1227" s="102" t="s">
        <v>76</v>
      </c>
      <c r="D1227" s="103" t="s">
        <v>59</v>
      </c>
      <c r="E1227" s="104">
        <v>22609</v>
      </c>
      <c r="F1227" s="104">
        <v>1838</v>
      </c>
      <c r="G1227" s="104">
        <v>4748</v>
      </c>
      <c r="H1227" s="116">
        <v>47.680751597776521</v>
      </c>
      <c r="I1227" s="126">
        <v>41341</v>
      </c>
      <c r="J1227" s="117">
        <v>47.099079353942649</v>
      </c>
    </row>
    <row r="1228" spans="1:10" ht="16">
      <c r="A1228" s="93" t="s">
        <v>1057</v>
      </c>
      <c r="B1228" s="94" t="s">
        <v>1020</v>
      </c>
      <c r="C1228" s="95" t="s">
        <v>76</v>
      </c>
      <c r="D1228" s="96" t="s">
        <v>61</v>
      </c>
      <c r="E1228" s="97">
        <v>42079</v>
      </c>
      <c r="F1228" s="97">
        <v>1670</v>
      </c>
      <c r="G1228" s="97">
        <v>4629</v>
      </c>
      <c r="H1228" s="114">
        <v>11.11485839433403</v>
      </c>
      <c r="I1228" s="125">
        <v>4470</v>
      </c>
      <c r="J1228" s="115">
        <v>19.207307589382388</v>
      </c>
    </row>
    <row r="1229" spans="1:10" ht="16">
      <c r="A1229" s="100" t="s">
        <v>123</v>
      </c>
      <c r="B1229" s="101" t="s">
        <v>89</v>
      </c>
      <c r="C1229" s="102" t="s">
        <v>107</v>
      </c>
      <c r="D1229" s="103" t="s">
        <v>80</v>
      </c>
      <c r="E1229" s="104">
        <v>44336</v>
      </c>
      <c r="F1229" s="104">
        <v>1242</v>
      </c>
      <c r="G1229" s="104">
        <v>18178</v>
      </c>
      <c r="H1229" s="116">
        <v>59.131300530948643</v>
      </c>
      <c r="I1229" s="126">
        <v>48281</v>
      </c>
      <c r="J1229" s="117">
        <v>50.414831359213871</v>
      </c>
    </row>
    <row r="1230" spans="1:10" ht="16">
      <c r="A1230" s="93" t="s">
        <v>1070</v>
      </c>
      <c r="B1230" s="94" t="s">
        <v>1062</v>
      </c>
      <c r="C1230" s="95" t="s">
        <v>76</v>
      </c>
      <c r="D1230" s="96" t="s">
        <v>92</v>
      </c>
      <c r="E1230" s="97">
        <v>25438</v>
      </c>
      <c r="F1230" s="97">
        <v>1523</v>
      </c>
      <c r="G1230" s="97">
        <v>3816</v>
      </c>
      <c r="H1230" s="114">
        <v>57.31832455889046</v>
      </c>
      <c r="I1230" s="125">
        <v>48011</v>
      </c>
      <c r="J1230" s="115">
        <v>41.823801084680063</v>
      </c>
    </row>
    <row r="1231" spans="1:10" ht="16">
      <c r="A1231" s="100" t="s">
        <v>955</v>
      </c>
      <c r="B1231" s="101" t="s">
        <v>919</v>
      </c>
      <c r="C1231" s="102" t="s">
        <v>107</v>
      </c>
      <c r="D1231" s="103" t="s">
        <v>82</v>
      </c>
      <c r="E1231" s="104">
        <v>25000</v>
      </c>
      <c r="F1231" s="104">
        <v>2155</v>
      </c>
      <c r="G1231" s="104">
        <v>2750</v>
      </c>
      <c r="H1231" s="116">
        <v>17.742885580511246</v>
      </c>
      <c r="I1231" s="126">
        <v>2210</v>
      </c>
      <c r="J1231" s="117">
        <v>24.235991262637597</v>
      </c>
    </row>
    <row r="1232" spans="1:10" ht="16">
      <c r="A1232" s="93" t="s">
        <v>574</v>
      </c>
      <c r="B1232" s="94" t="s">
        <v>537</v>
      </c>
      <c r="C1232" s="95" t="s">
        <v>107</v>
      </c>
      <c r="D1232" s="96" t="s">
        <v>62</v>
      </c>
      <c r="E1232" s="97">
        <v>13500</v>
      </c>
      <c r="F1232" s="97">
        <v>472</v>
      </c>
      <c r="G1232" s="97">
        <v>620</v>
      </c>
      <c r="H1232" s="114">
        <v>13.032418260719938</v>
      </c>
      <c r="I1232" s="125">
        <v>2440</v>
      </c>
      <c r="J1232" s="115">
        <v>20.090574085968441</v>
      </c>
    </row>
    <row r="1233" spans="1:10" ht="16">
      <c r="A1233" s="100" t="s">
        <v>830</v>
      </c>
      <c r="B1233" s="101" t="s">
        <v>820</v>
      </c>
      <c r="C1233" s="102" t="s">
        <v>76</v>
      </c>
      <c r="D1233" s="103" t="s">
        <v>77</v>
      </c>
      <c r="E1233" s="104">
        <v>31833</v>
      </c>
      <c r="F1233" s="104">
        <v>2242</v>
      </c>
      <c r="G1233" s="104">
        <v>2865</v>
      </c>
      <c r="H1233" s="116">
        <v>61.357225227221981</v>
      </c>
      <c r="I1233" s="126">
        <v>54247</v>
      </c>
      <c r="J1233" s="117">
        <v>44.955851092129691</v>
      </c>
    </row>
    <row r="1234" spans="1:10" ht="16">
      <c r="A1234" s="93" t="s">
        <v>746</v>
      </c>
      <c r="B1234" s="94" t="s">
        <v>642</v>
      </c>
      <c r="C1234" s="95" t="s">
        <v>107</v>
      </c>
      <c r="D1234" s="96" t="s">
        <v>77</v>
      </c>
      <c r="E1234" s="97">
        <v>4872</v>
      </c>
      <c r="F1234" s="97">
        <v>364</v>
      </c>
      <c r="G1234" s="97">
        <v>195</v>
      </c>
      <c r="H1234" s="114">
        <v>11.163032386177829</v>
      </c>
      <c r="I1234" s="125">
        <v>657</v>
      </c>
      <c r="J1234" s="115">
        <v>18.758436138153069</v>
      </c>
    </row>
    <row r="1235" spans="1:10" ht="16">
      <c r="A1235" s="100" t="s">
        <v>1183</v>
      </c>
      <c r="B1235" s="101" t="s">
        <v>1178</v>
      </c>
      <c r="C1235" s="102" t="s">
        <v>107</v>
      </c>
      <c r="D1235" s="103" t="s">
        <v>80</v>
      </c>
      <c r="E1235" s="104">
        <v>17109</v>
      </c>
      <c r="F1235" s="104">
        <v>1880</v>
      </c>
      <c r="G1235" s="104">
        <v>4277</v>
      </c>
      <c r="H1235" s="116">
        <v>9.3111440749059611</v>
      </c>
      <c r="I1235" s="126">
        <v>875</v>
      </c>
      <c r="J1235" s="117">
        <v>20.917772714350452</v>
      </c>
    </row>
    <row r="1236" spans="1:10" ht="16">
      <c r="A1236" s="93" t="s">
        <v>1447</v>
      </c>
      <c r="B1236" s="94" t="s">
        <v>1288</v>
      </c>
      <c r="C1236" s="95" t="s">
        <v>76</v>
      </c>
      <c r="D1236" s="96" t="s">
        <v>61</v>
      </c>
      <c r="E1236" s="97">
        <v>12006</v>
      </c>
      <c r="F1236" s="97">
        <v>4002</v>
      </c>
      <c r="G1236" s="97">
        <v>1681</v>
      </c>
      <c r="H1236" s="114">
        <v>43.028177635654686</v>
      </c>
      <c r="I1236" s="125">
        <v>40328</v>
      </c>
      <c r="J1236" s="115">
        <v>49.498646176435855</v>
      </c>
    </row>
    <row r="1237" spans="1:10" ht="16">
      <c r="A1237" s="100" t="s">
        <v>637</v>
      </c>
      <c r="B1237" s="101" t="s">
        <v>598</v>
      </c>
      <c r="C1237" s="102" t="s">
        <v>76</v>
      </c>
      <c r="D1237" s="103" t="s">
        <v>59</v>
      </c>
      <c r="E1237" s="104">
        <v>19873</v>
      </c>
      <c r="F1237" s="104">
        <v>723</v>
      </c>
      <c r="G1237" s="104">
        <v>994</v>
      </c>
      <c r="H1237" s="116">
        <v>21.144984010695207</v>
      </c>
      <c r="I1237" s="126">
        <v>12987</v>
      </c>
      <c r="J1237" s="117">
        <v>32.303974371941784</v>
      </c>
    </row>
    <row r="1238" spans="1:10" ht="16">
      <c r="A1238" s="93" t="s">
        <v>124</v>
      </c>
      <c r="B1238" s="94" t="s">
        <v>89</v>
      </c>
      <c r="C1238" s="95" t="s">
        <v>76</v>
      </c>
      <c r="D1238" s="96" t="s">
        <v>59</v>
      </c>
      <c r="E1238" s="97">
        <v>14815</v>
      </c>
      <c r="F1238" s="97">
        <v>460</v>
      </c>
      <c r="G1238" s="97">
        <v>3407</v>
      </c>
      <c r="H1238" s="114">
        <v>26.139954921027886</v>
      </c>
      <c r="I1238" s="125">
        <v>19644</v>
      </c>
      <c r="J1238" s="115">
        <v>24.014079577642761</v>
      </c>
    </row>
    <row r="1239" spans="1:10" ht="16">
      <c r="A1239" s="100" t="s">
        <v>841</v>
      </c>
      <c r="B1239" s="101" t="s">
        <v>834</v>
      </c>
      <c r="C1239" s="102" t="s">
        <v>76</v>
      </c>
      <c r="D1239" s="103" t="s">
        <v>80</v>
      </c>
      <c r="E1239" s="104">
        <v>17442</v>
      </c>
      <c r="F1239" s="104">
        <v>923</v>
      </c>
      <c r="G1239" s="104">
        <v>3663</v>
      </c>
      <c r="H1239" s="116">
        <v>32.284265300103968</v>
      </c>
      <c r="I1239" s="126">
        <v>14526</v>
      </c>
      <c r="J1239" s="117">
        <v>23.021431510850697</v>
      </c>
    </row>
    <row r="1240" spans="1:10" ht="16">
      <c r="A1240" s="93" t="s">
        <v>138</v>
      </c>
      <c r="B1240" s="94" t="s">
        <v>127</v>
      </c>
      <c r="C1240" s="95" t="s">
        <v>107</v>
      </c>
      <c r="D1240" s="96" t="s">
        <v>59</v>
      </c>
      <c r="E1240" s="97">
        <v>10464</v>
      </c>
      <c r="F1240" s="97">
        <v>526</v>
      </c>
      <c r="G1240" s="97">
        <v>3035</v>
      </c>
      <c r="H1240" s="114">
        <v>37.352084898013949</v>
      </c>
      <c r="I1240" s="125">
        <v>16790</v>
      </c>
      <c r="J1240" s="115">
        <v>38.752383275254559</v>
      </c>
    </row>
    <row r="1241" spans="1:10" ht="16">
      <c r="A1241" s="100" t="s">
        <v>1462</v>
      </c>
      <c r="B1241" s="101" t="s">
        <v>1461</v>
      </c>
      <c r="C1241" s="102" t="s">
        <v>76</v>
      </c>
      <c r="D1241" s="103" t="s">
        <v>84</v>
      </c>
      <c r="E1241" s="104">
        <v>63479</v>
      </c>
      <c r="F1241" s="104">
        <v>2925</v>
      </c>
      <c r="G1241" s="104">
        <v>635</v>
      </c>
      <c r="H1241" s="116">
        <v>9.0916637331643972</v>
      </c>
      <c r="I1241" s="126">
        <v>1425</v>
      </c>
      <c r="J1241" s="117">
        <v>14.88338726056937</v>
      </c>
    </row>
    <row r="1242" spans="1:10" ht="16">
      <c r="A1242" s="93" t="s">
        <v>1463</v>
      </c>
      <c r="B1242" s="94" t="s">
        <v>1461</v>
      </c>
      <c r="C1242" s="95" t="s">
        <v>76</v>
      </c>
      <c r="D1242" s="96" t="s">
        <v>77</v>
      </c>
      <c r="E1242" s="97">
        <v>32944</v>
      </c>
      <c r="F1242" s="97">
        <v>2459</v>
      </c>
      <c r="G1242" s="97">
        <v>329</v>
      </c>
      <c r="H1242" s="114">
        <v>9.1629909387887061</v>
      </c>
      <c r="I1242" s="125">
        <v>3588</v>
      </c>
      <c r="J1242" s="115">
        <v>22.652795886971099</v>
      </c>
    </row>
    <row r="1243" spans="1:10" ht="16">
      <c r="A1243" s="100" t="s">
        <v>774</v>
      </c>
      <c r="B1243" s="101" t="s">
        <v>773</v>
      </c>
      <c r="C1243" s="102" t="s">
        <v>107</v>
      </c>
      <c r="D1243" s="103" t="s">
        <v>92</v>
      </c>
      <c r="E1243" s="104">
        <v>9551</v>
      </c>
      <c r="F1243" s="104">
        <v>677</v>
      </c>
      <c r="G1243" s="104">
        <v>955</v>
      </c>
      <c r="H1243" s="116">
        <v>12.604375767695148</v>
      </c>
      <c r="I1243" s="126">
        <v>4018</v>
      </c>
      <c r="J1243" s="117">
        <v>17.198429672684767</v>
      </c>
    </row>
    <row r="1244" spans="1:10" ht="16">
      <c r="A1244" s="93" t="s">
        <v>775</v>
      </c>
      <c r="B1244" s="94" t="s">
        <v>773</v>
      </c>
      <c r="C1244" s="95" t="s">
        <v>76</v>
      </c>
      <c r="D1244" s="96" t="s">
        <v>60</v>
      </c>
      <c r="E1244" s="97">
        <v>16216</v>
      </c>
      <c r="F1244" s="97">
        <v>1501</v>
      </c>
      <c r="G1244" s="97">
        <v>1459</v>
      </c>
      <c r="H1244" s="114">
        <v>14.593480174407889</v>
      </c>
      <c r="I1244" s="125">
        <v>5386</v>
      </c>
      <c r="J1244" s="115">
        <v>20.189809020071138</v>
      </c>
    </row>
    <row r="1245" spans="1:10" ht="16">
      <c r="A1245" s="100" t="s">
        <v>1448</v>
      </c>
      <c r="B1245" s="101" t="s">
        <v>1288</v>
      </c>
      <c r="C1245" s="102" t="s">
        <v>107</v>
      </c>
      <c r="D1245" s="103" t="s">
        <v>59</v>
      </c>
      <c r="E1245" s="104">
        <v>32838</v>
      </c>
      <c r="F1245" s="104">
        <v>1794</v>
      </c>
      <c r="G1245" s="104">
        <v>4597</v>
      </c>
      <c r="H1245" s="116">
        <v>43.195952128526102</v>
      </c>
      <c r="I1245" s="126">
        <v>30131</v>
      </c>
      <c r="J1245" s="117">
        <v>38.138015862644203</v>
      </c>
    </row>
    <row r="1246" spans="1:10" ht="16">
      <c r="A1246" s="93" t="s">
        <v>528</v>
      </c>
      <c r="B1246" s="94" t="s">
        <v>474</v>
      </c>
      <c r="C1246" s="95" t="s">
        <v>107</v>
      </c>
      <c r="D1246" s="96" t="s">
        <v>59</v>
      </c>
      <c r="E1246" s="97">
        <v>33380</v>
      </c>
      <c r="F1246" s="97">
        <v>1677</v>
      </c>
      <c r="G1246" s="97">
        <v>334</v>
      </c>
      <c r="H1246" s="114">
        <v>13.593218668132137</v>
      </c>
      <c r="I1246" s="125">
        <v>5604</v>
      </c>
      <c r="J1246" s="115">
        <v>20.864675170306512</v>
      </c>
    </row>
    <row r="1247" spans="1:10" ht="16">
      <c r="A1247" s="100" t="s">
        <v>638</v>
      </c>
      <c r="B1247" s="101" t="s">
        <v>598</v>
      </c>
      <c r="C1247" s="102" t="s">
        <v>76</v>
      </c>
      <c r="D1247" s="103" t="s">
        <v>80</v>
      </c>
      <c r="E1247" s="104">
        <v>2610</v>
      </c>
      <c r="F1247" s="104">
        <v>244</v>
      </c>
      <c r="G1247" s="104">
        <v>78</v>
      </c>
      <c r="H1247" s="116">
        <v>22.847515152256893</v>
      </c>
      <c r="I1247" s="126">
        <v>21883</v>
      </c>
      <c r="J1247" s="117">
        <v>39.598346583496308</v>
      </c>
    </row>
    <row r="1248" spans="1:10" ht="16">
      <c r="A1248" s="93" t="s">
        <v>956</v>
      </c>
      <c r="B1248" s="94" t="s">
        <v>919</v>
      </c>
      <c r="C1248" s="95" t="s">
        <v>107</v>
      </c>
      <c r="D1248" s="96" t="s">
        <v>77</v>
      </c>
      <c r="E1248" s="97">
        <v>14764</v>
      </c>
      <c r="F1248" s="97">
        <v>984</v>
      </c>
      <c r="G1248" s="97">
        <v>1033</v>
      </c>
      <c r="H1248" s="114">
        <v>9.7293615305164192</v>
      </c>
      <c r="I1248" s="125">
        <v>2112</v>
      </c>
      <c r="J1248" s="115">
        <v>15.581096086719601</v>
      </c>
    </row>
    <row r="1249" spans="1:10" ht="16">
      <c r="A1249" s="100" t="s">
        <v>957</v>
      </c>
      <c r="B1249" s="101" t="s">
        <v>919</v>
      </c>
      <c r="C1249" s="102" t="s">
        <v>76</v>
      </c>
      <c r="D1249" s="103" t="s">
        <v>77</v>
      </c>
      <c r="E1249" s="104">
        <v>15246</v>
      </c>
      <c r="F1249" s="104">
        <v>1386</v>
      </c>
      <c r="G1249" s="104">
        <v>1525</v>
      </c>
      <c r="H1249" s="116">
        <v>8.9737424195928099</v>
      </c>
      <c r="I1249" s="126">
        <v>395</v>
      </c>
      <c r="J1249" s="117">
        <v>21.459105917815627</v>
      </c>
    </row>
    <row r="1250" spans="1:10" ht="16">
      <c r="A1250" s="93" t="s">
        <v>831</v>
      </c>
      <c r="B1250" s="94" t="s">
        <v>820</v>
      </c>
      <c r="C1250" s="95" t="s">
        <v>76</v>
      </c>
      <c r="D1250" s="96" t="s">
        <v>63</v>
      </c>
      <c r="E1250" s="97">
        <v>23025</v>
      </c>
      <c r="F1250" s="97">
        <v>1395</v>
      </c>
      <c r="G1250" s="97">
        <v>2303</v>
      </c>
      <c r="H1250" s="114">
        <v>48.681877860203429</v>
      </c>
      <c r="I1250" s="125">
        <v>42559</v>
      </c>
      <c r="J1250" s="115">
        <v>35.85617462957164</v>
      </c>
    </row>
    <row r="1251" spans="1:10" ht="16">
      <c r="A1251" s="100" t="s">
        <v>148</v>
      </c>
      <c r="B1251" s="101" t="s">
        <v>144</v>
      </c>
      <c r="C1251" s="102" t="s">
        <v>76</v>
      </c>
      <c r="D1251" s="103" t="s">
        <v>130</v>
      </c>
      <c r="E1251" s="104">
        <v>11371</v>
      </c>
      <c r="F1251" s="104">
        <v>400</v>
      </c>
      <c r="G1251" s="104">
        <v>2502</v>
      </c>
      <c r="H1251" s="116">
        <v>42.430284183203291</v>
      </c>
      <c r="I1251" s="126">
        <v>26642</v>
      </c>
      <c r="J1251" s="117">
        <v>37.619049177509908</v>
      </c>
    </row>
    <row r="1252" spans="1:10" ht="16">
      <c r="A1252" s="93" t="s">
        <v>334</v>
      </c>
      <c r="B1252" s="94" t="s">
        <v>322</v>
      </c>
      <c r="C1252" s="95" t="s">
        <v>107</v>
      </c>
      <c r="D1252" s="96" t="s">
        <v>60</v>
      </c>
      <c r="E1252" s="97">
        <v>13381</v>
      </c>
      <c r="F1252" s="97">
        <v>910</v>
      </c>
      <c r="G1252" s="97">
        <v>1740</v>
      </c>
      <c r="H1252" s="114">
        <v>13.784110369433161</v>
      </c>
      <c r="I1252" s="125">
        <v>1397</v>
      </c>
      <c r="J1252" s="115">
        <v>18.776536904822731</v>
      </c>
    </row>
    <row r="1253" spans="1:10" ht="16">
      <c r="A1253" s="100" t="s">
        <v>832</v>
      </c>
      <c r="B1253" s="101" t="s">
        <v>820</v>
      </c>
      <c r="C1253" s="102" t="s">
        <v>76</v>
      </c>
      <c r="D1253" s="103" t="s">
        <v>80</v>
      </c>
      <c r="E1253" s="104">
        <v>13914</v>
      </c>
      <c r="F1253" s="104">
        <v>653</v>
      </c>
      <c r="G1253" s="104">
        <v>3757</v>
      </c>
      <c r="H1253" s="116">
        <v>57.289039867026332</v>
      </c>
      <c r="I1253" s="126">
        <v>54973</v>
      </c>
      <c r="J1253" s="117">
        <v>50.175209261602525</v>
      </c>
    </row>
    <row r="1254" spans="1:10" ht="16">
      <c r="A1254" s="93" t="s">
        <v>1449</v>
      </c>
      <c r="B1254" s="94" t="s">
        <v>1288</v>
      </c>
      <c r="C1254" s="95" t="s">
        <v>76</v>
      </c>
      <c r="D1254" s="96" t="s">
        <v>63</v>
      </c>
      <c r="E1254" s="97">
        <v>7675</v>
      </c>
      <c r="F1254" s="97">
        <v>1919</v>
      </c>
      <c r="G1254" s="97">
        <v>691</v>
      </c>
      <c r="H1254" s="114">
        <v>19.081851360239664</v>
      </c>
      <c r="I1254" s="125">
        <v>17801</v>
      </c>
      <c r="J1254" s="115">
        <v>43.544444519574675</v>
      </c>
    </row>
    <row r="1255" spans="1:10" ht="16">
      <c r="A1255" s="100" t="s">
        <v>890</v>
      </c>
      <c r="B1255" s="101" t="s">
        <v>879</v>
      </c>
      <c r="C1255" s="102" t="s">
        <v>107</v>
      </c>
      <c r="D1255" s="103" t="s">
        <v>62</v>
      </c>
      <c r="E1255" s="104">
        <v>29709</v>
      </c>
      <c r="F1255" s="104">
        <v>2303</v>
      </c>
      <c r="G1255" s="104">
        <v>1783</v>
      </c>
      <c r="H1255" s="116">
        <v>12.795241721170123</v>
      </c>
      <c r="I1255" s="126">
        <v>3718</v>
      </c>
      <c r="J1255" s="117">
        <v>20.093973630557684</v>
      </c>
    </row>
    <row r="1256" spans="1:10" ht="16">
      <c r="A1256" s="93" t="s">
        <v>747</v>
      </c>
      <c r="B1256" s="94" t="s">
        <v>642</v>
      </c>
      <c r="C1256" s="95" t="s">
        <v>107</v>
      </c>
      <c r="D1256" s="96" t="s">
        <v>82</v>
      </c>
      <c r="E1256" s="97">
        <v>48839</v>
      </c>
      <c r="F1256" s="97">
        <v>3464</v>
      </c>
      <c r="G1256" s="97">
        <v>4884</v>
      </c>
      <c r="H1256" s="114">
        <v>23.186846538491356</v>
      </c>
      <c r="I1256" s="125">
        <v>6523</v>
      </c>
      <c r="J1256" s="115">
        <v>31.45127175327006</v>
      </c>
    </row>
    <row r="1257" spans="1:10" ht="16">
      <c r="A1257" s="100" t="s">
        <v>1450</v>
      </c>
      <c r="B1257" s="101" t="s">
        <v>1288</v>
      </c>
      <c r="C1257" s="102" t="s">
        <v>76</v>
      </c>
      <c r="D1257" s="103" t="s">
        <v>82</v>
      </c>
      <c r="E1257" s="104">
        <v>27957</v>
      </c>
      <c r="F1257" s="104">
        <v>1545</v>
      </c>
      <c r="G1257" s="104">
        <v>1957</v>
      </c>
      <c r="H1257" s="116">
        <v>28.850023976885439</v>
      </c>
      <c r="I1257" s="126">
        <v>20605</v>
      </c>
      <c r="J1257" s="117">
        <v>31.175039732763199</v>
      </c>
    </row>
    <row r="1258" spans="1:10" ht="16">
      <c r="A1258" s="93" t="s">
        <v>1451</v>
      </c>
      <c r="B1258" s="94" t="s">
        <v>1288</v>
      </c>
      <c r="C1258" s="95" t="s">
        <v>107</v>
      </c>
      <c r="D1258" s="96" t="s">
        <v>59</v>
      </c>
      <c r="E1258" s="97">
        <v>13401</v>
      </c>
      <c r="F1258" s="97">
        <v>1787</v>
      </c>
      <c r="G1258" s="97">
        <v>2680</v>
      </c>
      <c r="H1258" s="114">
        <v>58.015704117748967</v>
      </c>
      <c r="I1258" s="125">
        <v>56878</v>
      </c>
      <c r="J1258" s="115">
        <v>64.250200593543354</v>
      </c>
    </row>
    <row r="1259" spans="1:10" ht="16">
      <c r="A1259" s="100" t="s">
        <v>1452</v>
      </c>
      <c r="B1259" s="101" t="s">
        <v>1288</v>
      </c>
      <c r="C1259" s="102" t="s">
        <v>76</v>
      </c>
      <c r="D1259" s="103" t="s">
        <v>92</v>
      </c>
      <c r="E1259" s="104">
        <v>22295</v>
      </c>
      <c r="F1259" s="104">
        <v>1973</v>
      </c>
      <c r="G1259" s="104">
        <v>2007</v>
      </c>
      <c r="H1259" s="116">
        <v>18.875837571980256</v>
      </c>
      <c r="I1259" s="126">
        <v>15195</v>
      </c>
      <c r="J1259" s="117">
        <v>34.234179973542709</v>
      </c>
    </row>
    <row r="1260" spans="1:10" ht="16">
      <c r="A1260" s="93" t="s">
        <v>293</v>
      </c>
      <c r="B1260" s="94" t="s">
        <v>223</v>
      </c>
      <c r="C1260" s="95" t="s">
        <v>76</v>
      </c>
      <c r="D1260" s="96" t="s">
        <v>82</v>
      </c>
      <c r="E1260" s="97">
        <v>15971</v>
      </c>
      <c r="F1260" s="97">
        <v>1365</v>
      </c>
      <c r="G1260" s="97">
        <v>799</v>
      </c>
      <c r="H1260" s="114">
        <v>13.094297018607074</v>
      </c>
      <c r="I1260" s="125">
        <v>3635</v>
      </c>
      <c r="J1260" s="115">
        <v>17.171214543296845</v>
      </c>
    </row>
    <row r="1261" spans="1:10" ht="16">
      <c r="A1261" s="100" t="s">
        <v>917</v>
      </c>
      <c r="B1261" s="101" t="s">
        <v>909</v>
      </c>
      <c r="C1261" s="102" t="s">
        <v>76</v>
      </c>
      <c r="D1261" s="103" t="s">
        <v>60</v>
      </c>
      <c r="E1261" s="104">
        <v>13550</v>
      </c>
      <c r="F1261" s="104">
        <v>753</v>
      </c>
      <c r="G1261" s="104">
        <v>542</v>
      </c>
      <c r="H1261" s="116">
        <v>9.3763724509280451</v>
      </c>
      <c r="I1261" s="126">
        <v>1154</v>
      </c>
      <c r="J1261" s="117">
        <v>17.923912377492659</v>
      </c>
    </row>
    <row r="1262" spans="1:10" ht="16">
      <c r="A1262" s="93" t="s">
        <v>1453</v>
      </c>
      <c r="B1262" s="94" t="s">
        <v>1288</v>
      </c>
      <c r="C1262" s="95" t="s">
        <v>107</v>
      </c>
      <c r="D1262" s="96" t="s">
        <v>59</v>
      </c>
      <c r="E1262" s="97">
        <v>25966</v>
      </c>
      <c r="F1262" s="97">
        <v>1404</v>
      </c>
      <c r="G1262" s="97">
        <v>2077</v>
      </c>
      <c r="H1262" s="114">
        <v>17.187028753426127</v>
      </c>
      <c r="I1262" s="125">
        <v>10158</v>
      </c>
      <c r="J1262" s="115">
        <v>28.121541761940751</v>
      </c>
    </row>
    <row r="1263" spans="1:10" ht="16">
      <c r="A1263" s="100" t="s">
        <v>125</v>
      </c>
      <c r="B1263" s="101" t="s">
        <v>89</v>
      </c>
      <c r="C1263" s="102" t="s">
        <v>76</v>
      </c>
      <c r="D1263" s="103" t="s">
        <v>63</v>
      </c>
      <c r="E1263" s="104">
        <v>32259</v>
      </c>
      <c r="F1263" s="104">
        <v>904</v>
      </c>
      <c r="G1263" s="104">
        <v>5484</v>
      </c>
      <c r="H1263" s="116">
        <v>30.059083002356441</v>
      </c>
      <c r="I1263" s="126">
        <v>24164</v>
      </c>
      <c r="J1263" s="117">
        <v>24.179498446805336</v>
      </c>
    </row>
    <row r="1264" spans="1:10" ht="16">
      <c r="A1264" s="93" t="s">
        <v>209</v>
      </c>
      <c r="B1264" s="94" t="s">
        <v>184</v>
      </c>
      <c r="C1264" s="95" t="s">
        <v>76</v>
      </c>
      <c r="D1264" s="96" t="s">
        <v>62</v>
      </c>
      <c r="E1264" s="97">
        <v>29865</v>
      </c>
      <c r="F1264" s="97">
        <v>1293</v>
      </c>
      <c r="G1264" s="97">
        <v>5376</v>
      </c>
      <c r="H1264" s="114">
        <v>35.920139130216768</v>
      </c>
      <c r="I1264" s="125">
        <v>27319</v>
      </c>
      <c r="J1264" s="115">
        <v>40.99581393677331</v>
      </c>
    </row>
    <row r="1265" spans="1:10" ht="16">
      <c r="A1265" s="100" t="s">
        <v>1454</v>
      </c>
      <c r="B1265" s="101" t="s">
        <v>1288</v>
      </c>
      <c r="C1265" s="102" t="s">
        <v>76</v>
      </c>
      <c r="D1265" s="103" t="s">
        <v>61</v>
      </c>
      <c r="E1265" s="104">
        <v>13726</v>
      </c>
      <c r="F1265" s="104">
        <v>775</v>
      </c>
      <c r="G1265" s="104">
        <v>137</v>
      </c>
      <c r="H1265" s="116">
        <v>10.623122408916512</v>
      </c>
      <c r="I1265" s="126">
        <v>6684</v>
      </c>
      <c r="J1265" s="117">
        <v>16.436656039773212</v>
      </c>
    </row>
    <row r="1266" spans="1:10" ht="16">
      <c r="A1266" s="93" t="s">
        <v>1455</v>
      </c>
      <c r="B1266" s="94" t="s">
        <v>1288</v>
      </c>
      <c r="C1266" s="95" t="s">
        <v>76</v>
      </c>
      <c r="D1266" s="96" t="s">
        <v>82</v>
      </c>
      <c r="E1266" s="97">
        <v>8235</v>
      </c>
      <c r="F1266" s="97">
        <v>722</v>
      </c>
      <c r="G1266" s="97">
        <v>741</v>
      </c>
      <c r="H1266" s="114">
        <v>21.442583498679731</v>
      </c>
      <c r="I1266" s="125">
        <v>18576</v>
      </c>
      <c r="J1266" s="115">
        <v>48.101953135466324</v>
      </c>
    </row>
    <row r="1267" spans="1:10" ht="16">
      <c r="A1267" s="100" t="s">
        <v>1456</v>
      </c>
      <c r="B1267" s="101" t="s">
        <v>1288</v>
      </c>
      <c r="C1267" s="102" t="s">
        <v>107</v>
      </c>
      <c r="D1267" s="103" t="s">
        <v>82</v>
      </c>
      <c r="E1267" s="104">
        <v>5733</v>
      </c>
      <c r="F1267" s="104">
        <v>451</v>
      </c>
      <c r="G1267" s="104">
        <v>1261</v>
      </c>
      <c r="H1267" s="116">
        <v>17.90109905620837</v>
      </c>
      <c r="I1267" s="126">
        <v>10480</v>
      </c>
      <c r="J1267" s="117">
        <v>20.453914413769471</v>
      </c>
    </row>
    <row r="1268" spans="1:10" ht="16">
      <c r="A1268" s="93" t="s">
        <v>891</v>
      </c>
      <c r="B1268" s="94" t="s">
        <v>879</v>
      </c>
      <c r="C1268" s="95" t="s">
        <v>107</v>
      </c>
      <c r="D1268" s="96" t="s">
        <v>62</v>
      </c>
      <c r="E1268" s="97">
        <v>28329</v>
      </c>
      <c r="F1268" s="97">
        <v>1914</v>
      </c>
      <c r="G1268" s="97">
        <v>850</v>
      </c>
      <c r="H1268" s="114">
        <v>11.583645548263451</v>
      </c>
      <c r="I1268" s="125">
        <v>2386</v>
      </c>
      <c r="J1268" s="115">
        <v>17.569669073035111</v>
      </c>
    </row>
    <row r="1269" spans="1:10" ht="16">
      <c r="A1269" s="100" t="s">
        <v>294</v>
      </c>
      <c r="B1269" s="101" t="s">
        <v>223</v>
      </c>
      <c r="C1269" s="102" t="s">
        <v>76</v>
      </c>
      <c r="D1269" s="103" t="s">
        <v>84</v>
      </c>
      <c r="E1269" s="104">
        <v>52502</v>
      </c>
      <c r="F1269" s="104">
        <v>3596</v>
      </c>
      <c r="G1269" s="104">
        <v>3675</v>
      </c>
      <c r="H1269" s="116">
        <v>34.416988203363665</v>
      </c>
      <c r="I1269" s="126">
        <v>17860</v>
      </c>
      <c r="J1269" s="117">
        <v>44.639259487266465</v>
      </c>
    </row>
    <row r="1270" spans="1:10" ht="16">
      <c r="A1270" s="93" t="s">
        <v>295</v>
      </c>
      <c r="B1270" s="94" t="s">
        <v>223</v>
      </c>
      <c r="C1270" s="95" t="s">
        <v>107</v>
      </c>
      <c r="D1270" s="96" t="s">
        <v>59</v>
      </c>
      <c r="E1270" s="97">
        <v>51684</v>
      </c>
      <c r="F1270" s="97">
        <v>3692</v>
      </c>
      <c r="G1270" s="97">
        <v>1551</v>
      </c>
      <c r="H1270" s="114">
        <v>13.616991484492555</v>
      </c>
      <c r="I1270" s="125">
        <v>5495</v>
      </c>
      <c r="J1270" s="115">
        <v>19.323098008324155</v>
      </c>
    </row>
    <row r="1271" spans="1:10" ht="16">
      <c r="A1271" s="100" t="s">
        <v>296</v>
      </c>
      <c r="B1271" s="101" t="s">
        <v>223</v>
      </c>
      <c r="C1271" s="102" t="s">
        <v>107</v>
      </c>
      <c r="D1271" s="103" t="s">
        <v>80</v>
      </c>
      <c r="E1271" s="104">
        <v>40841</v>
      </c>
      <c r="F1271" s="104">
        <v>2797</v>
      </c>
      <c r="G1271" s="104">
        <v>1634</v>
      </c>
      <c r="H1271" s="116">
        <v>23.044172316610169</v>
      </c>
      <c r="I1271" s="126">
        <v>13120</v>
      </c>
      <c r="J1271" s="117">
        <v>27.65478216244227</v>
      </c>
    </row>
    <row r="1272" spans="1:10" ht="16">
      <c r="A1272" s="93" t="s">
        <v>297</v>
      </c>
      <c r="B1272" s="94" t="s">
        <v>223</v>
      </c>
      <c r="C1272" s="95" t="s">
        <v>76</v>
      </c>
      <c r="D1272" s="96" t="s">
        <v>92</v>
      </c>
      <c r="E1272" s="97">
        <v>31340</v>
      </c>
      <c r="F1272" s="97">
        <v>1478</v>
      </c>
      <c r="G1272" s="97">
        <v>313</v>
      </c>
      <c r="H1272" s="114">
        <v>12.181578434009975</v>
      </c>
      <c r="I1272" s="125">
        <v>5555</v>
      </c>
      <c r="J1272" s="115">
        <v>15.390213135924581</v>
      </c>
    </row>
    <row r="1273" spans="1:10" ht="16">
      <c r="A1273" s="100" t="s">
        <v>298</v>
      </c>
      <c r="B1273" s="101" t="s">
        <v>223</v>
      </c>
      <c r="C1273" s="102" t="s">
        <v>107</v>
      </c>
      <c r="D1273" s="103" t="s">
        <v>82</v>
      </c>
      <c r="E1273" s="104">
        <v>34140</v>
      </c>
      <c r="F1273" s="104">
        <v>1996</v>
      </c>
      <c r="G1273" s="104">
        <v>1024</v>
      </c>
      <c r="H1273" s="116">
        <v>17.881756088344925</v>
      </c>
      <c r="I1273" s="126">
        <v>5732</v>
      </c>
      <c r="J1273" s="117">
        <v>21.204271983194619</v>
      </c>
    </row>
    <row r="1274" spans="1:10" ht="16">
      <c r="A1274" s="93" t="s">
        <v>1457</v>
      </c>
      <c r="B1274" s="94" t="s">
        <v>1288</v>
      </c>
      <c r="C1274" s="95" t="s">
        <v>107</v>
      </c>
      <c r="D1274" s="96" t="s">
        <v>80</v>
      </c>
      <c r="E1274" s="97">
        <v>12402</v>
      </c>
      <c r="F1274" s="97">
        <v>2297</v>
      </c>
      <c r="G1274" s="97">
        <v>2480</v>
      </c>
      <c r="H1274" s="114">
        <v>94.970812531133546</v>
      </c>
      <c r="I1274" s="125">
        <v>92395</v>
      </c>
      <c r="J1274" s="115">
        <v>92.272792518540854</v>
      </c>
    </row>
    <row r="1275" spans="1:10" ht="16">
      <c r="A1275" s="100" t="s">
        <v>748</v>
      </c>
      <c r="B1275" s="101" t="s">
        <v>642</v>
      </c>
      <c r="C1275" s="102" t="s">
        <v>107</v>
      </c>
      <c r="D1275" s="103" t="s">
        <v>60</v>
      </c>
      <c r="E1275" s="104">
        <v>8913</v>
      </c>
      <c r="F1275" s="104">
        <v>1024</v>
      </c>
      <c r="G1275" s="104">
        <v>178</v>
      </c>
      <c r="H1275" s="116">
        <v>12.397438530107179</v>
      </c>
      <c r="I1275" s="126">
        <v>2178</v>
      </c>
      <c r="J1275" s="117">
        <v>22.512455820478785</v>
      </c>
    </row>
    <row r="1276" spans="1:10" ht="16">
      <c r="A1276" s="93" t="s">
        <v>749</v>
      </c>
      <c r="B1276" s="94" t="s">
        <v>642</v>
      </c>
      <c r="C1276" s="95" t="s">
        <v>107</v>
      </c>
      <c r="D1276" s="96" t="s">
        <v>59</v>
      </c>
      <c r="E1276" s="97">
        <v>10580</v>
      </c>
      <c r="F1276" s="97">
        <v>980</v>
      </c>
      <c r="G1276" s="97">
        <v>529</v>
      </c>
      <c r="H1276" s="114">
        <v>12.934618912371594</v>
      </c>
      <c r="I1276" s="125">
        <v>1969</v>
      </c>
      <c r="J1276" s="115">
        <v>21.513854282884267</v>
      </c>
    </row>
    <row r="1277" spans="1:10" ht="16">
      <c r="A1277" s="100" t="s">
        <v>299</v>
      </c>
      <c r="B1277" s="101" t="s">
        <v>223</v>
      </c>
      <c r="C1277" s="102" t="s">
        <v>76</v>
      </c>
      <c r="D1277" s="103" t="s">
        <v>130</v>
      </c>
      <c r="E1277" s="104">
        <v>36880</v>
      </c>
      <c r="F1277" s="104">
        <v>2442</v>
      </c>
      <c r="G1277" s="104">
        <v>1106</v>
      </c>
      <c r="H1277" s="116">
        <v>10.837237854340612</v>
      </c>
      <c r="I1277" s="126">
        <v>4497</v>
      </c>
      <c r="J1277" s="117">
        <v>15.976281935309526</v>
      </c>
    </row>
    <row r="1278" spans="1:10" ht="16">
      <c r="A1278" s="93" t="s">
        <v>300</v>
      </c>
      <c r="B1278" s="94" t="s">
        <v>223</v>
      </c>
      <c r="C1278" s="95" t="s">
        <v>107</v>
      </c>
      <c r="D1278" s="96" t="s">
        <v>61</v>
      </c>
      <c r="E1278" s="97">
        <v>32748</v>
      </c>
      <c r="F1278" s="97">
        <v>2140</v>
      </c>
      <c r="G1278" s="97">
        <v>327</v>
      </c>
      <c r="H1278" s="114">
        <v>12.151539250356834</v>
      </c>
      <c r="I1278" s="125">
        <v>1720</v>
      </c>
      <c r="J1278" s="115">
        <v>18.409458090621438</v>
      </c>
    </row>
    <row r="1279" spans="1:10" ht="16">
      <c r="A1279" s="100" t="s">
        <v>757</v>
      </c>
      <c r="B1279" s="101" t="s">
        <v>753</v>
      </c>
      <c r="C1279" s="102" t="s">
        <v>76</v>
      </c>
      <c r="D1279" s="103" t="s">
        <v>130</v>
      </c>
      <c r="E1279" s="104">
        <v>35353</v>
      </c>
      <c r="F1279" s="104">
        <v>1163</v>
      </c>
      <c r="G1279" s="104">
        <v>3182</v>
      </c>
      <c r="H1279" s="116">
        <v>9.183785121506796</v>
      </c>
      <c r="I1279" s="126">
        <v>656</v>
      </c>
      <c r="J1279" s="117">
        <v>19.590824113980489</v>
      </c>
    </row>
    <row r="1280" spans="1:10" ht="16">
      <c r="A1280" s="93" t="s">
        <v>575</v>
      </c>
      <c r="B1280" s="94" t="s">
        <v>537</v>
      </c>
      <c r="C1280" s="95" t="s">
        <v>107</v>
      </c>
      <c r="D1280" s="96" t="s">
        <v>82</v>
      </c>
      <c r="E1280" s="97">
        <v>6332</v>
      </c>
      <c r="F1280" s="97">
        <v>230</v>
      </c>
      <c r="G1280" s="97">
        <v>441</v>
      </c>
      <c r="H1280" s="114">
        <v>15.860321877155011</v>
      </c>
      <c r="I1280" s="125">
        <v>14313</v>
      </c>
      <c r="J1280" s="115">
        <v>15.475045254699321</v>
      </c>
    </row>
    <row r="1281" spans="1:10" ht="16">
      <c r="A1281" s="100" t="s">
        <v>576</v>
      </c>
      <c r="B1281" s="101" t="s">
        <v>537</v>
      </c>
      <c r="C1281" s="102" t="s">
        <v>76</v>
      </c>
      <c r="D1281" s="103" t="s">
        <v>77</v>
      </c>
      <c r="E1281" s="104">
        <v>13745</v>
      </c>
      <c r="F1281" s="104">
        <v>455</v>
      </c>
      <c r="G1281" s="104">
        <v>137</v>
      </c>
      <c r="H1281" s="116">
        <v>14.999292464407453</v>
      </c>
      <c r="I1281" s="126">
        <v>2400</v>
      </c>
      <c r="J1281" s="117">
        <v>16.901816125500943</v>
      </c>
    </row>
    <row r="1282" spans="1:10" ht="16">
      <c r="A1282" s="93" t="s">
        <v>1173</v>
      </c>
      <c r="B1282" s="94" t="s">
        <v>1142</v>
      </c>
      <c r="C1282" s="95" t="s">
        <v>76</v>
      </c>
      <c r="D1282" s="96" t="s">
        <v>130</v>
      </c>
      <c r="E1282" s="97">
        <v>19508</v>
      </c>
      <c r="F1282" s="97">
        <v>522</v>
      </c>
      <c r="G1282" s="97">
        <v>390</v>
      </c>
      <c r="H1282" s="114">
        <v>12.394012797901107</v>
      </c>
      <c r="I1282" s="125">
        <v>1533</v>
      </c>
      <c r="J1282" s="115">
        <v>19.41079738599057</v>
      </c>
    </row>
    <row r="1283" spans="1:10" ht="16">
      <c r="A1283" s="100" t="s">
        <v>1017</v>
      </c>
      <c r="B1283" s="101" t="s">
        <v>988</v>
      </c>
      <c r="C1283" s="102" t="s">
        <v>107</v>
      </c>
      <c r="D1283" s="103" t="s">
        <v>82</v>
      </c>
      <c r="E1283" s="104">
        <v>20135</v>
      </c>
      <c r="F1283" s="104">
        <v>1360</v>
      </c>
      <c r="G1283" s="104">
        <v>1007</v>
      </c>
      <c r="H1283" s="116">
        <v>13.279999300065217</v>
      </c>
      <c r="I1283" s="126">
        <v>5897</v>
      </c>
      <c r="J1283" s="117">
        <v>18.846367631873299</v>
      </c>
    </row>
    <row r="1284" spans="1:10" ht="16">
      <c r="A1284" s="93" t="s">
        <v>1174</v>
      </c>
      <c r="B1284" s="94" t="s">
        <v>1142</v>
      </c>
      <c r="C1284" s="95" t="s">
        <v>107</v>
      </c>
      <c r="D1284" s="96" t="s">
        <v>80</v>
      </c>
      <c r="E1284" s="97">
        <v>36946</v>
      </c>
      <c r="F1284" s="97">
        <v>1103</v>
      </c>
      <c r="G1284" s="97">
        <v>1478</v>
      </c>
      <c r="H1284" s="114">
        <v>13.207298397902782</v>
      </c>
      <c r="I1284" s="125">
        <v>3076</v>
      </c>
      <c r="J1284" s="115">
        <v>16.045635568517159</v>
      </c>
    </row>
    <row r="1285" spans="1:10" ht="16">
      <c r="A1285" s="100" t="s">
        <v>750</v>
      </c>
      <c r="B1285" s="101" t="s">
        <v>642</v>
      </c>
      <c r="C1285" s="102" t="s">
        <v>76</v>
      </c>
      <c r="D1285" s="103" t="s">
        <v>130</v>
      </c>
      <c r="E1285" s="104">
        <v>4910</v>
      </c>
      <c r="F1285" s="104">
        <v>1091</v>
      </c>
      <c r="G1285" s="104">
        <v>98</v>
      </c>
      <c r="H1285" s="116">
        <v>8.6456881506030676</v>
      </c>
      <c r="I1285" s="126">
        <v>7506</v>
      </c>
      <c r="J1285" s="117">
        <v>26.177525601797772</v>
      </c>
    </row>
    <row r="1286" spans="1:10" ht="16">
      <c r="A1286" s="93" t="s">
        <v>751</v>
      </c>
      <c r="B1286" s="94" t="s">
        <v>642</v>
      </c>
      <c r="C1286" s="95" t="s">
        <v>107</v>
      </c>
      <c r="D1286" s="96" t="s">
        <v>61</v>
      </c>
      <c r="E1286" s="97">
        <v>9889</v>
      </c>
      <c r="F1286" s="97">
        <v>791</v>
      </c>
      <c r="G1286" s="97">
        <v>692</v>
      </c>
      <c r="H1286" s="114">
        <v>16.935667235304454</v>
      </c>
      <c r="I1286" s="125">
        <v>2716</v>
      </c>
      <c r="J1286" s="115">
        <v>23.057384182243059</v>
      </c>
    </row>
    <row r="1287" spans="1:10" ht="16">
      <c r="A1287" s="100" t="s">
        <v>1018</v>
      </c>
      <c r="B1287" s="101" t="s">
        <v>988</v>
      </c>
      <c r="C1287" s="102" t="s">
        <v>107</v>
      </c>
      <c r="D1287" s="103" t="s">
        <v>84</v>
      </c>
      <c r="E1287" s="104">
        <v>17744</v>
      </c>
      <c r="F1287" s="104">
        <v>1215</v>
      </c>
      <c r="G1287" s="104">
        <v>3904</v>
      </c>
      <c r="H1287" s="116">
        <v>53.385573567050344</v>
      </c>
      <c r="I1287" s="126">
        <v>27890</v>
      </c>
      <c r="J1287" s="117">
        <v>51.594677978296694</v>
      </c>
    </row>
    <row r="1288" spans="1:10" ht="16">
      <c r="A1288" s="93" t="s">
        <v>210</v>
      </c>
      <c r="B1288" s="94" t="s">
        <v>184</v>
      </c>
      <c r="C1288" s="95" t="s">
        <v>76</v>
      </c>
      <c r="D1288" s="96" t="s">
        <v>84</v>
      </c>
      <c r="E1288" s="97">
        <v>46683</v>
      </c>
      <c r="F1288" s="97">
        <v>1319</v>
      </c>
      <c r="G1288" s="97">
        <v>11204</v>
      </c>
      <c r="H1288" s="114">
        <v>37.74475485700664</v>
      </c>
      <c r="I1288" s="125">
        <v>19123</v>
      </c>
      <c r="J1288" s="115">
        <v>29.058088141005005</v>
      </c>
    </row>
    <row r="1289" spans="1:10" ht="16">
      <c r="A1289" s="100" t="s">
        <v>1116</v>
      </c>
      <c r="B1289" s="101" t="s">
        <v>1081</v>
      </c>
      <c r="C1289" s="102" t="s">
        <v>107</v>
      </c>
      <c r="D1289" s="103" t="s">
        <v>77</v>
      </c>
      <c r="E1289" s="104">
        <v>8356</v>
      </c>
      <c r="F1289" s="104">
        <v>429</v>
      </c>
      <c r="G1289" s="104">
        <v>668</v>
      </c>
      <c r="H1289" s="116">
        <v>14.088188030996918</v>
      </c>
      <c r="I1289" s="126">
        <v>2251</v>
      </c>
      <c r="J1289" s="117">
        <v>17.372434784874887</v>
      </c>
    </row>
    <row r="1290" spans="1:10" ht="16">
      <c r="A1290" s="93" t="s">
        <v>363</v>
      </c>
      <c r="B1290" s="94" t="s">
        <v>344</v>
      </c>
      <c r="C1290" s="95" t="s">
        <v>76</v>
      </c>
      <c r="D1290" s="96" t="s">
        <v>77</v>
      </c>
      <c r="E1290" s="97">
        <v>156419</v>
      </c>
      <c r="F1290" s="97">
        <v>6517</v>
      </c>
      <c r="G1290" s="97">
        <v>1564</v>
      </c>
      <c r="H1290" s="114">
        <v>8.3969662009800867</v>
      </c>
      <c r="I1290" s="125">
        <v>2322</v>
      </c>
      <c r="J1290" s="115">
        <v>14.293472389504107</v>
      </c>
    </row>
    <row r="1291" spans="1:10" ht="16">
      <c r="A1291" s="100" t="s">
        <v>301</v>
      </c>
      <c r="B1291" s="101" t="s">
        <v>223</v>
      </c>
      <c r="C1291" s="102" t="s">
        <v>107</v>
      </c>
      <c r="D1291" s="103" t="s">
        <v>82</v>
      </c>
      <c r="E1291" s="104">
        <v>33427</v>
      </c>
      <c r="F1291" s="104">
        <v>3124</v>
      </c>
      <c r="G1291" s="104">
        <v>7354</v>
      </c>
      <c r="H1291" s="116">
        <v>64.940573204975266</v>
      </c>
      <c r="I1291" s="126">
        <v>32782</v>
      </c>
      <c r="J1291" s="117">
        <v>66.528242408881312</v>
      </c>
    </row>
    <row r="1292" spans="1:10" ht="16">
      <c r="A1292" s="107" t="s">
        <v>302</v>
      </c>
      <c r="B1292" s="108" t="s">
        <v>223</v>
      </c>
      <c r="C1292" s="109" t="s">
        <v>76</v>
      </c>
      <c r="D1292" s="110" t="s">
        <v>63</v>
      </c>
      <c r="E1292" s="111">
        <v>31228</v>
      </c>
      <c r="F1292" s="111">
        <v>2124</v>
      </c>
      <c r="G1292" s="111">
        <v>2498</v>
      </c>
      <c r="H1292" s="118">
        <v>14.733529899637755</v>
      </c>
      <c r="I1292" s="127">
        <v>4704</v>
      </c>
      <c r="J1292" s="119">
        <v>16.990600943346841</v>
      </c>
    </row>
  </sheetData>
  <phoneticPr fontId="4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1666D-E764-F148-A16C-864CBFF95465}">
  <sheetPr codeName="Sheet5"/>
  <dimension ref="A1:J1292"/>
  <sheetViews>
    <sheetView zoomScaleNormal="100" workbookViewId="0"/>
  </sheetViews>
  <sheetFormatPr baseColWidth="10" defaultRowHeight="15"/>
  <cols>
    <col min="1" max="1" width="59" style="26"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65</v>
      </c>
      <c r="B1" s="91" t="s">
        <v>66</v>
      </c>
      <c r="C1" s="91" t="s">
        <v>67</v>
      </c>
      <c r="D1" s="91" t="s">
        <v>68</v>
      </c>
      <c r="E1" s="91" t="s">
        <v>1492</v>
      </c>
      <c r="F1" s="91" t="s">
        <v>69</v>
      </c>
      <c r="G1" s="91" t="s">
        <v>70</v>
      </c>
      <c r="H1" s="91" t="s">
        <v>71</v>
      </c>
      <c r="I1" s="91" t="s">
        <v>72</v>
      </c>
      <c r="J1" s="92" t="s">
        <v>73</v>
      </c>
    </row>
    <row r="2" spans="1:10" ht="16">
      <c r="A2" s="93" t="s">
        <v>335</v>
      </c>
      <c r="B2" s="94" t="s">
        <v>336</v>
      </c>
      <c r="C2" s="95" t="s">
        <v>76</v>
      </c>
      <c r="D2" s="96" t="s">
        <v>82</v>
      </c>
      <c r="E2" s="97">
        <v>16340</v>
      </c>
      <c r="F2" s="97">
        <v>1201</v>
      </c>
      <c r="G2" s="97">
        <v>2451</v>
      </c>
      <c r="H2" s="114">
        <v>39.741889933805624</v>
      </c>
      <c r="I2" s="125">
        <v>34154</v>
      </c>
      <c r="J2" s="115">
        <v>28.596838419718708</v>
      </c>
    </row>
    <row r="3" spans="1:10" ht="16">
      <c r="A3" s="100" t="s">
        <v>368</v>
      </c>
      <c r="B3" s="101" t="s">
        <v>369</v>
      </c>
      <c r="C3" s="102" t="s">
        <v>107</v>
      </c>
      <c r="D3" s="103" t="s">
        <v>59</v>
      </c>
      <c r="E3" s="104">
        <v>12195</v>
      </c>
      <c r="F3" s="104">
        <v>656</v>
      </c>
      <c r="G3" s="104">
        <v>3171</v>
      </c>
      <c r="H3" s="116">
        <v>39.990520350935213</v>
      </c>
      <c r="I3" s="126">
        <v>30358</v>
      </c>
      <c r="J3" s="117">
        <v>42.331836733166369</v>
      </c>
    </row>
    <row r="4" spans="1:10" ht="16">
      <c r="A4" s="93" t="s">
        <v>337</v>
      </c>
      <c r="B4" s="94" t="s">
        <v>336</v>
      </c>
      <c r="C4" s="95" t="s">
        <v>76</v>
      </c>
      <c r="D4" s="96" t="s">
        <v>60</v>
      </c>
      <c r="E4" s="97">
        <v>26842</v>
      </c>
      <c r="F4" s="97">
        <v>1864</v>
      </c>
      <c r="G4" s="97">
        <v>2416</v>
      </c>
      <c r="H4" s="114">
        <v>54.686651511522875</v>
      </c>
      <c r="I4" s="125">
        <v>46175</v>
      </c>
      <c r="J4" s="115">
        <v>37.599338580949372</v>
      </c>
    </row>
    <row r="5" spans="1:10" ht="16">
      <c r="A5" s="100" t="s">
        <v>1189</v>
      </c>
      <c r="B5" s="101" t="s">
        <v>1190</v>
      </c>
      <c r="C5" s="102" t="s">
        <v>107</v>
      </c>
      <c r="D5" s="103" t="s">
        <v>61</v>
      </c>
      <c r="E5" s="104">
        <v>6866</v>
      </c>
      <c r="F5" s="104">
        <v>424</v>
      </c>
      <c r="G5" s="104">
        <v>1305</v>
      </c>
      <c r="H5" s="116">
        <v>23.103855505742736</v>
      </c>
      <c r="I5" s="126">
        <v>15199</v>
      </c>
      <c r="J5" s="117">
        <v>25.308296037748995</v>
      </c>
    </row>
    <row r="6" spans="1:10" ht="16">
      <c r="A6" s="93" t="s">
        <v>473</v>
      </c>
      <c r="B6" s="94" t="s">
        <v>474</v>
      </c>
      <c r="C6" s="95" t="s">
        <v>107</v>
      </c>
      <c r="D6" s="96" t="s">
        <v>59</v>
      </c>
      <c r="E6" s="97">
        <v>4792</v>
      </c>
      <c r="F6" s="97">
        <v>383</v>
      </c>
      <c r="G6" s="97">
        <v>288</v>
      </c>
      <c r="H6" s="114">
        <v>9.9342317792191661</v>
      </c>
      <c r="I6" s="125">
        <v>1530</v>
      </c>
      <c r="J6" s="115">
        <v>40.699843846677908</v>
      </c>
    </row>
    <row r="7" spans="1:10" ht="16">
      <c r="A7" s="100" t="s">
        <v>1141</v>
      </c>
      <c r="B7" s="101" t="s">
        <v>1142</v>
      </c>
      <c r="C7" s="102" t="s">
        <v>76</v>
      </c>
      <c r="D7" s="103" t="s">
        <v>63</v>
      </c>
      <c r="E7" s="104">
        <v>2342</v>
      </c>
      <c r="F7" s="104">
        <v>545</v>
      </c>
      <c r="G7" s="104">
        <v>47</v>
      </c>
      <c r="H7" s="116">
        <v>9.0332546762093884</v>
      </c>
      <c r="I7" s="126">
        <v>699</v>
      </c>
      <c r="J7" s="117">
        <v>22.757200387694493</v>
      </c>
    </row>
    <row r="8" spans="1:10" ht="16">
      <c r="A8" s="93" t="s">
        <v>878</v>
      </c>
      <c r="B8" s="94" t="s">
        <v>879</v>
      </c>
      <c r="C8" s="95" t="s">
        <v>76</v>
      </c>
      <c r="D8" s="96" t="s">
        <v>92</v>
      </c>
      <c r="E8" s="97">
        <v>37634</v>
      </c>
      <c r="F8" s="97">
        <v>2650</v>
      </c>
      <c r="G8" s="97">
        <v>753</v>
      </c>
      <c r="H8" s="114">
        <v>13.955698953979212</v>
      </c>
      <c r="I8" s="125">
        <v>4429</v>
      </c>
      <c r="J8" s="115">
        <v>18.596723844125073</v>
      </c>
    </row>
    <row r="9" spans="1:10" ht="16">
      <c r="A9" s="100" t="s">
        <v>880</v>
      </c>
      <c r="B9" s="101" t="s">
        <v>879</v>
      </c>
      <c r="C9" s="102" t="s">
        <v>107</v>
      </c>
      <c r="D9" s="103" t="s">
        <v>84</v>
      </c>
      <c r="E9" s="104">
        <v>28620</v>
      </c>
      <c r="F9" s="104">
        <v>2202</v>
      </c>
      <c r="G9" s="104">
        <v>572</v>
      </c>
      <c r="H9" s="116">
        <v>13.586485395464539</v>
      </c>
      <c r="I9" s="126">
        <v>3239</v>
      </c>
      <c r="J9" s="117">
        <v>18.044233377413132</v>
      </c>
    </row>
    <row r="10" spans="1:10" ht="16">
      <c r="A10" s="93" t="s">
        <v>641</v>
      </c>
      <c r="B10" s="94" t="s">
        <v>642</v>
      </c>
      <c r="C10" s="95" t="s">
        <v>76</v>
      </c>
      <c r="D10" s="96" t="s">
        <v>84</v>
      </c>
      <c r="E10" s="97">
        <v>1288</v>
      </c>
      <c r="F10" s="97">
        <v>460</v>
      </c>
      <c r="G10" s="97">
        <v>13</v>
      </c>
      <c r="H10" s="114">
        <v>11.209706769901937</v>
      </c>
      <c r="I10" s="125">
        <v>3568</v>
      </c>
      <c r="J10" s="115">
        <v>26.051856160867199</v>
      </c>
    </row>
    <row r="11" spans="1:10" ht="16">
      <c r="A11" s="100" t="s">
        <v>343</v>
      </c>
      <c r="B11" s="101" t="s">
        <v>344</v>
      </c>
      <c r="C11" s="102" t="s">
        <v>76</v>
      </c>
      <c r="D11" s="103" t="s">
        <v>60</v>
      </c>
      <c r="E11" s="104">
        <v>179636</v>
      </c>
      <c r="F11" s="104">
        <v>10629</v>
      </c>
      <c r="G11" s="104">
        <v>5389</v>
      </c>
      <c r="H11" s="116">
        <v>10.156126339199945</v>
      </c>
      <c r="I11" s="126">
        <v>3296</v>
      </c>
      <c r="J11" s="117">
        <v>21.232404044625344</v>
      </c>
    </row>
    <row r="12" spans="1:10" ht="16">
      <c r="A12" s="93" t="s">
        <v>376</v>
      </c>
      <c r="B12" s="94" t="s">
        <v>377</v>
      </c>
      <c r="C12" s="95" t="s">
        <v>76</v>
      </c>
      <c r="D12" s="96" t="s">
        <v>63</v>
      </c>
      <c r="E12" s="97">
        <v>67857</v>
      </c>
      <c r="F12" s="97">
        <v>4088</v>
      </c>
      <c r="G12" s="97">
        <v>8143</v>
      </c>
      <c r="H12" s="114">
        <v>25.438538699026754</v>
      </c>
      <c r="I12" s="125">
        <v>17061</v>
      </c>
      <c r="J12" s="115">
        <v>42.095340826408062</v>
      </c>
    </row>
    <row r="13" spans="1:10" ht="16">
      <c r="A13" s="100" t="s">
        <v>987</v>
      </c>
      <c r="B13" s="101" t="s">
        <v>988</v>
      </c>
      <c r="C13" s="102" t="s">
        <v>76</v>
      </c>
      <c r="D13" s="103" t="s">
        <v>130</v>
      </c>
      <c r="E13" s="104">
        <v>9906</v>
      </c>
      <c r="F13" s="104">
        <v>877</v>
      </c>
      <c r="G13" s="104">
        <v>693</v>
      </c>
      <c r="H13" s="116">
        <v>23.870342709407918</v>
      </c>
      <c r="I13" s="126">
        <v>7061</v>
      </c>
      <c r="J13" s="117">
        <v>24.221231802544494</v>
      </c>
    </row>
    <row r="14" spans="1:10" ht="16">
      <c r="A14" s="93" t="s">
        <v>1143</v>
      </c>
      <c r="B14" s="94" t="s">
        <v>1142</v>
      </c>
      <c r="C14" s="95" t="s">
        <v>107</v>
      </c>
      <c r="D14" s="96" t="s">
        <v>82</v>
      </c>
      <c r="E14" s="97">
        <v>42862</v>
      </c>
      <c r="F14" s="97">
        <v>1194</v>
      </c>
      <c r="G14" s="97">
        <v>429</v>
      </c>
      <c r="H14" s="114">
        <v>9.2035442620496628</v>
      </c>
      <c r="I14" s="125">
        <v>1312</v>
      </c>
      <c r="J14" s="115">
        <v>15.274486479497945</v>
      </c>
    </row>
    <row r="15" spans="1:10" ht="16">
      <c r="A15" s="100" t="s">
        <v>643</v>
      </c>
      <c r="B15" s="101" t="s">
        <v>642</v>
      </c>
      <c r="C15" s="102" t="s">
        <v>107</v>
      </c>
      <c r="D15" s="103" t="s">
        <v>63</v>
      </c>
      <c r="E15" s="104">
        <v>4942</v>
      </c>
      <c r="F15" s="104">
        <v>504</v>
      </c>
      <c r="G15" s="104">
        <v>198</v>
      </c>
      <c r="H15" s="116">
        <v>10.830334188762619</v>
      </c>
      <c r="I15" s="126">
        <v>987</v>
      </c>
      <c r="J15" s="117">
        <v>21.88769559567428</v>
      </c>
    </row>
    <row r="16" spans="1:10" ht="16">
      <c r="A16" s="93" t="s">
        <v>345</v>
      </c>
      <c r="B16" s="94" t="s">
        <v>344</v>
      </c>
      <c r="C16" s="95" t="s">
        <v>107</v>
      </c>
      <c r="D16" s="96" t="s">
        <v>84</v>
      </c>
      <c r="E16" s="97">
        <v>342151</v>
      </c>
      <c r="F16" s="97">
        <v>10495</v>
      </c>
      <c r="G16" s="97">
        <v>20529</v>
      </c>
      <c r="H16" s="114">
        <v>8.9479747669344771</v>
      </c>
      <c r="I16" s="125">
        <v>1438</v>
      </c>
      <c r="J16" s="115">
        <v>16.080700043664656</v>
      </c>
    </row>
    <row r="17" spans="1:10" ht="16">
      <c r="A17" s="100" t="s">
        <v>752</v>
      </c>
      <c r="B17" s="101" t="s">
        <v>753</v>
      </c>
      <c r="C17" s="102" t="s">
        <v>76</v>
      </c>
      <c r="D17" s="103" t="s">
        <v>59</v>
      </c>
      <c r="E17" s="104">
        <v>33918</v>
      </c>
      <c r="F17" s="104">
        <v>1084</v>
      </c>
      <c r="G17" s="104">
        <v>1357</v>
      </c>
      <c r="H17" s="116">
        <v>9.6679942723841066</v>
      </c>
      <c r="I17" s="126">
        <v>4820</v>
      </c>
      <c r="J17" s="117">
        <v>11.942319617257988</v>
      </c>
    </row>
    <row r="18" spans="1:10" ht="16">
      <c r="A18" s="93" t="s">
        <v>758</v>
      </c>
      <c r="B18" s="94" t="s">
        <v>759</v>
      </c>
      <c r="C18" s="95" t="s">
        <v>76</v>
      </c>
      <c r="D18" s="96" t="s">
        <v>80</v>
      </c>
      <c r="E18" s="97">
        <v>21138</v>
      </c>
      <c r="F18" s="97">
        <v>3775</v>
      </c>
      <c r="G18" s="97">
        <v>2325</v>
      </c>
      <c r="H18" s="114">
        <v>10.205771277915035</v>
      </c>
      <c r="I18" s="125">
        <v>2043</v>
      </c>
      <c r="J18" s="115">
        <v>24.9579105737809</v>
      </c>
    </row>
    <row r="19" spans="1:10" ht="16">
      <c r="A19" s="100" t="s">
        <v>346</v>
      </c>
      <c r="B19" s="101" t="s">
        <v>344</v>
      </c>
      <c r="C19" s="102" t="s">
        <v>76</v>
      </c>
      <c r="D19" s="103" t="s">
        <v>92</v>
      </c>
      <c r="E19" s="104">
        <v>182129</v>
      </c>
      <c r="F19" s="104">
        <v>6647</v>
      </c>
      <c r="G19" s="104">
        <v>5464</v>
      </c>
      <c r="H19" s="116">
        <v>13.535693378400003</v>
      </c>
      <c r="I19" s="126">
        <v>3256</v>
      </c>
      <c r="J19" s="117">
        <v>19.659668404694024</v>
      </c>
    </row>
    <row r="20" spans="1:10" ht="16">
      <c r="A20" s="93" t="s">
        <v>908</v>
      </c>
      <c r="B20" s="94" t="s">
        <v>909</v>
      </c>
      <c r="C20" s="95" t="s">
        <v>76</v>
      </c>
      <c r="D20" s="96" t="s">
        <v>59</v>
      </c>
      <c r="E20" s="97">
        <v>23124</v>
      </c>
      <c r="F20" s="97">
        <v>1278</v>
      </c>
      <c r="G20" s="97">
        <v>1387</v>
      </c>
      <c r="H20" s="114">
        <v>11.815204369642888</v>
      </c>
      <c r="I20" s="125">
        <v>1096</v>
      </c>
      <c r="J20" s="115">
        <v>17.002184825262521</v>
      </c>
    </row>
    <row r="21" spans="1:10" ht="16">
      <c r="A21" s="100" t="s">
        <v>958</v>
      </c>
      <c r="B21" s="101" t="s">
        <v>959</v>
      </c>
      <c r="C21" s="102" t="s">
        <v>76</v>
      </c>
      <c r="D21" s="103" t="s">
        <v>59</v>
      </c>
      <c r="E21" s="104">
        <v>2566</v>
      </c>
      <c r="F21" s="104">
        <v>247</v>
      </c>
      <c r="G21" s="104">
        <v>872</v>
      </c>
      <c r="H21" s="116">
        <v>21.988295317840024</v>
      </c>
      <c r="I21" s="126">
        <v>20233</v>
      </c>
      <c r="J21" s="117">
        <v>20.071175301507996</v>
      </c>
    </row>
    <row r="22" spans="1:10" ht="16">
      <c r="A22" s="93" t="s">
        <v>475</v>
      </c>
      <c r="B22" s="94" t="s">
        <v>474</v>
      </c>
      <c r="C22" s="95" t="s">
        <v>107</v>
      </c>
      <c r="D22" s="96" t="s">
        <v>80</v>
      </c>
      <c r="E22" s="97">
        <v>18783</v>
      </c>
      <c r="F22" s="97">
        <v>1391</v>
      </c>
      <c r="G22" s="97">
        <v>376</v>
      </c>
      <c r="H22" s="114">
        <v>10.679060816177575</v>
      </c>
      <c r="I22" s="125">
        <v>4345</v>
      </c>
      <c r="J22" s="115">
        <v>29.663779455711605</v>
      </c>
    </row>
    <row r="23" spans="1:10" ht="16">
      <c r="A23" s="100" t="s">
        <v>536</v>
      </c>
      <c r="B23" s="101" t="s">
        <v>537</v>
      </c>
      <c r="C23" s="102" t="s">
        <v>76</v>
      </c>
      <c r="D23" s="103" t="s">
        <v>82</v>
      </c>
      <c r="E23" s="104">
        <v>10110</v>
      </c>
      <c r="F23" s="104">
        <v>449</v>
      </c>
      <c r="G23" s="104">
        <v>101</v>
      </c>
      <c r="H23" s="116">
        <v>10.381038251464425</v>
      </c>
      <c r="I23" s="126">
        <v>1699</v>
      </c>
      <c r="J23" s="117">
        <v>18.309885474004385</v>
      </c>
    </row>
    <row r="24" spans="1:10" ht="16">
      <c r="A24" s="93" t="s">
        <v>597</v>
      </c>
      <c r="B24" s="94" t="s">
        <v>598</v>
      </c>
      <c r="C24" s="95" t="s">
        <v>76</v>
      </c>
      <c r="D24" s="96" t="s">
        <v>60</v>
      </c>
      <c r="E24" s="97">
        <v>13447</v>
      </c>
      <c r="F24" s="97">
        <v>372</v>
      </c>
      <c r="G24" s="97">
        <v>807</v>
      </c>
      <c r="H24" s="114">
        <v>19.477932237748917</v>
      </c>
      <c r="I24" s="125">
        <v>12557</v>
      </c>
      <c r="J24" s="115">
        <v>15.548608172127967</v>
      </c>
    </row>
    <row r="25" spans="1:10" ht="16">
      <c r="A25" s="100" t="s">
        <v>1287</v>
      </c>
      <c r="B25" s="101" t="s">
        <v>1288</v>
      </c>
      <c r="C25" s="102" t="s">
        <v>76</v>
      </c>
      <c r="D25" s="103" t="s">
        <v>77</v>
      </c>
      <c r="E25" s="104">
        <v>11750</v>
      </c>
      <c r="F25" s="104">
        <v>1068</v>
      </c>
      <c r="G25" s="104">
        <v>1410</v>
      </c>
      <c r="H25" s="116">
        <v>19.730335066731808</v>
      </c>
      <c r="I25" s="126">
        <v>12890</v>
      </c>
      <c r="J25" s="117">
        <v>41.678209182739337</v>
      </c>
    </row>
    <row r="26" spans="1:10" ht="16">
      <c r="A26" s="93" t="s">
        <v>347</v>
      </c>
      <c r="B26" s="94" t="s">
        <v>344</v>
      </c>
      <c r="C26" s="95" t="s">
        <v>76</v>
      </c>
      <c r="D26" s="96" t="s">
        <v>61</v>
      </c>
      <c r="E26" s="97">
        <v>5936</v>
      </c>
      <c r="F26" s="97">
        <v>433</v>
      </c>
      <c r="G26" s="97">
        <v>297</v>
      </c>
      <c r="H26" s="114">
        <v>25.642056511895504</v>
      </c>
      <c r="I26" s="125">
        <v>5130</v>
      </c>
      <c r="J26" s="115">
        <v>27.287949900939132</v>
      </c>
    </row>
    <row r="27" spans="1:10" ht="16">
      <c r="A27" s="100" t="s">
        <v>769</v>
      </c>
      <c r="B27" s="101" t="s">
        <v>770</v>
      </c>
      <c r="C27" s="102" t="s">
        <v>76</v>
      </c>
      <c r="D27" s="103" t="s">
        <v>80</v>
      </c>
      <c r="E27" s="104">
        <v>8401</v>
      </c>
      <c r="F27" s="104">
        <v>988</v>
      </c>
      <c r="G27" s="104">
        <v>1764</v>
      </c>
      <c r="H27" s="116">
        <v>15.644540531201635</v>
      </c>
      <c r="I27" s="126">
        <v>11640</v>
      </c>
      <c r="J27" s="117">
        <v>29.684141968498544</v>
      </c>
    </row>
    <row r="28" spans="1:10" ht="16">
      <c r="A28" s="93" t="s">
        <v>1184</v>
      </c>
      <c r="B28" s="94" t="s">
        <v>1185</v>
      </c>
      <c r="C28" s="95" t="s">
        <v>107</v>
      </c>
      <c r="D28" s="96" t="s">
        <v>84</v>
      </c>
      <c r="E28" s="97">
        <v>5652</v>
      </c>
      <c r="F28" s="97">
        <v>404</v>
      </c>
      <c r="G28" s="97">
        <v>4691</v>
      </c>
      <c r="H28" s="114">
        <v>15.245941784598735</v>
      </c>
      <c r="I28" s="125">
        <v>3451</v>
      </c>
      <c r="J28" s="115">
        <v>20.115028466029084</v>
      </c>
    </row>
    <row r="29" spans="1:10" ht="16">
      <c r="A29" s="100" t="s">
        <v>538</v>
      </c>
      <c r="B29" s="101" t="s">
        <v>537</v>
      </c>
      <c r="C29" s="102" t="s">
        <v>107</v>
      </c>
      <c r="D29" s="103" t="s">
        <v>77</v>
      </c>
      <c r="E29" s="104">
        <v>11580</v>
      </c>
      <c r="F29" s="104">
        <v>536</v>
      </c>
      <c r="G29" s="104">
        <v>232</v>
      </c>
      <c r="H29" s="116">
        <v>32.230796133282702</v>
      </c>
      <c r="I29" s="126">
        <v>13774</v>
      </c>
      <c r="J29" s="117">
        <v>35.115097080798215</v>
      </c>
    </row>
    <row r="30" spans="1:10" ht="16">
      <c r="A30" s="93" t="s">
        <v>476</v>
      </c>
      <c r="B30" s="94" t="s">
        <v>474</v>
      </c>
      <c r="C30" s="95" t="s">
        <v>107</v>
      </c>
      <c r="D30" s="96" t="s">
        <v>84</v>
      </c>
      <c r="E30" s="97">
        <v>29623</v>
      </c>
      <c r="F30" s="97">
        <v>1975</v>
      </c>
      <c r="G30" s="97">
        <v>1185</v>
      </c>
      <c r="H30" s="114">
        <v>9.6634670377816594</v>
      </c>
      <c r="I30" s="125">
        <v>1863</v>
      </c>
      <c r="J30" s="115">
        <v>16.576552970861211</v>
      </c>
    </row>
    <row r="31" spans="1:10" ht="16">
      <c r="A31" s="100" t="s">
        <v>477</v>
      </c>
      <c r="B31" s="101" t="s">
        <v>474</v>
      </c>
      <c r="C31" s="102" t="s">
        <v>107</v>
      </c>
      <c r="D31" s="103" t="s">
        <v>84</v>
      </c>
      <c r="E31" s="104">
        <v>14689</v>
      </c>
      <c r="F31" s="104">
        <v>1234</v>
      </c>
      <c r="G31" s="104">
        <v>1763</v>
      </c>
      <c r="H31" s="116">
        <v>17.41426690406049</v>
      </c>
      <c r="I31" s="126">
        <v>8187</v>
      </c>
      <c r="J31" s="117">
        <v>27.020891665825612</v>
      </c>
    </row>
    <row r="32" spans="1:10" ht="16">
      <c r="A32" s="93" t="s">
        <v>1144</v>
      </c>
      <c r="B32" s="94" t="s">
        <v>1142</v>
      </c>
      <c r="C32" s="95" t="s">
        <v>107</v>
      </c>
      <c r="D32" s="96" t="s">
        <v>59</v>
      </c>
      <c r="E32" s="97">
        <v>830104</v>
      </c>
      <c r="F32" s="97">
        <v>1682</v>
      </c>
      <c r="G32" s="97">
        <v>8301</v>
      </c>
      <c r="H32" s="114">
        <v>24.376594208909836</v>
      </c>
      <c r="I32" s="125">
        <v>3980</v>
      </c>
      <c r="J32" s="115">
        <v>13.85819272394693</v>
      </c>
    </row>
    <row r="33" spans="1:10" ht="16">
      <c r="A33" s="100" t="s">
        <v>478</v>
      </c>
      <c r="B33" s="101" t="s">
        <v>474</v>
      </c>
      <c r="C33" s="102" t="s">
        <v>76</v>
      </c>
      <c r="D33" s="103" t="s">
        <v>130</v>
      </c>
      <c r="E33" s="104">
        <v>9785</v>
      </c>
      <c r="F33" s="104">
        <v>589</v>
      </c>
      <c r="G33" s="104">
        <v>196</v>
      </c>
      <c r="H33" s="116">
        <v>11.792610875318742</v>
      </c>
      <c r="I33" s="126">
        <v>910</v>
      </c>
      <c r="J33" s="117">
        <v>38.182102789863485</v>
      </c>
    </row>
    <row r="34" spans="1:10" ht="16">
      <c r="A34" s="93" t="s">
        <v>1191</v>
      </c>
      <c r="B34" s="94" t="s">
        <v>1190</v>
      </c>
      <c r="C34" s="95" t="s">
        <v>76</v>
      </c>
      <c r="D34" s="96" t="s">
        <v>77</v>
      </c>
      <c r="E34" s="97">
        <v>18022</v>
      </c>
      <c r="F34" s="97">
        <v>780</v>
      </c>
      <c r="G34" s="97">
        <v>5407</v>
      </c>
      <c r="H34" s="114">
        <v>15.378286242824062</v>
      </c>
      <c r="I34" s="125">
        <v>14528</v>
      </c>
      <c r="J34" s="115">
        <v>18.332188404383547</v>
      </c>
    </row>
    <row r="35" spans="1:10" ht="16">
      <c r="A35" s="100" t="s">
        <v>1145</v>
      </c>
      <c r="B35" s="101" t="s">
        <v>1142</v>
      </c>
      <c r="C35" s="102" t="s">
        <v>107</v>
      </c>
      <c r="D35" s="103" t="s">
        <v>63</v>
      </c>
      <c r="E35" s="104">
        <v>69737</v>
      </c>
      <c r="F35" s="104">
        <v>3651</v>
      </c>
      <c r="G35" s="104">
        <v>2789</v>
      </c>
      <c r="H35" s="116">
        <v>10.508891981116866</v>
      </c>
      <c r="I35" s="126">
        <v>1454</v>
      </c>
      <c r="J35" s="117">
        <v>20.162679747068495</v>
      </c>
    </row>
    <row r="36" spans="1:10" ht="16">
      <c r="A36" s="93" t="s">
        <v>479</v>
      </c>
      <c r="B36" s="94" t="s">
        <v>474</v>
      </c>
      <c r="C36" s="95" t="s">
        <v>107</v>
      </c>
      <c r="D36" s="96" t="s">
        <v>62</v>
      </c>
      <c r="E36" s="97">
        <v>14428</v>
      </c>
      <c r="F36" s="97">
        <v>925</v>
      </c>
      <c r="G36" s="97">
        <v>144</v>
      </c>
      <c r="H36" s="114">
        <v>14.162153009836025</v>
      </c>
      <c r="I36" s="125">
        <v>2669</v>
      </c>
      <c r="J36" s="115">
        <v>22.648723407977361</v>
      </c>
    </row>
    <row r="37" spans="1:10" ht="16">
      <c r="A37" s="100" t="s">
        <v>480</v>
      </c>
      <c r="B37" s="101" t="s">
        <v>474</v>
      </c>
      <c r="C37" s="102" t="s">
        <v>107</v>
      </c>
      <c r="D37" s="103" t="s">
        <v>84</v>
      </c>
      <c r="E37" s="104">
        <v>23098</v>
      </c>
      <c r="F37" s="104">
        <v>1638</v>
      </c>
      <c r="G37" s="104">
        <v>462</v>
      </c>
      <c r="H37" s="116">
        <v>9.2248392107022319</v>
      </c>
      <c r="I37" s="126">
        <v>1710</v>
      </c>
      <c r="J37" s="117">
        <v>29.808349583019197</v>
      </c>
    </row>
    <row r="38" spans="1:10" ht="16">
      <c r="A38" s="93" t="s">
        <v>644</v>
      </c>
      <c r="B38" s="94" t="s">
        <v>642</v>
      </c>
      <c r="C38" s="95" t="s">
        <v>107</v>
      </c>
      <c r="D38" s="96" t="s">
        <v>80</v>
      </c>
      <c r="E38" s="97">
        <v>19143</v>
      </c>
      <c r="F38" s="97">
        <v>1679</v>
      </c>
      <c r="G38" s="97">
        <v>574</v>
      </c>
      <c r="H38" s="114">
        <v>8.3042052506250048</v>
      </c>
      <c r="I38" s="125">
        <v>1661</v>
      </c>
      <c r="J38" s="115">
        <v>16.726770622795929</v>
      </c>
    </row>
    <row r="39" spans="1:10" ht="16">
      <c r="A39" s="100" t="s">
        <v>447</v>
      </c>
      <c r="B39" s="101" t="s">
        <v>448</v>
      </c>
      <c r="C39" s="102" t="s">
        <v>76</v>
      </c>
      <c r="D39" s="103" t="s">
        <v>61</v>
      </c>
      <c r="E39" s="104">
        <v>46505</v>
      </c>
      <c r="F39" s="104">
        <v>1735</v>
      </c>
      <c r="G39" s="104">
        <v>2325</v>
      </c>
      <c r="H39" s="116">
        <v>17.078226491206454</v>
      </c>
      <c r="I39" s="126">
        <v>10942</v>
      </c>
      <c r="J39" s="117">
        <v>19.939214483265651</v>
      </c>
    </row>
    <row r="40" spans="1:10" ht="16">
      <c r="A40" s="93" t="s">
        <v>1289</v>
      </c>
      <c r="B40" s="94" t="s">
        <v>1288</v>
      </c>
      <c r="C40" s="95" t="s">
        <v>107</v>
      </c>
      <c r="D40" s="96" t="s">
        <v>62</v>
      </c>
      <c r="E40" s="97">
        <v>46683</v>
      </c>
      <c r="F40" s="97">
        <v>2212</v>
      </c>
      <c r="G40" s="97">
        <v>9803</v>
      </c>
      <c r="H40" s="114">
        <v>51.41578460434517</v>
      </c>
      <c r="I40" s="125">
        <v>41497</v>
      </c>
      <c r="J40" s="115">
        <v>39.838040546439743</v>
      </c>
    </row>
    <row r="41" spans="1:10" ht="16">
      <c r="A41" s="100" t="s">
        <v>1080</v>
      </c>
      <c r="B41" s="101" t="s">
        <v>1081</v>
      </c>
      <c r="C41" s="102" t="s">
        <v>76</v>
      </c>
      <c r="D41" s="103" t="s">
        <v>77</v>
      </c>
      <c r="E41" s="104">
        <v>11779</v>
      </c>
      <c r="F41" s="104">
        <v>395</v>
      </c>
      <c r="G41" s="104">
        <v>589</v>
      </c>
      <c r="H41" s="116">
        <v>33.897413673502435</v>
      </c>
      <c r="I41" s="126">
        <v>7858</v>
      </c>
      <c r="J41" s="117">
        <v>17.518400599713342</v>
      </c>
    </row>
    <row r="42" spans="1:10" ht="16">
      <c r="A42" s="93" t="s">
        <v>348</v>
      </c>
      <c r="B42" s="94" t="s">
        <v>344</v>
      </c>
      <c r="C42" s="95" t="s">
        <v>107</v>
      </c>
      <c r="D42" s="96" t="s">
        <v>92</v>
      </c>
      <c r="E42" s="97">
        <v>87471</v>
      </c>
      <c r="F42" s="97">
        <v>4440</v>
      </c>
      <c r="G42" s="97">
        <v>875</v>
      </c>
      <c r="H42" s="114">
        <v>9.2972834951258641</v>
      </c>
      <c r="I42" s="125">
        <v>2386</v>
      </c>
      <c r="J42" s="115">
        <v>15.425503931169175</v>
      </c>
    </row>
    <row r="43" spans="1:10" ht="16">
      <c r="A43" s="100" t="s">
        <v>1192</v>
      </c>
      <c r="B43" s="101" t="s">
        <v>1190</v>
      </c>
      <c r="C43" s="102" t="s">
        <v>107</v>
      </c>
      <c r="D43" s="103" t="s">
        <v>84</v>
      </c>
      <c r="E43" s="104">
        <v>11113</v>
      </c>
      <c r="F43" s="104">
        <v>527</v>
      </c>
      <c r="G43" s="104">
        <v>2889</v>
      </c>
      <c r="H43" s="116">
        <v>24.227899702824764</v>
      </c>
      <c r="I43" s="126">
        <v>13352</v>
      </c>
      <c r="J43" s="117">
        <v>21.431738072698415</v>
      </c>
    </row>
    <row r="44" spans="1:10" ht="16">
      <c r="A44" s="93" t="s">
        <v>349</v>
      </c>
      <c r="B44" s="94" t="s">
        <v>344</v>
      </c>
      <c r="C44" s="95" t="s">
        <v>76</v>
      </c>
      <c r="D44" s="96" t="s">
        <v>63</v>
      </c>
      <c r="E44" s="97">
        <v>22393</v>
      </c>
      <c r="F44" s="97">
        <v>549</v>
      </c>
      <c r="G44" s="97">
        <v>501</v>
      </c>
      <c r="H44" s="114">
        <v>9.2218799723243272</v>
      </c>
      <c r="I44" s="125">
        <v>8836</v>
      </c>
      <c r="J44" s="115">
        <v>12.427801721254337</v>
      </c>
    </row>
    <row r="45" spans="1:10" ht="16">
      <c r="A45" s="100" t="s">
        <v>449</v>
      </c>
      <c r="B45" s="101" t="s">
        <v>448</v>
      </c>
      <c r="C45" s="102" t="s">
        <v>107</v>
      </c>
      <c r="D45" s="103" t="s">
        <v>63</v>
      </c>
      <c r="E45" s="104">
        <v>9678</v>
      </c>
      <c r="F45" s="104">
        <v>218</v>
      </c>
      <c r="G45" s="104">
        <v>484</v>
      </c>
      <c r="H45" s="116">
        <v>21.910598418439573</v>
      </c>
      <c r="I45" s="126">
        <v>8421</v>
      </c>
      <c r="J45" s="117">
        <v>18.127805619726118</v>
      </c>
    </row>
    <row r="46" spans="1:10" ht="16">
      <c r="A46" s="93" t="s">
        <v>1146</v>
      </c>
      <c r="B46" s="94" t="s">
        <v>1142</v>
      </c>
      <c r="C46" s="95" t="s">
        <v>107</v>
      </c>
      <c r="D46" s="96" t="s">
        <v>130</v>
      </c>
      <c r="E46" s="97">
        <v>9862</v>
      </c>
      <c r="F46" s="97">
        <v>587</v>
      </c>
      <c r="G46" s="97">
        <v>592</v>
      </c>
      <c r="H46" s="114">
        <v>9.3706803237069636</v>
      </c>
      <c r="I46" s="125">
        <v>3498</v>
      </c>
      <c r="J46" s="115">
        <v>14.791754881818118</v>
      </c>
    </row>
    <row r="47" spans="1:10" ht="16">
      <c r="A47" s="100" t="s">
        <v>1290</v>
      </c>
      <c r="B47" s="101" t="s">
        <v>1288</v>
      </c>
      <c r="C47" s="102" t="s">
        <v>76</v>
      </c>
      <c r="D47" s="103" t="s">
        <v>80</v>
      </c>
      <c r="E47" s="104">
        <v>26641</v>
      </c>
      <c r="F47" s="104">
        <v>1417</v>
      </c>
      <c r="G47" s="104">
        <v>2398</v>
      </c>
      <c r="H47" s="116">
        <v>21.826303702723507</v>
      </c>
      <c r="I47" s="126">
        <v>9180</v>
      </c>
      <c r="J47" s="117">
        <v>32.892214269940709</v>
      </c>
    </row>
    <row r="48" spans="1:10" ht="16">
      <c r="A48" s="93" t="s">
        <v>833</v>
      </c>
      <c r="B48" s="94" t="s">
        <v>834</v>
      </c>
      <c r="C48" s="95" t="s">
        <v>76</v>
      </c>
      <c r="D48" s="96" t="s">
        <v>92</v>
      </c>
      <c r="E48" s="97">
        <v>18035</v>
      </c>
      <c r="F48" s="97">
        <v>1055</v>
      </c>
      <c r="G48" s="97">
        <v>8476</v>
      </c>
      <c r="H48" s="114">
        <v>19.323328257526789</v>
      </c>
      <c r="I48" s="125">
        <v>18144</v>
      </c>
      <c r="J48" s="115">
        <v>20.446781948941481</v>
      </c>
    </row>
    <row r="49" spans="1:10" ht="16">
      <c r="A49" s="100" t="s">
        <v>211</v>
      </c>
      <c r="B49" s="101" t="s">
        <v>212</v>
      </c>
      <c r="C49" s="102" t="s">
        <v>107</v>
      </c>
      <c r="D49" s="103" t="s">
        <v>82</v>
      </c>
      <c r="E49" s="104">
        <v>15575</v>
      </c>
      <c r="F49" s="104">
        <v>880</v>
      </c>
      <c r="G49" s="104">
        <v>312</v>
      </c>
      <c r="H49" s="116">
        <v>12.583489990507317</v>
      </c>
      <c r="I49" s="126">
        <v>2873</v>
      </c>
      <c r="J49" s="117">
        <v>15.845849758369578</v>
      </c>
    </row>
    <row r="50" spans="1:10" ht="16">
      <c r="A50" s="93" t="s">
        <v>88</v>
      </c>
      <c r="B50" s="94" t="s">
        <v>89</v>
      </c>
      <c r="C50" s="95" t="s">
        <v>76</v>
      </c>
      <c r="D50" s="96" t="s">
        <v>59</v>
      </c>
      <c r="E50" s="97">
        <v>23886</v>
      </c>
      <c r="F50" s="97">
        <v>549</v>
      </c>
      <c r="G50" s="97">
        <v>2866</v>
      </c>
      <c r="H50" s="114">
        <v>27.79914950161767</v>
      </c>
      <c r="I50" s="125">
        <v>20239</v>
      </c>
      <c r="J50" s="115">
        <v>20.740069734331239</v>
      </c>
    </row>
    <row r="51" spans="1:10" ht="16">
      <c r="A51" s="100" t="s">
        <v>90</v>
      </c>
      <c r="B51" s="101" t="s">
        <v>89</v>
      </c>
      <c r="C51" s="102" t="s">
        <v>76</v>
      </c>
      <c r="D51" s="103" t="s">
        <v>80</v>
      </c>
      <c r="E51" s="104">
        <v>17359</v>
      </c>
      <c r="F51" s="104">
        <v>975</v>
      </c>
      <c r="G51" s="104">
        <v>7638</v>
      </c>
      <c r="H51" s="116">
        <v>70.494018567251103</v>
      </c>
      <c r="I51" s="126">
        <v>61715</v>
      </c>
      <c r="J51" s="117">
        <v>55.239063867719651</v>
      </c>
    </row>
    <row r="52" spans="1:10" ht="16">
      <c r="A52" s="93" t="s">
        <v>797</v>
      </c>
      <c r="B52" s="94" t="s">
        <v>798</v>
      </c>
      <c r="C52" s="95" t="s">
        <v>76</v>
      </c>
      <c r="D52" s="96" t="s">
        <v>130</v>
      </c>
      <c r="E52" s="97">
        <v>59507</v>
      </c>
      <c r="F52" s="97">
        <v>3362</v>
      </c>
      <c r="G52" s="97">
        <v>1190</v>
      </c>
      <c r="H52" s="114">
        <v>8.9207244638252874</v>
      </c>
      <c r="I52" s="125">
        <v>758</v>
      </c>
      <c r="J52" s="115">
        <v>13.860915316362675</v>
      </c>
    </row>
    <row r="53" spans="1:10" ht="16">
      <c r="A53" s="100" t="s">
        <v>1019</v>
      </c>
      <c r="B53" s="101" t="s">
        <v>1020</v>
      </c>
      <c r="C53" s="102" t="s">
        <v>76</v>
      </c>
      <c r="D53" s="103" t="s">
        <v>92</v>
      </c>
      <c r="E53" s="104">
        <v>31877</v>
      </c>
      <c r="F53" s="104">
        <v>2530</v>
      </c>
      <c r="G53" s="104">
        <v>5100</v>
      </c>
      <c r="H53" s="116">
        <v>36.258634894938197</v>
      </c>
      <c r="I53" s="126">
        <v>33655</v>
      </c>
      <c r="J53" s="117">
        <v>41.29822224449196</v>
      </c>
    </row>
    <row r="54" spans="1:10" ht="16">
      <c r="A54" s="93" t="s">
        <v>799</v>
      </c>
      <c r="B54" s="94" t="s">
        <v>798</v>
      </c>
      <c r="C54" s="95" t="s">
        <v>76</v>
      </c>
      <c r="D54" s="96" t="s">
        <v>77</v>
      </c>
      <c r="E54" s="97">
        <v>34995</v>
      </c>
      <c r="F54" s="97">
        <v>1923</v>
      </c>
      <c r="G54" s="97">
        <v>350</v>
      </c>
      <c r="H54" s="114">
        <v>8.4826426239466457</v>
      </c>
      <c r="I54" s="125">
        <v>742</v>
      </c>
      <c r="J54" s="115">
        <v>15.265618900314049</v>
      </c>
    </row>
    <row r="55" spans="1:10" ht="16">
      <c r="A55" s="100" t="s">
        <v>1021</v>
      </c>
      <c r="B55" s="101" t="s">
        <v>1020</v>
      </c>
      <c r="C55" s="102" t="s">
        <v>76</v>
      </c>
      <c r="D55" s="103" t="s">
        <v>63</v>
      </c>
      <c r="E55" s="104">
        <v>29576</v>
      </c>
      <c r="F55" s="104">
        <v>2207</v>
      </c>
      <c r="G55" s="104">
        <v>4141</v>
      </c>
      <c r="H55" s="116">
        <v>29.030894704950406</v>
      </c>
      <c r="I55" s="126">
        <v>21472</v>
      </c>
      <c r="J55" s="117">
        <v>41.064234175097674</v>
      </c>
    </row>
    <row r="56" spans="1:10" ht="16">
      <c r="A56" s="93" t="s">
        <v>800</v>
      </c>
      <c r="B56" s="94" t="s">
        <v>798</v>
      </c>
      <c r="C56" s="95" t="s">
        <v>76</v>
      </c>
      <c r="D56" s="96" t="s">
        <v>63</v>
      </c>
      <c r="E56" s="97">
        <v>69982</v>
      </c>
      <c r="F56" s="97">
        <v>2108</v>
      </c>
      <c r="G56" s="97">
        <v>700</v>
      </c>
      <c r="H56" s="114">
        <v>7.9818491259561819</v>
      </c>
      <c r="I56" s="125">
        <v>983</v>
      </c>
      <c r="J56" s="115">
        <v>16.75445596643986</v>
      </c>
    </row>
    <row r="57" spans="1:10" ht="16">
      <c r="A57" s="100" t="s">
        <v>801</v>
      </c>
      <c r="B57" s="101" t="s">
        <v>798</v>
      </c>
      <c r="C57" s="102" t="s">
        <v>76</v>
      </c>
      <c r="D57" s="103" t="s">
        <v>80</v>
      </c>
      <c r="E57" s="104">
        <v>32012</v>
      </c>
      <c r="F57" s="104">
        <v>3370</v>
      </c>
      <c r="G57" s="104">
        <v>320</v>
      </c>
      <c r="H57" s="116">
        <v>7.4131471818615289</v>
      </c>
      <c r="I57" s="126">
        <v>896</v>
      </c>
      <c r="J57" s="117">
        <v>18.016293319443918</v>
      </c>
    </row>
    <row r="58" spans="1:10" ht="16">
      <c r="A58" s="93" t="s">
        <v>802</v>
      </c>
      <c r="B58" s="94" t="s">
        <v>798</v>
      </c>
      <c r="C58" s="95" t="s">
        <v>76</v>
      </c>
      <c r="D58" s="96" t="s">
        <v>63</v>
      </c>
      <c r="E58" s="97">
        <v>72792</v>
      </c>
      <c r="F58" s="97">
        <v>3386</v>
      </c>
      <c r="G58" s="97">
        <v>5065</v>
      </c>
      <c r="H58" s="114">
        <v>8.7930097418473476</v>
      </c>
      <c r="I58" s="125">
        <v>1216</v>
      </c>
      <c r="J58" s="115">
        <v>13.473488594967717</v>
      </c>
    </row>
    <row r="59" spans="1:10" ht="16">
      <c r="A59" s="100" t="s">
        <v>803</v>
      </c>
      <c r="B59" s="101" t="s">
        <v>798</v>
      </c>
      <c r="C59" s="102" t="s">
        <v>76</v>
      </c>
      <c r="D59" s="103" t="s">
        <v>130</v>
      </c>
      <c r="E59" s="104">
        <v>57588</v>
      </c>
      <c r="F59" s="104">
        <v>2594</v>
      </c>
      <c r="G59" s="104">
        <v>576</v>
      </c>
      <c r="H59" s="116">
        <v>10.087588930304474</v>
      </c>
      <c r="I59" s="126">
        <v>726</v>
      </c>
      <c r="J59" s="117">
        <v>15.264611159456912</v>
      </c>
    </row>
    <row r="60" spans="1:10" ht="16">
      <c r="A60" s="93" t="s">
        <v>539</v>
      </c>
      <c r="B60" s="94" t="s">
        <v>537</v>
      </c>
      <c r="C60" s="95" t="s">
        <v>76</v>
      </c>
      <c r="D60" s="96" t="s">
        <v>80</v>
      </c>
      <c r="E60" s="97">
        <v>6329</v>
      </c>
      <c r="F60" s="97">
        <v>265</v>
      </c>
      <c r="G60" s="97">
        <v>291</v>
      </c>
      <c r="H60" s="114">
        <v>12.896167591328826</v>
      </c>
      <c r="I60" s="125">
        <v>3039</v>
      </c>
      <c r="J60" s="115">
        <v>19.035937591214594</v>
      </c>
    </row>
    <row r="61" spans="1:10" ht="16">
      <c r="A61" s="100" t="s">
        <v>910</v>
      </c>
      <c r="B61" s="101" t="s">
        <v>909</v>
      </c>
      <c r="C61" s="102" t="s">
        <v>76</v>
      </c>
      <c r="D61" s="103" t="s">
        <v>59</v>
      </c>
      <c r="E61" s="104">
        <v>37168</v>
      </c>
      <c r="F61" s="104">
        <v>1511</v>
      </c>
      <c r="G61" s="104">
        <v>1487</v>
      </c>
      <c r="H61" s="116">
        <v>14.985704433298741</v>
      </c>
      <c r="I61" s="126">
        <v>5272</v>
      </c>
      <c r="J61" s="117">
        <v>17.428053869344769</v>
      </c>
    </row>
    <row r="62" spans="1:10" ht="16">
      <c r="A62" s="93" t="s">
        <v>540</v>
      </c>
      <c r="B62" s="94" t="s">
        <v>537</v>
      </c>
      <c r="C62" s="95" t="s">
        <v>107</v>
      </c>
      <c r="D62" s="96" t="s">
        <v>59</v>
      </c>
      <c r="E62" s="97">
        <v>5744</v>
      </c>
      <c r="F62" s="97">
        <v>194</v>
      </c>
      <c r="G62" s="97">
        <v>400</v>
      </c>
      <c r="H62" s="114">
        <v>21.298936493125108</v>
      </c>
      <c r="I62" s="125">
        <v>21215</v>
      </c>
      <c r="J62" s="115">
        <v>15.831487521430647</v>
      </c>
    </row>
    <row r="63" spans="1:10" ht="16">
      <c r="A63" s="100" t="s">
        <v>857</v>
      </c>
      <c r="B63" s="101" t="s">
        <v>858</v>
      </c>
      <c r="C63" s="102" t="s">
        <v>107</v>
      </c>
      <c r="D63" s="103" t="s">
        <v>77</v>
      </c>
      <c r="E63" s="104">
        <v>28135</v>
      </c>
      <c r="F63" s="104">
        <v>816</v>
      </c>
      <c r="G63" s="104">
        <v>1958</v>
      </c>
      <c r="H63" s="116">
        <v>9.4622197141831439</v>
      </c>
      <c r="I63" s="126">
        <v>1830</v>
      </c>
      <c r="J63" s="117">
        <v>14.254557338099927</v>
      </c>
    </row>
    <row r="64" spans="1:10" ht="16">
      <c r="A64" s="93" t="s">
        <v>1147</v>
      </c>
      <c r="B64" s="94" t="s">
        <v>1142</v>
      </c>
      <c r="C64" s="95" t="s">
        <v>107</v>
      </c>
      <c r="D64" s="96" t="s">
        <v>61</v>
      </c>
      <c r="E64" s="97">
        <v>16458</v>
      </c>
      <c r="F64" s="97">
        <v>430</v>
      </c>
      <c r="G64" s="97">
        <v>1975</v>
      </c>
      <c r="H64" s="114">
        <v>15.691517796579129</v>
      </c>
      <c r="I64" s="125">
        <v>2201</v>
      </c>
      <c r="J64" s="115">
        <v>19.105425220970165</v>
      </c>
    </row>
    <row r="65" spans="1:10" ht="16">
      <c r="A65" s="100" t="s">
        <v>481</v>
      </c>
      <c r="B65" s="101" t="s">
        <v>474</v>
      </c>
      <c r="C65" s="102" t="s">
        <v>107</v>
      </c>
      <c r="D65" s="103" t="s">
        <v>84</v>
      </c>
      <c r="E65" s="104">
        <v>14953</v>
      </c>
      <c r="F65" s="104">
        <v>1323</v>
      </c>
      <c r="G65" s="104">
        <v>449</v>
      </c>
      <c r="H65" s="116">
        <v>17.103190197921801</v>
      </c>
      <c r="I65" s="126">
        <v>7770</v>
      </c>
      <c r="J65" s="117">
        <v>30.991101817169291</v>
      </c>
    </row>
    <row r="66" spans="1:10" ht="16">
      <c r="A66" s="93" t="s">
        <v>482</v>
      </c>
      <c r="B66" s="94" t="s">
        <v>474</v>
      </c>
      <c r="C66" s="95" t="s">
        <v>76</v>
      </c>
      <c r="D66" s="96" t="s">
        <v>77</v>
      </c>
      <c r="E66" s="97">
        <v>10355</v>
      </c>
      <c r="F66" s="97">
        <v>542</v>
      </c>
      <c r="G66" s="97">
        <v>414</v>
      </c>
      <c r="H66" s="114">
        <v>10.886278935722355</v>
      </c>
      <c r="I66" s="125">
        <v>1131</v>
      </c>
      <c r="J66" s="115">
        <v>33.008303391955948</v>
      </c>
    </row>
    <row r="67" spans="1:10" ht="16">
      <c r="A67" s="100" t="s">
        <v>529</v>
      </c>
      <c r="B67" s="101" t="s">
        <v>530</v>
      </c>
      <c r="C67" s="102" t="s">
        <v>107</v>
      </c>
      <c r="D67" s="103" t="s">
        <v>59</v>
      </c>
      <c r="E67" s="104">
        <v>17382</v>
      </c>
      <c r="F67" s="104">
        <v>1655</v>
      </c>
      <c r="G67" s="104">
        <v>348</v>
      </c>
      <c r="H67" s="116">
        <v>16.748337653480164</v>
      </c>
      <c r="I67" s="126">
        <v>2779</v>
      </c>
      <c r="J67" s="117">
        <v>22.679208496516353</v>
      </c>
    </row>
    <row r="68" spans="1:10" ht="16">
      <c r="A68" s="93" t="s">
        <v>1193</v>
      </c>
      <c r="B68" s="94" t="s">
        <v>1190</v>
      </c>
      <c r="C68" s="95" t="s">
        <v>76</v>
      </c>
      <c r="D68" s="96" t="s">
        <v>59</v>
      </c>
      <c r="E68" s="97">
        <v>9590</v>
      </c>
      <c r="F68" s="97">
        <v>588</v>
      </c>
      <c r="G68" s="97">
        <v>2206</v>
      </c>
      <c r="H68" s="114">
        <v>21.428680563573337</v>
      </c>
      <c r="I68" s="125">
        <v>13836</v>
      </c>
      <c r="J68" s="115">
        <v>23.280861218267638</v>
      </c>
    </row>
    <row r="69" spans="1:10" ht="16">
      <c r="A69" s="100" t="s">
        <v>590</v>
      </c>
      <c r="B69" s="101" t="s">
        <v>591</v>
      </c>
      <c r="C69" s="102" t="s">
        <v>76</v>
      </c>
      <c r="D69" s="103" t="s">
        <v>62</v>
      </c>
      <c r="E69" s="104">
        <v>16723</v>
      </c>
      <c r="F69" s="104">
        <v>956</v>
      </c>
      <c r="G69" s="104">
        <v>836</v>
      </c>
      <c r="H69" s="116">
        <v>36.680922507637995</v>
      </c>
      <c r="I69" s="126">
        <v>16209</v>
      </c>
      <c r="J69" s="117">
        <v>30.006725548737613</v>
      </c>
    </row>
    <row r="70" spans="1:10" ht="16">
      <c r="A70" s="93" t="s">
        <v>918</v>
      </c>
      <c r="B70" s="94" t="s">
        <v>919</v>
      </c>
      <c r="C70" s="95" t="s">
        <v>76</v>
      </c>
      <c r="D70" s="96" t="s">
        <v>130</v>
      </c>
      <c r="E70" s="97">
        <v>15236</v>
      </c>
      <c r="F70" s="97">
        <v>1373</v>
      </c>
      <c r="G70" s="97">
        <v>457</v>
      </c>
      <c r="H70" s="114">
        <v>8.4679848980298793</v>
      </c>
      <c r="I70" s="125">
        <v>439</v>
      </c>
      <c r="J70" s="115">
        <v>17.111434290276826</v>
      </c>
    </row>
    <row r="71" spans="1:10" ht="16">
      <c r="A71" s="100" t="s">
        <v>1148</v>
      </c>
      <c r="B71" s="101" t="s">
        <v>1142</v>
      </c>
      <c r="C71" s="102" t="s">
        <v>76</v>
      </c>
      <c r="D71" s="103" t="s">
        <v>80</v>
      </c>
      <c r="E71" s="104">
        <v>12516</v>
      </c>
      <c r="F71" s="104">
        <v>1138</v>
      </c>
      <c r="G71" s="104">
        <v>1188</v>
      </c>
      <c r="H71" s="116">
        <v>11.18353846815927</v>
      </c>
      <c r="I71" s="126">
        <v>572</v>
      </c>
      <c r="J71" s="117">
        <v>21.721176325721185</v>
      </c>
    </row>
    <row r="72" spans="1:10" ht="16">
      <c r="A72" s="93" t="s">
        <v>920</v>
      </c>
      <c r="B72" s="94" t="s">
        <v>919</v>
      </c>
      <c r="C72" s="95" t="s">
        <v>107</v>
      </c>
      <c r="D72" s="96" t="s">
        <v>84</v>
      </c>
      <c r="E72" s="97">
        <v>19785</v>
      </c>
      <c r="F72" s="97">
        <v>4122</v>
      </c>
      <c r="G72" s="97">
        <v>1583</v>
      </c>
      <c r="H72" s="114">
        <v>17.436860201172298</v>
      </c>
      <c r="I72" s="125">
        <v>3020</v>
      </c>
      <c r="J72" s="115">
        <v>34.309397208418915</v>
      </c>
    </row>
    <row r="73" spans="1:10" ht="16">
      <c r="A73" s="100" t="s">
        <v>1291</v>
      </c>
      <c r="B73" s="101" t="s">
        <v>1288</v>
      </c>
      <c r="C73" s="102" t="s">
        <v>76</v>
      </c>
      <c r="D73" s="103" t="s">
        <v>77</v>
      </c>
      <c r="E73" s="104">
        <v>17078</v>
      </c>
      <c r="F73" s="104">
        <v>1054</v>
      </c>
      <c r="G73" s="104">
        <v>1025</v>
      </c>
      <c r="H73" s="116">
        <v>18.808867233041127</v>
      </c>
      <c r="I73" s="126">
        <v>9878</v>
      </c>
      <c r="J73" s="117">
        <v>33.026225370955231</v>
      </c>
    </row>
    <row r="74" spans="1:10" ht="16">
      <c r="A74" s="93" t="s">
        <v>222</v>
      </c>
      <c r="B74" s="94" t="s">
        <v>223</v>
      </c>
      <c r="C74" s="95" t="s">
        <v>107</v>
      </c>
      <c r="D74" s="96" t="s">
        <v>130</v>
      </c>
      <c r="E74" s="97">
        <v>29952</v>
      </c>
      <c r="F74" s="97">
        <v>2186</v>
      </c>
      <c r="G74" s="97">
        <v>1797</v>
      </c>
      <c r="H74" s="114">
        <v>35.100764486566575</v>
      </c>
      <c r="I74" s="125">
        <v>13164</v>
      </c>
      <c r="J74" s="115">
        <v>30.917481232749669</v>
      </c>
    </row>
    <row r="75" spans="1:10" ht="16">
      <c r="A75" s="100" t="s">
        <v>224</v>
      </c>
      <c r="B75" s="101" t="s">
        <v>223</v>
      </c>
      <c r="C75" s="102" t="s">
        <v>107</v>
      </c>
      <c r="D75" s="103" t="s">
        <v>80</v>
      </c>
      <c r="E75" s="104">
        <v>30608</v>
      </c>
      <c r="F75" s="104">
        <v>2301</v>
      </c>
      <c r="G75" s="104">
        <v>2449</v>
      </c>
      <c r="H75" s="116">
        <v>32.594134553024411</v>
      </c>
      <c r="I75" s="126">
        <v>10554</v>
      </c>
      <c r="J75" s="117">
        <v>31.048191349872617</v>
      </c>
    </row>
    <row r="76" spans="1:10" ht="16">
      <c r="A76" s="93" t="s">
        <v>225</v>
      </c>
      <c r="B76" s="94" t="s">
        <v>223</v>
      </c>
      <c r="C76" s="95" t="s">
        <v>76</v>
      </c>
      <c r="D76" s="96" t="s">
        <v>62</v>
      </c>
      <c r="E76" s="97">
        <v>26457</v>
      </c>
      <c r="F76" s="97">
        <v>1890</v>
      </c>
      <c r="G76" s="97">
        <v>2117</v>
      </c>
      <c r="H76" s="114">
        <v>23.629618883392553</v>
      </c>
      <c r="I76" s="125">
        <v>4788</v>
      </c>
      <c r="J76" s="115">
        <v>24.127377649339916</v>
      </c>
    </row>
    <row r="77" spans="1:10" ht="16">
      <c r="A77" s="100" t="s">
        <v>226</v>
      </c>
      <c r="B77" s="101" t="s">
        <v>223</v>
      </c>
      <c r="C77" s="102" t="s">
        <v>76</v>
      </c>
      <c r="D77" s="103" t="s">
        <v>62</v>
      </c>
      <c r="E77" s="104">
        <v>23524</v>
      </c>
      <c r="F77" s="104">
        <v>1528</v>
      </c>
      <c r="G77" s="104">
        <v>2588</v>
      </c>
      <c r="H77" s="116">
        <v>39.915211366268309</v>
      </c>
      <c r="I77" s="126">
        <v>19305</v>
      </c>
      <c r="J77" s="117">
        <v>46.670213161106936</v>
      </c>
    </row>
    <row r="78" spans="1:10" ht="16">
      <c r="A78" s="93" t="s">
        <v>141</v>
      </c>
      <c r="B78" s="94" t="s">
        <v>142</v>
      </c>
      <c r="C78" s="95" t="s">
        <v>76</v>
      </c>
      <c r="D78" s="96" t="s">
        <v>60</v>
      </c>
      <c r="E78" s="97">
        <v>27101</v>
      </c>
      <c r="F78" s="97">
        <v>3226</v>
      </c>
      <c r="G78" s="97">
        <v>2439</v>
      </c>
      <c r="H78" s="114">
        <v>10.588773881962592</v>
      </c>
      <c r="I78" s="125">
        <v>1337</v>
      </c>
      <c r="J78" s="115">
        <v>21.480268052605147</v>
      </c>
    </row>
    <row r="79" spans="1:10" ht="16">
      <c r="A79" s="100" t="s">
        <v>921</v>
      </c>
      <c r="B79" s="101" t="s">
        <v>919</v>
      </c>
      <c r="C79" s="102" t="s">
        <v>76</v>
      </c>
      <c r="D79" s="103" t="s">
        <v>61</v>
      </c>
      <c r="E79" s="104">
        <v>13175</v>
      </c>
      <c r="F79" s="104">
        <v>983</v>
      </c>
      <c r="G79" s="104">
        <v>2372</v>
      </c>
      <c r="H79" s="116">
        <v>10.543570579879677</v>
      </c>
      <c r="I79" s="126">
        <v>2060</v>
      </c>
      <c r="J79" s="117">
        <v>19.322381348760164</v>
      </c>
    </row>
    <row r="80" spans="1:10" ht="16">
      <c r="A80" s="93" t="s">
        <v>350</v>
      </c>
      <c r="B80" s="94" t="s">
        <v>344</v>
      </c>
      <c r="C80" s="95" t="s">
        <v>107</v>
      </c>
      <c r="D80" s="96" t="s">
        <v>63</v>
      </c>
      <c r="E80" s="97">
        <v>97843</v>
      </c>
      <c r="F80" s="97">
        <v>3208</v>
      </c>
      <c r="G80" s="97">
        <v>4892</v>
      </c>
      <c r="H80" s="114">
        <v>8.4184776860089414</v>
      </c>
      <c r="I80" s="125">
        <v>4196</v>
      </c>
      <c r="J80" s="115">
        <v>15.750443062602757</v>
      </c>
    </row>
    <row r="81" spans="1:10" ht="16">
      <c r="A81" s="100" t="s">
        <v>351</v>
      </c>
      <c r="B81" s="101" t="s">
        <v>344</v>
      </c>
      <c r="C81" s="102" t="s">
        <v>107</v>
      </c>
      <c r="D81" s="103" t="s">
        <v>82</v>
      </c>
      <c r="E81" s="104">
        <v>67981</v>
      </c>
      <c r="F81" s="104">
        <v>2687</v>
      </c>
      <c r="G81" s="104">
        <v>680</v>
      </c>
      <c r="H81" s="116">
        <v>7.5621706061979621</v>
      </c>
      <c r="I81" s="126">
        <v>4577</v>
      </c>
      <c r="J81" s="117">
        <v>15.663277604521387</v>
      </c>
    </row>
    <row r="82" spans="1:10" ht="16">
      <c r="A82" s="93" t="s">
        <v>401</v>
      </c>
      <c r="B82" s="94" t="s">
        <v>402</v>
      </c>
      <c r="C82" s="95" t="s">
        <v>76</v>
      </c>
      <c r="D82" s="96" t="s">
        <v>77</v>
      </c>
      <c r="E82" s="97">
        <v>24875</v>
      </c>
      <c r="F82" s="97">
        <v>321</v>
      </c>
      <c r="G82" s="97">
        <v>1990</v>
      </c>
      <c r="H82" s="114">
        <v>43.272333958772393</v>
      </c>
      <c r="I82" s="125">
        <v>39007</v>
      </c>
      <c r="J82" s="115">
        <v>37.075186763769388</v>
      </c>
    </row>
    <row r="83" spans="1:10" ht="16">
      <c r="A83" s="100" t="s">
        <v>1149</v>
      </c>
      <c r="B83" s="101" t="s">
        <v>1142</v>
      </c>
      <c r="C83" s="102" t="s">
        <v>107</v>
      </c>
      <c r="D83" s="103" t="s">
        <v>62</v>
      </c>
      <c r="E83" s="104">
        <v>10374</v>
      </c>
      <c r="F83" s="104">
        <v>715</v>
      </c>
      <c r="G83" s="104">
        <v>934</v>
      </c>
      <c r="H83" s="116">
        <v>25.596492424934532</v>
      </c>
      <c r="I83" s="126">
        <v>13203</v>
      </c>
      <c r="J83" s="117">
        <v>24.632908332805286</v>
      </c>
    </row>
    <row r="84" spans="1:10" ht="16">
      <c r="A84" s="93" t="s">
        <v>1292</v>
      </c>
      <c r="B84" s="94" t="s">
        <v>1288</v>
      </c>
      <c r="C84" s="95" t="s">
        <v>107</v>
      </c>
      <c r="D84" s="96" t="s">
        <v>60</v>
      </c>
      <c r="E84" s="97">
        <v>17848</v>
      </c>
      <c r="F84" s="97">
        <v>766</v>
      </c>
      <c r="G84" s="97">
        <v>2499</v>
      </c>
      <c r="H84" s="114">
        <v>22.259774507886927</v>
      </c>
      <c r="I84" s="125">
        <v>13691</v>
      </c>
      <c r="J84" s="115">
        <v>23.676920348720241</v>
      </c>
    </row>
    <row r="85" spans="1:10" ht="16">
      <c r="A85" s="100" t="s">
        <v>1194</v>
      </c>
      <c r="B85" s="101" t="s">
        <v>1190</v>
      </c>
      <c r="C85" s="102" t="s">
        <v>76</v>
      </c>
      <c r="D85" s="103" t="s">
        <v>62</v>
      </c>
      <c r="E85" s="104">
        <v>8631</v>
      </c>
      <c r="F85" s="104">
        <v>546</v>
      </c>
      <c r="G85" s="104">
        <v>3280</v>
      </c>
      <c r="H85" s="116">
        <v>31.906928262158839</v>
      </c>
      <c r="I85" s="126">
        <v>19908</v>
      </c>
      <c r="J85" s="117">
        <v>28.058905213355423</v>
      </c>
    </row>
    <row r="86" spans="1:10" ht="16">
      <c r="A86" s="93" t="s">
        <v>483</v>
      </c>
      <c r="B86" s="94" t="s">
        <v>474</v>
      </c>
      <c r="C86" s="95" t="s">
        <v>107</v>
      </c>
      <c r="D86" s="96" t="s">
        <v>60</v>
      </c>
      <c r="E86" s="97">
        <v>13535</v>
      </c>
      <c r="F86" s="97">
        <v>778</v>
      </c>
      <c r="G86" s="97">
        <v>135</v>
      </c>
      <c r="H86" s="114">
        <v>11.412311336636437</v>
      </c>
      <c r="I86" s="125">
        <v>3399</v>
      </c>
      <c r="J86" s="115">
        <v>19.79686971978062</v>
      </c>
    </row>
    <row r="87" spans="1:10" ht="16">
      <c r="A87" s="100" t="s">
        <v>1195</v>
      </c>
      <c r="B87" s="101" t="s">
        <v>1190</v>
      </c>
      <c r="C87" s="102" t="s">
        <v>76</v>
      </c>
      <c r="D87" s="103" t="s">
        <v>84</v>
      </c>
      <c r="E87" s="104">
        <v>19975</v>
      </c>
      <c r="F87" s="104">
        <v>1104</v>
      </c>
      <c r="G87" s="104">
        <v>4594</v>
      </c>
      <c r="H87" s="116">
        <v>10.626837474011493</v>
      </c>
      <c r="I87" s="126">
        <v>3978</v>
      </c>
      <c r="J87" s="117">
        <v>16.067314117619848</v>
      </c>
    </row>
    <row r="88" spans="1:10" ht="16">
      <c r="A88" s="93" t="s">
        <v>1150</v>
      </c>
      <c r="B88" s="94" t="s">
        <v>1142</v>
      </c>
      <c r="C88" s="95" t="s">
        <v>107</v>
      </c>
      <c r="D88" s="96" t="s">
        <v>77</v>
      </c>
      <c r="E88" s="97">
        <v>13202</v>
      </c>
      <c r="F88" s="97">
        <v>569</v>
      </c>
      <c r="G88" s="97">
        <v>396</v>
      </c>
      <c r="H88" s="114">
        <v>21.230381722728406</v>
      </c>
      <c r="I88" s="125">
        <v>10563</v>
      </c>
      <c r="J88" s="115">
        <v>23.997727142678166</v>
      </c>
    </row>
    <row r="89" spans="1:10" ht="16">
      <c r="A89" s="100" t="s">
        <v>531</v>
      </c>
      <c r="B89" s="101" t="s">
        <v>530</v>
      </c>
      <c r="C89" s="102" t="s">
        <v>76</v>
      </c>
      <c r="D89" s="103" t="s">
        <v>62</v>
      </c>
      <c r="E89" s="104">
        <v>22289</v>
      </c>
      <c r="F89" s="104">
        <v>1798</v>
      </c>
      <c r="G89" s="104">
        <v>669</v>
      </c>
      <c r="H89" s="116">
        <v>11.284666389032472</v>
      </c>
      <c r="I89" s="126">
        <v>986</v>
      </c>
      <c r="J89" s="117">
        <v>19.020267049006549</v>
      </c>
    </row>
    <row r="90" spans="1:10" ht="16">
      <c r="A90" s="93" t="s">
        <v>91</v>
      </c>
      <c r="B90" s="94" t="s">
        <v>89</v>
      </c>
      <c r="C90" s="95" t="s">
        <v>76</v>
      </c>
      <c r="D90" s="96" t="s">
        <v>92</v>
      </c>
      <c r="E90" s="97">
        <v>3341</v>
      </c>
      <c r="F90" s="97">
        <v>324</v>
      </c>
      <c r="G90" s="97">
        <v>1437</v>
      </c>
      <c r="H90" s="114">
        <v>19.758925243044388</v>
      </c>
      <c r="I90" s="125">
        <v>12681</v>
      </c>
      <c r="J90" s="115">
        <v>21.352191767063495</v>
      </c>
    </row>
    <row r="91" spans="1:10" ht="16">
      <c r="A91" s="100" t="s">
        <v>1293</v>
      </c>
      <c r="B91" s="101" t="s">
        <v>1288</v>
      </c>
      <c r="C91" s="102" t="s">
        <v>76</v>
      </c>
      <c r="D91" s="103" t="s">
        <v>59</v>
      </c>
      <c r="E91" s="104">
        <v>12904</v>
      </c>
      <c r="F91" s="104">
        <v>822</v>
      </c>
      <c r="G91" s="104">
        <v>1419</v>
      </c>
      <c r="H91" s="116">
        <v>34.106887993926428</v>
      </c>
      <c r="I91" s="126">
        <v>23422</v>
      </c>
      <c r="J91" s="117">
        <v>36.959504732216345</v>
      </c>
    </row>
    <row r="92" spans="1:10" ht="16">
      <c r="A92" s="93" t="s">
        <v>1294</v>
      </c>
      <c r="B92" s="94" t="s">
        <v>1288</v>
      </c>
      <c r="C92" s="95" t="s">
        <v>76</v>
      </c>
      <c r="D92" s="96" t="s">
        <v>77</v>
      </c>
      <c r="E92" s="97">
        <v>25662</v>
      </c>
      <c r="F92" s="97">
        <v>2212</v>
      </c>
      <c r="G92" s="97">
        <v>6929</v>
      </c>
      <c r="H92" s="114">
        <v>55.898200351011695</v>
      </c>
      <c r="I92" s="125">
        <v>53383</v>
      </c>
      <c r="J92" s="115">
        <v>58.09372273685527</v>
      </c>
    </row>
    <row r="93" spans="1:10" ht="16">
      <c r="A93" s="100" t="s">
        <v>1196</v>
      </c>
      <c r="B93" s="101" t="s">
        <v>1190</v>
      </c>
      <c r="C93" s="102" t="s">
        <v>76</v>
      </c>
      <c r="D93" s="103" t="s">
        <v>92</v>
      </c>
      <c r="E93" s="104">
        <v>13692</v>
      </c>
      <c r="F93" s="104">
        <v>801</v>
      </c>
      <c r="G93" s="104">
        <v>2465</v>
      </c>
      <c r="H93" s="116">
        <v>18.772301188513993</v>
      </c>
      <c r="I93" s="126">
        <v>10452</v>
      </c>
      <c r="J93" s="117">
        <v>33.516041717013834</v>
      </c>
    </row>
    <row r="94" spans="1:10" ht="16">
      <c r="A94" s="93" t="s">
        <v>1295</v>
      </c>
      <c r="B94" s="94" t="s">
        <v>1288</v>
      </c>
      <c r="C94" s="95" t="s">
        <v>76</v>
      </c>
      <c r="D94" s="96" t="s">
        <v>61</v>
      </c>
      <c r="E94" s="97">
        <v>5375</v>
      </c>
      <c r="F94" s="97">
        <v>441</v>
      </c>
      <c r="G94" s="97">
        <v>1451</v>
      </c>
      <c r="H94" s="114">
        <v>23.523863759922076</v>
      </c>
      <c r="I94" s="125">
        <v>23021</v>
      </c>
      <c r="J94" s="115">
        <v>29.031355061824421</v>
      </c>
    </row>
    <row r="95" spans="1:10" ht="16">
      <c r="A95" s="100" t="s">
        <v>1197</v>
      </c>
      <c r="B95" s="101" t="s">
        <v>1190</v>
      </c>
      <c r="C95" s="102" t="s">
        <v>76</v>
      </c>
      <c r="D95" s="103" t="s">
        <v>130</v>
      </c>
      <c r="E95" s="104">
        <v>879</v>
      </c>
      <c r="F95" s="104">
        <v>78</v>
      </c>
      <c r="G95" s="104">
        <v>132</v>
      </c>
      <c r="H95" s="116">
        <v>20.043741445662576</v>
      </c>
      <c r="I95" s="126">
        <v>20019</v>
      </c>
      <c r="J95" s="117">
        <v>16.787680158919038</v>
      </c>
    </row>
    <row r="96" spans="1:10" ht="16">
      <c r="A96" s="93" t="s">
        <v>321</v>
      </c>
      <c r="B96" s="94" t="s">
        <v>322</v>
      </c>
      <c r="C96" s="95" t="s">
        <v>107</v>
      </c>
      <c r="D96" s="96" t="s">
        <v>130</v>
      </c>
      <c r="E96" s="97">
        <v>20275</v>
      </c>
      <c r="F96" s="97">
        <v>1034</v>
      </c>
      <c r="G96" s="97">
        <v>4461</v>
      </c>
      <c r="H96" s="114">
        <v>16.555577603323101</v>
      </c>
      <c r="I96" s="125">
        <v>3483</v>
      </c>
      <c r="J96" s="115">
        <v>18.718981077640287</v>
      </c>
    </row>
    <row r="97" spans="1:10" ht="16">
      <c r="A97" s="100" t="s">
        <v>1296</v>
      </c>
      <c r="B97" s="101" t="s">
        <v>1288</v>
      </c>
      <c r="C97" s="102" t="s">
        <v>107</v>
      </c>
      <c r="D97" s="103" t="s">
        <v>61</v>
      </c>
      <c r="E97" s="104">
        <v>9391</v>
      </c>
      <c r="F97" s="104">
        <v>870</v>
      </c>
      <c r="G97" s="104">
        <v>1878</v>
      </c>
      <c r="H97" s="116">
        <v>56.997954307764616</v>
      </c>
      <c r="I97" s="126">
        <v>53323</v>
      </c>
      <c r="J97" s="117">
        <v>64.292361496694326</v>
      </c>
    </row>
    <row r="98" spans="1:10" ht="16">
      <c r="A98" s="93" t="s">
        <v>1198</v>
      </c>
      <c r="B98" s="94" t="s">
        <v>1190</v>
      </c>
      <c r="C98" s="95" t="s">
        <v>107</v>
      </c>
      <c r="D98" s="96" t="s">
        <v>61</v>
      </c>
      <c r="E98" s="97">
        <v>10961</v>
      </c>
      <c r="F98" s="97">
        <v>672</v>
      </c>
      <c r="G98" s="97">
        <v>3946</v>
      </c>
      <c r="H98" s="114">
        <v>27.057307983348043</v>
      </c>
      <c r="I98" s="125">
        <v>17133</v>
      </c>
      <c r="J98" s="115">
        <v>27.637798103894575</v>
      </c>
    </row>
    <row r="99" spans="1:10" ht="16">
      <c r="A99" s="100" t="s">
        <v>541</v>
      </c>
      <c r="B99" s="101" t="s">
        <v>537</v>
      </c>
      <c r="C99" s="102" t="s">
        <v>76</v>
      </c>
      <c r="D99" s="103" t="s">
        <v>59</v>
      </c>
      <c r="E99" s="104">
        <v>11609</v>
      </c>
      <c r="F99" s="104">
        <v>441</v>
      </c>
      <c r="G99" s="104">
        <v>116</v>
      </c>
      <c r="H99" s="116">
        <v>16.15601631608623</v>
      </c>
      <c r="I99" s="126">
        <v>4050</v>
      </c>
      <c r="J99" s="117">
        <v>22.391802135048181</v>
      </c>
    </row>
    <row r="100" spans="1:10" ht="16">
      <c r="A100" s="93" t="s">
        <v>911</v>
      </c>
      <c r="B100" s="94" t="s">
        <v>909</v>
      </c>
      <c r="C100" s="95" t="s">
        <v>76</v>
      </c>
      <c r="D100" s="96" t="s">
        <v>59</v>
      </c>
      <c r="E100" s="97">
        <v>22022</v>
      </c>
      <c r="F100" s="97">
        <v>1488</v>
      </c>
      <c r="G100" s="97">
        <v>661</v>
      </c>
      <c r="H100" s="114">
        <v>10.233133393894706</v>
      </c>
      <c r="I100" s="125">
        <v>5393</v>
      </c>
      <c r="J100" s="115">
        <v>15.519965850757819</v>
      </c>
    </row>
    <row r="101" spans="1:10" ht="16">
      <c r="A101" s="100" t="s">
        <v>465</v>
      </c>
      <c r="B101" s="101" t="s">
        <v>466</v>
      </c>
      <c r="C101" s="102" t="s">
        <v>107</v>
      </c>
      <c r="D101" s="103" t="s">
        <v>82</v>
      </c>
      <c r="E101" s="104">
        <v>18219</v>
      </c>
      <c r="F101" s="104">
        <v>1078</v>
      </c>
      <c r="G101" s="104">
        <v>1275</v>
      </c>
      <c r="H101" s="116">
        <v>15.909227716938135</v>
      </c>
      <c r="I101" s="126">
        <v>4028</v>
      </c>
      <c r="J101" s="117">
        <v>18.027058424906613</v>
      </c>
    </row>
    <row r="102" spans="1:10" ht="16">
      <c r="A102" s="93" t="s">
        <v>352</v>
      </c>
      <c r="B102" s="94" t="s">
        <v>344</v>
      </c>
      <c r="C102" s="95" t="s">
        <v>107</v>
      </c>
      <c r="D102" s="96" t="s">
        <v>80</v>
      </c>
      <c r="E102" s="97">
        <v>223275</v>
      </c>
      <c r="F102" s="97">
        <v>5499</v>
      </c>
      <c r="G102" s="97">
        <v>4466</v>
      </c>
      <c r="H102" s="114">
        <v>13.774438351724035</v>
      </c>
      <c r="I102" s="125">
        <v>7195</v>
      </c>
      <c r="J102" s="115">
        <v>22.31225139188453</v>
      </c>
    </row>
    <row r="103" spans="1:10" ht="16">
      <c r="A103" s="100" t="s">
        <v>1297</v>
      </c>
      <c r="B103" s="101" t="s">
        <v>1288</v>
      </c>
      <c r="C103" s="102" t="s">
        <v>107</v>
      </c>
      <c r="D103" s="103" t="s">
        <v>130</v>
      </c>
      <c r="E103" s="104">
        <v>2240</v>
      </c>
      <c r="F103" s="104">
        <v>350</v>
      </c>
      <c r="G103" s="104">
        <v>672</v>
      </c>
      <c r="H103" s="116">
        <v>97.893942469242759</v>
      </c>
      <c r="I103" s="126">
        <v>95276</v>
      </c>
      <c r="J103" s="117">
        <v>92.605153901224725</v>
      </c>
    </row>
    <row r="104" spans="1:10" ht="16">
      <c r="A104" s="93" t="s">
        <v>1298</v>
      </c>
      <c r="B104" s="94" t="s">
        <v>1288</v>
      </c>
      <c r="C104" s="95" t="s">
        <v>76</v>
      </c>
      <c r="D104" s="96" t="s">
        <v>77</v>
      </c>
      <c r="E104" s="97">
        <v>30595</v>
      </c>
      <c r="F104" s="97">
        <v>1553</v>
      </c>
      <c r="G104" s="97">
        <v>1224</v>
      </c>
      <c r="H104" s="114">
        <v>10.598826577873922</v>
      </c>
      <c r="I104" s="125">
        <v>2799</v>
      </c>
      <c r="J104" s="115">
        <v>23.644593567307055</v>
      </c>
    </row>
    <row r="105" spans="1:10" ht="16">
      <c r="A105" s="100" t="s">
        <v>1151</v>
      </c>
      <c r="B105" s="101" t="s">
        <v>1142</v>
      </c>
      <c r="C105" s="102" t="s">
        <v>107</v>
      </c>
      <c r="D105" s="103" t="s">
        <v>62</v>
      </c>
      <c r="E105" s="104">
        <v>9164</v>
      </c>
      <c r="F105" s="104">
        <v>323</v>
      </c>
      <c r="G105" s="104">
        <v>183</v>
      </c>
      <c r="H105" s="116">
        <v>12.261302009821097</v>
      </c>
      <c r="I105" s="126">
        <v>11427</v>
      </c>
      <c r="J105" s="117">
        <v>15.424599688511696</v>
      </c>
    </row>
    <row r="106" spans="1:10" ht="16">
      <c r="A106" s="93" t="s">
        <v>1199</v>
      </c>
      <c r="B106" s="94" t="s">
        <v>1190</v>
      </c>
      <c r="C106" s="95" t="s">
        <v>76</v>
      </c>
      <c r="D106" s="96" t="s">
        <v>59</v>
      </c>
      <c r="E106" s="97">
        <v>11386</v>
      </c>
      <c r="F106" s="97">
        <v>674</v>
      </c>
      <c r="G106" s="97">
        <v>1366</v>
      </c>
      <c r="H106" s="114">
        <v>11.83796286614912</v>
      </c>
      <c r="I106" s="125">
        <v>2312</v>
      </c>
      <c r="J106" s="115">
        <v>16.626395259039032</v>
      </c>
    </row>
    <row r="107" spans="1:10" ht="16">
      <c r="A107" s="100" t="s">
        <v>227</v>
      </c>
      <c r="B107" s="101" t="s">
        <v>223</v>
      </c>
      <c r="C107" s="102" t="s">
        <v>76</v>
      </c>
      <c r="D107" s="103" t="s">
        <v>80</v>
      </c>
      <c r="E107" s="104">
        <v>13178</v>
      </c>
      <c r="F107" s="104">
        <v>1938</v>
      </c>
      <c r="G107" s="104">
        <v>659</v>
      </c>
      <c r="H107" s="116">
        <v>20.802171038373384</v>
      </c>
      <c r="I107" s="126">
        <v>5062</v>
      </c>
      <c r="J107" s="117">
        <v>30.685944680482873</v>
      </c>
    </row>
    <row r="108" spans="1:10" ht="16">
      <c r="A108" s="93" t="s">
        <v>1200</v>
      </c>
      <c r="B108" s="94" t="s">
        <v>1190</v>
      </c>
      <c r="C108" s="95" t="s">
        <v>76</v>
      </c>
      <c r="D108" s="96" t="s">
        <v>60</v>
      </c>
      <c r="E108" s="97">
        <v>8661</v>
      </c>
      <c r="F108" s="97">
        <v>525</v>
      </c>
      <c r="G108" s="97">
        <v>1472</v>
      </c>
      <c r="H108" s="114">
        <v>11.658784426525626</v>
      </c>
      <c r="I108" s="125">
        <v>4521</v>
      </c>
      <c r="J108" s="115">
        <v>17.479565049624583</v>
      </c>
    </row>
    <row r="109" spans="1:10" ht="16">
      <c r="A109" s="100" t="s">
        <v>1201</v>
      </c>
      <c r="B109" s="101" t="s">
        <v>1190</v>
      </c>
      <c r="C109" s="102" t="s">
        <v>76</v>
      </c>
      <c r="D109" s="103" t="s">
        <v>80</v>
      </c>
      <c r="E109" s="104">
        <v>25501</v>
      </c>
      <c r="F109" s="104">
        <v>1889</v>
      </c>
      <c r="G109" s="104">
        <v>6885</v>
      </c>
      <c r="H109" s="116">
        <v>36.265868755706407</v>
      </c>
      <c r="I109" s="126">
        <v>31053</v>
      </c>
      <c r="J109" s="117">
        <v>33.443204402499894</v>
      </c>
    </row>
    <row r="110" spans="1:10" ht="16">
      <c r="A110" s="93" t="s">
        <v>183</v>
      </c>
      <c r="B110" s="94" t="s">
        <v>184</v>
      </c>
      <c r="C110" s="95" t="s">
        <v>107</v>
      </c>
      <c r="D110" s="96" t="s">
        <v>130</v>
      </c>
      <c r="E110" s="97">
        <v>27570</v>
      </c>
      <c r="F110" s="97">
        <v>928</v>
      </c>
      <c r="G110" s="97">
        <v>5790</v>
      </c>
      <c r="H110" s="114">
        <v>27.982008393100806</v>
      </c>
      <c r="I110" s="125">
        <v>15608</v>
      </c>
      <c r="J110" s="115">
        <v>20.731854648840734</v>
      </c>
    </row>
    <row r="111" spans="1:10" ht="16">
      <c r="A111" s="100" t="s">
        <v>1022</v>
      </c>
      <c r="B111" s="101" t="s">
        <v>1020</v>
      </c>
      <c r="C111" s="102" t="s">
        <v>107</v>
      </c>
      <c r="D111" s="103" t="s">
        <v>59</v>
      </c>
      <c r="E111" s="104">
        <v>17265</v>
      </c>
      <c r="F111" s="104">
        <v>1570</v>
      </c>
      <c r="G111" s="104">
        <v>2590</v>
      </c>
      <c r="H111" s="116">
        <v>16.856100179502089</v>
      </c>
      <c r="I111" s="126">
        <v>5799</v>
      </c>
      <c r="J111" s="117">
        <v>24.812813289234981</v>
      </c>
    </row>
    <row r="112" spans="1:10" ht="16">
      <c r="A112" s="93" t="s">
        <v>1299</v>
      </c>
      <c r="B112" s="94" t="s">
        <v>1288</v>
      </c>
      <c r="C112" s="95" t="s">
        <v>107</v>
      </c>
      <c r="D112" s="96" t="s">
        <v>77</v>
      </c>
      <c r="E112" s="97">
        <v>13430</v>
      </c>
      <c r="F112" s="97">
        <v>988</v>
      </c>
      <c r="G112" s="97">
        <v>6446</v>
      </c>
      <c r="H112" s="114">
        <v>82.76588461573408</v>
      </c>
      <c r="I112" s="125">
        <v>81273</v>
      </c>
      <c r="J112" s="115">
        <v>66.769626021377761</v>
      </c>
    </row>
    <row r="113" spans="1:10" ht="16">
      <c r="A113" s="100" t="s">
        <v>1300</v>
      </c>
      <c r="B113" s="101" t="s">
        <v>1288</v>
      </c>
      <c r="C113" s="102" t="s">
        <v>107</v>
      </c>
      <c r="D113" s="103" t="s">
        <v>61</v>
      </c>
      <c r="E113" s="104">
        <v>10654</v>
      </c>
      <c r="F113" s="104">
        <v>1211</v>
      </c>
      <c r="G113" s="104">
        <v>2450</v>
      </c>
      <c r="H113" s="116">
        <v>40.16125504219216</v>
      </c>
      <c r="I113" s="126">
        <v>38138</v>
      </c>
      <c r="J113" s="117">
        <v>49.090040052941028</v>
      </c>
    </row>
    <row r="114" spans="1:10" ht="16">
      <c r="A114" s="93" t="s">
        <v>892</v>
      </c>
      <c r="B114" s="94" t="s">
        <v>893</v>
      </c>
      <c r="C114" s="95" t="s">
        <v>76</v>
      </c>
      <c r="D114" s="96" t="s">
        <v>63</v>
      </c>
      <c r="E114" s="97">
        <v>10998</v>
      </c>
      <c r="F114" s="97">
        <v>412</v>
      </c>
      <c r="G114" s="97">
        <v>1100</v>
      </c>
      <c r="H114" s="114">
        <v>15.422325327202353</v>
      </c>
      <c r="I114" s="125">
        <v>14287</v>
      </c>
      <c r="J114" s="115">
        <v>18.594769201676748</v>
      </c>
    </row>
    <row r="115" spans="1:10" ht="16">
      <c r="A115" s="100" t="s">
        <v>213</v>
      </c>
      <c r="B115" s="101" t="s">
        <v>212</v>
      </c>
      <c r="C115" s="102" t="s">
        <v>107</v>
      </c>
      <c r="D115" s="103" t="s">
        <v>84</v>
      </c>
      <c r="E115" s="104">
        <v>11871</v>
      </c>
      <c r="F115" s="104">
        <v>606</v>
      </c>
      <c r="G115" s="104">
        <v>237</v>
      </c>
      <c r="H115" s="116">
        <v>15.031415422577652</v>
      </c>
      <c r="I115" s="126">
        <v>2717</v>
      </c>
      <c r="J115" s="117">
        <v>15.317416798363258</v>
      </c>
    </row>
    <row r="116" spans="1:10" ht="16">
      <c r="A116" s="93" t="s">
        <v>599</v>
      </c>
      <c r="B116" s="94" t="s">
        <v>598</v>
      </c>
      <c r="C116" s="95" t="s">
        <v>76</v>
      </c>
      <c r="D116" s="96" t="s">
        <v>82</v>
      </c>
      <c r="E116" s="97">
        <v>28725</v>
      </c>
      <c r="F116" s="97">
        <v>1330</v>
      </c>
      <c r="G116" s="97">
        <v>2011</v>
      </c>
      <c r="H116" s="114">
        <v>21.86254313149092</v>
      </c>
      <c r="I116" s="125">
        <v>15302</v>
      </c>
      <c r="J116" s="115">
        <v>18.498650517415751</v>
      </c>
    </row>
    <row r="117" spans="1:10" ht="16">
      <c r="A117" s="100" t="s">
        <v>93</v>
      </c>
      <c r="B117" s="101" t="s">
        <v>89</v>
      </c>
      <c r="C117" s="102" t="s">
        <v>76</v>
      </c>
      <c r="D117" s="103" t="s">
        <v>82</v>
      </c>
      <c r="E117" s="104">
        <v>14701</v>
      </c>
      <c r="F117" s="104">
        <v>707</v>
      </c>
      <c r="G117" s="104">
        <v>4557</v>
      </c>
      <c r="H117" s="116">
        <v>13.089353596442141</v>
      </c>
      <c r="I117" s="126">
        <v>6496</v>
      </c>
      <c r="J117" s="117">
        <v>17.546044555211409</v>
      </c>
    </row>
    <row r="118" spans="1:10" ht="16">
      <c r="A118" s="93" t="s">
        <v>228</v>
      </c>
      <c r="B118" s="94" t="s">
        <v>223</v>
      </c>
      <c r="C118" s="95" t="s">
        <v>76</v>
      </c>
      <c r="D118" s="96" t="s">
        <v>130</v>
      </c>
      <c r="E118" s="97">
        <v>51546</v>
      </c>
      <c r="F118" s="97">
        <v>2801</v>
      </c>
      <c r="G118" s="97">
        <v>1031</v>
      </c>
      <c r="H118" s="114">
        <v>33.914998234256174</v>
      </c>
      <c r="I118" s="125">
        <v>19080</v>
      </c>
      <c r="J118" s="115">
        <v>32.800214218841866</v>
      </c>
    </row>
    <row r="119" spans="1:10" ht="16">
      <c r="A119" s="100" t="s">
        <v>378</v>
      </c>
      <c r="B119" s="101" t="s">
        <v>377</v>
      </c>
      <c r="C119" s="102" t="s">
        <v>107</v>
      </c>
      <c r="D119" s="103" t="s">
        <v>63</v>
      </c>
      <c r="E119" s="104">
        <v>1706</v>
      </c>
      <c r="F119" s="104">
        <v>106</v>
      </c>
      <c r="G119" s="104">
        <v>768</v>
      </c>
      <c r="H119" s="116">
        <v>30.353463406595644</v>
      </c>
      <c r="I119" s="126">
        <v>14456</v>
      </c>
      <c r="J119" s="117">
        <v>30.494822695528775</v>
      </c>
    </row>
    <row r="120" spans="1:10" ht="16">
      <c r="A120" s="93" t="s">
        <v>1061</v>
      </c>
      <c r="B120" s="94" t="s">
        <v>1062</v>
      </c>
      <c r="C120" s="95" t="s">
        <v>107</v>
      </c>
      <c r="D120" s="96" t="s">
        <v>62</v>
      </c>
      <c r="E120" s="97">
        <v>9209</v>
      </c>
      <c r="F120" s="97">
        <v>737</v>
      </c>
      <c r="G120" s="97">
        <v>1566</v>
      </c>
      <c r="H120" s="114">
        <v>42.779164173958982</v>
      </c>
      <c r="I120" s="125">
        <v>25357</v>
      </c>
      <c r="J120" s="115">
        <v>36.256481874461784</v>
      </c>
    </row>
    <row r="121" spans="1:10" ht="16">
      <c r="A121" s="100" t="s">
        <v>1082</v>
      </c>
      <c r="B121" s="101" t="s">
        <v>1081</v>
      </c>
      <c r="C121" s="102" t="s">
        <v>107</v>
      </c>
      <c r="D121" s="103" t="s">
        <v>63</v>
      </c>
      <c r="E121" s="104">
        <v>7556</v>
      </c>
      <c r="F121" s="104">
        <v>614</v>
      </c>
      <c r="G121" s="104">
        <v>378</v>
      </c>
      <c r="H121" s="116">
        <v>26.95552274149987</v>
      </c>
      <c r="I121" s="126">
        <v>7905</v>
      </c>
      <c r="J121" s="117">
        <v>23.375085974420763</v>
      </c>
    </row>
    <row r="122" spans="1:10" ht="16">
      <c r="A122" s="93" t="s">
        <v>1083</v>
      </c>
      <c r="B122" s="94" t="s">
        <v>1081</v>
      </c>
      <c r="C122" s="95" t="s">
        <v>76</v>
      </c>
      <c r="D122" s="96" t="s">
        <v>63</v>
      </c>
      <c r="E122" s="97">
        <v>16787</v>
      </c>
      <c r="F122" s="97">
        <v>401</v>
      </c>
      <c r="G122" s="97">
        <v>1343</v>
      </c>
      <c r="H122" s="114">
        <v>12.472474395196038</v>
      </c>
      <c r="I122" s="125">
        <v>942</v>
      </c>
      <c r="J122" s="115">
        <v>14.316672723788521</v>
      </c>
    </row>
    <row r="123" spans="1:10" ht="16">
      <c r="A123" s="100" t="s">
        <v>94</v>
      </c>
      <c r="B123" s="101" t="s">
        <v>89</v>
      </c>
      <c r="C123" s="102" t="s">
        <v>76</v>
      </c>
      <c r="D123" s="103" t="s">
        <v>84</v>
      </c>
      <c r="E123" s="104">
        <v>6314</v>
      </c>
      <c r="F123" s="104">
        <v>277</v>
      </c>
      <c r="G123" s="104">
        <v>2020</v>
      </c>
      <c r="H123" s="116">
        <v>24.42602911621109</v>
      </c>
      <c r="I123" s="126">
        <v>12637</v>
      </c>
      <c r="J123" s="117">
        <v>20.346052392891121</v>
      </c>
    </row>
    <row r="124" spans="1:10" ht="16">
      <c r="A124" s="93" t="s">
        <v>323</v>
      </c>
      <c r="B124" s="94" t="s">
        <v>322</v>
      </c>
      <c r="C124" s="95" t="s">
        <v>76</v>
      </c>
      <c r="D124" s="96" t="s">
        <v>82</v>
      </c>
      <c r="E124" s="97">
        <v>48623</v>
      </c>
      <c r="F124" s="97">
        <v>3829</v>
      </c>
      <c r="G124" s="97">
        <v>8752</v>
      </c>
      <c r="H124" s="114">
        <v>26.272086194041272</v>
      </c>
      <c r="I124" s="125">
        <v>13836</v>
      </c>
      <c r="J124" s="115">
        <v>33.09084919758196</v>
      </c>
    </row>
    <row r="125" spans="1:10" ht="16">
      <c r="A125" s="100" t="s">
        <v>403</v>
      </c>
      <c r="B125" s="101" t="s">
        <v>402</v>
      </c>
      <c r="C125" s="102" t="s">
        <v>107</v>
      </c>
      <c r="D125" s="103" t="s">
        <v>59</v>
      </c>
      <c r="E125" s="104">
        <v>10473</v>
      </c>
      <c r="F125" s="104">
        <v>229</v>
      </c>
      <c r="G125" s="104">
        <v>2514</v>
      </c>
      <c r="H125" s="116">
        <v>26.94465860953251</v>
      </c>
      <c r="I125" s="126">
        <v>7171</v>
      </c>
      <c r="J125" s="117">
        <v>33.262512219302934</v>
      </c>
    </row>
    <row r="126" spans="1:10" ht="16">
      <c r="A126" s="93" t="s">
        <v>1119</v>
      </c>
      <c r="B126" s="94" t="s">
        <v>1120</v>
      </c>
      <c r="C126" s="95" t="s">
        <v>76</v>
      </c>
      <c r="D126" s="96" t="s">
        <v>82</v>
      </c>
      <c r="E126" s="97">
        <v>35013</v>
      </c>
      <c r="F126" s="97">
        <v>2259</v>
      </c>
      <c r="G126" s="97">
        <v>700</v>
      </c>
      <c r="H126" s="114">
        <v>14.497641690036891</v>
      </c>
      <c r="I126" s="125">
        <v>2608</v>
      </c>
      <c r="J126" s="115">
        <v>21.54459845083716</v>
      </c>
    </row>
    <row r="127" spans="1:10" ht="16">
      <c r="A127" s="100" t="s">
        <v>645</v>
      </c>
      <c r="B127" s="101" t="s">
        <v>642</v>
      </c>
      <c r="C127" s="102" t="s">
        <v>107</v>
      </c>
      <c r="D127" s="103" t="s">
        <v>59</v>
      </c>
      <c r="E127" s="104">
        <v>9763</v>
      </c>
      <c r="F127" s="104">
        <v>321</v>
      </c>
      <c r="G127" s="104">
        <v>98</v>
      </c>
      <c r="H127" s="116">
        <v>9.8848268677560807</v>
      </c>
      <c r="I127" s="126">
        <v>627</v>
      </c>
      <c r="J127" s="117">
        <v>14.709686693370653</v>
      </c>
    </row>
    <row r="128" spans="1:10" ht="16">
      <c r="A128" s="93" t="s">
        <v>646</v>
      </c>
      <c r="B128" s="94" t="s">
        <v>642</v>
      </c>
      <c r="C128" s="95" t="s">
        <v>107</v>
      </c>
      <c r="D128" s="96" t="s">
        <v>92</v>
      </c>
      <c r="E128" s="97">
        <v>13764</v>
      </c>
      <c r="F128" s="97">
        <v>1404</v>
      </c>
      <c r="G128" s="97">
        <v>688</v>
      </c>
      <c r="H128" s="114">
        <v>19.959270121584463</v>
      </c>
      <c r="I128" s="125">
        <v>6276</v>
      </c>
      <c r="J128" s="115">
        <v>29.533312359140915</v>
      </c>
    </row>
    <row r="129" spans="1:10" ht="16">
      <c r="A129" s="100" t="s">
        <v>229</v>
      </c>
      <c r="B129" s="101" t="s">
        <v>223</v>
      </c>
      <c r="C129" s="102" t="s">
        <v>76</v>
      </c>
      <c r="D129" s="103" t="s">
        <v>63</v>
      </c>
      <c r="E129" s="104">
        <v>19586</v>
      </c>
      <c r="F129" s="104">
        <v>1688</v>
      </c>
      <c r="G129" s="104">
        <v>196</v>
      </c>
      <c r="H129" s="116">
        <v>27.015114979344169</v>
      </c>
      <c r="I129" s="126">
        <v>10694</v>
      </c>
      <c r="J129" s="117">
        <v>35.100958357332743</v>
      </c>
    </row>
    <row r="130" spans="1:10" ht="16">
      <c r="A130" s="93" t="s">
        <v>1084</v>
      </c>
      <c r="B130" s="94" t="s">
        <v>1081</v>
      </c>
      <c r="C130" s="95" t="s">
        <v>76</v>
      </c>
      <c r="D130" s="96" t="s">
        <v>82</v>
      </c>
      <c r="E130" s="97">
        <v>7603</v>
      </c>
      <c r="F130" s="97">
        <v>461</v>
      </c>
      <c r="G130" s="97">
        <v>608</v>
      </c>
      <c r="H130" s="114">
        <v>32.826167915559054</v>
      </c>
      <c r="I130" s="125">
        <v>14927</v>
      </c>
      <c r="J130" s="115">
        <v>26.729836735941017</v>
      </c>
    </row>
    <row r="131" spans="1:10" ht="16">
      <c r="A131" s="100" t="s">
        <v>230</v>
      </c>
      <c r="B131" s="101" t="s">
        <v>223</v>
      </c>
      <c r="C131" s="102" t="s">
        <v>76</v>
      </c>
      <c r="D131" s="103" t="s">
        <v>61</v>
      </c>
      <c r="E131" s="104">
        <v>16144</v>
      </c>
      <c r="F131" s="104">
        <v>897</v>
      </c>
      <c r="G131" s="104">
        <v>484</v>
      </c>
      <c r="H131" s="116">
        <v>13.940412730368863</v>
      </c>
      <c r="I131" s="126">
        <v>4735</v>
      </c>
      <c r="J131" s="117">
        <v>23.883029713337425</v>
      </c>
    </row>
    <row r="132" spans="1:10" ht="16">
      <c r="A132" s="93" t="s">
        <v>231</v>
      </c>
      <c r="B132" s="94" t="s">
        <v>223</v>
      </c>
      <c r="C132" s="95" t="s">
        <v>107</v>
      </c>
      <c r="D132" s="96" t="s">
        <v>63</v>
      </c>
      <c r="E132" s="97">
        <v>17752</v>
      </c>
      <c r="F132" s="97">
        <v>1168</v>
      </c>
      <c r="G132" s="97">
        <v>178</v>
      </c>
      <c r="H132" s="114">
        <v>14.763840183332405</v>
      </c>
      <c r="I132" s="125">
        <v>5665</v>
      </c>
      <c r="J132" s="115">
        <v>25.63528568956843</v>
      </c>
    </row>
    <row r="133" spans="1:10" ht="16">
      <c r="A133" s="100" t="s">
        <v>232</v>
      </c>
      <c r="B133" s="101" t="s">
        <v>223</v>
      </c>
      <c r="C133" s="102" t="s">
        <v>76</v>
      </c>
      <c r="D133" s="103" t="s">
        <v>63</v>
      </c>
      <c r="E133" s="104">
        <v>28934</v>
      </c>
      <c r="F133" s="104">
        <v>1733</v>
      </c>
      <c r="G133" s="104">
        <v>1157</v>
      </c>
      <c r="H133" s="116">
        <v>18.059865219183568</v>
      </c>
      <c r="I133" s="126">
        <v>7513</v>
      </c>
      <c r="J133" s="117">
        <v>20.836067072686006</v>
      </c>
    </row>
    <row r="134" spans="1:10" ht="16">
      <c r="A134" s="93" t="s">
        <v>233</v>
      </c>
      <c r="B134" s="94" t="s">
        <v>223</v>
      </c>
      <c r="C134" s="95" t="s">
        <v>107</v>
      </c>
      <c r="D134" s="96" t="s">
        <v>80</v>
      </c>
      <c r="E134" s="97">
        <v>47225</v>
      </c>
      <c r="F134" s="97">
        <v>2539</v>
      </c>
      <c r="G134" s="97">
        <v>945</v>
      </c>
      <c r="H134" s="114">
        <v>13.785249886854928</v>
      </c>
      <c r="I134" s="125">
        <v>6542</v>
      </c>
      <c r="J134" s="115">
        <v>20.738366607791395</v>
      </c>
    </row>
    <row r="135" spans="1:10" ht="16">
      <c r="A135" s="100" t="s">
        <v>234</v>
      </c>
      <c r="B135" s="101" t="s">
        <v>223</v>
      </c>
      <c r="C135" s="102" t="s">
        <v>107</v>
      </c>
      <c r="D135" s="103" t="s">
        <v>84</v>
      </c>
      <c r="E135" s="104">
        <v>15150</v>
      </c>
      <c r="F135" s="104">
        <v>810</v>
      </c>
      <c r="G135" s="104">
        <v>606</v>
      </c>
      <c r="H135" s="116">
        <v>26.891577012657152</v>
      </c>
      <c r="I135" s="126">
        <v>10318</v>
      </c>
      <c r="J135" s="117">
        <v>24.728522870440109</v>
      </c>
    </row>
    <row r="136" spans="1:10" ht="16">
      <c r="A136" s="93" t="s">
        <v>458</v>
      </c>
      <c r="B136" s="94" t="s">
        <v>459</v>
      </c>
      <c r="C136" s="95" t="s">
        <v>107</v>
      </c>
      <c r="D136" s="96" t="s">
        <v>130</v>
      </c>
      <c r="E136" s="97">
        <v>18340</v>
      </c>
      <c r="F136" s="97">
        <v>986</v>
      </c>
      <c r="G136" s="97">
        <v>5869</v>
      </c>
      <c r="H136" s="114">
        <v>63.42688299417128</v>
      </c>
      <c r="I136" s="125">
        <v>53169</v>
      </c>
      <c r="J136" s="115">
        <v>56.183290261077786</v>
      </c>
    </row>
    <row r="137" spans="1:10" ht="16">
      <c r="A137" s="100" t="s">
        <v>989</v>
      </c>
      <c r="B137" s="101" t="s">
        <v>988</v>
      </c>
      <c r="C137" s="102" t="s">
        <v>107</v>
      </c>
      <c r="D137" s="103" t="s">
        <v>84</v>
      </c>
      <c r="E137" s="104">
        <v>20601</v>
      </c>
      <c r="F137" s="104">
        <v>995</v>
      </c>
      <c r="G137" s="104">
        <v>1030</v>
      </c>
      <c r="H137" s="116">
        <v>20.955055139253361</v>
      </c>
      <c r="I137" s="126">
        <v>4948</v>
      </c>
      <c r="J137" s="117">
        <v>23.857310640606624</v>
      </c>
    </row>
    <row r="138" spans="1:10" ht="16">
      <c r="A138" s="93" t="s">
        <v>235</v>
      </c>
      <c r="B138" s="94" t="s">
        <v>223</v>
      </c>
      <c r="C138" s="95" t="s">
        <v>76</v>
      </c>
      <c r="D138" s="96" t="s">
        <v>130</v>
      </c>
      <c r="E138" s="97">
        <v>44394</v>
      </c>
      <c r="F138" s="97">
        <v>2775</v>
      </c>
      <c r="G138" s="97">
        <v>1776</v>
      </c>
      <c r="H138" s="114">
        <v>21.601088702730124</v>
      </c>
      <c r="I138" s="125">
        <v>7588</v>
      </c>
      <c r="J138" s="115">
        <v>23.905887569785794</v>
      </c>
    </row>
    <row r="139" spans="1:10" ht="16">
      <c r="A139" s="100" t="s">
        <v>990</v>
      </c>
      <c r="B139" s="101" t="s">
        <v>988</v>
      </c>
      <c r="C139" s="102" t="s">
        <v>107</v>
      </c>
      <c r="D139" s="103" t="s">
        <v>62</v>
      </c>
      <c r="E139" s="104">
        <v>22469</v>
      </c>
      <c r="F139" s="104">
        <v>1330</v>
      </c>
      <c r="G139" s="104">
        <v>1348</v>
      </c>
      <c r="H139" s="116">
        <v>21.119211557983519</v>
      </c>
      <c r="I139" s="126">
        <v>6076</v>
      </c>
      <c r="J139" s="117">
        <v>21.879655718196567</v>
      </c>
    </row>
    <row r="140" spans="1:10" ht="16">
      <c r="A140" s="93" t="s">
        <v>647</v>
      </c>
      <c r="B140" s="94" t="s">
        <v>642</v>
      </c>
      <c r="C140" s="95" t="s">
        <v>107</v>
      </c>
      <c r="D140" s="96" t="s">
        <v>59</v>
      </c>
      <c r="E140" s="97">
        <v>12533</v>
      </c>
      <c r="F140" s="97">
        <v>520</v>
      </c>
      <c r="G140" s="97">
        <v>125</v>
      </c>
      <c r="H140" s="114">
        <v>10.365478853240392</v>
      </c>
      <c r="I140" s="125">
        <v>1742</v>
      </c>
      <c r="J140" s="115">
        <v>14.009009072795042</v>
      </c>
    </row>
    <row r="141" spans="1:10" ht="16">
      <c r="A141" s="100" t="s">
        <v>1121</v>
      </c>
      <c r="B141" s="101" t="s">
        <v>1120</v>
      </c>
      <c r="C141" s="102" t="s">
        <v>76</v>
      </c>
      <c r="D141" s="103" t="s">
        <v>59</v>
      </c>
      <c r="E141" s="104">
        <v>38531</v>
      </c>
      <c r="F141" s="104">
        <v>2752</v>
      </c>
      <c r="G141" s="104">
        <v>1541</v>
      </c>
      <c r="H141" s="116">
        <v>22.467515716117326</v>
      </c>
      <c r="I141" s="126">
        <v>4862</v>
      </c>
      <c r="J141" s="117">
        <v>32.233926275979911</v>
      </c>
    </row>
    <row r="142" spans="1:10" ht="16">
      <c r="A142" s="93" t="s">
        <v>1085</v>
      </c>
      <c r="B142" s="94" t="s">
        <v>1081</v>
      </c>
      <c r="C142" s="95" t="s">
        <v>107</v>
      </c>
      <c r="D142" s="96" t="s">
        <v>77</v>
      </c>
      <c r="E142" s="97">
        <v>15926</v>
      </c>
      <c r="F142" s="97">
        <v>484</v>
      </c>
      <c r="G142" s="97">
        <v>1752</v>
      </c>
      <c r="H142" s="114">
        <v>25.279879851245706</v>
      </c>
      <c r="I142" s="125">
        <v>3705</v>
      </c>
      <c r="J142" s="115">
        <v>16.887073308532702</v>
      </c>
    </row>
    <row r="143" spans="1:10" ht="16">
      <c r="A143" s="100" t="s">
        <v>991</v>
      </c>
      <c r="B143" s="101" t="s">
        <v>988</v>
      </c>
      <c r="C143" s="102" t="s">
        <v>107</v>
      </c>
      <c r="D143" s="103" t="s">
        <v>84</v>
      </c>
      <c r="E143" s="104">
        <v>16681</v>
      </c>
      <c r="F143" s="104">
        <v>755</v>
      </c>
      <c r="G143" s="104">
        <v>3003</v>
      </c>
      <c r="H143" s="116">
        <v>37.890053645456909</v>
      </c>
      <c r="I143" s="126">
        <v>9412</v>
      </c>
      <c r="J143" s="117">
        <v>38.568564259152147</v>
      </c>
    </row>
    <row r="144" spans="1:10" ht="16">
      <c r="A144" s="93" t="s">
        <v>992</v>
      </c>
      <c r="B144" s="94" t="s">
        <v>988</v>
      </c>
      <c r="C144" s="95" t="s">
        <v>107</v>
      </c>
      <c r="D144" s="96" t="s">
        <v>63</v>
      </c>
      <c r="E144" s="97">
        <v>21908</v>
      </c>
      <c r="F144" s="97">
        <v>1101</v>
      </c>
      <c r="G144" s="97">
        <v>876</v>
      </c>
      <c r="H144" s="114">
        <v>21.773051280332389</v>
      </c>
      <c r="I144" s="125">
        <v>2655</v>
      </c>
      <c r="J144" s="115">
        <v>23.345388566062997</v>
      </c>
    </row>
    <row r="145" spans="1:10" ht="16">
      <c r="A145" s="100" t="s">
        <v>648</v>
      </c>
      <c r="B145" s="101" t="s">
        <v>642</v>
      </c>
      <c r="C145" s="102" t="s">
        <v>107</v>
      </c>
      <c r="D145" s="103" t="s">
        <v>82</v>
      </c>
      <c r="E145" s="104">
        <v>26302</v>
      </c>
      <c r="F145" s="104">
        <v>707</v>
      </c>
      <c r="G145" s="104">
        <v>1052</v>
      </c>
      <c r="H145" s="116">
        <v>10.785733591693676</v>
      </c>
      <c r="I145" s="126">
        <v>2395</v>
      </c>
      <c r="J145" s="117">
        <v>27.462814286906355</v>
      </c>
    </row>
    <row r="146" spans="1:10" ht="16">
      <c r="A146" s="93" t="s">
        <v>460</v>
      </c>
      <c r="B146" s="94" t="s">
        <v>459</v>
      </c>
      <c r="C146" s="95" t="s">
        <v>76</v>
      </c>
      <c r="D146" s="96" t="s">
        <v>60</v>
      </c>
      <c r="E146" s="97">
        <v>9587</v>
      </c>
      <c r="F146" s="97">
        <v>872</v>
      </c>
      <c r="G146" s="97">
        <v>4314</v>
      </c>
      <c r="H146" s="114">
        <v>49.137437422454283</v>
      </c>
      <c r="I146" s="125">
        <v>38059</v>
      </c>
      <c r="J146" s="115">
        <v>41.380077469222314</v>
      </c>
    </row>
    <row r="147" spans="1:10" ht="16">
      <c r="A147" s="100" t="s">
        <v>1202</v>
      </c>
      <c r="B147" s="101" t="s">
        <v>1190</v>
      </c>
      <c r="C147" s="102" t="s">
        <v>76</v>
      </c>
      <c r="D147" s="103" t="s">
        <v>84</v>
      </c>
      <c r="E147" s="104">
        <v>14362</v>
      </c>
      <c r="F147" s="104">
        <v>776</v>
      </c>
      <c r="G147" s="104">
        <v>7325</v>
      </c>
      <c r="H147" s="116">
        <v>28.398323653487044</v>
      </c>
      <c r="I147" s="126">
        <v>16161</v>
      </c>
      <c r="J147" s="117">
        <v>26.318022669534951</v>
      </c>
    </row>
    <row r="148" spans="1:10" ht="16">
      <c r="A148" s="93" t="s">
        <v>1301</v>
      </c>
      <c r="B148" s="94" t="s">
        <v>1288</v>
      </c>
      <c r="C148" s="95" t="s">
        <v>76</v>
      </c>
      <c r="D148" s="96" t="s">
        <v>84</v>
      </c>
      <c r="E148" s="97">
        <v>3045</v>
      </c>
      <c r="F148" s="97">
        <v>265</v>
      </c>
      <c r="G148" s="97">
        <v>700</v>
      </c>
      <c r="H148" s="114">
        <v>22.791066098097499</v>
      </c>
      <c r="I148" s="125">
        <v>18098</v>
      </c>
      <c r="J148" s="115">
        <v>24.824284928333661</v>
      </c>
    </row>
    <row r="149" spans="1:10" ht="16">
      <c r="A149" s="100" t="s">
        <v>379</v>
      </c>
      <c r="B149" s="101" t="s">
        <v>377</v>
      </c>
      <c r="C149" s="102" t="s">
        <v>76</v>
      </c>
      <c r="D149" s="103" t="s">
        <v>60</v>
      </c>
      <c r="E149" s="104">
        <v>26875</v>
      </c>
      <c r="F149" s="104">
        <v>2116</v>
      </c>
      <c r="G149" s="104">
        <v>3494</v>
      </c>
      <c r="H149" s="116">
        <v>24.773729776868695</v>
      </c>
      <c r="I149" s="126">
        <v>14039</v>
      </c>
      <c r="J149" s="117">
        <v>26.205084123207509</v>
      </c>
    </row>
    <row r="150" spans="1:10" ht="16">
      <c r="A150" s="93" t="s">
        <v>1302</v>
      </c>
      <c r="B150" s="94" t="s">
        <v>1288</v>
      </c>
      <c r="C150" s="95" t="s">
        <v>107</v>
      </c>
      <c r="D150" s="96" t="s">
        <v>92</v>
      </c>
      <c r="E150" s="97">
        <v>21436</v>
      </c>
      <c r="F150" s="97">
        <v>1261</v>
      </c>
      <c r="G150" s="97">
        <v>1501</v>
      </c>
      <c r="H150" s="114">
        <v>22.140162700086574</v>
      </c>
      <c r="I150" s="125">
        <v>9186</v>
      </c>
      <c r="J150" s="115">
        <v>25.769079612226619</v>
      </c>
    </row>
    <row r="151" spans="1:10" ht="16">
      <c r="A151" s="100" t="s">
        <v>484</v>
      </c>
      <c r="B151" s="101" t="s">
        <v>474</v>
      </c>
      <c r="C151" s="102" t="s">
        <v>107</v>
      </c>
      <c r="D151" s="103" t="s">
        <v>84</v>
      </c>
      <c r="E151" s="104">
        <v>8271</v>
      </c>
      <c r="F151" s="104">
        <v>447</v>
      </c>
      <c r="G151" s="104">
        <v>185</v>
      </c>
      <c r="H151" s="116">
        <v>11.237708563087672</v>
      </c>
      <c r="I151" s="126">
        <v>848</v>
      </c>
      <c r="J151" s="117">
        <v>23.362526375560567</v>
      </c>
    </row>
    <row r="152" spans="1:10" ht="16">
      <c r="A152" s="93" t="s">
        <v>1303</v>
      </c>
      <c r="B152" s="94" t="s">
        <v>1288</v>
      </c>
      <c r="C152" s="95" t="s">
        <v>107</v>
      </c>
      <c r="D152" s="96" t="s">
        <v>62</v>
      </c>
      <c r="E152" s="97">
        <v>5768</v>
      </c>
      <c r="F152" s="97">
        <v>345</v>
      </c>
      <c r="G152" s="97">
        <v>634</v>
      </c>
      <c r="H152" s="114">
        <v>25.593926285635547</v>
      </c>
      <c r="I152" s="125">
        <v>20105</v>
      </c>
      <c r="J152" s="115">
        <v>30.739805329629426</v>
      </c>
    </row>
    <row r="153" spans="1:10" ht="16">
      <c r="A153" s="100" t="s">
        <v>1304</v>
      </c>
      <c r="B153" s="101" t="s">
        <v>1288</v>
      </c>
      <c r="C153" s="102" t="s">
        <v>76</v>
      </c>
      <c r="D153" s="103" t="s">
        <v>130</v>
      </c>
      <c r="E153" s="104">
        <v>26014</v>
      </c>
      <c r="F153" s="104">
        <v>1596</v>
      </c>
      <c r="G153" s="104">
        <v>1561</v>
      </c>
      <c r="H153" s="116">
        <v>26.200040254951826</v>
      </c>
      <c r="I153" s="126">
        <v>16315</v>
      </c>
      <c r="J153" s="117">
        <v>27.977659096446519</v>
      </c>
    </row>
    <row r="154" spans="1:10" ht="16">
      <c r="A154" s="93" t="s">
        <v>1305</v>
      </c>
      <c r="B154" s="94" t="s">
        <v>1288</v>
      </c>
      <c r="C154" s="95" t="s">
        <v>107</v>
      </c>
      <c r="D154" s="96" t="s">
        <v>130</v>
      </c>
      <c r="E154" s="97">
        <v>26586</v>
      </c>
      <c r="F154" s="97">
        <v>4584</v>
      </c>
      <c r="G154" s="97">
        <v>9837</v>
      </c>
      <c r="H154" s="114">
        <v>82.695894095588642</v>
      </c>
      <c r="I154" s="125">
        <v>81239</v>
      </c>
      <c r="J154" s="115">
        <v>86.569023983002609</v>
      </c>
    </row>
    <row r="155" spans="1:10" ht="16">
      <c r="A155" s="100" t="s">
        <v>969</v>
      </c>
      <c r="B155" s="101" t="s">
        <v>970</v>
      </c>
      <c r="C155" s="102" t="s">
        <v>76</v>
      </c>
      <c r="D155" s="103" t="s">
        <v>77</v>
      </c>
      <c r="E155" s="104">
        <v>20056</v>
      </c>
      <c r="F155" s="104">
        <v>2047</v>
      </c>
      <c r="G155" s="104">
        <v>2808</v>
      </c>
      <c r="H155" s="116">
        <v>14.062496101301447</v>
      </c>
      <c r="I155" s="126">
        <v>3001</v>
      </c>
      <c r="J155" s="117">
        <v>22.644745698013601</v>
      </c>
    </row>
    <row r="156" spans="1:10" ht="16">
      <c r="A156" s="93" t="s">
        <v>1023</v>
      </c>
      <c r="B156" s="94" t="s">
        <v>1020</v>
      </c>
      <c r="C156" s="95" t="s">
        <v>76</v>
      </c>
      <c r="D156" s="96" t="s">
        <v>60</v>
      </c>
      <c r="E156" s="97">
        <v>62624</v>
      </c>
      <c r="F156" s="97">
        <v>3179</v>
      </c>
      <c r="G156" s="97">
        <v>8141</v>
      </c>
      <c r="H156" s="114">
        <v>29.79603871220603</v>
      </c>
      <c r="I156" s="125">
        <v>13732</v>
      </c>
      <c r="J156" s="115">
        <v>35.486368756281841</v>
      </c>
    </row>
    <row r="157" spans="1:10" ht="16">
      <c r="A157" s="100" t="s">
        <v>859</v>
      </c>
      <c r="B157" s="101" t="s">
        <v>858</v>
      </c>
      <c r="C157" s="102" t="s">
        <v>107</v>
      </c>
      <c r="D157" s="103" t="s">
        <v>60</v>
      </c>
      <c r="E157" s="104">
        <v>33030</v>
      </c>
      <c r="F157" s="104">
        <v>2897</v>
      </c>
      <c r="G157" s="104">
        <v>330</v>
      </c>
      <c r="H157" s="116">
        <v>10.187361951721348</v>
      </c>
      <c r="I157" s="126">
        <v>6589</v>
      </c>
      <c r="J157" s="117">
        <v>17.076736234553433</v>
      </c>
    </row>
    <row r="158" spans="1:10" ht="16">
      <c r="A158" s="93" t="s">
        <v>185</v>
      </c>
      <c r="B158" s="94" t="s">
        <v>184</v>
      </c>
      <c r="C158" s="95" t="s">
        <v>107</v>
      </c>
      <c r="D158" s="96" t="s">
        <v>130</v>
      </c>
      <c r="E158" s="97">
        <v>33543</v>
      </c>
      <c r="F158" s="97">
        <v>1038</v>
      </c>
      <c r="G158" s="97">
        <v>9727</v>
      </c>
      <c r="H158" s="114">
        <v>26.650069173991998</v>
      </c>
      <c r="I158" s="125">
        <v>11974</v>
      </c>
      <c r="J158" s="115">
        <v>21.392152396852353</v>
      </c>
    </row>
    <row r="159" spans="1:10" ht="16">
      <c r="A159" s="100" t="s">
        <v>338</v>
      </c>
      <c r="B159" s="101" t="s">
        <v>336</v>
      </c>
      <c r="C159" s="102" t="s">
        <v>107</v>
      </c>
      <c r="D159" s="103" t="s">
        <v>130</v>
      </c>
      <c r="E159" s="104">
        <v>16317</v>
      </c>
      <c r="F159" s="104">
        <v>528</v>
      </c>
      <c r="G159" s="104">
        <v>4079</v>
      </c>
      <c r="H159" s="116">
        <v>32.991893699000983</v>
      </c>
      <c r="I159" s="126">
        <v>27194</v>
      </c>
      <c r="J159" s="117">
        <v>25.407808167509398</v>
      </c>
    </row>
    <row r="160" spans="1:10" ht="16">
      <c r="A160" s="93" t="s">
        <v>1306</v>
      </c>
      <c r="B160" s="94" t="s">
        <v>1288</v>
      </c>
      <c r="C160" s="95" t="s">
        <v>107</v>
      </c>
      <c r="D160" s="96" t="s">
        <v>84</v>
      </c>
      <c r="E160" s="97">
        <v>22319</v>
      </c>
      <c r="F160" s="97">
        <v>2277</v>
      </c>
      <c r="G160" s="97">
        <v>5580</v>
      </c>
      <c r="H160" s="114">
        <v>86.169807457814613</v>
      </c>
      <c r="I160" s="125">
        <v>83197</v>
      </c>
      <c r="J160" s="115">
        <v>80.640919044050136</v>
      </c>
    </row>
    <row r="161" spans="1:10" ht="16">
      <c r="A161" s="100" t="s">
        <v>467</v>
      </c>
      <c r="B161" s="101" t="s">
        <v>466</v>
      </c>
      <c r="C161" s="102" t="s">
        <v>76</v>
      </c>
      <c r="D161" s="103" t="s">
        <v>62</v>
      </c>
      <c r="E161" s="104">
        <v>11023</v>
      </c>
      <c r="F161" s="104">
        <v>475</v>
      </c>
      <c r="G161" s="104">
        <v>1653</v>
      </c>
      <c r="H161" s="116">
        <v>14.450447178044998</v>
      </c>
      <c r="I161" s="126">
        <v>3344</v>
      </c>
      <c r="J161" s="117">
        <v>18.519882835631613</v>
      </c>
    </row>
    <row r="162" spans="1:10" ht="16">
      <c r="A162" s="93" t="s">
        <v>842</v>
      </c>
      <c r="B162" s="94" t="s">
        <v>843</v>
      </c>
      <c r="C162" s="95" t="s">
        <v>107</v>
      </c>
      <c r="D162" s="96" t="s">
        <v>92</v>
      </c>
      <c r="E162" s="97">
        <v>8768</v>
      </c>
      <c r="F162" s="97">
        <v>558</v>
      </c>
      <c r="G162" s="97">
        <v>610</v>
      </c>
      <c r="H162" s="114">
        <v>14.736056193207359</v>
      </c>
      <c r="I162" s="125">
        <v>11628</v>
      </c>
      <c r="J162" s="115">
        <v>27.584746945954763</v>
      </c>
    </row>
    <row r="163" spans="1:10" ht="16">
      <c r="A163" s="100" t="s">
        <v>1203</v>
      </c>
      <c r="B163" s="101" t="s">
        <v>1190</v>
      </c>
      <c r="C163" s="102" t="s">
        <v>107</v>
      </c>
      <c r="D163" s="103" t="s">
        <v>80</v>
      </c>
      <c r="E163" s="104">
        <v>27531</v>
      </c>
      <c r="F163" s="104">
        <v>1679</v>
      </c>
      <c r="G163" s="104">
        <v>12664</v>
      </c>
      <c r="H163" s="116">
        <v>13.011647080584869</v>
      </c>
      <c r="I163" s="126">
        <v>5674</v>
      </c>
      <c r="J163" s="117">
        <v>18.368701220323228</v>
      </c>
    </row>
    <row r="164" spans="1:10" ht="16">
      <c r="A164" s="93" t="s">
        <v>1307</v>
      </c>
      <c r="B164" s="94" t="s">
        <v>1288</v>
      </c>
      <c r="C164" s="95" t="s">
        <v>76</v>
      </c>
      <c r="D164" s="96" t="s">
        <v>62</v>
      </c>
      <c r="E164" s="97">
        <v>8228</v>
      </c>
      <c r="F164" s="97">
        <v>741</v>
      </c>
      <c r="G164" s="97">
        <v>658</v>
      </c>
      <c r="H164" s="114">
        <v>12.068471462162119</v>
      </c>
      <c r="I164" s="125">
        <v>4931</v>
      </c>
      <c r="J164" s="115">
        <v>42.873372097915535</v>
      </c>
    </row>
    <row r="165" spans="1:10" ht="16">
      <c r="A165" s="100" t="s">
        <v>1152</v>
      </c>
      <c r="B165" s="101" t="s">
        <v>1142</v>
      </c>
      <c r="C165" s="102" t="s">
        <v>107</v>
      </c>
      <c r="D165" s="103" t="s">
        <v>77</v>
      </c>
      <c r="E165" s="104">
        <v>42418</v>
      </c>
      <c r="F165" s="104">
        <v>2164</v>
      </c>
      <c r="G165" s="104">
        <v>1273</v>
      </c>
      <c r="H165" s="116">
        <v>13.068801933207416</v>
      </c>
      <c r="I165" s="126">
        <v>1992</v>
      </c>
      <c r="J165" s="117">
        <v>15.285626944178627</v>
      </c>
    </row>
    <row r="166" spans="1:10" ht="16">
      <c r="A166" s="93" t="s">
        <v>95</v>
      </c>
      <c r="B166" s="94" t="s">
        <v>89</v>
      </c>
      <c r="C166" s="95" t="s">
        <v>76</v>
      </c>
      <c r="D166" s="96" t="s">
        <v>62</v>
      </c>
      <c r="E166" s="97">
        <v>29214</v>
      </c>
      <c r="F166" s="97">
        <v>1446</v>
      </c>
      <c r="G166" s="97">
        <v>9056</v>
      </c>
      <c r="H166" s="114">
        <v>31.192542901242245</v>
      </c>
      <c r="I166" s="125">
        <v>25418</v>
      </c>
      <c r="J166" s="115">
        <v>24.108346715746297</v>
      </c>
    </row>
    <row r="167" spans="1:10" ht="16">
      <c r="A167" s="100" t="s">
        <v>318</v>
      </c>
      <c r="B167" s="101" t="s">
        <v>319</v>
      </c>
      <c r="C167" s="102" t="s">
        <v>76</v>
      </c>
      <c r="D167" s="103" t="s">
        <v>82</v>
      </c>
      <c r="E167" s="104">
        <v>3228</v>
      </c>
      <c r="F167" s="104">
        <v>186</v>
      </c>
      <c r="G167" s="104">
        <v>258</v>
      </c>
      <c r="H167" s="116">
        <v>17.272747087586971</v>
      </c>
      <c r="I167" s="126">
        <v>16104</v>
      </c>
      <c r="J167" s="117">
        <v>17.656505755130134</v>
      </c>
    </row>
    <row r="168" spans="1:10" ht="16">
      <c r="A168" s="93" t="s">
        <v>324</v>
      </c>
      <c r="B168" s="94" t="s">
        <v>322</v>
      </c>
      <c r="C168" s="95" t="s">
        <v>107</v>
      </c>
      <c r="D168" s="96" t="s">
        <v>62</v>
      </c>
      <c r="E168" s="97">
        <v>19499</v>
      </c>
      <c r="F168" s="97">
        <v>1840</v>
      </c>
      <c r="G168" s="97">
        <v>3705</v>
      </c>
      <c r="H168" s="114">
        <v>17.658551573799269</v>
      </c>
      <c r="I168" s="125">
        <v>4096</v>
      </c>
      <c r="J168" s="115">
        <v>21.796064596850819</v>
      </c>
    </row>
    <row r="169" spans="1:10" ht="16">
      <c r="A169" s="100" t="s">
        <v>325</v>
      </c>
      <c r="B169" s="101" t="s">
        <v>322</v>
      </c>
      <c r="C169" s="102" t="s">
        <v>76</v>
      </c>
      <c r="D169" s="103" t="s">
        <v>84</v>
      </c>
      <c r="E169" s="104">
        <v>17065</v>
      </c>
      <c r="F169" s="104">
        <v>837</v>
      </c>
      <c r="G169" s="104">
        <v>3413</v>
      </c>
      <c r="H169" s="116">
        <v>13.678571527468778</v>
      </c>
      <c r="I169" s="126">
        <v>2549</v>
      </c>
      <c r="J169" s="117">
        <v>17.565278482457746</v>
      </c>
    </row>
    <row r="170" spans="1:10" ht="16">
      <c r="A170" s="93" t="s">
        <v>186</v>
      </c>
      <c r="B170" s="94" t="s">
        <v>184</v>
      </c>
      <c r="C170" s="95" t="s">
        <v>76</v>
      </c>
      <c r="D170" s="96" t="s">
        <v>82</v>
      </c>
      <c r="E170" s="97">
        <v>15196</v>
      </c>
      <c r="F170" s="97">
        <v>1034</v>
      </c>
      <c r="G170" s="97">
        <v>3495</v>
      </c>
      <c r="H170" s="114">
        <v>30.388828932381315</v>
      </c>
      <c r="I170" s="125">
        <v>23644</v>
      </c>
      <c r="J170" s="115">
        <v>27.921415743414961</v>
      </c>
    </row>
    <row r="171" spans="1:10" ht="16">
      <c r="A171" s="100" t="s">
        <v>236</v>
      </c>
      <c r="B171" s="101" t="s">
        <v>223</v>
      </c>
      <c r="C171" s="102" t="s">
        <v>107</v>
      </c>
      <c r="D171" s="103" t="s">
        <v>82</v>
      </c>
      <c r="E171" s="104">
        <v>39665</v>
      </c>
      <c r="F171" s="104">
        <v>2526</v>
      </c>
      <c r="G171" s="104">
        <v>1190</v>
      </c>
      <c r="H171" s="116">
        <v>24.397808155650335</v>
      </c>
      <c r="I171" s="126">
        <v>9605</v>
      </c>
      <c r="J171" s="117">
        <v>24.868339162252472</v>
      </c>
    </row>
    <row r="172" spans="1:10" ht="16">
      <c r="A172" s="93" t="s">
        <v>1308</v>
      </c>
      <c r="B172" s="94" t="s">
        <v>1288</v>
      </c>
      <c r="C172" s="95" t="s">
        <v>107</v>
      </c>
      <c r="D172" s="96" t="s">
        <v>62</v>
      </c>
      <c r="E172" s="97">
        <v>6247</v>
      </c>
      <c r="F172" s="97">
        <v>811</v>
      </c>
      <c r="G172" s="97">
        <v>937</v>
      </c>
      <c r="H172" s="114">
        <v>40.704904219321655</v>
      </c>
      <c r="I172" s="125">
        <v>38566</v>
      </c>
      <c r="J172" s="115">
        <v>58.837043344041689</v>
      </c>
    </row>
    <row r="173" spans="1:10" ht="16">
      <c r="A173" s="100" t="s">
        <v>875</v>
      </c>
      <c r="B173" s="101" t="s">
        <v>876</v>
      </c>
      <c r="C173" s="102" t="s">
        <v>107</v>
      </c>
      <c r="D173" s="103" t="s">
        <v>59</v>
      </c>
      <c r="E173" s="104">
        <v>15604</v>
      </c>
      <c r="F173" s="104">
        <v>877</v>
      </c>
      <c r="G173" s="104">
        <v>468</v>
      </c>
      <c r="H173" s="116">
        <v>13.848144887359037</v>
      </c>
      <c r="I173" s="126">
        <v>3506</v>
      </c>
      <c r="J173" s="117">
        <v>17.565366175467126</v>
      </c>
    </row>
    <row r="174" spans="1:10" ht="16">
      <c r="A174" s="93" t="s">
        <v>1204</v>
      </c>
      <c r="B174" s="94" t="s">
        <v>1190</v>
      </c>
      <c r="C174" s="95" t="s">
        <v>76</v>
      </c>
      <c r="D174" s="96" t="s">
        <v>61</v>
      </c>
      <c r="E174" s="97">
        <v>19093</v>
      </c>
      <c r="F174" s="97">
        <v>979</v>
      </c>
      <c r="G174" s="97">
        <v>5155</v>
      </c>
      <c r="H174" s="114">
        <v>14.133386994774698</v>
      </c>
      <c r="I174" s="125">
        <v>7074</v>
      </c>
      <c r="J174" s="115">
        <v>17.669017641447173</v>
      </c>
    </row>
    <row r="175" spans="1:10" ht="16">
      <c r="A175" s="100" t="s">
        <v>96</v>
      </c>
      <c r="B175" s="101" t="s">
        <v>89</v>
      </c>
      <c r="C175" s="102" t="s">
        <v>76</v>
      </c>
      <c r="D175" s="103" t="s">
        <v>77</v>
      </c>
      <c r="E175" s="104">
        <v>39305</v>
      </c>
      <c r="F175" s="104">
        <v>1374</v>
      </c>
      <c r="G175" s="104">
        <v>8647</v>
      </c>
      <c r="H175" s="116">
        <v>30.475917343148954</v>
      </c>
      <c r="I175" s="126">
        <v>21840</v>
      </c>
      <c r="J175" s="117">
        <v>24.654082928616369</v>
      </c>
    </row>
    <row r="176" spans="1:10" ht="16">
      <c r="A176" s="93" t="s">
        <v>303</v>
      </c>
      <c r="B176" s="94" t="s">
        <v>304</v>
      </c>
      <c r="C176" s="95" t="s">
        <v>76</v>
      </c>
      <c r="D176" s="96" t="s">
        <v>63</v>
      </c>
      <c r="E176" s="97">
        <v>10339</v>
      </c>
      <c r="F176" s="97">
        <v>801</v>
      </c>
      <c r="G176" s="97">
        <v>103</v>
      </c>
      <c r="H176" s="114">
        <v>10.584688056692176</v>
      </c>
      <c r="I176" s="125">
        <v>1571</v>
      </c>
      <c r="J176" s="115">
        <v>17.343742959913399</v>
      </c>
    </row>
    <row r="177" spans="1:10" ht="16">
      <c r="A177" s="100" t="s">
        <v>819</v>
      </c>
      <c r="B177" s="101" t="s">
        <v>820</v>
      </c>
      <c r="C177" s="102" t="s">
        <v>107</v>
      </c>
      <c r="D177" s="103" t="s">
        <v>80</v>
      </c>
      <c r="E177" s="104">
        <v>18743</v>
      </c>
      <c r="F177" s="104">
        <v>928</v>
      </c>
      <c r="G177" s="104">
        <v>5623</v>
      </c>
      <c r="H177" s="116">
        <v>72.701987064467176</v>
      </c>
      <c r="I177" s="126">
        <v>45732</v>
      </c>
      <c r="J177" s="117">
        <v>55.314109383079888</v>
      </c>
    </row>
    <row r="178" spans="1:10" ht="16">
      <c r="A178" s="93" t="s">
        <v>485</v>
      </c>
      <c r="B178" s="94" t="s">
        <v>474</v>
      </c>
      <c r="C178" s="95" t="s">
        <v>107</v>
      </c>
      <c r="D178" s="96" t="s">
        <v>59</v>
      </c>
      <c r="E178" s="97">
        <v>8242</v>
      </c>
      <c r="F178" s="97">
        <v>354</v>
      </c>
      <c r="G178" s="97">
        <v>379</v>
      </c>
      <c r="H178" s="114">
        <v>13.230473603316501</v>
      </c>
      <c r="I178" s="125">
        <v>4921</v>
      </c>
      <c r="J178" s="115">
        <v>16.348294088892125</v>
      </c>
    </row>
    <row r="179" spans="1:10" ht="16">
      <c r="A179" s="100" t="s">
        <v>450</v>
      </c>
      <c r="B179" s="101" t="s">
        <v>448</v>
      </c>
      <c r="C179" s="102" t="s">
        <v>76</v>
      </c>
      <c r="D179" s="103" t="s">
        <v>82</v>
      </c>
      <c r="E179" s="104">
        <v>30414</v>
      </c>
      <c r="F179" s="104">
        <v>611</v>
      </c>
      <c r="G179" s="104">
        <v>912</v>
      </c>
      <c r="H179" s="116">
        <v>11.953938710937136</v>
      </c>
      <c r="I179" s="126">
        <v>3810</v>
      </c>
      <c r="J179" s="117">
        <v>15.061528040642338</v>
      </c>
    </row>
    <row r="180" spans="1:10" ht="16">
      <c r="A180" s="93" t="s">
        <v>214</v>
      </c>
      <c r="B180" s="94" t="s">
        <v>212</v>
      </c>
      <c r="C180" s="95" t="s">
        <v>107</v>
      </c>
      <c r="D180" s="96" t="s">
        <v>92</v>
      </c>
      <c r="E180" s="97">
        <v>17287</v>
      </c>
      <c r="F180" s="97">
        <v>1160</v>
      </c>
      <c r="G180" s="97">
        <v>346</v>
      </c>
      <c r="H180" s="114">
        <v>10.585709242446788</v>
      </c>
      <c r="I180" s="125">
        <v>10091</v>
      </c>
      <c r="J180" s="115">
        <v>15.10309465828465</v>
      </c>
    </row>
    <row r="181" spans="1:10" ht="16">
      <c r="A181" s="100" t="s">
        <v>1153</v>
      </c>
      <c r="B181" s="101" t="s">
        <v>1142</v>
      </c>
      <c r="C181" s="102" t="s">
        <v>107</v>
      </c>
      <c r="D181" s="103" t="s">
        <v>62</v>
      </c>
      <c r="E181" s="104">
        <v>62844</v>
      </c>
      <c r="F181" s="104">
        <v>3256</v>
      </c>
      <c r="G181" s="104">
        <v>1257</v>
      </c>
      <c r="H181" s="116">
        <v>10.178757690466606</v>
      </c>
      <c r="I181" s="126">
        <v>1961</v>
      </c>
      <c r="J181" s="117">
        <v>15.994263922959147</v>
      </c>
    </row>
    <row r="182" spans="1:10" ht="16">
      <c r="A182" s="93" t="s">
        <v>649</v>
      </c>
      <c r="B182" s="94" t="s">
        <v>642</v>
      </c>
      <c r="C182" s="95" t="s">
        <v>107</v>
      </c>
      <c r="D182" s="96" t="s">
        <v>84</v>
      </c>
      <c r="E182" s="97">
        <v>28309</v>
      </c>
      <c r="F182" s="97">
        <v>1506</v>
      </c>
      <c r="G182" s="97">
        <v>1132</v>
      </c>
      <c r="H182" s="114">
        <v>9.8984932564344472</v>
      </c>
      <c r="I182" s="125">
        <v>787</v>
      </c>
      <c r="J182" s="115">
        <v>16.286905185893332</v>
      </c>
    </row>
    <row r="183" spans="1:10" ht="16">
      <c r="A183" s="100" t="s">
        <v>1309</v>
      </c>
      <c r="B183" s="101" t="s">
        <v>1288</v>
      </c>
      <c r="C183" s="102" t="s">
        <v>107</v>
      </c>
      <c r="D183" s="103" t="s">
        <v>60</v>
      </c>
      <c r="E183" s="104">
        <v>19801</v>
      </c>
      <c r="F183" s="104">
        <v>1784</v>
      </c>
      <c r="G183" s="104">
        <v>3366</v>
      </c>
      <c r="H183" s="116">
        <v>20.548241771939999</v>
      </c>
      <c r="I183" s="126">
        <v>13224</v>
      </c>
      <c r="J183" s="117">
        <v>36.642413157540958</v>
      </c>
    </row>
    <row r="184" spans="1:10" ht="16">
      <c r="A184" s="93" t="s">
        <v>580</v>
      </c>
      <c r="B184" s="94" t="s">
        <v>581</v>
      </c>
      <c r="C184" s="95" t="s">
        <v>76</v>
      </c>
      <c r="D184" s="96" t="s">
        <v>60</v>
      </c>
      <c r="E184" s="97">
        <v>12619</v>
      </c>
      <c r="F184" s="97">
        <v>526</v>
      </c>
      <c r="G184" s="97">
        <v>1262</v>
      </c>
      <c r="H184" s="114">
        <v>25.648720128360804</v>
      </c>
      <c r="I184" s="125">
        <v>12636</v>
      </c>
      <c r="J184" s="115">
        <v>21.345469866171143</v>
      </c>
    </row>
    <row r="185" spans="1:10" ht="16">
      <c r="A185" s="100" t="s">
        <v>1310</v>
      </c>
      <c r="B185" s="101" t="s">
        <v>1288</v>
      </c>
      <c r="C185" s="102" t="s">
        <v>107</v>
      </c>
      <c r="D185" s="103" t="s">
        <v>62</v>
      </c>
      <c r="E185" s="104">
        <v>15309</v>
      </c>
      <c r="F185" s="104">
        <v>3560</v>
      </c>
      <c r="G185" s="104">
        <v>2909</v>
      </c>
      <c r="H185" s="116">
        <v>76.818112533598708</v>
      </c>
      <c r="I185" s="126">
        <v>74568</v>
      </c>
      <c r="J185" s="117">
        <v>82.665281763753441</v>
      </c>
    </row>
    <row r="186" spans="1:10" ht="16">
      <c r="A186" s="93" t="s">
        <v>1205</v>
      </c>
      <c r="B186" s="94" t="s">
        <v>1190</v>
      </c>
      <c r="C186" s="95" t="s">
        <v>76</v>
      </c>
      <c r="D186" s="96" t="s">
        <v>61</v>
      </c>
      <c r="E186" s="97">
        <v>16963</v>
      </c>
      <c r="F186" s="97">
        <v>1146</v>
      </c>
      <c r="G186" s="97">
        <v>5089</v>
      </c>
      <c r="H186" s="114">
        <v>48.252445777962222</v>
      </c>
      <c r="I186" s="125">
        <v>36121</v>
      </c>
      <c r="J186" s="115">
        <v>45.97078394107011</v>
      </c>
    </row>
    <row r="187" spans="1:10" ht="16">
      <c r="A187" s="100" t="s">
        <v>237</v>
      </c>
      <c r="B187" s="101" t="s">
        <v>223</v>
      </c>
      <c r="C187" s="102" t="s">
        <v>76</v>
      </c>
      <c r="D187" s="103" t="s">
        <v>63</v>
      </c>
      <c r="E187" s="104">
        <v>25747</v>
      </c>
      <c r="F187" s="104">
        <v>2239</v>
      </c>
      <c r="G187" s="104">
        <v>4377</v>
      </c>
      <c r="H187" s="116">
        <v>24.444875427064765</v>
      </c>
      <c r="I187" s="126">
        <v>11948</v>
      </c>
      <c r="J187" s="117">
        <v>31.457694942301252</v>
      </c>
    </row>
    <row r="188" spans="1:10" ht="16">
      <c r="A188" s="93" t="s">
        <v>238</v>
      </c>
      <c r="B188" s="94" t="s">
        <v>223</v>
      </c>
      <c r="C188" s="95" t="s">
        <v>107</v>
      </c>
      <c r="D188" s="96" t="s">
        <v>61</v>
      </c>
      <c r="E188" s="97">
        <v>25519</v>
      </c>
      <c r="F188" s="97">
        <v>1636</v>
      </c>
      <c r="G188" s="97">
        <v>510</v>
      </c>
      <c r="H188" s="114">
        <v>19.491209066629384</v>
      </c>
      <c r="I188" s="125">
        <v>8452</v>
      </c>
      <c r="J188" s="115">
        <v>22.11941141088375</v>
      </c>
    </row>
    <row r="189" spans="1:10" ht="16">
      <c r="A189" s="100" t="s">
        <v>847</v>
      </c>
      <c r="B189" s="101" t="s">
        <v>848</v>
      </c>
      <c r="C189" s="102" t="s">
        <v>107</v>
      </c>
      <c r="D189" s="103" t="s">
        <v>62</v>
      </c>
      <c r="E189" s="104">
        <v>18865</v>
      </c>
      <c r="F189" s="104">
        <v>696</v>
      </c>
      <c r="G189" s="104">
        <v>15658</v>
      </c>
      <c r="H189" s="116">
        <v>12.659586751068218</v>
      </c>
      <c r="I189" s="126">
        <v>3675</v>
      </c>
      <c r="J189" s="117">
        <v>17.317402599633606</v>
      </c>
    </row>
    <row r="190" spans="1:10" ht="16">
      <c r="A190" s="93" t="s">
        <v>1206</v>
      </c>
      <c r="B190" s="94" t="s">
        <v>1190</v>
      </c>
      <c r="C190" s="95" t="s">
        <v>76</v>
      </c>
      <c r="D190" s="96" t="s">
        <v>84</v>
      </c>
      <c r="E190" s="97">
        <v>12185</v>
      </c>
      <c r="F190" s="97">
        <v>786</v>
      </c>
      <c r="G190" s="97">
        <v>609</v>
      </c>
      <c r="H190" s="114">
        <v>11.127126213154812</v>
      </c>
      <c r="I190" s="125">
        <v>3479</v>
      </c>
      <c r="J190" s="115">
        <v>15.303454800698217</v>
      </c>
    </row>
    <row r="191" spans="1:10" ht="16">
      <c r="A191" s="100" t="s">
        <v>1207</v>
      </c>
      <c r="B191" s="101" t="s">
        <v>1190</v>
      </c>
      <c r="C191" s="102" t="s">
        <v>76</v>
      </c>
      <c r="D191" s="103" t="s">
        <v>77</v>
      </c>
      <c r="E191" s="104">
        <v>10668</v>
      </c>
      <c r="F191" s="104">
        <v>567</v>
      </c>
      <c r="G191" s="104">
        <v>3520</v>
      </c>
      <c r="H191" s="116">
        <v>14.742755195425088</v>
      </c>
      <c r="I191" s="126">
        <v>5723</v>
      </c>
      <c r="J191" s="117">
        <v>17.599162760615535</v>
      </c>
    </row>
    <row r="192" spans="1:10" ht="16">
      <c r="A192" s="93" t="s">
        <v>97</v>
      </c>
      <c r="B192" s="94" t="s">
        <v>89</v>
      </c>
      <c r="C192" s="95" t="s">
        <v>76</v>
      </c>
      <c r="D192" s="96" t="s">
        <v>82</v>
      </c>
      <c r="E192" s="97">
        <v>17560</v>
      </c>
      <c r="F192" s="97">
        <v>561</v>
      </c>
      <c r="G192" s="97">
        <v>4566</v>
      </c>
      <c r="H192" s="114">
        <v>22.015371918784705</v>
      </c>
      <c r="I192" s="125">
        <v>14862</v>
      </c>
      <c r="J192" s="115">
        <v>19.42268138246494</v>
      </c>
    </row>
    <row r="193" spans="1:10" ht="16">
      <c r="A193" s="100" t="s">
        <v>1154</v>
      </c>
      <c r="B193" s="101" t="s">
        <v>1142</v>
      </c>
      <c r="C193" s="102" t="s">
        <v>107</v>
      </c>
      <c r="D193" s="103" t="s">
        <v>84</v>
      </c>
      <c r="E193" s="104">
        <v>46056</v>
      </c>
      <c r="F193" s="104">
        <v>2193</v>
      </c>
      <c r="G193" s="104">
        <v>1382</v>
      </c>
      <c r="H193" s="116">
        <v>10.366917053454875</v>
      </c>
      <c r="I193" s="126">
        <v>1483</v>
      </c>
      <c r="J193" s="117">
        <v>17.864124976851791</v>
      </c>
    </row>
    <row r="194" spans="1:10" ht="16">
      <c r="A194" s="93" t="s">
        <v>650</v>
      </c>
      <c r="B194" s="94" t="s">
        <v>642</v>
      </c>
      <c r="C194" s="95" t="s">
        <v>107</v>
      </c>
      <c r="D194" s="96" t="s">
        <v>84</v>
      </c>
      <c r="E194" s="97">
        <v>9333</v>
      </c>
      <c r="F194" s="97">
        <v>712</v>
      </c>
      <c r="G194" s="97">
        <v>187</v>
      </c>
      <c r="H194" s="114">
        <v>15.026467269186497</v>
      </c>
      <c r="I194" s="125">
        <v>3052</v>
      </c>
      <c r="J194" s="115">
        <v>21.836295376143124</v>
      </c>
    </row>
    <row r="195" spans="1:10" ht="16">
      <c r="A195" s="100" t="s">
        <v>821</v>
      </c>
      <c r="B195" s="101" t="s">
        <v>820</v>
      </c>
      <c r="C195" s="102" t="s">
        <v>107</v>
      </c>
      <c r="D195" s="103" t="s">
        <v>80</v>
      </c>
      <c r="E195" s="104">
        <v>8917</v>
      </c>
      <c r="F195" s="104">
        <v>431</v>
      </c>
      <c r="G195" s="104">
        <v>1694</v>
      </c>
      <c r="H195" s="116">
        <v>49.720990137236321</v>
      </c>
      <c r="I195" s="126">
        <v>29851</v>
      </c>
      <c r="J195" s="117">
        <v>45.158540877677055</v>
      </c>
    </row>
    <row r="196" spans="1:10" ht="16">
      <c r="A196" s="93" t="s">
        <v>1311</v>
      </c>
      <c r="B196" s="94" t="s">
        <v>1288</v>
      </c>
      <c r="C196" s="95" t="s">
        <v>107</v>
      </c>
      <c r="D196" s="96" t="s">
        <v>77</v>
      </c>
      <c r="E196" s="97">
        <v>16340</v>
      </c>
      <c r="F196" s="97">
        <v>973</v>
      </c>
      <c r="G196" s="97">
        <v>1471</v>
      </c>
      <c r="H196" s="114">
        <v>9.430549244668148</v>
      </c>
      <c r="I196" s="125">
        <v>4113</v>
      </c>
      <c r="J196" s="115">
        <v>17.758510982585015</v>
      </c>
    </row>
    <row r="197" spans="1:10" ht="16">
      <c r="A197" s="100" t="s">
        <v>1312</v>
      </c>
      <c r="B197" s="101" t="s">
        <v>1288</v>
      </c>
      <c r="C197" s="102" t="s">
        <v>76</v>
      </c>
      <c r="D197" s="103" t="s">
        <v>60</v>
      </c>
      <c r="E197" s="104">
        <v>12735</v>
      </c>
      <c r="F197" s="104">
        <v>3184</v>
      </c>
      <c r="G197" s="104">
        <v>2547</v>
      </c>
      <c r="H197" s="116">
        <v>40.671667546664715</v>
      </c>
      <c r="I197" s="126">
        <v>40056</v>
      </c>
      <c r="J197" s="117">
        <v>56.821648742443372</v>
      </c>
    </row>
    <row r="198" spans="1:10" ht="16">
      <c r="A198" s="93" t="s">
        <v>822</v>
      </c>
      <c r="B198" s="94" t="s">
        <v>820</v>
      </c>
      <c r="C198" s="95" t="s">
        <v>76</v>
      </c>
      <c r="D198" s="96" t="s">
        <v>63</v>
      </c>
      <c r="E198" s="97">
        <v>23167</v>
      </c>
      <c r="F198" s="97">
        <v>1136</v>
      </c>
      <c r="G198" s="97">
        <v>5328</v>
      </c>
      <c r="H198" s="114">
        <v>58.021305116635084</v>
      </c>
      <c r="I198" s="125">
        <v>55746</v>
      </c>
      <c r="J198" s="115">
        <v>39.975102294961431</v>
      </c>
    </row>
    <row r="199" spans="1:10" ht="16">
      <c r="A199" s="100" t="s">
        <v>1155</v>
      </c>
      <c r="B199" s="101" t="s">
        <v>1142</v>
      </c>
      <c r="C199" s="102" t="s">
        <v>107</v>
      </c>
      <c r="D199" s="103" t="s">
        <v>84</v>
      </c>
      <c r="E199" s="104">
        <v>39178</v>
      </c>
      <c r="F199" s="104">
        <v>1346</v>
      </c>
      <c r="G199" s="104">
        <v>1175</v>
      </c>
      <c r="H199" s="116">
        <v>16.468244901487594</v>
      </c>
      <c r="I199" s="126">
        <v>3367</v>
      </c>
      <c r="J199" s="117">
        <v>19.834550024872986</v>
      </c>
    </row>
    <row r="200" spans="1:10" ht="16">
      <c r="A200" s="93" t="s">
        <v>1071</v>
      </c>
      <c r="B200" s="94" t="s">
        <v>1072</v>
      </c>
      <c r="C200" s="95" t="s">
        <v>107</v>
      </c>
      <c r="D200" s="96" t="s">
        <v>61</v>
      </c>
      <c r="E200" s="97">
        <v>18956</v>
      </c>
      <c r="F200" s="97">
        <v>1516</v>
      </c>
      <c r="G200" s="97">
        <v>7393</v>
      </c>
      <c r="H200" s="114">
        <v>93.351247680009322</v>
      </c>
      <c r="I200" s="125">
        <v>83913</v>
      </c>
      <c r="J200" s="115">
        <v>82.167746237079072</v>
      </c>
    </row>
    <row r="201" spans="1:10" ht="16">
      <c r="A201" s="100" t="s">
        <v>993</v>
      </c>
      <c r="B201" s="101" t="s">
        <v>988</v>
      </c>
      <c r="C201" s="102" t="s">
        <v>107</v>
      </c>
      <c r="D201" s="103" t="s">
        <v>80</v>
      </c>
      <c r="E201" s="104">
        <v>14510</v>
      </c>
      <c r="F201" s="104">
        <v>859</v>
      </c>
      <c r="G201" s="104">
        <v>2177</v>
      </c>
      <c r="H201" s="116">
        <v>31.554006113376101</v>
      </c>
      <c r="I201" s="126">
        <v>9790</v>
      </c>
      <c r="J201" s="117">
        <v>30.256190587680095</v>
      </c>
    </row>
    <row r="202" spans="1:10" ht="16">
      <c r="A202" s="93" t="s">
        <v>922</v>
      </c>
      <c r="B202" s="94" t="s">
        <v>919</v>
      </c>
      <c r="C202" s="95" t="s">
        <v>107</v>
      </c>
      <c r="D202" s="96" t="s">
        <v>130</v>
      </c>
      <c r="E202" s="97">
        <v>15601</v>
      </c>
      <c r="F202" s="97">
        <v>1515</v>
      </c>
      <c r="G202" s="97">
        <v>2964</v>
      </c>
      <c r="H202" s="114">
        <v>11.405733643918573</v>
      </c>
      <c r="I202" s="125">
        <v>1357</v>
      </c>
      <c r="J202" s="115">
        <v>22.120695074225665</v>
      </c>
    </row>
    <row r="203" spans="1:10" ht="16">
      <c r="A203" s="100" t="s">
        <v>353</v>
      </c>
      <c r="B203" s="101" t="s">
        <v>344</v>
      </c>
      <c r="C203" s="102" t="s">
        <v>107</v>
      </c>
      <c r="D203" s="103" t="s">
        <v>77</v>
      </c>
      <c r="E203" s="104">
        <v>33084</v>
      </c>
      <c r="F203" s="104">
        <v>2346</v>
      </c>
      <c r="G203" s="104">
        <v>331</v>
      </c>
      <c r="H203" s="116">
        <v>10.432240576698346</v>
      </c>
      <c r="I203" s="126">
        <v>3261</v>
      </c>
      <c r="J203" s="117">
        <v>16.193748362092574</v>
      </c>
    </row>
    <row r="204" spans="1:10" ht="16">
      <c r="A204" s="93" t="s">
        <v>149</v>
      </c>
      <c r="B204" s="94" t="s">
        <v>150</v>
      </c>
      <c r="C204" s="95" t="s">
        <v>107</v>
      </c>
      <c r="D204" s="96" t="s">
        <v>61</v>
      </c>
      <c r="E204" s="97">
        <v>5872</v>
      </c>
      <c r="F204" s="97">
        <v>763</v>
      </c>
      <c r="G204" s="97">
        <v>404</v>
      </c>
      <c r="H204" s="114">
        <v>8.4208135568076568</v>
      </c>
      <c r="I204" s="125">
        <v>165</v>
      </c>
      <c r="J204" s="115">
        <v>27.961056623236296</v>
      </c>
    </row>
    <row r="205" spans="1:10" ht="16">
      <c r="A205" s="100" t="s">
        <v>151</v>
      </c>
      <c r="B205" s="101" t="s">
        <v>150</v>
      </c>
      <c r="C205" s="102" t="s">
        <v>107</v>
      </c>
      <c r="D205" s="103" t="s">
        <v>92</v>
      </c>
      <c r="E205" s="104">
        <v>14422</v>
      </c>
      <c r="F205" s="104">
        <v>690</v>
      </c>
      <c r="G205" s="104">
        <v>144</v>
      </c>
      <c r="H205" s="116">
        <v>12.522277291768289</v>
      </c>
      <c r="I205" s="126">
        <v>2919</v>
      </c>
      <c r="J205" s="117">
        <v>16.796855537252412</v>
      </c>
    </row>
    <row r="206" spans="1:10" ht="16">
      <c r="A206" s="93" t="s">
        <v>152</v>
      </c>
      <c r="B206" s="94" t="s">
        <v>150</v>
      </c>
      <c r="C206" s="95" t="s">
        <v>76</v>
      </c>
      <c r="D206" s="96" t="s">
        <v>82</v>
      </c>
      <c r="E206" s="97">
        <v>24077</v>
      </c>
      <c r="F206" s="97">
        <v>1824</v>
      </c>
      <c r="G206" s="97">
        <v>1204</v>
      </c>
      <c r="H206" s="114">
        <v>6.8544532111831087</v>
      </c>
      <c r="I206" s="125">
        <v>894</v>
      </c>
      <c r="J206" s="115">
        <v>16.75175703218488</v>
      </c>
    </row>
    <row r="207" spans="1:10" ht="16">
      <c r="A207" s="100" t="s">
        <v>153</v>
      </c>
      <c r="B207" s="101" t="s">
        <v>150</v>
      </c>
      <c r="C207" s="102" t="s">
        <v>76</v>
      </c>
      <c r="D207" s="103" t="s">
        <v>62</v>
      </c>
      <c r="E207" s="104">
        <v>40848</v>
      </c>
      <c r="F207" s="104">
        <v>2569</v>
      </c>
      <c r="G207" s="104">
        <v>2812</v>
      </c>
      <c r="H207" s="116">
        <v>14.442097566414397</v>
      </c>
      <c r="I207" s="126">
        <v>2643</v>
      </c>
      <c r="J207" s="117">
        <v>21.896982967924245</v>
      </c>
    </row>
    <row r="208" spans="1:10" ht="16">
      <c r="A208" s="93" t="s">
        <v>154</v>
      </c>
      <c r="B208" s="94" t="s">
        <v>150</v>
      </c>
      <c r="C208" s="95" t="s">
        <v>76</v>
      </c>
      <c r="D208" s="96" t="s">
        <v>61</v>
      </c>
      <c r="E208" s="97">
        <v>3621</v>
      </c>
      <c r="F208" s="97">
        <v>338</v>
      </c>
      <c r="G208" s="97">
        <v>72</v>
      </c>
      <c r="H208" s="114">
        <v>10.613351358742435</v>
      </c>
      <c r="I208" s="125">
        <v>1466</v>
      </c>
      <c r="J208" s="115">
        <v>20.48708272414353</v>
      </c>
    </row>
    <row r="209" spans="1:10" ht="16">
      <c r="A209" s="100" t="s">
        <v>155</v>
      </c>
      <c r="B209" s="101" t="s">
        <v>150</v>
      </c>
      <c r="C209" s="102" t="s">
        <v>107</v>
      </c>
      <c r="D209" s="103" t="s">
        <v>62</v>
      </c>
      <c r="E209" s="104">
        <v>14024</v>
      </c>
      <c r="F209" s="104">
        <v>723</v>
      </c>
      <c r="G209" s="104">
        <v>140</v>
      </c>
      <c r="H209" s="116">
        <v>17.077026418729822</v>
      </c>
      <c r="I209" s="126">
        <v>1978</v>
      </c>
      <c r="J209" s="117">
        <v>24.388785586793851</v>
      </c>
    </row>
    <row r="210" spans="1:10" ht="16">
      <c r="A210" s="93" t="s">
        <v>156</v>
      </c>
      <c r="B210" s="94" t="s">
        <v>150</v>
      </c>
      <c r="C210" s="95" t="s">
        <v>107</v>
      </c>
      <c r="D210" s="96" t="s">
        <v>82</v>
      </c>
      <c r="E210" s="97">
        <v>25018</v>
      </c>
      <c r="F210" s="97">
        <v>1390</v>
      </c>
      <c r="G210" s="97">
        <v>1722</v>
      </c>
      <c r="H210" s="114">
        <v>7.267873072411497</v>
      </c>
      <c r="I210" s="125">
        <v>597</v>
      </c>
      <c r="J210" s="115">
        <v>17.25034760619792</v>
      </c>
    </row>
    <row r="211" spans="1:10" ht="16">
      <c r="A211" s="100" t="s">
        <v>157</v>
      </c>
      <c r="B211" s="101" t="s">
        <v>150</v>
      </c>
      <c r="C211" s="102" t="s">
        <v>76</v>
      </c>
      <c r="D211" s="103" t="s">
        <v>130</v>
      </c>
      <c r="E211" s="104">
        <v>43899</v>
      </c>
      <c r="F211" s="104">
        <v>3484</v>
      </c>
      <c r="G211" s="104">
        <v>878</v>
      </c>
      <c r="H211" s="116">
        <v>18.599307256713146</v>
      </c>
      <c r="I211" s="126">
        <v>9437</v>
      </c>
      <c r="J211" s="117">
        <v>30.383840459905699</v>
      </c>
    </row>
    <row r="212" spans="1:10" ht="16">
      <c r="A212" s="93" t="s">
        <v>158</v>
      </c>
      <c r="B212" s="94" t="s">
        <v>150</v>
      </c>
      <c r="C212" s="95" t="s">
        <v>76</v>
      </c>
      <c r="D212" s="96" t="s">
        <v>80</v>
      </c>
      <c r="E212" s="97">
        <v>13823</v>
      </c>
      <c r="F212" s="97">
        <v>848</v>
      </c>
      <c r="G212" s="97">
        <v>138</v>
      </c>
      <c r="H212" s="114">
        <v>10.548773861133489</v>
      </c>
      <c r="I212" s="125">
        <v>1916</v>
      </c>
      <c r="J212" s="115">
        <v>16.995126610833079</v>
      </c>
    </row>
    <row r="213" spans="1:10" ht="16">
      <c r="A213" s="100" t="s">
        <v>159</v>
      </c>
      <c r="B213" s="101" t="s">
        <v>150</v>
      </c>
      <c r="C213" s="102" t="s">
        <v>76</v>
      </c>
      <c r="D213" s="103" t="s">
        <v>84</v>
      </c>
      <c r="E213" s="104">
        <v>23198</v>
      </c>
      <c r="F213" s="104">
        <v>1333</v>
      </c>
      <c r="G213" s="104">
        <v>1160</v>
      </c>
      <c r="H213" s="116">
        <v>11.727714821677534</v>
      </c>
      <c r="I213" s="126">
        <v>5388</v>
      </c>
      <c r="J213" s="117">
        <v>18.379081989606846</v>
      </c>
    </row>
    <row r="214" spans="1:10" ht="16">
      <c r="A214" s="93" t="s">
        <v>160</v>
      </c>
      <c r="B214" s="94" t="s">
        <v>150</v>
      </c>
      <c r="C214" s="95" t="s">
        <v>107</v>
      </c>
      <c r="D214" s="96" t="s">
        <v>84</v>
      </c>
      <c r="E214" s="97">
        <v>34072</v>
      </c>
      <c r="F214" s="97">
        <v>2662</v>
      </c>
      <c r="G214" s="97">
        <v>341</v>
      </c>
      <c r="H214" s="114">
        <v>10.157510614239213</v>
      </c>
      <c r="I214" s="125">
        <v>1402</v>
      </c>
      <c r="J214" s="115">
        <v>27.411526953545227</v>
      </c>
    </row>
    <row r="215" spans="1:10" ht="16">
      <c r="A215" s="100" t="s">
        <v>161</v>
      </c>
      <c r="B215" s="101" t="s">
        <v>150</v>
      </c>
      <c r="C215" s="102" t="s">
        <v>76</v>
      </c>
      <c r="D215" s="103" t="s">
        <v>82</v>
      </c>
      <c r="E215" s="104">
        <v>48675</v>
      </c>
      <c r="F215" s="104">
        <v>3957</v>
      </c>
      <c r="G215" s="104">
        <v>974</v>
      </c>
      <c r="H215" s="116">
        <v>22.20519378636568</v>
      </c>
      <c r="I215" s="126">
        <v>5822</v>
      </c>
      <c r="J215" s="117">
        <v>35.368152970718228</v>
      </c>
    </row>
    <row r="216" spans="1:10" ht="16">
      <c r="A216" s="93" t="s">
        <v>162</v>
      </c>
      <c r="B216" s="94" t="s">
        <v>150</v>
      </c>
      <c r="C216" s="95" t="s">
        <v>76</v>
      </c>
      <c r="D216" s="96" t="s">
        <v>63</v>
      </c>
      <c r="E216" s="97">
        <v>42573</v>
      </c>
      <c r="F216" s="97">
        <v>2490</v>
      </c>
      <c r="G216" s="97">
        <v>2931</v>
      </c>
      <c r="H216" s="114">
        <v>9.6984098443403255</v>
      </c>
      <c r="I216" s="125">
        <v>1708</v>
      </c>
      <c r="J216" s="115">
        <v>20.192385706621675</v>
      </c>
    </row>
    <row r="217" spans="1:10" ht="16">
      <c r="A217" s="100" t="s">
        <v>163</v>
      </c>
      <c r="B217" s="101" t="s">
        <v>150</v>
      </c>
      <c r="C217" s="102" t="s">
        <v>76</v>
      </c>
      <c r="D217" s="103" t="s">
        <v>130</v>
      </c>
      <c r="E217" s="104">
        <v>52579</v>
      </c>
      <c r="F217" s="104">
        <v>2710</v>
      </c>
      <c r="G217" s="104">
        <v>526</v>
      </c>
      <c r="H217" s="116">
        <v>18.719582088970228</v>
      </c>
      <c r="I217" s="126">
        <v>9070</v>
      </c>
      <c r="J217" s="117">
        <v>29.659250175000835</v>
      </c>
    </row>
    <row r="218" spans="1:10" ht="16">
      <c r="A218" s="93" t="s">
        <v>164</v>
      </c>
      <c r="B218" s="94" t="s">
        <v>150</v>
      </c>
      <c r="C218" s="95" t="s">
        <v>107</v>
      </c>
      <c r="D218" s="96" t="s">
        <v>82</v>
      </c>
      <c r="E218" s="97">
        <v>38719</v>
      </c>
      <c r="F218" s="97">
        <v>2332</v>
      </c>
      <c r="G218" s="97">
        <v>774</v>
      </c>
      <c r="H218" s="114">
        <v>13.456736605603862</v>
      </c>
      <c r="I218" s="125">
        <v>6905</v>
      </c>
      <c r="J218" s="115">
        <v>29.062410260505548</v>
      </c>
    </row>
    <row r="219" spans="1:10" ht="16">
      <c r="A219" s="100" t="s">
        <v>165</v>
      </c>
      <c r="B219" s="101" t="s">
        <v>150</v>
      </c>
      <c r="C219" s="102" t="s">
        <v>76</v>
      </c>
      <c r="D219" s="103" t="s">
        <v>61</v>
      </c>
      <c r="E219" s="104">
        <v>27285</v>
      </c>
      <c r="F219" s="104">
        <v>1935</v>
      </c>
      <c r="G219" s="104">
        <v>1879</v>
      </c>
      <c r="H219" s="116">
        <v>9.6705433483382546</v>
      </c>
      <c r="I219" s="126">
        <v>1253</v>
      </c>
      <c r="J219" s="117">
        <v>20.814969557733193</v>
      </c>
    </row>
    <row r="220" spans="1:10" ht="16">
      <c r="A220" s="93" t="s">
        <v>1086</v>
      </c>
      <c r="B220" s="94" t="s">
        <v>1081</v>
      </c>
      <c r="C220" s="95" t="s">
        <v>107</v>
      </c>
      <c r="D220" s="96" t="s">
        <v>80</v>
      </c>
      <c r="E220" s="97">
        <v>19840</v>
      </c>
      <c r="F220" s="97">
        <v>859</v>
      </c>
      <c r="G220" s="97">
        <v>3174</v>
      </c>
      <c r="H220" s="114">
        <v>17.722874942233084</v>
      </c>
      <c r="I220" s="125">
        <v>2984</v>
      </c>
      <c r="J220" s="115">
        <v>18.301966814934289</v>
      </c>
    </row>
    <row r="221" spans="1:10" ht="16">
      <c r="A221" s="100" t="s">
        <v>542</v>
      </c>
      <c r="B221" s="101" t="s">
        <v>537</v>
      </c>
      <c r="C221" s="102" t="s">
        <v>76</v>
      </c>
      <c r="D221" s="103" t="s">
        <v>63</v>
      </c>
      <c r="E221" s="104">
        <v>23992</v>
      </c>
      <c r="F221" s="104">
        <v>813</v>
      </c>
      <c r="G221" s="104">
        <v>1200</v>
      </c>
      <c r="H221" s="116">
        <v>19.168163790061946</v>
      </c>
      <c r="I221" s="126">
        <v>4330</v>
      </c>
      <c r="J221" s="117">
        <v>26.462789292958377</v>
      </c>
    </row>
    <row r="222" spans="1:10" ht="16">
      <c r="A222" s="93" t="s">
        <v>98</v>
      </c>
      <c r="B222" s="94" t="s">
        <v>89</v>
      </c>
      <c r="C222" s="95" t="s">
        <v>76</v>
      </c>
      <c r="D222" s="96" t="s">
        <v>62</v>
      </c>
      <c r="E222" s="97">
        <v>16844</v>
      </c>
      <c r="F222" s="97">
        <v>653</v>
      </c>
      <c r="G222" s="97">
        <v>5727</v>
      </c>
      <c r="H222" s="114">
        <v>30.132976374289829</v>
      </c>
      <c r="I222" s="125">
        <v>25310</v>
      </c>
      <c r="J222" s="115">
        <v>22.884576305249478</v>
      </c>
    </row>
    <row r="223" spans="1:10" ht="16">
      <c r="A223" s="100" t="s">
        <v>1313</v>
      </c>
      <c r="B223" s="101" t="s">
        <v>1288</v>
      </c>
      <c r="C223" s="102" t="s">
        <v>76</v>
      </c>
      <c r="D223" s="103" t="s">
        <v>62</v>
      </c>
      <c r="E223" s="104">
        <v>23658</v>
      </c>
      <c r="F223" s="104">
        <v>1293</v>
      </c>
      <c r="G223" s="104">
        <v>2366</v>
      </c>
      <c r="H223" s="116">
        <v>19.504253533555747</v>
      </c>
      <c r="I223" s="126">
        <v>7231</v>
      </c>
      <c r="J223" s="117">
        <v>21.53245076742293</v>
      </c>
    </row>
    <row r="224" spans="1:10" ht="16">
      <c r="A224" s="93" t="s">
        <v>1314</v>
      </c>
      <c r="B224" s="94" t="s">
        <v>1288</v>
      </c>
      <c r="C224" s="95" t="s">
        <v>107</v>
      </c>
      <c r="D224" s="96" t="s">
        <v>60</v>
      </c>
      <c r="E224" s="97">
        <v>5344</v>
      </c>
      <c r="F224" s="97">
        <v>379</v>
      </c>
      <c r="G224" s="97">
        <v>1764</v>
      </c>
      <c r="H224" s="114">
        <v>14.723856084130073</v>
      </c>
      <c r="I224" s="125">
        <v>4637</v>
      </c>
      <c r="J224" s="115">
        <v>23.299355656648462</v>
      </c>
    </row>
    <row r="225" spans="1:10" ht="16">
      <c r="A225" s="100" t="s">
        <v>1315</v>
      </c>
      <c r="B225" s="101" t="s">
        <v>1288</v>
      </c>
      <c r="C225" s="102" t="s">
        <v>76</v>
      </c>
      <c r="D225" s="103" t="s">
        <v>63</v>
      </c>
      <c r="E225" s="104">
        <v>34203</v>
      </c>
      <c r="F225" s="104">
        <v>1437</v>
      </c>
      <c r="G225" s="104">
        <v>2736</v>
      </c>
      <c r="H225" s="116">
        <v>23.397623569081972</v>
      </c>
      <c r="I225" s="126">
        <v>14184</v>
      </c>
      <c r="J225" s="117">
        <v>30.63359111106206</v>
      </c>
    </row>
    <row r="226" spans="1:10" ht="16">
      <c r="A226" s="93" t="s">
        <v>1316</v>
      </c>
      <c r="B226" s="94" t="s">
        <v>1288</v>
      </c>
      <c r="C226" s="95" t="s">
        <v>76</v>
      </c>
      <c r="D226" s="96" t="s">
        <v>84</v>
      </c>
      <c r="E226" s="97">
        <v>38520</v>
      </c>
      <c r="F226" s="97">
        <v>1598</v>
      </c>
      <c r="G226" s="97">
        <v>2696</v>
      </c>
      <c r="H226" s="114">
        <v>40.902055930478397</v>
      </c>
      <c r="I226" s="125">
        <v>27810</v>
      </c>
      <c r="J226" s="115">
        <v>38.848620100795607</v>
      </c>
    </row>
    <row r="227" spans="1:10" ht="16">
      <c r="A227" s="100" t="s">
        <v>166</v>
      </c>
      <c r="B227" s="101" t="s">
        <v>150</v>
      </c>
      <c r="C227" s="102" t="s">
        <v>107</v>
      </c>
      <c r="D227" s="103" t="s">
        <v>80</v>
      </c>
      <c r="E227" s="104">
        <v>55502</v>
      </c>
      <c r="F227" s="104">
        <v>3604</v>
      </c>
      <c r="G227" s="104">
        <v>3821</v>
      </c>
      <c r="H227" s="116">
        <v>12.084019746798045</v>
      </c>
      <c r="I227" s="126">
        <v>1708</v>
      </c>
      <c r="J227" s="117">
        <v>20.105506249109979</v>
      </c>
    </row>
    <row r="228" spans="1:10" ht="16">
      <c r="A228" s="93" t="s">
        <v>404</v>
      </c>
      <c r="B228" s="94" t="s">
        <v>402</v>
      </c>
      <c r="C228" s="95" t="s">
        <v>76</v>
      </c>
      <c r="D228" s="96" t="s">
        <v>60</v>
      </c>
      <c r="E228" s="97">
        <v>35894</v>
      </c>
      <c r="F228" s="97">
        <v>617</v>
      </c>
      <c r="G228" s="97">
        <v>7538</v>
      </c>
      <c r="H228" s="114">
        <v>63.759608002923223</v>
      </c>
      <c r="I228" s="125">
        <v>37081</v>
      </c>
      <c r="J228" s="115">
        <v>57.475117893769685</v>
      </c>
    </row>
    <row r="229" spans="1:10" ht="16">
      <c r="A229" s="100" t="s">
        <v>600</v>
      </c>
      <c r="B229" s="101" t="s">
        <v>598</v>
      </c>
      <c r="C229" s="102" t="s">
        <v>76</v>
      </c>
      <c r="D229" s="103" t="s">
        <v>84</v>
      </c>
      <c r="E229" s="104">
        <v>3891</v>
      </c>
      <c r="F229" s="104">
        <v>324</v>
      </c>
      <c r="G229" s="104">
        <v>506</v>
      </c>
      <c r="H229" s="116">
        <v>13.715664146428754</v>
      </c>
      <c r="I229" s="126">
        <v>10363</v>
      </c>
      <c r="J229" s="117">
        <v>20.982058744135927</v>
      </c>
    </row>
    <row r="230" spans="1:10" ht="16">
      <c r="A230" s="93" t="s">
        <v>1087</v>
      </c>
      <c r="B230" s="94" t="s">
        <v>1081</v>
      </c>
      <c r="C230" s="95" t="s">
        <v>76</v>
      </c>
      <c r="D230" s="96" t="s">
        <v>62</v>
      </c>
      <c r="E230" s="97">
        <v>20450</v>
      </c>
      <c r="F230" s="97">
        <v>988</v>
      </c>
      <c r="G230" s="97">
        <v>1841</v>
      </c>
      <c r="H230" s="114">
        <v>20.266489055862106</v>
      </c>
      <c r="I230" s="125">
        <v>6332</v>
      </c>
      <c r="J230" s="115">
        <v>18.839396613495165</v>
      </c>
    </row>
    <row r="231" spans="1:10" ht="16">
      <c r="A231" s="100" t="s">
        <v>239</v>
      </c>
      <c r="B231" s="101" t="s">
        <v>223</v>
      </c>
      <c r="C231" s="102" t="s">
        <v>76</v>
      </c>
      <c r="D231" s="103" t="s">
        <v>84</v>
      </c>
      <c r="E231" s="104">
        <v>32537</v>
      </c>
      <c r="F231" s="104">
        <v>2905</v>
      </c>
      <c r="G231" s="104">
        <v>3904</v>
      </c>
      <c r="H231" s="116">
        <v>59.422815448084222</v>
      </c>
      <c r="I231" s="126">
        <v>40028</v>
      </c>
      <c r="J231" s="117">
        <v>62.261039037969866</v>
      </c>
    </row>
    <row r="232" spans="1:10" ht="16">
      <c r="A232" s="93" t="s">
        <v>651</v>
      </c>
      <c r="B232" s="94" t="s">
        <v>642</v>
      </c>
      <c r="C232" s="95" t="s">
        <v>76</v>
      </c>
      <c r="D232" s="96" t="s">
        <v>77</v>
      </c>
      <c r="E232" s="97">
        <v>2942</v>
      </c>
      <c r="F232" s="97">
        <v>919</v>
      </c>
      <c r="G232" s="97">
        <v>205</v>
      </c>
      <c r="H232" s="114">
        <v>10.405276931441554</v>
      </c>
      <c r="I232" s="125">
        <v>8935</v>
      </c>
      <c r="J232" s="115">
        <v>25.178216313482892</v>
      </c>
    </row>
    <row r="233" spans="1:10" ht="16">
      <c r="A233" s="100" t="s">
        <v>240</v>
      </c>
      <c r="B233" s="101" t="s">
        <v>223</v>
      </c>
      <c r="C233" s="102" t="s">
        <v>107</v>
      </c>
      <c r="D233" s="103" t="s">
        <v>62</v>
      </c>
      <c r="E233" s="104">
        <v>34979</v>
      </c>
      <c r="F233" s="104">
        <v>2200</v>
      </c>
      <c r="G233" s="104">
        <v>700</v>
      </c>
      <c r="H233" s="116">
        <v>12.558864732934623</v>
      </c>
      <c r="I233" s="126">
        <v>6676</v>
      </c>
      <c r="J233" s="117">
        <v>17.195674715913338</v>
      </c>
    </row>
    <row r="234" spans="1:10" ht="16">
      <c r="A234" s="93" t="s">
        <v>1156</v>
      </c>
      <c r="B234" s="94" t="s">
        <v>1142</v>
      </c>
      <c r="C234" s="95" t="s">
        <v>107</v>
      </c>
      <c r="D234" s="96" t="s">
        <v>62</v>
      </c>
      <c r="E234" s="97">
        <v>77346</v>
      </c>
      <c r="F234" s="97">
        <v>2553</v>
      </c>
      <c r="G234" s="97">
        <v>2320</v>
      </c>
      <c r="H234" s="114">
        <v>11.484222368647737</v>
      </c>
      <c r="I234" s="125">
        <v>1481</v>
      </c>
      <c r="J234" s="115">
        <v>19.524536139685672</v>
      </c>
    </row>
    <row r="235" spans="1:10" ht="16">
      <c r="A235" s="100" t="s">
        <v>1157</v>
      </c>
      <c r="B235" s="101" t="s">
        <v>1142</v>
      </c>
      <c r="C235" s="102" t="s">
        <v>107</v>
      </c>
      <c r="D235" s="103" t="s">
        <v>62</v>
      </c>
      <c r="E235" s="104">
        <v>37903</v>
      </c>
      <c r="F235" s="104">
        <v>995</v>
      </c>
      <c r="G235" s="104">
        <v>2274</v>
      </c>
      <c r="H235" s="116">
        <v>9.951509620460234</v>
      </c>
      <c r="I235" s="126">
        <v>1427</v>
      </c>
      <c r="J235" s="117">
        <v>17.770966403816551</v>
      </c>
    </row>
    <row r="236" spans="1:10" ht="16">
      <c r="A236" s="93" t="s">
        <v>881</v>
      </c>
      <c r="B236" s="94" t="s">
        <v>879</v>
      </c>
      <c r="C236" s="95" t="s">
        <v>107</v>
      </c>
      <c r="D236" s="96" t="s">
        <v>63</v>
      </c>
      <c r="E236" s="97">
        <v>16834</v>
      </c>
      <c r="F236" s="97">
        <v>1137</v>
      </c>
      <c r="G236" s="97">
        <v>673</v>
      </c>
      <c r="H236" s="114">
        <v>12.499696608855087</v>
      </c>
      <c r="I236" s="125">
        <v>4538</v>
      </c>
      <c r="J236" s="115">
        <v>18.063049438313399</v>
      </c>
    </row>
    <row r="237" spans="1:10" ht="16">
      <c r="A237" s="100" t="s">
        <v>1158</v>
      </c>
      <c r="B237" s="101" t="s">
        <v>1142</v>
      </c>
      <c r="C237" s="102" t="s">
        <v>107</v>
      </c>
      <c r="D237" s="103" t="s">
        <v>63</v>
      </c>
      <c r="E237" s="104">
        <v>7487</v>
      </c>
      <c r="F237" s="104">
        <v>273</v>
      </c>
      <c r="G237" s="104">
        <v>150</v>
      </c>
      <c r="H237" s="116">
        <v>14.842883117955344</v>
      </c>
      <c r="I237" s="126">
        <v>2839</v>
      </c>
      <c r="J237" s="117">
        <v>21.681269818865147</v>
      </c>
    </row>
    <row r="238" spans="1:10" ht="16">
      <c r="A238" s="93" t="s">
        <v>1317</v>
      </c>
      <c r="B238" s="94" t="s">
        <v>1288</v>
      </c>
      <c r="C238" s="95" t="s">
        <v>76</v>
      </c>
      <c r="D238" s="96" t="s">
        <v>80</v>
      </c>
      <c r="E238" s="97">
        <v>29377</v>
      </c>
      <c r="F238" s="97">
        <v>1632</v>
      </c>
      <c r="G238" s="97">
        <v>2938</v>
      </c>
      <c r="H238" s="114">
        <v>27.254130551240465</v>
      </c>
      <c r="I238" s="125">
        <v>23639</v>
      </c>
      <c r="J238" s="115">
        <v>30.393457411565208</v>
      </c>
    </row>
    <row r="239" spans="1:10" ht="16">
      <c r="A239" s="100" t="s">
        <v>1318</v>
      </c>
      <c r="B239" s="101" t="s">
        <v>1288</v>
      </c>
      <c r="C239" s="102" t="s">
        <v>76</v>
      </c>
      <c r="D239" s="103" t="s">
        <v>84</v>
      </c>
      <c r="E239" s="104">
        <v>23488</v>
      </c>
      <c r="F239" s="104">
        <v>1793</v>
      </c>
      <c r="G239" s="104">
        <v>4228</v>
      </c>
      <c r="H239" s="116">
        <v>32.990477927426255</v>
      </c>
      <c r="I239" s="126">
        <v>26529</v>
      </c>
      <c r="J239" s="117">
        <v>48.841917275257103</v>
      </c>
    </row>
    <row r="240" spans="1:10" ht="16">
      <c r="A240" s="93" t="s">
        <v>1319</v>
      </c>
      <c r="B240" s="94" t="s">
        <v>1288</v>
      </c>
      <c r="C240" s="95" t="s">
        <v>76</v>
      </c>
      <c r="D240" s="96" t="s">
        <v>61</v>
      </c>
      <c r="E240" s="97">
        <v>16279</v>
      </c>
      <c r="F240" s="97">
        <v>1915</v>
      </c>
      <c r="G240" s="97">
        <v>2930</v>
      </c>
      <c r="H240" s="114">
        <v>38.426546071320743</v>
      </c>
      <c r="I240" s="125">
        <v>35753</v>
      </c>
      <c r="J240" s="115">
        <v>57.559063394992137</v>
      </c>
    </row>
    <row r="241" spans="1:10" ht="16">
      <c r="A241" s="100" t="s">
        <v>1320</v>
      </c>
      <c r="B241" s="101" t="s">
        <v>1288</v>
      </c>
      <c r="C241" s="102" t="s">
        <v>107</v>
      </c>
      <c r="D241" s="103" t="s">
        <v>84</v>
      </c>
      <c r="E241" s="104">
        <v>21372</v>
      </c>
      <c r="F241" s="104">
        <v>1168</v>
      </c>
      <c r="G241" s="104">
        <v>5770</v>
      </c>
      <c r="H241" s="116">
        <v>76.596693249168013</v>
      </c>
      <c r="I241" s="126">
        <v>69189</v>
      </c>
      <c r="J241" s="117">
        <v>60.573444937717333</v>
      </c>
    </row>
    <row r="242" spans="1:10" ht="16">
      <c r="A242" s="93" t="s">
        <v>1321</v>
      </c>
      <c r="B242" s="94" t="s">
        <v>1288</v>
      </c>
      <c r="C242" s="95" t="s">
        <v>76</v>
      </c>
      <c r="D242" s="96" t="s">
        <v>82</v>
      </c>
      <c r="E242" s="97">
        <v>29290</v>
      </c>
      <c r="F242" s="97">
        <v>2034</v>
      </c>
      <c r="G242" s="97">
        <v>1757</v>
      </c>
      <c r="H242" s="114">
        <v>27.570072314878789</v>
      </c>
      <c r="I242" s="125">
        <v>17189</v>
      </c>
      <c r="J242" s="115">
        <v>34.061825313351875</v>
      </c>
    </row>
    <row r="243" spans="1:10" ht="16">
      <c r="A243" s="100" t="s">
        <v>143</v>
      </c>
      <c r="B243" s="101" t="s">
        <v>144</v>
      </c>
      <c r="C243" s="102" t="s">
        <v>76</v>
      </c>
      <c r="D243" s="103" t="s">
        <v>59</v>
      </c>
      <c r="E243" s="104">
        <v>38080</v>
      </c>
      <c r="F243" s="104">
        <v>1029</v>
      </c>
      <c r="G243" s="104">
        <v>3808</v>
      </c>
      <c r="H243" s="116">
        <v>55.577868311468542</v>
      </c>
      <c r="I243" s="126">
        <v>43560</v>
      </c>
      <c r="J243" s="117">
        <v>43.989917107558654</v>
      </c>
    </row>
    <row r="244" spans="1:10" ht="16">
      <c r="A244" s="93" t="s">
        <v>652</v>
      </c>
      <c r="B244" s="94" t="s">
        <v>642</v>
      </c>
      <c r="C244" s="95" t="s">
        <v>107</v>
      </c>
      <c r="D244" s="96" t="s">
        <v>62</v>
      </c>
      <c r="E244" s="97">
        <v>7194</v>
      </c>
      <c r="F244" s="97">
        <v>947</v>
      </c>
      <c r="G244" s="97">
        <v>288</v>
      </c>
      <c r="H244" s="114">
        <v>12.146686964755155</v>
      </c>
      <c r="I244" s="125">
        <v>2082</v>
      </c>
      <c r="J244" s="115">
        <v>23.984158119822602</v>
      </c>
    </row>
    <row r="245" spans="1:10" ht="16">
      <c r="A245" s="100" t="s">
        <v>486</v>
      </c>
      <c r="B245" s="101" t="s">
        <v>474</v>
      </c>
      <c r="C245" s="102" t="s">
        <v>107</v>
      </c>
      <c r="D245" s="103" t="s">
        <v>77</v>
      </c>
      <c r="E245" s="104">
        <v>17226</v>
      </c>
      <c r="F245" s="104">
        <v>1213</v>
      </c>
      <c r="G245" s="104">
        <v>345</v>
      </c>
      <c r="H245" s="116">
        <v>8.1019718499363798</v>
      </c>
      <c r="I245" s="126">
        <v>1229</v>
      </c>
      <c r="J245" s="117">
        <v>17.052399582924753</v>
      </c>
    </row>
    <row r="246" spans="1:10" ht="16">
      <c r="A246" s="93" t="s">
        <v>1208</v>
      </c>
      <c r="B246" s="94" t="s">
        <v>1190</v>
      </c>
      <c r="C246" s="95" t="s">
        <v>76</v>
      </c>
      <c r="D246" s="96" t="s">
        <v>92</v>
      </c>
      <c r="E246" s="97">
        <v>12637</v>
      </c>
      <c r="F246" s="97">
        <v>635</v>
      </c>
      <c r="G246" s="97">
        <v>2148</v>
      </c>
      <c r="H246" s="114">
        <v>12.254127173908154</v>
      </c>
      <c r="I246" s="125">
        <v>6867</v>
      </c>
      <c r="J246" s="115">
        <v>16.008796414079612</v>
      </c>
    </row>
    <row r="247" spans="1:10" ht="16">
      <c r="A247" s="100" t="s">
        <v>405</v>
      </c>
      <c r="B247" s="101" t="s">
        <v>402</v>
      </c>
      <c r="C247" s="102" t="s">
        <v>76</v>
      </c>
      <c r="D247" s="103" t="s">
        <v>77</v>
      </c>
      <c r="E247" s="104">
        <v>47141</v>
      </c>
      <c r="F247" s="104">
        <v>2405</v>
      </c>
      <c r="G247" s="104">
        <v>7071</v>
      </c>
      <c r="H247" s="116">
        <v>30.089747231812272</v>
      </c>
      <c r="I247" s="126">
        <v>22358</v>
      </c>
      <c r="J247" s="117">
        <v>32.613062268225363</v>
      </c>
    </row>
    <row r="248" spans="1:10" ht="16">
      <c r="A248" s="93" t="s">
        <v>1209</v>
      </c>
      <c r="B248" s="94" t="s">
        <v>1190</v>
      </c>
      <c r="C248" s="95" t="s">
        <v>76</v>
      </c>
      <c r="D248" s="96" t="s">
        <v>130</v>
      </c>
      <c r="E248" s="97">
        <v>8486</v>
      </c>
      <c r="F248" s="97">
        <v>555</v>
      </c>
      <c r="G248" s="97">
        <v>2970</v>
      </c>
      <c r="H248" s="114">
        <v>28.619920883346673</v>
      </c>
      <c r="I248" s="125">
        <v>17409</v>
      </c>
      <c r="J248" s="115">
        <v>34.113036471133164</v>
      </c>
    </row>
    <row r="249" spans="1:10" ht="16">
      <c r="A249" s="100" t="s">
        <v>860</v>
      </c>
      <c r="B249" s="101" t="s">
        <v>858</v>
      </c>
      <c r="C249" s="102" t="s">
        <v>107</v>
      </c>
      <c r="D249" s="103" t="s">
        <v>130</v>
      </c>
      <c r="E249" s="104">
        <v>9986</v>
      </c>
      <c r="F249" s="104">
        <v>414</v>
      </c>
      <c r="G249" s="104">
        <v>100</v>
      </c>
      <c r="H249" s="116">
        <v>9.1270375848262226</v>
      </c>
      <c r="I249" s="126">
        <v>566</v>
      </c>
      <c r="J249" s="117">
        <v>14.146889978358574</v>
      </c>
    </row>
    <row r="250" spans="1:10" ht="16">
      <c r="A250" s="93" t="s">
        <v>126</v>
      </c>
      <c r="B250" s="94" t="s">
        <v>127</v>
      </c>
      <c r="C250" s="95" t="s">
        <v>107</v>
      </c>
      <c r="D250" s="96" t="s">
        <v>60</v>
      </c>
      <c r="E250" s="97">
        <v>6370</v>
      </c>
      <c r="F250" s="97">
        <v>637</v>
      </c>
      <c r="G250" s="97">
        <v>1274</v>
      </c>
      <c r="H250" s="114">
        <v>17.816993549030407</v>
      </c>
      <c r="I250" s="125">
        <v>8837</v>
      </c>
      <c r="J250" s="115">
        <v>30.842238613423248</v>
      </c>
    </row>
    <row r="251" spans="1:10" ht="16">
      <c r="A251" s="100" t="s">
        <v>380</v>
      </c>
      <c r="B251" s="101" t="s">
        <v>377</v>
      </c>
      <c r="C251" s="102" t="s">
        <v>76</v>
      </c>
      <c r="D251" s="103" t="s">
        <v>61</v>
      </c>
      <c r="E251" s="104">
        <v>41411</v>
      </c>
      <c r="F251" s="104">
        <v>2353</v>
      </c>
      <c r="G251" s="104">
        <v>5383</v>
      </c>
      <c r="H251" s="116">
        <v>30.955612214451968</v>
      </c>
      <c r="I251" s="126">
        <v>21332</v>
      </c>
      <c r="J251" s="117">
        <v>34.586455310616557</v>
      </c>
    </row>
    <row r="252" spans="1:10" ht="16">
      <c r="A252" s="93" t="s">
        <v>99</v>
      </c>
      <c r="B252" s="94" t="s">
        <v>89</v>
      </c>
      <c r="C252" s="95" t="s">
        <v>76</v>
      </c>
      <c r="D252" s="96" t="s">
        <v>92</v>
      </c>
      <c r="E252" s="97">
        <v>34120</v>
      </c>
      <c r="F252" s="97">
        <v>1446</v>
      </c>
      <c r="G252" s="97">
        <v>5800</v>
      </c>
      <c r="H252" s="114">
        <v>32.99416356923966</v>
      </c>
      <c r="I252" s="125">
        <v>28210</v>
      </c>
      <c r="J252" s="115">
        <v>25.723391886322684</v>
      </c>
    </row>
    <row r="253" spans="1:10" ht="16">
      <c r="A253" s="100" t="s">
        <v>912</v>
      </c>
      <c r="B253" s="101" t="s">
        <v>909</v>
      </c>
      <c r="C253" s="102" t="s">
        <v>76</v>
      </c>
      <c r="D253" s="103" t="s">
        <v>60</v>
      </c>
      <c r="E253" s="104">
        <v>9375</v>
      </c>
      <c r="F253" s="104">
        <v>845</v>
      </c>
      <c r="G253" s="104">
        <v>2625</v>
      </c>
      <c r="H253" s="116">
        <v>8.2426799227878593</v>
      </c>
      <c r="I253" s="126">
        <v>1219</v>
      </c>
      <c r="J253" s="117">
        <v>18.509317697717762</v>
      </c>
    </row>
    <row r="254" spans="1:10" ht="16">
      <c r="A254" s="93" t="s">
        <v>241</v>
      </c>
      <c r="B254" s="94" t="s">
        <v>223</v>
      </c>
      <c r="C254" s="95" t="s">
        <v>107</v>
      </c>
      <c r="D254" s="96" t="s">
        <v>60</v>
      </c>
      <c r="E254" s="97">
        <v>43815</v>
      </c>
      <c r="F254" s="97">
        <v>2224</v>
      </c>
      <c r="G254" s="97">
        <v>3017</v>
      </c>
      <c r="H254" s="114">
        <v>13.639883667160804</v>
      </c>
      <c r="I254" s="125">
        <v>7299</v>
      </c>
      <c r="J254" s="115">
        <v>14.215782465927511</v>
      </c>
    </row>
    <row r="255" spans="1:10" ht="16">
      <c r="A255" s="100" t="s">
        <v>242</v>
      </c>
      <c r="B255" s="101" t="s">
        <v>223</v>
      </c>
      <c r="C255" s="102" t="s">
        <v>107</v>
      </c>
      <c r="D255" s="103" t="s">
        <v>61</v>
      </c>
      <c r="E255" s="104">
        <v>36083</v>
      </c>
      <c r="F255" s="104">
        <v>2135</v>
      </c>
      <c r="G255" s="104">
        <v>1443</v>
      </c>
      <c r="H255" s="116">
        <v>11.912190986461718</v>
      </c>
      <c r="I255" s="126">
        <v>2088</v>
      </c>
      <c r="J255" s="117">
        <v>17.099544915746243</v>
      </c>
    </row>
    <row r="256" spans="1:10" ht="16">
      <c r="A256" s="93" t="s">
        <v>923</v>
      </c>
      <c r="B256" s="94" t="s">
        <v>919</v>
      </c>
      <c r="C256" s="95" t="s">
        <v>107</v>
      </c>
      <c r="D256" s="96" t="s">
        <v>84</v>
      </c>
      <c r="E256" s="97">
        <v>8406</v>
      </c>
      <c r="F256" s="97">
        <v>712</v>
      </c>
      <c r="G256" s="97">
        <v>588</v>
      </c>
      <c r="H256" s="114">
        <v>12.02448091438694</v>
      </c>
      <c r="I256" s="125">
        <v>980</v>
      </c>
      <c r="J256" s="115">
        <v>17.82073523159071</v>
      </c>
    </row>
    <row r="257" spans="1:10" ht="16">
      <c r="A257" s="100" t="s">
        <v>653</v>
      </c>
      <c r="B257" s="101" t="s">
        <v>642</v>
      </c>
      <c r="C257" s="102" t="s">
        <v>107</v>
      </c>
      <c r="D257" s="103" t="s">
        <v>92</v>
      </c>
      <c r="E257" s="104">
        <v>6473</v>
      </c>
      <c r="F257" s="104">
        <v>841</v>
      </c>
      <c r="G257" s="104">
        <v>194</v>
      </c>
      <c r="H257" s="116">
        <v>13.846852240432927</v>
      </c>
      <c r="I257" s="126">
        <v>2376</v>
      </c>
      <c r="J257" s="117">
        <v>28.188248873179624</v>
      </c>
    </row>
    <row r="258" spans="1:10" ht="16">
      <c r="A258" s="93" t="s">
        <v>994</v>
      </c>
      <c r="B258" s="94" t="s">
        <v>988</v>
      </c>
      <c r="C258" s="95" t="s">
        <v>107</v>
      </c>
      <c r="D258" s="96" t="s">
        <v>92</v>
      </c>
      <c r="E258" s="97">
        <v>2098</v>
      </c>
      <c r="F258" s="97">
        <v>173</v>
      </c>
      <c r="G258" s="97">
        <v>126</v>
      </c>
      <c r="H258" s="114">
        <v>40.298190526163033</v>
      </c>
      <c r="I258" s="125">
        <v>15465</v>
      </c>
      <c r="J258" s="115">
        <v>40.543925964494996</v>
      </c>
    </row>
    <row r="259" spans="1:10" ht="16">
      <c r="A259" s="100" t="s">
        <v>1159</v>
      </c>
      <c r="B259" s="101" t="s">
        <v>1142</v>
      </c>
      <c r="C259" s="102" t="s">
        <v>107</v>
      </c>
      <c r="D259" s="103" t="s">
        <v>60</v>
      </c>
      <c r="E259" s="104">
        <v>48591</v>
      </c>
      <c r="F259" s="104">
        <v>2505</v>
      </c>
      <c r="G259" s="104">
        <v>1944</v>
      </c>
      <c r="H259" s="116">
        <v>9.2888812886068788</v>
      </c>
      <c r="I259" s="126">
        <v>1571</v>
      </c>
      <c r="J259" s="117">
        <v>15.712052976171202</v>
      </c>
    </row>
    <row r="260" spans="1:10" ht="16">
      <c r="A260" s="93" t="s">
        <v>995</v>
      </c>
      <c r="B260" s="94" t="s">
        <v>988</v>
      </c>
      <c r="C260" s="95" t="s">
        <v>107</v>
      </c>
      <c r="D260" s="96" t="s">
        <v>84</v>
      </c>
      <c r="E260" s="97">
        <v>8108</v>
      </c>
      <c r="F260" s="97">
        <v>827</v>
      </c>
      <c r="G260" s="97">
        <v>405</v>
      </c>
      <c r="H260" s="114">
        <v>15.212503838319314</v>
      </c>
      <c r="I260" s="125">
        <v>2488</v>
      </c>
      <c r="J260" s="115">
        <v>19.803624526554923</v>
      </c>
    </row>
    <row r="261" spans="1:10" ht="16">
      <c r="A261" s="100" t="s">
        <v>654</v>
      </c>
      <c r="B261" s="101" t="s">
        <v>642</v>
      </c>
      <c r="C261" s="102" t="s">
        <v>107</v>
      </c>
      <c r="D261" s="103" t="s">
        <v>59</v>
      </c>
      <c r="E261" s="104">
        <v>1210</v>
      </c>
      <c r="F261" s="104">
        <v>318</v>
      </c>
      <c r="G261" s="104">
        <v>12</v>
      </c>
      <c r="H261" s="116">
        <v>14.341908052027916</v>
      </c>
      <c r="I261" s="126">
        <v>3408</v>
      </c>
      <c r="J261" s="117">
        <v>29.73550403985432</v>
      </c>
    </row>
    <row r="262" spans="1:10" ht="16">
      <c r="A262" s="93" t="s">
        <v>406</v>
      </c>
      <c r="B262" s="94" t="s">
        <v>402</v>
      </c>
      <c r="C262" s="95" t="s">
        <v>107</v>
      </c>
      <c r="D262" s="96" t="s">
        <v>59</v>
      </c>
      <c r="E262" s="97">
        <v>5216</v>
      </c>
      <c r="F262" s="97">
        <v>148</v>
      </c>
      <c r="G262" s="97">
        <v>991</v>
      </c>
      <c r="H262" s="114">
        <v>24.773677403075137</v>
      </c>
      <c r="I262" s="125">
        <v>10272</v>
      </c>
      <c r="J262" s="115">
        <v>36.540501937772142</v>
      </c>
    </row>
    <row r="263" spans="1:10" ht="16">
      <c r="A263" s="100" t="s">
        <v>1460</v>
      </c>
      <c r="B263" s="101" t="s">
        <v>1461</v>
      </c>
      <c r="C263" s="102" t="s">
        <v>107</v>
      </c>
      <c r="D263" s="103" t="s">
        <v>130</v>
      </c>
      <c r="E263" s="104">
        <v>32161</v>
      </c>
      <c r="F263" s="104">
        <v>1503</v>
      </c>
      <c r="G263" s="104">
        <v>322</v>
      </c>
      <c r="H263" s="116">
        <v>8.4956408008502962</v>
      </c>
      <c r="I263" s="126">
        <v>3600</v>
      </c>
      <c r="J263" s="117">
        <v>14.732720433083943</v>
      </c>
    </row>
    <row r="264" spans="1:10" ht="16">
      <c r="A264" s="93" t="s">
        <v>996</v>
      </c>
      <c r="B264" s="94" t="s">
        <v>988</v>
      </c>
      <c r="C264" s="95" t="s">
        <v>76</v>
      </c>
      <c r="D264" s="96" t="s">
        <v>80</v>
      </c>
      <c r="E264" s="97">
        <v>20087</v>
      </c>
      <c r="F264" s="97">
        <v>1279</v>
      </c>
      <c r="G264" s="97">
        <v>4218</v>
      </c>
      <c r="H264" s="114">
        <v>40.718839643068605</v>
      </c>
      <c r="I264" s="125">
        <v>16141</v>
      </c>
      <c r="J264" s="115">
        <v>39.428833207215263</v>
      </c>
    </row>
    <row r="265" spans="1:10" ht="16">
      <c r="A265" s="100" t="s">
        <v>243</v>
      </c>
      <c r="B265" s="101" t="s">
        <v>223</v>
      </c>
      <c r="C265" s="102" t="s">
        <v>107</v>
      </c>
      <c r="D265" s="103" t="s">
        <v>77</v>
      </c>
      <c r="E265" s="104">
        <v>29603</v>
      </c>
      <c r="F265" s="104">
        <v>2990</v>
      </c>
      <c r="G265" s="104">
        <v>3552</v>
      </c>
      <c r="H265" s="116">
        <v>37.703568127507033</v>
      </c>
      <c r="I265" s="126">
        <v>16330</v>
      </c>
      <c r="J265" s="117">
        <v>39.702366542720689</v>
      </c>
    </row>
    <row r="266" spans="1:10" ht="16">
      <c r="A266" s="93" t="s">
        <v>1322</v>
      </c>
      <c r="B266" s="94" t="s">
        <v>1288</v>
      </c>
      <c r="C266" s="95" t="s">
        <v>107</v>
      </c>
      <c r="D266" s="96" t="s">
        <v>60</v>
      </c>
      <c r="E266" s="97">
        <v>20823</v>
      </c>
      <c r="F266" s="97">
        <v>2263</v>
      </c>
      <c r="G266" s="97">
        <v>4998</v>
      </c>
      <c r="H266" s="114">
        <v>99.065685138624957</v>
      </c>
      <c r="I266" s="125">
        <v>97848</v>
      </c>
      <c r="J266" s="115">
        <v>89.671258714928896</v>
      </c>
    </row>
    <row r="267" spans="1:10" ht="16">
      <c r="A267" s="100" t="s">
        <v>754</v>
      </c>
      <c r="B267" s="101" t="s">
        <v>753</v>
      </c>
      <c r="C267" s="102" t="s">
        <v>76</v>
      </c>
      <c r="D267" s="103" t="s">
        <v>130</v>
      </c>
      <c r="E267" s="104">
        <v>15654</v>
      </c>
      <c r="F267" s="104">
        <v>879</v>
      </c>
      <c r="G267" s="104">
        <v>1096</v>
      </c>
      <c r="H267" s="116">
        <v>11.751850692062392</v>
      </c>
      <c r="I267" s="126">
        <v>1007</v>
      </c>
      <c r="J267" s="117">
        <v>13.682946876456336</v>
      </c>
    </row>
    <row r="268" spans="1:10" ht="16">
      <c r="A268" s="93" t="s">
        <v>145</v>
      </c>
      <c r="B268" s="94" t="s">
        <v>144</v>
      </c>
      <c r="C268" s="95" t="s">
        <v>107</v>
      </c>
      <c r="D268" s="96" t="s">
        <v>80</v>
      </c>
      <c r="E268" s="97">
        <v>5189</v>
      </c>
      <c r="F268" s="97">
        <v>167</v>
      </c>
      <c r="G268" s="97">
        <v>675</v>
      </c>
      <c r="H268" s="114">
        <v>38.798441528004531</v>
      </c>
      <c r="I268" s="125">
        <v>21629</v>
      </c>
      <c r="J268" s="115">
        <v>28.673207454647983</v>
      </c>
    </row>
    <row r="269" spans="1:10" ht="16">
      <c r="A269" s="100" t="s">
        <v>592</v>
      </c>
      <c r="B269" s="101" t="s">
        <v>591</v>
      </c>
      <c r="C269" s="102" t="s">
        <v>76</v>
      </c>
      <c r="D269" s="103" t="s">
        <v>82</v>
      </c>
      <c r="E269" s="104">
        <v>16137</v>
      </c>
      <c r="F269" s="104">
        <v>1345</v>
      </c>
      <c r="G269" s="104">
        <v>807</v>
      </c>
      <c r="H269" s="116">
        <v>45.24530509467391</v>
      </c>
      <c r="I269" s="126">
        <v>28181</v>
      </c>
      <c r="J269" s="117">
        <v>48.607760101895543</v>
      </c>
    </row>
    <row r="270" spans="1:10" ht="16">
      <c r="A270" s="93" t="s">
        <v>407</v>
      </c>
      <c r="B270" s="94" t="s">
        <v>402</v>
      </c>
      <c r="C270" s="95" t="s">
        <v>76</v>
      </c>
      <c r="D270" s="96" t="s">
        <v>60</v>
      </c>
      <c r="E270" s="97">
        <v>20800</v>
      </c>
      <c r="F270" s="97">
        <v>1292</v>
      </c>
      <c r="G270" s="97">
        <v>3744</v>
      </c>
      <c r="H270" s="114">
        <v>60.300506902609463</v>
      </c>
      <c r="I270" s="125">
        <v>58044</v>
      </c>
      <c r="J270" s="115">
        <v>67.979486820222661</v>
      </c>
    </row>
    <row r="271" spans="1:10" ht="16">
      <c r="A271" s="100" t="s">
        <v>354</v>
      </c>
      <c r="B271" s="101" t="s">
        <v>344</v>
      </c>
      <c r="C271" s="102" t="s">
        <v>76</v>
      </c>
      <c r="D271" s="103" t="s">
        <v>59</v>
      </c>
      <c r="E271" s="104">
        <v>113043</v>
      </c>
      <c r="F271" s="104">
        <v>5162</v>
      </c>
      <c r="G271" s="104">
        <v>1130</v>
      </c>
      <c r="H271" s="116">
        <v>8.9670071825478121</v>
      </c>
      <c r="I271" s="126">
        <v>1804</v>
      </c>
      <c r="J271" s="117">
        <v>15.003196576209378</v>
      </c>
    </row>
    <row r="272" spans="1:10" ht="16">
      <c r="A272" s="93" t="s">
        <v>1210</v>
      </c>
      <c r="B272" s="94" t="s">
        <v>1190</v>
      </c>
      <c r="C272" s="95" t="s">
        <v>107</v>
      </c>
      <c r="D272" s="96" t="s">
        <v>59</v>
      </c>
      <c r="E272" s="97">
        <v>9189</v>
      </c>
      <c r="F272" s="97">
        <v>534</v>
      </c>
      <c r="G272" s="97">
        <v>3216</v>
      </c>
      <c r="H272" s="114">
        <v>27.177031735672635</v>
      </c>
      <c r="I272" s="125">
        <v>20158</v>
      </c>
      <c r="J272" s="115">
        <v>28.737408552950274</v>
      </c>
    </row>
    <row r="273" spans="1:10" ht="16">
      <c r="A273" s="100" t="s">
        <v>924</v>
      </c>
      <c r="B273" s="101" t="s">
        <v>919</v>
      </c>
      <c r="C273" s="102" t="s">
        <v>76</v>
      </c>
      <c r="D273" s="103" t="s">
        <v>82</v>
      </c>
      <c r="E273" s="104">
        <v>22111</v>
      </c>
      <c r="F273" s="104">
        <v>1688</v>
      </c>
      <c r="G273" s="104">
        <v>1990</v>
      </c>
      <c r="H273" s="116">
        <v>37.932499878220845</v>
      </c>
      <c r="I273" s="126">
        <v>29264</v>
      </c>
      <c r="J273" s="117">
        <v>36.752717120086771</v>
      </c>
    </row>
    <row r="274" spans="1:10" ht="16">
      <c r="A274" s="93" t="s">
        <v>655</v>
      </c>
      <c r="B274" s="94" t="s">
        <v>642</v>
      </c>
      <c r="C274" s="95" t="s">
        <v>107</v>
      </c>
      <c r="D274" s="96" t="s">
        <v>59</v>
      </c>
      <c r="E274" s="97">
        <v>15077</v>
      </c>
      <c r="F274" s="97">
        <v>1675</v>
      </c>
      <c r="G274" s="97">
        <v>1508</v>
      </c>
      <c r="H274" s="114">
        <v>23.294528452074434</v>
      </c>
      <c r="I274" s="125">
        <v>7175</v>
      </c>
      <c r="J274" s="115">
        <v>29.022144316672986</v>
      </c>
    </row>
    <row r="275" spans="1:10" ht="16">
      <c r="A275" s="100" t="s">
        <v>1323</v>
      </c>
      <c r="B275" s="101" t="s">
        <v>1288</v>
      </c>
      <c r="C275" s="102" t="s">
        <v>76</v>
      </c>
      <c r="D275" s="103" t="s">
        <v>60</v>
      </c>
      <c r="E275" s="104">
        <v>10066</v>
      </c>
      <c r="F275" s="104">
        <v>724</v>
      </c>
      <c r="G275" s="104">
        <v>906</v>
      </c>
      <c r="H275" s="116">
        <v>13.924240990936347</v>
      </c>
      <c r="I275" s="126">
        <v>10549</v>
      </c>
      <c r="J275" s="117">
        <v>38.723974145842355</v>
      </c>
    </row>
    <row r="276" spans="1:10" ht="16">
      <c r="A276" s="93" t="s">
        <v>656</v>
      </c>
      <c r="B276" s="94" t="s">
        <v>642</v>
      </c>
      <c r="C276" s="95" t="s">
        <v>107</v>
      </c>
      <c r="D276" s="96" t="s">
        <v>130</v>
      </c>
      <c r="E276" s="97">
        <v>18225</v>
      </c>
      <c r="F276" s="97">
        <v>2250</v>
      </c>
      <c r="G276" s="97">
        <v>2005</v>
      </c>
      <c r="H276" s="114">
        <v>40.125157993401601</v>
      </c>
      <c r="I276" s="125">
        <v>12115</v>
      </c>
      <c r="J276" s="115">
        <v>45.967132932780757</v>
      </c>
    </row>
    <row r="277" spans="1:10" ht="16">
      <c r="A277" s="100" t="s">
        <v>461</v>
      </c>
      <c r="B277" s="101" t="s">
        <v>459</v>
      </c>
      <c r="C277" s="102" t="s">
        <v>76</v>
      </c>
      <c r="D277" s="103" t="s">
        <v>92</v>
      </c>
      <c r="E277" s="104">
        <v>8759</v>
      </c>
      <c r="F277" s="104">
        <v>755</v>
      </c>
      <c r="G277" s="104">
        <v>3942</v>
      </c>
      <c r="H277" s="116">
        <v>22.447572857177754</v>
      </c>
      <c r="I277" s="126">
        <v>12852</v>
      </c>
      <c r="J277" s="117">
        <v>28.350118251987734</v>
      </c>
    </row>
    <row r="278" spans="1:10" ht="16">
      <c r="A278" s="93" t="s">
        <v>462</v>
      </c>
      <c r="B278" s="94" t="s">
        <v>459</v>
      </c>
      <c r="C278" s="95" t="s">
        <v>76</v>
      </c>
      <c r="D278" s="96" t="s">
        <v>61</v>
      </c>
      <c r="E278" s="97">
        <v>20388</v>
      </c>
      <c r="F278" s="97">
        <v>883</v>
      </c>
      <c r="G278" s="97">
        <v>5097</v>
      </c>
      <c r="H278" s="114">
        <v>46.919479997191686</v>
      </c>
      <c r="I278" s="125">
        <v>33536</v>
      </c>
      <c r="J278" s="115">
        <v>41.651313181669273</v>
      </c>
    </row>
    <row r="279" spans="1:10" ht="16">
      <c r="A279" s="100" t="s">
        <v>657</v>
      </c>
      <c r="B279" s="101" t="s">
        <v>642</v>
      </c>
      <c r="C279" s="102" t="s">
        <v>107</v>
      </c>
      <c r="D279" s="103" t="s">
        <v>77</v>
      </c>
      <c r="E279" s="104">
        <v>30969</v>
      </c>
      <c r="F279" s="104">
        <v>761</v>
      </c>
      <c r="G279" s="104">
        <v>619</v>
      </c>
      <c r="H279" s="116">
        <v>9.8261629280571992</v>
      </c>
      <c r="I279" s="126">
        <v>2549</v>
      </c>
      <c r="J279" s="117">
        <v>16.919763548532995</v>
      </c>
    </row>
    <row r="280" spans="1:10" ht="16">
      <c r="A280" s="93" t="s">
        <v>1324</v>
      </c>
      <c r="B280" s="94" t="s">
        <v>1288</v>
      </c>
      <c r="C280" s="95" t="s">
        <v>76</v>
      </c>
      <c r="D280" s="96" t="s">
        <v>61</v>
      </c>
      <c r="E280" s="97">
        <v>8449</v>
      </c>
      <c r="F280" s="97">
        <v>1127</v>
      </c>
      <c r="G280" s="97">
        <v>676</v>
      </c>
      <c r="H280" s="114">
        <v>15.972413022478168</v>
      </c>
      <c r="I280" s="125">
        <v>15257</v>
      </c>
      <c r="J280" s="115">
        <v>43.287800508846622</v>
      </c>
    </row>
    <row r="281" spans="1:10" ht="16">
      <c r="A281" s="100" t="s">
        <v>244</v>
      </c>
      <c r="B281" s="101" t="s">
        <v>223</v>
      </c>
      <c r="C281" s="102" t="s">
        <v>107</v>
      </c>
      <c r="D281" s="103" t="s">
        <v>82</v>
      </c>
      <c r="E281" s="104">
        <v>30491</v>
      </c>
      <c r="F281" s="104">
        <v>1723</v>
      </c>
      <c r="G281" s="104">
        <v>3354</v>
      </c>
      <c r="H281" s="116">
        <v>11.796530014922824</v>
      </c>
      <c r="I281" s="126">
        <v>3178</v>
      </c>
      <c r="J281" s="117">
        <v>15.161826174606995</v>
      </c>
    </row>
    <row r="282" spans="1:10" ht="16">
      <c r="A282" s="93" t="s">
        <v>245</v>
      </c>
      <c r="B282" s="94" t="s">
        <v>223</v>
      </c>
      <c r="C282" s="95" t="s">
        <v>76</v>
      </c>
      <c r="D282" s="96" t="s">
        <v>59</v>
      </c>
      <c r="E282" s="97">
        <v>25956</v>
      </c>
      <c r="F282" s="97">
        <v>1492</v>
      </c>
      <c r="G282" s="97">
        <v>519</v>
      </c>
      <c r="H282" s="114">
        <v>16.017395510382425</v>
      </c>
      <c r="I282" s="125">
        <v>7558</v>
      </c>
      <c r="J282" s="115">
        <v>22.216474932343612</v>
      </c>
    </row>
    <row r="283" spans="1:10" ht="16">
      <c r="A283" s="100" t="s">
        <v>246</v>
      </c>
      <c r="B283" s="101" t="s">
        <v>223</v>
      </c>
      <c r="C283" s="102" t="s">
        <v>107</v>
      </c>
      <c r="D283" s="103" t="s">
        <v>84</v>
      </c>
      <c r="E283" s="104">
        <v>56379</v>
      </c>
      <c r="F283" s="104">
        <v>3417</v>
      </c>
      <c r="G283" s="104">
        <v>2819</v>
      </c>
      <c r="H283" s="116">
        <v>40.018731569930829</v>
      </c>
      <c r="I283" s="126">
        <v>23454</v>
      </c>
      <c r="J283" s="117">
        <v>41.209155579392039</v>
      </c>
    </row>
    <row r="284" spans="1:10" ht="16">
      <c r="A284" s="93" t="s">
        <v>408</v>
      </c>
      <c r="B284" s="94" t="s">
        <v>402</v>
      </c>
      <c r="C284" s="95" t="s">
        <v>107</v>
      </c>
      <c r="D284" s="96" t="s">
        <v>62</v>
      </c>
      <c r="E284" s="97">
        <v>33463</v>
      </c>
      <c r="F284" s="97">
        <v>596</v>
      </c>
      <c r="G284" s="97">
        <v>5689</v>
      </c>
      <c r="H284" s="114">
        <v>67.26496723110003</v>
      </c>
      <c r="I284" s="125">
        <v>45422</v>
      </c>
      <c r="J284" s="115">
        <v>62.474979558920047</v>
      </c>
    </row>
    <row r="285" spans="1:10" ht="16">
      <c r="A285" s="100" t="s">
        <v>247</v>
      </c>
      <c r="B285" s="101" t="s">
        <v>223</v>
      </c>
      <c r="C285" s="102" t="s">
        <v>107</v>
      </c>
      <c r="D285" s="103" t="s">
        <v>60</v>
      </c>
      <c r="E285" s="104">
        <v>40715</v>
      </c>
      <c r="F285" s="104">
        <v>1996</v>
      </c>
      <c r="G285" s="104">
        <v>814</v>
      </c>
      <c r="H285" s="116">
        <v>24.145112072441826</v>
      </c>
      <c r="I285" s="126">
        <v>18159</v>
      </c>
      <c r="J285" s="117">
        <v>23.676623297298306</v>
      </c>
    </row>
    <row r="286" spans="1:10" ht="16">
      <c r="A286" s="93" t="s">
        <v>658</v>
      </c>
      <c r="B286" s="94" t="s">
        <v>642</v>
      </c>
      <c r="C286" s="95" t="s">
        <v>107</v>
      </c>
      <c r="D286" s="96" t="s">
        <v>77</v>
      </c>
      <c r="E286" s="97">
        <v>888</v>
      </c>
      <c r="F286" s="97">
        <v>444</v>
      </c>
      <c r="G286" s="97">
        <v>9</v>
      </c>
      <c r="H286" s="114">
        <v>12.713816572611345</v>
      </c>
      <c r="I286" s="125">
        <v>5433</v>
      </c>
      <c r="J286" s="115">
        <v>30.583148139510865</v>
      </c>
    </row>
    <row r="287" spans="1:10" ht="16">
      <c r="A287" s="100" t="s">
        <v>1088</v>
      </c>
      <c r="B287" s="101" t="s">
        <v>1081</v>
      </c>
      <c r="C287" s="102" t="s">
        <v>107</v>
      </c>
      <c r="D287" s="103" t="s">
        <v>77</v>
      </c>
      <c r="E287" s="104">
        <v>13970</v>
      </c>
      <c r="F287" s="104">
        <v>490</v>
      </c>
      <c r="G287" s="104">
        <v>1956</v>
      </c>
      <c r="H287" s="116">
        <v>17.934588823210738</v>
      </c>
      <c r="I287" s="126">
        <v>2329</v>
      </c>
      <c r="J287" s="117">
        <v>15.329134049912531</v>
      </c>
    </row>
    <row r="288" spans="1:10" ht="16">
      <c r="A288" s="93" t="s">
        <v>659</v>
      </c>
      <c r="B288" s="94" t="s">
        <v>642</v>
      </c>
      <c r="C288" s="95" t="s">
        <v>107</v>
      </c>
      <c r="D288" s="96" t="s">
        <v>59</v>
      </c>
      <c r="E288" s="97">
        <v>8181</v>
      </c>
      <c r="F288" s="97">
        <v>538</v>
      </c>
      <c r="G288" s="97">
        <v>245</v>
      </c>
      <c r="H288" s="114">
        <v>10.271725288988065</v>
      </c>
      <c r="I288" s="125">
        <v>908</v>
      </c>
      <c r="J288" s="115">
        <v>17.009753999273819</v>
      </c>
    </row>
    <row r="289" spans="1:10" ht="16">
      <c r="A289" s="100" t="s">
        <v>593</v>
      </c>
      <c r="B289" s="101" t="s">
        <v>591</v>
      </c>
      <c r="C289" s="102" t="s">
        <v>76</v>
      </c>
      <c r="D289" s="103" t="s">
        <v>77</v>
      </c>
      <c r="E289" s="104">
        <v>6908</v>
      </c>
      <c r="F289" s="104">
        <v>147</v>
      </c>
      <c r="G289" s="104">
        <v>1658</v>
      </c>
      <c r="H289" s="116">
        <v>10.215946848578147</v>
      </c>
      <c r="I289" s="126">
        <v>6434</v>
      </c>
      <c r="J289" s="117">
        <v>14.901274003780559</v>
      </c>
    </row>
    <row r="290" spans="1:10" ht="16">
      <c r="A290" s="93" t="s">
        <v>409</v>
      </c>
      <c r="B290" s="94" t="s">
        <v>402</v>
      </c>
      <c r="C290" s="95" t="s">
        <v>107</v>
      </c>
      <c r="D290" s="96" t="s">
        <v>61</v>
      </c>
      <c r="E290" s="97">
        <v>5807</v>
      </c>
      <c r="F290" s="97">
        <v>328</v>
      </c>
      <c r="G290" s="97">
        <v>1278</v>
      </c>
      <c r="H290" s="114">
        <v>17.178206782800647</v>
      </c>
      <c r="I290" s="125">
        <v>5077</v>
      </c>
      <c r="J290" s="115">
        <v>25.553328624578434</v>
      </c>
    </row>
    <row r="291" spans="1:10" ht="16">
      <c r="A291" s="100" t="s">
        <v>960</v>
      </c>
      <c r="B291" s="101" t="s">
        <v>959</v>
      </c>
      <c r="C291" s="102" t="s">
        <v>76</v>
      </c>
      <c r="D291" s="103" t="s">
        <v>62</v>
      </c>
      <c r="E291" s="104">
        <v>24763</v>
      </c>
      <c r="F291" s="104">
        <v>2913</v>
      </c>
      <c r="G291" s="104">
        <v>991</v>
      </c>
      <c r="H291" s="116">
        <v>8.2881883448541878</v>
      </c>
      <c r="I291" s="126">
        <v>1248</v>
      </c>
      <c r="J291" s="117">
        <v>21.98357255779861</v>
      </c>
    </row>
    <row r="292" spans="1:10" ht="16">
      <c r="A292" s="93" t="s">
        <v>543</v>
      </c>
      <c r="B292" s="94" t="s">
        <v>537</v>
      </c>
      <c r="C292" s="95" t="s">
        <v>76</v>
      </c>
      <c r="D292" s="96" t="s">
        <v>63</v>
      </c>
      <c r="E292" s="97">
        <v>8330</v>
      </c>
      <c r="F292" s="97">
        <v>291</v>
      </c>
      <c r="G292" s="97">
        <v>583</v>
      </c>
      <c r="H292" s="114">
        <v>8.5714083569815305</v>
      </c>
      <c r="I292" s="125">
        <v>6771</v>
      </c>
      <c r="J292" s="115">
        <v>12.488832795251145</v>
      </c>
    </row>
    <row r="293" spans="1:10" ht="16">
      <c r="A293" s="100" t="s">
        <v>1211</v>
      </c>
      <c r="B293" s="101" t="s">
        <v>1190</v>
      </c>
      <c r="C293" s="102" t="s">
        <v>107</v>
      </c>
      <c r="D293" s="103" t="s">
        <v>59</v>
      </c>
      <c r="E293" s="104">
        <v>16760</v>
      </c>
      <c r="F293" s="104">
        <v>1432</v>
      </c>
      <c r="G293" s="104">
        <v>9386</v>
      </c>
      <c r="H293" s="116">
        <v>88.433496909631316</v>
      </c>
      <c r="I293" s="126">
        <v>85053</v>
      </c>
      <c r="J293" s="117">
        <v>85.152029320700748</v>
      </c>
    </row>
    <row r="294" spans="1:10" ht="16">
      <c r="A294" s="93" t="s">
        <v>381</v>
      </c>
      <c r="B294" s="94" t="s">
        <v>377</v>
      </c>
      <c r="C294" s="95" t="s">
        <v>107</v>
      </c>
      <c r="D294" s="96" t="s">
        <v>77</v>
      </c>
      <c r="E294" s="97">
        <v>1676</v>
      </c>
      <c r="F294" s="97">
        <v>204</v>
      </c>
      <c r="G294" s="97">
        <v>737</v>
      </c>
      <c r="H294" s="114">
        <v>28.62765493288013</v>
      </c>
      <c r="I294" s="125">
        <v>15199</v>
      </c>
      <c r="J294" s="115">
        <v>34.488438720233816</v>
      </c>
    </row>
    <row r="295" spans="1:10" ht="16">
      <c r="A295" s="100" t="s">
        <v>997</v>
      </c>
      <c r="B295" s="101" t="s">
        <v>988</v>
      </c>
      <c r="C295" s="102" t="s">
        <v>107</v>
      </c>
      <c r="D295" s="103" t="s">
        <v>77</v>
      </c>
      <c r="E295" s="104">
        <v>13499</v>
      </c>
      <c r="F295" s="104">
        <v>605</v>
      </c>
      <c r="G295" s="104">
        <v>405</v>
      </c>
      <c r="H295" s="116">
        <v>17.316317971515073</v>
      </c>
      <c r="I295" s="126">
        <v>3756</v>
      </c>
      <c r="J295" s="117">
        <v>16.936082893823077</v>
      </c>
    </row>
    <row r="296" spans="1:10" ht="16">
      <c r="A296" s="93" t="s">
        <v>487</v>
      </c>
      <c r="B296" s="94" t="s">
        <v>474</v>
      </c>
      <c r="C296" s="95" t="s">
        <v>107</v>
      </c>
      <c r="D296" s="96" t="s">
        <v>60</v>
      </c>
      <c r="E296" s="97">
        <v>4128</v>
      </c>
      <c r="F296" s="97">
        <v>430</v>
      </c>
      <c r="G296" s="97">
        <v>41</v>
      </c>
      <c r="H296" s="114">
        <v>55.820623471019339</v>
      </c>
      <c r="I296" s="125">
        <v>17983</v>
      </c>
      <c r="J296" s="115">
        <v>58.993505126425816</v>
      </c>
    </row>
    <row r="297" spans="1:10" ht="16">
      <c r="A297" s="100" t="s">
        <v>488</v>
      </c>
      <c r="B297" s="101" t="s">
        <v>474</v>
      </c>
      <c r="C297" s="102" t="s">
        <v>107</v>
      </c>
      <c r="D297" s="103" t="s">
        <v>130</v>
      </c>
      <c r="E297" s="104">
        <v>1335</v>
      </c>
      <c r="F297" s="104">
        <v>113</v>
      </c>
      <c r="G297" s="104">
        <v>30</v>
      </c>
      <c r="H297" s="116">
        <v>11.591387739122922</v>
      </c>
      <c r="I297" s="126">
        <v>3184</v>
      </c>
      <c r="J297" s="117">
        <v>28.741190283071493</v>
      </c>
    </row>
    <row r="298" spans="1:10" ht="16">
      <c r="A298" s="93" t="s">
        <v>489</v>
      </c>
      <c r="B298" s="94" t="s">
        <v>474</v>
      </c>
      <c r="C298" s="95" t="s">
        <v>107</v>
      </c>
      <c r="D298" s="96" t="s">
        <v>63</v>
      </c>
      <c r="E298" s="97">
        <v>1274</v>
      </c>
      <c r="F298" s="97">
        <v>134</v>
      </c>
      <c r="G298" s="97">
        <v>29</v>
      </c>
      <c r="H298" s="114">
        <v>19.797078241800001</v>
      </c>
      <c r="I298" s="125">
        <v>10589</v>
      </c>
      <c r="J298" s="115">
        <v>32.025248661440308</v>
      </c>
    </row>
    <row r="299" spans="1:10" ht="16">
      <c r="A299" s="100" t="s">
        <v>490</v>
      </c>
      <c r="B299" s="101" t="s">
        <v>474</v>
      </c>
      <c r="C299" s="102" t="s">
        <v>107</v>
      </c>
      <c r="D299" s="103" t="s">
        <v>92</v>
      </c>
      <c r="E299" s="104">
        <v>7833</v>
      </c>
      <c r="F299" s="104">
        <v>312</v>
      </c>
      <c r="G299" s="104">
        <v>78</v>
      </c>
      <c r="H299" s="116">
        <v>14.004446709068564</v>
      </c>
      <c r="I299" s="126">
        <v>5140</v>
      </c>
      <c r="J299" s="117">
        <v>22.141694199025967</v>
      </c>
    </row>
    <row r="300" spans="1:10" ht="16">
      <c r="A300" s="93" t="s">
        <v>491</v>
      </c>
      <c r="B300" s="94" t="s">
        <v>474</v>
      </c>
      <c r="C300" s="95" t="s">
        <v>107</v>
      </c>
      <c r="D300" s="96" t="s">
        <v>92</v>
      </c>
      <c r="E300" s="97">
        <v>1237</v>
      </c>
      <c r="F300" s="97">
        <v>116</v>
      </c>
      <c r="G300" s="97">
        <v>57</v>
      </c>
      <c r="H300" s="114">
        <v>12.176128302727919</v>
      </c>
      <c r="I300" s="125">
        <v>6032</v>
      </c>
      <c r="J300" s="115">
        <v>27.629055659642262</v>
      </c>
    </row>
    <row r="301" spans="1:10" ht="16">
      <c r="A301" s="100" t="s">
        <v>492</v>
      </c>
      <c r="B301" s="101" t="s">
        <v>474</v>
      </c>
      <c r="C301" s="102" t="s">
        <v>107</v>
      </c>
      <c r="D301" s="103" t="s">
        <v>130</v>
      </c>
      <c r="E301" s="104">
        <v>10267</v>
      </c>
      <c r="F301" s="104">
        <v>638</v>
      </c>
      <c r="G301" s="104">
        <v>103</v>
      </c>
      <c r="H301" s="116">
        <v>39.997171788388208</v>
      </c>
      <c r="I301" s="126">
        <v>13934</v>
      </c>
      <c r="J301" s="117">
        <v>44.859133958599799</v>
      </c>
    </row>
    <row r="302" spans="1:10" ht="16">
      <c r="A302" s="93" t="s">
        <v>493</v>
      </c>
      <c r="B302" s="94" t="s">
        <v>474</v>
      </c>
      <c r="C302" s="95" t="s">
        <v>107</v>
      </c>
      <c r="D302" s="96" t="s">
        <v>130</v>
      </c>
      <c r="E302" s="97">
        <v>7284</v>
      </c>
      <c r="F302" s="97">
        <v>492</v>
      </c>
      <c r="G302" s="97">
        <v>73</v>
      </c>
      <c r="H302" s="114">
        <v>28.473388585164827</v>
      </c>
      <c r="I302" s="125">
        <v>13792</v>
      </c>
      <c r="J302" s="115">
        <v>49.169748001293911</v>
      </c>
    </row>
    <row r="303" spans="1:10" ht="16">
      <c r="A303" s="100" t="s">
        <v>494</v>
      </c>
      <c r="B303" s="101" t="s">
        <v>474</v>
      </c>
      <c r="C303" s="102" t="s">
        <v>107</v>
      </c>
      <c r="D303" s="103" t="s">
        <v>62</v>
      </c>
      <c r="E303" s="104">
        <v>1222</v>
      </c>
      <c r="F303" s="104">
        <v>109</v>
      </c>
      <c r="G303" s="104">
        <v>27</v>
      </c>
      <c r="H303" s="116">
        <v>11.810785593496634</v>
      </c>
      <c r="I303" s="126">
        <v>8800</v>
      </c>
      <c r="J303" s="117">
        <v>22.01416115505836</v>
      </c>
    </row>
    <row r="304" spans="1:10" ht="16">
      <c r="A304" s="93" t="s">
        <v>495</v>
      </c>
      <c r="B304" s="94" t="s">
        <v>474</v>
      </c>
      <c r="C304" s="95" t="s">
        <v>107</v>
      </c>
      <c r="D304" s="96" t="s">
        <v>130</v>
      </c>
      <c r="E304" s="97">
        <v>5699</v>
      </c>
      <c r="F304" s="97">
        <v>422</v>
      </c>
      <c r="G304" s="97">
        <v>57</v>
      </c>
      <c r="H304" s="114">
        <v>22.466116534458283</v>
      </c>
      <c r="I304" s="125">
        <v>8203</v>
      </c>
      <c r="J304" s="115">
        <v>34.263675148498322</v>
      </c>
    </row>
    <row r="305" spans="1:10" ht="16">
      <c r="A305" s="100" t="s">
        <v>496</v>
      </c>
      <c r="B305" s="101" t="s">
        <v>474</v>
      </c>
      <c r="C305" s="102" t="s">
        <v>107</v>
      </c>
      <c r="D305" s="103" t="s">
        <v>92</v>
      </c>
      <c r="E305" s="104">
        <v>2088</v>
      </c>
      <c r="F305" s="104">
        <v>175</v>
      </c>
      <c r="G305" s="104">
        <v>96</v>
      </c>
      <c r="H305" s="116">
        <v>18.909779485837117</v>
      </c>
      <c r="I305" s="126">
        <v>9510</v>
      </c>
      <c r="J305" s="117">
        <v>26.064569978232022</v>
      </c>
    </row>
    <row r="306" spans="1:10" ht="16">
      <c r="A306" s="93" t="s">
        <v>497</v>
      </c>
      <c r="B306" s="94" t="s">
        <v>474</v>
      </c>
      <c r="C306" s="95" t="s">
        <v>107</v>
      </c>
      <c r="D306" s="96" t="s">
        <v>84</v>
      </c>
      <c r="E306" s="97">
        <v>1128</v>
      </c>
      <c r="F306" s="97">
        <v>116</v>
      </c>
      <c r="G306" s="97">
        <v>52</v>
      </c>
      <c r="H306" s="114">
        <v>24.631153351624942</v>
      </c>
      <c r="I306" s="125">
        <v>18378</v>
      </c>
      <c r="J306" s="115">
        <v>33.095234104260236</v>
      </c>
    </row>
    <row r="307" spans="1:10" ht="16">
      <c r="A307" s="100" t="s">
        <v>498</v>
      </c>
      <c r="B307" s="101" t="s">
        <v>474</v>
      </c>
      <c r="C307" s="102" t="s">
        <v>107</v>
      </c>
      <c r="D307" s="103" t="s">
        <v>84</v>
      </c>
      <c r="E307" s="104">
        <v>6860</v>
      </c>
      <c r="F307" s="104">
        <v>504</v>
      </c>
      <c r="G307" s="104">
        <v>315</v>
      </c>
      <c r="H307" s="116">
        <v>24.54797561822593</v>
      </c>
      <c r="I307" s="126">
        <v>8664</v>
      </c>
      <c r="J307" s="117">
        <v>37.824604114336339</v>
      </c>
    </row>
    <row r="308" spans="1:10" ht="16">
      <c r="A308" s="93" t="s">
        <v>499</v>
      </c>
      <c r="B308" s="94" t="s">
        <v>474</v>
      </c>
      <c r="C308" s="95" t="s">
        <v>107</v>
      </c>
      <c r="D308" s="96" t="s">
        <v>59</v>
      </c>
      <c r="E308" s="97">
        <v>9167</v>
      </c>
      <c r="F308" s="97">
        <v>745</v>
      </c>
      <c r="G308" s="97">
        <v>421</v>
      </c>
      <c r="H308" s="114">
        <v>39.200001577772731</v>
      </c>
      <c r="I308" s="125">
        <v>15295</v>
      </c>
      <c r="J308" s="115">
        <v>42.279043620312642</v>
      </c>
    </row>
    <row r="309" spans="1:10" ht="16">
      <c r="A309" s="100" t="s">
        <v>500</v>
      </c>
      <c r="B309" s="101" t="s">
        <v>474</v>
      </c>
      <c r="C309" s="102" t="s">
        <v>107</v>
      </c>
      <c r="D309" s="103" t="s">
        <v>60</v>
      </c>
      <c r="E309" s="104">
        <v>9241</v>
      </c>
      <c r="F309" s="104">
        <v>592</v>
      </c>
      <c r="G309" s="104">
        <v>92</v>
      </c>
      <c r="H309" s="116">
        <v>30.958008510936679</v>
      </c>
      <c r="I309" s="126">
        <v>7870</v>
      </c>
      <c r="J309" s="117">
        <v>45.800746388311246</v>
      </c>
    </row>
    <row r="310" spans="1:10" ht="16">
      <c r="A310" s="93" t="s">
        <v>501</v>
      </c>
      <c r="B310" s="94" t="s">
        <v>474</v>
      </c>
      <c r="C310" s="95" t="s">
        <v>107</v>
      </c>
      <c r="D310" s="96" t="s">
        <v>92</v>
      </c>
      <c r="E310" s="97">
        <v>1387</v>
      </c>
      <c r="F310" s="97">
        <v>110</v>
      </c>
      <c r="G310" s="97">
        <v>64</v>
      </c>
      <c r="H310" s="114">
        <v>8.4703919963021672</v>
      </c>
      <c r="I310" s="125">
        <v>3529</v>
      </c>
      <c r="J310" s="115">
        <v>18.076937520889011</v>
      </c>
    </row>
    <row r="311" spans="1:10" ht="16">
      <c r="A311" s="100" t="s">
        <v>502</v>
      </c>
      <c r="B311" s="101" t="s">
        <v>474</v>
      </c>
      <c r="C311" s="102" t="s">
        <v>107</v>
      </c>
      <c r="D311" s="103" t="s">
        <v>61</v>
      </c>
      <c r="E311" s="104">
        <v>7561</v>
      </c>
      <c r="F311" s="104">
        <v>461</v>
      </c>
      <c r="G311" s="104">
        <v>151</v>
      </c>
      <c r="H311" s="116">
        <v>28.930867716027542</v>
      </c>
      <c r="I311" s="126">
        <v>13242</v>
      </c>
      <c r="J311" s="117">
        <v>39.752598390275175</v>
      </c>
    </row>
    <row r="312" spans="1:10" ht="16">
      <c r="A312" s="93" t="s">
        <v>503</v>
      </c>
      <c r="B312" s="94" t="s">
        <v>474</v>
      </c>
      <c r="C312" s="95" t="s">
        <v>107</v>
      </c>
      <c r="D312" s="96" t="s">
        <v>63</v>
      </c>
      <c r="E312" s="97">
        <v>1119</v>
      </c>
      <c r="F312" s="97">
        <v>147</v>
      </c>
      <c r="G312" s="97">
        <v>51</v>
      </c>
      <c r="H312" s="114">
        <v>12.996875496373812</v>
      </c>
      <c r="I312" s="125">
        <v>12889</v>
      </c>
      <c r="J312" s="115">
        <v>28.52385680490033</v>
      </c>
    </row>
    <row r="313" spans="1:10" ht="16">
      <c r="A313" s="100" t="s">
        <v>1325</v>
      </c>
      <c r="B313" s="101" t="s">
        <v>1288</v>
      </c>
      <c r="C313" s="102" t="s">
        <v>76</v>
      </c>
      <c r="D313" s="103" t="s">
        <v>59</v>
      </c>
      <c r="E313" s="104">
        <v>66872</v>
      </c>
      <c r="F313" s="104">
        <v>4917</v>
      </c>
      <c r="G313" s="104">
        <v>10031</v>
      </c>
      <c r="H313" s="116">
        <v>50.124999056820172</v>
      </c>
      <c r="I313" s="126">
        <v>38203</v>
      </c>
      <c r="J313" s="117">
        <v>51.525123244190624</v>
      </c>
    </row>
    <row r="314" spans="1:10" ht="16">
      <c r="A314" s="93" t="s">
        <v>305</v>
      </c>
      <c r="B314" s="94" t="s">
        <v>304</v>
      </c>
      <c r="C314" s="95" t="s">
        <v>107</v>
      </c>
      <c r="D314" s="96" t="s">
        <v>130</v>
      </c>
      <c r="E314" s="97">
        <v>20851</v>
      </c>
      <c r="F314" s="97">
        <v>851</v>
      </c>
      <c r="G314" s="97">
        <v>1436</v>
      </c>
      <c r="H314" s="114">
        <v>10.420303077315921</v>
      </c>
      <c r="I314" s="125">
        <v>3524</v>
      </c>
      <c r="J314" s="115">
        <v>14.650318640433314</v>
      </c>
    </row>
    <row r="315" spans="1:10" ht="16">
      <c r="A315" s="100" t="s">
        <v>998</v>
      </c>
      <c r="B315" s="101" t="s">
        <v>988</v>
      </c>
      <c r="C315" s="102" t="s">
        <v>107</v>
      </c>
      <c r="D315" s="103" t="s">
        <v>80</v>
      </c>
      <c r="E315" s="104">
        <v>19196</v>
      </c>
      <c r="F315" s="104">
        <v>817</v>
      </c>
      <c r="G315" s="104">
        <v>1152</v>
      </c>
      <c r="H315" s="116">
        <v>21.659040278367836</v>
      </c>
      <c r="I315" s="126">
        <v>4979</v>
      </c>
      <c r="J315" s="117">
        <v>24.498288938677714</v>
      </c>
    </row>
    <row r="316" spans="1:10" ht="16">
      <c r="A316" s="93" t="s">
        <v>504</v>
      </c>
      <c r="B316" s="94" t="s">
        <v>474</v>
      </c>
      <c r="C316" s="95" t="s">
        <v>107</v>
      </c>
      <c r="D316" s="96" t="s">
        <v>77</v>
      </c>
      <c r="E316" s="97">
        <v>2146</v>
      </c>
      <c r="F316" s="97">
        <v>118</v>
      </c>
      <c r="G316" s="97">
        <v>48</v>
      </c>
      <c r="H316" s="114">
        <v>24.517922062522764</v>
      </c>
      <c r="I316" s="125">
        <v>11458</v>
      </c>
      <c r="J316" s="115">
        <v>39.074991094281764</v>
      </c>
    </row>
    <row r="317" spans="1:10" ht="16">
      <c r="A317" s="100" t="s">
        <v>861</v>
      </c>
      <c r="B317" s="101" t="s">
        <v>858</v>
      </c>
      <c r="C317" s="102" t="s">
        <v>107</v>
      </c>
      <c r="D317" s="103" t="s">
        <v>62</v>
      </c>
      <c r="E317" s="104">
        <v>30614</v>
      </c>
      <c r="F317" s="104">
        <v>1554</v>
      </c>
      <c r="G317" s="104">
        <v>2449</v>
      </c>
      <c r="H317" s="116">
        <v>7.9181322605074502</v>
      </c>
      <c r="I317" s="126">
        <v>4066</v>
      </c>
      <c r="J317" s="117">
        <v>15.297872492815353</v>
      </c>
    </row>
    <row r="318" spans="1:10" ht="16">
      <c r="A318" s="93" t="s">
        <v>1326</v>
      </c>
      <c r="B318" s="94" t="s">
        <v>1288</v>
      </c>
      <c r="C318" s="95" t="s">
        <v>107</v>
      </c>
      <c r="D318" s="96" t="s">
        <v>59</v>
      </c>
      <c r="E318" s="97">
        <v>32469</v>
      </c>
      <c r="F318" s="97">
        <v>1727</v>
      </c>
      <c r="G318" s="97">
        <v>3896</v>
      </c>
      <c r="H318" s="114">
        <v>33.811776361884178</v>
      </c>
      <c r="I318" s="125">
        <v>20059</v>
      </c>
      <c r="J318" s="115">
        <v>29.69138368215237</v>
      </c>
    </row>
    <row r="319" spans="1:10" ht="16">
      <c r="A319" s="100" t="s">
        <v>544</v>
      </c>
      <c r="B319" s="101" t="s">
        <v>537</v>
      </c>
      <c r="C319" s="102" t="s">
        <v>76</v>
      </c>
      <c r="D319" s="103" t="s">
        <v>59</v>
      </c>
      <c r="E319" s="104">
        <v>8673</v>
      </c>
      <c r="F319" s="104">
        <v>964</v>
      </c>
      <c r="G319" s="104">
        <v>260</v>
      </c>
      <c r="H319" s="116">
        <v>10.584193007171587</v>
      </c>
      <c r="I319" s="126">
        <v>5369</v>
      </c>
      <c r="J319" s="117">
        <v>38.426793174687624</v>
      </c>
    </row>
    <row r="320" spans="1:10" ht="16">
      <c r="A320" s="93" t="s">
        <v>545</v>
      </c>
      <c r="B320" s="94" t="s">
        <v>537</v>
      </c>
      <c r="C320" s="95" t="s">
        <v>107</v>
      </c>
      <c r="D320" s="96" t="s">
        <v>82</v>
      </c>
      <c r="E320" s="97">
        <v>13273</v>
      </c>
      <c r="F320" s="97">
        <v>419</v>
      </c>
      <c r="G320" s="97">
        <v>133</v>
      </c>
      <c r="H320" s="114">
        <v>33.46869860875173</v>
      </c>
      <c r="I320" s="125">
        <v>14113</v>
      </c>
      <c r="J320" s="115">
        <v>28.251059167683081</v>
      </c>
    </row>
    <row r="321" spans="1:10" ht="16">
      <c r="A321" s="100" t="s">
        <v>894</v>
      </c>
      <c r="B321" s="101" t="s">
        <v>893</v>
      </c>
      <c r="C321" s="102" t="s">
        <v>107</v>
      </c>
      <c r="D321" s="103" t="s">
        <v>80</v>
      </c>
      <c r="E321" s="104">
        <v>8898</v>
      </c>
      <c r="F321" s="104">
        <v>368</v>
      </c>
      <c r="G321" s="104">
        <v>1068</v>
      </c>
      <c r="H321" s="116">
        <v>26.648489866045885</v>
      </c>
      <c r="I321" s="126">
        <v>7771</v>
      </c>
      <c r="J321" s="117">
        <v>23.525537304956185</v>
      </c>
    </row>
    <row r="322" spans="1:10" ht="16">
      <c r="A322" s="93" t="s">
        <v>546</v>
      </c>
      <c r="B322" s="94" t="s">
        <v>537</v>
      </c>
      <c r="C322" s="95" t="s">
        <v>76</v>
      </c>
      <c r="D322" s="96" t="s">
        <v>130</v>
      </c>
      <c r="E322" s="97">
        <v>11340</v>
      </c>
      <c r="F322" s="97">
        <v>922</v>
      </c>
      <c r="G322" s="97">
        <v>113</v>
      </c>
      <c r="H322" s="114">
        <v>12.366593219890074</v>
      </c>
      <c r="I322" s="125">
        <v>2684</v>
      </c>
      <c r="J322" s="115">
        <v>41.131355271702169</v>
      </c>
    </row>
    <row r="323" spans="1:10" ht="16">
      <c r="A323" s="100" t="s">
        <v>547</v>
      </c>
      <c r="B323" s="101" t="s">
        <v>537</v>
      </c>
      <c r="C323" s="102" t="s">
        <v>107</v>
      </c>
      <c r="D323" s="103" t="s">
        <v>63</v>
      </c>
      <c r="E323" s="104">
        <v>10064</v>
      </c>
      <c r="F323" s="104">
        <v>486</v>
      </c>
      <c r="G323" s="104">
        <v>101</v>
      </c>
      <c r="H323" s="116">
        <v>23.778183673751553</v>
      </c>
      <c r="I323" s="126">
        <v>9847</v>
      </c>
      <c r="J323" s="117">
        <v>26.394018551370003</v>
      </c>
    </row>
    <row r="324" spans="1:10" ht="16">
      <c r="A324" s="93" t="s">
        <v>1160</v>
      </c>
      <c r="B324" s="94" t="s">
        <v>1142</v>
      </c>
      <c r="C324" s="95" t="s">
        <v>76</v>
      </c>
      <c r="D324" s="96" t="s">
        <v>130</v>
      </c>
      <c r="E324" s="97">
        <v>26215</v>
      </c>
      <c r="F324" s="97">
        <v>892</v>
      </c>
      <c r="G324" s="97">
        <v>524</v>
      </c>
      <c r="H324" s="114">
        <v>9.7147310645771459</v>
      </c>
      <c r="I324" s="125">
        <v>1017</v>
      </c>
      <c r="J324" s="115">
        <v>13.045503220659265</v>
      </c>
    </row>
    <row r="325" spans="1:10" ht="16">
      <c r="A325" s="100" t="s">
        <v>1161</v>
      </c>
      <c r="B325" s="101" t="s">
        <v>1142</v>
      </c>
      <c r="C325" s="102" t="s">
        <v>107</v>
      </c>
      <c r="D325" s="103" t="s">
        <v>130</v>
      </c>
      <c r="E325" s="104">
        <v>34825</v>
      </c>
      <c r="F325" s="104">
        <v>1514</v>
      </c>
      <c r="G325" s="104">
        <v>1393</v>
      </c>
      <c r="H325" s="116">
        <v>28.978075084116028</v>
      </c>
      <c r="I325" s="126">
        <v>8547</v>
      </c>
      <c r="J325" s="117">
        <v>25.964287211897513</v>
      </c>
    </row>
    <row r="326" spans="1:10" ht="16">
      <c r="A326" s="93" t="s">
        <v>1162</v>
      </c>
      <c r="B326" s="94" t="s">
        <v>1142</v>
      </c>
      <c r="C326" s="95" t="s">
        <v>76</v>
      </c>
      <c r="D326" s="96" t="s">
        <v>63</v>
      </c>
      <c r="E326" s="97">
        <v>122002</v>
      </c>
      <c r="F326" s="97">
        <v>2044</v>
      </c>
      <c r="G326" s="97">
        <v>7320</v>
      </c>
      <c r="H326" s="114">
        <v>24.870725052675613</v>
      </c>
      <c r="I326" s="125">
        <v>5779</v>
      </c>
      <c r="J326" s="115">
        <v>25.899527754668046</v>
      </c>
    </row>
    <row r="327" spans="1:10" ht="16">
      <c r="A327" s="100" t="s">
        <v>925</v>
      </c>
      <c r="B327" s="101" t="s">
        <v>919</v>
      </c>
      <c r="C327" s="102" t="s">
        <v>107</v>
      </c>
      <c r="D327" s="103" t="s">
        <v>82</v>
      </c>
      <c r="E327" s="104">
        <v>10206</v>
      </c>
      <c r="F327" s="104">
        <v>779</v>
      </c>
      <c r="G327" s="104">
        <v>1633</v>
      </c>
      <c r="H327" s="116">
        <v>28.528693218878193</v>
      </c>
      <c r="I327" s="126">
        <v>14045</v>
      </c>
      <c r="J327" s="117">
        <v>30.737905514902682</v>
      </c>
    </row>
    <row r="328" spans="1:10" ht="16">
      <c r="A328" s="93" t="s">
        <v>1177</v>
      </c>
      <c r="B328" s="94" t="s">
        <v>1178</v>
      </c>
      <c r="C328" s="95" t="s">
        <v>76</v>
      </c>
      <c r="D328" s="96" t="s">
        <v>82</v>
      </c>
      <c r="E328" s="97">
        <v>16220</v>
      </c>
      <c r="F328" s="97">
        <v>1886</v>
      </c>
      <c r="G328" s="97">
        <v>162</v>
      </c>
      <c r="H328" s="114">
        <v>8.3426145995533112</v>
      </c>
      <c r="I328" s="125">
        <v>344</v>
      </c>
      <c r="J328" s="115">
        <v>22.449172243432159</v>
      </c>
    </row>
    <row r="329" spans="1:10" ht="16">
      <c r="A329" s="100" t="s">
        <v>399</v>
      </c>
      <c r="B329" s="101" t="s">
        <v>400</v>
      </c>
      <c r="C329" s="102" t="s">
        <v>76</v>
      </c>
      <c r="D329" s="103" t="s">
        <v>60</v>
      </c>
      <c r="E329" s="104">
        <v>19670</v>
      </c>
      <c r="F329" s="104">
        <v>823</v>
      </c>
      <c r="G329" s="104">
        <v>393</v>
      </c>
      <c r="H329" s="116">
        <v>10.234979500378325</v>
      </c>
      <c r="I329" s="126">
        <v>507</v>
      </c>
      <c r="J329" s="117">
        <v>15.493548598157131</v>
      </c>
    </row>
    <row r="330" spans="1:10" ht="16">
      <c r="A330" s="93" t="s">
        <v>660</v>
      </c>
      <c r="B330" s="94" t="s">
        <v>642</v>
      </c>
      <c r="C330" s="95" t="s">
        <v>107</v>
      </c>
      <c r="D330" s="96" t="s">
        <v>82</v>
      </c>
      <c r="E330" s="97">
        <v>5516</v>
      </c>
      <c r="F330" s="97">
        <v>400</v>
      </c>
      <c r="G330" s="97">
        <v>165</v>
      </c>
      <c r="H330" s="114">
        <v>10.278178138998031</v>
      </c>
      <c r="I330" s="125">
        <v>1226</v>
      </c>
      <c r="J330" s="115">
        <v>19.715209610346712</v>
      </c>
    </row>
    <row r="331" spans="1:10" ht="16">
      <c r="A331" s="100" t="s">
        <v>1163</v>
      </c>
      <c r="B331" s="101" t="s">
        <v>1142</v>
      </c>
      <c r="C331" s="102" t="s">
        <v>107</v>
      </c>
      <c r="D331" s="103" t="s">
        <v>80</v>
      </c>
      <c r="E331" s="104">
        <v>5090</v>
      </c>
      <c r="F331" s="104">
        <v>260</v>
      </c>
      <c r="G331" s="104">
        <v>204</v>
      </c>
      <c r="H331" s="116">
        <v>11.138991638203098</v>
      </c>
      <c r="I331" s="126">
        <v>3285</v>
      </c>
      <c r="J331" s="117">
        <v>20.111671928986585</v>
      </c>
    </row>
    <row r="332" spans="1:10" ht="16">
      <c r="A332" s="93" t="s">
        <v>410</v>
      </c>
      <c r="B332" s="94" t="s">
        <v>402</v>
      </c>
      <c r="C332" s="95" t="s">
        <v>107</v>
      </c>
      <c r="D332" s="96" t="s">
        <v>82</v>
      </c>
      <c r="E332" s="97">
        <v>1142</v>
      </c>
      <c r="F332" s="97">
        <v>70</v>
      </c>
      <c r="G332" s="97">
        <v>868</v>
      </c>
      <c r="H332" s="114">
        <v>33.892327166629805</v>
      </c>
      <c r="I332" s="125">
        <v>16847</v>
      </c>
      <c r="J332" s="115">
        <v>41.205167560300488</v>
      </c>
    </row>
    <row r="333" spans="1:10" ht="16">
      <c r="A333" s="100" t="s">
        <v>505</v>
      </c>
      <c r="B333" s="101" t="s">
        <v>474</v>
      </c>
      <c r="C333" s="102" t="s">
        <v>107</v>
      </c>
      <c r="D333" s="103" t="s">
        <v>92</v>
      </c>
      <c r="E333" s="104">
        <v>11528</v>
      </c>
      <c r="F333" s="104">
        <v>627</v>
      </c>
      <c r="G333" s="104">
        <v>115</v>
      </c>
      <c r="H333" s="116">
        <v>22.729925095834279</v>
      </c>
      <c r="I333" s="126">
        <v>6407</v>
      </c>
      <c r="J333" s="117">
        <v>34.704143377675365</v>
      </c>
    </row>
    <row r="334" spans="1:10" ht="16">
      <c r="A334" s="93" t="s">
        <v>882</v>
      </c>
      <c r="B334" s="94" t="s">
        <v>879</v>
      </c>
      <c r="C334" s="95" t="s">
        <v>76</v>
      </c>
      <c r="D334" s="96" t="s">
        <v>82</v>
      </c>
      <c r="E334" s="97">
        <v>40608</v>
      </c>
      <c r="F334" s="97">
        <v>3726</v>
      </c>
      <c r="G334" s="97">
        <v>3655</v>
      </c>
      <c r="H334" s="114">
        <v>17.401816708575172</v>
      </c>
      <c r="I334" s="125">
        <v>10505</v>
      </c>
      <c r="J334" s="115">
        <v>25.826920862984025</v>
      </c>
    </row>
    <row r="335" spans="1:10" ht="16">
      <c r="A335" s="100" t="s">
        <v>100</v>
      </c>
      <c r="B335" s="101" t="s">
        <v>89</v>
      </c>
      <c r="C335" s="102" t="s">
        <v>76</v>
      </c>
      <c r="D335" s="103" t="s">
        <v>60</v>
      </c>
      <c r="E335" s="104">
        <v>11491</v>
      </c>
      <c r="F335" s="104">
        <v>542</v>
      </c>
      <c r="G335" s="104">
        <v>1264</v>
      </c>
      <c r="H335" s="116">
        <v>28.864710799155915</v>
      </c>
      <c r="I335" s="126">
        <v>26556</v>
      </c>
      <c r="J335" s="117">
        <v>23.717189456241535</v>
      </c>
    </row>
    <row r="336" spans="1:10" ht="16">
      <c r="A336" s="93" t="s">
        <v>506</v>
      </c>
      <c r="B336" s="94" t="s">
        <v>474</v>
      </c>
      <c r="C336" s="95" t="s">
        <v>107</v>
      </c>
      <c r="D336" s="96" t="s">
        <v>62</v>
      </c>
      <c r="E336" s="97">
        <v>10653</v>
      </c>
      <c r="F336" s="97">
        <v>1098</v>
      </c>
      <c r="G336" s="97">
        <v>320</v>
      </c>
      <c r="H336" s="114">
        <v>9.6675664250098041</v>
      </c>
      <c r="I336" s="125">
        <v>4186</v>
      </c>
      <c r="J336" s="115">
        <v>29.478645785090947</v>
      </c>
    </row>
    <row r="337" spans="1:10" ht="16">
      <c r="A337" s="100" t="s">
        <v>1024</v>
      </c>
      <c r="B337" s="101" t="s">
        <v>1020</v>
      </c>
      <c r="C337" s="102" t="s">
        <v>76</v>
      </c>
      <c r="D337" s="103" t="s">
        <v>62</v>
      </c>
      <c r="E337" s="104">
        <v>12182</v>
      </c>
      <c r="F337" s="104">
        <v>781</v>
      </c>
      <c r="G337" s="104">
        <v>1096</v>
      </c>
      <c r="H337" s="116">
        <v>16.793505021323515</v>
      </c>
      <c r="I337" s="126">
        <v>8182</v>
      </c>
      <c r="J337" s="117">
        <v>22.549609032824051</v>
      </c>
    </row>
    <row r="338" spans="1:10" ht="16">
      <c r="A338" s="93" t="s">
        <v>507</v>
      </c>
      <c r="B338" s="94" t="s">
        <v>474</v>
      </c>
      <c r="C338" s="95" t="s">
        <v>76</v>
      </c>
      <c r="D338" s="96" t="s">
        <v>60</v>
      </c>
      <c r="E338" s="97">
        <v>7938</v>
      </c>
      <c r="F338" s="97">
        <v>571</v>
      </c>
      <c r="G338" s="97">
        <v>318</v>
      </c>
      <c r="H338" s="114">
        <v>17.704127572897836</v>
      </c>
      <c r="I338" s="125">
        <v>4643</v>
      </c>
      <c r="J338" s="115">
        <v>44.689830719020051</v>
      </c>
    </row>
    <row r="339" spans="1:10" ht="16">
      <c r="A339" s="100" t="s">
        <v>248</v>
      </c>
      <c r="B339" s="101" t="s">
        <v>223</v>
      </c>
      <c r="C339" s="102" t="s">
        <v>107</v>
      </c>
      <c r="D339" s="103" t="s">
        <v>82</v>
      </c>
      <c r="E339" s="104">
        <v>21455</v>
      </c>
      <c r="F339" s="104">
        <v>1500</v>
      </c>
      <c r="G339" s="104">
        <v>429</v>
      </c>
      <c r="H339" s="116">
        <v>11.076226986854053</v>
      </c>
      <c r="I339" s="126">
        <v>6749</v>
      </c>
      <c r="J339" s="117">
        <v>15.847138021312508</v>
      </c>
    </row>
    <row r="340" spans="1:10" ht="16">
      <c r="A340" s="93" t="s">
        <v>249</v>
      </c>
      <c r="B340" s="94" t="s">
        <v>223</v>
      </c>
      <c r="C340" s="95" t="s">
        <v>107</v>
      </c>
      <c r="D340" s="96" t="s">
        <v>82</v>
      </c>
      <c r="E340" s="97">
        <v>35335</v>
      </c>
      <c r="F340" s="97">
        <v>3719</v>
      </c>
      <c r="G340" s="97">
        <v>1767</v>
      </c>
      <c r="H340" s="114">
        <v>11.009085007414404</v>
      </c>
      <c r="I340" s="125">
        <v>3545</v>
      </c>
      <c r="J340" s="115">
        <v>19.269176588579533</v>
      </c>
    </row>
    <row r="341" spans="1:10" ht="16">
      <c r="A341" s="100" t="s">
        <v>661</v>
      </c>
      <c r="B341" s="101" t="s">
        <v>642</v>
      </c>
      <c r="C341" s="102" t="s">
        <v>107</v>
      </c>
      <c r="D341" s="103" t="s">
        <v>80</v>
      </c>
      <c r="E341" s="104">
        <v>1078</v>
      </c>
      <c r="F341" s="104">
        <v>1198</v>
      </c>
      <c r="G341" s="104">
        <v>11</v>
      </c>
      <c r="H341" s="116">
        <v>9.5920881746728845</v>
      </c>
      <c r="I341" s="126">
        <v>4559</v>
      </c>
      <c r="J341" s="117">
        <v>29.149684018153874</v>
      </c>
    </row>
    <row r="342" spans="1:10" ht="16">
      <c r="A342" s="93" t="s">
        <v>250</v>
      </c>
      <c r="B342" s="94" t="s">
        <v>223</v>
      </c>
      <c r="C342" s="95" t="s">
        <v>107</v>
      </c>
      <c r="D342" s="96" t="s">
        <v>84</v>
      </c>
      <c r="E342" s="97">
        <v>70450</v>
      </c>
      <c r="F342" s="97">
        <v>6523</v>
      </c>
      <c r="G342" s="97">
        <v>2114</v>
      </c>
      <c r="H342" s="114">
        <v>16.754540362905683</v>
      </c>
      <c r="I342" s="125">
        <v>4487</v>
      </c>
      <c r="J342" s="115">
        <v>27.561312085524218</v>
      </c>
    </row>
    <row r="343" spans="1:10" ht="16">
      <c r="A343" s="100" t="s">
        <v>251</v>
      </c>
      <c r="B343" s="101" t="s">
        <v>223</v>
      </c>
      <c r="C343" s="102" t="s">
        <v>76</v>
      </c>
      <c r="D343" s="103" t="s">
        <v>60</v>
      </c>
      <c r="E343" s="104">
        <v>34904</v>
      </c>
      <c r="F343" s="104">
        <v>2493</v>
      </c>
      <c r="G343" s="104">
        <v>11867</v>
      </c>
      <c r="H343" s="116">
        <v>15.869297996029639</v>
      </c>
      <c r="I343" s="126">
        <v>5816</v>
      </c>
      <c r="J343" s="117">
        <v>21.744286261069007</v>
      </c>
    </row>
    <row r="344" spans="1:10" ht="16">
      <c r="A344" s="93" t="s">
        <v>411</v>
      </c>
      <c r="B344" s="94" t="s">
        <v>402</v>
      </c>
      <c r="C344" s="95" t="s">
        <v>76</v>
      </c>
      <c r="D344" s="96" t="s">
        <v>84</v>
      </c>
      <c r="E344" s="97">
        <v>31919</v>
      </c>
      <c r="F344" s="97">
        <v>1187</v>
      </c>
      <c r="G344" s="97">
        <v>3511</v>
      </c>
      <c r="H344" s="114">
        <v>23.156943887796146</v>
      </c>
      <c r="I344" s="125">
        <v>17576</v>
      </c>
      <c r="J344" s="115">
        <v>35.585408481241274</v>
      </c>
    </row>
    <row r="345" spans="1:10" ht="16">
      <c r="A345" s="100" t="s">
        <v>128</v>
      </c>
      <c r="B345" s="101" t="s">
        <v>127</v>
      </c>
      <c r="C345" s="102" t="s">
        <v>76</v>
      </c>
      <c r="D345" s="103" t="s">
        <v>59</v>
      </c>
      <c r="E345" s="104">
        <v>6122</v>
      </c>
      <c r="F345" s="104">
        <v>583</v>
      </c>
      <c r="G345" s="104">
        <v>673</v>
      </c>
      <c r="H345" s="116">
        <v>20.31688137646308</v>
      </c>
      <c r="I345" s="126">
        <v>9279</v>
      </c>
      <c r="J345" s="117">
        <v>28.617944423341978</v>
      </c>
    </row>
    <row r="346" spans="1:10" ht="16">
      <c r="A346" s="93" t="s">
        <v>1327</v>
      </c>
      <c r="B346" s="94" t="s">
        <v>1288</v>
      </c>
      <c r="C346" s="95" t="s">
        <v>76</v>
      </c>
      <c r="D346" s="96" t="s">
        <v>80</v>
      </c>
      <c r="E346" s="97">
        <v>16171</v>
      </c>
      <c r="F346" s="97">
        <v>3594</v>
      </c>
      <c r="G346" s="97">
        <v>4204</v>
      </c>
      <c r="H346" s="114">
        <v>92.354205098167611</v>
      </c>
      <c r="I346" s="125">
        <v>89912</v>
      </c>
      <c r="J346" s="115">
        <v>82.491959568349145</v>
      </c>
    </row>
    <row r="347" spans="1:10" ht="16">
      <c r="A347" s="100" t="s">
        <v>755</v>
      </c>
      <c r="B347" s="101" t="s">
        <v>753</v>
      </c>
      <c r="C347" s="102" t="s">
        <v>76</v>
      </c>
      <c r="D347" s="103" t="s">
        <v>63</v>
      </c>
      <c r="E347" s="104">
        <v>21512</v>
      </c>
      <c r="F347" s="104">
        <v>1605</v>
      </c>
      <c r="G347" s="104">
        <v>3657</v>
      </c>
      <c r="H347" s="116">
        <v>9.7301686277084833</v>
      </c>
      <c r="I347" s="126">
        <v>9136</v>
      </c>
      <c r="J347" s="117">
        <v>16.024790893286198</v>
      </c>
    </row>
    <row r="348" spans="1:10" ht="16">
      <c r="A348" s="93" t="s">
        <v>662</v>
      </c>
      <c r="B348" s="94" t="s">
        <v>642</v>
      </c>
      <c r="C348" s="95" t="s">
        <v>76</v>
      </c>
      <c r="D348" s="96" t="s">
        <v>60</v>
      </c>
      <c r="E348" s="97">
        <v>4653</v>
      </c>
      <c r="F348" s="97">
        <v>1224</v>
      </c>
      <c r="G348" s="97">
        <v>93</v>
      </c>
      <c r="H348" s="114">
        <v>13.574191224887398</v>
      </c>
      <c r="I348" s="125">
        <v>3828</v>
      </c>
      <c r="J348" s="115">
        <v>34.794809012807562</v>
      </c>
    </row>
    <row r="349" spans="1:10" ht="16">
      <c r="A349" s="100" t="s">
        <v>412</v>
      </c>
      <c r="B349" s="101" t="s">
        <v>402</v>
      </c>
      <c r="C349" s="102" t="s">
        <v>76</v>
      </c>
      <c r="D349" s="103" t="s">
        <v>77</v>
      </c>
      <c r="E349" s="104">
        <v>28575</v>
      </c>
      <c r="F349" s="104">
        <v>611</v>
      </c>
      <c r="G349" s="104">
        <v>2572</v>
      </c>
      <c r="H349" s="116">
        <v>34.475657057737521</v>
      </c>
      <c r="I349" s="126">
        <v>18415</v>
      </c>
      <c r="J349" s="117">
        <v>38.284226233107738</v>
      </c>
    </row>
    <row r="350" spans="1:10" ht="16">
      <c r="A350" s="93" t="s">
        <v>548</v>
      </c>
      <c r="B350" s="94" t="s">
        <v>537</v>
      </c>
      <c r="C350" s="95" t="s">
        <v>107</v>
      </c>
      <c r="D350" s="96" t="s">
        <v>59</v>
      </c>
      <c r="E350" s="97">
        <v>6582</v>
      </c>
      <c r="F350" s="97">
        <v>295</v>
      </c>
      <c r="G350" s="97">
        <v>66</v>
      </c>
      <c r="H350" s="114">
        <v>24.369675251596391</v>
      </c>
      <c r="I350" s="125">
        <v>5994</v>
      </c>
      <c r="J350" s="115">
        <v>24.784448444287168</v>
      </c>
    </row>
    <row r="351" spans="1:10" ht="16">
      <c r="A351" s="100" t="s">
        <v>355</v>
      </c>
      <c r="B351" s="101" t="s">
        <v>344</v>
      </c>
      <c r="C351" s="102" t="s">
        <v>76</v>
      </c>
      <c r="D351" s="103" t="s">
        <v>59</v>
      </c>
      <c r="E351" s="104">
        <v>74546</v>
      </c>
      <c r="F351" s="104">
        <v>1878</v>
      </c>
      <c r="G351" s="104">
        <v>745</v>
      </c>
      <c r="H351" s="116">
        <v>8.856105246429971</v>
      </c>
      <c r="I351" s="126">
        <v>5430</v>
      </c>
      <c r="J351" s="117">
        <v>13.580214894092501</v>
      </c>
    </row>
    <row r="352" spans="1:10" ht="16">
      <c r="A352" s="93" t="s">
        <v>663</v>
      </c>
      <c r="B352" s="94" t="s">
        <v>642</v>
      </c>
      <c r="C352" s="95" t="s">
        <v>107</v>
      </c>
      <c r="D352" s="96" t="s">
        <v>80</v>
      </c>
      <c r="E352" s="97">
        <v>6392</v>
      </c>
      <c r="F352" s="97">
        <v>659</v>
      </c>
      <c r="G352" s="97">
        <v>128</v>
      </c>
      <c r="H352" s="114">
        <v>12.585058611424959</v>
      </c>
      <c r="I352" s="125">
        <v>3372</v>
      </c>
      <c r="J352" s="115">
        <v>21.203719240882023</v>
      </c>
    </row>
    <row r="353" spans="1:10" ht="16">
      <c r="A353" s="100" t="s">
        <v>664</v>
      </c>
      <c r="B353" s="101" t="s">
        <v>642</v>
      </c>
      <c r="C353" s="102" t="s">
        <v>107</v>
      </c>
      <c r="D353" s="103" t="s">
        <v>130</v>
      </c>
      <c r="E353" s="104">
        <v>10541</v>
      </c>
      <c r="F353" s="104">
        <v>1044</v>
      </c>
      <c r="G353" s="104">
        <v>316</v>
      </c>
      <c r="H353" s="116">
        <v>11.668064250036512</v>
      </c>
      <c r="I353" s="126">
        <v>2098</v>
      </c>
      <c r="J353" s="117">
        <v>21.689632535972081</v>
      </c>
    </row>
    <row r="354" spans="1:10" ht="16">
      <c r="A354" s="93" t="s">
        <v>665</v>
      </c>
      <c r="B354" s="94" t="s">
        <v>642</v>
      </c>
      <c r="C354" s="95" t="s">
        <v>107</v>
      </c>
      <c r="D354" s="96" t="s">
        <v>80</v>
      </c>
      <c r="E354" s="97">
        <v>18104</v>
      </c>
      <c r="F354" s="97">
        <v>1240</v>
      </c>
      <c r="G354" s="97">
        <v>543</v>
      </c>
      <c r="H354" s="114">
        <v>8.3632080113698049</v>
      </c>
      <c r="I354" s="125">
        <v>949</v>
      </c>
      <c r="J354" s="115">
        <v>14.909886696099544</v>
      </c>
    </row>
    <row r="355" spans="1:10" ht="16">
      <c r="A355" s="100" t="s">
        <v>666</v>
      </c>
      <c r="B355" s="101" t="s">
        <v>642</v>
      </c>
      <c r="C355" s="102" t="s">
        <v>107</v>
      </c>
      <c r="D355" s="103" t="s">
        <v>84</v>
      </c>
      <c r="E355" s="104">
        <v>10420</v>
      </c>
      <c r="F355" s="104">
        <v>1063</v>
      </c>
      <c r="G355" s="104">
        <v>521</v>
      </c>
      <c r="H355" s="116">
        <v>18.448259794499123</v>
      </c>
      <c r="I355" s="126">
        <v>5088</v>
      </c>
      <c r="J355" s="117">
        <v>27.790489349255637</v>
      </c>
    </row>
    <row r="356" spans="1:10" ht="16">
      <c r="A356" s="93" t="s">
        <v>999</v>
      </c>
      <c r="B356" s="94" t="s">
        <v>988</v>
      </c>
      <c r="C356" s="95" t="s">
        <v>107</v>
      </c>
      <c r="D356" s="96" t="s">
        <v>80</v>
      </c>
      <c r="E356" s="97">
        <v>23127</v>
      </c>
      <c r="F356" s="97">
        <v>1001</v>
      </c>
      <c r="G356" s="97">
        <v>694</v>
      </c>
      <c r="H356" s="114">
        <v>15.279857623671292</v>
      </c>
      <c r="I356" s="125">
        <v>2734</v>
      </c>
      <c r="J356" s="115">
        <v>18.147173423694269</v>
      </c>
    </row>
    <row r="357" spans="1:10" ht="16">
      <c r="A357" s="100" t="s">
        <v>667</v>
      </c>
      <c r="B357" s="101" t="s">
        <v>642</v>
      </c>
      <c r="C357" s="102" t="s">
        <v>107</v>
      </c>
      <c r="D357" s="103" t="s">
        <v>60</v>
      </c>
      <c r="E357" s="104">
        <v>841</v>
      </c>
      <c r="F357" s="104">
        <v>765</v>
      </c>
      <c r="G357" s="104">
        <v>25</v>
      </c>
      <c r="H357" s="116">
        <v>8.8911154427109924</v>
      </c>
      <c r="I357" s="126">
        <v>6177</v>
      </c>
      <c r="J357" s="117">
        <v>33.059816672719208</v>
      </c>
    </row>
    <row r="358" spans="1:10" ht="16">
      <c r="A358" s="93" t="s">
        <v>668</v>
      </c>
      <c r="B358" s="94" t="s">
        <v>642</v>
      </c>
      <c r="C358" s="95" t="s">
        <v>107</v>
      </c>
      <c r="D358" s="96" t="s">
        <v>82</v>
      </c>
      <c r="E358" s="97">
        <v>30346</v>
      </c>
      <c r="F358" s="97">
        <v>2709</v>
      </c>
      <c r="G358" s="97">
        <v>910</v>
      </c>
      <c r="H358" s="114">
        <v>8.5192837118104556</v>
      </c>
      <c r="I358" s="125">
        <v>590</v>
      </c>
      <c r="J358" s="115">
        <v>24.731534706905389</v>
      </c>
    </row>
    <row r="359" spans="1:10" ht="16">
      <c r="A359" s="100" t="s">
        <v>1328</v>
      </c>
      <c r="B359" s="101" t="s">
        <v>1288</v>
      </c>
      <c r="C359" s="102" t="s">
        <v>107</v>
      </c>
      <c r="D359" s="103" t="s">
        <v>92</v>
      </c>
      <c r="E359" s="104">
        <v>21536</v>
      </c>
      <c r="F359" s="104">
        <v>1506</v>
      </c>
      <c r="G359" s="104">
        <v>1938</v>
      </c>
      <c r="H359" s="116">
        <v>21.202134098612447</v>
      </c>
      <c r="I359" s="126">
        <v>9403</v>
      </c>
      <c r="J359" s="117">
        <v>25.965873027599233</v>
      </c>
    </row>
    <row r="360" spans="1:10" ht="16">
      <c r="A360" s="93" t="s">
        <v>1089</v>
      </c>
      <c r="B360" s="94" t="s">
        <v>1081</v>
      </c>
      <c r="C360" s="95" t="s">
        <v>76</v>
      </c>
      <c r="D360" s="96" t="s">
        <v>61</v>
      </c>
      <c r="E360" s="97">
        <v>6881</v>
      </c>
      <c r="F360" s="97">
        <v>564</v>
      </c>
      <c r="G360" s="97">
        <v>482</v>
      </c>
      <c r="H360" s="114">
        <v>23.441389137645153</v>
      </c>
      <c r="I360" s="125">
        <v>6047</v>
      </c>
      <c r="J360" s="115">
        <v>23.19872656065014</v>
      </c>
    </row>
    <row r="361" spans="1:10" ht="16">
      <c r="A361" s="100" t="s">
        <v>413</v>
      </c>
      <c r="B361" s="101" t="s">
        <v>402</v>
      </c>
      <c r="C361" s="102" t="s">
        <v>107</v>
      </c>
      <c r="D361" s="103" t="s">
        <v>63</v>
      </c>
      <c r="E361" s="104">
        <v>27255</v>
      </c>
      <c r="F361" s="104">
        <v>1065</v>
      </c>
      <c r="G361" s="104">
        <v>5996</v>
      </c>
      <c r="H361" s="116">
        <v>48.541645305366465</v>
      </c>
      <c r="I361" s="126">
        <v>31913</v>
      </c>
      <c r="J361" s="117">
        <v>46.027788754896171</v>
      </c>
    </row>
    <row r="362" spans="1:10" ht="16">
      <c r="A362" s="93" t="s">
        <v>1063</v>
      </c>
      <c r="B362" s="94" t="s">
        <v>1062</v>
      </c>
      <c r="C362" s="95" t="s">
        <v>76</v>
      </c>
      <c r="D362" s="96" t="s">
        <v>61</v>
      </c>
      <c r="E362" s="97">
        <v>8552</v>
      </c>
      <c r="F362" s="97">
        <v>668</v>
      </c>
      <c r="G362" s="97">
        <v>7184</v>
      </c>
      <c r="H362" s="114">
        <v>13.369241579987253</v>
      </c>
      <c r="I362" s="125">
        <v>6318</v>
      </c>
      <c r="J362" s="115">
        <v>16.843661284135766</v>
      </c>
    </row>
    <row r="363" spans="1:10" ht="16">
      <c r="A363" s="100" t="s">
        <v>1064</v>
      </c>
      <c r="B363" s="101" t="s">
        <v>1062</v>
      </c>
      <c r="C363" s="102" t="s">
        <v>76</v>
      </c>
      <c r="D363" s="103" t="s">
        <v>130</v>
      </c>
      <c r="E363" s="104">
        <v>7777</v>
      </c>
      <c r="F363" s="104">
        <v>864</v>
      </c>
      <c r="G363" s="104">
        <v>1555</v>
      </c>
      <c r="H363" s="116">
        <v>71.809758992988023</v>
      </c>
      <c r="I363" s="126">
        <v>68755</v>
      </c>
      <c r="J363" s="117">
        <v>56.314810103060147</v>
      </c>
    </row>
    <row r="364" spans="1:10" ht="16">
      <c r="A364" s="93" t="s">
        <v>1122</v>
      </c>
      <c r="B364" s="94" t="s">
        <v>1120</v>
      </c>
      <c r="C364" s="95" t="s">
        <v>76</v>
      </c>
      <c r="D364" s="96" t="s">
        <v>59</v>
      </c>
      <c r="E364" s="97">
        <v>68067</v>
      </c>
      <c r="F364" s="97">
        <v>3066</v>
      </c>
      <c r="G364" s="97">
        <v>681</v>
      </c>
      <c r="H364" s="114">
        <v>13.483382008272502</v>
      </c>
      <c r="I364" s="125">
        <v>1402</v>
      </c>
      <c r="J364" s="115">
        <v>18.7267178813659</v>
      </c>
    </row>
    <row r="365" spans="1:10" ht="16">
      <c r="A365" s="100" t="s">
        <v>772</v>
      </c>
      <c r="B365" s="101" t="s">
        <v>773</v>
      </c>
      <c r="C365" s="102" t="s">
        <v>107</v>
      </c>
      <c r="D365" s="103" t="s">
        <v>63</v>
      </c>
      <c r="E365" s="104">
        <v>9956</v>
      </c>
      <c r="F365" s="104">
        <v>677</v>
      </c>
      <c r="G365" s="104">
        <v>597</v>
      </c>
      <c r="H365" s="116">
        <v>12.142662928386425</v>
      </c>
      <c r="I365" s="126">
        <v>719</v>
      </c>
      <c r="J365" s="117">
        <v>16.999801691880656</v>
      </c>
    </row>
    <row r="366" spans="1:10" ht="16">
      <c r="A366" s="93" t="s">
        <v>926</v>
      </c>
      <c r="B366" s="94" t="s">
        <v>919</v>
      </c>
      <c r="C366" s="95" t="s">
        <v>76</v>
      </c>
      <c r="D366" s="96" t="s">
        <v>84</v>
      </c>
      <c r="E366" s="97">
        <v>26670</v>
      </c>
      <c r="F366" s="97">
        <v>2469</v>
      </c>
      <c r="G366" s="97">
        <v>3467</v>
      </c>
      <c r="H366" s="114">
        <v>17.80370117709916</v>
      </c>
      <c r="I366" s="125">
        <v>8167</v>
      </c>
      <c r="J366" s="115">
        <v>29.500387741221832</v>
      </c>
    </row>
    <row r="367" spans="1:10" ht="16">
      <c r="A367" s="100" t="s">
        <v>927</v>
      </c>
      <c r="B367" s="101" t="s">
        <v>919</v>
      </c>
      <c r="C367" s="102" t="s">
        <v>107</v>
      </c>
      <c r="D367" s="103" t="s">
        <v>92</v>
      </c>
      <c r="E367" s="104">
        <v>15260</v>
      </c>
      <c r="F367" s="104">
        <v>1426</v>
      </c>
      <c r="G367" s="104">
        <v>1679</v>
      </c>
      <c r="H367" s="116">
        <v>9.225847769733079</v>
      </c>
      <c r="I367" s="126">
        <v>926</v>
      </c>
      <c r="J367" s="117">
        <v>18.14356963392402</v>
      </c>
    </row>
    <row r="368" spans="1:10" ht="16">
      <c r="A368" s="93" t="s">
        <v>1212</v>
      </c>
      <c r="B368" s="94" t="s">
        <v>1190</v>
      </c>
      <c r="C368" s="95" t="s">
        <v>76</v>
      </c>
      <c r="D368" s="96" t="s">
        <v>62</v>
      </c>
      <c r="E368" s="97">
        <v>9004</v>
      </c>
      <c r="F368" s="97">
        <v>600</v>
      </c>
      <c r="G368" s="97">
        <v>1711</v>
      </c>
      <c r="H368" s="114">
        <v>22.931514215518561</v>
      </c>
      <c r="I368" s="125">
        <v>14417</v>
      </c>
      <c r="J368" s="115">
        <v>20.364082219648985</v>
      </c>
    </row>
    <row r="369" spans="1:10" ht="16">
      <c r="A369" s="100" t="s">
        <v>669</v>
      </c>
      <c r="B369" s="101" t="s">
        <v>642</v>
      </c>
      <c r="C369" s="102" t="s">
        <v>107</v>
      </c>
      <c r="D369" s="103" t="s">
        <v>77</v>
      </c>
      <c r="E369" s="104">
        <v>34916</v>
      </c>
      <c r="F369" s="104">
        <v>3357</v>
      </c>
      <c r="G369" s="104">
        <v>2793</v>
      </c>
      <c r="H369" s="116">
        <v>25.877201998421647</v>
      </c>
      <c r="I369" s="126">
        <v>9526</v>
      </c>
      <c r="J369" s="117">
        <v>32.272699985605925</v>
      </c>
    </row>
    <row r="370" spans="1:10" ht="16">
      <c r="A370" s="93" t="s">
        <v>1329</v>
      </c>
      <c r="B370" s="94" t="s">
        <v>1288</v>
      </c>
      <c r="C370" s="95" t="s">
        <v>76</v>
      </c>
      <c r="D370" s="96" t="s">
        <v>84</v>
      </c>
      <c r="E370" s="97">
        <v>24559</v>
      </c>
      <c r="F370" s="97">
        <v>1204</v>
      </c>
      <c r="G370" s="97">
        <v>2210</v>
      </c>
      <c r="H370" s="114">
        <v>19.312791005523518</v>
      </c>
      <c r="I370" s="125">
        <v>10682</v>
      </c>
      <c r="J370" s="115">
        <v>23.875235935291439</v>
      </c>
    </row>
    <row r="371" spans="1:10" ht="16">
      <c r="A371" s="100" t="s">
        <v>1186</v>
      </c>
      <c r="B371" s="101" t="s">
        <v>1185</v>
      </c>
      <c r="C371" s="102" t="s">
        <v>76</v>
      </c>
      <c r="D371" s="103" t="s">
        <v>84</v>
      </c>
      <c r="E371" s="104">
        <v>3651</v>
      </c>
      <c r="F371" s="104">
        <v>384</v>
      </c>
      <c r="G371" s="104">
        <v>949</v>
      </c>
      <c r="H371" s="116">
        <v>33.870244202437547</v>
      </c>
      <c r="I371" s="126">
        <v>17873</v>
      </c>
      <c r="J371" s="117">
        <v>27.858130669801536</v>
      </c>
    </row>
    <row r="372" spans="1:10" ht="16">
      <c r="A372" s="93" t="s">
        <v>549</v>
      </c>
      <c r="B372" s="94" t="s">
        <v>537</v>
      </c>
      <c r="C372" s="95" t="s">
        <v>76</v>
      </c>
      <c r="D372" s="96" t="s">
        <v>80</v>
      </c>
      <c r="E372" s="97">
        <v>12656</v>
      </c>
      <c r="F372" s="97">
        <v>606</v>
      </c>
      <c r="G372" s="97">
        <v>127</v>
      </c>
      <c r="H372" s="114">
        <v>13.375468812805705</v>
      </c>
      <c r="I372" s="125">
        <v>2743</v>
      </c>
      <c r="J372" s="115">
        <v>28.802970412215682</v>
      </c>
    </row>
    <row r="373" spans="1:10" ht="16">
      <c r="A373" s="100" t="s">
        <v>1123</v>
      </c>
      <c r="B373" s="101" t="s">
        <v>1120</v>
      </c>
      <c r="C373" s="102" t="s">
        <v>76</v>
      </c>
      <c r="D373" s="103" t="s">
        <v>84</v>
      </c>
      <c r="E373" s="104">
        <v>38655</v>
      </c>
      <c r="F373" s="104">
        <v>1962</v>
      </c>
      <c r="G373" s="104">
        <v>773</v>
      </c>
      <c r="H373" s="116">
        <v>12.392824404783193</v>
      </c>
      <c r="I373" s="126">
        <v>2194</v>
      </c>
      <c r="J373" s="117">
        <v>21.64578677952472</v>
      </c>
    </row>
    <row r="374" spans="1:10" ht="16">
      <c r="A374" s="93" t="s">
        <v>508</v>
      </c>
      <c r="B374" s="94" t="s">
        <v>474</v>
      </c>
      <c r="C374" s="95" t="s">
        <v>107</v>
      </c>
      <c r="D374" s="96" t="s">
        <v>84</v>
      </c>
      <c r="E374" s="97">
        <v>21390</v>
      </c>
      <c r="F374" s="97">
        <v>1633</v>
      </c>
      <c r="G374" s="97">
        <v>428</v>
      </c>
      <c r="H374" s="114">
        <v>12.348066188901827</v>
      </c>
      <c r="I374" s="125">
        <v>3069</v>
      </c>
      <c r="J374" s="115">
        <v>17.341037060658525</v>
      </c>
    </row>
    <row r="375" spans="1:10" ht="16">
      <c r="A375" s="100" t="s">
        <v>670</v>
      </c>
      <c r="B375" s="101" t="s">
        <v>642</v>
      </c>
      <c r="C375" s="102" t="s">
        <v>107</v>
      </c>
      <c r="D375" s="103" t="s">
        <v>63</v>
      </c>
      <c r="E375" s="104">
        <v>33125</v>
      </c>
      <c r="F375" s="104">
        <v>2436</v>
      </c>
      <c r="G375" s="104">
        <v>663</v>
      </c>
      <c r="H375" s="116">
        <v>12.323294305698223</v>
      </c>
      <c r="I375" s="126">
        <v>6750</v>
      </c>
      <c r="J375" s="117">
        <v>20.833087082464687</v>
      </c>
    </row>
    <row r="376" spans="1:10" ht="16">
      <c r="A376" s="93" t="s">
        <v>961</v>
      </c>
      <c r="B376" s="94" t="s">
        <v>959</v>
      </c>
      <c r="C376" s="95" t="s">
        <v>76</v>
      </c>
      <c r="D376" s="96" t="s">
        <v>63</v>
      </c>
      <c r="E376" s="97">
        <v>32853</v>
      </c>
      <c r="F376" s="97">
        <v>4159</v>
      </c>
      <c r="G376" s="97">
        <v>6899</v>
      </c>
      <c r="H376" s="114">
        <v>17.467914200565488</v>
      </c>
      <c r="I376" s="125">
        <v>16033</v>
      </c>
      <c r="J376" s="115">
        <v>29.99224266214204</v>
      </c>
    </row>
    <row r="377" spans="1:10" ht="16">
      <c r="A377" s="100" t="s">
        <v>962</v>
      </c>
      <c r="B377" s="101" t="s">
        <v>959</v>
      </c>
      <c r="C377" s="102" t="s">
        <v>107</v>
      </c>
      <c r="D377" s="103" t="s">
        <v>130</v>
      </c>
      <c r="E377" s="104">
        <v>6882</v>
      </c>
      <c r="F377" s="104">
        <v>1012</v>
      </c>
      <c r="G377" s="104">
        <v>895</v>
      </c>
      <c r="H377" s="116">
        <v>16.86673338511201</v>
      </c>
      <c r="I377" s="126">
        <v>8287</v>
      </c>
      <c r="J377" s="117">
        <v>28.184107485970735</v>
      </c>
    </row>
    <row r="378" spans="1:10" ht="16">
      <c r="A378" s="93" t="s">
        <v>963</v>
      </c>
      <c r="B378" s="94" t="s">
        <v>959</v>
      </c>
      <c r="C378" s="95" t="s">
        <v>76</v>
      </c>
      <c r="D378" s="96" t="s">
        <v>92</v>
      </c>
      <c r="E378" s="97">
        <v>38865</v>
      </c>
      <c r="F378" s="97">
        <v>4798</v>
      </c>
      <c r="G378" s="97">
        <v>4275</v>
      </c>
      <c r="H378" s="114">
        <v>7.6888905035360686</v>
      </c>
      <c r="I378" s="125">
        <v>3898</v>
      </c>
      <c r="J378" s="115">
        <v>21.738503006248482</v>
      </c>
    </row>
    <row r="379" spans="1:10" ht="16">
      <c r="A379" s="100" t="s">
        <v>1124</v>
      </c>
      <c r="B379" s="101" t="s">
        <v>1120</v>
      </c>
      <c r="C379" s="102" t="s">
        <v>107</v>
      </c>
      <c r="D379" s="103" t="s">
        <v>84</v>
      </c>
      <c r="E379" s="104">
        <v>26846</v>
      </c>
      <c r="F379" s="104">
        <v>1078</v>
      </c>
      <c r="G379" s="104">
        <v>2549</v>
      </c>
      <c r="H379" s="116">
        <v>10.747017159965459</v>
      </c>
      <c r="I379" s="126">
        <v>1019</v>
      </c>
      <c r="J379" s="117">
        <v>15.57950193968863</v>
      </c>
    </row>
    <row r="380" spans="1:10" ht="16">
      <c r="A380" s="93" t="s">
        <v>964</v>
      </c>
      <c r="B380" s="94" t="s">
        <v>959</v>
      </c>
      <c r="C380" s="95" t="s">
        <v>76</v>
      </c>
      <c r="D380" s="96" t="s">
        <v>62</v>
      </c>
      <c r="E380" s="97">
        <v>11708</v>
      </c>
      <c r="F380" s="97">
        <v>1697</v>
      </c>
      <c r="G380" s="97">
        <v>117</v>
      </c>
      <c r="H380" s="114">
        <v>8.3679704505010886</v>
      </c>
      <c r="I380" s="125">
        <v>5249</v>
      </c>
      <c r="J380" s="115">
        <v>30.534102770083383</v>
      </c>
    </row>
    <row r="381" spans="1:10" ht="16">
      <c r="A381" s="100" t="s">
        <v>965</v>
      </c>
      <c r="B381" s="101" t="s">
        <v>959</v>
      </c>
      <c r="C381" s="102" t="s">
        <v>76</v>
      </c>
      <c r="D381" s="103" t="s">
        <v>62</v>
      </c>
      <c r="E381" s="104">
        <v>38971</v>
      </c>
      <c r="F381" s="104">
        <v>3747</v>
      </c>
      <c r="G381" s="104">
        <v>3897</v>
      </c>
      <c r="H381" s="116">
        <v>26.409700347941712</v>
      </c>
      <c r="I381" s="126">
        <v>12841</v>
      </c>
      <c r="J381" s="117">
        <v>25.386340819986231</v>
      </c>
    </row>
    <row r="382" spans="1:10" ht="16">
      <c r="A382" s="93" t="s">
        <v>1213</v>
      </c>
      <c r="B382" s="94" t="s">
        <v>1190</v>
      </c>
      <c r="C382" s="95" t="s">
        <v>76</v>
      </c>
      <c r="D382" s="96" t="s">
        <v>84</v>
      </c>
      <c r="E382" s="97">
        <v>15700</v>
      </c>
      <c r="F382" s="97">
        <v>892</v>
      </c>
      <c r="G382" s="97">
        <v>5652</v>
      </c>
      <c r="H382" s="114">
        <v>16.395216197330431</v>
      </c>
      <c r="I382" s="125">
        <v>5240</v>
      </c>
      <c r="J382" s="115">
        <v>17.741720851496314</v>
      </c>
    </row>
    <row r="383" spans="1:10" ht="16">
      <c r="A383" s="100" t="s">
        <v>671</v>
      </c>
      <c r="B383" s="101" t="s">
        <v>642</v>
      </c>
      <c r="C383" s="102" t="s">
        <v>76</v>
      </c>
      <c r="D383" s="103" t="s">
        <v>130</v>
      </c>
      <c r="E383" s="104">
        <v>8503</v>
      </c>
      <c r="F383" s="104">
        <v>1575</v>
      </c>
      <c r="G383" s="104">
        <v>592</v>
      </c>
      <c r="H383" s="116">
        <v>10.320557966330982</v>
      </c>
      <c r="I383" s="126">
        <v>1862</v>
      </c>
      <c r="J383" s="117">
        <v>24.533687244404163</v>
      </c>
    </row>
    <row r="384" spans="1:10" ht="16">
      <c r="A384" s="93" t="s">
        <v>672</v>
      </c>
      <c r="B384" s="94" t="s">
        <v>642</v>
      </c>
      <c r="C384" s="95" t="s">
        <v>107</v>
      </c>
      <c r="D384" s="96" t="s">
        <v>80</v>
      </c>
      <c r="E384" s="97">
        <v>15593</v>
      </c>
      <c r="F384" s="97">
        <v>1641</v>
      </c>
      <c r="G384" s="97">
        <v>1092</v>
      </c>
      <c r="H384" s="114">
        <v>23.048871689400396</v>
      </c>
      <c r="I384" s="125">
        <v>7203</v>
      </c>
      <c r="J384" s="115">
        <v>32.683394551637129</v>
      </c>
    </row>
    <row r="385" spans="1:10" ht="16">
      <c r="A385" s="100" t="s">
        <v>1164</v>
      </c>
      <c r="B385" s="101" t="s">
        <v>1142</v>
      </c>
      <c r="C385" s="102" t="s">
        <v>76</v>
      </c>
      <c r="D385" s="103" t="s">
        <v>84</v>
      </c>
      <c r="E385" s="104">
        <v>5381</v>
      </c>
      <c r="F385" s="104">
        <v>345</v>
      </c>
      <c r="G385" s="104">
        <v>323</v>
      </c>
      <c r="H385" s="116">
        <v>35.147597248511865</v>
      </c>
      <c r="I385" s="126">
        <v>16979</v>
      </c>
      <c r="J385" s="117">
        <v>27.744789943513144</v>
      </c>
    </row>
    <row r="386" spans="1:10" ht="16">
      <c r="A386" s="93" t="s">
        <v>673</v>
      </c>
      <c r="B386" s="94" t="s">
        <v>642</v>
      </c>
      <c r="C386" s="95" t="s">
        <v>107</v>
      </c>
      <c r="D386" s="96" t="s">
        <v>80</v>
      </c>
      <c r="E386" s="97">
        <v>5469</v>
      </c>
      <c r="F386" s="97">
        <v>675</v>
      </c>
      <c r="G386" s="97">
        <v>55</v>
      </c>
      <c r="H386" s="114">
        <v>10.76670047975071</v>
      </c>
      <c r="I386" s="125">
        <v>2313</v>
      </c>
      <c r="J386" s="115">
        <v>20.232658645968684</v>
      </c>
    </row>
    <row r="387" spans="1:10" ht="16">
      <c r="A387" s="100" t="s">
        <v>674</v>
      </c>
      <c r="B387" s="101" t="s">
        <v>642</v>
      </c>
      <c r="C387" s="102" t="s">
        <v>107</v>
      </c>
      <c r="D387" s="103" t="s">
        <v>63</v>
      </c>
      <c r="E387" s="104">
        <v>6505</v>
      </c>
      <c r="F387" s="104">
        <v>374</v>
      </c>
      <c r="G387" s="104">
        <v>65</v>
      </c>
      <c r="H387" s="116">
        <v>10.042354905485913</v>
      </c>
      <c r="I387" s="126">
        <v>917</v>
      </c>
      <c r="J387" s="117">
        <v>17.594879205178319</v>
      </c>
    </row>
    <row r="388" spans="1:10" ht="16">
      <c r="A388" s="93" t="s">
        <v>1000</v>
      </c>
      <c r="B388" s="94" t="s">
        <v>988</v>
      </c>
      <c r="C388" s="95" t="s">
        <v>76</v>
      </c>
      <c r="D388" s="96" t="s">
        <v>92</v>
      </c>
      <c r="E388" s="97">
        <v>12225</v>
      </c>
      <c r="F388" s="97">
        <v>527</v>
      </c>
      <c r="G388" s="97">
        <v>1956</v>
      </c>
      <c r="H388" s="114">
        <v>38.172788317659638</v>
      </c>
      <c r="I388" s="125">
        <v>10474</v>
      </c>
      <c r="J388" s="115">
        <v>33.677155824626226</v>
      </c>
    </row>
    <row r="389" spans="1:10" ht="16">
      <c r="A389" s="100" t="s">
        <v>1001</v>
      </c>
      <c r="B389" s="101" t="s">
        <v>988</v>
      </c>
      <c r="C389" s="102" t="s">
        <v>107</v>
      </c>
      <c r="D389" s="103" t="s">
        <v>82</v>
      </c>
      <c r="E389" s="104">
        <v>17081</v>
      </c>
      <c r="F389" s="104">
        <v>1512</v>
      </c>
      <c r="G389" s="104">
        <v>1708</v>
      </c>
      <c r="H389" s="116">
        <v>10.946913398126487</v>
      </c>
      <c r="I389" s="126">
        <v>1737</v>
      </c>
      <c r="J389" s="117">
        <v>18.982649148826614</v>
      </c>
    </row>
    <row r="390" spans="1:10" ht="16">
      <c r="A390" s="93" t="s">
        <v>1002</v>
      </c>
      <c r="B390" s="94" t="s">
        <v>988</v>
      </c>
      <c r="C390" s="95" t="s">
        <v>107</v>
      </c>
      <c r="D390" s="96" t="s">
        <v>60</v>
      </c>
      <c r="E390" s="97">
        <v>9481</v>
      </c>
      <c r="F390" s="97">
        <v>930</v>
      </c>
      <c r="G390" s="97">
        <v>758</v>
      </c>
      <c r="H390" s="114">
        <v>66.81781505732846</v>
      </c>
      <c r="I390" s="125">
        <v>38705</v>
      </c>
      <c r="J390" s="115">
        <v>63.032677630020238</v>
      </c>
    </row>
    <row r="391" spans="1:10" ht="16">
      <c r="A391" s="100" t="s">
        <v>1003</v>
      </c>
      <c r="B391" s="101" t="s">
        <v>988</v>
      </c>
      <c r="C391" s="102" t="s">
        <v>107</v>
      </c>
      <c r="D391" s="103" t="s">
        <v>82</v>
      </c>
      <c r="E391" s="104">
        <v>22965</v>
      </c>
      <c r="F391" s="104">
        <v>1435</v>
      </c>
      <c r="G391" s="104">
        <v>5052</v>
      </c>
      <c r="H391" s="116">
        <v>50.988612454625105</v>
      </c>
      <c r="I391" s="126">
        <v>32470</v>
      </c>
      <c r="J391" s="117">
        <v>48.548591926192962</v>
      </c>
    </row>
    <row r="392" spans="1:10" ht="16">
      <c r="A392" s="93" t="s">
        <v>1065</v>
      </c>
      <c r="B392" s="94" t="s">
        <v>1062</v>
      </c>
      <c r="C392" s="95" t="s">
        <v>107</v>
      </c>
      <c r="D392" s="96" t="s">
        <v>62</v>
      </c>
      <c r="E392" s="97">
        <v>12659</v>
      </c>
      <c r="F392" s="97">
        <v>806</v>
      </c>
      <c r="G392" s="97">
        <v>2532</v>
      </c>
      <c r="H392" s="114">
        <v>42.892013849350732</v>
      </c>
      <c r="I392" s="125">
        <v>26667</v>
      </c>
      <c r="J392" s="115">
        <v>41.40404119655917</v>
      </c>
    </row>
    <row r="393" spans="1:10" ht="16">
      <c r="A393" s="100" t="s">
        <v>146</v>
      </c>
      <c r="B393" s="101" t="s">
        <v>144</v>
      </c>
      <c r="C393" s="102" t="s">
        <v>107</v>
      </c>
      <c r="D393" s="103" t="s">
        <v>80</v>
      </c>
      <c r="E393" s="104">
        <v>45049</v>
      </c>
      <c r="F393" s="104">
        <v>1241</v>
      </c>
      <c r="G393" s="104">
        <v>6757</v>
      </c>
      <c r="H393" s="116">
        <v>73.9757484132614</v>
      </c>
      <c r="I393" s="126">
        <v>63137</v>
      </c>
      <c r="J393" s="117">
        <v>59.566844752083355</v>
      </c>
    </row>
    <row r="394" spans="1:10" ht="16">
      <c r="A394" s="93" t="s">
        <v>675</v>
      </c>
      <c r="B394" s="94" t="s">
        <v>642</v>
      </c>
      <c r="C394" s="95" t="s">
        <v>107</v>
      </c>
      <c r="D394" s="96" t="s">
        <v>60</v>
      </c>
      <c r="E394" s="97">
        <v>10032</v>
      </c>
      <c r="F394" s="97">
        <v>1320</v>
      </c>
      <c r="G394" s="97">
        <v>702</v>
      </c>
      <c r="H394" s="114">
        <v>14.778015197180972</v>
      </c>
      <c r="I394" s="125">
        <v>3307</v>
      </c>
      <c r="J394" s="115">
        <v>26.579878155701742</v>
      </c>
    </row>
    <row r="395" spans="1:10" ht="16">
      <c r="A395" s="100" t="s">
        <v>676</v>
      </c>
      <c r="B395" s="101" t="s">
        <v>642</v>
      </c>
      <c r="C395" s="102" t="s">
        <v>107</v>
      </c>
      <c r="D395" s="103" t="s">
        <v>130</v>
      </c>
      <c r="E395" s="104">
        <v>4850</v>
      </c>
      <c r="F395" s="104">
        <v>664</v>
      </c>
      <c r="G395" s="104">
        <v>97</v>
      </c>
      <c r="H395" s="116">
        <v>10.368852694515798</v>
      </c>
      <c r="I395" s="126">
        <v>5576</v>
      </c>
      <c r="J395" s="117">
        <v>21.684901255636472</v>
      </c>
    </row>
    <row r="396" spans="1:10" ht="16">
      <c r="A396" s="93" t="s">
        <v>763</v>
      </c>
      <c r="B396" s="94" t="s">
        <v>764</v>
      </c>
      <c r="C396" s="95" t="s">
        <v>76</v>
      </c>
      <c r="D396" s="96" t="s">
        <v>63</v>
      </c>
      <c r="E396" s="97">
        <v>36551</v>
      </c>
      <c r="F396" s="97">
        <v>1549</v>
      </c>
      <c r="G396" s="97">
        <v>5483</v>
      </c>
      <c r="H396" s="114">
        <v>9.9499001687498758</v>
      </c>
      <c r="I396" s="125">
        <v>3163</v>
      </c>
      <c r="J396" s="115">
        <v>19.189966284286427</v>
      </c>
    </row>
    <row r="397" spans="1:10" ht="16">
      <c r="A397" s="100" t="s">
        <v>677</v>
      </c>
      <c r="B397" s="101" t="s">
        <v>642</v>
      </c>
      <c r="C397" s="102" t="s">
        <v>107</v>
      </c>
      <c r="D397" s="103" t="s">
        <v>84</v>
      </c>
      <c r="E397" s="104">
        <v>24766</v>
      </c>
      <c r="F397" s="104">
        <v>1041</v>
      </c>
      <c r="G397" s="104">
        <v>743</v>
      </c>
      <c r="H397" s="116">
        <v>9.0912391079958486</v>
      </c>
      <c r="I397" s="126">
        <v>1249</v>
      </c>
      <c r="J397" s="117">
        <v>16.29721820386435</v>
      </c>
    </row>
    <row r="398" spans="1:10" ht="16">
      <c r="A398" s="93" t="s">
        <v>678</v>
      </c>
      <c r="B398" s="94" t="s">
        <v>642</v>
      </c>
      <c r="C398" s="95" t="s">
        <v>107</v>
      </c>
      <c r="D398" s="96" t="s">
        <v>59</v>
      </c>
      <c r="E398" s="97">
        <v>3989</v>
      </c>
      <c r="F398" s="97">
        <v>307</v>
      </c>
      <c r="G398" s="97">
        <v>199</v>
      </c>
      <c r="H398" s="114">
        <v>16.311109965267704</v>
      </c>
      <c r="I398" s="125">
        <v>1709</v>
      </c>
      <c r="J398" s="115">
        <v>21.902881638367599</v>
      </c>
    </row>
    <row r="399" spans="1:10" ht="16">
      <c r="A399" s="100" t="s">
        <v>679</v>
      </c>
      <c r="B399" s="101" t="s">
        <v>642</v>
      </c>
      <c r="C399" s="102" t="s">
        <v>107</v>
      </c>
      <c r="D399" s="103" t="s">
        <v>77</v>
      </c>
      <c r="E399" s="104">
        <v>1330</v>
      </c>
      <c r="F399" s="104">
        <v>391</v>
      </c>
      <c r="G399" s="104">
        <v>13</v>
      </c>
      <c r="H399" s="116">
        <v>14.01937846567956</v>
      </c>
      <c r="I399" s="126">
        <v>4570</v>
      </c>
      <c r="J399" s="117">
        <v>32.658925664153699</v>
      </c>
    </row>
    <row r="400" spans="1:10" ht="16">
      <c r="A400" s="93" t="s">
        <v>680</v>
      </c>
      <c r="B400" s="94" t="s">
        <v>642</v>
      </c>
      <c r="C400" s="95" t="s">
        <v>107</v>
      </c>
      <c r="D400" s="96" t="s">
        <v>62</v>
      </c>
      <c r="E400" s="97">
        <v>22566</v>
      </c>
      <c r="F400" s="97">
        <v>2507</v>
      </c>
      <c r="G400" s="97">
        <v>2031</v>
      </c>
      <c r="H400" s="114">
        <v>78.397356946709863</v>
      </c>
      <c r="I400" s="125">
        <v>46909</v>
      </c>
      <c r="J400" s="115">
        <v>74.373151556090519</v>
      </c>
    </row>
    <row r="401" spans="1:10" ht="16">
      <c r="A401" s="100" t="s">
        <v>1004</v>
      </c>
      <c r="B401" s="101" t="s">
        <v>988</v>
      </c>
      <c r="C401" s="102" t="s">
        <v>76</v>
      </c>
      <c r="D401" s="103" t="s">
        <v>84</v>
      </c>
      <c r="E401" s="104">
        <v>22102</v>
      </c>
      <c r="F401" s="104">
        <v>1278</v>
      </c>
      <c r="G401" s="104">
        <v>4862</v>
      </c>
      <c r="H401" s="116">
        <v>41.092099209495352</v>
      </c>
      <c r="I401" s="126">
        <v>22980</v>
      </c>
      <c r="J401" s="117">
        <v>34.610215111435359</v>
      </c>
    </row>
    <row r="402" spans="1:10" ht="16">
      <c r="A402" s="93" t="s">
        <v>1005</v>
      </c>
      <c r="B402" s="94" t="s">
        <v>988</v>
      </c>
      <c r="C402" s="95" t="s">
        <v>107</v>
      </c>
      <c r="D402" s="96" t="s">
        <v>80</v>
      </c>
      <c r="E402" s="97">
        <v>24155</v>
      </c>
      <c r="F402" s="97">
        <v>1028</v>
      </c>
      <c r="G402" s="97">
        <v>1449</v>
      </c>
      <c r="H402" s="114">
        <v>28.173189739999419</v>
      </c>
      <c r="I402" s="125">
        <v>7024</v>
      </c>
      <c r="J402" s="115">
        <v>25.080152612304502</v>
      </c>
    </row>
    <row r="403" spans="1:10" ht="16">
      <c r="A403" s="100" t="s">
        <v>681</v>
      </c>
      <c r="B403" s="101" t="s">
        <v>642</v>
      </c>
      <c r="C403" s="102" t="s">
        <v>107</v>
      </c>
      <c r="D403" s="103" t="s">
        <v>60</v>
      </c>
      <c r="E403" s="104">
        <v>5653</v>
      </c>
      <c r="F403" s="104">
        <v>349</v>
      </c>
      <c r="G403" s="104">
        <v>226</v>
      </c>
      <c r="H403" s="116">
        <v>12.89795631118929</v>
      </c>
      <c r="I403" s="126">
        <v>3865</v>
      </c>
      <c r="J403" s="117">
        <v>19.241138365006453</v>
      </c>
    </row>
    <row r="404" spans="1:10" ht="16">
      <c r="A404" s="93" t="s">
        <v>682</v>
      </c>
      <c r="B404" s="94" t="s">
        <v>642</v>
      </c>
      <c r="C404" s="95" t="s">
        <v>107</v>
      </c>
      <c r="D404" s="96" t="s">
        <v>82</v>
      </c>
      <c r="E404" s="97">
        <v>18643</v>
      </c>
      <c r="F404" s="97">
        <v>2119</v>
      </c>
      <c r="G404" s="97">
        <v>2424</v>
      </c>
      <c r="H404" s="114">
        <v>39.635311693865653</v>
      </c>
      <c r="I404" s="125">
        <v>13527</v>
      </c>
      <c r="J404" s="115">
        <v>44.939704245983705</v>
      </c>
    </row>
    <row r="405" spans="1:10" ht="16">
      <c r="A405" s="100" t="s">
        <v>760</v>
      </c>
      <c r="B405" s="101" t="s">
        <v>759</v>
      </c>
      <c r="C405" s="102" t="s">
        <v>107</v>
      </c>
      <c r="D405" s="103" t="s">
        <v>77</v>
      </c>
      <c r="E405" s="104">
        <v>17205</v>
      </c>
      <c r="F405" s="104">
        <v>3246</v>
      </c>
      <c r="G405" s="104">
        <v>688</v>
      </c>
      <c r="H405" s="116">
        <v>7.8108015221674432</v>
      </c>
      <c r="I405" s="126">
        <v>1332</v>
      </c>
      <c r="J405" s="117">
        <v>22.173191225156796</v>
      </c>
    </row>
    <row r="406" spans="1:10" ht="16">
      <c r="A406" s="93" t="s">
        <v>101</v>
      </c>
      <c r="B406" s="94" t="s">
        <v>89</v>
      </c>
      <c r="C406" s="95" t="s">
        <v>76</v>
      </c>
      <c r="D406" s="96" t="s">
        <v>84</v>
      </c>
      <c r="E406" s="97">
        <v>22292</v>
      </c>
      <c r="F406" s="97">
        <v>658</v>
      </c>
      <c r="G406" s="97">
        <v>6465</v>
      </c>
      <c r="H406" s="114">
        <v>33.937277964027501</v>
      </c>
      <c r="I406" s="125">
        <v>24276</v>
      </c>
      <c r="J406" s="115">
        <v>27.622948985273645</v>
      </c>
    </row>
    <row r="407" spans="1:10" ht="16">
      <c r="A407" s="100" t="s">
        <v>862</v>
      </c>
      <c r="B407" s="101" t="s">
        <v>858</v>
      </c>
      <c r="C407" s="102" t="s">
        <v>107</v>
      </c>
      <c r="D407" s="103" t="s">
        <v>92</v>
      </c>
      <c r="E407" s="104">
        <v>3859</v>
      </c>
      <c r="F407" s="104">
        <v>264</v>
      </c>
      <c r="G407" s="104">
        <v>39</v>
      </c>
      <c r="H407" s="116">
        <v>12.775898528176887</v>
      </c>
      <c r="I407" s="126">
        <v>4428</v>
      </c>
      <c r="J407" s="117">
        <v>20.38788522315528</v>
      </c>
    </row>
    <row r="408" spans="1:10" ht="16">
      <c r="A408" s="93" t="s">
        <v>187</v>
      </c>
      <c r="B408" s="94" t="s">
        <v>184</v>
      </c>
      <c r="C408" s="95" t="s">
        <v>76</v>
      </c>
      <c r="D408" s="96" t="s">
        <v>60</v>
      </c>
      <c r="E408" s="97">
        <v>8050</v>
      </c>
      <c r="F408" s="97">
        <v>329</v>
      </c>
      <c r="G408" s="97">
        <v>1047</v>
      </c>
      <c r="H408" s="114">
        <v>20.259100720824467</v>
      </c>
      <c r="I408" s="125">
        <v>9255</v>
      </c>
      <c r="J408" s="115">
        <v>17.90924514765484</v>
      </c>
    </row>
    <row r="409" spans="1:10" ht="16">
      <c r="A409" s="100" t="s">
        <v>1214</v>
      </c>
      <c r="B409" s="101" t="s">
        <v>1190</v>
      </c>
      <c r="C409" s="102" t="s">
        <v>76</v>
      </c>
      <c r="D409" s="103" t="s">
        <v>60</v>
      </c>
      <c r="E409" s="104">
        <v>12657</v>
      </c>
      <c r="F409" s="104">
        <v>1013</v>
      </c>
      <c r="G409" s="104">
        <v>4810</v>
      </c>
      <c r="H409" s="116">
        <v>39.911886463252685</v>
      </c>
      <c r="I409" s="126">
        <v>36544</v>
      </c>
      <c r="J409" s="117">
        <v>34.897060893866538</v>
      </c>
    </row>
    <row r="410" spans="1:10" ht="16">
      <c r="A410" s="93" t="s">
        <v>370</v>
      </c>
      <c r="B410" s="94" t="s">
        <v>369</v>
      </c>
      <c r="C410" s="95" t="s">
        <v>107</v>
      </c>
      <c r="D410" s="96" t="s">
        <v>62</v>
      </c>
      <c r="E410" s="97">
        <v>3851</v>
      </c>
      <c r="F410" s="97">
        <v>137</v>
      </c>
      <c r="G410" s="97">
        <v>732</v>
      </c>
      <c r="H410" s="114">
        <v>31.074796121046848</v>
      </c>
      <c r="I410" s="125">
        <v>13021</v>
      </c>
      <c r="J410" s="115">
        <v>28.994584654453103</v>
      </c>
    </row>
    <row r="411" spans="1:10" ht="16">
      <c r="A411" s="100" t="s">
        <v>765</v>
      </c>
      <c r="B411" s="101" t="s">
        <v>766</v>
      </c>
      <c r="C411" s="102" t="s">
        <v>107</v>
      </c>
      <c r="D411" s="103" t="s">
        <v>130</v>
      </c>
      <c r="E411" s="104">
        <v>4216</v>
      </c>
      <c r="F411" s="104">
        <v>114</v>
      </c>
      <c r="G411" s="104">
        <v>42</v>
      </c>
      <c r="H411" s="116">
        <v>18.116691425049268</v>
      </c>
      <c r="I411" s="126">
        <v>925</v>
      </c>
      <c r="J411" s="117">
        <v>17.564519267967448</v>
      </c>
    </row>
    <row r="412" spans="1:10" ht="16">
      <c r="A412" s="93" t="s">
        <v>188</v>
      </c>
      <c r="B412" s="94" t="s">
        <v>184</v>
      </c>
      <c r="C412" s="95" t="s">
        <v>76</v>
      </c>
      <c r="D412" s="96" t="s">
        <v>60</v>
      </c>
      <c r="E412" s="97">
        <v>29250</v>
      </c>
      <c r="F412" s="97">
        <v>1691</v>
      </c>
      <c r="G412" s="97">
        <v>3803</v>
      </c>
      <c r="H412" s="114">
        <v>32.275485945731795</v>
      </c>
      <c r="I412" s="125">
        <v>21538</v>
      </c>
      <c r="J412" s="115">
        <v>40.545805939378269</v>
      </c>
    </row>
    <row r="413" spans="1:10" ht="16">
      <c r="A413" s="100" t="s">
        <v>771</v>
      </c>
      <c r="B413" s="101" t="s">
        <v>770</v>
      </c>
      <c r="C413" s="102" t="s">
        <v>107</v>
      </c>
      <c r="D413" s="103" t="s">
        <v>63</v>
      </c>
      <c r="E413" s="104">
        <v>7866</v>
      </c>
      <c r="F413" s="104">
        <v>587</v>
      </c>
      <c r="G413" s="104">
        <v>1416</v>
      </c>
      <c r="H413" s="116">
        <v>10.98381537221927</v>
      </c>
      <c r="I413" s="126">
        <v>2602</v>
      </c>
      <c r="J413" s="117">
        <v>30.810428663016722</v>
      </c>
    </row>
    <row r="414" spans="1:10" ht="16">
      <c r="A414" s="93" t="s">
        <v>1215</v>
      </c>
      <c r="B414" s="94" t="s">
        <v>1190</v>
      </c>
      <c r="C414" s="95" t="s">
        <v>76</v>
      </c>
      <c r="D414" s="96" t="s">
        <v>84</v>
      </c>
      <c r="E414" s="97">
        <v>19726</v>
      </c>
      <c r="F414" s="97">
        <v>1012</v>
      </c>
      <c r="G414" s="97">
        <v>2367</v>
      </c>
      <c r="H414" s="114">
        <v>14.71488665673969</v>
      </c>
      <c r="I414" s="125">
        <v>5520</v>
      </c>
      <c r="J414" s="115">
        <v>16.677864064789713</v>
      </c>
    </row>
    <row r="415" spans="1:10" ht="16">
      <c r="A415" s="100" t="s">
        <v>1330</v>
      </c>
      <c r="B415" s="101" t="s">
        <v>1288</v>
      </c>
      <c r="C415" s="102" t="s">
        <v>107</v>
      </c>
      <c r="D415" s="103" t="s">
        <v>82</v>
      </c>
      <c r="E415" s="104">
        <v>6462</v>
      </c>
      <c r="F415" s="104">
        <v>598</v>
      </c>
      <c r="G415" s="104">
        <v>1099</v>
      </c>
      <c r="H415" s="116">
        <v>21.335844082857125</v>
      </c>
      <c r="I415" s="126">
        <v>10657</v>
      </c>
      <c r="J415" s="117">
        <v>27.535044859827813</v>
      </c>
    </row>
    <row r="416" spans="1:10" ht="16">
      <c r="A416" s="93" t="s">
        <v>414</v>
      </c>
      <c r="B416" s="94" t="s">
        <v>402</v>
      </c>
      <c r="C416" s="95" t="s">
        <v>107</v>
      </c>
      <c r="D416" s="96" t="s">
        <v>61</v>
      </c>
      <c r="E416" s="97">
        <v>27625</v>
      </c>
      <c r="F416" s="97">
        <v>512</v>
      </c>
      <c r="G416" s="97">
        <v>3868</v>
      </c>
      <c r="H416" s="114">
        <v>30.868286966351302</v>
      </c>
      <c r="I416" s="125">
        <v>13903</v>
      </c>
      <c r="J416" s="115">
        <v>37.550387126927262</v>
      </c>
    </row>
    <row r="417" spans="1:10" ht="16">
      <c r="A417" s="100" t="s">
        <v>823</v>
      </c>
      <c r="B417" s="101" t="s">
        <v>820</v>
      </c>
      <c r="C417" s="102" t="s">
        <v>76</v>
      </c>
      <c r="D417" s="103" t="s">
        <v>77</v>
      </c>
      <c r="E417" s="104">
        <v>28741</v>
      </c>
      <c r="F417" s="104">
        <v>1537</v>
      </c>
      <c r="G417" s="104">
        <v>4599</v>
      </c>
      <c r="H417" s="116">
        <v>65.796765054182956</v>
      </c>
      <c r="I417" s="126">
        <v>54083</v>
      </c>
      <c r="J417" s="117">
        <v>48.339717224763703</v>
      </c>
    </row>
    <row r="418" spans="1:10" ht="16">
      <c r="A418" s="93" t="s">
        <v>835</v>
      </c>
      <c r="B418" s="94" t="s">
        <v>834</v>
      </c>
      <c r="C418" s="95" t="s">
        <v>107</v>
      </c>
      <c r="D418" s="96" t="s">
        <v>80</v>
      </c>
      <c r="E418" s="97">
        <v>2476</v>
      </c>
      <c r="F418" s="97">
        <v>183</v>
      </c>
      <c r="G418" s="97">
        <v>966</v>
      </c>
      <c r="H418" s="114">
        <v>20.229209660516752</v>
      </c>
      <c r="I418" s="125">
        <v>9629</v>
      </c>
      <c r="J418" s="115">
        <v>24.569108231059946</v>
      </c>
    </row>
    <row r="419" spans="1:10" ht="16">
      <c r="A419" s="100" t="s">
        <v>1216</v>
      </c>
      <c r="B419" s="101" t="s">
        <v>1190</v>
      </c>
      <c r="C419" s="102" t="s">
        <v>76</v>
      </c>
      <c r="D419" s="103" t="s">
        <v>82</v>
      </c>
      <c r="E419" s="104">
        <v>19461</v>
      </c>
      <c r="F419" s="104">
        <v>1118</v>
      </c>
      <c r="G419" s="104">
        <v>2725</v>
      </c>
      <c r="H419" s="116">
        <v>18.181386971835398</v>
      </c>
      <c r="I419" s="126">
        <v>13695</v>
      </c>
      <c r="J419" s="117">
        <v>17.984490638539143</v>
      </c>
    </row>
    <row r="420" spans="1:10" ht="16">
      <c r="A420" s="93" t="s">
        <v>415</v>
      </c>
      <c r="B420" s="94" t="s">
        <v>402</v>
      </c>
      <c r="C420" s="95" t="s">
        <v>76</v>
      </c>
      <c r="D420" s="96" t="s">
        <v>84</v>
      </c>
      <c r="E420" s="97">
        <v>34519</v>
      </c>
      <c r="F420" s="97">
        <v>995</v>
      </c>
      <c r="G420" s="97">
        <v>5868</v>
      </c>
      <c r="H420" s="114">
        <v>77.050895092625936</v>
      </c>
      <c r="I420" s="125">
        <v>68512</v>
      </c>
      <c r="J420" s="115">
        <v>68.441189425677862</v>
      </c>
    </row>
    <row r="421" spans="1:10" ht="16">
      <c r="A421" s="100" t="s">
        <v>928</v>
      </c>
      <c r="B421" s="101" t="s">
        <v>919</v>
      </c>
      <c r="C421" s="102" t="s">
        <v>76</v>
      </c>
      <c r="D421" s="103" t="s">
        <v>61</v>
      </c>
      <c r="E421" s="104">
        <v>18077</v>
      </c>
      <c r="F421" s="104">
        <v>2288</v>
      </c>
      <c r="G421" s="104">
        <v>1265</v>
      </c>
      <c r="H421" s="116">
        <v>12.437615578824675</v>
      </c>
      <c r="I421" s="126">
        <v>1454</v>
      </c>
      <c r="J421" s="117">
        <v>26.429961414829961</v>
      </c>
    </row>
    <row r="422" spans="1:10" ht="16">
      <c r="A422" s="93" t="s">
        <v>883</v>
      </c>
      <c r="B422" s="94" t="s">
        <v>879</v>
      </c>
      <c r="C422" s="95" t="s">
        <v>107</v>
      </c>
      <c r="D422" s="96" t="s">
        <v>82</v>
      </c>
      <c r="E422" s="97">
        <v>16372</v>
      </c>
      <c r="F422" s="97">
        <v>1259</v>
      </c>
      <c r="G422" s="97">
        <v>655</v>
      </c>
      <c r="H422" s="114">
        <v>11.320885088260198</v>
      </c>
      <c r="I422" s="125">
        <v>2094</v>
      </c>
      <c r="J422" s="115">
        <v>17.067744516584565</v>
      </c>
    </row>
    <row r="423" spans="1:10" ht="16">
      <c r="A423" s="100" t="s">
        <v>929</v>
      </c>
      <c r="B423" s="101" t="s">
        <v>919</v>
      </c>
      <c r="C423" s="102" t="s">
        <v>107</v>
      </c>
      <c r="D423" s="103" t="s">
        <v>60</v>
      </c>
      <c r="E423" s="104">
        <v>29235</v>
      </c>
      <c r="F423" s="104">
        <v>4005</v>
      </c>
      <c r="G423" s="104">
        <v>8478</v>
      </c>
      <c r="H423" s="116">
        <v>63.502079544984078</v>
      </c>
      <c r="I423" s="126">
        <v>9841</v>
      </c>
      <c r="J423" s="117">
        <v>78.570822558962604</v>
      </c>
    </row>
    <row r="424" spans="1:10" ht="16">
      <c r="A424" s="93" t="s">
        <v>1217</v>
      </c>
      <c r="B424" s="94" t="s">
        <v>1190</v>
      </c>
      <c r="C424" s="95" t="s">
        <v>76</v>
      </c>
      <c r="D424" s="96" t="s">
        <v>84</v>
      </c>
      <c r="E424" s="97">
        <v>10570</v>
      </c>
      <c r="F424" s="97">
        <v>874</v>
      </c>
      <c r="G424" s="97">
        <v>7505</v>
      </c>
      <c r="H424" s="114">
        <v>83.88198562152887</v>
      </c>
      <c r="I424" s="125">
        <v>77122</v>
      </c>
      <c r="J424" s="115">
        <v>69.883562742700008</v>
      </c>
    </row>
    <row r="425" spans="1:10" ht="16">
      <c r="A425" s="100" t="s">
        <v>1218</v>
      </c>
      <c r="B425" s="101" t="s">
        <v>1190</v>
      </c>
      <c r="C425" s="102" t="s">
        <v>76</v>
      </c>
      <c r="D425" s="103" t="s">
        <v>63</v>
      </c>
      <c r="E425" s="104">
        <v>12168</v>
      </c>
      <c r="F425" s="104">
        <v>737</v>
      </c>
      <c r="G425" s="104">
        <v>4015</v>
      </c>
      <c r="H425" s="116">
        <v>10.445794605916474</v>
      </c>
      <c r="I425" s="126">
        <v>1940</v>
      </c>
      <c r="J425" s="117">
        <v>16.36421809120608</v>
      </c>
    </row>
    <row r="426" spans="1:10" ht="16">
      <c r="A426" s="93" t="s">
        <v>167</v>
      </c>
      <c r="B426" s="94" t="s">
        <v>150</v>
      </c>
      <c r="C426" s="95" t="s">
        <v>76</v>
      </c>
      <c r="D426" s="96" t="s">
        <v>62</v>
      </c>
      <c r="E426" s="97">
        <v>26685</v>
      </c>
      <c r="F426" s="97">
        <v>1744</v>
      </c>
      <c r="G426" s="97">
        <v>267</v>
      </c>
      <c r="H426" s="114">
        <v>13.658210697246309</v>
      </c>
      <c r="I426" s="125">
        <v>2252</v>
      </c>
      <c r="J426" s="115">
        <v>21.866761959251367</v>
      </c>
    </row>
    <row r="427" spans="1:10" ht="16">
      <c r="A427" s="100" t="s">
        <v>1219</v>
      </c>
      <c r="B427" s="101" t="s">
        <v>1190</v>
      </c>
      <c r="C427" s="102" t="s">
        <v>107</v>
      </c>
      <c r="D427" s="103" t="s">
        <v>60</v>
      </c>
      <c r="E427" s="104">
        <v>14749</v>
      </c>
      <c r="F427" s="104">
        <v>1031</v>
      </c>
      <c r="G427" s="104">
        <v>3687</v>
      </c>
      <c r="H427" s="116">
        <v>34.795332082161309</v>
      </c>
      <c r="I427" s="126">
        <v>18241</v>
      </c>
      <c r="J427" s="117">
        <v>34.609787520178372</v>
      </c>
    </row>
    <row r="428" spans="1:10" ht="16">
      <c r="A428" s="93" t="s">
        <v>1331</v>
      </c>
      <c r="B428" s="94" t="s">
        <v>1288</v>
      </c>
      <c r="C428" s="95" t="s">
        <v>76</v>
      </c>
      <c r="D428" s="96" t="s">
        <v>84</v>
      </c>
      <c r="E428" s="97">
        <v>29169</v>
      </c>
      <c r="F428" s="97">
        <v>1409</v>
      </c>
      <c r="G428" s="97">
        <v>1750</v>
      </c>
      <c r="H428" s="114">
        <v>26.737152983301272</v>
      </c>
      <c r="I428" s="125">
        <v>14595</v>
      </c>
      <c r="J428" s="115">
        <v>34.584883458613376</v>
      </c>
    </row>
    <row r="429" spans="1:10" ht="16">
      <c r="A429" s="100" t="s">
        <v>1332</v>
      </c>
      <c r="B429" s="101" t="s">
        <v>1288</v>
      </c>
      <c r="C429" s="102" t="s">
        <v>107</v>
      </c>
      <c r="D429" s="103" t="s">
        <v>84</v>
      </c>
      <c r="E429" s="104">
        <v>11210</v>
      </c>
      <c r="F429" s="104">
        <v>496</v>
      </c>
      <c r="G429" s="104">
        <v>448</v>
      </c>
      <c r="H429" s="116">
        <v>10.685672268069785</v>
      </c>
      <c r="I429" s="126">
        <v>4321</v>
      </c>
      <c r="J429" s="117">
        <v>17.405924630128474</v>
      </c>
    </row>
    <row r="430" spans="1:10" ht="16">
      <c r="A430" s="93" t="s">
        <v>1066</v>
      </c>
      <c r="B430" s="94" t="s">
        <v>1062</v>
      </c>
      <c r="C430" s="95" t="s">
        <v>76</v>
      </c>
      <c r="D430" s="96" t="s">
        <v>61</v>
      </c>
      <c r="E430" s="97">
        <v>27266</v>
      </c>
      <c r="F430" s="97">
        <v>2253</v>
      </c>
      <c r="G430" s="97">
        <v>5181</v>
      </c>
      <c r="H430" s="114">
        <v>55.290760820736516</v>
      </c>
      <c r="I430" s="125">
        <v>46886</v>
      </c>
      <c r="J430" s="115">
        <v>41.0226639075333</v>
      </c>
    </row>
    <row r="431" spans="1:10" ht="16">
      <c r="A431" s="100" t="s">
        <v>1179</v>
      </c>
      <c r="B431" s="101" t="s">
        <v>1178</v>
      </c>
      <c r="C431" s="102" t="s">
        <v>107</v>
      </c>
      <c r="D431" s="103" t="s">
        <v>63</v>
      </c>
      <c r="E431" s="104">
        <v>21560</v>
      </c>
      <c r="F431" s="104">
        <v>2053</v>
      </c>
      <c r="G431" s="104">
        <v>216</v>
      </c>
      <c r="H431" s="116">
        <v>8.7408501426187488</v>
      </c>
      <c r="I431" s="126">
        <v>4385</v>
      </c>
      <c r="J431" s="117">
        <v>17.919628836144575</v>
      </c>
    </row>
    <row r="432" spans="1:10" ht="16">
      <c r="A432" s="93" t="s">
        <v>824</v>
      </c>
      <c r="B432" s="94" t="s">
        <v>820</v>
      </c>
      <c r="C432" s="95" t="s">
        <v>76</v>
      </c>
      <c r="D432" s="96" t="s">
        <v>84</v>
      </c>
      <c r="E432" s="97">
        <v>16857</v>
      </c>
      <c r="F432" s="97">
        <v>906</v>
      </c>
      <c r="G432" s="97">
        <v>9103</v>
      </c>
      <c r="H432" s="114">
        <v>49.232728914280138</v>
      </c>
      <c r="I432" s="125">
        <v>37269</v>
      </c>
      <c r="J432" s="115">
        <v>40.362026917410283</v>
      </c>
    </row>
    <row r="433" spans="1:10" ht="16">
      <c r="A433" s="100" t="s">
        <v>778</v>
      </c>
      <c r="B433" s="101" t="s">
        <v>779</v>
      </c>
      <c r="C433" s="102" t="s">
        <v>76</v>
      </c>
      <c r="D433" s="103" t="s">
        <v>77</v>
      </c>
      <c r="E433" s="104">
        <v>9924</v>
      </c>
      <c r="F433" s="104">
        <v>407</v>
      </c>
      <c r="G433" s="104">
        <v>7840</v>
      </c>
      <c r="H433" s="116">
        <v>22.855263242779227</v>
      </c>
      <c r="I433" s="126">
        <v>18714</v>
      </c>
      <c r="J433" s="117">
        <v>27.844698175116502</v>
      </c>
    </row>
    <row r="434" spans="1:10" ht="16">
      <c r="A434" s="93" t="s">
        <v>102</v>
      </c>
      <c r="B434" s="94" t="s">
        <v>89</v>
      </c>
      <c r="C434" s="95" t="s">
        <v>76</v>
      </c>
      <c r="D434" s="96" t="s">
        <v>63</v>
      </c>
      <c r="E434" s="97">
        <v>30234</v>
      </c>
      <c r="F434" s="97">
        <v>441</v>
      </c>
      <c r="G434" s="97">
        <v>8768</v>
      </c>
      <c r="H434" s="114">
        <v>43.057145087752659</v>
      </c>
      <c r="I434" s="125">
        <v>30648</v>
      </c>
      <c r="J434" s="115">
        <v>38.546207967631524</v>
      </c>
    </row>
    <row r="435" spans="1:10" ht="16">
      <c r="A435" s="100" t="s">
        <v>1125</v>
      </c>
      <c r="B435" s="101" t="s">
        <v>1120</v>
      </c>
      <c r="C435" s="102" t="s">
        <v>76</v>
      </c>
      <c r="D435" s="103" t="s">
        <v>84</v>
      </c>
      <c r="E435" s="104">
        <v>13534</v>
      </c>
      <c r="F435" s="104">
        <v>607</v>
      </c>
      <c r="G435" s="104">
        <v>541</v>
      </c>
      <c r="H435" s="116">
        <v>9.9065466928665327</v>
      </c>
      <c r="I435" s="126">
        <v>6727</v>
      </c>
      <c r="J435" s="117">
        <v>14.79212498135694</v>
      </c>
    </row>
    <row r="436" spans="1:10" ht="16">
      <c r="A436" s="93" t="s">
        <v>509</v>
      </c>
      <c r="B436" s="94" t="s">
        <v>474</v>
      </c>
      <c r="C436" s="95" t="s">
        <v>76</v>
      </c>
      <c r="D436" s="96" t="s">
        <v>84</v>
      </c>
      <c r="E436" s="97">
        <v>39252</v>
      </c>
      <c r="F436" s="97">
        <v>1443</v>
      </c>
      <c r="G436" s="97">
        <v>879</v>
      </c>
      <c r="H436" s="114">
        <v>10.243398079318393</v>
      </c>
      <c r="I436" s="125">
        <v>1675</v>
      </c>
      <c r="J436" s="115">
        <v>14.397897360342411</v>
      </c>
    </row>
    <row r="437" spans="1:10" ht="16">
      <c r="A437" s="100" t="s">
        <v>1126</v>
      </c>
      <c r="B437" s="101" t="s">
        <v>1120</v>
      </c>
      <c r="C437" s="102" t="s">
        <v>76</v>
      </c>
      <c r="D437" s="103" t="s">
        <v>82</v>
      </c>
      <c r="E437" s="104">
        <v>38192</v>
      </c>
      <c r="F437" s="104">
        <v>1303</v>
      </c>
      <c r="G437" s="104">
        <v>3626</v>
      </c>
      <c r="H437" s="116">
        <v>8.7439847344721642</v>
      </c>
      <c r="I437" s="126">
        <v>887</v>
      </c>
      <c r="J437" s="117">
        <v>19.413602108705938</v>
      </c>
    </row>
    <row r="438" spans="1:10" ht="16">
      <c r="A438" s="93" t="s">
        <v>1127</v>
      </c>
      <c r="B438" s="94" t="s">
        <v>1120</v>
      </c>
      <c r="C438" s="95" t="s">
        <v>107</v>
      </c>
      <c r="D438" s="96" t="s">
        <v>63</v>
      </c>
      <c r="E438" s="97">
        <v>28476</v>
      </c>
      <c r="F438" s="97">
        <v>2792</v>
      </c>
      <c r="G438" s="97">
        <v>1139</v>
      </c>
      <c r="H438" s="114">
        <v>21.055943683196968</v>
      </c>
      <c r="I438" s="125">
        <v>9535</v>
      </c>
      <c r="J438" s="115">
        <v>31.853660221881871</v>
      </c>
    </row>
    <row r="439" spans="1:10" ht="16">
      <c r="A439" s="100" t="s">
        <v>1175</v>
      </c>
      <c r="B439" s="101" t="s">
        <v>1176</v>
      </c>
      <c r="C439" s="102" t="s">
        <v>107</v>
      </c>
      <c r="D439" s="103" t="s">
        <v>80</v>
      </c>
      <c r="E439" s="104">
        <v>34651</v>
      </c>
      <c r="F439" s="104">
        <v>1468</v>
      </c>
      <c r="G439" s="104">
        <v>2772</v>
      </c>
      <c r="H439" s="116">
        <v>13.321456064100529</v>
      </c>
      <c r="I439" s="126">
        <v>8911</v>
      </c>
      <c r="J439" s="117">
        <v>17.260451343638877</v>
      </c>
    </row>
    <row r="440" spans="1:10" ht="16">
      <c r="A440" s="93" t="s">
        <v>1220</v>
      </c>
      <c r="B440" s="94" t="s">
        <v>1190</v>
      </c>
      <c r="C440" s="95" t="s">
        <v>76</v>
      </c>
      <c r="D440" s="96" t="s">
        <v>61</v>
      </c>
      <c r="E440" s="97">
        <v>28146</v>
      </c>
      <c r="F440" s="97">
        <v>1864</v>
      </c>
      <c r="G440" s="97">
        <v>4503</v>
      </c>
      <c r="H440" s="114">
        <v>14.338331767266805</v>
      </c>
      <c r="I440" s="125">
        <v>7968</v>
      </c>
      <c r="J440" s="115">
        <v>20.90699501145615</v>
      </c>
    </row>
    <row r="441" spans="1:10" ht="16">
      <c r="A441" s="100" t="s">
        <v>510</v>
      </c>
      <c r="B441" s="101" t="s">
        <v>474</v>
      </c>
      <c r="C441" s="102" t="s">
        <v>107</v>
      </c>
      <c r="D441" s="103" t="s">
        <v>60</v>
      </c>
      <c r="E441" s="104">
        <v>23082</v>
      </c>
      <c r="F441" s="104">
        <v>2684</v>
      </c>
      <c r="G441" s="104">
        <v>2539</v>
      </c>
      <c r="H441" s="116">
        <v>12.346663108915413</v>
      </c>
      <c r="I441" s="126">
        <v>1162</v>
      </c>
      <c r="J441" s="117">
        <v>24.940227736209437</v>
      </c>
    </row>
    <row r="442" spans="1:10" ht="16">
      <c r="A442" s="93" t="s">
        <v>356</v>
      </c>
      <c r="B442" s="94" t="s">
        <v>344</v>
      </c>
      <c r="C442" s="95" t="s">
        <v>76</v>
      </c>
      <c r="D442" s="96" t="s">
        <v>80</v>
      </c>
      <c r="E442" s="97">
        <v>140126</v>
      </c>
      <c r="F442" s="97">
        <v>5628</v>
      </c>
      <c r="G442" s="97">
        <v>4204</v>
      </c>
      <c r="H442" s="114">
        <v>9.239458829581789</v>
      </c>
      <c r="I442" s="125">
        <v>8241</v>
      </c>
      <c r="J442" s="115">
        <v>19.393548988017329</v>
      </c>
    </row>
    <row r="443" spans="1:10" ht="16">
      <c r="A443" s="100" t="s">
        <v>601</v>
      </c>
      <c r="B443" s="101" t="s">
        <v>598</v>
      </c>
      <c r="C443" s="102" t="s">
        <v>107</v>
      </c>
      <c r="D443" s="103" t="s">
        <v>82</v>
      </c>
      <c r="E443" s="104">
        <v>10603</v>
      </c>
      <c r="F443" s="104">
        <v>512</v>
      </c>
      <c r="G443" s="104">
        <v>424</v>
      </c>
      <c r="H443" s="116">
        <v>18.909455592986433</v>
      </c>
      <c r="I443" s="126">
        <v>12481</v>
      </c>
      <c r="J443" s="117">
        <v>22.659629760507304</v>
      </c>
    </row>
    <row r="444" spans="1:10" ht="16">
      <c r="A444" s="93" t="s">
        <v>1165</v>
      </c>
      <c r="B444" s="94" t="s">
        <v>1142</v>
      </c>
      <c r="C444" s="95" t="s">
        <v>107</v>
      </c>
      <c r="D444" s="96" t="s">
        <v>82</v>
      </c>
      <c r="E444" s="97">
        <v>59480</v>
      </c>
      <c r="F444" s="97">
        <v>2044</v>
      </c>
      <c r="G444" s="97">
        <v>2379</v>
      </c>
      <c r="H444" s="114">
        <v>9.3926178275904917</v>
      </c>
      <c r="I444" s="125">
        <v>1780</v>
      </c>
      <c r="J444" s="115">
        <v>21.437864206160825</v>
      </c>
    </row>
    <row r="445" spans="1:10" ht="16">
      <c r="A445" s="100" t="s">
        <v>1333</v>
      </c>
      <c r="B445" s="101" t="s">
        <v>1288</v>
      </c>
      <c r="C445" s="102" t="s">
        <v>76</v>
      </c>
      <c r="D445" s="103" t="s">
        <v>63</v>
      </c>
      <c r="E445" s="104">
        <v>10472</v>
      </c>
      <c r="F445" s="104">
        <v>873</v>
      </c>
      <c r="G445" s="104">
        <v>419</v>
      </c>
      <c r="H445" s="116">
        <v>14.596954970041013</v>
      </c>
      <c r="I445" s="126">
        <v>5030</v>
      </c>
      <c r="J445" s="117">
        <v>36.752262381350725</v>
      </c>
    </row>
    <row r="446" spans="1:10" ht="16">
      <c r="A446" s="93" t="s">
        <v>326</v>
      </c>
      <c r="B446" s="94" t="s">
        <v>322</v>
      </c>
      <c r="C446" s="95" t="s">
        <v>76</v>
      </c>
      <c r="D446" s="96" t="s">
        <v>60</v>
      </c>
      <c r="E446" s="97">
        <v>31611</v>
      </c>
      <c r="F446" s="97">
        <v>1565</v>
      </c>
      <c r="G446" s="97">
        <v>6638</v>
      </c>
      <c r="H446" s="114">
        <v>25.506219814536319</v>
      </c>
      <c r="I446" s="125">
        <v>9319</v>
      </c>
      <c r="J446" s="115">
        <v>23.19351544890111</v>
      </c>
    </row>
    <row r="447" spans="1:10" ht="16">
      <c r="A447" s="100" t="s">
        <v>550</v>
      </c>
      <c r="B447" s="101" t="s">
        <v>537</v>
      </c>
      <c r="C447" s="102" t="s">
        <v>76</v>
      </c>
      <c r="D447" s="103" t="s">
        <v>61</v>
      </c>
      <c r="E447" s="104">
        <v>9134</v>
      </c>
      <c r="F447" s="104">
        <v>862</v>
      </c>
      <c r="G447" s="104">
        <v>274</v>
      </c>
      <c r="H447" s="116">
        <v>13.041335474872984</v>
      </c>
      <c r="I447" s="126">
        <v>9053</v>
      </c>
      <c r="J447" s="117">
        <v>28.479638779647043</v>
      </c>
    </row>
    <row r="448" spans="1:10" ht="16">
      <c r="A448" s="93" t="s">
        <v>1334</v>
      </c>
      <c r="B448" s="94" t="s">
        <v>1288</v>
      </c>
      <c r="C448" s="95" t="s">
        <v>107</v>
      </c>
      <c r="D448" s="96" t="s">
        <v>84</v>
      </c>
      <c r="E448" s="97">
        <v>11247</v>
      </c>
      <c r="F448" s="97">
        <v>1308</v>
      </c>
      <c r="G448" s="97">
        <v>3824</v>
      </c>
      <c r="H448" s="114">
        <v>93.058128221163912</v>
      </c>
      <c r="I448" s="125">
        <v>92010</v>
      </c>
      <c r="J448" s="115">
        <v>90.649124683751509</v>
      </c>
    </row>
    <row r="449" spans="1:10" ht="16">
      <c r="A449" s="100" t="s">
        <v>836</v>
      </c>
      <c r="B449" s="101" t="s">
        <v>834</v>
      </c>
      <c r="C449" s="102" t="s">
        <v>76</v>
      </c>
      <c r="D449" s="103" t="s">
        <v>61</v>
      </c>
      <c r="E449" s="104">
        <v>18653</v>
      </c>
      <c r="F449" s="104">
        <v>1151</v>
      </c>
      <c r="G449" s="104">
        <v>5782</v>
      </c>
      <c r="H449" s="116">
        <v>19.090283712560659</v>
      </c>
      <c r="I449" s="126">
        <v>9293</v>
      </c>
      <c r="J449" s="117">
        <v>23.090724029630334</v>
      </c>
    </row>
    <row r="450" spans="1:10" ht="16">
      <c r="A450" s="93" t="s">
        <v>582</v>
      </c>
      <c r="B450" s="94" t="s">
        <v>581</v>
      </c>
      <c r="C450" s="95" t="s">
        <v>76</v>
      </c>
      <c r="D450" s="96" t="s">
        <v>60</v>
      </c>
      <c r="E450" s="97">
        <v>9291</v>
      </c>
      <c r="F450" s="97">
        <v>328</v>
      </c>
      <c r="G450" s="97">
        <v>1115</v>
      </c>
      <c r="H450" s="114">
        <v>30.099350085107925</v>
      </c>
      <c r="I450" s="125">
        <v>24012</v>
      </c>
      <c r="J450" s="115">
        <v>21.008240758237243</v>
      </c>
    </row>
    <row r="451" spans="1:10" ht="16">
      <c r="A451" s="100" t="s">
        <v>189</v>
      </c>
      <c r="B451" s="101" t="s">
        <v>184</v>
      </c>
      <c r="C451" s="102" t="s">
        <v>76</v>
      </c>
      <c r="D451" s="103" t="s">
        <v>82</v>
      </c>
      <c r="E451" s="104">
        <v>31294</v>
      </c>
      <c r="F451" s="104">
        <v>2407</v>
      </c>
      <c r="G451" s="104">
        <v>9075</v>
      </c>
      <c r="H451" s="116">
        <v>72.283006455134057</v>
      </c>
      <c r="I451" s="126">
        <v>60996</v>
      </c>
      <c r="J451" s="117">
        <v>65.441662396956204</v>
      </c>
    </row>
    <row r="452" spans="1:10" ht="16">
      <c r="A452" s="93" t="s">
        <v>190</v>
      </c>
      <c r="B452" s="94" t="s">
        <v>184</v>
      </c>
      <c r="C452" s="95" t="s">
        <v>76</v>
      </c>
      <c r="D452" s="96" t="s">
        <v>80</v>
      </c>
      <c r="E452" s="97">
        <v>24412</v>
      </c>
      <c r="F452" s="97">
        <v>869</v>
      </c>
      <c r="G452" s="97">
        <v>4150</v>
      </c>
      <c r="H452" s="114">
        <v>50.50442971462622</v>
      </c>
      <c r="I452" s="125">
        <v>47647</v>
      </c>
      <c r="J452" s="115">
        <v>44.779956853011292</v>
      </c>
    </row>
    <row r="453" spans="1:10" ht="16">
      <c r="A453" s="100" t="s">
        <v>129</v>
      </c>
      <c r="B453" s="101" t="s">
        <v>127</v>
      </c>
      <c r="C453" s="102" t="s">
        <v>76</v>
      </c>
      <c r="D453" s="103" t="s">
        <v>130</v>
      </c>
      <c r="E453" s="104">
        <v>3352</v>
      </c>
      <c r="F453" s="104">
        <v>308</v>
      </c>
      <c r="G453" s="104">
        <v>804</v>
      </c>
      <c r="H453" s="116">
        <v>26.028454754060729</v>
      </c>
      <c r="I453" s="126">
        <v>23084</v>
      </c>
      <c r="J453" s="117">
        <v>31.273557228156275</v>
      </c>
    </row>
    <row r="454" spans="1:10" ht="16">
      <c r="A454" s="93" t="s">
        <v>131</v>
      </c>
      <c r="B454" s="94" t="s">
        <v>127</v>
      </c>
      <c r="C454" s="95" t="s">
        <v>76</v>
      </c>
      <c r="D454" s="96" t="s">
        <v>63</v>
      </c>
      <c r="E454" s="97">
        <v>2966</v>
      </c>
      <c r="F454" s="97">
        <v>690</v>
      </c>
      <c r="G454" s="97">
        <v>1305</v>
      </c>
      <c r="H454" s="114">
        <v>14.276442149973656</v>
      </c>
      <c r="I454" s="125">
        <v>12793</v>
      </c>
      <c r="J454" s="115">
        <v>31.196891918330177</v>
      </c>
    </row>
    <row r="455" spans="1:10" ht="16">
      <c r="A455" s="100" t="s">
        <v>132</v>
      </c>
      <c r="B455" s="101" t="s">
        <v>127</v>
      </c>
      <c r="C455" s="102" t="s">
        <v>76</v>
      </c>
      <c r="D455" s="103" t="s">
        <v>130</v>
      </c>
      <c r="E455" s="104">
        <v>7142</v>
      </c>
      <c r="F455" s="104">
        <v>882</v>
      </c>
      <c r="G455" s="104">
        <v>2143</v>
      </c>
      <c r="H455" s="116">
        <v>24.25919089447703</v>
      </c>
      <c r="I455" s="126">
        <v>21342</v>
      </c>
      <c r="J455" s="117">
        <v>33.906478144434395</v>
      </c>
    </row>
    <row r="456" spans="1:10" ht="16">
      <c r="A456" s="93" t="s">
        <v>683</v>
      </c>
      <c r="B456" s="94" t="s">
        <v>642</v>
      </c>
      <c r="C456" s="95" t="s">
        <v>107</v>
      </c>
      <c r="D456" s="96" t="s">
        <v>92</v>
      </c>
      <c r="E456" s="97">
        <v>33309</v>
      </c>
      <c r="F456" s="97">
        <v>2847</v>
      </c>
      <c r="G456" s="97">
        <v>1332</v>
      </c>
      <c r="H456" s="114">
        <v>9.3605775189732832</v>
      </c>
      <c r="I456" s="125">
        <v>1068</v>
      </c>
      <c r="J456" s="115">
        <v>17.934462848064772</v>
      </c>
    </row>
    <row r="457" spans="1:10" ht="16">
      <c r="A457" s="100" t="s">
        <v>684</v>
      </c>
      <c r="B457" s="101" t="s">
        <v>642</v>
      </c>
      <c r="C457" s="102" t="s">
        <v>107</v>
      </c>
      <c r="D457" s="103" t="s">
        <v>92</v>
      </c>
      <c r="E457" s="104">
        <v>15412</v>
      </c>
      <c r="F457" s="104">
        <v>491</v>
      </c>
      <c r="G457" s="104">
        <v>154</v>
      </c>
      <c r="H457" s="116">
        <v>10.035945109556682</v>
      </c>
      <c r="I457" s="126">
        <v>1184</v>
      </c>
      <c r="J457" s="117">
        <v>15.989503942706861</v>
      </c>
    </row>
    <row r="458" spans="1:10" ht="16">
      <c r="A458" s="93" t="s">
        <v>191</v>
      </c>
      <c r="B458" s="94" t="s">
        <v>184</v>
      </c>
      <c r="C458" s="95" t="s">
        <v>76</v>
      </c>
      <c r="D458" s="96" t="s">
        <v>80</v>
      </c>
      <c r="E458" s="97">
        <v>15127</v>
      </c>
      <c r="F458" s="97">
        <v>1104</v>
      </c>
      <c r="G458" s="97">
        <v>2723</v>
      </c>
      <c r="H458" s="114">
        <v>20.323638403908941</v>
      </c>
      <c r="I458" s="125">
        <v>11563</v>
      </c>
      <c r="J458" s="115">
        <v>20.802502772775217</v>
      </c>
    </row>
    <row r="459" spans="1:10" ht="16">
      <c r="A459" s="100" t="s">
        <v>327</v>
      </c>
      <c r="B459" s="101" t="s">
        <v>322</v>
      </c>
      <c r="C459" s="102" t="s">
        <v>76</v>
      </c>
      <c r="D459" s="103" t="s">
        <v>63</v>
      </c>
      <c r="E459" s="104">
        <v>7215</v>
      </c>
      <c r="F459" s="104">
        <v>501</v>
      </c>
      <c r="G459" s="104">
        <v>1154</v>
      </c>
      <c r="H459" s="116">
        <v>15.359936343419859</v>
      </c>
      <c r="I459" s="126">
        <v>1176</v>
      </c>
      <c r="J459" s="117">
        <v>18.840862294365571</v>
      </c>
    </row>
    <row r="460" spans="1:10" ht="16">
      <c r="A460" s="93" t="s">
        <v>357</v>
      </c>
      <c r="B460" s="94" t="s">
        <v>344</v>
      </c>
      <c r="C460" s="95" t="s">
        <v>107</v>
      </c>
      <c r="D460" s="96" t="s">
        <v>60</v>
      </c>
      <c r="E460" s="97">
        <v>84587</v>
      </c>
      <c r="F460" s="97">
        <v>2324</v>
      </c>
      <c r="G460" s="97">
        <v>846</v>
      </c>
      <c r="H460" s="114">
        <v>8.5206965292721453</v>
      </c>
      <c r="I460" s="125">
        <v>2005</v>
      </c>
      <c r="J460" s="115">
        <v>15.072095723357934</v>
      </c>
    </row>
    <row r="461" spans="1:10" ht="16">
      <c r="A461" s="100" t="s">
        <v>804</v>
      </c>
      <c r="B461" s="101" t="s">
        <v>798</v>
      </c>
      <c r="C461" s="102" t="s">
        <v>107</v>
      </c>
      <c r="D461" s="103" t="s">
        <v>63</v>
      </c>
      <c r="E461" s="104">
        <v>57827</v>
      </c>
      <c r="F461" s="104">
        <v>2891</v>
      </c>
      <c r="G461" s="104">
        <v>4024</v>
      </c>
      <c r="H461" s="116">
        <v>16.978281101318306</v>
      </c>
      <c r="I461" s="126">
        <v>11293</v>
      </c>
      <c r="J461" s="117">
        <v>17.534093387640521</v>
      </c>
    </row>
    <row r="462" spans="1:10" ht="16">
      <c r="A462" s="93" t="s">
        <v>1335</v>
      </c>
      <c r="B462" s="94" t="s">
        <v>1288</v>
      </c>
      <c r="C462" s="95" t="s">
        <v>76</v>
      </c>
      <c r="D462" s="96" t="s">
        <v>77</v>
      </c>
      <c r="E462" s="97">
        <v>44789</v>
      </c>
      <c r="F462" s="97">
        <v>2714</v>
      </c>
      <c r="G462" s="97">
        <v>7166</v>
      </c>
      <c r="H462" s="114">
        <v>58.217652995936561</v>
      </c>
      <c r="I462" s="125">
        <v>46048</v>
      </c>
      <c r="J462" s="115">
        <v>57.583583215296422</v>
      </c>
    </row>
    <row r="463" spans="1:10" ht="16">
      <c r="A463" s="100" t="s">
        <v>1166</v>
      </c>
      <c r="B463" s="101" t="s">
        <v>1142</v>
      </c>
      <c r="C463" s="102" t="s">
        <v>107</v>
      </c>
      <c r="D463" s="103" t="s">
        <v>80</v>
      </c>
      <c r="E463" s="104">
        <v>27455</v>
      </c>
      <c r="F463" s="104">
        <v>869</v>
      </c>
      <c r="G463" s="104">
        <v>1647</v>
      </c>
      <c r="H463" s="116">
        <v>23.703262611272578</v>
      </c>
      <c r="I463" s="126">
        <v>7172</v>
      </c>
      <c r="J463" s="117">
        <v>29.101419634954208</v>
      </c>
    </row>
    <row r="464" spans="1:10" ht="16">
      <c r="A464" s="93" t="s">
        <v>1221</v>
      </c>
      <c r="B464" s="94" t="s">
        <v>1190</v>
      </c>
      <c r="C464" s="95" t="s">
        <v>76</v>
      </c>
      <c r="D464" s="96" t="s">
        <v>92</v>
      </c>
      <c r="E464" s="97">
        <v>15649</v>
      </c>
      <c r="F464" s="97">
        <v>869</v>
      </c>
      <c r="G464" s="97">
        <v>7042</v>
      </c>
      <c r="H464" s="114">
        <v>17.684744594368752</v>
      </c>
      <c r="I464" s="125">
        <v>12889</v>
      </c>
      <c r="J464" s="115">
        <v>20.127460221149022</v>
      </c>
    </row>
    <row r="465" spans="1:10" ht="16">
      <c r="A465" s="100" t="s">
        <v>685</v>
      </c>
      <c r="B465" s="101" t="s">
        <v>642</v>
      </c>
      <c r="C465" s="102" t="s">
        <v>107</v>
      </c>
      <c r="D465" s="103" t="s">
        <v>63</v>
      </c>
      <c r="E465" s="104">
        <v>7118</v>
      </c>
      <c r="F465" s="104">
        <v>749</v>
      </c>
      <c r="G465" s="104">
        <v>214</v>
      </c>
      <c r="H465" s="116">
        <v>11.964864682693625</v>
      </c>
      <c r="I465" s="126">
        <v>2522</v>
      </c>
      <c r="J465" s="117">
        <v>21.257230129633861</v>
      </c>
    </row>
    <row r="466" spans="1:10" ht="16">
      <c r="A466" s="93" t="s">
        <v>1090</v>
      </c>
      <c r="B466" s="94" t="s">
        <v>1081</v>
      </c>
      <c r="C466" s="95" t="s">
        <v>76</v>
      </c>
      <c r="D466" s="96" t="s">
        <v>63</v>
      </c>
      <c r="E466" s="97">
        <v>18590</v>
      </c>
      <c r="F466" s="97">
        <v>819</v>
      </c>
      <c r="G466" s="97">
        <v>2231</v>
      </c>
      <c r="H466" s="114">
        <v>11.294677705630212</v>
      </c>
      <c r="I466" s="125">
        <v>1212</v>
      </c>
      <c r="J466" s="115">
        <v>13.921864529821555</v>
      </c>
    </row>
    <row r="467" spans="1:10" ht="16">
      <c r="A467" s="100" t="s">
        <v>358</v>
      </c>
      <c r="B467" s="101" t="s">
        <v>344</v>
      </c>
      <c r="C467" s="102" t="s">
        <v>76</v>
      </c>
      <c r="D467" s="103" t="s">
        <v>59</v>
      </c>
      <c r="E467" s="104">
        <v>59181</v>
      </c>
      <c r="F467" s="104">
        <v>3794</v>
      </c>
      <c r="G467" s="104">
        <v>592</v>
      </c>
      <c r="H467" s="116">
        <v>7.2557159299968008</v>
      </c>
      <c r="I467" s="126">
        <v>1792</v>
      </c>
      <c r="J467" s="117">
        <v>16.428966436006085</v>
      </c>
    </row>
    <row r="468" spans="1:10" ht="16">
      <c r="A468" s="93" t="s">
        <v>930</v>
      </c>
      <c r="B468" s="94" t="s">
        <v>919</v>
      </c>
      <c r="C468" s="95" t="s">
        <v>107</v>
      </c>
      <c r="D468" s="96" t="s">
        <v>92</v>
      </c>
      <c r="E468" s="97">
        <v>19965</v>
      </c>
      <c r="F468" s="97">
        <v>1174</v>
      </c>
      <c r="G468" s="97">
        <v>599</v>
      </c>
      <c r="H468" s="114">
        <v>9.8001373767196522</v>
      </c>
      <c r="I468" s="125">
        <v>493</v>
      </c>
      <c r="J468" s="115">
        <v>16.081834195421397</v>
      </c>
    </row>
    <row r="469" spans="1:10" ht="16">
      <c r="A469" s="100" t="s">
        <v>1336</v>
      </c>
      <c r="B469" s="101" t="s">
        <v>1288</v>
      </c>
      <c r="C469" s="102" t="s">
        <v>76</v>
      </c>
      <c r="D469" s="103" t="s">
        <v>59</v>
      </c>
      <c r="E469" s="104">
        <v>26121</v>
      </c>
      <c r="F469" s="104">
        <v>1375</v>
      </c>
      <c r="G469" s="104">
        <v>784</v>
      </c>
      <c r="H469" s="116">
        <v>16.22405480801411</v>
      </c>
      <c r="I469" s="126">
        <v>7009</v>
      </c>
      <c r="J469" s="117">
        <v>22.683077855503452</v>
      </c>
    </row>
    <row r="470" spans="1:10" ht="16">
      <c r="A470" s="93" t="s">
        <v>1337</v>
      </c>
      <c r="B470" s="94" t="s">
        <v>1288</v>
      </c>
      <c r="C470" s="95" t="s">
        <v>107</v>
      </c>
      <c r="D470" s="96" t="s">
        <v>59</v>
      </c>
      <c r="E470" s="97">
        <v>8084</v>
      </c>
      <c r="F470" s="97">
        <v>364</v>
      </c>
      <c r="G470" s="97">
        <v>1132</v>
      </c>
      <c r="H470" s="114">
        <v>24.919391368544389</v>
      </c>
      <c r="I470" s="125">
        <v>14655</v>
      </c>
      <c r="J470" s="115">
        <v>24.900998709207371</v>
      </c>
    </row>
    <row r="471" spans="1:10" ht="16">
      <c r="A471" s="100" t="s">
        <v>813</v>
      </c>
      <c r="B471" s="101" t="s">
        <v>814</v>
      </c>
      <c r="C471" s="102" t="s">
        <v>76</v>
      </c>
      <c r="D471" s="103" t="s">
        <v>61</v>
      </c>
      <c r="E471" s="104">
        <v>81914</v>
      </c>
      <c r="F471" s="104">
        <v>2453</v>
      </c>
      <c r="G471" s="104">
        <v>4096</v>
      </c>
      <c r="H471" s="116">
        <v>10.489935983709065</v>
      </c>
      <c r="I471" s="126">
        <v>1705</v>
      </c>
      <c r="J471" s="117">
        <v>28.570900024752905</v>
      </c>
    </row>
    <row r="472" spans="1:10" ht="16">
      <c r="A472" s="93" t="s">
        <v>103</v>
      </c>
      <c r="B472" s="94" t="s">
        <v>89</v>
      </c>
      <c r="C472" s="95" t="s">
        <v>76</v>
      </c>
      <c r="D472" s="96" t="s">
        <v>80</v>
      </c>
      <c r="E472" s="97">
        <v>52989</v>
      </c>
      <c r="F472" s="97">
        <v>1563</v>
      </c>
      <c r="G472" s="97">
        <v>20666</v>
      </c>
      <c r="H472" s="114">
        <v>57.55917705672335</v>
      </c>
      <c r="I472" s="125">
        <v>47444</v>
      </c>
      <c r="J472" s="115">
        <v>47.347568804625993</v>
      </c>
    </row>
    <row r="473" spans="1:10" ht="16">
      <c r="A473" s="100" t="s">
        <v>1338</v>
      </c>
      <c r="B473" s="101" t="s">
        <v>1288</v>
      </c>
      <c r="C473" s="102" t="s">
        <v>107</v>
      </c>
      <c r="D473" s="103" t="s">
        <v>61</v>
      </c>
      <c r="E473" s="104">
        <v>14357</v>
      </c>
      <c r="F473" s="104">
        <v>740</v>
      </c>
      <c r="G473" s="104">
        <v>431</v>
      </c>
      <c r="H473" s="116">
        <v>19.977585846068276</v>
      </c>
      <c r="I473" s="126">
        <v>13087</v>
      </c>
      <c r="J473" s="117">
        <v>19.509950214538776</v>
      </c>
    </row>
    <row r="474" spans="1:10" ht="16">
      <c r="A474" s="93" t="s">
        <v>805</v>
      </c>
      <c r="B474" s="94" t="s">
        <v>798</v>
      </c>
      <c r="C474" s="95" t="s">
        <v>107</v>
      </c>
      <c r="D474" s="96" t="s">
        <v>130</v>
      </c>
      <c r="E474" s="97">
        <v>14343</v>
      </c>
      <c r="F474" s="97">
        <v>885</v>
      </c>
      <c r="G474" s="97">
        <v>1578</v>
      </c>
      <c r="H474" s="114">
        <v>18.706997290411117</v>
      </c>
      <c r="I474" s="125">
        <v>7628</v>
      </c>
      <c r="J474" s="115">
        <v>20.688615351903223</v>
      </c>
    </row>
    <row r="475" spans="1:10" ht="16">
      <c r="A475" s="100" t="s">
        <v>382</v>
      </c>
      <c r="B475" s="101" t="s">
        <v>377</v>
      </c>
      <c r="C475" s="102" t="s">
        <v>76</v>
      </c>
      <c r="D475" s="103" t="s">
        <v>60</v>
      </c>
      <c r="E475" s="104">
        <v>39405</v>
      </c>
      <c r="F475" s="104">
        <v>2021</v>
      </c>
      <c r="G475" s="104">
        <v>5911</v>
      </c>
      <c r="H475" s="116">
        <v>27.307330073900321</v>
      </c>
      <c r="I475" s="126">
        <v>18290</v>
      </c>
      <c r="J475" s="117">
        <v>36.969724078427895</v>
      </c>
    </row>
    <row r="476" spans="1:10" ht="16">
      <c r="A476" s="93" t="s">
        <v>931</v>
      </c>
      <c r="B476" s="94" t="s">
        <v>919</v>
      </c>
      <c r="C476" s="95" t="s">
        <v>107</v>
      </c>
      <c r="D476" s="96" t="s">
        <v>63</v>
      </c>
      <c r="E476" s="97">
        <v>15248</v>
      </c>
      <c r="F476" s="97">
        <v>1303</v>
      </c>
      <c r="G476" s="97">
        <v>1372</v>
      </c>
      <c r="H476" s="114">
        <v>11.724517837684116</v>
      </c>
      <c r="I476" s="125">
        <v>442</v>
      </c>
      <c r="J476" s="115">
        <v>24.508952323744069</v>
      </c>
    </row>
    <row r="477" spans="1:10" ht="16">
      <c r="A477" s="100" t="s">
        <v>932</v>
      </c>
      <c r="B477" s="101" t="s">
        <v>919</v>
      </c>
      <c r="C477" s="102" t="s">
        <v>107</v>
      </c>
      <c r="D477" s="103" t="s">
        <v>61</v>
      </c>
      <c r="E477" s="104">
        <v>5716</v>
      </c>
      <c r="F477" s="104">
        <v>510</v>
      </c>
      <c r="G477" s="104">
        <v>857</v>
      </c>
      <c r="H477" s="116">
        <v>46.135788628258446</v>
      </c>
      <c r="I477" s="126">
        <v>21608</v>
      </c>
      <c r="J477" s="117">
        <v>54.003410762960243</v>
      </c>
    </row>
    <row r="478" spans="1:10" ht="16">
      <c r="A478" s="93" t="s">
        <v>933</v>
      </c>
      <c r="B478" s="94" t="s">
        <v>919</v>
      </c>
      <c r="C478" s="95" t="s">
        <v>107</v>
      </c>
      <c r="D478" s="96" t="s">
        <v>63</v>
      </c>
      <c r="E478" s="97">
        <v>11422</v>
      </c>
      <c r="F478" s="97">
        <v>777</v>
      </c>
      <c r="G478" s="97">
        <v>1142</v>
      </c>
      <c r="H478" s="114">
        <v>11.238626887507454</v>
      </c>
      <c r="I478" s="125">
        <v>690</v>
      </c>
      <c r="J478" s="115">
        <v>19.26321815996079</v>
      </c>
    </row>
    <row r="479" spans="1:10" ht="16">
      <c r="A479" s="100" t="s">
        <v>781</v>
      </c>
      <c r="B479" s="101" t="s">
        <v>782</v>
      </c>
      <c r="C479" s="102" t="s">
        <v>107</v>
      </c>
      <c r="D479" s="103" t="s">
        <v>61</v>
      </c>
      <c r="E479" s="104">
        <v>11080</v>
      </c>
      <c r="F479" s="104">
        <v>833</v>
      </c>
      <c r="G479" s="104">
        <v>997</v>
      </c>
      <c r="H479" s="116">
        <v>9.943637143632774</v>
      </c>
      <c r="I479" s="126">
        <v>1172</v>
      </c>
      <c r="J479" s="117">
        <v>17.291730428351954</v>
      </c>
    </row>
    <row r="480" spans="1:10" ht="16">
      <c r="A480" s="93" t="s">
        <v>104</v>
      </c>
      <c r="B480" s="94" t="s">
        <v>89</v>
      </c>
      <c r="C480" s="95" t="s">
        <v>76</v>
      </c>
      <c r="D480" s="96" t="s">
        <v>82</v>
      </c>
      <c r="E480" s="97">
        <v>14905</v>
      </c>
      <c r="F480" s="97">
        <v>538</v>
      </c>
      <c r="G480" s="97">
        <v>5515</v>
      </c>
      <c r="H480" s="114">
        <v>25.028540416769829</v>
      </c>
      <c r="I480" s="125">
        <v>15529</v>
      </c>
      <c r="J480" s="115">
        <v>19.069088451640589</v>
      </c>
    </row>
    <row r="481" spans="1:10" ht="16">
      <c r="A481" s="100" t="s">
        <v>686</v>
      </c>
      <c r="B481" s="101" t="s">
        <v>642</v>
      </c>
      <c r="C481" s="102" t="s">
        <v>107</v>
      </c>
      <c r="D481" s="103" t="s">
        <v>130</v>
      </c>
      <c r="E481" s="104">
        <v>3365</v>
      </c>
      <c r="F481" s="104">
        <v>192</v>
      </c>
      <c r="G481" s="104">
        <v>135</v>
      </c>
      <c r="H481" s="116">
        <v>9.6357879860337405</v>
      </c>
      <c r="I481" s="126">
        <v>4020</v>
      </c>
      <c r="J481" s="117">
        <v>16.095489446126891</v>
      </c>
    </row>
    <row r="482" spans="1:10" ht="16">
      <c r="A482" s="93" t="s">
        <v>687</v>
      </c>
      <c r="B482" s="94" t="s">
        <v>642</v>
      </c>
      <c r="C482" s="95" t="s">
        <v>107</v>
      </c>
      <c r="D482" s="96" t="s">
        <v>61</v>
      </c>
      <c r="E482" s="97">
        <v>2300</v>
      </c>
      <c r="F482" s="97">
        <v>215</v>
      </c>
      <c r="G482" s="97">
        <v>276</v>
      </c>
      <c r="H482" s="114">
        <v>15.165747997400684</v>
      </c>
      <c r="I482" s="125">
        <v>1765</v>
      </c>
      <c r="J482" s="115">
        <v>24.966151808708808</v>
      </c>
    </row>
    <row r="483" spans="1:10" ht="16">
      <c r="A483" s="100" t="s">
        <v>688</v>
      </c>
      <c r="B483" s="101" t="s">
        <v>642</v>
      </c>
      <c r="C483" s="102" t="s">
        <v>107</v>
      </c>
      <c r="D483" s="103" t="s">
        <v>84</v>
      </c>
      <c r="E483" s="104">
        <v>9163</v>
      </c>
      <c r="F483" s="104">
        <v>1309</v>
      </c>
      <c r="G483" s="104">
        <v>367</v>
      </c>
      <c r="H483" s="116">
        <v>14.646551126822501</v>
      </c>
      <c r="I483" s="126">
        <v>3421</v>
      </c>
      <c r="J483" s="117">
        <v>26.440434536211033</v>
      </c>
    </row>
    <row r="484" spans="1:10" ht="16">
      <c r="A484" s="93" t="s">
        <v>689</v>
      </c>
      <c r="B484" s="94" t="s">
        <v>642</v>
      </c>
      <c r="C484" s="95" t="s">
        <v>76</v>
      </c>
      <c r="D484" s="96" t="s">
        <v>62</v>
      </c>
      <c r="E484" s="97">
        <v>4444</v>
      </c>
      <c r="F484" s="97">
        <v>585</v>
      </c>
      <c r="G484" s="97">
        <v>89</v>
      </c>
      <c r="H484" s="114">
        <v>14.408989436846962</v>
      </c>
      <c r="I484" s="125">
        <v>3928</v>
      </c>
      <c r="J484" s="115">
        <v>23.774740412956042</v>
      </c>
    </row>
    <row r="485" spans="1:10" ht="16">
      <c r="A485" s="100" t="s">
        <v>690</v>
      </c>
      <c r="B485" s="101" t="s">
        <v>642</v>
      </c>
      <c r="C485" s="102" t="s">
        <v>107</v>
      </c>
      <c r="D485" s="103" t="s">
        <v>130</v>
      </c>
      <c r="E485" s="104">
        <v>5661</v>
      </c>
      <c r="F485" s="104">
        <v>349</v>
      </c>
      <c r="G485" s="104">
        <v>226</v>
      </c>
      <c r="H485" s="116">
        <v>20.261983915066097</v>
      </c>
      <c r="I485" s="126">
        <v>2513</v>
      </c>
      <c r="J485" s="117">
        <v>18.921907555469542</v>
      </c>
    </row>
    <row r="486" spans="1:10" ht="16">
      <c r="A486" s="93" t="s">
        <v>691</v>
      </c>
      <c r="B486" s="94" t="s">
        <v>642</v>
      </c>
      <c r="C486" s="95" t="s">
        <v>107</v>
      </c>
      <c r="D486" s="96" t="s">
        <v>59</v>
      </c>
      <c r="E486" s="97">
        <v>15676</v>
      </c>
      <c r="F486" s="97">
        <v>1704</v>
      </c>
      <c r="G486" s="97">
        <v>1724</v>
      </c>
      <c r="H486" s="114">
        <v>48.505807283850807</v>
      </c>
      <c r="I486" s="125">
        <v>20813</v>
      </c>
      <c r="J486" s="115">
        <v>48.608343576903941</v>
      </c>
    </row>
    <row r="487" spans="1:10" ht="16">
      <c r="A487" s="100" t="s">
        <v>252</v>
      </c>
      <c r="B487" s="101" t="s">
        <v>223</v>
      </c>
      <c r="C487" s="102" t="s">
        <v>76</v>
      </c>
      <c r="D487" s="103" t="s">
        <v>92</v>
      </c>
      <c r="E487" s="104">
        <v>25963</v>
      </c>
      <c r="F487" s="104">
        <v>1633</v>
      </c>
      <c r="G487" s="104">
        <v>779</v>
      </c>
      <c r="H487" s="116">
        <v>17.515199915012907</v>
      </c>
      <c r="I487" s="126">
        <v>7484</v>
      </c>
      <c r="J487" s="117">
        <v>23.720295008867279</v>
      </c>
    </row>
    <row r="488" spans="1:10" ht="16">
      <c r="A488" s="93" t="s">
        <v>253</v>
      </c>
      <c r="B488" s="94" t="s">
        <v>223</v>
      </c>
      <c r="C488" s="95" t="s">
        <v>107</v>
      </c>
      <c r="D488" s="96" t="s">
        <v>62</v>
      </c>
      <c r="E488" s="97">
        <v>15420</v>
      </c>
      <c r="F488" s="97">
        <v>1713</v>
      </c>
      <c r="G488" s="97">
        <v>771</v>
      </c>
      <c r="H488" s="114">
        <v>25.924205183439138</v>
      </c>
      <c r="I488" s="125">
        <v>9416</v>
      </c>
      <c r="J488" s="115">
        <v>38.406347894934491</v>
      </c>
    </row>
    <row r="489" spans="1:10" ht="16">
      <c r="A489" s="100" t="s">
        <v>254</v>
      </c>
      <c r="B489" s="101" t="s">
        <v>223</v>
      </c>
      <c r="C489" s="102" t="s">
        <v>76</v>
      </c>
      <c r="D489" s="103" t="s">
        <v>130</v>
      </c>
      <c r="E489" s="104">
        <v>27490</v>
      </c>
      <c r="F489" s="104">
        <v>2083</v>
      </c>
      <c r="G489" s="104">
        <v>825</v>
      </c>
      <c r="H489" s="116">
        <v>12.106900164029645</v>
      </c>
      <c r="I489" s="126">
        <v>6670</v>
      </c>
      <c r="J489" s="117">
        <v>20.905218926910511</v>
      </c>
    </row>
    <row r="490" spans="1:10" ht="16">
      <c r="A490" s="93" t="s">
        <v>255</v>
      </c>
      <c r="B490" s="94" t="s">
        <v>223</v>
      </c>
      <c r="C490" s="95" t="s">
        <v>76</v>
      </c>
      <c r="D490" s="96" t="s">
        <v>61</v>
      </c>
      <c r="E490" s="97">
        <v>33175</v>
      </c>
      <c r="F490" s="97">
        <v>2387</v>
      </c>
      <c r="G490" s="97">
        <v>664</v>
      </c>
      <c r="H490" s="114">
        <v>12.61518698496344</v>
      </c>
      <c r="I490" s="125">
        <v>6534</v>
      </c>
      <c r="J490" s="115">
        <v>18.656328370868732</v>
      </c>
    </row>
    <row r="491" spans="1:10" ht="16">
      <c r="A491" s="100" t="s">
        <v>256</v>
      </c>
      <c r="B491" s="101" t="s">
        <v>223</v>
      </c>
      <c r="C491" s="102" t="s">
        <v>107</v>
      </c>
      <c r="D491" s="103" t="s">
        <v>77</v>
      </c>
      <c r="E491" s="104">
        <v>34569</v>
      </c>
      <c r="F491" s="104">
        <v>2230</v>
      </c>
      <c r="G491" s="104">
        <v>3457</v>
      </c>
      <c r="H491" s="116">
        <v>48.430124806522613</v>
      </c>
      <c r="I491" s="126">
        <v>34565</v>
      </c>
      <c r="J491" s="117">
        <v>50.765293357899331</v>
      </c>
    </row>
    <row r="492" spans="1:10" ht="16">
      <c r="A492" s="93" t="s">
        <v>257</v>
      </c>
      <c r="B492" s="94" t="s">
        <v>223</v>
      </c>
      <c r="C492" s="95" t="s">
        <v>107</v>
      </c>
      <c r="D492" s="96" t="s">
        <v>77</v>
      </c>
      <c r="E492" s="97">
        <v>29542</v>
      </c>
      <c r="F492" s="97">
        <v>1780</v>
      </c>
      <c r="G492" s="97">
        <v>886</v>
      </c>
      <c r="H492" s="114">
        <v>21.381111287759019</v>
      </c>
      <c r="I492" s="125">
        <v>4244</v>
      </c>
      <c r="J492" s="115">
        <v>21.489183346147367</v>
      </c>
    </row>
    <row r="493" spans="1:10" ht="16">
      <c r="A493" s="100" t="s">
        <v>258</v>
      </c>
      <c r="B493" s="101" t="s">
        <v>223</v>
      </c>
      <c r="C493" s="102" t="s">
        <v>107</v>
      </c>
      <c r="D493" s="103" t="s">
        <v>80</v>
      </c>
      <c r="E493" s="104">
        <v>21857</v>
      </c>
      <c r="F493" s="104">
        <v>1410</v>
      </c>
      <c r="G493" s="104">
        <v>656</v>
      </c>
      <c r="H493" s="116">
        <v>15.855042455509228</v>
      </c>
      <c r="I493" s="126">
        <v>10493</v>
      </c>
      <c r="J493" s="117">
        <v>16.774510729086501</v>
      </c>
    </row>
    <row r="494" spans="1:10" ht="16">
      <c r="A494" s="93" t="s">
        <v>259</v>
      </c>
      <c r="B494" s="94" t="s">
        <v>223</v>
      </c>
      <c r="C494" s="95" t="s">
        <v>76</v>
      </c>
      <c r="D494" s="96" t="s">
        <v>92</v>
      </c>
      <c r="E494" s="97">
        <v>28061</v>
      </c>
      <c r="F494" s="97">
        <v>2110</v>
      </c>
      <c r="G494" s="97">
        <v>1964</v>
      </c>
      <c r="H494" s="114">
        <v>22.065674934761926</v>
      </c>
      <c r="I494" s="125">
        <v>16596</v>
      </c>
      <c r="J494" s="115">
        <v>36.49257401455047</v>
      </c>
    </row>
    <row r="495" spans="1:10" ht="16">
      <c r="A495" s="100" t="s">
        <v>966</v>
      </c>
      <c r="B495" s="101" t="s">
        <v>967</v>
      </c>
      <c r="C495" s="102" t="s">
        <v>107</v>
      </c>
      <c r="D495" s="103" t="s">
        <v>63</v>
      </c>
      <c r="E495" s="104">
        <v>25088</v>
      </c>
      <c r="F495" s="104">
        <v>1578</v>
      </c>
      <c r="G495" s="104">
        <v>6774</v>
      </c>
      <c r="H495" s="116">
        <v>70.774967408527658</v>
      </c>
      <c r="I495" s="126">
        <v>59800</v>
      </c>
      <c r="J495" s="117">
        <v>57.860534297704248</v>
      </c>
    </row>
    <row r="496" spans="1:10" ht="16">
      <c r="A496" s="93" t="s">
        <v>692</v>
      </c>
      <c r="B496" s="94" t="s">
        <v>642</v>
      </c>
      <c r="C496" s="95" t="s">
        <v>107</v>
      </c>
      <c r="D496" s="96" t="s">
        <v>92</v>
      </c>
      <c r="E496" s="97">
        <v>1240</v>
      </c>
      <c r="F496" s="97">
        <v>376</v>
      </c>
      <c r="G496" s="97">
        <v>12</v>
      </c>
      <c r="H496" s="114">
        <v>11.987988357629927</v>
      </c>
      <c r="I496" s="125">
        <v>2374</v>
      </c>
      <c r="J496" s="115">
        <v>24.959220513707358</v>
      </c>
    </row>
    <row r="497" spans="1:10" ht="16">
      <c r="A497" s="100" t="s">
        <v>1128</v>
      </c>
      <c r="B497" s="101" t="s">
        <v>1120</v>
      </c>
      <c r="C497" s="102" t="s">
        <v>76</v>
      </c>
      <c r="D497" s="103" t="s">
        <v>63</v>
      </c>
      <c r="E497" s="104">
        <v>22863</v>
      </c>
      <c r="F497" s="104">
        <v>1466</v>
      </c>
      <c r="G497" s="104">
        <v>229</v>
      </c>
      <c r="H497" s="116">
        <v>7.9536804538408354</v>
      </c>
      <c r="I497" s="126">
        <v>1039</v>
      </c>
      <c r="J497" s="117">
        <v>17.037897828938622</v>
      </c>
    </row>
    <row r="498" spans="1:10" ht="16">
      <c r="A498" s="93" t="s">
        <v>451</v>
      </c>
      <c r="B498" s="94" t="s">
        <v>448</v>
      </c>
      <c r="C498" s="95" t="s">
        <v>76</v>
      </c>
      <c r="D498" s="96" t="s">
        <v>130</v>
      </c>
      <c r="E498" s="97">
        <v>57697</v>
      </c>
      <c r="F498" s="97">
        <v>2032</v>
      </c>
      <c r="G498" s="97">
        <v>5770</v>
      </c>
      <c r="H498" s="114">
        <v>15.404497291940961</v>
      </c>
      <c r="I498" s="125">
        <v>11056</v>
      </c>
      <c r="J498" s="115">
        <v>22.442064084963967</v>
      </c>
    </row>
    <row r="499" spans="1:10" ht="16">
      <c r="A499" s="100" t="s">
        <v>806</v>
      </c>
      <c r="B499" s="101" t="s">
        <v>798</v>
      </c>
      <c r="C499" s="102" t="s">
        <v>76</v>
      </c>
      <c r="D499" s="103" t="s">
        <v>84</v>
      </c>
      <c r="E499" s="104">
        <v>161718</v>
      </c>
      <c r="F499" s="104">
        <v>9457</v>
      </c>
      <c r="G499" s="104">
        <v>12937</v>
      </c>
      <c r="H499" s="116">
        <v>30.749859325422335</v>
      </c>
      <c r="I499" s="126">
        <v>5813</v>
      </c>
      <c r="J499" s="117">
        <v>32.350756212152397</v>
      </c>
    </row>
    <row r="500" spans="1:10" ht="16">
      <c r="A500" s="93" t="s">
        <v>1091</v>
      </c>
      <c r="B500" s="94" t="s">
        <v>1081</v>
      </c>
      <c r="C500" s="95" t="s">
        <v>107</v>
      </c>
      <c r="D500" s="96" t="s">
        <v>63</v>
      </c>
      <c r="E500" s="97">
        <v>10838</v>
      </c>
      <c r="F500" s="97">
        <v>1153</v>
      </c>
      <c r="G500" s="97">
        <v>1084</v>
      </c>
      <c r="H500" s="114">
        <v>22.860270715709508</v>
      </c>
      <c r="I500" s="125">
        <v>5027</v>
      </c>
      <c r="J500" s="115">
        <v>25.700344139962468</v>
      </c>
    </row>
    <row r="501" spans="1:10" ht="16">
      <c r="A501" s="100" t="s">
        <v>1092</v>
      </c>
      <c r="B501" s="101" t="s">
        <v>1081</v>
      </c>
      <c r="C501" s="102" t="s">
        <v>76</v>
      </c>
      <c r="D501" s="103" t="s">
        <v>59</v>
      </c>
      <c r="E501" s="104">
        <v>8180</v>
      </c>
      <c r="F501" s="104">
        <v>375</v>
      </c>
      <c r="G501" s="104">
        <v>654</v>
      </c>
      <c r="H501" s="116">
        <v>19.413738086264004</v>
      </c>
      <c r="I501" s="126">
        <v>2314</v>
      </c>
      <c r="J501" s="117">
        <v>21.035223568788112</v>
      </c>
    </row>
    <row r="502" spans="1:10" ht="16">
      <c r="A502" s="93" t="s">
        <v>1093</v>
      </c>
      <c r="B502" s="94" t="s">
        <v>1081</v>
      </c>
      <c r="C502" s="95" t="s">
        <v>107</v>
      </c>
      <c r="D502" s="96" t="s">
        <v>84</v>
      </c>
      <c r="E502" s="97">
        <v>20663</v>
      </c>
      <c r="F502" s="97">
        <v>1508</v>
      </c>
      <c r="G502" s="97">
        <v>2686</v>
      </c>
      <c r="H502" s="114">
        <v>41.958251174759177</v>
      </c>
      <c r="I502" s="125">
        <v>9512</v>
      </c>
      <c r="J502" s="115">
        <v>33.32948147222757</v>
      </c>
    </row>
    <row r="503" spans="1:10" ht="16">
      <c r="A503" s="100" t="s">
        <v>1094</v>
      </c>
      <c r="B503" s="101" t="s">
        <v>1081</v>
      </c>
      <c r="C503" s="102" t="s">
        <v>76</v>
      </c>
      <c r="D503" s="103" t="s">
        <v>92</v>
      </c>
      <c r="E503" s="104">
        <v>13558</v>
      </c>
      <c r="F503" s="104">
        <v>869</v>
      </c>
      <c r="G503" s="104">
        <v>2169</v>
      </c>
      <c r="H503" s="116">
        <v>29.300298300893132</v>
      </c>
      <c r="I503" s="126">
        <v>3933</v>
      </c>
      <c r="J503" s="117">
        <v>23.676991007891662</v>
      </c>
    </row>
    <row r="504" spans="1:10" ht="16">
      <c r="A504" s="93" t="s">
        <v>1095</v>
      </c>
      <c r="B504" s="94" t="s">
        <v>1081</v>
      </c>
      <c r="C504" s="95" t="s">
        <v>107</v>
      </c>
      <c r="D504" s="96" t="s">
        <v>63</v>
      </c>
      <c r="E504" s="97">
        <v>12017</v>
      </c>
      <c r="F504" s="97">
        <v>720</v>
      </c>
      <c r="G504" s="97">
        <v>1442</v>
      </c>
      <c r="H504" s="114">
        <v>43.845519990262567</v>
      </c>
      <c r="I504" s="125">
        <v>11163</v>
      </c>
      <c r="J504" s="115">
        <v>36.272837096089482</v>
      </c>
    </row>
    <row r="505" spans="1:10" ht="16">
      <c r="A505" s="100" t="s">
        <v>1096</v>
      </c>
      <c r="B505" s="101" t="s">
        <v>1081</v>
      </c>
      <c r="C505" s="102" t="s">
        <v>107</v>
      </c>
      <c r="D505" s="103" t="s">
        <v>82</v>
      </c>
      <c r="E505" s="104">
        <v>12219</v>
      </c>
      <c r="F505" s="104">
        <v>465</v>
      </c>
      <c r="G505" s="104">
        <v>367</v>
      </c>
      <c r="H505" s="116">
        <v>12.937589986456937</v>
      </c>
      <c r="I505" s="126">
        <v>1044</v>
      </c>
      <c r="J505" s="117">
        <v>15.022056116710603</v>
      </c>
    </row>
    <row r="506" spans="1:10" ht="16">
      <c r="A506" s="93" t="s">
        <v>1097</v>
      </c>
      <c r="B506" s="94" t="s">
        <v>1081</v>
      </c>
      <c r="C506" s="95" t="s">
        <v>107</v>
      </c>
      <c r="D506" s="96" t="s">
        <v>80</v>
      </c>
      <c r="E506" s="97">
        <v>7158</v>
      </c>
      <c r="F506" s="97">
        <v>287</v>
      </c>
      <c r="G506" s="97">
        <v>286</v>
      </c>
      <c r="H506" s="114">
        <v>20.039439441146104</v>
      </c>
      <c r="I506" s="125">
        <v>954</v>
      </c>
      <c r="J506" s="115">
        <v>14.328333448687506</v>
      </c>
    </row>
    <row r="507" spans="1:10" ht="16">
      <c r="A507" s="100" t="s">
        <v>1098</v>
      </c>
      <c r="B507" s="101" t="s">
        <v>1081</v>
      </c>
      <c r="C507" s="102" t="s">
        <v>107</v>
      </c>
      <c r="D507" s="103" t="s">
        <v>92</v>
      </c>
      <c r="E507" s="104">
        <v>10161</v>
      </c>
      <c r="F507" s="104">
        <v>682</v>
      </c>
      <c r="G507" s="104">
        <v>508</v>
      </c>
      <c r="H507" s="116">
        <v>19.154445756578134</v>
      </c>
      <c r="I507" s="126">
        <v>2607</v>
      </c>
      <c r="J507" s="117">
        <v>19.562255785392551</v>
      </c>
    </row>
    <row r="508" spans="1:10" ht="16">
      <c r="A508" s="93" t="s">
        <v>1099</v>
      </c>
      <c r="B508" s="94" t="s">
        <v>1081</v>
      </c>
      <c r="C508" s="95" t="s">
        <v>107</v>
      </c>
      <c r="D508" s="96" t="s">
        <v>62</v>
      </c>
      <c r="E508" s="97">
        <v>15077</v>
      </c>
      <c r="F508" s="97">
        <v>1012</v>
      </c>
      <c r="G508" s="97">
        <v>754</v>
      </c>
      <c r="H508" s="114">
        <v>17.345488098592927</v>
      </c>
      <c r="I508" s="125">
        <v>3181</v>
      </c>
      <c r="J508" s="115">
        <v>21.032310349325702</v>
      </c>
    </row>
    <row r="509" spans="1:10" ht="16">
      <c r="A509" s="100" t="s">
        <v>1100</v>
      </c>
      <c r="B509" s="101" t="s">
        <v>1081</v>
      </c>
      <c r="C509" s="102" t="s">
        <v>76</v>
      </c>
      <c r="D509" s="103" t="s">
        <v>80</v>
      </c>
      <c r="E509" s="104">
        <v>10269</v>
      </c>
      <c r="F509" s="104">
        <v>567</v>
      </c>
      <c r="G509" s="104">
        <v>924</v>
      </c>
      <c r="H509" s="116">
        <v>24.814272859353885</v>
      </c>
      <c r="I509" s="126">
        <v>7201</v>
      </c>
      <c r="J509" s="117">
        <v>16.688525044109284</v>
      </c>
    </row>
    <row r="510" spans="1:10" ht="16">
      <c r="A510" s="93" t="s">
        <v>383</v>
      </c>
      <c r="B510" s="94" t="s">
        <v>377</v>
      </c>
      <c r="C510" s="95" t="s">
        <v>107</v>
      </c>
      <c r="D510" s="96" t="s">
        <v>84</v>
      </c>
      <c r="E510" s="97">
        <v>6173</v>
      </c>
      <c r="F510" s="97">
        <v>315</v>
      </c>
      <c r="G510" s="97">
        <v>1728</v>
      </c>
      <c r="H510" s="114">
        <v>26.283663795895865</v>
      </c>
      <c r="I510" s="125">
        <v>8680</v>
      </c>
      <c r="J510" s="115">
        <v>30.720703871217843</v>
      </c>
    </row>
    <row r="511" spans="1:10" ht="16">
      <c r="A511" s="100" t="s">
        <v>511</v>
      </c>
      <c r="B511" s="101" t="s">
        <v>474</v>
      </c>
      <c r="C511" s="102" t="s">
        <v>107</v>
      </c>
      <c r="D511" s="103" t="s">
        <v>63</v>
      </c>
      <c r="E511" s="104">
        <v>5851</v>
      </c>
      <c r="F511" s="104">
        <v>311</v>
      </c>
      <c r="G511" s="104">
        <v>234</v>
      </c>
      <c r="H511" s="116">
        <v>15.785972798599662</v>
      </c>
      <c r="I511" s="126">
        <v>6839</v>
      </c>
      <c r="J511" s="117">
        <v>26.866391096513055</v>
      </c>
    </row>
    <row r="512" spans="1:10" ht="16">
      <c r="A512" s="93" t="s">
        <v>512</v>
      </c>
      <c r="B512" s="94" t="s">
        <v>474</v>
      </c>
      <c r="C512" s="95" t="s">
        <v>107</v>
      </c>
      <c r="D512" s="96" t="s">
        <v>80</v>
      </c>
      <c r="E512" s="97">
        <v>6081</v>
      </c>
      <c r="F512" s="97">
        <v>318</v>
      </c>
      <c r="G512" s="97">
        <v>486</v>
      </c>
      <c r="H512" s="114">
        <v>17.96089427622092</v>
      </c>
      <c r="I512" s="125">
        <v>5810</v>
      </c>
      <c r="J512" s="115">
        <v>25.37707650289315</v>
      </c>
    </row>
    <row r="513" spans="1:10" ht="16">
      <c r="A513" s="100" t="s">
        <v>807</v>
      </c>
      <c r="B513" s="101" t="s">
        <v>798</v>
      </c>
      <c r="C513" s="102" t="s">
        <v>107</v>
      </c>
      <c r="D513" s="103" t="s">
        <v>63</v>
      </c>
      <c r="E513" s="104">
        <v>177983</v>
      </c>
      <c r="F513" s="104">
        <v>16480</v>
      </c>
      <c r="G513" s="104">
        <v>12385</v>
      </c>
      <c r="H513" s="116">
        <v>9.8625929847217684</v>
      </c>
      <c r="I513" s="126">
        <v>991</v>
      </c>
      <c r="J513" s="117">
        <v>18.408247781345011</v>
      </c>
    </row>
    <row r="514" spans="1:10" ht="16">
      <c r="A514" s="93" t="s">
        <v>934</v>
      </c>
      <c r="B514" s="94" t="s">
        <v>919</v>
      </c>
      <c r="C514" s="95" t="s">
        <v>107</v>
      </c>
      <c r="D514" s="96" t="s">
        <v>92</v>
      </c>
      <c r="E514" s="97">
        <v>6489</v>
      </c>
      <c r="F514" s="97">
        <v>601</v>
      </c>
      <c r="G514" s="97">
        <v>1557</v>
      </c>
      <c r="H514" s="114">
        <v>36.480081630252073</v>
      </c>
      <c r="I514" s="125">
        <v>12166</v>
      </c>
      <c r="J514" s="115">
        <v>38.252551301199652</v>
      </c>
    </row>
    <row r="515" spans="1:10" ht="16">
      <c r="A515" s="100" t="s">
        <v>935</v>
      </c>
      <c r="B515" s="101" t="s">
        <v>919</v>
      </c>
      <c r="C515" s="102" t="s">
        <v>76</v>
      </c>
      <c r="D515" s="103" t="s">
        <v>77</v>
      </c>
      <c r="E515" s="104">
        <v>9847</v>
      </c>
      <c r="F515" s="104">
        <v>1015</v>
      </c>
      <c r="G515" s="104">
        <v>689</v>
      </c>
      <c r="H515" s="116">
        <v>12.504757100359408</v>
      </c>
      <c r="I515" s="126">
        <v>3020</v>
      </c>
      <c r="J515" s="117">
        <v>21.438230775521973</v>
      </c>
    </row>
    <row r="516" spans="1:10" ht="16">
      <c r="A516" s="93" t="s">
        <v>1101</v>
      </c>
      <c r="B516" s="94" t="s">
        <v>1081</v>
      </c>
      <c r="C516" s="95" t="s">
        <v>107</v>
      </c>
      <c r="D516" s="96" t="s">
        <v>61</v>
      </c>
      <c r="E516" s="97">
        <v>9190</v>
      </c>
      <c r="F516" s="97">
        <v>696</v>
      </c>
      <c r="G516" s="97">
        <v>551</v>
      </c>
      <c r="H516" s="114">
        <v>28.219896162994775</v>
      </c>
      <c r="I516" s="125">
        <v>6143</v>
      </c>
      <c r="J516" s="115">
        <v>24.951791765074734</v>
      </c>
    </row>
    <row r="517" spans="1:10" ht="16">
      <c r="A517" s="100" t="s">
        <v>1102</v>
      </c>
      <c r="B517" s="101" t="s">
        <v>1081</v>
      </c>
      <c r="C517" s="102" t="s">
        <v>76</v>
      </c>
      <c r="D517" s="103" t="s">
        <v>84</v>
      </c>
      <c r="E517" s="104">
        <v>8645</v>
      </c>
      <c r="F517" s="104">
        <v>509</v>
      </c>
      <c r="G517" s="104">
        <v>346</v>
      </c>
      <c r="H517" s="116">
        <v>15.550856420084004</v>
      </c>
      <c r="I517" s="126">
        <v>3820</v>
      </c>
      <c r="J517" s="117">
        <v>20.20662728625949</v>
      </c>
    </row>
    <row r="518" spans="1:10" ht="16">
      <c r="A518" s="93" t="s">
        <v>1103</v>
      </c>
      <c r="B518" s="94" t="s">
        <v>1081</v>
      </c>
      <c r="C518" s="95" t="s">
        <v>107</v>
      </c>
      <c r="D518" s="96" t="s">
        <v>82</v>
      </c>
      <c r="E518" s="97">
        <v>9994</v>
      </c>
      <c r="F518" s="97">
        <v>629</v>
      </c>
      <c r="G518" s="97">
        <v>800</v>
      </c>
      <c r="H518" s="114">
        <v>20.788374773222383</v>
      </c>
      <c r="I518" s="125">
        <v>4549</v>
      </c>
      <c r="J518" s="115">
        <v>22.691899489827495</v>
      </c>
    </row>
    <row r="519" spans="1:10" ht="16">
      <c r="A519" s="100" t="s">
        <v>1104</v>
      </c>
      <c r="B519" s="101" t="s">
        <v>1081</v>
      </c>
      <c r="C519" s="102" t="s">
        <v>107</v>
      </c>
      <c r="D519" s="103" t="s">
        <v>130</v>
      </c>
      <c r="E519" s="104">
        <v>10789</v>
      </c>
      <c r="F519" s="104">
        <v>892</v>
      </c>
      <c r="G519" s="104">
        <v>2589</v>
      </c>
      <c r="H519" s="116">
        <v>38.010305129403008</v>
      </c>
      <c r="I519" s="126">
        <v>8541</v>
      </c>
      <c r="J519" s="117">
        <v>32.033022341878073</v>
      </c>
    </row>
    <row r="520" spans="1:10" ht="16">
      <c r="A520" s="93" t="s">
        <v>1105</v>
      </c>
      <c r="B520" s="94" t="s">
        <v>1081</v>
      </c>
      <c r="C520" s="95" t="s">
        <v>107</v>
      </c>
      <c r="D520" s="96" t="s">
        <v>84</v>
      </c>
      <c r="E520" s="97">
        <v>8652</v>
      </c>
      <c r="F520" s="97">
        <v>401</v>
      </c>
      <c r="G520" s="97">
        <v>779</v>
      </c>
      <c r="H520" s="114">
        <v>21.949194648247833</v>
      </c>
      <c r="I520" s="125">
        <v>3699</v>
      </c>
      <c r="J520" s="115">
        <v>18.860097789370766</v>
      </c>
    </row>
    <row r="521" spans="1:10" ht="16">
      <c r="A521" s="100" t="s">
        <v>1106</v>
      </c>
      <c r="B521" s="101" t="s">
        <v>1081</v>
      </c>
      <c r="C521" s="102" t="s">
        <v>107</v>
      </c>
      <c r="D521" s="103" t="s">
        <v>61</v>
      </c>
      <c r="E521" s="104">
        <v>27254</v>
      </c>
      <c r="F521" s="104">
        <v>2455</v>
      </c>
      <c r="G521" s="104">
        <v>2998</v>
      </c>
      <c r="H521" s="116">
        <v>62.886797463914405</v>
      </c>
      <c r="I521" s="126">
        <v>40270</v>
      </c>
      <c r="J521" s="117">
        <v>57.048675695457561</v>
      </c>
    </row>
    <row r="522" spans="1:10" ht="16">
      <c r="A522" s="93" t="s">
        <v>1107</v>
      </c>
      <c r="B522" s="94" t="s">
        <v>1081</v>
      </c>
      <c r="C522" s="95" t="s">
        <v>107</v>
      </c>
      <c r="D522" s="96" t="s">
        <v>60</v>
      </c>
      <c r="E522" s="97">
        <v>8340</v>
      </c>
      <c r="F522" s="97">
        <v>428</v>
      </c>
      <c r="G522" s="97">
        <v>1251</v>
      </c>
      <c r="H522" s="114">
        <v>42.162435688116922</v>
      </c>
      <c r="I522" s="125">
        <v>16538</v>
      </c>
      <c r="J522" s="115">
        <v>30.172777833599284</v>
      </c>
    </row>
    <row r="523" spans="1:10" ht="16">
      <c r="A523" s="100" t="s">
        <v>1180</v>
      </c>
      <c r="B523" s="101" t="s">
        <v>1178</v>
      </c>
      <c r="C523" s="102" t="s">
        <v>107</v>
      </c>
      <c r="D523" s="103" t="s">
        <v>59</v>
      </c>
      <c r="E523" s="104">
        <v>13411</v>
      </c>
      <c r="F523" s="104">
        <v>1597</v>
      </c>
      <c r="G523" s="104">
        <v>1207</v>
      </c>
      <c r="H523" s="116">
        <v>8.2794426962421568</v>
      </c>
      <c r="I523" s="126">
        <v>489</v>
      </c>
      <c r="J523" s="117">
        <v>20.519278439448552</v>
      </c>
    </row>
    <row r="524" spans="1:10" ht="16">
      <c r="A524" s="93" t="s">
        <v>452</v>
      </c>
      <c r="B524" s="94" t="s">
        <v>448</v>
      </c>
      <c r="C524" s="95" t="s">
        <v>107</v>
      </c>
      <c r="D524" s="96" t="s">
        <v>77</v>
      </c>
      <c r="E524" s="97">
        <v>14133</v>
      </c>
      <c r="F524" s="97">
        <v>686</v>
      </c>
      <c r="G524" s="97">
        <v>1131</v>
      </c>
      <c r="H524" s="114">
        <v>12.877888631818767</v>
      </c>
      <c r="I524" s="125">
        <v>5817</v>
      </c>
      <c r="J524" s="115">
        <v>23.369194816585072</v>
      </c>
    </row>
    <row r="525" spans="1:10" ht="16">
      <c r="A525" s="100" t="s">
        <v>1108</v>
      </c>
      <c r="B525" s="101" t="s">
        <v>1081</v>
      </c>
      <c r="C525" s="102" t="s">
        <v>107</v>
      </c>
      <c r="D525" s="103" t="s">
        <v>84</v>
      </c>
      <c r="E525" s="104">
        <v>14853</v>
      </c>
      <c r="F525" s="104">
        <v>825</v>
      </c>
      <c r="G525" s="104">
        <v>1485</v>
      </c>
      <c r="H525" s="116">
        <v>46.519904720073797</v>
      </c>
      <c r="I525" s="126">
        <v>23196</v>
      </c>
      <c r="J525" s="117">
        <v>35.733916942694982</v>
      </c>
    </row>
    <row r="526" spans="1:10" ht="16">
      <c r="A526" s="93" t="s">
        <v>306</v>
      </c>
      <c r="B526" s="94" t="s">
        <v>304</v>
      </c>
      <c r="C526" s="95" t="s">
        <v>107</v>
      </c>
      <c r="D526" s="96" t="s">
        <v>59</v>
      </c>
      <c r="E526" s="97">
        <v>52085</v>
      </c>
      <c r="F526" s="97">
        <v>2325</v>
      </c>
      <c r="G526" s="97">
        <v>521</v>
      </c>
      <c r="H526" s="114">
        <v>14.51176288884812</v>
      </c>
      <c r="I526" s="125">
        <v>3803</v>
      </c>
      <c r="J526" s="115">
        <v>19.596213323520153</v>
      </c>
    </row>
    <row r="527" spans="1:10" ht="16">
      <c r="A527" s="100" t="s">
        <v>85</v>
      </c>
      <c r="B527" s="101" t="s">
        <v>86</v>
      </c>
      <c r="C527" s="102" t="s">
        <v>76</v>
      </c>
      <c r="D527" s="103" t="s">
        <v>77</v>
      </c>
      <c r="E527" s="104">
        <v>46096</v>
      </c>
      <c r="F527" s="104">
        <v>4802</v>
      </c>
      <c r="G527" s="104">
        <v>922</v>
      </c>
      <c r="H527" s="116">
        <v>7.398212308653024</v>
      </c>
      <c r="I527" s="126">
        <v>1843</v>
      </c>
      <c r="J527" s="117">
        <v>18.77633838715181</v>
      </c>
    </row>
    <row r="528" spans="1:10" ht="16">
      <c r="A528" s="93" t="s">
        <v>583</v>
      </c>
      <c r="B528" s="94" t="s">
        <v>581</v>
      </c>
      <c r="C528" s="95" t="s">
        <v>76</v>
      </c>
      <c r="D528" s="96" t="s">
        <v>130</v>
      </c>
      <c r="E528" s="97">
        <v>13911</v>
      </c>
      <c r="F528" s="97">
        <v>523</v>
      </c>
      <c r="G528" s="97">
        <v>2365</v>
      </c>
      <c r="H528" s="114">
        <v>30.104236632966991</v>
      </c>
      <c r="I528" s="125">
        <v>22948</v>
      </c>
      <c r="J528" s="115">
        <v>28.061362368115102</v>
      </c>
    </row>
    <row r="529" spans="1:10" ht="16">
      <c r="A529" s="100" t="s">
        <v>1109</v>
      </c>
      <c r="B529" s="101" t="s">
        <v>1081</v>
      </c>
      <c r="C529" s="102" t="s">
        <v>107</v>
      </c>
      <c r="D529" s="103" t="s">
        <v>59</v>
      </c>
      <c r="E529" s="104">
        <v>5550</v>
      </c>
      <c r="F529" s="104">
        <v>238</v>
      </c>
      <c r="G529" s="104">
        <v>222</v>
      </c>
      <c r="H529" s="116">
        <v>16.237626080230257</v>
      </c>
      <c r="I529" s="126">
        <v>998</v>
      </c>
      <c r="J529" s="117">
        <v>14.397555691497233</v>
      </c>
    </row>
    <row r="530" spans="1:10" ht="16">
      <c r="A530" s="93" t="s">
        <v>936</v>
      </c>
      <c r="B530" s="94" t="s">
        <v>919</v>
      </c>
      <c r="C530" s="95" t="s">
        <v>107</v>
      </c>
      <c r="D530" s="96" t="s">
        <v>61</v>
      </c>
      <c r="E530" s="97">
        <v>7090</v>
      </c>
      <c r="F530" s="97">
        <v>627</v>
      </c>
      <c r="G530" s="97">
        <v>1843</v>
      </c>
      <c r="H530" s="114">
        <v>23.862133297319346</v>
      </c>
      <c r="I530" s="125">
        <v>6953</v>
      </c>
      <c r="J530" s="115">
        <v>24.88103503028989</v>
      </c>
    </row>
    <row r="531" spans="1:10" ht="16">
      <c r="A531" s="100" t="s">
        <v>863</v>
      </c>
      <c r="B531" s="101" t="s">
        <v>858</v>
      </c>
      <c r="C531" s="102" t="s">
        <v>107</v>
      </c>
      <c r="D531" s="103" t="s">
        <v>61</v>
      </c>
      <c r="E531" s="104">
        <v>10645</v>
      </c>
      <c r="F531" s="104">
        <v>1314</v>
      </c>
      <c r="G531" s="104">
        <v>319</v>
      </c>
      <c r="H531" s="116">
        <v>12.384254184269002</v>
      </c>
      <c r="I531" s="126">
        <v>4129</v>
      </c>
      <c r="J531" s="117">
        <v>22.031035428261649</v>
      </c>
    </row>
    <row r="532" spans="1:10" ht="16">
      <c r="A532" s="93" t="s">
        <v>968</v>
      </c>
      <c r="B532" s="94" t="s">
        <v>967</v>
      </c>
      <c r="C532" s="95" t="s">
        <v>76</v>
      </c>
      <c r="D532" s="96" t="s">
        <v>77</v>
      </c>
      <c r="E532" s="97">
        <v>30869</v>
      </c>
      <c r="F532" s="97">
        <v>1725</v>
      </c>
      <c r="G532" s="97">
        <v>8643</v>
      </c>
      <c r="H532" s="114">
        <v>90.78012304270716</v>
      </c>
      <c r="I532" s="125">
        <v>69650</v>
      </c>
      <c r="J532" s="115">
        <v>76.975945327107112</v>
      </c>
    </row>
    <row r="533" spans="1:10" ht="16">
      <c r="A533" s="100" t="s">
        <v>87</v>
      </c>
      <c r="B533" s="101" t="s">
        <v>86</v>
      </c>
      <c r="C533" s="102" t="s">
        <v>76</v>
      </c>
      <c r="D533" s="103" t="s">
        <v>59</v>
      </c>
      <c r="E533" s="104">
        <v>20987</v>
      </c>
      <c r="F533" s="104">
        <v>1312</v>
      </c>
      <c r="G533" s="104">
        <v>2099</v>
      </c>
      <c r="H533" s="116">
        <v>8.2073547955386843</v>
      </c>
      <c r="I533" s="126">
        <v>673</v>
      </c>
      <c r="J533" s="117">
        <v>17.230577371082934</v>
      </c>
    </row>
    <row r="534" spans="1:10" ht="16">
      <c r="A534" s="93" t="s">
        <v>1110</v>
      </c>
      <c r="B534" s="94" t="s">
        <v>1081</v>
      </c>
      <c r="C534" s="95" t="s">
        <v>107</v>
      </c>
      <c r="D534" s="96" t="s">
        <v>77</v>
      </c>
      <c r="E534" s="97">
        <v>4258</v>
      </c>
      <c r="F534" s="97">
        <v>835</v>
      </c>
      <c r="G534" s="97">
        <v>85</v>
      </c>
      <c r="H534" s="114">
        <v>19.105360730152373</v>
      </c>
      <c r="I534" s="125">
        <v>11360</v>
      </c>
      <c r="J534" s="115">
        <v>39.668354967032244</v>
      </c>
    </row>
    <row r="535" spans="1:10" ht="16">
      <c r="A535" s="100" t="s">
        <v>1111</v>
      </c>
      <c r="B535" s="101" t="s">
        <v>1081</v>
      </c>
      <c r="C535" s="102" t="s">
        <v>107</v>
      </c>
      <c r="D535" s="103" t="s">
        <v>130</v>
      </c>
      <c r="E535" s="104">
        <v>9215</v>
      </c>
      <c r="F535" s="104">
        <v>370</v>
      </c>
      <c r="G535" s="104">
        <v>369</v>
      </c>
      <c r="H535" s="116">
        <v>26.474343828630179</v>
      </c>
      <c r="I535" s="126">
        <v>1967</v>
      </c>
      <c r="J535" s="117">
        <v>17.756803491507618</v>
      </c>
    </row>
    <row r="536" spans="1:10" ht="16">
      <c r="A536" s="93" t="s">
        <v>1339</v>
      </c>
      <c r="B536" s="94" t="s">
        <v>1288</v>
      </c>
      <c r="C536" s="95" t="s">
        <v>107</v>
      </c>
      <c r="D536" s="96" t="s">
        <v>92</v>
      </c>
      <c r="E536" s="97">
        <v>9279</v>
      </c>
      <c r="F536" s="97">
        <v>615</v>
      </c>
      <c r="G536" s="97">
        <v>1577</v>
      </c>
      <c r="H536" s="114">
        <v>19.768812936921172</v>
      </c>
      <c r="I536" s="125">
        <v>11203</v>
      </c>
      <c r="J536" s="115">
        <v>21.354805711010965</v>
      </c>
    </row>
    <row r="537" spans="1:10" ht="16">
      <c r="A537" s="100" t="s">
        <v>1340</v>
      </c>
      <c r="B537" s="101" t="s">
        <v>1288</v>
      </c>
      <c r="C537" s="102" t="s">
        <v>107</v>
      </c>
      <c r="D537" s="103" t="s">
        <v>62</v>
      </c>
      <c r="E537" s="104">
        <v>1809</v>
      </c>
      <c r="F537" s="104">
        <v>160</v>
      </c>
      <c r="G537" s="104">
        <v>145</v>
      </c>
      <c r="H537" s="116">
        <v>14.701228522175899</v>
      </c>
      <c r="I537" s="126">
        <v>10395</v>
      </c>
      <c r="J537" s="117">
        <v>22.514645183251975</v>
      </c>
    </row>
    <row r="538" spans="1:10" ht="16">
      <c r="A538" s="93" t="s">
        <v>1341</v>
      </c>
      <c r="B538" s="94" t="s">
        <v>1288</v>
      </c>
      <c r="C538" s="95" t="s">
        <v>76</v>
      </c>
      <c r="D538" s="96" t="s">
        <v>77</v>
      </c>
      <c r="E538" s="97">
        <v>12753</v>
      </c>
      <c r="F538" s="97">
        <v>773</v>
      </c>
      <c r="G538" s="97">
        <v>1020</v>
      </c>
      <c r="H538" s="114">
        <v>14.884171649266849</v>
      </c>
      <c r="I538" s="125">
        <v>8048</v>
      </c>
      <c r="J538" s="115">
        <v>21.575091554958551</v>
      </c>
    </row>
    <row r="539" spans="1:10" ht="16">
      <c r="A539" s="100" t="s">
        <v>1342</v>
      </c>
      <c r="B539" s="101" t="s">
        <v>1288</v>
      </c>
      <c r="C539" s="102" t="s">
        <v>76</v>
      </c>
      <c r="D539" s="103" t="s">
        <v>130</v>
      </c>
      <c r="E539" s="104">
        <v>44466</v>
      </c>
      <c r="F539" s="104">
        <v>4996</v>
      </c>
      <c r="G539" s="104">
        <v>14674</v>
      </c>
      <c r="H539" s="116">
        <v>77.684343074665236</v>
      </c>
      <c r="I539" s="126">
        <v>74879</v>
      </c>
      <c r="J539" s="117">
        <v>76.876698263654831</v>
      </c>
    </row>
    <row r="540" spans="1:10" ht="16">
      <c r="A540" s="93" t="s">
        <v>1222</v>
      </c>
      <c r="B540" s="94" t="s">
        <v>1190</v>
      </c>
      <c r="C540" s="95" t="s">
        <v>76</v>
      </c>
      <c r="D540" s="96" t="s">
        <v>92</v>
      </c>
      <c r="E540" s="97">
        <v>22691</v>
      </c>
      <c r="F540" s="97">
        <v>1609</v>
      </c>
      <c r="G540" s="97">
        <v>6127</v>
      </c>
      <c r="H540" s="114">
        <v>36.826230114092155</v>
      </c>
      <c r="I540" s="125">
        <v>31074</v>
      </c>
      <c r="J540" s="115">
        <v>31.667957397761409</v>
      </c>
    </row>
    <row r="541" spans="1:10" ht="16">
      <c r="A541" s="100" t="s">
        <v>884</v>
      </c>
      <c r="B541" s="101" t="s">
        <v>879</v>
      </c>
      <c r="C541" s="102" t="s">
        <v>76</v>
      </c>
      <c r="D541" s="103" t="s">
        <v>130</v>
      </c>
      <c r="E541" s="104">
        <v>22438</v>
      </c>
      <c r="F541" s="104">
        <v>2021</v>
      </c>
      <c r="G541" s="104">
        <v>449</v>
      </c>
      <c r="H541" s="116">
        <v>10.789477228073661</v>
      </c>
      <c r="I541" s="126">
        <v>2359</v>
      </c>
      <c r="J541" s="117">
        <v>19.681747191430134</v>
      </c>
    </row>
    <row r="542" spans="1:10" ht="16">
      <c r="A542" s="93" t="s">
        <v>693</v>
      </c>
      <c r="B542" s="94" t="s">
        <v>642</v>
      </c>
      <c r="C542" s="95" t="s">
        <v>107</v>
      </c>
      <c r="D542" s="96" t="s">
        <v>59</v>
      </c>
      <c r="E542" s="97">
        <v>12158</v>
      </c>
      <c r="F542" s="97">
        <v>1539</v>
      </c>
      <c r="G542" s="97">
        <v>243</v>
      </c>
      <c r="H542" s="114">
        <v>13.611409372870279</v>
      </c>
      <c r="I542" s="125">
        <v>5488</v>
      </c>
      <c r="J542" s="115">
        <v>24.511118670817652</v>
      </c>
    </row>
    <row r="543" spans="1:10" ht="16">
      <c r="A543" s="100" t="s">
        <v>694</v>
      </c>
      <c r="B543" s="101" t="s">
        <v>642</v>
      </c>
      <c r="C543" s="102" t="s">
        <v>107</v>
      </c>
      <c r="D543" s="103" t="s">
        <v>130</v>
      </c>
      <c r="E543" s="104">
        <v>850</v>
      </c>
      <c r="F543" s="104">
        <v>944</v>
      </c>
      <c r="G543" s="104">
        <v>59</v>
      </c>
      <c r="H543" s="116">
        <v>9.3306725705497673</v>
      </c>
      <c r="I543" s="126">
        <v>4924</v>
      </c>
      <c r="J543" s="117">
        <v>25.707553621532181</v>
      </c>
    </row>
    <row r="544" spans="1:10" ht="16">
      <c r="A544" s="93" t="s">
        <v>384</v>
      </c>
      <c r="B544" s="94" t="s">
        <v>377</v>
      </c>
      <c r="C544" s="95" t="s">
        <v>76</v>
      </c>
      <c r="D544" s="96" t="s">
        <v>92</v>
      </c>
      <c r="E544" s="97">
        <v>68013</v>
      </c>
      <c r="F544" s="97">
        <v>3350</v>
      </c>
      <c r="G544" s="97">
        <v>7481</v>
      </c>
      <c r="H544" s="114">
        <v>13.443236002624634</v>
      </c>
      <c r="I544" s="125">
        <v>5097</v>
      </c>
      <c r="J544" s="115">
        <v>17.458314864993358</v>
      </c>
    </row>
    <row r="545" spans="1:10" ht="16">
      <c r="A545" s="100" t="s">
        <v>1343</v>
      </c>
      <c r="B545" s="101" t="s">
        <v>1288</v>
      </c>
      <c r="C545" s="102" t="s">
        <v>107</v>
      </c>
      <c r="D545" s="103" t="s">
        <v>130</v>
      </c>
      <c r="E545" s="104">
        <v>30231</v>
      </c>
      <c r="F545" s="104">
        <v>2418</v>
      </c>
      <c r="G545" s="104">
        <v>4535</v>
      </c>
      <c r="H545" s="116">
        <v>35.655809960719068</v>
      </c>
      <c r="I545" s="126">
        <v>22975</v>
      </c>
      <c r="J545" s="117">
        <v>36.726943953148634</v>
      </c>
    </row>
    <row r="546" spans="1:10" ht="16">
      <c r="A546" s="93" t="s">
        <v>260</v>
      </c>
      <c r="B546" s="94" t="s">
        <v>223</v>
      </c>
      <c r="C546" s="95" t="s">
        <v>107</v>
      </c>
      <c r="D546" s="96" t="s">
        <v>84</v>
      </c>
      <c r="E546" s="97">
        <v>30733</v>
      </c>
      <c r="F546" s="97">
        <v>1851</v>
      </c>
      <c r="G546" s="97">
        <v>615</v>
      </c>
      <c r="H546" s="114">
        <v>12.144288853393089</v>
      </c>
      <c r="I546" s="125">
        <v>3415</v>
      </c>
      <c r="J546" s="115">
        <v>18.229546879999234</v>
      </c>
    </row>
    <row r="547" spans="1:10" ht="16">
      <c r="A547" s="100" t="s">
        <v>976</v>
      </c>
      <c r="B547" s="101" t="s">
        <v>977</v>
      </c>
      <c r="C547" s="102" t="s">
        <v>76</v>
      </c>
      <c r="D547" s="103" t="s">
        <v>59</v>
      </c>
      <c r="E547" s="104">
        <v>36749</v>
      </c>
      <c r="F547" s="104">
        <v>1229</v>
      </c>
      <c r="G547" s="104">
        <v>1470</v>
      </c>
      <c r="H547" s="116">
        <v>17.940295428015464</v>
      </c>
      <c r="I547" s="126">
        <v>12083</v>
      </c>
      <c r="J547" s="117">
        <v>20.116081905619428</v>
      </c>
    </row>
    <row r="548" spans="1:10" ht="16">
      <c r="A548" s="93" t="s">
        <v>261</v>
      </c>
      <c r="B548" s="94" t="s">
        <v>223</v>
      </c>
      <c r="C548" s="95" t="s">
        <v>76</v>
      </c>
      <c r="D548" s="96" t="s">
        <v>80</v>
      </c>
      <c r="E548" s="97">
        <v>25425</v>
      </c>
      <c r="F548" s="97">
        <v>1730</v>
      </c>
      <c r="G548" s="97">
        <v>509</v>
      </c>
      <c r="H548" s="114">
        <v>10.437682241763365</v>
      </c>
      <c r="I548" s="125">
        <v>5039</v>
      </c>
      <c r="J548" s="115">
        <v>24.482380797585016</v>
      </c>
    </row>
    <row r="549" spans="1:10" ht="16">
      <c r="A549" s="100" t="s">
        <v>262</v>
      </c>
      <c r="B549" s="101" t="s">
        <v>223</v>
      </c>
      <c r="C549" s="102" t="s">
        <v>76</v>
      </c>
      <c r="D549" s="103" t="s">
        <v>82</v>
      </c>
      <c r="E549" s="104">
        <v>36015</v>
      </c>
      <c r="F549" s="104">
        <v>2484</v>
      </c>
      <c r="G549" s="104">
        <v>1441</v>
      </c>
      <c r="H549" s="116">
        <v>22.98003498859606</v>
      </c>
      <c r="I549" s="126">
        <v>4348</v>
      </c>
      <c r="J549" s="117">
        <v>25.30021783365336</v>
      </c>
    </row>
    <row r="550" spans="1:10" ht="16">
      <c r="A550" s="93" t="s">
        <v>262</v>
      </c>
      <c r="B550" s="94" t="s">
        <v>1288</v>
      </c>
      <c r="C550" s="95" t="s">
        <v>107</v>
      </c>
      <c r="D550" s="96" t="s">
        <v>80</v>
      </c>
      <c r="E550" s="97">
        <v>19575</v>
      </c>
      <c r="F550" s="97">
        <v>1408</v>
      </c>
      <c r="G550" s="97">
        <v>6851</v>
      </c>
      <c r="H550" s="114">
        <v>28.034664041803186</v>
      </c>
      <c r="I550" s="125">
        <v>27269</v>
      </c>
      <c r="J550" s="115">
        <v>38.792400319819905</v>
      </c>
    </row>
    <row r="551" spans="1:10" ht="16">
      <c r="A551" s="100" t="s">
        <v>1344</v>
      </c>
      <c r="B551" s="101" t="s">
        <v>1288</v>
      </c>
      <c r="C551" s="102" t="s">
        <v>76</v>
      </c>
      <c r="D551" s="103" t="s">
        <v>80</v>
      </c>
      <c r="E551" s="104">
        <v>29684</v>
      </c>
      <c r="F551" s="104">
        <v>1056</v>
      </c>
      <c r="G551" s="104">
        <v>1484</v>
      </c>
      <c r="H551" s="116">
        <v>15.212759953873308</v>
      </c>
      <c r="I551" s="126">
        <v>12132</v>
      </c>
      <c r="J551" s="117">
        <v>21.182522645351821</v>
      </c>
    </row>
    <row r="552" spans="1:10" ht="16">
      <c r="A552" s="93" t="s">
        <v>1223</v>
      </c>
      <c r="B552" s="94" t="s">
        <v>1190</v>
      </c>
      <c r="C552" s="95" t="s">
        <v>76</v>
      </c>
      <c r="D552" s="96" t="s">
        <v>77</v>
      </c>
      <c r="E552" s="97">
        <v>21811</v>
      </c>
      <c r="F552" s="97">
        <v>1246</v>
      </c>
      <c r="G552" s="97">
        <v>3708</v>
      </c>
      <c r="H552" s="114">
        <v>18.916982430186394</v>
      </c>
      <c r="I552" s="125">
        <v>15597</v>
      </c>
      <c r="J552" s="115">
        <v>19.52420717920457</v>
      </c>
    </row>
    <row r="553" spans="1:10" ht="16">
      <c r="A553" s="100" t="s">
        <v>263</v>
      </c>
      <c r="B553" s="101" t="s">
        <v>223</v>
      </c>
      <c r="C553" s="102" t="s">
        <v>76</v>
      </c>
      <c r="D553" s="103" t="s">
        <v>61</v>
      </c>
      <c r="E553" s="104">
        <v>29327</v>
      </c>
      <c r="F553" s="104">
        <v>1917</v>
      </c>
      <c r="G553" s="104">
        <v>293</v>
      </c>
      <c r="H553" s="116">
        <v>13.10936158833341</v>
      </c>
      <c r="I553" s="126">
        <v>4963</v>
      </c>
      <c r="J553" s="117">
        <v>20.856909718788707</v>
      </c>
    </row>
    <row r="554" spans="1:10" ht="16">
      <c r="A554" s="93" t="s">
        <v>264</v>
      </c>
      <c r="B554" s="94" t="s">
        <v>223</v>
      </c>
      <c r="C554" s="95" t="s">
        <v>76</v>
      </c>
      <c r="D554" s="96" t="s">
        <v>77</v>
      </c>
      <c r="E554" s="97">
        <v>24237</v>
      </c>
      <c r="F554" s="97">
        <v>1638</v>
      </c>
      <c r="G554" s="97">
        <v>969</v>
      </c>
      <c r="H554" s="114">
        <v>13.102440270326873</v>
      </c>
      <c r="I554" s="125">
        <v>4879</v>
      </c>
      <c r="J554" s="115">
        <v>19.849459117890756</v>
      </c>
    </row>
    <row r="555" spans="1:10" ht="16">
      <c r="A555" s="100" t="s">
        <v>265</v>
      </c>
      <c r="B555" s="101" t="s">
        <v>223</v>
      </c>
      <c r="C555" s="102" t="s">
        <v>107</v>
      </c>
      <c r="D555" s="103" t="s">
        <v>130</v>
      </c>
      <c r="E555" s="104">
        <v>28432</v>
      </c>
      <c r="F555" s="104">
        <v>2045</v>
      </c>
      <c r="G555" s="104">
        <v>1137</v>
      </c>
      <c r="H555" s="116">
        <v>33.944834708664743</v>
      </c>
      <c r="I555" s="126">
        <v>13546</v>
      </c>
      <c r="J555" s="117">
        <v>26.264097630743727</v>
      </c>
    </row>
    <row r="556" spans="1:10" ht="16">
      <c r="A556" s="93" t="s">
        <v>1345</v>
      </c>
      <c r="B556" s="94" t="s">
        <v>1288</v>
      </c>
      <c r="C556" s="95" t="s">
        <v>107</v>
      </c>
      <c r="D556" s="96" t="s">
        <v>84</v>
      </c>
      <c r="E556" s="97">
        <v>17951</v>
      </c>
      <c r="F556" s="97">
        <v>1402</v>
      </c>
      <c r="G556" s="97">
        <v>3590</v>
      </c>
      <c r="H556" s="114">
        <v>83.943646983504919</v>
      </c>
      <c r="I556" s="125">
        <v>82047</v>
      </c>
      <c r="J556" s="115">
        <v>75.060657379109301</v>
      </c>
    </row>
    <row r="557" spans="1:10" ht="16">
      <c r="A557" s="100" t="s">
        <v>849</v>
      </c>
      <c r="B557" s="101" t="s">
        <v>850</v>
      </c>
      <c r="C557" s="102" t="s">
        <v>76</v>
      </c>
      <c r="D557" s="103" t="s">
        <v>59</v>
      </c>
      <c r="E557" s="104">
        <v>5790</v>
      </c>
      <c r="F557" s="104">
        <v>839</v>
      </c>
      <c r="G557" s="104">
        <v>1216</v>
      </c>
      <c r="H557" s="116">
        <v>11.359437019597131</v>
      </c>
      <c r="I557" s="126">
        <v>7000</v>
      </c>
      <c r="J557" s="117">
        <v>26.815269547667341</v>
      </c>
    </row>
    <row r="558" spans="1:10" ht="16">
      <c r="A558" s="93" t="s">
        <v>851</v>
      </c>
      <c r="B558" s="94" t="s">
        <v>850</v>
      </c>
      <c r="C558" s="95" t="s">
        <v>107</v>
      </c>
      <c r="D558" s="96" t="s">
        <v>84</v>
      </c>
      <c r="E558" s="97">
        <v>35181</v>
      </c>
      <c r="F558" s="97">
        <v>2227</v>
      </c>
      <c r="G558" s="97">
        <v>2814</v>
      </c>
      <c r="H558" s="114">
        <v>28.315040748252553</v>
      </c>
      <c r="I558" s="125">
        <v>18322</v>
      </c>
      <c r="J558" s="115">
        <v>26.672628179746741</v>
      </c>
    </row>
    <row r="559" spans="1:10" ht="16">
      <c r="A559" s="100" t="s">
        <v>1224</v>
      </c>
      <c r="B559" s="101" t="s">
        <v>1190</v>
      </c>
      <c r="C559" s="102" t="s">
        <v>76</v>
      </c>
      <c r="D559" s="103" t="s">
        <v>62</v>
      </c>
      <c r="E559" s="104">
        <v>24140</v>
      </c>
      <c r="F559" s="104">
        <v>1609</v>
      </c>
      <c r="G559" s="104">
        <v>4587</v>
      </c>
      <c r="H559" s="116">
        <v>13.027492379878995</v>
      </c>
      <c r="I559" s="126">
        <v>7693</v>
      </c>
      <c r="J559" s="117">
        <v>17.757082198579386</v>
      </c>
    </row>
    <row r="560" spans="1:10" ht="16">
      <c r="A560" s="93" t="s">
        <v>1346</v>
      </c>
      <c r="B560" s="94" t="s">
        <v>1288</v>
      </c>
      <c r="C560" s="95" t="s">
        <v>76</v>
      </c>
      <c r="D560" s="96" t="s">
        <v>63</v>
      </c>
      <c r="E560" s="97">
        <v>17785</v>
      </c>
      <c r="F560" s="97">
        <v>760</v>
      </c>
      <c r="G560" s="97">
        <v>1067</v>
      </c>
      <c r="H560" s="114">
        <v>11.03205425757033</v>
      </c>
      <c r="I560" s="125">
        <v>10297</v>
      </c>
      <c r="J560" s="115">
        <v>34.466394388153432</v>
      </c>
    </row>
    <row r="561" spans="1:10" ht="16">
      <c r="A561" s="100" t="s">
        <v>895</v>
      </c>
      <c r="B561" s="101" t="s">
        <v>893</v>
      </c>
      <c r="C561" s="102" t="s">
        <v>107</v>
      </c>
      <c r="D561" s="103" t="s">
        <v>82</v>
      </c>
      <c r="E561" s="104">
        <v>19694</v>
      </c>
      <c r="F561" s="104">
        <v>1088</v>
      </c>
      <c r="G561" s="104">
        <v>3348</v>
      </c>
      <c r="H561" s="116">
        <v>26.423261794473397</v>
      </c>
      <c r="I561" s="126">
        <v>12055</v>
      </c>
      <c r="J561" s="117">
        <v>25.188595031978476</v>
      </c>
    </row>
    <row r="562" spans="1:10" ht="16">
      <c r="A562" s="93" t="s">
        <v>937</v>
      </c>
      <c r="B562" s="94" t="s">
        <v>919</v>
      </c>
      <c r="C562" s="95" t="s">
        <v>107</v>
      </c>
      <c r="D562" s="96" t="s">
        <v>63</v>
      </c>
      <c r="E562" s="97">
        <v>11640</v>
      </c>
      <c r="F562" s="97">
        <v>1021</v>
      </c>
      <c r="G562" s="97">
        <v>2328</v>
      </c>
      <c r="H562" s="114">
        <v>12.985724709511775</v>
      </c>
      <c r="I562" s="125">
        <v>1903</v>
      </c>
      <c r="J562" s="115">
        <v>21.304878941188559</v>
      </c>
    </row>
    <row r="563" spans="1:10" ht="16">
      <c r="A563" s="100" t="s">
        <v>938</v>
      </c>
      <c r="B563" s="101" t="s">
        <v>919</v>
      </c>
      <c r="C563" s="102" t="s">
        <v>107</v>
      </c>
      <c r="D563" s="103" t="s">
        <v>80</v>
      </c>
      <c r="E563" s="104">
        <v>7123</v>
      </c>
      <c r="F563" s="104">
        <v>1149</v>
      </c>
      <c r="G563" s="104">
        <v>1425</v>
      </c>
      <c r="H563" s="116">
        <v>32.303983815389856</v>
      </c>
      <c r="I563" s="126">
        <v>9721</v>
      </c>
      <c r="J563" s="117">
        <v>43.180218933806152</v>
      </c>
    </row>
    <row r="564" spans="1:10" ht="16">
      <c r="A564" s="93" t="s">
        <v>1347</v>
      </c>
      <c r="B564" s="94" t="s">
        <v>1288</v>
      </c>
      <c r="C564" s="95" t="s">
        <v>76</v>
      </c>
      <c r="D564" s="96" t="s">
        <v>92</v>
      </c>
      <c r="E564" s="97">
        <v>15887</v>
      </c>
      <c r="F564" s="97">
        <v>841</v>
      </c>
      <c r="G564" s="97">
        <v>635</v>
      </c>
      <c r="H564" s="114">
        <v>13.114690475762968</v>
      </c>
      <c r="I564" s="125">
        <v>3174</v>
      </c>
      <c r="J564" s="115">
        <v>25.954435906373885</v>
      </c>
    </row>
    <row r="565" spans="1:10" ht="16">
      <c r="A565" s="100" t="s">
        <v>266</v>
      </c>
      <c r="B565" s="101" t="s">
        <v>223</v>
      </c>
      <c r="C565" s="102" t="s">
        <v>76</v>
      </c>
      <c r="D565" s="103" t="s">
        <v>130</v>
      </c>
      <c r="E565" s="104">
        <v>32059</v>
      </c>
      <c r="F565" s="104">
        <v>1832</v>
      </c>
      <c r="G565" s="104">
        <v>1282</v>
      </c>
      <c r="H565" s="116">
        <v>16.097051052406375</v>
      </c>
      <c r="I565" s="126">
        <v>4095</v>
      </c>
      <c r="J565" s="117">
        <v>20.78253323206842</v>
      </c>
    </row>
    <row r="566" spans="1:10" ht="16">
      <c r="A566" s="93" t="s">
        <v>695</v>
      </c>
      <c r="B566" s="94" t="s">
        <v>642</v>
      </c>
      <c r="C566" s="95" t="s">
        <v>107</v>
      </c>
      <c r="D566" s="96" t="s">
        <v>84</v>
      </c>
      <c r="E566" s="97">
        <v>2775</v>
      </c>
      <c r="F566" s="97">
        <v>188</v>
      </c>
      <c r="G566" s="97">
        <v>111</v>
      </c>
      <c r="H566" s="114">
        <v>12.833650494534991</v>
      </c>
      <c r="I566" s="125">
        <v>1749</v>
      </c>
      <c r="J566" s="115">
        <v>24.176859487735413</v>
      </c>
    </row>
    <row r="567" spans="1:10" ht="16">
      <c r="A567" s="100" t="s">
        <v>1348</v>
      </c>
      <c r="B567" s="101" t="s">
        <v>1288</v>
      </c>
      <c r="C567" s="102" t="s">
        <v>107</v>
      </c>
      <c r="D567" s="103" t="s">
        <v>62</v>
      </c>
      <c r="E567" s="104">
        <v>54372</v>
      </c>
      <c r="F567" s="104">
        <v>4350</v>
      </c>
      <c r="G567" s="104">
        <v>7068</v>
      </c>
      <c r="H567" s="116">
        <v>57.027781809470149</v>
      </c>
      <c r="I567" s="126">
        <v>49000</v>
      </c>
      <c r="J567" s="117">
        <v>58.433290855159797</v>
      </c>
    </row>
    <row r="568" spans="1:10" ht="16">
      <c r="A568" s="93" t="s">
        <v>1349</v>
      </c>
      <c r="B568" s="94" t="s">
        <v>1288</v>
      </c>
      <c r="C568" s="95" t="s">
        <v>76</v>
      </c>
      <c r="D568" s="96" t="s">
        <v>63</v>
      </c>
      <c r="E568" s="97">
        <v>25013</v>
      </c>
      <c r="F568" s="97">
        <v>1122</v>
      </c>
      <c r="G568" s="97">
        <v>1251</v>
      </c>
      <c r="H568" s="114">
        <v>17.464828057825404</v>
      </c>
      <c r="I568" s="125">
        <v>7636</v>
      </c>
      <c r="J568" s="115">
        <v>28.64366718497395</v>
      </c>
    </row>
    <row r="569" spans="1:10" ht="16">
      <c r="A569" s="100" t="s">
        <v>696</v>
      </c>
      <c r="B569" s="101" t="s">
        <v>642</v>
      </c>
      <c r="C569" s="102" t="s">
        <v>107</v>
      </c>
      <c r="D569" s="103" t="s">
        <v>84</v>
      </c>
      <c r="E569" s="104">
        <v>5693</v>
      </c>
      <c r="F569" s="104">
        <v>619</v>
      </c>
      <c r="G569" s="104">
        <v>57</v>
      </c>
      <c r="H569" s="116">
        <v>9.6204476096243088</v>
      </c>
      <c r="I569" s="126">
        <v>1913</v>
      </c>
      <c r="J569" s="117">
        <v>19.904495935305615</v>
      </c>
    </row>
    <row r="570" spans="1:10" ht="16">
      <c r="A570" s="93" t="s">
        <v>697</v>
      </c>
      <c r="B570" s="94" t="s">
        <v>642</v>
      </c>
      <c r="C570" s="95" t="s">
        <v>107</v>
      </c>
      <c r="D570" s="96" t="s">
        <v>82</v>
      </c>
      <c r="E570" s="97">
        <v>13099</v>
      </c>
      <c r="F570" s="97">
        <v>1637</v>
      </c>
      <c r="G570" s="97">
        <v>1048</v>
      </c>
      <c r="H570" s="114">
        <v>16.859823503437912</v>
      </c>
      <c r="I570" s="125">
        <v>4588</v>
      </c>
      <c r="J570" s="115">
        <v>25.825141423790782</v>
      </c>
    </row>
    <row r="571" spans="1:10" ht="16">
      <c r="A571" s="100" t="s">
        <v>1350</v>
      </c>
      <c r="B571" s="101" t="s">
        <v>1288</v>
      </c>
      <c r="C571" s="102" t="s">
        <v>107</v>
      </c>
      <c r="D571" s="103" t="s">
        <v>82</v>
      </c>
      <c r="E571" s="104">
        <v>21494</v>
      </c>
      <c r="F571" s="104">
        <v>1360</v>
      </c>
      <c r="G571" s="104">
        <v>1505</v>
      </c>
      <c r="H571" s="116">
        <v>22.466420635454853</v>
      </c>
      <c r="I571" s="126">
        <v>15373</v>
      </c>
      <c r="J571" s="117">
        <v>25.065435024817766</v>
      </c>
    </row>
    <row r="572" spans="1:10" ht="16">
      <c r="A572" s="93" t="s">
        <v>1351</v>
      </c>
      <c r="B572" s="94" t="s">
        <v>1288</v>
      </c>
      <c r="C572" s="95" t="s">
        <v>76</v>
      </c>
      <c r="D572" s="96" t="s">
        <v>92</v>
      </c>
      <c r="E572" s="97">
        <v>18878</v>
      </c>
      <c r="F572" s="97">
        <v>1037</v>
      </c>
      <c r="G572" s="97">
        <v>566</v>
      </c>
      <c r="H572" s="114">
        <v>19.27961980014895</v>
      </c>
      <c r="I572" s="125">
        <v>9986</v>
      </c>
      <c r="J572" s="115">
        <v>22.888913378611708</v>
      </c>
    </row>
    <row r="573" spans="1:10" ht="16">
      <c r="A573" s="100" t="s">
        <v>1167</v>
      </c>
      <c r="B573" s="101" t="s">
        <v>1142</v>
      </c>
      <c r="C573" s="102" t="s">
        <v>76</v>
      </c>
      <c r="D573" s="103" t="s">
        <v>82</v>
      </c>
      <c r="E573" s="104">
        <v>36179</v>
      </c>
      <c r="F573" s="104">
        <v>1096</v>
      </c>
      <c r="G573" s="104">
        <v>2171</v>
      </c>
      <c r="H573" s="116">
        <v>9.0232307883769369</v>
      </c>
      <c r="I573" s="126">
        <v>661</v>
      </c>
      <c r="J573" s="117">
        <v>16.094264809241526</v>
      </c>
    </row>
    <row r="574" spans="1:10" ht="16">
      <c r="A574" s="93" t="s">
        <v>1025</v>
      </c>
      <c r="B574" s="94" t="s">
        <v>1020</v>
      </c>
      <c r="C574" s="95" t="s">
        <v>76</v>
      </c>
      <c r="D574" s="96" t="s">
        <v>80</v>
      </c>
      <c r="E574" s="97">
        <v>22962</v>
      </c>
      <c r="F574" s="97">
        <v>272</v>
      </c>
      <c r="G574" s="97">
        <v>459</v>
      </c>
      <c r="H574" s="114">
        <v>14.345359354045891</v>
      </c>
      <c r="I574" s="125">
        <v>10618</v>
      </c>
      <c r="J574" s="115">
        <v>17.429311913481275</v>
      </c>
    </row>
    <row r="575" spans="1:10" ht="16">
      <c r="A575" s="100" t="s">
        <v>1352</v>
      </c>
      <c r="B575" s="101" t="s">
        <v>1288</v>
      </c>
      <c r="C575" s="102" t="s">
        <v>76</v>
      </c>
      <c r="D575" s="103" t="s">
        <v>59</v>
      </c>
      <c r="E575" s="104">
        <v>2895</v>
      </c>
      <c r="F575" s="104">
        <v>2895</v>
      </c>
      <c r="G575" s="104">
        <v>87</v>
      </c>
      <c r="H575" s="116">
        <v>17.059802206858286</v>
      </c>
      <c r="I575" s="126">
        <v>16790</v>
      </c>
      <c r="J575" s="117">
        <v>35.820859303442987</v>
      </c>
    </row>
    <row r="576" spans="1:10" ht="16">
      <c r="A576" s="93" t="s">
        <v>1353</v>
      </c>
      <c r="B576" s="94" t="s">
        <v>1288</v>
      </c>
      <c r="C576" s="95" t="s">
        <v>107</v>
      </c>
      <c r="D576" s="96" t="s">
        <v>92</v>
      </c>
      <c r="E576" s="97">
        <v>24798</v>
      </c>
      <c r="F576" s="97">
        <v>1550</v>
      </c>
      <c r="G576" s="97">
        <v>2728</v>
      </c>
      <c r="H576" s="114">
        <v>30.428315719347854</v>
      </c>
      <c r="I576" s="125">
        <v>20302</v>
      </c>
      <c r="J576" s="115">
        <v>31.374247258105878</v>
      </c>
    </row>
    <row r="577" spans="1:10" ht="16">
      <c r="A577" s="100" t="s">
        <v>698</v>
      </c>
      <c r="B577" s="101" t="s">
        <v>642</v>
      </c>
      <c r="C577" s="102" t="s">
        <v>107</v>
      </c>
      <c r="D577" s="103" t="s">
        <v>62</v>
      </c>
      <c r="E577" s="104">
        <v>8279</v>
      </c>
      <c r="F577" s="104">
        <v>930</v>
      </c>
      <c r="G577" s="104">
        <v>331</v>
      </c>
      <c r="H577" s="116">
        <v>14.47451469865066</v>
      </c>
      <c r="I577" s="126">
        <v>3933</v>
      </c>
      <c r="J577" s="117">
        <v>25.378586353956607</v>
      </c>
    </row>
    <row r="578" spans="1:10" ht="16">
      <c r="A578" s="93" t="s">
        <v>699</v>
      </c>
      <c r="B578" s="94" t="s">
        <v>642</v>
      </c>
      <c r="C578" s="95" t="s">
        <v>107</v>
      </c>
      <c r="D578" s="96" t="s">
        <v>63</v>
      </c>
      <c r="E578" s="97">
        <v>1248</v>
      </c>
      <c r="F578" s="97">
        <v>462</v>
      </c>
      <c r="G578" s="97">
        <v>12</v>
      </c>
      <c r="H578" s="114">
        <v>10.476941230536385</v>
      </c>
      <c r="I578" s="125">
        <v>1316</v>
      </c>
      <c r="J578" s="115">
        <v>27.461442060963986</v>
      </c>
    </row>
    <row r="579" spans="1:10" ht="16">
      <c r="A579" s="100" t="s">
        <v>700</v>
      </c>
      <c r="B579" s="101" t="s">
        <v>642</v>
      </c>
      <c r="C579" s="102" t="s">
        <v>107</v>
      </c>
      <c r="D579" s="103" t="s">
        <v>63</v>
      </c>
      <c r="E579" s="104">
        <v>7746</v>
      </c>
      <c r="F579" s="104">
        <v>767</v>
      </c>
      <c r="G579" s="104">
        <v>310</v>
      </c>
      <c r="H579" s="116">
        <v>13.686534641853033</v>
      </c>
      <c r="I579" s="126">
        <v>2840</v>
      </c>
      <c r="J579" s="117">
        <v>22.560298775365084</v>
      </c>
    </row>
    <row r="580" spans="1:10" ht="16">
      <c r="A580" s="93" t="s">
        <v>701</v>
      </c>
      <c r="B580" s="94" t="s">
        <v>642</v>
      </c>
      <c r="C580" s="95" t="s">
        <v>107</v>
      </c>
      <c r="D580" s="96" t="s">
        <v>82</v>
      </c>
      <c r="E580" s="97">
        <v>22892</v>
      </c>
      <c r="F580" s="97">
        <v>3094</v>
      </c>
      <c r="G580" s="97">
        <v>2518</v>
      </c>
      <c r="H580" s="114">
        <v>49.803957614799614</v>
      </c>
      <c r="I580" s="125">
        <v>16989</v>
      </c>
      <c r="J580" s="115">
        <v>52.042018170423972</v>
      </c>
    </row>
    <row r="581" spans="1:10" ht="16">
      <c r="A581" s="100" t="s">
        <v>513</v>
      </c>
      <c r="B581" s="101" t="s">
        <v>474</v>
      </c>
      <c r="C581" s="102" t="s">
        <v>107</v>
      </c>
      <c r="D581" s="103" t="s">
        <v>77</v>
      </c>
      <c r="E581" s="104">
        <v>12454</v>
      </c>
      <c r="F581" s="104">
        <v>700</v>
      </c>
      <c r="G581" s="104">
        <v>249</v>
      </c>
      <c r="H581" s="116">
        <v>10.834883241054145</v>
      </c>
      <c r="I581" s="126">
        <v>3290</v>
      </c>
      <c r="J581" s="117">
        <v>36.373187558119099</v>
      </c>
    </row>
    <row r="582" spans="1:10" ht="16">
      <c r="A582" s="93" t="s">
        <v>1225</v>
      </c>
      <c r="B582" s="94" t="s">
        <v>1190</v>
      </c>
      <c r="C582" s="95" t="s">
        <v>76</v>
      </c>
      <c r="D582" s="96" t="s">
        <v>77</v>
      </c>
      <c r="E582" s="97">
        <v>13915</v>
      </c>
      <c r="F582" s="97">
        <v>859</v>
      </c>
      <c r="G582" s="97">
        <v>3896</v>
      </c>
      <c r="H582" s="114">
        <v>24.272497161285209</v>
      </c>
      <c r="I582" s="125">
        <v>9102</v>
      </c>
      <c r="J582" s="115">
        <v>29.4103714062907</v>
      </c>
    </row>
    <row r="583" spans="1:10" ht="16">
      <c r="A583" s="100" t="s">
        <v>1168</v>
      </c>
      <c r="B583" s="101" t="s">
        <v>1142</v>
      </c>
      <c r="C583" s="102" t="s">
        <v>76</v>
      </c>
      <c r="D583" s="103" t="s">
        <v>80</v>
      </c>
      <c r="E583" s="104">
        <v>47035</v>
      </c>
      <c r="F583" s="104">
        <v>2138</v>
      </c>
      <c r="G583" s="104">
        <v>1881</v>
      </c>
      <c r="H583" s="116">
        <v>13.610994493836575</v>
      </c>
      <c r="I583" s="126">
        <v>9392</v>
      </c>
      <c r="J583" s="117">
        <v>29.319228045966387</v>
      </c>
    </row>
    <row r="584" spans="1:10" ht="16">
      <c r="A584" s="93" t="s">
        <v>1169</v>
      </c>
      <c r="B584" s="94" t="s">
        <v>1142</v>
      </c>
      <c r="C584" s="95" t="s">
        <v>107</v>
      </c>
      <c r="D584" s="96" t="s">
        <v>62</v>
      </c>
      <c r="E584" s="97">
        <v>46705</v>
      </c>
      <c r="F584" s="97">
        <v>1698</v>
      </c>
      <c r="G584" s="97">
        <v>1401</v>
      </c>
      <c r="H584" s="114">
        <v>9.2969195197491103</v>
      </c>
      <c r="I584" s="125">
        <v>989</v>
      </c>
      <c r="J584" s="115">
        <v>11.436483183933561</v>
      </c>
    </row>
    <row r="585" spans="1:10" ht="16">
      <c r="A585" s="100" t="s">
        <v>1026</v>
      </c>
      <c r="B585" s="101" t="s">
        <v>1020</v>
      </c>
      <c r="C585" s="102" t="s">
        <v>76</v>
      </c>
      <c r="D585" s="103" t="s">
        <v>92</v>
      </c>
      <c r="E585" s="104">
        <v>12113</v>
      </c>
      <c r="F585" s="104">
        <v>841</v>
      </c>
      <c r="G585" s="104">
        <v>2180</v>
      </c>
      <c r="H585" s="116">
        <v>14.653269977924788</v>
      </c>
      <c r="I585" s="126">
        <v>6073</v>
      </c>
      <c r="J585" s="117">
        <v>21.681083338126214</v>
      </c>
    </row>
    <row r="586" spans="1:10" ht="16">
      <c r="A586" s="93" t="s">
        <v>514</v>
      </c>
      <c r="B586" s="94" t="s">
        <v>474</v>
      </c>
      <c r="C586" s="95" t="s">
        <v>107</v>
      </c>
      <c r="D586" s="96" t="s">
        <v>63</v>
      </c>
      <c r="E586" s="97">
        <v>19912</v>
      </c>
      <c r="F586" s="97">
        <v>851</v>
      </c>
      <c r="G586" s="97">
        <v>199</v>
      </c>
      <c r="H586" s="114">
        <v>15.288841174801592</v>
      </c>
      <c r="I586" s="125">
        <v>8255</v>
      </c>
      <c r="J586" s="115">
        <v>27.727630311163431</v>
      </c>
    </row>
    <row r="587" spans="1:10" ht="16">
      <c r="A587" s="100" t="s">
        <v>385</v>
      </c>
      <c r="B587" s="101" t="s">
        <v>377</v>
      </c>
      <c r="C587" s="102" t="s">
        <v>76</v>
      </c>
      <c r="D587" s="103" t="s">
        <v>63</v>
      </c>
      <c r="E587" s="104">
        <v>33434</v>
      </c>
      <c r="F587" s="104">
        <v>921</v>
      </c>
      <c r="G587" s="104">
        <v>5684</v>
      </c>
      <c r="H587" s="116">
        <v>17.02792342719361</v>
      </c>
      <c r="I587" s="126">
        <v>2352</v>
      </c>
      <c r="J587" s="117">
        <v>24.530259213761497</v>
      </c>
    </row>
    <row r="588" spans="1:10" ht="16">
      <c r="A588" s="93" t="s">
        <v>386</v>
      </c>
      <c r="B588" s="94" t="s">
        <v>377</v>
      </c>
      <c r="C588" s="95" t="s">
        <v>76</v>
      </c>
      <c r="D588" s="96" t="s">
        <v>80</v>
      </c>
      <c r="E588" s="97">
        <v>28726</v>
      </c>
      <c r="F588" s="97">
        <v>1981</v>
      </c>
      <c r="G588" s="97">
        <v>4883</v>
      </c>
      <c r="H588" s="114">
        <v>32.37749624898958</v>
      </c>
      <c r="I588" s="125">
        <v>27856</v>
      </c>
      <c r="J588" s="115">
        <v>34.646207004624493</v>
      </c>
    </row>
    <row r="589" spans="1:10" ht="16">
      <c r="A589" s="100" t="s">
        <v>267</v>
      </c>
      <c r="B589" s="101" t="s">
        <v>223</v>
      </c>
      <c r="C589" s="102" t="s">
        <v>107</v>
      </c>
      <c r="D589" s="103" t="s">
        <v>84</v>
      </c>
      <c r="E589" s="104">
        <v>39575</v>
      </c>
      <c r="F589" s="104">
        <v>3441</v>
      </c>
      <c r="G589" s="104">
        <v>5936</v>
      </c>
      <c r="H589" s="116">
        <v>90.773531499173856</v>
      </c>
      <c r="I589" s="126">
        <v>66012</v>
      </c>
      <c r="J589" s="117">
        <v>89.962031401596022</v>
      </c>
    </row>
    <row r="590" spans="1:10" ht="16">
      <c r="A590" s="93" t="s">
        <v>1354</v>
      </c>
      <c r="B590" s="94" t="s">
        <v>1288</v>
      </c>
      <c r="C590" s="95" t="s">
        <v>107</v>
      </c>
      <c r="D590" s="96" t="s">
        <v>77</v>
      </c>
      <c r="E590" s="97">
        <v>46204</v>
      </c>
      <c r="F590" s="97">
        <v>3020</v>
      </c>
      <c r="G590" s="97">
        <v>7393</v>
      </c>
      <c r="H590" s="114">
        <v>67.386634772374038</v>
      </c>
      <c r="I590" s="125">
        <v>50931</v>
      </c>
      <c r="J590" s="115">
        <v>55.725246015496019</v>
      </c>
    </row>
    <row r="591" spans="1:10" ht="16">
      <c r="A591" s="100" t="s">
        <v>939</v>
      </c>
      <c r="B591" s="101" t="s">
        <v>919</v>
      </c>
      <c r="C591" s="102" t="s">
        <v>107</v>
      </c>
      <c r="D591" s="103" t="s">
        <v>63</v>
      </c>
      <c r="E591" s="104">
        <v>8922</v>
      </c>
      <c r="F591" s="104">
        <v>991</v>
      </c>
      <c r="G591" s="104">
        <v>625</v>
      </c>
      <c r="H591" s="116">
        <v>11.482754106864839</v>
      </c>
      <c r="I591" s="126">
        <v>288</v>
      </c>
      <c r="J591" s="117">
        <v>19.429000327642616</v>
      </c>
    </row>
    <row r="592" spans="1:10" ht="16">
      <c r="A592" s="93" t="s">
        <v>940</v>
      </c>
      <c r="B592" s="94" t="s">
        <v>919</v>
      </c>
      <c r="C592" s="95" t="s">
        <v>76</v>
      </c>
      <c r="D592" s="96" t="s">
        <v>77</v>
      </c>
      <c r="E592" s="97">
        <v>9252</v>
      </c>
      <c r="F592" s="97">
        <v>881</v>
      </c>
      <c r="G592" s="97">
        <v>93</v>
      </c>
      <c r="H592" s="114">
        <v>9.8429339098701885</v>
      </c>
      <c r="I592" s="125">
        <v>349</v>
      </c>
      <c r="J592" s="115">
        <v>18.526966242214083</v>
      </c>
    </row>
    <row r="593" spans="1:10" ht="16">
      <c r="A593" s="100" t="s">
        <v>941</v>
      </c>
      <c r="B593" s="101" t="s">
        <v>919</v>
      </c>
      <c r="C593" s="102" t="s">
        <v>107</v>
      </c>
      <c r="D593" s="103" t="s">
        <v>61</v>
      </c>
      <c r="E593" s="104">
        <v>18251</v>
      </c>
      <c r="F593" s="104">
        <v>2028</v>
      </c>
      <c r="G593" s="104">
        <v>5110</v>
      </c>
      <c r="H593" s="116">
        <v>16.628697267636287</v>
      </c>
      <c r="I593" s="126">
        <v>9912</v>
      </c>
      <c r="J593" s="117">
        <v>26.906565202538967</v>
      </c>
    </row>
    <row r="594" spans="1:10" ht="16">
      <c r="A594" s="93" t="s">
        <v>942</v>
      </c>
      <c r="B594" s="94" t="s">
        <v>919</v>
      </c>
      <c r="C594" s="95" t="s">
        <v>76</v>
      </c>
      <c r="D594" s="96" t="s">
        <v>84</v>
      </c>
      <c r="E594" s="97">
        <v>8078</v>
      </c>
      <c r="F594" s="97">
        <v>1282</v>
      </c>
      <c r="G594" s="97">
        <v>485</v>
      </c>
      <c r="H594" s="114">
        <v>10.376274249629418</v>
      </c>
      <c r="I594" s="125">
        <v>344</v>
      </c>
      <c r="J594" s="115">
        <v>23.413917856980628</v>
      </c>
    </row>
    <row r="595" spans="1:10" ht="16">
      <c r="A595" s="100" t="s">
        <v>864</v>
      </c>
      <c r="B595" s="101" t="s">
        <v>858</v>
      </c>
      <c r="C595" s="102" t="s">
        <v>107</v>
      </c>
      <c r="D595" s="103" t="s">
        <v>82</v>
      </c>
      <c r="E595" s="104">
        <v>12452</v>
      </c>
      <c r="F595" s="104">
        <v>239</v>
      </c>
      <c r="G595" s="104">
        <v>197</v>
      </c>
      <c r="H595" s="116">
        <v>8.8226737438897782</v>
      </c>
      <c r="I595" s="126">
        <v>1735</v>
      </c>
      <c r="J595" s="117">
        <v>14.228462728446001</v>
      </c>
    </row>
    <row r="596" spans="1:10" ht="16">
      <c r="A596" s="93" t="s">
        <v>1006</v>
      </c>
      <c r="B596" s="94" t="s">
        <v>988</v>
      </c>
      <c r="C596" s="95" t="s">
        <v>107</v>
      </c>
      <c r="D596" s="96" t="s">
        <v>84</v>
      </c>
      <c r="E596" s="97">
        <v>3215</v>
      </c>
      <c r="F596" s="97">
        <v>312</v>
      </c>
      <c r="G596" s="97">
        <v>96</v>
      </c>
      <c r="H596" s="114">
        <v>51.778312879317468</v>
      </c>
      <c r="I596" s="125">
        <v>36853</v>
      </c>
      <c r="J596" s="115">
        <v>52.039292325642563</v>
      </c>
    </row>
    <row r="597" spans="1:10" ht="16">
      <c r="A597" s="100" t="s">
        <v>896</v>
      </c>
      <c r="B597" s="101" t="s">
        <v>893</v>
      </c>
      <c r="C597" s="102" t="s">
        <v>107</v>
      </c>
      <c r="D597" s="103" t="s">
        <v>60</v>
      </c>
      <c r="E597" s="104">
        <v>18511</v>
      </c>
      <c r="F597" s="104">
        <v>1083</v>
      </c>
      <c r="G597" s="104">
        <v>1111</v>
      </c>
      <c r="H597" s="116">
        <v>8.9902289301819636</v>
      </c>
      <c r="I597" s="126">
        <v>4258</v>
      </c>
      <c r="J597" s="117">
        <v>13.795615495046514</v>
      </c>
    </row>
    <row r="598" spans="1:10" ht="16">
      <c r="A598" s="93" t="s">
        <v>602</v>
      </c>
      <c r="B598" s="94" t="s">
        <v>598</v>
      </c>
      <c r="C598" s="95" t="s">
        <v>107</v>
      </c>
      <c r="D598" s="96" t="s">
        <v>59</v>
      </c>
      <c r="E598" s="97">
        <v>6122</v>
      </c>
      <c r="F598" s="97">
        <v>251</v>
      </c>
      <c r="G598" s="97">
        <v>61</v>
      </c>
      <c r="H598" s="114">
        <v>22.227840358051406</v>
      </c>
      <c r="I598" s="125">
        <v>18684</v>
      </c>
      <c r="J598" s="115">
        <v>18.126145619280571</v>
      </c>
    </row>
    <row r="599" spans="1:10" ht="16">
      <c r="A599" s="100" t="s">
        <v>913</v>
      </c>
      <c r="B599" s="101" t="s">
        <v>909</v>
      </c>
      <c r="C599" s="102" t="s">
        <v>107</v>
      </c>
      <c r="D599" s="103" t="s">
        <v>82</v>
      </c>
      <c r="E599" s="104">
        <v>29437</v>
      </c>
      <c r="F599" s="104">
        <v>2181</v>
      </c>
      <c r="G599" s="104">
        <v>883</v>
      </c>
      <c r="H599" s="116">
        <v>10.272648464526045</v>
      </c>
      <c r="I599" s="126">
        <v>1398</v>
      </c>
      <c r="J599" s="117">
        <v>16.856821693795546</v>
      </c>
    </row>
    <row r="600" spans="1:10" ht="16">
      <c r="A600" s="93" t="s">
        <v>1027</v>
      </c>
      <c r="B600" s="94" t="s">
        <v>1020</v>
      </c>
      <c r="C600" s="95" t="s">
        <v>107</v>
      </c>
      <c r="D600" s="96" t="s">
        <v>130</v>
      </c>
      <c r="E600" s="97">
        <v>4749</v>
      </c>
      <c r="F600" s="97">
        <v>448</v>
      </c>
      <c r="G600" s="97">
        <v>285</v>
      </c>
      <c r="H600" s="114">
        <v>11.766549368662158</v>
      </c>
      <c r="I600" s="125">
        <v>2589</v>
      </c>
      <c r="J600" s="115">
        <v>23.461580093454479</v>
      </c>
    </row>
    <row r="601" spans="1:10" ht="16">
      <c r="A601" s="100" t="s">
        <v>1028</v>
      </c>
      <c r="B601" s="101" t="s">
        <v>1020</v>
      </c>
      <c r="C601" s="102" t="s">
        <v>107</v>
      </c>
      <c r="D601" s="103" t="s">
        <v>60</v>
      </c>
      <c r="E601" s="104">
        <v>25484</v>
      </c>
      <c r="F601" s="104">
        <v>2404</v>
      </c>
      <c r="G601" s="104">
        <v>4077</v>
      </c>
      <c r="H601" s="116">
        <v>18.106834670209942</v>
      </c>
      <c r="I601" s="126">
        <v>9793</v>
      </c>
      <c r="J601" s="117">
        <v>24.415254681349282</v>
      </c>
    </row>
    <row r="602" spans="1:10" ht="16">
      <c r="A602" s="93" t="s">
        <v>603</v>
      </c>
      <c r="B602" s="94" t="s">
        <v>598</v>
      </c>
      <c r="C602" s="95" t="s">
        <v>107</v>
      </c>
      <c r="D602" s="96" t="s">
        <v>62</v>
      </c>
      <c r="E602" s="97">
        <v>35184</v>
      </c>
      <c r="F602" s="97">
        <v>1407</v>
      </c>
      <c r="G602" s="97">
        <v>5981</v>
      </c>
      <c r="H602" s="114">
        <v>35.794358163298909</v>
      </c>
      <c r="I602" s="125">
        <v>21072</v>
      </c>
      <c r="J602" s="115">
        <v>33.932285731101452</v>
      </c>
    </row>
    <row r="603" spans="1:10" ht="16">
      <c r="A603" s="100" t="s">
        <v>914</v>
      </c>
      <c r="B603" s="101" t="s">
        <v>909</v>
      </c>
      <c r="C603" s="102" t="s">
        <v>107</v>
      </c>
      <c r="D603" s="103" t="s">
        <v>59</v>
      </c>
      <c r="E603" s="104">
        <v>12646</v>
      </c>
      <c r="F603" s="104">
        <v>620</v>
      </c>
      <c r="G603" s="104">
        <v>379</v>
      </c>
      <c r="H603" s="116">
        <v>8.5916760690174954</v>
      </c>
      <c r="I603" s="126">
        <v>1509</v>
      </c>
      <c r="J603" s="117">
        <v>14.904246149472678</v>
      </c>
    </row>
    <row r="604" spans="1:10" ht="16">
      <c r="A604" s="93" t="s">
        <v>604</v>
      </c>
      <c r="B604" s="94" t="s">
        <v>598</v>
      </c>
      <c r="C604" s="95" t="s">
        <v>107</v>
      </c>
      <c r="D604" s="96" t="s">
        <v>60</v>
      </c>
      <c r="E604" s="97">
        <v>31425</v>
      </c>
      <c r="F604" s="97">
        <v>878</v>
      </c>
      <c r="G604" s="97">
        <v>4085</v>
      </c>
      <c r="H604" s="114">
        <v>26.133961629524876</v>
      </c>
      <c r="I604" s="125">
        <v>14141</v>
      </c>
      <c r="J604" s="115">
        <v>26.214168624392414</v>
      </c>
    </row>
    <row r="605" spans="1:10" ht="16">
      <c r="A605" s="100" t="s">
        <v>1029</v>
      </c>
      <c r="B605" s="101" t="s">
        <v>1020</v>
      </c>
      <c r="C605" s="102" t="s">
        <v>107</v>
      </c>
      <c r="D605" s="103" t="s">
        <v>80</v>
      </c>
      <c r="E605" s="104">
        <v>21119</v>
      </c>
      <c r="F605" s="104">
        <v>2112</v>
      </c>
      <c r="G605" s="104">
        <v>2957</v>
      </c>
      <c r="H605" s="116">
        <v>12.313735253731085</v>
      </c>
      <c r="I605" s="126">
        <v>4994</v>
      </c>
      <c r="J605" s="117">
        <v>22.304874572038365</v>
      </c>
    </row>
    <row r="606" spans="1:10" ht="16">
      <c r="A606" s="93" t="s">
        <v>1030</v>
      </c>
      <c r="B606" s="94" t="s">
        <v>1020</v>
      </c>
      <c r="C606" s="95" t="s">
        <v>76</v>
      </c>
      <c r="D606" s="96" t="s">
        <v>61</v>
      </c>
      <c r="E606" s="97">
        <v>11636</v>
      </c>
      <c r="F606" s="97">
        <v>539</v>
      </c>
      <c r="G606" s="97">
        <v>1513</v>
      </c>
      <c r="H606" s="114">
        <v>40.138524772691468</v>
      </c>
      <c r="I606" s="125">
        <v>37980</v>
      </c>
      <c r="J606" s="115">
        <v>38.485917682414474</v>
      </c>
    </row>
    <row r="607" spans="1:10" ht="16">
      <c r="A607" s="100" t="s">
        <v>515</v>
      </c>
      <c r="B607" s="101" t="s">
        <v>474</v>
      </c>
      <c r="C607" s="102" t="s">
        <v>107</v>
      </c>
      <c r="D607" s="103" t="s">
        <v>82</v>
      </c>
      <c r="E607" s="104">
        <v>6107</v>
      </c>
      <c r="F607" s="104">
        <v>355</v>
      </c>
      <c r="G607" s="104">
        <v>61</v>
      </c>
      <c r="H607" s="116">
        <v>19.83418682747601</v>
      </c>
      <c r="I607" s="126">
        <v>3594</v>
      </c>
      <c r="J607" s="117">
        <v>37.476322795424814</v>
      </c>
    </row>
    <row r="608" spans="1:10" ht="16">
      <c r="A608" s="93" t="s">
        <v>215</v>
      </c>
      <c r="B608" s="94" t="s">
        <v>212</v>
      </c>
      <c r="C608" s="95" t="s">
        <v>76</v>
      </c>
      <c r="D608" s="96" t="s">
        <v>61</v>
      </c>
      <c r="E608" s="97">
        <v>28541</v>
      </c>
      <c r="F608" s="97">
        <v>1903</v>
      </c>
      <c r="G608" s="97">
        <v>1998</v>
      </c>
      <c r="H608" s="114">
        <v>28.805688759565204</v>
      </c>
      <c r="I608" s="125">
        <v>13800</v>
      </c>
      <c r="J608" s="115">
        <v>24.216639529464768</v>
      </c>
    </row>
    <row r="609" spans="1:10" ht="16">
      <c r="A609" s="100" t="s">
        <v>168</v>
      </c>
      <c r="B609" s="101" t="s">
        <v>150</v>
      </c>
      <c r="C609" s="102" t="s">
        <v>76</v>
      </c>
      <c r="D609" s="103" t="s">
        <v>62</v>
      </c>
      <c r="E609" s="104">
        <v>34101</v>
      </c>
      <c r="F609" s="104">
        <v>1601</v>
      </c>
      <c r="G609" s="104">
        <v>1705</v>
      </c>
      <c r="H609" s="116">
        <v>8.0819077104201664</v>
      </c>
      <c r="I609" s="126">
        <v>620</v>
      </c>
      <c r="J609" s="117">
        <v>15.89067181208441</v>
      </c>
    </row>
    <row r="610" spans="1:10" ht="16">
      <c r="A610" s="93" t="s">
        <v>872</v>
      </c>
      <c r="B610" s="94" t="s">
        <v>873</v>
      </c>
      <c r="C610" s="95" t="s">
        <v>107</v>
      </c>
      <c r="D610" s="96" t="s">
        <v>62</v>
      </c>
      <c r="E610" s="97">
        <v>24984</v>
      </c>
      <c r="F610" s="97">
        <v>3331</v>
      </c>
      <c r="G610" s="97">
        <v>750</v>
      </c>
      <c r="H610" s="114">
        <v>9.4616248819625284</v>
      </c>
      <c r="I610" s="125">
        <v>2963</v>
      </c>
      <c r="J610" s="115">
        <v>20.777993782059749</v>
      </c>
    </row>
    <row r="611" spans="1:10" ht="16">
      <c r="A611" s="100" t="s">
        <v>169</v>
      </c>
      <c r="B611" s="101" t="s">
        <v>150</v>
      </c>
      <c r="C611" s="102" t="s">
        <v>76</v>
      </c>
      <c r="D611" s="103" t="s">
        <v>60</v>
      </c>
      <c r="E611" s="104">
        <v>15581</v>
      </c>
      <c r="F611" s="104">
        <v>711</v>
      </c>
      <c r="G611" s="104">
        <v>779</v>
      </c>
      <c r="H611" s="116">
        <v>26.116129774234583</v>
      </c>
      <c r="I611" s="126">
        <v>7247</v>
      </c>
      <c r="J611" s="117">
        <v>28.093391827917021</v>
      </c>
    </row>
    <row r="612" spans="1:10" ht="16">
      <c r="A612" s="93" t="s">
        <v>170</v>
      </c>
      <c r="B612" s="94" t="s">
        <v>150</v>
      </c>
      <c r="C612" s="95" t="s">
        <v>107</v>
      </c>
      <c r="D612" s="96" t="s">
        <v>60</v>
      </c>
      <c r="E612" s="97">
        <v>16750</v>
      </c>
      <c r="F612" s="97">
        <v>735</v>
      </c>
      <c r="G612" s="97">
        <v>1153</v>
      </c>
      <c r="H612" s="114">
        <v>13.50219094819432</v>
      </c>
      <c r="I612" s="125">
        <v>5558</v>
      </c>
      <c r="J612" s="115">
        <v>19.219174757267229</v>
      </c>
    </row>
    <row r="613" spans="1:10" ht="16">
      <c r="A613" s="100" t="s">
        <v>307</v>
      </c>
      <c r="B613" s="101" t="s">
        <v>304</v>
      </c>
      <c r="C613" s="102" t="s">
        <v>76</v>
      </c>
      <c r="D613" s="103" t="s">
        <v>84</v>
      </c>
      <c r="E613" s="104">
        <v>30048</v>
      </c>
      <c r="F613" s="104">
        <v>1951</v>
      </c>
      <c r="G613" s="104">
        <v>300</v>
      </c>
      <c r="H613" s="116">
        <v>9.8411811214929479</v>
      </c>
      <c r="I613" s="126">
        <v>8892</v>
      </c>
      <c r="J613" s="117">
        <v>16.172768742053051</v>
      </c>
    </row>
    <row r="614" spans="1:10" ht="16">
      <c r="A614" s="93" t="s">
        <v>1355</v>
      </c>
      <c r="B614" s="94" t="s">
        <v>1288</v>
      </c>
      <c r="C614" s="95" t="s">
        <v>76</v>
      </c>
      <c r="D614" s="96" t="s">
        <v>80</v>
      </c>
      <c r="E614" s="97">
        <v>20219</v>
      </c>
      <c r="F614" s="97">
        <v>1099</v>
      </c>
      <c r="G614" s="97">
        <v>1820</v>
      </c>
      <c r="H614" s="114">
        <v>19.382352465335391</v>
      </c>
      <c r="I614" s="125">
        <v>8257</v>
      </c>
      <c r="J614" s="115">
        <v>21.608467269509628</v>
      </c>
    </row>
    <row r="615" spans="1:10" ht="16">
      <c r="A615" s="100" t="s">
        <v>1129</v>
      </c>
      <c r="B615" s="101" t="s">
        <v>1120</v>
      </c>
      <c r="C615" s="102" t="s">
        <v>76</v>
      </c>
      <c r="D615" s="103" t="s">
        <v>80</v>
      </c>
      <c r="E615" s="104">
        <v>39257</v>
      </c>
      <c r="F615" s="104">
        <v>2485</v>
      </c>
      <c r="G615" s="104">
        <v>785</v>
      </c>
      <c r="H615" s="116">
        <v>10.458462375675873</v>
      </c>
      <c r="I615" s="126">
        <v>1872</v>
      </c>
      <c r="J615" s="117">
        <v>18.794531790559855</v>
      </c>
    </row>
    <row r="616" spans="1:10" ht="16">
      <c r="A616" s="93" t="s">
        <v>1356</v>
      </c>
      <c r="B616" s="94" t="s">
        <v>1288</v>
      </c>
      <c r="C616" s="95" t="s">
        <v>107</v>
      </c>
      <c r="D616" s="96" t="s">
        <v>80</v>
      </c>
      <c r="E616" s="97">
        <v>7983</v>
      </c>
      <c r="F616" s="97">
        <v>986</v>
      </c>
      <c r="G616" s="97">
        <v>1996</v>
      </c>
      <c r="H616" s="114">
        <v>96.605856275146749</v>
      </c>
      <c r="I616" s="125">
        <v>95255</v>
      </c>
      <c r="J616" s="115">
        <v>90.752979832687032</v>
      </c>
    </row>
    <row r="617" spans="1:10" ht="16">
      <c r="A617" s="100" t="s">
        <v>516</v>
      </c>
      <c r="B617" s="101" t="s">
        <v>474</v>
      </c>
      <c r="C617" s="102" t="s">
        <v>107</v>
      </c>
      <c r="D617" s="103" t="s">
        <v>59</v>
      </c>
      <c r="E617" s="104">
        <v>8325</v>
      </c>
      <c r="F617" s="104">
        <v>570</v>
      </c>
      <c r="G617" s="104">
        <v>186</v>
      </c>
      <c r="H617" s="116">
        <v>9.6848116849062951</v>
      </c>
      <c r="I617" s="126">
        <v>1323</v>
      </c>
      <c r="J617" s="117">
        <v>20.680405821430135</v>
      </c>
    </row>
    <row r="618" spans="1:10" ht="16">
      <c r="A618" s="93" t="s">
        <v>1357</v>
      </c>
      <c r="B618" s="94" t="s">
        <v>1288</v>
      </c>
      <c r="C618" s="95" t="s">
        <v>107</v>
      </c>
      <c r="D618" s="96" t="s">
        <v>84</v>
      </c>
      <c r="E618" s="97">
        <v>40451</v>
      </c>
      <c r="F618" s="97">
        <v>2576</v>
      </c>
      <c r="G618" s="97">
        <v>9304</v>
      </c>
      <c r="H618" s="114">
        <v>66.881994062832007</v>
      </c>
      <c r="I618" s="125">
        <v>41881</v>
      </c>
      <c r="J618" s="115">
        <v>58.384121428104777</v>
      </c>
    </row>
    <row r="619" spans="1:10" ht="16">
      <c r="A619" s="100" t="s">
        <v>1007</v>
      </c>
      <c r="B619" s="101" t="s">
        <v>988</v>
      </c>
      <c r="C619" s="102" t="s">
        <v>107</v>
      </c>
      <c r="D619" s="103" t="s">
        <v>62</v>
      </c>
      <c r="E619" s="104">
        <v>24331</v>
      </c>
      <c r="F619" s="104">
        <v>1330</v>
      </c>
      <c r="G619" s="104">
        <v>2676</v>
      </c>
      <c r="H619" s="116">
        <v>30.83570115227106</v>
      </c>
      <c r="I619" s="126">
        <v>7496</v>
      </c>
      <c r="J619" s="117">
        <v>27.709116186955857</v>
      </c>
    </row>
    <row r="620" spans="1:10" ht="16">
      <c r="A620" s="93" t="s">
        <v>906</v>
      </c>
      <c r="B620" s="94" t="s">
        <v>907</v>
      </c>
      <c r="C620" s="95" t="s">
        <v>76</v>
      </c>
      <c r="D620" s="96" t="s">
        <v>82</v>
      </c>
      <c r="E620" s="97">
        <v>15585</v>
      </c>
      <c r="F620" s="97">
        <v>901</v>
      </c>
      <c r="G620" s="97">
        <v>5922</v>
      </c>
      <c r="H620" s="114">
        <v>27.430423545479567</v>
      </c>
      <c r="I620" s="125">
        <v>17698</v>
      </c>
      <c r="J620" s="115">
        <v>20.066583559115443</v>
      </c>
    </row>
    <row r="621" spans="1:10" ht="16">
      <c r="A621" s="100" t="s">
        <v>865</v>
      </c>
      <c r="B621" s="101" t="s">
        <v>858</v>
      </c>
      <c r="C621" s="102" t="s">
        <v>76</v>
      </c>
      <c r="D621" s="103" t="s">
        <v>82</v>
      </c>
      <c r="E621" s="104">
        <v>14694</v>
      </c>
      <c r="F621" s="104">
        <v>593</v>
      </c>
      <c r="G621" s="104">
        <v>147</v>
      </c>
      <c r="H621" s="116">
        <v>19.016880862811362</v>
      </c>
      <c r="I621" s="126">
        <v>15262</v>
      </c>
      <c r="J621" s="117">
        <v>20.572866322395203</v>
      </c>
    </row>
    <row r="622" spans="1:10" ht="16">
      <c r="A622" s="93" t="s">
        <v>1226</v>
      </c>
      <c r="B622" s="94" t="s">
        <v>1190</v>
      </c>
      <c r="C622" s="95" t="s">
        <v>76</v>
      </c>
      <c r="D622" s="96" t="s">
        <v>62</v>
      </c>
      <c r="E622" s="97">
        <v>17799</v>
      </c>
      <c r="F622" s="97">
        <v>1262</v>
      </c>
      <c r="G622" s="97">
        <v>7654</v>
      </c>
      <c r="H622" s="114">
        <v>43.113477969148128</v>
      </c>
      <c r="I622" s="125">
        <v>42332</v>
      </c>
      <c r="J622" s="115">
        <v>35.721573624975079</v>
      </c>
    </row>
    <row r="623" spans="1:10" ht="16">
      <c r="A623" s="100" t="s">
        <v>105</v>
      </c>
      <c r="B623" s="101" t="s">
        <v>89</v>
      </c>
      <c r="C623" s="102" t="s">
        <v>76</v>
      </c>
      <c r="D623" s="103" t="s">
        <v>92</v>
      </c>
      <c r="E623" s="104">
        <v>34871</v>
      </c>
      <c r="F623" s="104">
        <v>913</v>
      </c>
      <c r="G623" s="104">
        <v>5579</v>
      </c>
      <c r="H623" s="116">
        <v>40.755268078668585</v>
      </c>
      <c r="I623" s="126">
        <v>34899</v>
      </c>
      <c r="J623" s="117">
        <v>32.108534616786038</v>
      </c>
    </row>
    <row r="624" spans="1:10" ht="16">
      <c r="A624" s="93" t="s">
        <v>825</v>
      </c>
      <c r="B624" s="94" t="s">
        <v>820</v>
      </c>
      <c r="C624" s="95" t="s">
        <v>76</v>
      </c>
      <c r="D624" s="96" t="s">
        <v>130</v>
      </c>
      <c r="E624" s="97">
        <v>20024</v>
      </c>
      <c r="F624" s="97">
        <v>1144</v>
      </c>
      <c r="G624" s="97">
        <v>2803</v>
      </c>
      <c r="H624" s="114">
        <v>50.078611291116403</v>
      </c>
      <c r="I624" s="125">
        <v>44049</v>
      </c>
      <c r="J624" s="115">
        <v>36.640850066536423</v>
      </c>
    </row>
    <row r="625" spans="1:10" ht="16">
      <c r="A625" s="100" t="s">
        <v>268</v>
      </c>
      <c r="B625" s="101" t="s">
        <v>223</v>
      </c>
      <c r="C625" s="102" t="s">
        <v>76</v>
      </c>
      <c r="D625" s="103" t="s">
        <v>63</v>
      </c>
      <c r="E625" s="104">
        <v>25590</v>
      </c>
      <c r="F625" s="104">
        <v>2047</v>
      </c>
      <c r="G625" s="104">
        <v>1535</v>
      </c>
      <c r="H625" s="116">
        <v>21.516183081240261</v>
      </c>
      <c r="I625" s="126">
        <v>10087</v>
      </c>
      <c r="J625" s="117">
        <v>42.528624688257679</v>
      </c>
    </row>
    <row r="626" spans="1:10" ht="16">
      <c r="A626" s="93" t="s">
        <v>1358</v>
      </c>
      <c r="B626" s="94" t="s">
        <v>1288</v>
      </c>
      <c r="C626" s="95" t="s">
        <v>107</v>
      </c>
      <c r="D626" s="96" t="s">
        <v>130</v>
      </c>
      <c r="E626" s="97">
        <v>7798</v>
      </c>
      <c r="F626" s="97">
        <v>500</v>
      </c>
      <c r="G626" s="97">
        <v>1560</v>
      </c>
      <c r="H626" s="114">
        <v>29.277260188501668</v>
      </c>
      <c r="I626" s="125">
        <v>16976</v>
      </c>
      <c r="J626" s="115">
        <v>30.703956226206127</v>
      </c>
    </row>
    <row r="627" spans="1:10" ht="16">
      <c r="A627" s="100" t="s">
        <v>1359</v>
      </c>
      <c r="B627" s="101" t="s">
        <v>1288</v>
      </c>
      <c r="C627" s="102" t="s">
        <v>107</v>
      </c>
      <c r="D627" s="103" t="s">
        <v>82</v>
      </c>
      <c r="E627" s="104">
        <v>6667</v>
      </c>
      <c r="F627" s="104">
        <v>749</v>
      </c>
      <c r="G627" s="104">
        <v>1867</v>
      </c>
      <c r="H627" s="116">
        <v>40.254798221869734</v>
      </c>
      <c r="I627" s="126">
        <v>37232</v>
      </c>
      <c r="J627" s="117">
        <v>49.300290228266626</v>
      </c>
    </row>
    <row r="628" spans="1:10" ht="16">
      <c r="A628" s="93" t="s">
        <v>767</v>
      </c>
      <c r="B628" s="94" t="s">
        <v>766</v>
      </c>
      <c r="C628" s="95" t="s">
        <v>107</v>
      </c>
      <c r="D628" s="96" t="s">
        <v>77</v>
      </c>
      <c r="E628" s="97">
        <v>10805</v>
      </c>
      <c r="F628" s="97">
        <v>363</v>
      </c>
      <c r="G628" s="97">
        <v>1189</v>
      </c>
      <c r="H628" s="114">
        <v>18.485553575190519</v>
      </c>
      <c r="I628" s="125">
        <v>3605</v>
      </c>
      <c r="J628" s="115">
        <v>20.330497998722617</v>
      </c>
    </row>
    <row r="629" spans="1:10" ht="16">
      <c r="A629" s="100" t="s">
        <v>702</v>
      </c>
      <c r="B629" s="101" t="s">
        <v>642</v>
      </c>
      <c r="C629" s="102" t="s">
        <v>76</v>
      </c>
      <c r="D629" s="103" t="s">
        <v>60</v>
      </c>
      <c r="E629" s="104">
        <v>20183</v>
      </c>
      <c r="F629" s="104">
        <v>1431</v>
      </c>
      <c r="G629" s="104">
        <v>807</v>
      </c>
      <c r="H629" s="116">
        <v>9.1577576732158139</v>
      </c>
      <c r="I629" s="126">
        <v>4342</v>
      </c>
      <c r="J629" s="117">
        <v>16.799890892330364</v>
      </c>
    </row>
    <row r="630" spans="1:10" ht="16">
      <c r="A630" s="93" t="s">
        <v>171</v>
      </c>
      <c r="B630" s="94" t="s">
        <v>150</v>
      </c>
      <c r="C630" s="95" t="s">
        <v>76</v>
      </c>
      <c r="D630" s="96" t="s">
        <v>80</v>
      </c>
      <c r="E630" s="97">
        <v>22879</v>
      </c>
      <c r="F630" s="97">
        <v>2571</v>
      </c>
      <c r="G630" s="97">
        <v>1144</v>
      </c>
      <c r="H630" s="114">
        <v>11.85269015977763</v>
      </c>
      <c r="I630" s="125">
        <v>1680</v>
      </c>
      <c r="J630" s="115">
        <v>24.8531419056429</v>
      </c>
    </row>
    <row r="631" spans="1:10" ht="16">
      <c r="A631" s="100" t="s">
        <v>703</v>
      </c>
      <c r="B631" s="101" t="s">
        <v>642</v>
      </c>
      <c r="C631" s="102" t="s">
        <v>107</v>
      </c>
      <c r="D631" s="103" t="s">
        <v>59</v>
      </c>
      <c r="E631" s="104">
        <v>34413</v>
      </c>
      <c r="F631" s="104">
        <v>1880</v>
      </c>
      <c r="G631" s="104">
        <v>2065</v>
      </c>
      <c r="H631" s="116">
        <v>13.493232950276235</v>
      </c>
      <c r="I631" s="126">
        <v>2298</v>
      </c>
      <c r="J631" s="117">
        <v>19.697596849000401</v>
      </c>
    </row>
    <row r="632" spans="1:10" ht="16">
      <c r="A632" s="93" t="s">
        <v>106</v>
      </c>
      <c r="B632" s="94" t="s">
        <v>89</v>
      </c>
      <c r="C632" s="95" t="s">
        <v>107</v>
      </c>
      <c r="D632" s="96" t="s">
        <v>61</v>
      </c>
      <c r="E632" s="97">
        <v>33848</v>
      </c>
      <c r="F632" s="97">
        <v>1511</v>
      </c>
      <c r="G632" s="97">
        <v>10154</v>
      </c>
      <c r="H632" s="114">
        <v>26.456709052241354</v>
      </c>
      <c r="I632" s="125">
        <v>16927</v>
      </c>
      <c r="J632" s="115">
        <v>26.400073074644194</v>
      </c>
    </row>
    <row r="633" spans="1:10" ht="16">
      <c r="A633" s="100" t="s">
        <v>1227</v>
      </c>
      <c r="B633" s="101" t="s">
        <v>1190</v>
      </c>
      <c r="C633" s="102" t="s">
        <v>76</v>
      </c>
      <c r="D633" s="103" t="s">
        <v>130</v>
      </c>
      <c r="E633" s="104">
        <v>9489</v>
      </c>
      <c r="F633" s="104">
        <v>465</v>
      </c>
      <c r="G633" s="104">
        <v>2088</v>
      </c>
      <c r="H633" s="116">
        <v>11.935484950205662</v>
      </c>
      <c r="I633" s="126">
        <v>2648</v>
      </c>
      <c r="J633" s="117">
        <v>17.230528556488839</v>
      </c>
    </row>
    <row r="634" spans="1:10" ht="16">
      <c r="A634" s="93" t="s">
        <v>1360</v>
      </c>
      <c r="B634" s="94" t="s">
        <v>1288</v>
      </c>
      <c r="C634" s="95" t="s">
        <v>107</v>
      </c>
      <c r="D634" s="96" t="s">
        <v>82</v>
      </c>
      <c r="E634" s="97">
        <v>13996</v>
      </c>
      <c r="F634" s="97">
        <v>891</v>
      </c>
      <c r="G634" s="97">
        <v>2519</v>
      </c>
      <c r="H634" s="114">
        <v>18.453094179875389</v>
      </c>
      <c r="I634" s="125">
        <v>7125</v>
      </c>
      <c r="J634" s="115">
        <v>20.544509165322577</v>
      </c>
    </row>
    <row r="635" spans="1:10" ht="16">
      <c r="A635" s="100" t="s">
        <v>339</v>
      </c>
      <c r="B635" s="101" t="s">
        <v>336</v>
      </c>
      <c r="C635" s="102" t="s">
        <v>76</v>
      </c>
      <c r="D635" s="103" t="s">
        <v>62</v>
      </c>
      <c r="E635" s="104">
        <v>6382</v>
      </c>
      <c r="F635" s="104">
        <v>355</v>
      </c>
      <c r="G635" s="104">
        <v>766</v>
      </c>
      <c r="H635" s="116">
        <v>33.698497314631943</v>
      </c>
      <c r="I635" s="126">
        <v>12473</v>
      </c>
      <c r="J635" s="117">
        <v>21.524281158231059</v>
      </c>
    </row>
    <row r="636" spans="1:10" ht="16">
      <c r="A636" s="93" t="s">
        <v>584</v>
      </c>
      <c r="B636" s="94" t="s">
        <v>581</v>
      </c>
      <c r="C636" s="95" t="s">
        <v>76</v>
      </c>
      <c r="D636" s="96" t="s">
        <v>62</v>
      </c>
      <c r="E636" s="97">
        <v>2265</v>
      </c>
      <c r="F636" s="97">
        <v>107</v>
      </c>
      <c r="G636" s="97">
        <v>1472</v>
      </c>
      <c r="H636" s="114">
        <v>27.07993104118626</v>
      </c>
      <c r="I636" s="125">
        <v>24293</v>
      </c>
      <c r="J636" s="115">
        <v>30.920274524188642</v>
      </c>
    </row>
    <row r="637" spans="1:10" ht="16">
      <c r="A637" s="100" t="s">
        <v>1228</v>
      </c>
      <c r="B637" s="101" t="s">
        <v>1190</v>
      </c>
      <c r="C637" s="102" t="s">
        <v>76</v>
      </c>
      <c r="D637" s="103" t="s">
        <v>61</v>
      </c>
      <c r="E637" s="104">
        <v>9503</v>
      </c>
      <c r="F637" s="104">
        <v>625</v>
      </c>
      <c r="G637" s="104">
        <v>3421</v>
      </c>
      <c r="H637" s="116">
        <v>30.234407372580897</v>
      </c>
      <c r="I637" s="126">
        <v>22287</v>
      </c>
      <c r="J637" s="117">
        <v>31.53490682459001</v>
      </c>
    </row>
    <row r="638" spans="1:10" ht="16">
      <c r="A638" s="93" t="s">
        <v>1229</v>
      </c>
      <c r="B638" s="94" t="s">
        <v>1190</v>
      </c>
      <c r="C638" s="95" t="s">
        <v>76</v>
      </c>
      <c r="D638" s="96" t="s">
        <v>80</v>
      </c>
      <c r="E638" s="97">
        <v>2067</v>
      </c>
      <c r="F638" s="97">
        <v>190</v>
      </c>
      <c r="G638" s="97">
        <v>393</v>
      </c>
      <c r="H638" s="114">
        <v>18.779416838472223</v>
      </c>
      <c r="I638" s="125">
        <v>12748</v>
      </c>
      <c r="J638" s="115">
        <v>27.369713891184567</v>
      </c>
    </row>
    <row r="639" spans="1:10" ht="16">
      <c r="A639" s="100" t="s">
        <v>943</v>
      </c>
      <c r="B639" s="101" t="s">
        <v>919</v>
      </c>
      <c r="C639" s="102" t="s">
        <v>76</v>
      </c>
      <c r="D639" s="103" t="s">
        <v>84</v>
      </c>
      <c r="E639" s="104">
        <v>19803</v>
      </c>
      <c r="F639" s="104">
        <v>1707</v>
      </c>
      <c r="G639" s="104">
        <v>5743</v>
      </c>
      <c r="H639" s="116">
        <v>12.100484803784354</v>
      </c>
      <c r="I639" s="126">
        <v>2917</v>
      </c>
      <c r="J639" s="117">
        <v>36.75526468524172</v>
      </c>
    </row>
    <row r="640" spans="1:10" ht="16">
      <c r="A640" s="93" t="s">
        <v>416</v>
      </c>
      <c r="B640" s="94" t="s">
        <v>402</v>
      </c>
      <c r="C640" s="95" t="s">
        <v>107</v>
      </c>
      <c r="D640" s="96" t="s">
        <v>59</v>
      </c>
      <c r="E640" s="97">
        <v>43015</v>
      </c>
      <c r="F640" s="97">
        <v>711</v>
      </c>
      <c r="G640" s="97">
        <v>6022</v>
      </c>
      <c r="H640" s="114">
        <v>45.525974168356178</v>
      </c>
      <c r="I640" s="125">
        <v>26182</v>
      </c>
      <c r="J640" s="115">
        <v>40.554411849378937</v>
      </c>
    </row>
    <row r="641" spans="1:10" ht="16">
      <c r="A641" s="100" t="s">
        <v>1361</v>
      </c>
      <c r="B641" s="101" t="s">
        <v>1288</v>
      </c>
      <c r="C641" s="102" t="s">
        <v>76</v>
      </c>
      <c r="D641" s="103" t="s">
        <v>63</v>
      </c>
      <c r="E641" s="104">
        <v>2425</v>
      </c>
      <c r="F641" s="104">
        <v>1213</v>
      </c>
      <c r="G641" s="104">
        <v>24</v>
      </c>
      <c r="H641" s="116">
        <v>13.819259507830679</v>
      </c>
      <c r="I641" s="126">
        <v>11977</v>
      </c>
      <c r="J641" s="117">
        <v>37.207640774486556</v>
      </c>
    </row>
    <row r="642" spans="1:10" ht="16">
      <c r="A642" s="93" t="s">
        <v>1362</v>
      </c>
      <c r="B642" s="94" t="s">
        <v>1288</v>
      </c>
      <c r="C642" s="95" t="s">
        <v>76</v>
      </c>
      <c r="D642" s="96" t="s">
        <v>63</v>
      </c>
      <c r="E642" s="97">
        <v>44801</v>
      </c>
      <c r="F642" s="97">
        <v>4000</v>
      </c>
      <c r="G642" s="97">
        <v>7616</v>
      </c>
      <c r="H642" s="114">
        <v>48.711866005902642</v>
      </c>
      <c r="I642" s="125">
        <v>35925</v>
      </c>
      <c r="J642" s="115">
        <v>48.439920605089519</v>
      </c>
    </row>
    <row r="643" spans="1:10" ht="16">
      <c r="A643" s="100" t="s">
        <v>417</v>
      </c>
      <c r="B643" s="101" t="s">
        <v>402</v>
      </c>
      <c r="C643" s="102" t="s">
        <v>107</v>
      </c>
      <c r="D643" s="103" t="s">
        <v>61</v>
      </c>
      <c r="E643" s="104">
        <v>45377</v>
      </c>
      <c r="F643" s="104">
        <v>743</v>
      </c>
      <c r="G643" s="104">
        <v>9529</v>
      </c>
      <c r="H643" s="116">
        <v>61.79122273692483</v>
      </c>
      <c r="I643" s="126">
        <v>41501</v>
      </c>
      <c r="J643" s="117">
        <v>55.801232668853729</v>
      </c>
    </row>
    <row r="644" spans="1:10" ht="16">
      <c r="A644" s="93" t="s">
        <v>192</v>
      </c>
      <c r="B644" s="94" t="s">
        <v>184</v>
      </c>
      <c r="C644" s="95" t="s">
        <v>76</v>
      </c>
      <c r="D644" s="96" t="s">
        <v>84</v>
      </c>
      <c r="E644" s="97">
        <v>33694</v>
      </c>
      <c r="F644" s="97">
        <v>782</v>
      </c>
      <c r="G644" s="97">
        <v>1348</v>
      </c>
      <c r="H644" s="114">
        <v>26.206073845267326</v>
      </c>
      <c r="I644" s="125">
        <v>10101</v>
      </c>
      <c r="J644" s="115">
        <v>19.703483281882455</v>
      </c>
    </row>
    <row r="645" spans="1:10" ht="16">
      <c r="A645" s="100" t="s">
        <v>1170</v>
      </c>
      <c r="B645" s="101" t="s">
        <v>1142</v>
      </c>
      <c r="C645" s="102" t="s">
        <v>107</v>
      </c>
      <c r="D645" s="103" t="s">
        <v>59</v>
      </c>
      <c r="E645" s="104">
        <v>3605</v>
      </c>
      <c r="F645" s="104">
        <v>168</v>
      </c>
      <c r="G645" s="104">
        <v>324</v>
      </c>
      <c r="H645" s="116">
        <v>35.841927946284699</v>
      </c>
      <c r="I645" s="126">
        <v>19845</v>
      </c>
      <c r="J645" s="117">
        <v>28.430172823987245</v>
      </c>
    </row>
    <row r="646" spans="1:10" ht="16">
      <c r="A646" s="93" t="s">
        <v>704</v>
      </c>
      <c r="B646" s="94" t="s">
        <v>642</v>
      </c>
      <c r="C646" s="95" t="s">
        <v>107</v>
      </c>
      <c r="D646" s="96" t="s">
        <v>63</v>
      </c>
      <c r="E646" s="97">
        <v>6799</v>
      </c>
      <c r="F646" s="97">
        <v>708</v>
      </c>
      <c r="G646" s="97">
        <v>136</v>
      </c>
      <c r="H646" s="114">
        <v>13.222889806095628</v>
      </c>
      <c r="I646" s="125">
        <v>2434</v>
      </c>
      <c r="J646" s="115">
        <v>21.607640430395112</v>
      </c>
    </row>
    <row r="647" spans="1:10" ht="16">
      <c r="A647" s="100" t="s">
        <v>944</v>
      </c>
      <c r="B647" s="101" t="s">
        <v>919</v>
      </c>
      <c r="C647" s="102" t="s">
        <v>76</v>
      </c>
      <c r="D647" s="103" t="s">
        <v>62</v>
      </c>
      <c r="E647" s="104">
        <v>21489</v>
      </c>
      <c r="F647" s="104">
        <v>2904</v>
      </c>
      <c r="G647" s="104">
        <v>2579</v>
      </c>
      <c r="H647" s="116">
        <v>31.716136562565946</v>
      </c>
      <c r="I647" s="126">
        <v>6205</v>
      </c>
      <c r="J647" s="117">
        <v>46.472107531764991</v>
      </c>
    </row>
    <row r="648" spans="1:10" ht="16">
      <c r="A648" s="93" t="s">
        <v>945</v>
      </c>
      <c r="B648" s="94" t="s">
        <v>919</v>
      </c>
      <c r="C648" s="95" t="s">
        <v>107</v>
      </c>
      <c r="D648" s="96" t="s">
        <v>92</v>
      </c>
      <c r="E648" s="97">
        <v>7298</v>
      </c>
      <c r="F648" s="97">
        <v>657</v>
      </c>
      <c r="G648" s="97">
        <v>803</v>
      </c>
      <c r="H648" s="114">
        <v>10.525968074597403</v>
      </c>
      <c r="I648" s="125">
        <v>5102</v>
      </c>
      <c r="J648" s="115">
        <v>20.901529018523359</v>
      </c>
    </row>
    <row r="649" spans="1:10" ht="16">
      <c r="A649" s="100" t="s">
        <v>705</v>
      </c>
      <c r="B649" s="101" t="s">
        <v>642</v>
      </c>
      <c r="C649" s="102" t="s">
        <v>107</v>
      </c>
      <c r="D649" s="103" t="s">
        <v>92</v>
      </c>
      <c r="E649" s="104">
        <v>1909</v>
      </c>
      <c r="F649" s="104">
        <v>1273</v>
      </c>
      <c r="G649" s="104">
        <v>133</v>
      </c>
      <c r="H649" s="116">
        <v>10.034723703428929</v>
      </c>
      <c r="I649" s="126">
        <v>2734</v>
      </c>
      <c r="J649" s="117">
        <v>23.8781088223861</v>
      </c>
    </row>
    <row r="650" spans="1:10" ht="16">
      <c r="A650" s="93" t="s">
        <v>706</v>
      </c>
      <c r="B650" s="94" t="s">
        <v>642</v>
      </c>
      <c r="C650" s="95" t="s">
        <v>107</v>
      </c>
      <c r="D650" s="96" t="s">
        <v>82</v>
      </c>
      <c r="E650" s="97">
        <v>8579</v>
      </c>
      <c r="F650" s="97">
        <v>600</v>
      </c>
      <c r="G650" s="97">
        <v>429</v>
      </c>
      <c r="H650" s="114">
        <v>13.206859803353712</v>
      </c>
      <c r="I650" s="125">
        <v>2969</v>
      </c>
      <c r="J650" s="115">
        <v>19.987564353190521</v>
      </c>
    </row>
    <row r="651" spans="1:10" ht="16">
      <c r="A651" s="100" t="s">
        <v>946</v>
      </c>
      <c r="B651" s="101" t="s">
        <v>919</v>
      </c>
      <c r="C651" s="102" t="s">
        <v>76</v>
      </c>
      <c r="D651" s="103" t="s">
        <v>82</v>
      </c>
      <c r="E651" s="104">
        <v>9660</v>
      </c>
      <c r="F651" s="104">
        <v>911</v>
      </c>
      <c r="G651" s="104">
        <v>1063</v>
      </c>
      <c r="H651" s="116">
        <v>12.47418818400352</v>
      </c>
      <c r="I651" s="126">
        <v>3940</v>
      </c>
      <c r="J651" s="117">
        <v>18.961360247484677</v>
      </c>
    </row>
    <row r="652" spans="1:10" ht="16">
      <c r="A652" s="93" t="s">
        <v>1363</v>
      </c>
      <c r="B652" s="94" t="s">
        <v>1288</v>
      </c>
      <c r="C652" s="95" t="s">
        <v>76</v>
      </c>
      <c r="D652" s="96" t="s">
        <v>61</v>
      </c>
      <c r="E652" s="97">
        <v>30799</v>
      </c>
      <c r="F652" s="97">
        <v>1010</v>
      </c>
      <c r="G652" s="97">
        <v>2464</v>
      </c>
      <c r="H652" s="114">
        <v>24.975688445548148</v>
      </c>
      <c r="I652" s="125">
        <v>15245</v>
      </c>
      <c r="J652" s="115">
        <v>24.293734968092021</v>
      </c>
    </row>
    <row r="653" spans="1:10" ht="16">
      <c r="A653" s="100" t="s">
        <v>172</v>
      </c>
      <c r="B653" s="101" t="s">
        <v>150</v>
      </c>
      <c r="C653" s="102" t="s">
        <v>76</v>
      </c>
      <c r="D653" s="103" t="s">
        <v>62</v>
      </c>
      <c r="E653" s="104">
        <v>12922</v>
      </c>
      <c r="F653" s="104">
        <v>1086</v>
      </c>
      <c r="G653" s="104">
        <v>129</v>
      </c>
      <c r="H653" s="116">
        <v>10.08456760904185</v>
      </c>
      <c r="I653" s="126">
        <v>1874</v>
      </c>
      <c r="J653" s="117">
        <v>18.650247910342287</v>
      </c>
    </row>
    <row r="654" spans="1:10" ht="16">
      <c r="A654" s="93" t="s">
        <v>605</v>
      </c>
      <c r="B654" s="94" t="s">
        <v>598</v>
      </c>
      <c r="C654" s="95" t="s">
        <v>76</v>
      </c>
      <c r="D654" s="96" t="s">
        <v>92</v>
      </c>
      <c r="E654" s="97">
        <v>71318</v>
      </c>
      <c r="F654" s="97">
        <v>3348</v>
      </c>
      <c r="G654" s="97">
        <v>4279</v>
      </c>
      <c r="H654" s="114">
        <v>40.67398002203403</v>
      </c>
      <c r="I654" s="125">
        <v>28000</v>
      </c>
      <c r="J654" s="115">
        <v>40.560643135721229</v>
      </c>
    </row>
    <row r="655" spans="1:10" ht="16">
      <c r="A655" s="100" t="s">
        <v>707</v>
      </c>
      <c r="B655" s="101" t="s">
        <v>642</v>
      </c>
      <c r="C655" s="102" t="s">
        <v>107</v>
      </c>
      <c r="D655" s="103" t="s">
        <v>60</v>
      </c>
      <c r="E655" s="104">
        <v>1336</v>
      </c>
      <c r="F655" s="104">
        <v>382</v>
      </c>
      <c r="G655" s="104">
        <v>93</v>
      </c>
      <c r="H655" s="116">
        <v>12.482232229557853</v>
      </c>
      <c r="I655" s="126">
        <v>3904</v>
      </c>
      <c r="J655" s="117">
        <v>29.680544964798649</v>
      </c>
    </row>
    <row r="656" spans="1:10" ht="16">
      <c r="A656" s="93" t="s">
        <v>517</v>
      </c>
      <c r="B656" s="94" t="s">
        <v>474</v>
      </c>
      <c r="C656" s="95" t="s">
        <v>76</v>
      </c>
      <c r="D656" s="96" t="s">
        <v>82</v>
      </c>
      <c r="E656" s="97">
        <v>12234</v>
      </c>
      <c r="F656" s="97">
        <v>844</v>
      </c>
      <c r="G656" s="97">
        <v>274</v>
      </c>
      <c r="H656" s="114">
        <v>12.631872393798798</v>
      </c>
      <c r="I656" s="125">
        <v>3898</v>
      </c>
      <c r="J656" s="115">
        <v>17.193466978263896</v>
      </c>
    </row>
    <row r="657" spans="1:10" ht="16">
      <c r="A657" s="100" t="s">
        <v>518</v>
      </c>
      <c r="B657" s="101" t="s">
        <v>474</v>
      </c>
      <c r="C657" s="102" t="s">
        <v>107</v>
      </c>
      <c r="D657" s="103" t="s">
        <v>92</v>
      </c>
      <c r="E657" s="104">
        <v>14381</v>
      </c>
      <c r="F657" s="104">
        <v>851</v>
      </c>
      <c r="G657" s="104">
        <v>144</v>
      </c>
      <c r="H657" s="116">
        <v>9.9593361017561115</v>
      </c>
      <c r="I657" s="126">
        <v>925</v>
      </c>
      <c r="J657" s="117">
        <v>18.932637984105142</v>
      </c>
    </row>
    <row r="658" spans="1:10" ht="16">
      <c r="A658" s="93" t="s">
        <v>519</v>
      </c>
      <c r="B658" s="94" t="s">
        <v>474</v>
      </c>
      <c r="C658" s="95" t="s">
        <v>76</v>
      </c>
      <c r="D658" s="96" t="s">
        <v>61</v>
      </c>
      <c r="E658" s="97">
        <v>6056</v>
      </c>
      <c r="F658" s="97">
        <v>477</v>
      </c>
      <c r="G658" s="97">
        <v>121</v>
      </c>
      <c r="H658" s="114">
        <v>19.391003970600664</v>
      </c>
      <c r="I658" s="125">
        <v>8752</v>
      </c>
      <c r="J658" s="115">
        <v>39.016695171117455</v>
      </c>
    </row>
    <row r="659" spans="1:10" ht="16">
      <c r="A659" s="100" t="s">
        <v>387</v>
      </c>
      <c r="B659" s="101" t="s">
        <v>377</v>
      </c>
      <c r="C659" s="102" t="s">
        <v>76</v>
      </c>
      <c r="D659" s="103" t="s">
        <v>130</v>
      </c>
      <c r="E659" s="104">
        <v>11915</v>
      </c>
      <c r="F659" s="104">
        <v>264</v>
      </c>
      <c r="G659" s="104">
        <v>4051</v>
      </c>
      <c r="H659" s="116">
        <v>27.900758944988144</v>
      </c>
      <c r="I659" s="126">
        <v>15405</v>
      </c>
      <c r="J659" s="117">
        <v>30.374441308593248</v>
      </c>
    </row>
    <row r="660" spans="1:10" ht="16">
      <c r="A660" s="93" t="s">
        <v>606</v>
      </c>
      <c r="B660" s="94" t="s">
        <v>598</v>
      </c>
      <c r="C660" s="95" t="s">
        <v>107</v>
      </c>
      <c r="D660" s="96" t="s">
        <v>130</v>
      </c>
      <c r="E660" s="97">
        <v>558</v>
      </c>
      <c r="F660" s="97">
        <v>82</v>
      </c>
      <c r="G660" s="97">
        <v>61</v>
      </c>
      <c r="H660" s="114">
        <v>38.530030793077181</v>
      </c>
      <c r="I660" s="125">
        <v>30255</v>
      </c>
      <c r="J660" s="115">
        <v>57.218600369536468</v>
      </c>
    </row>
    <row r="661" spans="1:10" ht="16">
      <c r="A661" s="100" t="s">
        <v>947</v>
      </c>
      <c r="B661" s="101" t="s">
        <v>919</v>
      </c>
      <c r="C661" s="102" t="s">
        <v>76</v>
      </c>
      <c r="D661" s="103" t="s">
        <v>77</v>
      </c>
      <c r="E661" s="104">
        <v>15354</v>
      </c>
      <c r="F661" s="104">
        <v>1872</v>
      </c>
      <c r="G661" s="104">
        <v>2457</v>
      </c>
      <c r="H661" s="116">
        <v>10.245443329355059</v>
      </c>
      <c r="I661" s="126">
        <v>278</v>
      </c>
      <c r="J661" s="117">
        <v>25.229565559608972</v>
      </c>
    </row>
    <row r="662" spans="1:10" ht="16">
      <c r="A662" s="93" t="s">
        <v>1008</v>
      </c>
      <c r="B662" s="94" t="s">
        <v>988</v>
      </c>
      <c r="C662" s="95" t="s">
        <v>107</v>
      </c>
      <c r="D662" s="96" t="s">
        <v>61</v>
      </c>
      <c r="E662" s="97">
        <v>12119</v>
      </c>
      <c r="F662" s="97">
        <v>713</v>
      </c>
      <c r="G662" s="97">
        <v>1212</v>
      </c>
      <c r="H662" s="114">
        <v>21.092041613326685</v>
      </c>
      <c r="I662" s="125">
        <v>15738</v>
      </c>
      <c r="J662" s="115">
        <v>23.688850777035839</v>
      </c>
    </row>
    <row r="663" spans="1:10" ht="16">
      <c r="A663" s="100" t="s">
        <v>468</v>
      </c>
      <c r="B663" s="101" t="s">
        <v>466</v>
      </c>
      <c r="C663" s="102" t="s">
        <v>76</v>
      </c>
      <c r="D663" s="103" t="s">
        <v>82</v>
      </c>
      <c r="E663" s="104">
        <v>10996</v>
      </c>
      <c r="F663" s="104">
        <v>1122</v>
      </c>
      <c r="G663" s="104">
        <v>3409</v>
      </c>
      <c r="H663" s="116">
        <v>13.296109784266829</v>
      </c>
      <c r="I663" s="126">
        <v>9183</v>
      </c>
      <c r="J663" s="117">
        <v>26.340705433222144</v>
      </c>
    </row>
    <row r="664" spans="1:10" ht="16">
      <c r="A664" s="93" t="s">
        <v>551</v>
      </c>
      <c r="B664" s="94" t="s">
        <v>537</v>
      </c>
      <c r="C664" s="95" t="s">
        <v>107</v>
      </c>
      <c r="D664" s="96" t="s">
        <v>84</v>
      </c>
      <c r="E664" s="97">
        <v>12496</v>
      </c>
      <c r="F664" s="97">
        <v>811</v>
      </c>
      <c r="G664" s="97">
        <v>125</v>
      </c>
      <c r="H664" s="114">
        <v>10.810825828497217</v>
      </c>
      <c r="I664" s="125">
        <v>3995</v>
      </c>
      <c r="J664" s="115">
        <v>17.217020611947007</v>
      </c>
    </row>
    <row r="665" spans="1:10" ht="16">
      <c r="A665" s="100" t="s">
        <v>1009</v>
      </c>
      <c r="B665" s="101" t="s">
        <v>988</v>
      </c>
      <c r="C665" s="102" t="s">
        <v>107</v>
      </c>
      <c r="D665" s="103" t="s">
        <v>77</v>
      </c>
      <c r="E665" s="104">
        <v>26182</v>
      </c>
      <c r="F665" s="104">
        <v>2111</v>
      </c>
      <c r="G665" s="104">
        <v>3142</v>
      </c>
      <c r="H665" s="116">
        <v>72.569511073218266</v>
      </c>
      <c r="I665" s="126">
        <v>47721</v>
      </c>
      <c r="J665" s="117">
        <v>73.27860107226816</v>
      </c>
    </row>
    <row r="666" spans="1:10" ht="16">
      <c r="A666" s="93" t="s">
        <v>1010</v>
      </c>
      <c r="B666" s="94" t="s">
        <v>988</v>
      </c>
      <c r="C666" s="95" t="s">
        <v>107</v>
      </c>
      <c r="D666" s="96" t="s">
        <v>59</v>
      </c>
      <c r="E666" s="97">
        <v>11912</v>
      </c>
      <c r="F666" s="97">
        <v>693</v>
      </c>
      <c r="G666" s="97">
        <v>476</v>
      </c>
      <c r="H666" s="114">
        <v>14.153479611845274</v>
      </c>
      <c r="I666" s="125">
        <v>2189</v>
      </c>
      <c r="J666" s="115">
        <v>17.973321067189378</v>
      </c>
    </row>
    <row r="667" spans="1:10" ht="16">
      <c r="A667" s="100" t="s">
        <v>532</v>
      </c>
      <c r="B667" s="101" t="s">
        <v>530</v>
      </c>
      <c r="C667" s="102" t="s">
        <v>107</v>
      </c>
      <c r="D667" s="103" t="s">
        <v>60</v>
      </c>
      <c r="E667" s="104">
        <v>14624</v>
      </c>
      <c r="F667" s="104">
        <v>1380</v>
      </c>
      <c r="G667" s="104">
        <v>585</v>
      </c>
      <c r="H667" s="116">
        <v>11.768416394266735</v>
      </c>
      <c r="I667" s="126">
        <v>2677</v>
      </c>
      <c r="J667" s="117">
        <v>19.869065557488369</v>
      </c>
    </row>
    <row r="668" spans="1:10" ht="16">
      <c r="A668" s="93" t="s">
        <v>552</v>
      </c>
      <c r="B668" s="94" t="s">
        <v>537</v>
      </c>
      <c r="C668" s="95" t="s">
        <v>76</v>
      </c>
      <c r="D668" s="96" t="s">
        <v>130</v>
      </c>
      <c r="E668" s="97">
        <v>6350</v>
      </c>
      <c r="F668" s="97">
        <v>327</v>
      </c>
      <c r="G668" s="97">
        <v>292</v>
      </c>
      <c r="H668" s="114">
        <v>12.021428842016798</v>
      </c>
      <c r="I668" s="125">
        <v>1302</v>
      </c>
      <c r="J668" s="115">
        <v>20.109137188666697</v>
      </c>
    </row>
    <row r="669" spans="1:10" ht="16">
      <c r="A669" s="100" t="s">
        <v>553</v>
      </c>
      <c r="B669" s="101" t="s">
        <v>537</v>
      </c>
      <c r="C669" s="102" t="s">
        <v>76</v>
      </c>
      <c r="D669" s="103" t="s">
        <v>84</v>
      </c>
      <c r="E669" s="104">
        <v>14998</v>
      </c>
      <c r="F669" s="104">
        <v>638</v>
      </c>
      <c r="G669" s="104">
        <v>689</v>
      </c>
      <c r="H669" s="116">
        <v>14.348212230307574</v>
      </c>
      <c r="I669" s="126">
        <v>2070</v>
      </c>
      <c r="J669" s="117">
        <v>18.429454395803713</v>
      </c>
    </row>
    <row r="670" spans="1:10" ht="16">
      <c r="A670" s="93" t="s">
        <v>554</v>
      </c>
      <c r="B670" s="94" t="s">
        <v>537</v>
      </c>
      <c r="C670" s="95" t="s">
        <v>76</v>
      </c>
      <c r="D670" s="96" t="s">
        <v>59</v>
      </c>
      <c r="E670" s="97">
        <v>18403</v>
      </c>
      <c r="F670" s="97">
        <v>860</v>
      </c>
      <c r="G670" s="97">
        <v>368</v>
      </c>
      <c r="H670" s="114">
        <v>19.584413194469175</v>
      </c>
      <c r="I670" s="125">
        <v>7342</v>
      </c>
      <c r="J670" s="115">
        <v>22.149332272090422</v>
      </c>
    </row>
    <row r="671" spans="1:10" ht="16">
      <c r="A671" s="100" t="s">
        <v>555</v>
      </c>
      <c r="B671" s="101" t="s">
        <v>537</v>
      </c>
      <c r="C671" s="102" t="s">
        <v>76</v>
      </c>
      <c r="D671" s="103" t="s">
        <v>77</v>
      </c>
      <c r="E671" s="104">
        <v>12713</v>
      </c>
      <c r="F671" s="104">
        <v>1397</v>
      </c>
      <c r="G671" s="104">
        <v>254</v>
      </c>
      <c r="H671" s="116">
        <v>15.287607231457285</v>
      </c>
      <c r="I671" s="126">
        <v>5512</v>
      </c>
      <c r="J671" s="117">
        <v>43.281208065645004</v>
      </c>
    </row>
    <row r="672" spans="1:10" ht="16">
      <c r="A672" s="93" t="s">
        <v>556</v>
      </c>
      <c r="B672" s="94" t="s">
        <v>537</v>
      </c>
      <c r="C672" s="95" t="s">
        <v>76</v>
      </c>
      <c r="D672" s="96" t="s">
        <v>59</v>
      </c>
      <c r="E672" s="97">
        <v>12309</v>
      </c>
      <c r="F672" s="97">
        <v>583</v>
      </c>
      <c r="G672" s="97">
        <v>246</v>
      </c>
      <c r="H672" s="114">
        <v>18.401613996631575</v>
      </c>
      <c r="I672" s="125">
        <v>3028</v>
      </c>
      <c r="J672" s="115">
        <v>27.306472819955058</v>
      </c>
    </row>
    <row r="673" spans="1:10" ht="16">
      <c r="A673" s="100" t="s">
        <v>557</v>
      </c>
      <c r="B673" s="101" t="s">
        <v>537</v>
      </c>
      <c r="C673" s="102" t="s">
        <v>76</v>
      </c>
      <c r="D673" s="103" t="s">
        <v>62</v>
      </c>
      <c r="E673" s="104">
        <v>7378</v>
      </c>
      <c r="F673" s="104">
        <v>324</v>
      </c>
      <c r="G673" s="104">
        <v>339</v>
      </c>
      <c r="H673" s="116">
        <v>11.242624618859342</v>
      </c>
      <c r="I673" s="126">
        <v>4014</v>
      </c>
      <c r="J673" s="117">
        <v>16.521738114731242</v>
      </c>
    </row>
    <row r="674" spans="1:10" ht="16">
      <c r="A674" s="93" t="s">
        <v>558</v>
      </c>
      <c r="B674" s="94" t="s">
        <v>537</v>
      </c>
      <c r="C674" s="95" t="s">
        <v>107</v>
      </c>
      <c r="D674" s="96" t="s">
        <v>92</v>
      </c>
      <c r="E674" s="97">
        <v>8448</v>
      </c>
      <c r="F674" s="97">
        <v>343</v>
      </c>
      <c r="G674" s="97">
        <v>588</v>
      </c>
      <c r="H674" s="114">
        <v>14.187993152443489</v>
      </c>
      <c r="I674" s="125">
        <v>3873</v>
      </c>
      <c r="J674" s="115">
        <v>18.215834522413292</v>
      </c>
    </row>
    <row r="675" spans="1:10" ht="16">
      <c r="A675" s="100" t="s">
        <v>269</v>
      </c>
      <c r="B675" s="101" t="s">
        <v>223</v>
      </c>
      <c r="C675" s="102" t="s">
        <v>107</v>
      </c>
      <c r="D675" s="103" t="s">
        <v>84</v>
      </c>
      <c r="E675" s="104">
        <v>45767</v>
      </c>
      <c r="F675" s="104">
        <v>3135</v>
      </c>
      <c r="G675" s="104">
        <v>3204</v>
      </c>
      <c r="H675" s="116">
        <v>29.684730598955621</v>
      </c>
      <c r="I675" s="126">
        <v>10325</v>
      </c>
      <c r="J675" s="117">
        <v>32.870766304171731</v>
      </c>
    </row>
    <row r="676" spans="1:10" ht="16">
      <c r="A676" s="93" t="s">
        <v>270</v>
      </c>
      <c r="B676" s="94" t="s">
        <v>223</v>
      </c>
      <c r="C676" s="95" t="s">
        <v>107</v>
      </c>
      <c r="D676" s="96" t="s">
        <v>82</v>
      </c>
      <c r="E676" s="97">
        <v>38853</v>
      </c>
      <c r="F676" s="97">
        <v>3500</v>
      </c>
      <c r="G676" s="97">
        <v>5051</v>
      </c>
      <c r="H676" s="114">
        <v>63.835625619247736</v>
      </c>
      <c r="I676" s="125">
        <v>30322</v>
      </c>
      <c r="J676" s="115">
        <v>58.698739772426315</v>
      </c>
    </row>
    <row r="677" spans="1:10" ht="16">
      <c r="A677" s="100" t="s">
        <v>271</v>
      </c>
      <c r="B677" s="101" t="s">
        <v>223</v>
      </c>
      <c r="C677" s="102" t="s">
        <v>107</v>
      </c>
      <c r="D677" s="103" t="s">
        <v>92</v>
      </c>
      <c r="E677" s="104">
        <v>23789</v>
      </c>
      <c r="F677" s="104">
        <v>1329</v>
      </c>
      <c r="G677" s="104">
        <v>714</v>
      </c>
      <c r="H677" s="116">
        <v>10.50523414272085</v>
      </c>
      <c r="I677" s="126">
        <v>3986</v>
      </c>
      <c r="J677" s="117">
        <v>15.336832863750107</v>
      </c>
    </row>
    <row r="678" spans="1:10" ht="16">
      <c r="A678" s="93" t="s">
        <v>272</v>
      </c>
      <c r="B678" s="94" t="s">
        <v>223</v>
      </c>
      <c r="C678" s="95" t="s">
        <v>107</v>
      </c>
      <c r="D678" s="96" t="s">
        <v>77</v>
      </c>
      <c r="E678" s="97">
        <v>36637</v>
      </c>
      <c r="F678" s="97">
        <v>3242</v>
      </c>
      <c r="G678" s="97">
        <v>2198</v>
      </c>
      <c r="H678" s="114">
        <v>25.019250578009903</v>
      </c>
      <c r="I678" s="125">
        <v>7413</v>
      </c>
      <c r="J678" s="115">
        <v>21.802025588696267</v>
      </c>
    </row>
    <row r="679" spans="1:10" ht="16">
      <c r="A679" s="100" t="s">
        <v>273</v>
      </c>
      <c r="B679" s="101" t="s">
        <v>223</v>
      </c>
      <c r="C679" s="102" t="s">
        <v>76</v>
      </c>
      <c r="D679" s="103" t="s">
        <v>130</v>
      </c>
      <c r="E679" s="104">
        <v>15130</v>
      </c>
      <c r="F679" s="104">
        <v>1043</v>
      </c>
      <c r="G679" s="104">
        <v>757</v>
      </c>
      <c r="H679" s="116">
        <v>14.596503839197153</v>
      </c>
      <c r="I679" s="126">
        <v>4732</v>
      </c>
      <c r="J679" s="117">
        <v>27.918987467875994</v>
      </c>
    </row>
    <row r="680" spans="1:10" ht="16">
      <c r="A680" s="93" t="s">
        <v>274</v>
      </c>
      <c r="B680" s="94" t="s">
        <v>223</v>
      </c>
      <c r="C680" s="95" t="s">
        <v>107</v>
      </c>
      <c r="D680" s="96" t="s">
        <v>60</v>
      </c>
      <c r="E680" s="97">
        <v>10305</v>
      </c>
      <c r="F680" s="97">
        <v>881</v>
      </c>
      <c r="G680" s="97">
        <v>103</v>
      </c>
      <c r="H680" s="114">
        <v>15.14620117728114</v>
      </c>
      <c r="I680" s="125">
        <v>5695</v>
      </c>
      <c r="J680" s="115">
        <v>22.323010703050407</v>
      </c>
    </row>
    <row r="681" spans="1:10" ht="16">
      <c r="A681" s="100" t="s">
        <v>559</v>
      </c>
      <c r="B681" s="101" t="s">
        <v>537</v>
      </c>
      <c r="C681" s="102" t="s">
        <v>107</v>
      </c>
      <c r="D681" s="103" t="s">
        <v>61</v>
      </c>
      <c r="E681" s="104">
        <v>9260</v>
      </c>
      <c r="F681" s="104">
        <v>468</v>
      </c>
      <c r="G681" s="104">
        <v>185</v>
      </c>
      <c r="H681" s="116">
        <v>37.384700414196558</v>
      </c>
      <c r="I681" s="126">
        <v>15134</v>
      </c>
      <c r="J681" s="117">
        <v>29.19775451336217</v>
      </c>
    </row>
    <row r="682" spans="1:10" ht="16">
      <c r="A682" s="93" t="s">
        <v>1230</v>
      </c>
      <c r="B682" s="94" t="s">
        <v>1190</v>
      </c>
      <c r="C682" s="95" t="s">
        <v>76</v>
      </c>
      <c r="D682" s="96" t="s">
        <v>77</v>
      </c>
      <c r="E682" s="97">
        <v>25119</v>
      </c>
      <c r="F682" s="97">
        <v>1478</v>
      </c>
      <c r="G682" s="97">
        <v>3265</v>
      </c>
      <c r="H682" s="114">
        <v>14.186279427411316</v>
      </c>
      <c r="I682" s="125">
        <v>5556</v>
      </c>
      <c r="J682" s="115">
        <v>18.436222005391436</v>
      </c>
    </row>
    <row r="683" spans="1:10" ht="16">
      <c r="A683" s="100" t="s">
        <v>275</v>
      </c>
      <c r="B683" s="101" t="s">
        <v>223</v>
      </c>
      <c r="C683" s="102" t="s">
        <v>107</v>
      </c>
      <c r="D683" s="103" t="s">
        <v>60</v>
      </c>
      <c r="E683" s="104">
        <v>35171</v>
      </c>
      <c r="F683" s="104">
        <v>2269</v>
      </c>
      <c r="G683" s="104">
        <v>352</v>
      </c>
      <c r="H683" s="116">
        <v>23.570895682077619</v>
      </c>
      <c r="I683" s="126">
        <v>16108</v>
      </c>
      <c r="J683" s="117">
        <v>22.405840233313857</v>
      </c>
    </row>
    <row r="684" spans="1:10" ht="16">
      <c r="A684" s="93" t="s">
        <v>708</v>
      </c>
      <c r="B684" s="94" t="s">
        <v>642</v>
      </c>
      <c r="C684" s="95" t="s">
        <v>107</v>
      </c>
      <c r="D684" s="96" t="s">
        <v>59</v>
      </c>
      <c r="E684" s="97">
        <v>7886</v>
      </c>
      <c r="F684" s="97">
        <v>329</v>
      </c>
      <c r="G684" s="97">
        <v>1262</v>
      </c>
      <c r="H684" s="114">
        <v>12.586878664688312</v>
      </c>
      <c r="I684" s="125">
        <v>1290</v>
      </c>
      <c r="J684" s="115">
        <v>16.621370503542458</v>
      </c>
    </row>
    <row r="685" spans="1:10" ht="16">
      <c r="A685" s="100" t="s">
        <v>709</v>
      </c>
      <c r="B685" s="101" t="s">
        <v>642</v>
      </c>
      <c r="C685" s="102" t="s">
        <v>107</v>
      </c>
      <c r="D685" s="103" t="s">
        <v>59</v>
      </c>
      <c r="E685" s="104">
        <v>1164</v>
      </c>
      <c r="F685" s="104">
        <v>375</v>
      </c>
      <c r="G685" s="104">
        <v>23</v>
      </c>
      <c r="H685" s="116">
        <v>11.042516264610695</v>
      </c>
      <c r="I685" s="126">
        <v>2858</v>
      </c>
      <c r="J685" s="117">
        <v>26.371811235060619</v>
      </c>
    </row>
    <row r="686" spans="1:10" ht="16">
      <c r="A686" s="93" t="s">
        <v>710</v>
      </c>
      <c r="B686" s="94" t="s">
        <v>642</v>
      </c>
      <c r="C686" s="95" t="s">
        <v>107</v>
      </c>
      <c r="D686" s="96" t="s">
        <v>61</v>
      </c>
      <c r="E686" s="97">
        <v>6086</v>
      </c>
      <c r="F686" s="97">
        <v>801</v>
      </c>
      <c r="G686" s="97">
        <v>122</v>
      </c>
      <c r="H686" s="114">
        <v>11.228432474806556</v>
      </c>
      <c r="I686" s="125">
        <v>1717</v>
      </c>
      <c r="J686" s="115">
        <v>21.893828712395507</v>
      </c>
    </row>
    <row r="687" spans="1:10" ht="16">
      <c r="A687" s="100" t="s">
        <v>711</v>
      </c>
      <c r="B687" s="101" t="s">
        <v>642</v>
      </c>
      <c r="C687" s="102" t="s">
        <v>107</v>
      </c>
      <c r="D687" s="103" t="s">
        <v>84</v>
      </c>
      <c r="E687" s="104">
        <v>10812</v>
      </c>
      <c r="F687" s="104">
        <v>1050</v>
      </c>
      <c r="G687" s="104">
        <v>324</v>
      </c>
      <c r="H687" s="116">
        <v>14.981920890916179</v>
      </c>
      <c r="I687" s="126">
        <v>4082</v>
      </c>
      <c r="J687" s="117">
        <v>22.383607567251879</v>
      </c>
    </row>
    <row r="688" spans="1:10" ht="16">
      <c r="A688" s="93" t="s">
        <v>560</v>
      </c>
      <c r="B688" s="94" t="s">
        <v>537</v>
      </c>
      <c r="C688" s="95" t="s">
        <v>107</v>
      </c>
      <c r="D688" s="96" t="s">
        <v>130</v>
      </c>
      <c r="E688" s="97">
        <v>14286</v>
      </c>
      <c r="F688" s="97">
        <v>693</v>
      </c>
      <c r="G688" s="97">
        <v>657</v>
      </c>
      <c r="H688" s="114">
        <v>25.232330053914239</v>
      </c>
      <c r="I688" s="125">
        <v>6889</v>
      </c>
      <c r="J688" s="115">
        <v>25.458256326968556</v>
      </c>
    </row>
    <row r="689" spans="1:10" ht="16">
      <c r="A689" s="100" t="s">
        <v>561</v>
      </c>
      <c r="B689" s="101" t="s">
        <v>537</v>
      </c>
      <c r="C689" s="102" t="s">
        <v>76</v>
      </c>
      <c r="D689" s="103" t="s">
        <v>130</v>
      </c>
      <c r="E689" s="104">
        <v>10465</v>
      </c>
      <c r="F689" s="104">
        <v>960</v>
      </c>
      <c r="G689" s="104">
        <v>209</v>
      </c>
      <c r="H689" s="116">
        <v>11.45563613083557</v>
      </c>
      <c r="I689" s="126">
        <v>2286</v>
      </c>
      <c r="J689" s="117">
        <v>16.695494721810938</v>
      </c>
    </row>
    <row r="690" spans="1:10" ht="16">
      <c r="A690" s="93" t="s">
        <v>562</v>
      </c>
      <c r="B690" s="94" t="s">
        <v>537</v>
      </c>
      <c r="C690" s="95" t="s">
        <v>107</v>
      </c>
      <c r="D690" s="96" t="s">
        <v>130</v>
      </c>
      <c r="E690" s="97">
        <v>1602</v>
      </c>
      <c r="F690" s="97">
        <v>101</v>
      </c>
      <c r="G690" s="97">
        <v>111</v>
      </c>
      <c r="H690" s="114">
        <v>21.135534946946599</v>
      </c>
      <c r="I690" s="125">
        <v>9519</v>
      </c>
      <c r="J690" s="115">
        <v>24.352261035063201</v>
      </c>
    </row>
    <row r="691" spans="1:10" ht="16">
      <c r="A691" s="100" t="s">
        <v>712</v>
      </c>
      <c r="B691" s="101" t="s">
        <v>642</v>
      </c>
      <c r="C691" s="102" t="s">
        <v>107</v>
      </c>
      <c r="D691" s="103" t="s">
        <v>84</v>
      </c>
      <c r="E691" s="104">
        <v>9956</v>
      </c>
      <c r="F691" s="104">
        <v>732</v>
      </c>
      <c r="G691" s="104">
        <v>299</v>
      </c>
      <c r="H691" s="116">
        <v>13.49486420653842</v>
      </c>
      <c r="I691" s="126">
        <v>1986</v>
      </c>
      <c r="J691" s="117">
        <v>18.426304027065537</v>
      </c>
    </row>
    <row r="692" spans="1:10" ht="16">
      <c r="A692" s="93" t="s">
        <v>713</v>
      </c>
      <c r="B692" s="94" t="s">
        <v>642</v>
      </c>
      <c r="C692" s="95" t="s">
        <v>76</v>
      </c>
      <c r="D692" s="96" t="s">
        <v>82</v>
      </c>
      <c r="E692" s="97">
        <v>3659</v>
      </c>
      <c r="F692" s="97">
        <v>1742</v>
      </c>
      <c r="G692" s="97">
        <v>37</v>
      </c>
      <c r="H692" s="114">
        <v>8.9489450735910712</v>
      </c>
      <c r="I692" s="125">
        <v>1777</v>
      </c>
      <c r="J692" s="115">
        <v>30.336507404391323</v>
      </c>
    </row>
    <row r="693" spans="1:10" ht="16">
      <c r="A693" s="100" t="s">
        <v>948</v>
      </c>
      <c r="B693" s="101" t="s">
        <v>919</v>
      </c>
      <c r="C693" s="102" t="s">
        <v>107</v>
      </c>
      <c r="D693" s="103" t="s">
        <v>92</v>
      </c>
      <c r="E693" s="104">
        <v>23800</v>
      </c>
      <c r="F693" s="104">
        <v>1425</v>
      </c>
      <c r="G693" s="104">
        <v>952</v>
      </c>
      <c r="H693" s="116">
        <v>13.604369112178762</v>
      </c>
      <c r="I693" s="126">
        <v>959</v>
      </c>
      <c r="J693" s="117">
        <v>18.222308245932869</v>
      </c>
    </row>
    <row r="694" spans="1:10" ht="16">
      <c r="A694" s="93" t="s">
        <v>276</v>
      </c>
      <c r="B694" s="94" t="s">
        <v>223</v>
      </c>
      <c r="C694" s="95" t="s">
        <v>107</v>
      </c>
      <c r="D694" s="96" t="s">
        <v>61</v>
      </c>
      <c r="E694" s="97">
        <v>64648</v>
      </c>
      <c r="F694" s="97">
        <v>4685</v>
      </c>
      <c r="G694" s="97">
        <v>2586</v>
      </c>
      <c r="H694" s="114">
        <v>24.900660857613516</v>
      </c>
      <c r="I694" s="125">
        <v>9592</v>
      </c>
      <c r="J694" s="115">
        <v>31.492722845333159</v>
      </c>
    </row>
    <row r="695" spans="1:10" ht="16">
      <c r="A695" s="100" t="s">
        <v>815</v>
      </c>
      <c r="B695" s="101" t="s">
        <v>814</v>
      </c>
      <c r="C695" s="102" t="s">
        <v>107</v>
      </c>
      <c r="D695" s="103" t="s">
        <v>80</v>
      </c>
      <c r="E695" s="104">
        <v>90736</v>
      </c>
      <c r="F695" s="104">
        <v>1589</v>
      </c>
      <c r="G695" s="104">
        <v>1815</v>
      </c>
      <c r="H695" s="116">
        <v>8.547002117224503</v>
      </c>
      <c r="I695" s="126">
        <v>4082</v>
      </c>
      <c r="J695" s="117">
        <v>25.629491880178819</v>
      </c>
    </row>
    <row r="696" spans="1:10" ht="16">
      <c r="A696" s="93" t="s">
        <v>885</v>
      </c>
      <c r="B696" s="94" t="s">
        <v>879</v>
      </c>
      <c r="C696" s="95" t="s">
        <v>107</v>
      </c>
      <c r="D696" s="96" t="s">
        <v>59</v>
      </c>
      <c r="E696" s="97">
        <v>20646</v>
      </c>
      <c r="F696" s="97">
        <v>1639</v>
      </c>
      <c r="G696" s="97">
        <v>206</v>
      </c>
      <c r="H696" s="114">
        <v>10.163262839146572</v>
      </c>
      <c r="I696" s="125">
        <v>2993</v>
      </c>
      <c r="J696" s="115">
        <v>17.051980403667304</v>
      </c>
    </row>
    <row r="697" spans="1:10" ht="16">
      <c r="A697" s="100" t="s">
        <v>1130</v>
      </c>
      <c r="B697" s="101" t="s">
        <v>1120</v>
      </c>
      <c r="C697" s="102" t="s">
        <v>76</v>
      </c>
      <c r="D697" s="103" t="s">
        <v>59</v>
      </c>
      <c r="E697" s="104">
        <v>24542</v>
      </c>
      <c r="F697" s="104">
        <v>1239</v>
      </c>
      <c r="G697" s="104">
        <v>736</v>
      </c>
      <c r="H697" s="116">
        <v>9.0544291413164757</v>
      </c>
      <c r="I697" s="126">
        <v>1199</v>
      </c>
      <c r="J697" s="117">
        <v>16.487192165536726</v>
      </c>
    </row>
    <row r="698" spans="1:10" ht="16">
      <c r="A698" s="93" t="s">
        <v>193</v>
      </c>
      <c r="B698" s="94" t="s">
        <v>184</v>
      </c>
      <c r="C698" s="95" t="s">
        <v>76</v>
      </c>
      <c r="D698" s="96" t="s">
        <v>62</v>
      </c>
      <c r="E698" s="97">
        <v>26521</v>
      </c>
      <c r="F698" s="97">
        <v>971</v>
      </c>
      <c r="G698" s="97">
        <v>7956</v>
      </c>
      <c r="H698" s="114">
        <v>36.056215168147666</v>
      </c>
      <c r="I698" s="125">
        <v>26818</v>
      </c>
      <c r="J698" s="115">
        <v>24.211357066140465</v>
      </c>
    </row>
    <row r="699" spans="1:10" ht="16">
      <c r="A699" s="100" t="s">
        <v>971</v>
      </c>
      <c r="B699" s="101" t="s">
        <v>970</v>
      </c>
      <c r="C699" s="102" t="s">
        <v>76</v>
      </c>
      <c r="D699" s="103" t="s">
        <v>62</v>
      </c>
      <c r="E699" s="104">
        <v>6570</v>
      </c>
      <c r="F699" s="104">
        <v>466</v>
      </c>
      <c r="G699" s="104">
        <v>131</v>
      </c>
      <c r="H699" s="116">
        <v>9.3974101202501235</v>
      </c>
      <c r="I699" s="126">
        <v>870</v>
      </c>
      <c r="J699" s="117">
        <v>18.28332946217726</v>
      </c>
    </row>
    <row r="700" spans="1:10" ht="16">
      <c r="A700" s="93" t="s">
        <v>972</v>
      </c>
      <c r="B700" s="94" t="s">
        <v>970</v>
      </c>
      <c r="C700" s="95" t="s">
        <v>107</v>
      </c>
      <c r="D700" s="96" t="s">
        <v>82</v>
      </c>
      <c r="E700" s="97">
        <v>13108</v>
      </c>
      <c r="F700" s="97">
        <v>986</v>
      </c>
      <c r="G700" s="97">
        <v>393</v>
      </c>
      <c r="H700" s="114">
        <v>12.935504580411134</v>
      </c>
      <c r="I700" s="125">
        <v>1266</v>
      </c>
      <c r="J700" s="115">
        <v>22.718075083829603</v>
      </c>
    </row>
    <row r="701" spans="1:10" ht="16">
      <c r="A701" s="100" t="s">
        <v>1231</v>
      </c>
      <c r="B701" s="101" t="s">
        <v>1190</v>
      </c>
      <c r="C701" s="102" t="s">
        <v>76</v>
      </c>
      <c r="D701" s="103" t="s">
        <v>92</v>
      </c>
      <c r="E701" s="104">
        <v>5194</v>
      </c>
      <c r="F701" s="104">
        <v>429</v>
      </c>
      <c r="G701" s="104">
        <v>2753</v>
      </c>
      <c r="H701" s="116">
        <v>37.98272512919052</v>
      </c>
      <c r="I701" s="126">
        <v>11780</v>
      </c>
      <c r="J701" s="117">
        <v>42.562127049570002</v>
      </c>
    </row>
    <row r="702" spans="1:10" ht="16">
      <c r="A702" s="93" t="s">
        <v>181</v>
      </c>
      <c r="B702" s="94" t="s">
        <v>182</v>
      </c>
      <c r="C702" s="95" t="s">
        <v>76</v>
      </c>
      <c r="D702" s="96" t="s">
        <v>62</v>
      </c>
      <c r="E702" s="97">
        <v>21988</v>
      </c>
      <c r="F702" s="97">
        <v>2364</v>
      </c>
      <c r="G702" s="97">
        <v>1319</v>
      </c>
      <c r="H702" s="114">
        <v>9.988760520868972</v>
      </c>
      <c r="I702" s="125">
        <v>1439</v>
      </c>
      <c r="J702" s="115">
        <v>20.886800461442228</v>
      </c>
    </row>
    <row r="703" spans="1:10" ht="16">
      <c r="A703" s="100" t="s">
        <v>1011</v>
      </c>
      <c r="B703" s="101" t="s">
        <v>988</v>
      </c>
      <c r="C703" s="102" t="s">
        <v>107</v>
      </c>
      <c r="D703" s="103" t="s">
        <v>63</v>
      </c>
      <c r="E703" s="104">
        <v>9559</v>
      </c>
      <c r="F703" s="104">
        <v>417</v>
      </c>
      <c r="G703" s="104">
        <v>1051</v>
      </c>
      <c r="H703" s="116">
        <v>28.951191948372884</v>
      </c>
      <c r="I703" s="126">
        <v>6706</v>
      </c>
      <c r="J703" s="117">
        <v>25.383741781451491</v>
      </c>
    </row>
    <row r="704" spans="1:10" ht="16">
      <c r="A704" s="93" t="s">
        <v>359</v>
      </c>
      <c r="B704" s="94" t="s">
        <v>344</v>
      </c>
      <c r="C704" s="95" t="s">
        <v>76</v>
      </c>
      <c r="D704" s="96" t="s">
        <v>77</v>
      </c>
      <c r="E704" s="97">
        <v>52056</v>
      </c>
      <c r="F704" s="97">
        <v>1808</v>
      </c>
      <c r="G704" s="97">
        <v>1165</v>
      </c>
      <c r="H704" s="114">
        <v>7.6061536351026939</v>
      </c>
      <c r="I704" s="125">
        <v>2720</v>
      </c>
      <c r="J704" s="115">
        <v>14.658840885080176</v>
      </c>
    </row>
    <row r="705" spans="1:10" ht="16">
      <c r="A705" s="100" t="s">
        <v>277</v>
      </c>
      <c r="B705" s="101" t="s">
        <v>223</v>
      </c>
      <c r="C705" s="102" t="s">
        <v>76</v>
      </c>
      <c r="D705" s="103" t="s">
        <v>60</v>
      </c>
      <c r="E705" s="104">
        <v>44835</v>
      </c>
      <c r="F705" s="104">
        <v>2734</v>
      </c>
      <c r="G705" s="104">
        <v>3138</v>
      </c>
      <c r="H705" s="116">
        <v>21.51416080180751</v>
      </c>
      <c r="I705" s="126">
        <v>14256</v>
      </c>
      <c r="J705" s="117">
        <v>23.424336224092421</v>
      </c>
    </row>
    <row r="706" spans="1:10" ht="16">
      <c r="A706" s="93" t="s">
        <v>1012</v>
      </c>
      <c r="B706" s="94" t="s">
        <v>988</v>
      </c>
      <c r="C706" s="95" t="s">
        <v>107</v>
      </c>
      <c r="D706" s="96" t="s">
        <v>59</v>
      </c>
      <c r="E706" s="97">
        <v>15516</v>
      </c>
      <c r="F706" s="97">
        <v>848</v>
      </c>
      <c r="G706" s="97">
        <v>931</v>
      </c>
      <c r="H706" s="114">
        <v>11.151985904169006</v>
      </c>
      <c r="I706" s="125">
        <v>1674</v>
      </c>
      <c r="J706" s="115">
        <v>21.48552785675836</v>
      </c>
    </row>
    <row r="707" spans="1:10" ht="16">
      <c r="A707" s="100" t="s">
        <v>714</v>
      </c>
      <c r="B707" s="101" t="s">
        <v>642</v>
      </c>
      <c r="C707" s="102" t="s">
        <v>76</v>
      </c>
      <c r="D707" s="103" t="s">
        <v>77</v>
      </c>
      <c r="E707" s="104">
        <v>13369</v>
      </c>
      <c r="F707" s="104">
        <v>552</v>
      </c>
      <c r="G707" s="104">
        <v>1203</v>
      </c>
      <c r="H707" s="116">
        <v>11.999238865172552</v>
      </c>
      <c r="I707" s="126">
        <v>1750</v>
      </c>
      <c r="J707" s="117">
        <v>22.181288816682908</v>
      </c>
    </row>
    <row r="708" spans="1:10" ht="16">
      <c r="A708" s="93" t="s">
        <v>388</v>
      </c>
      <c r="B708" s="94" t="s">
        <v>377</v>
      </c>
      <c r="C708" s="95" t="s">
        <v>76</v>
      </c>
      <c r="D708" s="96" t="s">
        <v>59</v>
      </c>
      <c r="E708" s="97">
        <v>43076</v>
      </c>
      <c r="F708" s="97">
        <v>3191</v>
      </c>
      <c r="G708" s="97">
        <v>8184</v>
      </c>
      <c r="H708" s="114">
        <v>50.614405489591185</v>
      </c>
      <c r="I708" s="125">
        <v>40557</v>
      </c>
      <c r="J708" s="115">
        <v>62.815388471017663</v>
      </c>
    </row>
    <row r="709" spans="1:10" ht="16">
      <c r="A709" s="100" t="s">
        <v>278</v>
      </c>
      <c r="B709" s="101" t="s">
        <v>223</v>
      </c>
      <c r="C709" s="102" t="s">
        <v>107</v>
      </c>
      <c r="D709" s="103" t="s">
        <v>62</v>
      </c>
      <c r="E709" s="104">
        <v>41139</v>
      </c>
      <c r="F709" s="104">
        <v>2960</v>
      </c>
      <c r="G709" s="104">
        <v>2057</v>
      </c>
      <c r="H709" s="116">
        <v>29.293935121180105</v>
      </c>
      <c r="I709" s="126">
        <v>17859</v>
      </c>
      <c r="J709" s="117">
        <v>24.711454139034963</v>
      </c>
    </row>
    <row r="710" spans="1:10" ht="16">
      <c r="A710" s="93" t="s">
        <v>949</v>
      </c>
      <c r="B710" s="94" t="s">
        <v>919</v>
      </c>
      <c r="C710" s="95" t="s">
        <v>107</v>
      </c>
      <c r="D710" s="96" t="s">
        <v>63</v>
      </c>
      <c r="E710" s="97">
        <v>28840</v>
      </c>
      <c r="F710" s="97">
        <v>1687</v>
      </c>
      <c r="G710" s="97">
        <v>1442</v>
      </c>
      <c r="H710" s="114">
        <v>11.149735547719683</v>
      </c>
      <c r="I710" s="125">
        <v>2270</v>
      </c>
      <c r="J710" s="115">
        <v>16.369429478302262</v>
      </c>
    </row>
    <row r="711" spans="1:10" ht="16">
      <c r="A711" s="100" t="s">
        <v>360</v>
      </c>
      <c r="B711" s="101" t="s">
        <v>344</v>
      </c>
      <c r="C711" s="102" t="s">
        <v>76</v>
      </c>
      <c r="D711" s="103" t="s">
        <v>62</v>
      </c>
      <c r="E711" s="104">
        <v>47488</v>
      </c>
      <c r="F711" s="104">
        <v>991</v>
      </c>
      <c r="G711" s="104">
        <v>950</v>
      </c>
      <c r="H711" s="116">
        <v>8.8254873150583464</v>
      </c>
      <c r="I711" s="126">
        <v>3106</v>
      </c>
      <c r="J711" s="117">
        <v>12.996523640683163</v>
      </c>
    </row>
    <row r="712" spans="1:10" ht="16">
      <c r="A712" s="93" t="s">
        <v>279</v>
      </c>
      <c r="B712" s="94" t="s">
        <v>223</v>
      </c>
      <c r="C712" s="95" t="s">
        <v>107</v>
      </c>
      <c r="D712" s="96" t="s">
        <v>80</v>
      </c>
      <c r="E712" s="97">
        <v>32951</v>
      </c>
      <c r="F712" s="97">
        <v>2841</v>
      </c>
      <c r="G712" s="97">
        <v>1648</v>
      </c>
      <c r="H712" s="114">
        <v>34.121359987280798</v>
      </c>
      <c r="I712" s="125">
        <v>14334</v>
      </c>
      <c r="J712" s="115">
        <v>29.872805727701905</v>
      </c>
    </row>
    <row r="713" spans="1:10" ht="16">
      <c r="A713" s="100" t="s">
        <v>108</v>
      </c>
      <c r="B713" s="101" t="s">
        <v>89</v>
      </c>
      <c r="C713" s="102" t="s">
        <v>76</v>
      </c>
      <c r="D713" s="103" t="s">
        <v>77</v>
      </c>
      <c r="E713" s="104">
        <v>9064</v>
      </c>
      <c r="F713" s="104">
        <v>363</v>
      </c>
      <c r="G713" s="104">
        <v>2266</v>
      </c>
      <c r="H713" s="116">
        <v>22.196524225565319</v>
      </c>
      <c r="I713" s="126">
        <v>10736</v>
      </c>
      <c r="J713" s="117">
        <v>18.627933510858185</v>
      </c>
    </row>
    <row r="714" spans="1:10" ht="16">
      <c r="A714" s="93" t="s">
        <v>950</v>
      </c>
      <c r="B714" s="94" t="s">
        <v>919</v>
      </c>
      <c r="C714" s="95" t="s">
        <v>76</v>
      </c>
      <c r="D714" s="96" t="s">
        <v>59</v>
      </c>
      <c r="E714" s="97">
        <v>19038</v>
      </c>
      <c r="F714" s="97">
        <v>2092</v>
      </c>
      <c r="G714" s="97">
        <v>1713</v>
      </c>
      <c r="H714" s="114">
        <v>10.579910156876887</v>
      </c>
      <c r="I714" s="125">
        <v>2118</v>
      </c>
      <c r="J714" s="115">
        <v>21.293373328814482</v>
      </c>
    </row>
    <row r="715" spans="1:10" ht="16">
      <c r="A715" s="100" t="s">
        <v>280</v>
      </c>
      <c r="B715" s="101" t="s">
        <v>223</v>
      </c>
      <c r="C715" s="102" t="s">
        <v>76</v>
      </c>
      <c r="D715" s="103" t="s">
        <v>62</v>
      </c>
      <c r="E715" s="104">
        <v>19306</v>
      </c>
      <c r="F715" s="104">
        <v>2925</v>
      </c>
      <c r="G715" s="104">
        <v>1351</v>
      </c>
      <c r="H715" s="116">
        <v>12.259867487326298</v>
      </c>
      <c r="I715" s="126">
        <v>3103</v>
      </c>
      <c r="J715" s="117">
        <v>27.343156984533842</v>
      </c>
    </row>
    <row r="716" spans="1:10" ht="16">
      <c r="A716" s="93" t="s">
        <v>281</v>
      </c>
      <c r="B716" s="94" t="s">
        <v>223</v>
      </c>
      <c r="C716" s="95" t="s">
        <v>107</v>
      </c>
      <c r="D716" s="96" t="s">
        <v>77</v>
      </c>
      <c r="E716" s="97">
        <v>3198</v>
      </c>
      <c r="F716" s="97">
        <v>337</v>
      </c>
      <c r="G716" s="97">
        <v>220</v>
      </c>
      <c r="H716" s="114">
        <v>23.596314493553812</v>
      </c>
      <c r="I716" s="125">
        <v>20191</v>
      </c>
      <c r="J716" s="115">
        <v>24.706742440960355</v>
      </c>
    </row>
    <row r="717" spans="1:10" ht="16">
      <c r="A717" s="100" t="s">
        <v>282</v>
      </c>
      <c r="B717" s="101" t="s">
        <v>223</v>
      </c>
      <c r="C717" s="102" t="s">
        <v>107</v>
      </c>
      <c r="D717" s="103" t="s">
        <v>59</v>
      </c>
      <c r="E717" s="104">
        <v>38059</v>
      </c>
      <c r="F717" s="104">
        <v>2394</v>
      </c>
      <c r="G717" s="104">
        <v>761</v>
      </c>
      <c r="H717" s="116">
        <v>17.575483170059268</v>
      </c>
      <c r="I717" s="126">
        <v>3518</v>
      </c>
      <c r="J717" s="117">
        <v>18.190477163798498</v>
      </c>
    </row>
    <row r="718" spans="1:10" ht="16">
      <c r="A718" s="93" t="s">
        <v>283</v>
      </c>
      <c r="B718" s="94" t="s">
        <v>223</v>
      </c>
      <c r="C718" s="95" t="s">
        <v>76</v>
      </c>
      <c r="D718" s="96" t="s">
        <v>77</v>
      </c>
      <c r="E718" s="97">
        <v>22283</v>
      </c>
      <c r="F718" s="97">
        <v>1401</v>
      </c>
      <c r="G718" s="97">
        <v>446</v>
      </c>
      <c r="H718" s="114">
        <v>11.729492021174631</v>
      </c>
      <c r="I718" s="125">
        <v>5617</v>
      </c>
      <c r="J718" s="115">
        <v>18.784161961008522</v>
      </c>
    </row>
    <row r="719" spans="1:10" ht="16">
      <c r="A719" s="100" t="s">
        <v>520</v>
      </c>
      <c r="B719" s="101" t="s">
        <v>474</v>
      </c>
      <c r="C719" s="102" t="s">
        <v>107</v>
      </c>
      <c r="D719" s="103" t="s">
        <v>59</v>
      </c>
      <c r="E719" s="104">
        <v>7832</v>
      </c>
      <c r="F719" s="104">
        <v>505</v>
      </c>
      <c r="G719" s="104">
        <v>175</v>
      </c>
      <c r="H719" s="116">
        <v>10.847871917271833</v>
      </c>
      <c r="I719" s="126">
        <v>3366</v>
      </c>
      <c r="J719" s="117">
        <v>37.967575483465886</v>
      </c>
    </row>
    <row r="720" spans="1:10" ht="16">
      <c r="A720" s="93" t="s">
        <v>1131</v>
      </c>
      <c r="B720" s="94" t="s">
        <v>1120</v>
      </c>
      <c r="C720" s="95" t="s">
        <v>76</v>
      </c>
      <c r="D720" s="96" t="s">
        <v>82</v>
      </c>
      <c r="E720" s="97">
        <v>22247</v>
      </c>
      <c r="F720" s="97">
        <v>1279</v>
      </c>
      <c r="G720" s="97">
        <v>2112</v>
      </c>
      <c r="H720" s="114">
        <v>8.8719063389816313</v>
      </c>
      <c r="I720" s="125">
        <v>1150</v>
      </c>
      <c r="J720" s="115">
        <v>20.802251126031994</v>
      </c>
    </row>
    <row r="721" spans="1:10" ht="16">
      <c r="A721" s="100" t="s">
        <v>521</v>
      </c>
      <c r="B721" s="101" t="s">
        <v>474</v>
      </c>
      <c r="C721" s="102" t="s">
        <v>107</v>
      </c>
      <c r="D721" s="103" t="s">
        <v>130</v>
      </c>
      <c r="E721" s="104">
        <v>51031</v>
      </c>
      <c r="F721" s="104">
        <v>3271</v>
      </c>
      <c r="G721" s="104">
        <v>1021</v>
      </c>
      <c r="H721" s="116">
        <v>8.4966959997115179</v>
      </c>
      <c r="I721" s="126">
        <v>1600</v>
      </c>
      <c r="J721" s="117">
        <v>17.222561342986996</v>
      </c>
    </row>
    <row r="722" spans="1:10" ht="16">
      <c r="A722" s="93" t="s">
        <v>715</v>
      </c>
      <c r="B722" s="94" t="s">
        <v>642</v>
      </c>
      <c r="C722" s="95" t="s">
        <v>107</v>
      </c>
      <c r="D722" s="96" t="s">
        <v>61</v>
      </c>
      <c r="E722" s="97">
        <v>846</v>
      </c>
      <c r="F722" s="97">
        <v>846</v>
      </c>
      <c r="G722" s="97">
        <v>8</v>
      </c>
      <c r="H722" s="114">
        <v>8.572437772795702</v>
      </c>
      <c r="I722" s="125">
        <v>2956</v>
      </c>
      <c r="J722" s="115">
        <v>27.390605635821725</v>
      </c>
    </row>
    <row r="723" spans="1:10" ht="16">
      <c r="A723" s="100" t="s">
        <v>951</v>
      </c>
      <c r="B723" s="101" t="s">
        <v>919</v>
      </c>
      <c r="C723" s="102" t="s">
        <v>107</v>
      </c>
      <c r="D723" s="103" t="s">
        <v>130</v>
      </c>
      <c r="E723" s="104">
        <v>8021</v>
      </c>
      <c r="F723" s="104">
        <v>642</v>
      </c>
      <c r="G723" s="104">
        <v>1444</v>
      </c>
      <c r="H723" s="116">
        <v>13.628670361075008</v>
      </c>
      <c r="I723" s="126">
        <v>2681</v>
      </c>
      <c r="J723" s="117">
        <v>19.893845053981568</v>
      </c>
    </row>
    <row r="724" spans="1:10" ht="16">
      <c r="A724" s="93" t="s">
        <v>1232</v>
      </c>
      <c r="B724" s="94" t="s">
        <v>1190</v>
      </c>
      <c r="C724" s="95" t="s">
        <v>107</v>
      </c>
      <c r="D724" s="96" t="s">
        <v>62</v>
      </c>
      <c r="E724" s="97">
        <v>8558</v>
      </c>
      <c r="F724" s="97">
        <v>578</v>
      </c>
      <c r="G724" s="97">
        <v>1027</v>
      </c>
      <c r="H724" s="114">
        <v>10.1928540455507</v>
      </c>
      <c r="I724" s="125">
        <v>4251</v>
      </c>
      <c r="J724" s="115">
        <v>17.470196643963607</v>
      </c>
    </row>
    <row r="725" spans="1:10" ht="16">
      <c r="A725" s="100" t="s">
        <v>1364</v>
      </c>
      <c r="B725" s="101" t="s">
        <v>1288</v>
      </c>
      <c r="C725" s="102" t="s">
        <v>107</v>
      </c>
      <c r="D725" s="103" t="s">
        <v>82</v>
      </c>
      <c r="E725" s="104">
        <v>16135</v>
      </c>
      <c r="F725" s="104">
        <v>2210</v>
      </c>
      <c r="G725" s="104">
        <v>3711</v>
      </c>
      <c r="H725" s="116">
        <v>97.077890787185908</v>
      </c>
      <c r="I725" s="126">
        <v>96382</v>
      </c>
      <c r="J725" s="117">
        <v>93.138621770481237</v>
      </c>
    </row>
    <row r="726" spans="1:10" ht="16">
      <c r="A726" s="93" t="s">
        <v>1365</v>
      </c>
      <c r="B726" s="94" t="s">
        <v>1288</v>
      </c>
      <c r="C726" s="95" t="s">
        <v>76</v>
      </c>
      <c r="D726" s="96" t="s">
        <v>82</v>
      </c>
      <c r="E726" s="97">
        <v>15947</v>
      </c>
      <c r="F726" s="97">
        <v>961</v>
      </c>
      <c r="G726" s="97">
        <v>1595</v>
      </c>
      <c r="H726" s="114">
        <v>35.8036244110857</v>
      </c>
      <c r="I726" s="125">
        <v>25904</v>
      </c>
      <c r="J726" s="115">
        <v>24.542390063428332</v>
      </c>
    </row>
    <row r="727" spans="1:10" ht="16">
      <c r="A727" s="100" t="s">
        <v>173</v>
      </c>
      <c r="B727" s="101" t="s">
        <v>150</v>
      </c>
      <c r="C727" s="102" t="s">
        <v>76</v>
      </c>
      <c r="D727" s="103" t="s">
        <v>61</v>
      </c>
      <c r="E727" s="104">
        <v>11911</v>
      </c>
      <c r="F727" s="104">
        <v>953</v>
      </c>
      <c r="G727" s="104">
        <v>820</v>
      </c>
      <c r="H727" s="116">
        <v>8.7042653552139875</v>
      </c>
      <c r="I727" s="126">
        <v>2345</v>
      </c>
      <c r="J727" s="117">
        <v>17.74096916776324</v>
      </c>
    </row>
    <row r="728" spans="1:10" ht="16">
      <c r="A728" s="93" t="s">
        <v>174</v>
      </c>
      <c r="B728" s="94" t="s">
        <v>150</v>
      </c>
      <c r="C728" s="95" t="s">
        <v>76</v>
      </c>
      <c r="D728" s="96" t="s">
        <v>92</v>
      </c>
      <c r="E728" s="97">
        <v>3954</v>
      </c>
      <c r="F728" s="97">
        <v>841</v>
      </c>
      <c r="G728" s="97">
        <v>272</v>
      </c>
      <c r="H728" s="114">
        <v>8.1482526721802415</v>
      </c>
      <c r="I728" s="125">
        <v>689</v>
      </c>
      <c r="J728" s="115">
        <v>28.293506817106032</v>
      </c>
    </row>
    <row r="729" spans="1:10" ht="16">
      <c r="A729" s="100" t="s">
        <v>978</v>
      </c>
      <c r="B729" s="101" t="s">
        <v>977</v>
      </c>
      <c r="C729" s="102" t="s">
        <v>76</v>
      </c>
      <c r="D729" s="103" t="s">
        <v>80</v>
      </c>
      <c r="E729" s="104">
        <v>24308</v>
      </c>
      <c r="F729" s="104">
        <v>931</v>
      </c>
      <c r="G729" s="104">
        <v>1945</v>
      </c>
      <c r="H729" s="116">
        <v>34.975042740794919</v>
      </c>
      <c r="I729" s="126">
        <v>25875</v>
      </c>
      <c r="J729" s="117">
        <v>29.988082274355321</v>
      </c>
    </row>
    <row r="730" spans="1:10" ht="16">
      <c r="A730" s="93" t="s">
        <v>1366</v>
      </c>
      <c r="B730" s="94" t="s">
        <v>1288</v>
      </c>
      <c r="C730" s="95" t="s">
        <v>107</v>
      </c>
      <c r="D730" s="96" t="s">
        <v>59</v>
      </c>
      <c r="E730" s="97">
        <v>5943</v>
      </c>
      <c r="F730" s="97">
        <v>356</v>
      </c>
      <c r="G730" s="97">
        <v>2258</v>
      </c>
      <c r="H730" s="114">
        <v>16.312861237209653</v>
      </c>
      <c r="I730" s="125">
        <v>9272</v>
      </c>
      <c r="J730" s="115">
        <v>22.825361011362325</v>
      </c>
    </row>
    <row r="731" spans="1:10" ht="16">
      <c r="A731" s="100" t="s">
        <v>1067</v>
      </c>
      <c r="B731" s="101" t="s">
        <v>1062</v>
      </c>
      <c r="C731" s="102" t="s">
        <v>107</v>
      </c>
      <c r="D731" s="103" t="s">
        <v>59</v>
      </c>
      <c r="E731" s="104">
        <v>27185</v>
      </c>
      <c r="F731" s="104">
        <v>1394</v>
      </c>
      <c r="G731" s="104">
        <v>3806</v>
      </c>
      <c r="H731" s="116">
        <v>47.372698108372163</v>
      </c>
      <c r="I731" s="126">
        <v>39532</v>
      </c>
      <c r="J731" s="117">
        <v>30.014515539086421</v>
      </c>
    </row>
    <row r="732" spans="1:10" ht="16">
      <c r="A732" s="93" t="s">
        <v>1367</v>
      </c>
      <c r="B732" s="94" t="s">
        <v>1288</v>
      </c>
      <c r="C732" s="95" t="s">
        <v>107</v>
      </c>
      <c r="D732" s="96" t="s">
        <v>92</v>
      </c>
      <c r="E732" s="97">
        <v>24201</v>
      </c>
      <c r="F732" s="97">
        <v>2305</v>
      </c>
      <c r="G732" s="97">
        <v>5566</v>
      </c>
      <c r="H732" s="114">
        <v>24.286039057283567</v>
      </c>
      <c r="I732" s="125">
        <v>18185</v>
      </c>
      <c r="J732" s="115">
        <v>35.161672375811406</v>
      </c>
    </row>
    <row r="733" spans="1:10" ht="16">
      <c r="A733" s="100" t="s">
        <v>361</v>
      </c>
      <c r="B733" s="101" t="s">
        <v>344</v>
      </c>
      <c r="C733" s="102" t="s">
        <v>76</v>
      </c>
      <c r="D733" s="103" t="s">
        <v>61</v>
      </c>
      <c r="E733" s="104">
        <v>35363</v>
      </c>
      <c r="F733" s="104">
        <v>3274</v>
      </c>
      <c r="G733" s="104">
        <v>354</v>
      </c>
      <c r="H733" s="116">
        <v>8.8912560749457583</v>
      </c>
      <c r="I733" s="126">
        <v>7224</v>
      </c>
      <c r="J733" s="117">
        <v>20.075503486551565</v>
      </c>
    </row>
    <row r="734" spans="1:10" ht="16">
      <c r="A734" s="93" t="s">
        <v>855</v>
      </c>
      <c r="B734" s="94" t="s">
        <v>856</v>
      </c>
      <c r="C734" s="95" t="s">
        <v>107</v>
      </c>
      <c r="D734" s="96" t="s">
        <v>84</v>
      </c>
      <c r="E734" s="97">
        <v>6823</v>
      </c>
      <c r="F734" s="97">
        <v>922</v>
      </c>
      <c r="G734" s="97">
        <v>273</v>
      </c>
      <c r="H734" s="114">
        <v>10.934541570744537</v>
      </c>
      <c r="I734" s="125">
        <v>2051</v>
      </c>
      <c r="J734" s="115">
        <v>24.053688831918215</v>
      </c>
    </row>
    <row r="735" spans="1:10" ht="16">
      <c r="A735" s="100" t="s">
        <v>1181</v>
      </c>
      <c r="B735" s="101" t="s">
        <v>1178</v>
      </c>
      <c r="C735" s="102" t="s">
        <v>107</v>
      </c>
      <c r="D735" s="103" t="s">
        <v>59</v>
      </c>
      <c r="E735" s="104">
        <v>9293</v>
      </c>
      <c r="F735" s="104">
        <v>894</v>
      </c>
      <c r="G735" s="104">
        <v>1208</v>
      </c>
      <c r="H735" s="116">
        <v>10.687147816494175</v>
      </c>
      <c r="I735" s="126">
        <v>1356</v>
      </c>
      <c r="J735" s="117">
        <v>20.158415143153182</v>
      </c>
    </row>
    <row r="736" spans="1:10" ht="16">
      <c r="A736" s="93" t="s">
        <v>284</v>
      </c>
      <c r="B736" s="94" t="s">
        <v>223</v>
      </c>
      <c r="C736" s="95" t="s">
        <v>76</v>
      </c>
      <c r="D736" s="96" t="s">
        <v>82</v>
      </c>
      <c r="E736" s="97">
        <v>53603</v>
      </c>
      <c r="F736" s="97">
        <v>3229</v>
      </c>
      <c r="G736" s="97">
        <v>4824</v>
      </c>
      <c r="H736" s="114">
        <v>36.528691040719124</v>
      </c>
      <c r="I736" s="125">
        <v>22831</v>
      </c>
      <c r="J736" s="115">
        <v>44.173501861441835</v>
      </c>
    </row>
    <row r="737" spans="1:10" ht="16">
      <c r="A737" s="100" t="s">
        <v>1013</v>
      </c>
      <c r="B737" s="101" t="s">
        <v>988</v>
      </c>
      <c r="C737" s="102" t="s">
        <v>107</v>
      </c>
      <c r="D737" s="103" t="s">
        <v>82</v>
      </c>
      <c r="E737" s="104">
        <v>23342</v>
      </c>
      <c r="F737" s="104">
        <v>1197</v>
      </c>
      <c r="G737" s="104">
        <v>3501</v>
      </c>
      <c r="H737" s="116">
        <v>62.16808837475957</v>
      </c>
      <c r="I737" s="126">
        <v>43152</v>
      </c>
      <c r="J737" s="117">
        <v>58.172511080862733</v>
      </c>
    </row>
    <row r="738" spans="1:10" ht="16">
      <c r="A738" s="93" t="s">
        <v>1132</v>
      </c>
      <c r="B738" s="94" t="s">
        <v>1120</v>
      </c>
      <c r="C738" s="95" t="s">
        <v>76</v>
      </c>
      <c r="D738" s="96" t="s">
        <v>82</v>
      </c>
      <c r="E738" s="97">
        <v>15901</v>
      </c>
      <c r="F738" s="97">
        <v>466</v>
      </c>
      <c r="G738" s="97">
        <v>159</v>
      </c>
      <c r="H738" s="114">
        <v>12.993516269634073</v>
      </c>
      <c r="I738" s="125">
        <v>3414</v>
      </c>
      <c r="J738" s="115">
        <v>20.418703706285495</v>
      </c>
    </row>
    <row r="739" spans="1:10" ht="16">
      <c r="A739" s="100" t="s">
        <v>1233</v>
      </c>
      <c r="B739" s="101" t="s">
        <v>1190</v>
      </c>
      <c r="C739" s="102" t="s">
        <v>107</v>
      </c>
      <c r="D739" s="103" t="s">
        <v>84</v>
      </c>
      <c r="E739" s="104">
        <v>16445</v>
      </c>
      <c r="F739" s="104">
        <v>985</v>
      </c>
      <c r="G739" s="104">
        <v>3782</v>
      </c>
      <c r="H739" s="116">
        <v>24.79854261764665</v>
      </c>
      <c r="I739" s="126">
        <v>22606</v>
      </c>
      <c r="J739" s="117">
        <v>22.199428347746313</v>
      </c>
    </row>
    <row r="740" spans="1:10" ht="16">
      <c r="A740" s="93" t="s">
        <v>1068</v>
      </c>
      <c r="B740" s="94" t="s">
        <v>1062</v>
      </c>
      <c r="C740" s="95" t="s">
        <v>76</v>
      </c>
      <c r="D740" s="96" t="s">
        <v>63</v>
      </c>
      <c r="E740" s="97">
        <v>3737</v>
      </c>
      <c r="F740" s="97">
        <v>830</v>
      </c>
      <c r="G740" s="97">
        <v>149</v>
      </c>
      <c r="H740" s="114">
        <v>30.244199659414747</v>
      </c>
      <c r="I740" s="125">
        <v>21724</v>
      </c>
      <c r="J740" s="115">
        <v>31.863185595451714</v>
      </c>
    </row>
    <row r="741" spans="1:10" ht="16">
      <c r="A741" s="100" t="s">
        <v>109</v>
      </c>
      <c r="B741" s="101" t="s">
        <v>89</v>
      </c>
      <c r="C741" s="102" t="s">
        <v>107</v>
      </c>
      <c r="D741" s="103" t="s">
        <v>84</v>
      </c>
      <c r="E741" s="104">
        <v>14379</v>
      </c>
      <c r="F741" s="104">
        <v>515</v>
      </c>
      <c r="G741" s="104">
        <v>3882</v>
      </c>
      <c r="H741" s="116">
        <v>29.448767766754255</v>
      </c>
      <c r="I741" s="126">
        <v>19253</v>
      </c>
      <c r="J741" s="117">
        <v>24.746421837411113</v>
      </c>
    </row>
    <row r="742" spans="1:10" ht="16">
      <c r="A742" s="93" t="s">
        <v>886</v>
      </c>
      <c r="B742" s="94" t="s">
        <v>879</v>
      </c>
      <c r="C742" s="95" t="s">
        <v>76</v>
      </c>
      <c r="D742" s="96" t="s">
        <v>82</v>
      </c>
      <c r="E742" s="97">
        <v>13561</v>
      </c>
      <c r="F742" s="97">
        <v>384</v>
      </c>
      <c r="G742" s="97">
        <v>1220</v>
      </c>
      <c r="H742" s="114">
        <v>13.04768588025517</v>
      </c>
      <c r="I742" s="125">
        <v>2608</v>
      </c>
      <c r="J742" s="115">
        <v>15.179156072290123</v>
      </c>
    </row>
    <row r="743" spans="1:10" ht="16">
      <c r="A743" s="100" t="s">
        <v>1368</v>
      </c>
      <c r="B743" s="101" t="s">
        <v>1288</v>
      </c>
      <c r="C743" s="102" t="s">
        <v>76</v>
      </c>
      <c r="D743" s="103" t="s">
        <v>82</v>
      </c>
      <c r="E743" s="104">
        <v>20236</v>
      </c>
      <c r="F743" s="104">
        <v>1289</v>
      </c>
      <c r="G743" s="104">
        <v>4047</v>
      </c>
      <c r="H743" s="116">
        <v>30.538226887927507</v>
      </c>
      <c r="I743" s="126">
        <v>23172</v>
      </c>
      <c r="J743" s="117">
        <v>35.736093739587275</v>
      </c>
    </row>
    <row r="744" spans="1:10" ht="16">
      <c r="A744" s="93" t="s">
        <v>563</v>
      </c>
      <c r="B744" s="94" t="s">
        <v>537</v>
      </c>
      <c r="C744" s="95" t="s">
        <v>107</v>
      </c>
      <c r="D744" s="96" t="s">
        <v>62</v>
      </c>
      <c r="E744" s="97">
        <v>8047</v>
      </c>
      <c r="F744" s="97">
        <v>847</v>
      </c>
      <c r="G744" s="97">
        <v>370</v>
      </c>
      <c r="H744" s="114">
        <v>12.914510836042057</v>
      </c>
      <c r="I744" s="125">
        <v>4485</v>
      </c>
      <c r="J744" s="115">
        <v>45.100315214267575</v>
      </c>
    </row>
    <row r="745" spans="1:10" ht="16">
      <c r="A745" s="100" t="s">
        <v>1112</v>
      </c>
      <c r="B745" s="101" t="s">
        <v>1081</v>
      </c>
      <c r="C745" s="102" t="s">
        <v>76</v>
      </c>
      <c r="D745" s="103" t="s">
        <v>77</v>
      </c>
      <c r="E745" s="104">
        <v>5973</v>
      </c>
      <c r="F745" s="104">
        <v>586</v>
      </c>
      <c r="G745" s="104">
        <v>597</v>
      </c>
      <c r="H745" s="116">
        <v>32.57636451734038</v>
      </c>
      <c r="I745" s="126">
        <v>21620</v>
      </c>
      <c r="J745" s="117">
        <v>28.906221391075821</v>
      </c>
    </row>
    <row r="746" spans="1:10" ht="16">
      <c r="A746" s="93" t="s">
        <v>364</v>
      </c>
      <c r="B746" s="94" t="s">
        <v>365</v>
      </c>
      <c r="C746" s="95" t="s">
        <v>76</v>
      </c>
      <c r="D746" s="96" t="s">
        <v>60</v>
      </c>
      <c r="E746" s="97">
        <v>7681</v>
      </c>
      <c r="F746" s="97">
        <v>282</v>
      </c>
      <c r="G746" s="97">
        <v>922</v>
      </c>
      <c r="H746" s="114">
        <v>21.001837197716913</v>
      </c>
      <c r="I746" s="125">
        <v>6018</v>
      </c>
      <c r="J746" s="115">
        <v>17.610874517128362</v>
      </c>
    </row>
    <row r="747" spans="1:10" ht="16">
      <c r="A747" s="100" t="s">
        <v>366</v>
      </c>
      <c r="B747" s="101" t="s">
        <v>365</v>
      </c>
      <c r="C747" s="102" t="s">
        <v>107</v>
      </c>
      <c r="D747" s="103" t="s">
        <v>82</v>
      </c>
      <c r="E747" s="104">
        <v>9895</v>
      </c>
      <c r="F747" s="104">
        <v>454</v>
      </c>
      <c r="G747" s="104">
        <v>1385</v>
      </c>
      <c r="H747" s="116">
        <v>14.032780696770335</v>
      </c>
      <c r="I747" s="126">
        <v>3761</v>
      </c>
      <c r="J747" s="117">
        <v>18.092214846944987</v>
      </c>
    </row>
    <row r="748" spans="1:10" ht="16">
      <c r="A748" s="93" t="s">
        <v>522</v>
      </c>
      <c r="B748" s="94" t="s">
        <v>474</v>
      </c>
      <c r="C748" s="95" t="s">
        <v>76</v>
      </c>
      <c r="D748" s="96" t="s">
        <v>63</v>
      </c>
      <c r="E748" s="97">
        <v>6279</v>
      </c>
      <c r="F748" s="97">
        <v>826</v>
      </c>
      <c r="G748" s="97">
        <v>141</v>
      </c>
      <c r="H748" s="114">
        <v>9.4272622125891097</v>
      </c>
      <c r="I748" s="125">
        <v>338</v>
      </c>
      <c r="J748" s="115">
        <v>23.800401348723032</v>
      </c>
    </row>
    <row r="749" spans="1:10" ht="16">
      <c r="A749" s="100" t="s">
        <v>1113</v>
      </c>
      <c r="B749" s="101" t="s">
        <v>1081</v>
      </c>
      <c r="C749" s="102" t="s">
        <v>107</v>
      </c>
      <c r="D749" s="103" t="s">
        <v>82</v>
      </c>
      <c r="E749" s="104">
        <v>26032</v>
      </c>
      <c r="F749" s="104">
        <v>1054</v>
      </c>
      <c r="G749" s="104">
        <v>2083</v>
      </c>
      <c r="H749" s="116">
        <v>13.673615379571817</v>
      </c>
      <c r="I749" s="126">
        <v>1748</v>
      </c>
      <c r="J749" s="117">
        <v>16.819677433176366</v>
      </c>
    </row>
    <row r="750" spans="1:10" ht="16">
      <c r="A750" s="93" t="s">
        <v>371</v>
      </c>
      <c r="B750" s="94" t="s">
        <v>369</v>
      </c>
      <c r="C750" s="95" t="s">
        <v>76</v>
      </c>
      <c r="D750" s="96" t="s">
        <v>63</v>
      </c>
      <c r="E750" s="97">
        <v>15149</v>
      </c>
      <c r="F750" s="97">
        <v>695</v>
      </c>
      <c r="G750" s="97">
        <v>909</v>
      </c>
      <c r="H750" s="114">
        <v>34.725838196059833</v>
      </c>
      <c r="I750" s="125">
        <v>28549</v>
      </c>
      <c r="J750" s="115">
        <v>26.965349714088234</v>
      </c>
    </row>
    <row r="751" spans="1:10" ht="16">
      <c r="A751" s="100" t="s">
        <v>362</v>
      </c>
      <c r="B751" s="101" t="s">
        <v>344</v>
      </c>
      <c r="C751" s="102" t="s">
        <v>76</v>
      </c>
      <c r="D751" s="103" t="s">
        <v>82</v>
      </c>
      <c r="E751" s="104">
        <v>128995</v>
      </c>
      <c r="F751" s="104">
        <v>5466</v>
      </c>
      <c r="G751" s="104">
        <v>1290</v>
      </c>
      <c r="H751" s="116">
        <v>7.4052041111330125</v>
      </c>
      <c r="I751" s="126">
        <v>2580</v>
      </c>
      <c r="J751" s="117">
        <v>20.897120093833301</v>
      </c>
    </row>
    <row r="752" spans="1:10" ht="16">
      <c r="A752" s="93" t="s">
        <v>1182</v>
      </c>
      <c r="B752" s="94" t="s">
        <v>1178</v>
      </c>
      <c r="C752" s="95" t="s">
        <v>76</v>
      </c>
      <c r="D752" s="96" t="s">
        <v>60</v>
      </c>
      <c r="E752" s="97">
        <v>23229</v>
      </c>
      <c r="F752" s="97">
        <v>2640</v>
      </c>
      <c r="G752" s="97">
        <v>697</v>
      </c>
      <c r="H752" s="114">
        <v>10.580867679041175</v>
      </c>
      <c r="I752" s="125">
        <v>844</v>
      </c>
      <c r="J752" s="115">
        <v>23.676152699320749</v>
      </c>
    </row>
    <row r="753" spans="1:10" ht="16">
      <c r="A753" s="100" t="s">
        <v>418</v>
      </c>
      <c r="B753" s="101" t="s">
        <v>402</v>
      </c>
      <c r="C753" s="102" t="s">
        <v>107</v>
      </c>
      <c r="D753" s="103" t="s">
        <v>82</v>
      </c>
      <c r="E753" s="104">
        <v>22622</v>
      </c>
      <c r="F753" s="104">
        <v>373</v>
      </c>
      <c r="G753" s="104">
        <v>5429</v>
      </c>
      <c r="H753" s="116">
        <v>54.076313354839648</v>
      </c>
      <c r="I753" s="126">
        <v>33660</v>
      </c>
      <c r="J753" s="117">
        <v>50.416814127316542</v>
      </c>
    </row>
    <row r="754" spans="1:10" ht="16">
      <c r="A754" s="93" t="s">
        <v>915</v>
      </c>
      <c r="B754" s="94" t="s">
        <v>909</v>
      </c>
      <c r="C754" s="95" t="s">
        <v>107</v>
      </c>
      <c r="D754" s="96" t="s">
        <v>59</v>
      </c>
      <c r="E754" s="97">
        <v>19745</v>
      </c>
      <c r="F754" s="97">
        <v>1103</v>
      </c>
      <c r="G754" s="97">
        <v>197</v>
      </c>
      <c r="H754" s="114">
        <v>9.9806951678455391</v>
      </c>
      <c r="I754" s="125">
        <v>1683</v>
      </c>
      <c r="J754" s="115">
        <v>15.36550795259314</v>
      </c>
    </row>
    <row r="755" spans="1:10" ht="16">
      <c r="A755" s="100" t="s">
        <v>419</v>
      </c>
      <c r="B755" s="101" t="s">
        <v>402</v>
      </c>
      <c r="C755" s="102" t="s">
        <v>107</v>
      </c>
      <c r="D755" s="103" t="s">
        <v>61</v>
      </c>
      <c r="E755" s="104">
        <v>18166</v>
      </c>
      <c r="F755" s="104">
        <v>445</v>
      </c>
      <c r="G755" s="104">
        <v>3088</v>
      </c>
      <c r="H755" s="116">
        <v>44.295487845869182</v>
      </c>
      <c r="I755" s="126">
        <v>22311</v>
      </c>
      <c r="J755" s="117">
        <v>43.046600305562464</v>
      </c>
    </row>
    <row r="756" spans="1:10" ht="16">
      <c r="A756" s="93" t="s">
        <v>340</v>
      </c>
      <c r="B756" s="94" t="s">
        <v>336</v>
      </c>
      <c r="C756" s="95" t="s">
        <v>107</v>
      </c>
      <c r="D756" s="96" t="s">
        <v>82</v>
      </c>
      <c r="E756" s="97">
        <v>9265</v>
      </c>
      <c r="F756" s="97">
        <v>1404</v>
      </c>
      <c r="G756" s="97">
        <v>2316</v>
      </c>
      <c r="H756" s="114">
        <v>41.003846915198935</v>
      </c>
      <c r="I756" s="125">
        <v>29774</v>
      </c>
      <c r="J756" s="115">
        <v>39.538997249468942</v>
      </c>
    </row>
    <row r="757" spans="1:10" ht="16">
      <c r="A757" s="100" t="s">
        <v>328</v>
      </c>
      <c r="B757" s="101" t="s">
        <v>322</v>
      </c>
      <c r="C757" s="102" t="s">
        <v>76</v>
      </c>
      <c r="D757" s="103" t="s">
        <v>84</v>
      </c>
      <c r="E757" s="104">
        <v>5321</v>
      </c>
      <c r="F757" s="104">
        <v>560</v>
      </c>
      <c r="G757" s="104">
        <v>639</v>
      </c>
      <c r="H757" s="116">
        <v>12.408388613441723</v>
      </c>
      <c r="I757" s="126">
        <v>765</v>
      </c>
      <c r="J757" s="117">
        <v>20.330985936895342</v>
      </c>
    </row>
    <row r="758" spans="1:10" ht="16">
      <c r="A758" s="93" t="s">
        <v>1031</v>
      </c>
      <c r="B758" s="94" t="s">
        <v>1020</v>
      </c>
      <c r="C758" s="95" t="s">
        <v>107</v>
      </c>
      <c r="D758" s="96" t="s">
        <v>84</v>
      </c>
      <c r="E758" s="97">
        <v>40592</v>
      </c>
      <c r="F758" s="97">
        <v>2899</v>
      </c>
      <c r="G758" s="97">
        <v>5277</v>
      </c>
      <c r="H758" s="114">
        <v>15.096912260398142</v>
      </c>
      <c r="I758" s="125">
        <v>5666</v>
      </c>
      <c r="J758" s="115">
        <v>22.974105203594362</v>
      </c>
    </row>
    <row r="759" spans="1:10" ht="16">
      <c r="A759" s="100" t="s">
        <v>420</v>
      </c>
      <c r="B759" s="101" t="s">
        <v>402</v>
      </c>
      <c r="C759" s="102" t="s">
        <v>107</v>
      </c>
      <c r="D759" s="103" t="s">
        <v>82</v>
      </c>
      <c r="E759" s="104">
        <v>40472</v>
      </c>
      <c r="F759" s="104">
        <v>847</v>
      </c>
      <c r="G759" s="104">
        <v>10927</v>
      </c>
      <c r="H759" s="116">
        <v>71.154806671527297</v>
      </c>
      <c r="I759" s="126">
        <v>60277</v>
      </c>
      <c r="J759" s="117">
        <v>65.116671552662879</v>
      </c>
    </row>
    <row r="760" spans="1:10" ht="16">
      <c r="A760" s="93" t="s">
        <v>594</v>
      </c>
      <c r="B760" s="94" t="s">
        <v>591</v>
      </c>
      <c r="C760" s="95" t="s">
        <v>107</v>
      </c>
      <c r="D760" s="96" t="s">
        <v>84</v>
      </c>
      <c r="E760" s="97">
        <v>14703</v>
      </c>
      <c r="F760" s="97">
        <v>674</v>
      </c>
      <c r="G760" s="97">
        <v>735</v>
      </c>
      <c r="H760" s="114">
        <v>31.684661228942442</v>
      </c>
      <c r="I760" s="125">
        <v>17968</v>
      </c>
      <c r="J760" s="115">
        <v>33.231984473239187</v>
      </c>
    </row>
    <row r="761" spans="1:10" ht="16">
      <c r="A761" s="100" t="s">
        <v>585</v>
      </c>
      <c r="B761" s="101" t="s">
        <v>581</v>
      </c>
      <c r="C761" s="102" t="s">
        <v>107</v>
      </c>
      <c r="D761" s="103" t="s">
        <v>130</v>
      </c>
      <c r="E761" s="104">
        <v>14904</v>
      </c>
      <c r="F761" s="104">
        <v>745</v>
      </c>
      <c r="G761" s="104">
        <v>2981</v>
      </c>
      <c r="H761" s="116">
        <v>13.513135438953785</v>
      </c>
      <c r="I761" s="126">
        <v>4463</v>
      </c>
      <c r="J761" s="117">
        <v>16.311262084873555</v>
      </c>
    </row>
    <row r="762" spans="1:10" ht="16">
      <c r="A762" s="93" t="s">
        <v>1234</v>
      </c>
      <c r="B762" s="94" t="s">
        <v>1190</v>
      </c>
      <c r="C762" s="95" t="s">
        <v>76</v>
      </c>
      <c r="D762" s="96" t="s">
        <v>61</v>
      </c>
      <c r="E762" s="97">
        <v>11919</v>
      </c>
      <c r="F762" s="97">
        <v>651</v>
      </c>
      <c r="G762" s="97">
        <v>1311</v>
      </c>
      <c r="H762" s="114">
        <v>11.338807244603908</v>
      </c>
      <c r="I762" s="125">
        <v>4721</v>
      </c>
      <c r="J762" s="115">
        <v>15.597478876971703</v>
      </c>
    </row>
    <row r="763" spans="1:10" ht="16">
      <c r="A763" s="100" t="s">
        <v>564</v>
      </c>
      <c r="B763" s="101" t="s">
        <v>537</v>
      </c>
      <c r="C763" s="102" t="s">
        <v>76</v>
      </c>
      <c r="D763" s="103" t="s">
        <v>82</v>
      </c>
      <c r="E763" s="104">
        <v>12511</v>
      </c>
      <c r="F763" s="104">
        <v>1813</v>
      </c>
      <c r="G763" s="104">
        <v>876</v>
      </c>
      <c r="H763" s="116">
        <v>16.638735674453251</v>
      </c>
      <c r="I763" s="126">
        <v>7812</v>
      </c>
      <c r="J763" s="117">
        <v>45.001465603673488</v>
      </c>
    </row>
    <row r="764" spans="1:10" ht="16">
      <c r="A764" s="93" t="s">
        <v>716</v>
      </c>
      <c r="B764" s="94" t="s">
        <v>642</v>
      </c>
      <c r="C764" s="95" t="s">
        <v>107</v>
      </c>
      <c r="D764" s="96" t="s">
        <v>82</v>
      </c>
      <c r="E764" s="97">
        <v>22873</v>
      </c>
      <c r="F764" s="97">
        <v>1370</v>
      </c>
      <c r="G764" s="97">
        <v>457</v>
      </c>
      <c r="H764" s="114">
        <v>11.582959013183665</v>
      </c>
      <c r="I764" s="125">
        <v>10510</v>
      </c>
      <c r="J764" s="115">
        <v>15.26462563545646</v>
      </c>
    </row>
    <row r="765" spans="1:10" ht="16">
      <c r="A765" s="100" t="s">
        <v>595</v>
      </c>
      <c r="B765" s="101" t="s">
        <v>591</v>
      </c>
      <c r="C765" s="102" t="s">
        <v>76</v>
      </c>
      <c r="D765" s="103" t="s">
        <v>63</v>
      </c>
      <c r="E765" s="104">
        <v>22414</v>
      </c>
      <c r="F765" s="104">
        <v>1005</v>
      </c>
      <c r="G765" s="104">
        <v>1569</v>
      </c>
      <c r="H765" s="116">
        <v>51.632338991554136</v>
      </c>
      <c r="I765" s="126">
        <v>36644</v>
      </c>
      <c r="J765" s="117">
        <v>41.880612012520892</v>
      </c>
    </row>
    <row r="766" spans="1:10" ht="16">
      <c r="A766" s="93" t="s">
        <v>1369</v>
      </c>
      <c r="B766" s="94" t="s">
        <v>1288</v>
      </c>
      <c r="C766" s="95" t="s">
        <v>76</v>
      </c>
      <c r="D766" s="96" t="s">
        <v>82</v>
      </c>
      <c r="E766" s="97">
        <v>35814</v>
      </c>
      <c r="F766" s="97">
        <v>2755</v>
      </c>
      <c r="G766" s="97">
        <v>3223</v>
      </c>
      <c r="H766" s="114">
        <v>23.533268469145526</v>
      </c>
      <c r="I766" s="125">
        <v>18784</v>
      </c>
      <c r="J766" s="115">
        <v>40.1752649843501</v>
      </c>
    </row>
    <row r="767" spans="1:10" ht="16">
      <c r="A767" s="100" t="s">
        <v>1370</v>
      </c>
      <c r="B767" s="101" t="s">
        <v>1288</v>
      </c>
      <c r="C767" s="102" t="s">
        <v>107</v>
      </c>
      <c r="D767" s="103" t="s">
        <v>84</v>
      </c>
      <c r="E767" s="104">
        <v>60818</v>
      </c>
      <c r="F767" s="104">
        <v>2452</v>
      </c>
      <c r="G767" s="104">
        <v>4865</v>
      </c>
      <c r="H767" s="116">
        <v>55.249119320078627</v>
      </c>
      <c r="I767" s="126">
        <v>34480</v>
      </c>
      <c r="J767" s="117">
        <v>49.883791821835068</v>
      </c>
    </row>
    <row r="768" spans="1:10" ht="16">
      <c r="A768" s="93" t="s">
        <v>1371</v>
      </c>
      <c r="B768" s="94" t="s">
        <v>1288</v>
      </c>
      <c r="C768" s="95" t="s">
        <v>76</v>
      </c>
      <c r="D768" s="96" t="s">
        <v>82</v>
      </c>
      <c r="E768" s="97">
        <v>31893</v>
      </c>
      <c r="F768" s="97">
        <v>1670</v>
      </c>
      <c r="G768" s="97">
        <v>319</v>
      </c>
      <c r="H768" s="114">
        <v>14.397026346796762</v>
      </c>
      <c r="I768" s="125">
        <v>3910</v>
      </c>
      <c r="J768" s="115">
        <v>18.222084154862525</v>
      </c>
    </row>
    <row r="769" spans="1:10" ht="16">
      <c r="A769" s="100" t="s">
        <v>1372</v>
      </c>
      <c r="B769" s="101" t="s">
        <v>1288</v>
      </c>
      <c r="C769" s="102" t="s">
        <v>107</v>
      </c>
      <c r="D769" s="103" t="s">
        <v>59</v>
      </c>
      <c r="E769" s="104">
        <v>33015</v>
      </c>
      <c r="F769" s="104">
        <v>1603</v>
      </c>
      <c r="G769" s="104">
        <v>2971</v>
      </c>
      <c r="H769" s="116">
        <v>20.991552062014321</v>
      </c>
      <c r="I769" s="126">
        <v>9804</v>
      </c>
      <c r="J769" s="117">
        <v>31.502036082537984</v>
      </c>
    </row>
    <row r="770" spans="1:10" ht="16">
      <c r="A770" s="93" t="s">
        <v>523</v>
      </c>
      <c r="B770" s="94" t="s">
        <v>474</v>
      </c>
      <c r="C770" s="95" t="s">
        <v>107</v>
      </c>
      <c r="D770" s="96" t="s">
        <v>61</v>
      </c>
      <c r="E770" s="97">
        <v>3904</v>
      </c>
      <c r="F770" s="97">
        <v>279</v>
      </c>
      <c r="G770" s="97">
        <v>39</v>
      </c>
      <c r="H770" s="114">
        <v>13.379952365174397</v>
      </c>
      <c r="I770" s="125">
        <v>3669</v>
      </c>
      <c r="J770" s="115">
        <v>27.135956361286933</v>
      </c>
    </row>
    <row r="771" spans="1:10" ht="16">
      <c r="A771" s="100" t="s">
        <v>1133</v>
      </c>
      <c r="B771" s="101" t="s">
        <v>1120</v>
      </c>
      <c r="C771" s="102" t="s">
        <v>76</v>
      </c>
      <c r="D771" s="103" t="s">
        <v>60</v>
      </c>
      <c r="E771" s="104">
        <v>33506</v>
      </c>
      <c r="F771" s="104">
        <v>2769</v>
      </c>
      <c r="G771" s="104">
        <v>335</v>
      </c>
      <c r="H771" s="116">
        <v>12.022036568797775</v>
      </c>
      <c r="I771" s="126">
        <v>1419</v>
      </c>
      <c r="J771" s="117">
        <v>18.95586765708892</v>
      </c>
    </row>
    <row r="772" spans="1:10" ht="16">
      <c r="A772" s="93" t="s">
        <v>524</v>
      </c>
      <c r="B772" s="94" t="s">
        <v>474</v>
      </c>
      <c r="C772" s="95" t="s">
        <v>107</v>
      </c>
      <c r="D772" s="96" t="s">
        <v>80</v>
      </c>
      <c r="E772" s="97">
        <v>7752</v>
      </c>
      <c r="F772" s="97">
        <v>524</v>
      </c>
      <c r="G772" s="97">
        <v>78</v>
      </c>
      <c r="H772" s="114">
        <v>10.301866105421039</v>
      </c>
      <c r="I772" s="125">
        <v>6535</v>
      </c>
      <c r="J772" s="115">
        <v>19.64642811068644</v>
      </c>
    </row>
    <row r="773" spans="1:10" ht="16">
      <c r="A773" s="100" t="s">
        <v>463</v>
      </c>
      <c r="B773" s="101" t="s">
        <v>459</v>
      </c>
      <c r="C773" s="102" t="s">
        <v>107</v>
      </c>
      <c r="D773" s="103" t="s">
        <v>82</v>
      </c>
      <c r="E773" s="104">
        <v>10125</v>
      </c>
      <c r="F773" s="104">
        <v>454</v>
      </c>
      <c r="G773" s="104">
        <v>3139</v>
      </c>
      <c r="H773" s="116">
        <v>66.276463071309465</v>
      </c>
      <c r="I773" s="126">
        <v>59444</v>
      </c>
      <c r="J773" s="117">
        <v>57.754633244936983</v>
      </c>
    </row>
    <row r="774" spans="1:10" ht="16">
      <c r="A774" s="93" t="s">
        <v>1373</v>
      </c>
      <c r="B774" s="94" t="s">
        <v>1288</v>
      </c>
      <c r="C774" s="95" t="s">
        <v>76</v>
      </c>
      <c r="D774" s="96" t="s">
        <v>60</v>
      </c>
      <c r="E774" s="97">
        <v>10434</v>
      </c>
      <c r="F774" s="97">
        <v>1110</v>
      </c>
      <c r="G774" s="97">
        <v>3652</v>
      </c>
      <c r="H774" s="114">
        <v>16.130328739505053</v>
      </c>
      <c r="I774" s="125">
        <v>4654</v>
      </c>
      <c r="J774" s="115">
        <v>24.739262954406843</v>
      </c>
    </row>
    <row r="775" spans="1:10" ht="16">
      <c r="A775" s="100" t="s">
        <v>1235</v>
      </c>
      <c r="B775" s="101" t="s">
        <v>1190</v>
      </c>
      <c r="C775" s="102" t="s">
        <v>76</v>
      </c>
      <c r="D775" s="103" t="s">
        <v>82</v>
      </c>
      <c r="E775" s="104">
        <v>61915</v>
      </c>
      <c r="F775" s="104">
        <v>1917</v>
      </c>
      <c r="G775" s="104">
        <v>4953</v>
      </c>
      <c r="H775" s="116">
        <v>16.283210305016976</v>
      </c>
      <c r="I775" s="126">
        <v>10743</v>
      </c>
      <c r="J775" s="117">
        <v>18.917481196923141</v>
      </c>
    </row>
    <row r="776" spans="1:10" ht="16">
      <c r="A776" s="93" t="s">
        <v>717</v>
      </c>
      <c r="B776" s="94" t="s">
        <v>642</v>
      </c>
      <c r="C776" s="95" t="s">
        <v>107</v>
      </c>
      <c r="D776" s="96" t="s">
        <v>130</v>
      </c>
      <c r="E776" s="97">
        <v>1165</v>
      </c>
      <c r="F776" s="97">
        <v>108</v>
      </c>
      <c r="G776" s="97">
        <v>58</v>
      </c>
      <c r="H776" s="114">
        <v>12.605609692065885</v>
      </c>
      <c r="I776" s="125">
        <v>5238</v>
      </c>
      <c r="J776" s="115">
        <v>21.150677728171452</v>
      </c>
    </row>
    <row r="777" spans="1:10" ht="16">
      <c r="A777" s="100" t="s">
        <v>718</v>
      </c>
      <c r="B777" s="101" t="s">
        <v>642</v>
      </c>
      <c r="C777" s="102" t="s">
        <v>107</v>
      </c>
      <c r="D777" s="103" t="s">
        <v>92</v>
      </c>
      <c r="E777" s="104">
        <v>4813</v>
      </c>
      <c r="F777" s="104">
        <v>319</v>
      </c>
      <c r="G777" s="104">
        <v>241</v>
      </c>
      <c r="H777" s="116">
        <v>19.350518104222985</v>
      </c>
      <c r="I777" s="126">
        <v>2719</v>
      </c>
      <c r="J777" s="117">
        <v>19.965926167221987</v>
      </c>
    </row>
    <row r="778" spans="1:10" ht="16">
      <c r="A778" s="93" t="s">
        <v>1374</v>
      </c>
      <c r="B778" s="94" t="s">
        <v>1288</v>
      </c>
      <c r="C778" s="95" t="s">
        <v>76</v>
      </c>
      <c r="D778" s="96" t="s">
        <v>63</v>
      </c>
      <c r="E778" s="97">
        <v>25907</v>
      </c>
      <c r="F778" s="97">
        <v>1542</v>
      </c>
      <c r="G778" s="97">
        <v>1295</v>
      </c>
      <c r="H778" s="114">
        <v>23.566611805708945</v>
      </c>
      <c r="I778" s="125">
        <v>18888</v>
      </c>
      <c r="J778" s="115">
        <v>33.108148675976324</v>
      </c>
    </row>
    <row r="779" spans="1:10" ht="16">
      <c r="A779" s="100" t="s">
        <v>639</v>
      </c>
      <c r="B779" s="101" t="s">
        <v>640</v>
      </c>
      <c r="C779" s="102" t="s">
        <v>76</v>
      </c>
      <c r="D779" s="103" t="s">
        <v>92</v>
      </c>
      <c r="E779" s="104">
        <v>23305</v>
      </c>
      <c r="F779" s="104">
        <v>1050</v>
      </c>
      <c r="G779" s="104">
        <v>233</v>
      </c>
      <c r="H779" s="116">
        <v>11.202116701479218</v>
      </c>
      <c r="I779" s="126">
        <v>8211</v>
      </c>
      <c r="J779" s="117">
        <v>17.881157521241146</v>
      </c>
    </row>
    <row r="780" spans="1:10" ht="16">
      <c r="A780" s="93" t="s">
        <v>719</v>
      </c>
      <c r="B780" s="94" t="s">
        <v>642</v>
      </c>
      <c r="C780" s="95" t="s">
        <v>107</v>
      </c>
      <c r="D780" s="96" t="s">
        <v>63</v>
      </c>
      <c r="E780" s="97">
        <v>25913</v>
      </c>
      <c r="F780" s="97">
        <v>2445</v>
      </c>
      <c r="G780" s="97">
        <v>3110</v>
      </c>
      <c r="H780" s="114">
        <v>89.801479933659635</v>
      </c>
      <c r="I780" s="125">
        <v>54463</v>
      </c>
      <c r="J780" s="115">
        <v>86.514644929081754</v>
      </c>
    </row>
    <row r="781" spans="1:10" ht="16">
      <c r="A781" s="100" t="s">
        <v>285</v>
      </c>
      <c r="B781" s="101" t="s">
        <v>223</v>
      </c>
      <c r="C781" s="102" t="s">
        <v>76</v>
      </c>
      <c r="D781" s="103" t="s">
        <v>82</v>
      </c>
      <c r="E781" s="104">
        <v>34780</v>
      </c>
      <c r="F781" s="104">
        <v>2484</v>
      </c>
      <c r="G781" s="104">
        <v>2087</v>
      </c>
      <c r="H781" s="116">
        <v>36.657488461598568</v>
      </c>
      <c r="I781" s="126">
        <v>13912</v>
      </c>
      <c r="J781" s="117">
        <v>33.283654126254149</v>
      </c>
    </row>
    <row r="782" spans="1:10" ht="16">
      <c r="A782" s="93" t="s">
        <v>826</v>
      </c>
      <c r="B782" s="94" t="s">
        <v>820</v>
      </c>
      <c r="C782" s="95" t="s">
        <v>107</v>
      </c>
      <c r="D782" s="96" t="s">
        <v>60</v>
      </c>
      <c r="E782" s="97">
        <v>8033</v>
      </c>
      <c r="F782" s="97">
        <v>375</v>
      </c>
      <c r="G782" s="97">
        <v>1205</v>
      </c>
      <c r="H782" s="114">
        <v>49.015912635156312</v>
      </c>
      <c r="I782" s="125">
        <v>30316</v>
      </c>
      <c r="J782" s="115">
        <v>37.283662273958562</v>
      </c>
    </row>
    <row r="783" spans="1:10" ht="16">
      <c r="A783" s="100" t="s">
        <v>1171</v>
      </c>
      <c r="B783" s="101" t="s">
        <v>1142</v>
      </c>
      <c r="C783" s="102" t="s">
        <v>107</v>
      </c>
      <c r="D783" s="103" t="s">
        <v>60</v>
      </c>
      <c r="E783" s="104">
        <v>5836</v>
      </c>
      <c r="F783" s="104">
        <v>347</v>
      </c>
      <c r="G783" s="104">
        <v>58</v>
      </c>
      <c r="H783" s="116">
        <v>11.873662962990672</v>
      </c>
      <c r="I783" s="126">
        <v>2604</v>
      </c>
      <c r="J783" s="117">
        <v>15.903891670020242</v>
      </c>
    </row>
    <row r="784" spans="1:10" ht="16">
      <c r="A784" s="93" t="s">
        <v>720</v>
      </c>
      <c r="B784" s="94" t="s">
        <v>642</v>
      </c>
      <c r="C784" s="95" t="s">
        <v>107</v>
      </c>
      <c r="D784" s="96" t="s">
        <v>92</v>
      </c>
      <c r="E784" s="97">
        <v>5204</v>
      </c>
      <c r="F784" s="97">
        <v>394</v>
      </c>
      <c r="G784" s="97">
        <v>52</v>
      </c>
      <c r="H784" s="114">
        <v>14.474278937658752</v>
      </c>
      <c r="I784" s="125">
        <v>3585</v>
      </c>
      <c r="J784" s="115">
        <v>22.342800365883281</v>
      </c>
    </row>
    <row r="785" spans="1:10" ht="16">
      <c r="A785" s="100" t="s">
        <v>721</v>
      </c>
      <c r="B785" s="101" t="s">
        <v>642</v>
      </c>
      <c r="C785" s="102" t="s">
        <v>107</v>
      </c>
      <c r="D785" s="103" t="s">
        <v>130</v>
      </c>
      <c r="E785" s="104">
        <v>17735</v>
      </c>
      <c r="F785" s="104">
        <v>2163</v>
      </c>
      <c r="G785" s="104">
        <v>2128</v>
      </c>
      <c r="H785" s="116">
        <v>54.996125082483992</v>
      </c>
      <c r="I785" s="126">
        <v>21698</v>
      </c>
      <c r="J785" s="117">
        <v>53.027445661635184</v>
      </c>
    </row>
    <row r="786" spans="1:10" ht="16">
      <c r="A786" s="93" t="s">
        <v>722</v>
      </c>
      <c r="B786" s="94" t="s">
        <v>642</v>
      </c>
      <c r="C786" s="95" t="s">
        <v>107</v>
      </c>
      <c r="D786" s="96" t="s">
        <v>84</v>
      </c>
      <c r="E786" s="97">
        <v>29848</v>
      </c>
      <c r="F786" s="97">
        <v>2296</v>
      </c>
      <c r="G786" s="97">
        <v>597</v>
      </c>
      <c r="H786" s="114">
        <v>10.1246340743369</v>
      </c>
      <c r="I786" s="125">
        <v>2111</v>
      </c>
      <c r="J786" s="115">
        <v>19.834746908998081</v>
      </c>
    </row>
    <row r="787" spans="1:10" ht="16">
      <c r="A787" s="100" t="s">
        <v>1172</v>
      </c>
      <c r="B787" s="101" t="s">
        <v>1142</v>
      </c>
      <c r="C787" s="102" t="s">
        <v>107</v>
      </c>
      <c r="D787" s="103" t="s">
        <v>59</v>
      </c>
      <c r="E787" s="104">
        <v>23679</v>
      </c>
      <c r="F787" s="104">
        <v>1133</v>
      </c>
      <c r="G787" s="104">
        <v>474</v>
      </c>
      <c r="H787" s="116">
        <v>8.5187537851608166</v>
      </c>
      <c r="I787" s="126">
        <v>1404</v>
      </c>
      <c r="J787" s="117">
        <v>14.082613875992974</v>
      </c>
    </row>
    <row r="788" spans="1:10" ht="16">
      <c r="A788" s="93" t="s">
        <v>723</v>
      </c>
      <c r="B788" s="94" t="s">
        <v>642</v>
      </c>
      <c r="C788" s="95" t="s">
        <v>107</v>
      </c>
      <c r="D788" s="96" t="s">
        <v>62</v>
      </c>
      <c r="E788" s="97">
        <v>7553</v>
      </c>
      <c r="F788" s="97">
        <v>868</v>
      </c>
      <c r="G788" s="97">
        <v>227</v>
      </c>
      <c r="H788" s="114">
        <v>19.688082604690969</v>
      </c>
      <c r="I788" s="125">
        <v>2945</v>
      </c>
      <c r="J788" s="115">
        <v>26.595863062263447</v>
      </c>
    </row>
    <row r="789" spans="1:10" ht="16">
      <c r="A789" s="100" t="s">
        <v>724</v>
      </c>
      <c r="B789" s="101" t="s">
        <v>642</v>
      </c>
      <c r="C789" s="102" t="s">
        <v>107</v>
      </c>
      <c r="D789" s="103" t="s">
        <v>63</v>
      </c>
      <c r="E789" s="104">
        <v>7481</v>
      </c>
      <c r="F789" s="104">
        <v>502</v>
      </c>
      <c r="G789" s="104">
        <v>75</v>
      </c>
      <c r="H789" s="116">
        <v>11.158711250931095</v>
      </c>
      <c r="I789" s="126">
        <v>799</v>
      </c>
      <c r="J789" s="117">
        <v>17.347385598789927</v>
      </c>
    </row>
    <row r="790" spans="1:10" ht="16">
      <c r="A790" s="93" t="s">
        <v>725</v>
      </c>
      <c r="B790" s="94" t="s">
        <v>642</v>
      </c>
      <c r="C790" s="95" t="s">
        <v>107</v>
      </c>
      <c r="D790" s="96" t="s">
        <v>60</v>
      </c>
      <c r="E790" s="97">
        <v>9285</v>
      </c>
      <c r="F790" s="97">
        <v>363</v>
      </c>
      <c r="G790" s="97">
        <v>186</v>
      </c>
      <c r="H790" s="114">
        <v>10.233041166787203</v>
      </c>
      <c r="I790" s="125">
        <v>336</v>
      </c>
      <c r="J790" s="115">
        <v>15.258233703045908</v>
      </c>
    </row>
    <row r="791" spans="1:10" ht="16">
      <c r="A791" s="100" t="s">
        <v>726</v>
      </c>
      <c r="B791" s="101" t="s">
        <v>642</v>
      </c>
      <c r="C791" s="102" t="s">
        <v>107</v>
      </c>
      <c r="D791" s="103" t="s">
        <v>77</v>
      </c>
      <c r="E791" s="104">
        <v>9752</v>
      </c>
      <c r="F791" s="104">
        <v>1266</v>
      </c>
      <c r="G791" s="104">
        <v>1268</v>
      </c>
      <c r="H791" s="116">
        <v>51.899462435920569</v>
      </c>
      <c r="I791" s="126">
        <v>19429</v>
      </c>
      <c r="J791" s="117">
        <v>52.157492911838098</v>
      </c>
    </row>
    <row r="792" spans="1:10" ht="16">
      <c r="A792" s="93" t="s">
        <v>727</v>
      </c>
      <c r="B792" s="94" t="s">
        <v>642</v>
      </c>
      <c r="C792" s="95" t="s">
        <v>107</v>
      </c>
      <c r="D792" s="96" t="s">
        <v>84</v>
      </c>
      <c r="E792" s="97">
        <v>2999</v>
      </c>
      <c r="F792" s="97">
        <v>909</v>
      </c>
      <c r="G792" s="97">
        <v>270</v>
      </c>
      <c r="H792" s="114">
        <v>24.622707537313378</v>
      </c>
      <c r="I792" s="125">
        <v>14111</v>
      </c>
      <c r="J792" s="115">
        <v>46.117415853153815</v>
      </c>
    </row>
    <row r="793" spans="1:10" ht="16">
      <c r="A793" s="100" t="s">
        <v>728</v>
      </c>
      <c r="B793" s="101" t="s">
        <v>642</v>
      </c>
      <c r="C793" s="102" t="s">
        <v>76</v>
      </c>
      <c r="D793" s="103" t="s">
        <v>61</v>
      </c>
      <c r="E793" s="104">
        <v>1350</v>
      </c>
      <c r="F793" s="104">
        <v>844</v>
      </c>
      <c r="G793" s="104">
        <v>14</v>
      </c>
      <c r="H793" s="116">
        <v>11.302566063426307</v>
      </c>
      <c r="I793" s="126">
        <v>3835</v>
      </c>
      <c r="J793" s="117">
        <v>29.644058459903661</v>
      </c>
    </row>
    <row r="794" spans="1:10" ht="16">
      <c r="A794" s="93" t="s">
        <v>729</v>
      </c>
      <c r="B794" s="94" t="s">
        <v>642</v>
      </c>
      <c r="C794" s="95" t="s">
        <v>107</v>
      </c>
      <c r="D794" s="96" t="s">
        <v>80</v>
      </c>
      <c r="E794" s="97">
        <v>9160</v>
      </c>
      <c r="F794" s="97">
        <v>674</v>
      </c>
      <c r="G794" s="97">
        <v>458</v>
      </c>
      <c r="H794" s="114">
        <v>17.344383659420146</v>
      </c>
      <c r="I794" s="125">
        <v>9445</v>
      </c>
      <c r="J794" s="115">
        <v>25.56123524981286</v>
      </c>
    </row>
    <row r="795" spans="1:10" ht="16">
      <c r="A795" s="100" t="s">
        <v>730</v>
      </c>
      <c r="B795" s="101" t="s">
        <v>642</v>
      </c>
      <c r="C795" s="102" t="s">
        <v>107</v>
      </c>
      <c r="D795" s="103" t="s">
        <v>62</v>
      </c>
      <c r="E795" s="104">
        <v>12221</v>
      </c>
      <c r="F795" s="104">
        <v>361</v>
      </c>
      <c r="G795" s="104">
        <v>244</v>
      </c>
      <c r="H795" s="116">
        <v>9.803790929046782</v>
      </c>
      <c r="I795" s="126">
        <v>1115</v>
      </c>
      <c r="J795" s="117">
        <v>16.841428493089467</v>
      </c>
    </row>
    <row r="796" spans="1:10" ht="16">
      <c r="A796" s="93" t="s">
        <v>731</v>
      </c>
      <c r="B796" s="94" t="s">
        <v>642</v>
      </c>
      <c r="C796" s="95" t="s">
        <v>107</v>
      </c>
      <c r="D796" s="96" t="s">
        <v>60</v>
      </c>
      <c r="E796" s="97">
        <v>5766</v>
      </c>
      <c r="F796" s="97">
        <v>390</v>
      </c>
      <c r="G796" s="97">
        <v>346</v>
      </c>
      <c r="H796" s="114">
        <v>23.801982646353075</v>
      </c>
      <c r="I796" s="125">
        <v>4271</v>
      </c>
      <c r="J796" s="115">
        <v>24.808840442296031</v>
      </c>
    </row>
    <row r="797" spans="1:10" ht="16">
      <c r="A797" s="100" t="s">
        <v>732</v>
      </c>
      <c r="B797" s="101" t="s">
        <v>642</v>
      </c>
      <c r="C797" s="102" t="s">
        <v>107</v>
      </c>
      <c r="D797" s="103" t="s">
        <v>84</v>
      </c>
      <c r="E797" s="104">
        <v>2654</v>
      </c>
      <c r="F797" s="104">
        <v>248</v>
      </c>
      <c r="G797" s="104">
        <v>186</v>
      </c>
      <c r="H797" s="116">
        <v>14.864252951151533</v>
      </c>
      <c r="I797" s="126">
        <v>1513</v>
      </c>
      <c r="J797" s="117">
        <v>24.50205877544478</v>
      </c>
    </row>
    <row r="798" spans="1:10" ht="16">
      <c r="A798" s="93" t="s">
        <v>733</v>
      </c>
      <c r="B798" s="94" t="s">
        <v>642</v>
      </c>
      <c r="C798" s="95" t="s">
        <v>107</v>
      </c>
      <c r="D798" s="96" t="s">
        <v>80</v>
      </c>
      <c r="E798" s="97">
        <v>18490</v>
      </c>
      <c r="F798" s="97">
        <v>758</v>
      </c>
      <c r="G798" s="97">
        <v>370</v>
      </c>
      <c r="H798" s="114">
        <v>25.260053112199781</v>
      </c>
      <c r="I798" s="125">
        <v>4689</v>
      </c>
      <c r="J798" s="115">
        <v>21.958227293120657</v>
      </c>
    </row>
    <row r="799" spans="1:10" ht="16">
      <c r="A799" s="100" t="s">
        <v>952</v>
      </c>
      <c r="B799" s="101" t="s">
        <v>919</v>
      </c>
      <c r="C799" s="102" t="s">
        <v>107</v>
      </c>
      <c r="D799" s="103" t="s">
        <v>59</v>
      </c>
      <c r="E799" s="104">
        <v>9121</v>
      </c>
      <c r="F799" s="104">
        <v>1048</v>
      </c>
      <c r="G799" s="104">
        <v>2554</v>
      </c>
      <c r="H799" s="116">
        <v>20.642536914677027</v>
      </c>
      <c r="I799" s="126">
        <v>7369</v>
      </c>
      <c r="J799" s="117">
        <v>27.134774637407904</v>
      </c>
    </row>
    <row r="800" spans="1:10" ht="16">
      <c r="A800" s="93" t="s">
        <v>953</v>
      </c>
      <c r="B800" s="94" t="s">
        <v>919</v>
      </c>
      <c r="C800" s="95" t="s">
        <v>107</v>
      </c>
      <c r="D800" s="96" t="s">
        <v>61</v>
      </c>
      <c r="E800" s="97">
        <v>7655</v>
      </c>
      <c r="F800" s="97">
        <v>643</v>
      </c>
      <c r="G800" s="97">
        <v>2220</v>
      </c>
      <c r="H800" s="114">
        <v>33.909677972854922</v>
      </c>
      <c r="I800" s="125">
        <v>7951</v>
      </c>
      <c r="J800" s="115">
        <v>41.433601867776112</v>
      </c>
    </row>
    <row r="801" spans="1:10" ht="16">
      <c r="A801" s="100" t="s">
        <v>286</v>
      </c>
      <c r="B801" s="101" t="s">
        <v>223</v>
      </c>
      <c r="C801" s="102" t="s">
        <v>107</v>
      </c>
      <c r="D801" s="103" t="s">
        <v>60</v>
      </c>
      <c r="E801" s="104">
        <v>35690</v>
      </c>
      <c r="F801" s="104">
        <v>2724</v>
      </c>
      <c r="G801" s="104">
        <v>4640</v>
      </c>
      <c r="H801" s="116">
        <v>44.160311586260164</v>
      </c>
      <c r="I801" s="126">
        <v>15180</v>
      </c>
      <c r="J801" s="117">
        <v>36.400809410417423</v>
      </c>
    </row>
    <row r="802" spans="1:10" ht="16">
      <c r="A802" s="93" t="s">
        <v>734</v>
      </c>
      <c r="B802" s="94" t="s">
        <v>642</v>
      </c>
      <c r="C802" s="95" t="s">
        <v>107</v>
      </c>
      <c r="D802" s="96" t="s">
        <v>92</v>
      </c>
      <c r="E802" s="97">
        <v>6096</v>
      </c>
      <c r="F802" s="97">
        <v>813</v>
      </c>
      <c r="G802" s="97">
        <v>122</v>
      </c>
      <c r="H802" s="114">
        <v>11.041981487878168</v>
      </c>
      <c r="I802" s="125">
        <v>1394</v>
      </c>
      <c r="J802" s="115">
        <v>21.962887476008117</v>
      </c>
    </row>
    <row r="803" spans="1:10" ht="16">
      <c r="A803" s="100" t="s">
        <v>735</v>
      </c>
      <c r="B803" s="101" t="s">
        <v>642</v>
      </c>
      <c r="C803" s="102" t="s">
        <v>107</v>
      </c>
      <c r="D803" s="103" t="s">
        <v>82</v>
      </c>
      <c r="E803" s="104">
        <v>32404</v>
      </c>
      <c r="F803" s="104">
        <v>1062</v>
      </c>
      <c r="G803" s="104">
        <v>1620</v>
      </c>
      <c r="H803" s="116">
        <v>9.0270083032215496</v>
      </c>
      <c r="I803" s="126">
        <v>636</v>
      </c>
      <c r="J803" s="117">
        <v>15.739950501647682</v>
      </c>
    </row>
    <row r="804" spans="1:10" ht="16">
      <c r="A804" s="93" t="s">
        <v>736</v>
      </c>
      <c r="B804" s="94" t="s">
        <v>642</v>
      </c>
      <c r="C804" s="95" t="s">
        <v>107</v>
      </c>
      <c r="D804" s="96" t="s">
        <v>77</v>
      </c>
      <c r="E804" s="97">
        <v>2135</v>
      </c>
      <c r="F804" s="97">
        <v>243</v>
      </c>
      <c r="G804" s="97">
        <v>149</v>
      </c>
      <c r="H804" s="114">
        <v>16.807689386841016</v>
      </c>
      <c r="I804" s="125">
        <v>2733</v>
      </c>
      <c r="J804" s="115">
        <v>22.33793374107649</v>
      </c>
    </row>
    <row r="805" spans="1:10" ht="16">
      <c r="A805" s="100" t="s">
        <v>817</v>
      </c>
      <c r="B805" s="101" t="s">
        <v>818</v>
      </c>
      <c r="C805" s="102" t="s">
        <v>107</v>
      </c>
      <c r="D805" s="103" t="s">
        <v>82</v>
      </c>
      <c r="E805" s="104">
        <v>418053</v>
      </c>
      <c r="F805" s="104">
        <v>11613</v>
      </c>
      <c r="G805" s="104">
        <v>29090</v>
      </c>
      <c r="H805" s="116">
        <v>7.5868253387432789</v>
      </c>
      <c r="I805" s="126">
        <v>2223</v>
      </c>
      <c r="J805" s="117">
        <v>11.928931983557776</v>
      </c>
    </row>
    <row r="806" spans="1:10" ht="16">
      <c r="A806" s="93" t="s">
        <v>586</v>
      </c>
      <c r="B806" s="94" t="s">
        <v>581</v>
      </c>
      <c r="C806" s="95" t="s">
        <v>76</v>
      </c>
      <c r="D806" s="96" t="s">
        <v>82</v>
      </c>
      <c r="E806" s="97">
        <v>16853</v>
      </c>
      <c r="F806" s="97">
        <v>770</v>
      </c>
      <c r="G806" s="97">
        <v>5056</v>
      </c>
      <c r="H806" s="114">
        <v>44.146736338490562</v>
      </c>
      <c r="I806" s="125">
        <v>33166</v>
      </c>
      <c r="J806" s="115">
        <v>42.611880269154234</v>
      </c>
    </row>
    <row r="807" spans="1:10" ht="16">
      <c r="A807" s="100" t="s">
        <v>979</v>
      </c>
      <c r="B807" s="101" t="s">
        <v>977</v>
      </c>
      <c r="C807" s="102" t="s">
        <v>76</v>
      </c>
      <c r="D807" s="103" t="s">
        <v>80</v>
      </c>
      <c r="E807" s="104">
        <v>45992</v>
      </c>
      <c r="F807" s="104">
        <v>1167</v>
      </c>
      <c r="G807" s="104">
        <v>920</v>
      </c>
      <c r="H807" s="116">
        <v>7.3099858819411869</v>
      </c>
      <c r="I807" s="126">
        <v>3063</v>
      </c>
      <c r="J807" s="117">
        <v>15.18786278279187</v>
      </c>
    </row>
    <row r="808" spans="1:10" ht="16">
      <c r="A808" s="93" t="s">
        <v>287</v>
      </c>
      <c r="B808" s="94" t="s">
        <v>223</v>
      </c>
      <c r="C808" s="95" t="s">
        <v>107</v>
      </c>
      <c r="D808" s="96" t="s">
        <v>92</v>
      </c>
      <c r="E808" s="97">
        <v>38783</v>
      </c>
      <c r="F808" s="97">
        <v>3232</v>
      </c>
      <c r="G808" s="97">
        <v>4266</v>
      </c>
      <c r="H808" s="114">
        <v>94.144496709755046</v>
      </c>
      <c r="I808" s="125">
        <v>70187</v>
      </c>
      <c r="J808" s="115">
        <v>87.399451679287239</v>
      </c>
    </row>
    <row r="809" spans="1:10" ht="16">
      <c r="A809" s="100" t="s">
        <v>421</v>
      </c>
      <c r="B809" s="101" t="s">
        <v>402</v>
      </c>
      <c r="C809" s="102" t="s">
        <v>107</v>
      </c>
      <c r="D809" s="103" t="s">
        <v>82</v>
      </c>
      <c r="E809" s="104">
        <v>20020</v>
      </c>
      <c r="F809" s="104">
        <v>1925</v>
      </c>
      <c r="G809" s="104">
        <v>2803</v>
      </c>
      <c r="H809" s="116">
        <v>16.200573049624815</v>
      </c>
      <c r="I809" s="126">
        <v>7882</v>
      </c>
      <c r="J809" s="117">
        <v>25.859692411848787</v>
      </c>
    </row>
    <row r="810" spans="1:10" ht="16">
      <c r="A810" s="93" t="s">
        <v>422</v>
      </c>
      <c r="B810" s="94" t="s">
        <v>402</v>
      </c>
      <c r="C810" s="95" t="s">
        <v>107</v>
      </c>
      <c r="D810" s="96" t="s">
        <v>62</v>
      </c>
      <c r="E810" s="97">
        <v>34267</v>
      </c>
      <c r="F810" s="97">
        <v>315</v>
      </c>
      <c r="G810" s="97">
        <v>3427</v>
      </c>
      <c r="H810" s="114">
        <v>41.525592627924937</v>
      </c>
      <c r="I810" s="125">
        <v>22477</v>
      </c>
      <c r="J810" s="115">
        <v>37.737246375168851</v>
      </c>
    </row>
    <row r="811" spans="1:10" ht="16">
      <c r="A811" s="100" t="s">
        <v>423</v>
      </c>
      <c r="B811" s="101" t="s">
        <v>402</v>
      </c>
      <c r="C811" s="102" t="s">
        <v>107</v>
      </c>
      <c r="D811" s="103" t="s">
        <v>59</v>
      </c>
      <c r="E811" s="104">
        <v>32309</v>
      </c>
      <c r="F811" s="104">
        <v>945</v>
      </c>
      <c r="G811" s="104">
        <v>4523</v>
      </c>
      <c r="H811" s="116">
        <v>48.749997765115822</v>
      </c>
      <c r="I811" s="126">
        <v>35494</v>
      </c>
      <c r="J811" s="117">
        <v>46.997589820537669</v>
      </c>
    </row>
    <row r="812" spans="1:10" ht="16">
      <c r="A812" s="93" t="s">
        <v>1375</v>
      </c>
      <c r="B812" s="94" t="s">
        <v>1288</v>
      </c>
      <c r="C812" s="95" t="s">
        <v>76</v>
      </c>
      <c r="D812" s="96" t="s">
        <v>92</v>
      </c>
      <c r="E812" s="97">
        <v>11017</v>
      </c>
      <c r="F812" s="97">
        <v>1124</v>
      </c>
      <c r="G812" s="97">
        <v>1763</v>
      </c>
      <c r="H812" s="114">
        <v>34.901915087738701</v>
      </c>
      <c r="I812" s="125">
        <v>32358</v>
      </c>
      <c r="J812" s="115">
        <v>49.491029627826038</v>
      </c>
    </row>
    <row r="813" spans="1:10" ht="16">
      <c r="A813" s="100" t="s">
        <v>1376</v>
      </c>
      <c r="B813" s="101" t="s">
        <v>1288</v>
      </c>
      <c r="C813" s="102" t="s">
        <v>76</v>
      </c>
      <c r="D813" s="103" t="s">
        <v>61</v>
      </c>
      <c r="E813" s="104">
        <v>11185</v>
      </c>
      <c r="F813" s="104">
        <v>1141</v>
      </c>
      <c r="G813" s="104">
        <v>1230</v>
      </c>
      <c r="H813" s="116">
        <v>24.302346624978401</v>
      </c>
      <c r="I813" s="126">
        <v>17568</v>
      </c>
      <c r="J813" s="117">
        <v>43.181559445305105</v>
      </c>
    </row>
    <row r="814" spans="1:10" ht="16">
      <c r="A814" s="93" t="s">
        <v>1114</v>
      </c>
      <c r="B814" s="94" t="s">
        <v>1081</v>
      </c>
      <c r="C814" s="95" t="s">
        <v>76</v>
      </c>
      <c r="D814" s="96" t="s">
        <v>60</v>
      </c>
      <c r="E814" s="97">
        <v>15704</v>
      </c>
      <c r="F814" s="97">
        <v>586</v>
      </c>
      <c r="G814" s="97">
        <v>1570</v>
      </c>
      <c r="H814" s="114">
        <v>13.283031387720564</v>
      </c>
      <c r="I814" s="125">
        <v>1367</v>
      </c>
      <c r="J814" s="115">
        <v>15.457351585896914</v>
      </c>
    </row>
    <row r="815" spans="1:10" ht="16">
      <c r="A815" s="100" t="s">
        <v>1115</v>
      </c>
      <c r="B815" s="101" t="s">
        <v>1081</v>
      </c>
      <c r="C815" s="102" t="s">
        <v>76</v>
      </c>
      <c r="D815" s="103" t="s">
        <v>82</v>
      </c>
      <c r="E815" s="104">
        <v>3492</v>
      </c>
      <c r="F815" s="104">
        <v>346</v>
      </c>
      <c r="G815" s="104">
        <v>175</v>
      </c>
      <c r="H815" s="116">
        <v>14.884356883301116</v>
      </c>
      <c r="I815" s="126">
        <v>2141</v>
      </c>
      <c r="J815" s="117">
        <v>20.080313447193014</v>
      </c>
    </row>
    <row r="816" spans="1:10" ht="16">
      <c r="A816" s="93" t="s">
        <v>1236</v>
      </c>
      <c r="B816" s="94" t="s">
        <v>1190</v>
      </c>
      <c r="C816" s="95" t="s">
        <v>76</v>
      </c>
      <c r="D816" s="96" t="s">
        <v>77</v>
      </c>
      <c r="E816" s="97">
        <v>32665</v>
      </c>
      <c r="F816" s="97">
        <v>3082</v>
      </c>
      <c r="G816" s="97">
        <v>16986</v>
      </c>
      <c r="H816" s="114">
        <v>89.141934857126074</v>
      </c>
      <c r="I816" s="125">
        <v>85344</v>
      </c>
      <c r="J816" s="115">
        <v>78.768002976647921</v>
      </c>
    </row>
    <row r="817" spans="1:10" ht="16">
      <c r="A817" s="100" t="s">
        <v>954</v>
      </c>
      <c r="B817" s="101" t="s">
        <v>919</v>
      </c>
      <c r="C817" s="102" t="s">
        <v>107</v>
      </c>
      <c r="D817" s="103" t="s">
        <v>82</v>
      </c>
      <c r="E817" s="104">
        <v>14111</v>
      </c>
      <c r="F817" s="104">
        <v>2520</v>
      </c>
      <c r="G817" s="104">
        <v>141</v>
      </c>
      <c r="H817" s="116">
        <v>8.4468229960734433</v>
      </c>
      <c r="I817" s="126">
        <v>834</v>
      </c>
      <c r="J817" s="117">
        <v>20.976734231274875</v>
      </c>
    </row>
    <row r="818" spans="1:10" ht="16">
      <c r="A818" s="93" t="s">
        <v>852</v>
      </c>
      <c r="B818" s="94" t="s">
        <v>850</v>
      </c>
      <c r="C818" s="95" t="s">
        <v>76</v>
      </c>
      <c r="D818" s="96" t="s">
        <v>84</v>
      </c>
      <c r="E818" s="97">
        <v>16475</v>
      </c>
      <c r="F818" s="97">
        <v>1267</v>
      </c>
      <c r="G818" s="97">
        <v>1648</v>
      </c>
      <c r="H818" s="114">
        <v>18.598524560915259</v>
      </c>
      <c r="I818" s="125">
        <v>14510</v>
      </c>
      <c r="J818" s="115">
        <v>22.418660982170188</v>
      </c>
    </row>
    <row r="819" spans="1:10" ht="16">
      <c r="A819" s="100" t="s">
        <v>424</v>
      </c>
      <c r="B819" s="101" t="s">
        <v>402</v>
      </c>
      <c r="C819" s="102" t="s">
        <v>107</v>
      </c>
      <c r="D819" s="103" t="s">
        <v>92</v>
      </c>
      <c r="E819" s="104">
        <v>10629</v>
      </c>
      <c r="F819" s="104">
        <v>384</v>
      </c>
      <c r="G819" s="104">
        <v>1382</v>
      </c>
      <c r="H819" s="116">
        <v>36.680281717192564</v>
      </c>
      <c r="I819" s="126">
        <v>34813</v>
      </c>
      <c r="J819" s="117">
        <v>40.629564000803107</v>
      </c>
    </row>
    <row r="820" spans="1:10" ht="16">
      <c r="A820" s="93" t="s">
        <v>1014</v>
      </c>
      <c r="B820" s="94" t="s">
        <v>988</v>
      </c>
      <c r="C820" s="95" t="s">
        <v>107</v>
      </c>
      <c r="D820" s="96" t="s">
        <v>82</v>
      </c>
      <c r="E820" s="97">
        <v>4127</v>
      </c>
      <c r="F820" s="97">
        <v>297</v>
      </c>
      <c r="G820" s="97">
        <v>330</v>
      </c>
      <c r="H820" s="114">
        <v>38.884720111059117</v>
      </c>
      <c r="I820" s="125">
        <v>35316</v>
      </c>
      <c r="J820" s="115">
        <v>28.097200378115815</v>
      </c>
    </row>
    <row r="821" spans="1:10" ht="16">
      <c r="A821" s="100" t="s">
        <v>1237</v>
      </c>
      <c r="B821" s="101" t="s">
        <v>1190</v>
      </c>
      <c r="C821" s="102" t="s">
        <v>76</v>
      </c>
      <c r="D821" s="103" t="s">
        <v>84</v>
      </c>
      <c r="E821" s="104">
        <v>17817</v>
      </c>
      <c r="F821" s="104">
        <v>1042</v>
      </c>
      <c r="G821" s="104">
        <v>1425</v>
      </c>
      <c r="H821" s="116">
        <v>18.835156422814261</v>
      </c>
      <c r="I821" s="126">
        <v>7485</v>
      </c>
      <c r="J821" s="117">
        <v>21.601683947286944</v>
      </c>
    </row>
    <row r="822" spans="1:10" ht="16">
      <c r="A822" s="93" t="s">
        <v>1187</v>
      </c>
      <c r="B822" s="94" t="s">
        <v>1185</v>
      </c>
      <c r="C822" s="95" t="s">
        <v>76</v>
      </c>
      <c r="D822" s="96" t="s">
        <v>130</v>
      </c>
      <c r="E822" s="97">
        <v>7523</v>
      </c>
      <c r="F822" s="97">
        <v>818</v>
      </c>
      <c r="G822" s="97">
        <v>1580</v>
      </c>
      <c r="H822" s="114">
        <v>19.849728420779854</v>
      </c>
      <c r="I822" s="125">
        <v>16311</v>
      </c>
      <c r="J822" s="115">
        <v>24.048788344207541</v>
      </c>
    </row>
    <row r="823" spans="1:10" ht="16">
      <c r="A823" s="100" t="s">
        <v>874</v>
      </c>
      <c r="B823" s="101" t="s">
        <v>873</v>
      </c>
      <c r="C823" s="102" t="s">
        <v>76</v>
      </c>
      <c r="D823" s="103" t="s">
        <v>92</v>
      </c>
      <c r="E823" s="104">
        <v>6236</v>
      </c>
      <c r="F823" s="104">
        <v>588</v>
      </c>
      <c r="G823" s="104">
        <v>99</v>
      </c>
      <c r="H823" s="116">
        <v>11.978721969850806</v>
      </c>
      <c r="I823" s="126">
        <v>9522</v>
      </c>
      <c r="J823" s="117">
        <v>17.272405402701182</v>
      </c>
    </row>
    <row r="824" spans="1:10" ht="16">
      <c r="A824" s="93" t="s">
        <v>533</v>
      </c>
      <c r="B824" s="94" t="s">
        <v>530</v>
      </c>
      <c r="C824" s="95" t="s">
        <v>76</v>
      </c>
      <c r="D824" s="96" t="s">
        <v>92</v>
      </c>
      <c r="E824" s="97">
        <v>38310</v>
      </c>
      <c r="F824" s="97">
        <v>4455</v>
      </c>
      <c r="G824" s="97">
        <v>766</v>
      </c>
      <c r="H824" s="114">
        <v>11.627901505710838</v>
      </c>
      <c r="I824" s="125">
        <v>1773</v>
      </c>
      <c r="J824" s="115">
        <v>23.84299142464991</v>
      </c>
    </row>
    <row r="825" spans="1:10" ht="16">
      <c r="A825" s="100" t="s">
        <v>179</v>
      </c>
      <c r="B825" s="101" t="s">
        <v>180</v>
      </c>
      <c r="C825" s="102" t="s">
        <v>76</v>
      </c>
      <c r="D825" s="103" t="s">
        <v>130</v>
      </c>
      <c r="E825" s="104">
        <v>3830</v>
      </c>
      <c r="F825" s="104">
        <v>351</v>
      </c>
      <c r="G825" s="104">
        <v>575</v>
      </c>
      <c r="H825" s="116">
        <v>19.777349370841488</v>
      </c>
      <c r="I825" s="126">
        <v>14474</v>
      </c>
      <c r="J825" s="117">
        <v>23.196785577460144</v>
      </c>
    </row>
    <row r="826" spans="1:10" ht="16">
      <c r="A826" s="93" t="s">
        <v>783</v>
      </c>
      <c r="B826" s="94" t="s">
        <v>782</v>
      </c>
      <c r="C826" s="95" t="s">
        <v>76</v>
      </c>
      <c r="D826" s="96" t="s">
        <v>63</v>
      </c>
      <c r="E826" s="97">
        <v>17180</v>
      </c>
      <c r="F826" s="97">
        <v>1701</v>
      </c>
      <c r="G826" s="97">
        <v>2577</v>
      </c>
      <c r="H826" s="114">
        <v>20.393112497724424</v>
      </c>
      <c r="I826" s="125">
        <v>6365</v>
      </c>
      <c r="J826" s="115">
        <v>34.700939755704994</v>
      </c>
    </row>
    <row r="827" spans="1:10" ht="16">
      <c r="A827" s="100" t="s">
        <v>784</v>
      </c>
      <c r="B827" s="101" t="s">
        <v>782</v>
      </c>
      <c r="C827" s="102" t="s">
        <v>107</v>
      </c>
      <c r="D827" s="103" t="s">
        <v>92</v>
      </c>
      <c r="E827" s="104">
        <v>12154</v>
      </c>
      <c r="F827" s="104">
        <v>711</v>
      </c>
      <c r="G827" s="104">
        <v>608</v>
      </c>
      <c r="H827" s="116">
        <v>12.550435005307634</v>
      </c>
      <c r="I827" s="126">
        <v>7648</v>
      </c>
      <c r="J827" s="117">
        <v>16.845673510716757</v>
      </c>
    </row>
    <row r="828" spans="1:10" ht="16">
      <c r="A828" s="93" t="s">
        <v>785</v>
      </c>
      <c r="B828" s="94" t="s">
        <v>782</v>
      </c>
      <c r="C828" s="95" t="s">
        <v>76</v>
      </c>
      <c r="D828" s="96" t="s">
        <v>84</v>
      </c>
      <c r="E828" s="97">
        <v>15973</v>
      </c>
      <c r="F828" s="97">
        <v>850</v>
      </c>
      <c r="G828" s="97">
        <v>958</v>
      </c>
      <c r="H828" s="114">
        <v>9.2301409223840842</v>
      </c>
      <c r="I828" s="125">
        <v>900</v>
      </c>
      <c r="J828" s="115">
        <v>18.255333201737063</v>
      </c>
    </row>
    <row r="829" spans="1:10" ht="16">
      <c r="A829" s="100" t="s">
        <v>786</v>
      </c>
      <c r="B829" s="101" t="s">
        <v>782</v>
      </c>
      <c r="C829" s="102" t="s">
        <v>76</v>
      </c>
      <c r="D829" s="103" t="s">
        <v>80</v>
      </c>
      <c r="E829" s="104">
        <v>20018</v>
      </c>
      <c r="F829" s="104">
        <v>1654</v>
      </c>
      <c r="G829" s="104">
        <v>4604</v>
      </c>
      <c r="H829" s="116">
        <v>31.476807011985329</v>
      </c>
      <c r="I829" s="126">
        <v>6054</v>
      </c>
      <c r="J829" s="117">
        <v>32.475302129842632</v>
      </c>
    </row>
    <row r="830" spans="1:10" ht="16">
      <c r="A830" s="93" t="s">
        <v>787</v>
      </c>
      <c r="B830" s="94" t="s">
        <v>782</v>
      </c>
      <c r="C830" s="95" t="s">
        <v>76</v>
      </c>
      <c r="D830" s="96" t="s">
        <v>82</v>
      </c>
      <c r="E830" s="97">
        <v>20908</v>
      </c>
      <c r="F830" s="97">
        <v>1954</v>
      </c>
      <c r="G830" s="97">
        <v>3136</v>
      </c>
      <c r="H830" s="114">
        <v>23.151332238891236</v>
      </c>
      <c r="I830" s="125">
        <v>6068</v>
      </c>
      <c r="J830" s="115">
        <v>35.860322241757366</v>
      </c>
    </row>
    <row r="831" spans="1:10" ht="16">
      <c r="A831" s="100" t="s">
        <v>788</v>
      </c>
      <c r="B831" s="101" t="s">
        <v>782</v>
      </c>
      <c r="C831" s="102" t="s">
        <v>76</v>
      </c>
      <c r="D831" s="103" t="s">
        <v>62</v>
      </c>
      <c r="E831" s="104">
        <v>19087</v>
      </c>
      <c r="F831" s="104">
        <v>1704</v>
      </c>
      <c r="G831" s="104">
        <v>2672</v>
      </c>
      <c r="H831" s="116">
        <v>25.707493852646554</v>
      </c>
      <c r="I831" s="126">
        <v>7413</v>
      </c>
      <c r="J831" s="117">
        <v>36.631902233714264</v>
      </c>
    </row>
    <row r="832" spans="1:10" ht="16">
      <c r="A832" s="93" t="s">
        <v>789</v>
      </c>
      <c r="B832" s="94" t="s">
        <v>782</v>
      </c>
      <c r="C832" s="95" t="s">
        <v>76</v>
      </c>
      <c r="D832" s="96" t="s">
        <v>61</v>
      </c>
      <c r="E832" s="97">
        <v>54483</v>
      </c>
      <c r="F832" s="97">
        <v>3186</v>
      </c>
      <c r="G832" s="97">
        <v>3791</v>
      </c>
      <c r="H832" s="114">
        <v>12.889028865528502</v>
      </c>
      <c r="I832" s="125">
        <v>1439</v>
      </c>
      <c r="J832" s="115">
        <v>18.154444868470488</v>
      </c>
    </row>
    <row r="833" spans="1:10" ht="16">
      <c r="A833" s="100" t="s">
        <v>790</v>
      </c>
      <c r="B833" s="101" t="s">
        <v>782</v>
      </c>
      <c r="C833" s="102" t="s">
        <v>107</v>
      </c>
      <c r="D833" s="103" t="s">
        <v>130</v>
      </c>
      <c r="E833" s="104">
        <v>6212</v>
      </c>
      <c r="F833" s="104">
        <v>391</v>
      </c>
      <c r="G833" s="104">
        <v>1056</v>
      </c>
      <c r="H833" s="116">
        <v>30.394189621448163</v>
      </c>
      <c r="I833" s="126">
        <v>8121</v>
      </c>
      <c r="J833" s="117">
        <v>27.359668504175684</v>
      </c>
    </row>
    <row r="834" spans="1:10" ht="16">
      <c r="A834" s="93" t="s">
        <v>791</v>
      </c>
      <c r="B834" s="94" t="s">
        <v>782</v>
      </c>
      <c r="C834" s="95" t="s">
        <v>107</v>
      </c>
      <c r="D834" s="96" t="s">
        <v>63</v>
      </c>
      <c r="E834" s="97">
        <v>6780</v>
      </c>
      <c r="F834" s="97">
        <v>421</v>
      </c>
      <c r="G834" s="97">
        <v>407</v>
      </c>
      <c r="H834" s="114">
        <v>13.852028718108233</v>
      </c>
      <c r="I834" s="125">
        <v>4733</v>
      </c>
      <c r="J834" s="115">
        <v>18.67280594398575</v>
      </c>
    </row>
    <row r="835" spans="1:10" ht="16">
      <c r="A835" s="100" t="s">
        <v>792</v>
      </c>
      <c r="B835" s="101" t="s">
        <v>782</v>
      </c>
      <c r="C835" s="102" t="s">
        <v>76</v>
      </c>
      <c r="D835" s="103" t="s">
        <v>80</v>
      </c>
      <c r="E835" s="104">
        <v>18763</v>
      </c>
      <c r="F835" s="104">
        <v>1165</v>
      </c>
      <c r="G835" s="104">
        <v>375</v>
      </c>
      <c r="H835" s="116">
        <v>12.90809276756953</v>
      </c>
      <c r="I835" s="126">
        <v>10025</v>
      </c>
      <c r="J835" s="117">
        <v>15.558346649441978</v>
      </c>
    </row>
    <row r="836" spans="1:10" ht="16">
      <c r="A836" s="93" t="s">
        <v>793</v>
      </c>
      <c r="B836" s="94" t="s">
        <v>782</v>
      </c>
      <c r="C836" s="95" t="s">
        <v>76</v>
      </c>
      <c r="D836" s="96" t="s">
        <v>59</v>
      </c>
      <c r="E836" s="97">
        <v>12871</v>
      </c>
      <c r="F836" s="97">
        <v>1100</v>
      </c>
      <c r="G836" s="97">
        <v>3218</v>
      </c>
      <c r="H836" s="114">
        <v>21.796312315925796</v>
      </c>
      <c r="I836" s="125">
        <v>1951</v>
      </c>
      <c r="J836" s="115">
        <v>31.034374694886896</v>
      </c>
    </row>
    <row r="837" spans="1:10" ht="16">
      <c r="A837" s="100" t="s">
        <v>1377</v>
      </c>
      <c r="B837" s="101" t="s">
        <v>1288</v>
      </c>
      <c r="C837" s="102" t="s">
        <v>107</v>
      </c>
      <c r="D837" s="103" t="s">
        <v>84</v>
      </c>
      <c r="E837" s="104">
        <v>25849</v>
      </c>
      <c r="F837" s="104">
        <v>1486</v>
      </c>
      <c r="G837" s="104">
        <v>4394</v>
      </c>
      <c r="H837" s="116">
        <v>33.003212271269966</v>
      </c>
      <c r="I837" s="126">
        <v>24166</v>
      </c>
      <c r="J837" s="117">
        <v>37.519453304335002</v>
      </c>
    </row>
    <row r="838" spans="1:10" ht="16">
      <c r="A838" s="93" t="s">
        <v>587</v>
      </c>
      <c r="B838" s="94" t="s">
        <v>581</v>
      </c>
      <c r="C838" s="95" t="s">
        <v>76</v>
      </c>
      <c r="D838" s="96" t="s">
        <v>60</v>
      </c>
      <c r="E838" s="97">
        <v>16861</v>
      </c>
      <c r="F838" s="97">
        <v>937</v>
      </c>
      <c r="G838" s="97">
        <v>3035</v>
      </c>
      <c r="H838" s="114">
        <v>24.066018978655208</v>
      </c>
      <c r="I838" s="125">
        <v>17946</v>
      </c>
      <c r="J838" s="115">
        <v>25.339719458321703</v>
      </c>
    </row>
    <row r="839" spans="1:10" ht="16">
      <c r="A839" s="100" t="s">
        <v>588</v>
      </c>
      <c r="B839" s="101" t="s">
        <v>581</v>
      </c>
      <c r="C839" s="102" t="s">
        <v>76</v>
      </c>
      <c r="D839" s="103" t="s">
        <v>63</v>
      </c>
      <c r="E839" s="104">
        <v>22541</v>
      </c>
      <c r="F839" s="104">
        <v>976</v>
      </c>
      <c r="G839" s="104">
        <v>6537</v>
      </c>
      <c r="H839" s="116">
        <v>37.40776462405546</v>
      </c>
      <c r="I839" s="126">
        <v>26931</v>
      </c>
      <c r="J839" s="117">
        <v>30.852033045862683</v>
      </c>
    </row>
    <row r="840" spans="1:10" ht="16">
      <c r="A840" s="93" t="s">
        <v>1238</v>
      </c>
      <c r="B840" s="94" t="s">
        <v>1190</v>
      </c>
      <c r="C840" s="95" t="s">
        <v>76</v>
      </c>
      <c r="D840" s="96" t="s">
        <v>84</v>
      </c>
      <c r="E840" s="97">
        <v>12399</v>
      </c>
      <c r="F840" s="97">
        <v>790</v>
      </c>
      <c r="G840" s="97">
        <v>4836</v>
      </c>
      <c r="H840" s="114">
        <v>33.938443744485149</v>
      </c>
      <c r="I840" s="125">
        <v>31826</v>
      </c>
      <c r="J840" s="115">
        <v>31.322381852181572</v>
      </c>
    </row>
    <row r="841" spans="1:10" ht="16">
      <c r="A841" s="100" t="s">
        <v>110</v>
      </c>
      <c r="B841" s="101" t="s">
        <v>89</v>
      </c>
      <c r="C841" s="102" t="s">
        <v>107</v>
      </c>
      <c r="D841" s="103" t="s">
        <v>63</v>
      </c>
      <c r="E841" s="104">
        <v>21093</v>
      </c>
      <c r="F841" s="104">
        <v>705</v>
      </c>
      <c r="G841" s="104">
        <v>6117</v>
      </c>
      <c r="H841" s="116">
        <v>41.687981204544982</v>
      </c>
      <c r="I841" s="126">
        <v>39766</v>
      </c>
      <c r="J841" s="117">
        <v>34.373149126882119</v>
      </c>
    </row>
    <row r="842" spans="1:10" ht="16">
      <c r="A842" s="93" t="s">
        <v>866</v>
      </c>
      <c r="B842" s="94" t="s">
        <v>858</v>
      </c>
      <c r="C842" s="95" t="s">
        <v>107</v>
      </c>
      <c r="D842" s="96" t="s">
        <v>60</v>
      </c>
      <c r="E842" s="97">
        <v>24440</v>
      </c>
      <c r="F842" s="97">
        <v>690</v>
      </c>
      <c r="G842" s="97">
        <v>1701</v>
      </c>
      <c r="H842" s="114">
        <v>16.853732204092651</v>
      </c>
      <c r="I842" s="125">
        <v>4761</v>
      </c>
      <c r="J842" s="115">
        <v>17.542052357898225</v>
      </c>
    </row>
    <row r="843" spans="1:10" ht="16">
      <c r="A843" s="100" t="s">
        <v>1378</v>
      </c>
      <c r="B843" s="101" t="s">
        <v>1288</v>
      </c>
      <c r="C843" s="102" t="s">
        <v>76</v>
      </c>
      <c r="D843" s="103" t="s">
        <v>63</v>
      </c>
      <c r="E843" s="104">
        <v>35120</v>
      </c>
      <c r="F843" s="104">
        <v>1561</v>
      </c>
      <c r="G843" s="104">
        <v>1405</v>
      </c>
      <c r="H843" s="116">
        <v>22.942941848043443</v>
      </c>
      <c r="I843" s="126">
        <v>17441</v>
      </c>
      <c r="J843" s="117">
        <v>27.635894043013828</v>
      </c>
    </row>
    <row r="844" spans="1:10" ht="16">
      <c r="A844" s="93" t="s">
        <v>1379</v>
      </c>
      <c r="B844" s="94" t="s">
        <v>1288</v>
      </c>
      <c r="C844" s="95" t="s">
        <v>76</v>
      </c>
      <c r="D844" s="96" t="s">
        <v>63</v>
      </c>
      <c r="E844" s="97">
        <v>16927</v>
      </c>
      <c r="F844" s="97">
        <v>1014</v>
      </c>
      <c r="G844" s="97">
        <v>1016</v>
      </c>
      <c r="H844" s="114">
        <v>34.468418999051252</v>
      </c>
      <c r="I844" s="125">
        <v>32854</v>
      </c>
      <c r="J844" s="115">
        <v>39.205477835470205</v>
      </c>
    </row>
    <row r="845" spans="1:10" ht="16">
      <c r="A845" s="100" t="s">
        <v>1380</v>
      </c>
      <c r="B845" s="101" t="s">
        <v>1288</v>
      </c>
      <c r="C845" s="102" t="s">
        <v>107</v>
      </c>
      <c r="D845" s="103" t="s">
        <v>82</v>
      </c>
      <c r="E845" s="104">
        <v>6729</v>
      </c>
      <c r="F845" s="104">
        <v>413</v>
      </c>
      <c r="G845" s="104">
        <v>538</v>
      </c>
      <c r="H845" s="116">
        <v>22.785200873708717</v>
      </c>
      <c r="I845" s="126">
        <v>13097</v>
      </c>
      <c r="J845" s="117">
        <v>22.486765190777092</v>
      </c>
    </row>
    <row r="846" spans="1:10" ht="16">
      <c r="A846" s="93" t="s">
        <v>1381</v>
      </c>
      <c r="B846" s="94" t="s">
        <v>1288</v>
      </c>
      <c r="C846" s="95" t="s">
        <v>76</v>
      </c>
      <c r="D846" s="96" t="s">
        <v>130</v>
      </c>
      <c r="E846" s="97">
        <v>3593</v>
      </c>
      <c r="F846" s="97">
        <v>413</v>
      </c>
      <c r="G846" s="97">
        <v>180</v>
      </c>
      <c r="H846" s="114">
        <v>25.181096785318573</v>
      </c>
      <c r="I846" s="125">
        <v>18277</v>
      </c>
      <c r="J846" s="115">
        <v>27.601999983418601</v>
      </c>
    </row>
    <row r="847" spans="1:10" ht="16">
      <c r="A847" s="100" t="s">
        <v>194</v>
      </c>
      <c r="B847" s="101" t="s">
        <v>184</v>
      </c>
      <c r="C847" s="102" t="s">
        <v>76</v>
      </c>
      <c r="D847" s="103" t="s">
        <v>61</v>
      </c>
      <c r="E847" s="104">
        <v>31919</v>
      </c>
      <c r="F847" s="104">
        <v>1520</v>
      </c>
      <c r="G847" s="104">
        <v>8299</v>
      </c>
      <c r="H847" s="116">
        <v>49.644957828306424</v>
      </c>
      <c r="I847" s="126">
        <v>34355</v>
      </c>
      <c r="J847" s="117">
        <v>48.125900715216019</v>
      </c>
    </row>
    <row r="848" spans="1:10" ht="16">
      <c r="A848" s="93" t="s">
        <v>897</v>
      </c>
      <c r="B848" s="94" t="s">
        <v>893</v>
      </c>
      <c r="C848" s="95" t="s">
        <v>76</v>
      </c>
      <c r="D848" s="96" t="s">
        <v>59</v>
      </c>
      <c r="E848" s="97">
        <v>7780</v>
      </c>
      <c r="F848" s="97">
        <v>603</v>
      </c>
      <c r="G848" s="97">
        <v>1245</v>
      </c>
      <c r="H848" s="114">
        <v>13.750647711381012</v>
      </c>
      <c r="I848" s="125">
        <v>5492</v>
      </c>
      <c r="J848" s="115">
        <v>18.055122625155409</v>
      </c>
    </row>
    <row r="849" spans="1:10" ht="16">
      <c r="A849" s="100" t="s">
        <v>1032</v>
      </c>
      <c r="B849" s="101" t="s">
        <v>1020</v>
      </c>
      <c r="C849" s="102" t="s">
        <v>76</v>
      </c>
      <c r="D849" s="103" t="s">
        <v>130</v>
      </c>
      <c r="E849" s="104">
        <v>27207</v>
      </c>
      <c r="F849" s="104">
        <v>1479</v>
      </c>
      <c r="G849" s="104">
        <v>2449</v>
      </c>
      <c r="H849" s="116">
        <v>15.356910057660354</v>
      </c>
      <c r="I849" s="126">
        <v>4293</v>
      </c>
      <c r="J849" s="117">
        <v>20.06809737196561</v>
      </c>
    </row>
    <row r="850" spans="1:10" ht="16">
      <c r="A850" s="93" t="s">
        <v>827</v>
      </c>
      <c r="B850" s="94" t="s">
        <v>820</v>
      </c>
      <c r="C850" s="95" t="s">
        <v>76</v>
      </c>
      <c r="D850" s="96" t="s">
        <v>61</v>
      </c>
      <c r="E850" s="97">
        <v>26723</v>
      </c>
      <c r="F850" s="97">
        <v>1979</v>
      </c>
      <c r="G850" s="97">
        <v>4810</v>
      </c>
      <c r="H850" s="114">
        <v>63.904745126827066</v>
      </c>
      <c r="I850" s="125">
        <v>57937</v>
      </c>
      <c r="J850" s="115">
        <v>48.901761339982038</v>
      </c>
    </row>
    <row r="851" spans="1:10" ht="16">
      <c r="A851" s="100" t="s">
        <v>308</v>
      </c>
      <c r="B851" s="101" t="s">
        <v>304</v>
      </c>
      <c r="C851" s="102" t="s">
        <v>76</v>
      </c>
      <c r="D851" s="103" t="s">
        <v>63</v>
      </c>
      <c r="E851" s="104">
        <v>41389</v>
      </c>
      <c r="F851" s="104">
        <v>1725</v>
      </c>
      <c r="G851" s="104">
        <v>2850</v>
      </c>
      <c r="H851" s="116">
        <v>17.94398881576581</v>
      </c>
      <c r="I851" s="126">
        <v>3006</v>
      </c>
      <c r="J851" s="117">
        <v>16.792678129969502</v>
      </c>
    </row>
    <row r="852" spans="1:10" ht="16">
      <c r="A852" s="93" t="s">
        <v>147</v>
      </c>
      <c r="B852" s="94" t="s">
        <v>144</v>
      </c>
      <c r="C852" s="95" t="s">
        <v>76</v>
      </c>
      <c r="D852" s="96" t="s">
        <v>130</v>
      </c>
      <c r="E852" s="97">
        <v>15166</v>
      </c>
      <c r="F852" s="97">
        <v>518</v>
      </c>
      <c r="G852" s="97">
        <v>2578</v>
      </c>
      <c r="H852" s="114">
        <v>44.667460690546143</v>
      </c>
      <c r="I852" s="125">
        <v>33802</v>
      </c>
      <c r="J852" s="115">
        <v>36.05348133599793</v>
      </c>
    </row>
    <row r="853" spans="1:10" ht="16">
      <c r="A853" s="100" t="s">
        <v>1382</v>
      </c>
      <c r="B853" s="101" t="s">
        <v>1288</v>
      </c>
      <c r="C853" s="102" t="s">
        <v>76</v>
      </c>
      <c r="D853" s="103" t="s">
        <v>82</v>
      </c>
      <c r="E853" s="104">
        <v>39124</v>
      </c>
      <c r="F853" s="104">
        <v>2126</v>
      </c>
      <c r="G853" s="104">
        <v>3912</v>
      </c>
      <c r="H853" s="116">
        <v>53.791055751607246</v>
      </c>
      <c r="I853" s="126">
        <v>45877</v>
      </c>
      <c r="J853" s="117">
        <v>52.623418546816474</v>
      </c>
    </row>
    <row r="854" spans="1:10" ht="16">
      <c r="A854" s="93" t="s">
        <v>1383</v>
      </c>
      <c r="B854" s="94" t="s">
        <v>1288</v>
      </c>
      <c r="C854" s="95" t="s">
        <v>76</v>
      </c>
      <c r="D854" s="96" t="s">
        <v>92</v>
      </c>
      <c r="E854" s="97">
        <v>24754</v>
      </c>
      <c r="F854" s="97">
        <v>1250</v>
      </c>
      <c r="G854" s="97">
        <v>1238</v>
      </c>
      <c r="H854" s="114">
        <v>23.102534361688523</v>
      </c>
      <c r="I854" s="125">
        <v>8554</v>
      </c>
      <c r="J854" s="115">
        <v>27.748249809535178</v>
      </c>
    </row>
    <row r="855" spans="1:10" ht="16">
      <c r="A855" s="100" t="s">
        <v>837</v>
      </c>
      <c r="B855" s="101" t="s">
        <v>834</v>
      </c>
      <c r="C855" s="102" t="s">
        <v>76</v>
      </c>
      <c r="D855" s="103" t="s">
        <v>130</v>
      </c>
      <c r="E855" s="104">
        <v>32821</v>
      </c>
      <c r="F855" s="104">
        <v>1485</v>
      </c>
      <c r="G855" s="104">
        <v>10503</v>
      </c>
      <c r="H855" s="116">
        <v>44.769030829967072</v>
      </c>
      <c r="I855" s="126">
        <v>35220</v>
      </c>
      <c r="J855" s="117">
        <v>32.069873062493777</v>
      </c>
    </row>
    <row r="856" spans="1:10" ht="16">
      <c r="A856" s="93" t="s">
        <v>898</v>
      </c>
      <c r="B856" s="94" t="s">
        <v>893</v>
      </c>
      <c r="C856" s="95" t="s">
        <v>76</v>
      </c>
      <c r="D856" s="96" t="s">
        <v>62</v>
      </c>
      <c r="E856" s="97">
        <v>9774</v>
      </c>
      <c r="F856" s="97">
        <v>592</v>
      </c>
      <c r="G856" s="97">
        <v>1173</v>
      </c>
      <c r="H856" s="114">
        <v>26.282820379599972</v>
      </c>
      <c r="I856" s="125">
        <v>10416</v>
      </c>
      <c r="J856" s="115">
        <v>25.275188135015046</v>
      </c>
    </row>
    <row r="857" spans="1:10" ht="16">
      <c r="A857" s="100" t="s">
        <v>577</v>
      </c>
      <c r="B857" s="101" t="s">
        <v>578</v>
      </c>
      <c r="C857" s="102" t="s">
        <v>76</v>
      </c>
      <c r="D857" s="103" t="s">
        <v>63</v>
      </c>
      <c r="E857" s="104">
        <v>66399</v>
      </c>
      <c r="F857" s="104">
        <v>6385</v>
      </c>
      <c r="G857" s="104">
        <v>4620</v>
      </c>
      <c r="H857" s="116">
        <v>8.0359612058835079</v>
      </c>
      <c r="I857" s="126">
        <v>3527</v>
      </c>
      <c r="J857" s="117">
        <v>20.092716773922827</v>
      </c>
    </row>
    <row r="858" spans="1:10" ht="16">
      <c r="A858" s="93" t="s">
        <v>1033</v>
      </c>
      <c r="B858" s="94" t="s">
        <v>1020</v>
      </c>
      <c r="C858" s="95" t="s">
        <v>76</v>
      </c>
      <c r="D858" s="96" t="s">
        <v>80</v>
      </c>
      <c r="E858" s="97">
        <v>46214</v>
      </c>
      <c r="F858" s="97">
        <v>3916</v>
      </c>
      <c r="G858" s="97">
        <v>4621</v>
      </c>
      <c r="H858" s="114">
        <v>33.471643127053007</v>
      </c>
      <c r="I858" s="125">
        <v>28597</v>
      </c>
      <c r="J858" s="115">
        <v>37.45743894995028</v>
      </c>
    </row>
    <row r="859" spans="1:10" ht="16">
      <c r="A859" s="100" t="s">
        <v>607</v>
      </c>
      <c r="B859" s="101" t="s">
        <v>598</v>
      </c>
      <c r="C859" s="102" t="s">
        <v>76</v>
      </c>
      <c r="D859" s="103" t="s">
        <v>60</v>
      </c>
      <c r="E859" s="104">
        <v>29564</v>
      </c>
      <c r="F859" s="104">
        <v>1442</v>
      </c>
      <c r="G859" s="104">
        <v>296</v>
      </c>
      <c r="H859" s="116">
        <v>17.627542156820837</v>
      </c>
      <c r="I859" s="126">
        <v>14970</v>
      </c>
      <c r="J859" s="117">
        <v>17.071163302995981</v>
      </c>
    </row>
    <row r="860" spans="1:10" ht="16">
      <c r="A860" s="93" t="s">
        <v>1073</v>
      </c>
      <c r="B860" s="94" t="s">
        <v>1072</v>
      </c>
      <c r="C860" s="95" t="s">
        <v>76</v>
      </c>
      <c r="D860" s="96" t="s">
        <v>60</v>
      </c>
      <c r="E860" s="97">
        <v>11518</v>
      </c>
      <c r="F860" s="97">
        <v>729</v>
      </c>
      <c r="G860" s="97">
        <v>3110</v>
      </c>
      <c r="H860" s="114">
        <v>41.942562085186324</v>
      </c>
      <c r="I860" s="125">
        <v>37735</v>
      </c>
      <c r="J860" s="115">
        <v>43.260028771399753</v>
      </c>
    </row>
    <row r="861" spans="1:10" ht="16">
      <c r="A861" s="100" t="s">
        <v>1239</v>
      </c>
      <c r="B861" s="101" t="s">
        <v>1190</v>
      </c>
      <c r="C861" s="102" t="s">
        <v>107</v>
      </c>
      <c r="D861" s="103" t="s">
        <v>63</v>
      </c>
      <c r="E861" s="104">
        <v>13825</v>
      </c>
      <c r="F861" s="104">
        <v>843</v>
      </c>
      <c r="G861" s="104">
        <v>4424</v>
      </c>
      <c r="H861" s="116">
        <v>31.796101565878118</v>
      </c>
      <c r="I861" s="126">
        <v>23694</v>
      </c>
      <c r="J861" s="117">
        <v>28.756409329706951</v>
      </c>
    </row>
    <row r="862" spans="1:10" ht="16">
      <c r="A862" s="93" t="s">
        <v>425</v>
      </c>
      <c r="B862" s="94" t="s">
        <v>402</v>
      </c>
      <c r="C862" s="95" t="s">
        <v>107</v>
      </c>
      <c r="D862" s="96" t="s">
        <v>63</v>
      </c>
      <c r="E862" s="97">
        <v>9255</v>
      </c>
      <c r="F862" s="97">
        <v>312</v>
      </c>
      <c r="G862" s="97">
        <v>926</v>
      </c>
      <c r="H862" s="114">
        <v>34.528816332779186</v>
      </c>
      <c r="I862" s="125">
        <v>19350</v>
      </c>
      <c r="J862" s="115">
        <v>35.428158125808281</v>
      </c>
    </row>
    <row r="863" spans="1:10" ht="16">
      <c r="A863" s="100" t="s">
        <v>1240</v>
      </c>
      <c r="B863" s="101" t="s">
        <v>1190</v>
      </c>
      <c r="C863" s="102" t="s">
        <v>76</v>
      </c>
      <c r="D863" s="103" t="s">
        <v>63</v>
      </c>
      <c r="E863" s="104">
        <v>10808</v>
      </c>
      <c r="F863" s="104">
        <v>540</v>
      </c>
      <c r="G863" s="104">
        <v>3675</v>
      </c>
      <c r="H863" s="116">
        <v>13.674997197899248</v>
      </c>
      <c r="I863" s="126">
        <v>4093</v>
      </c>
      <c r="J863" s="117">
        <v>17.700067145935559</v>
      </c>
    </row>
    <row r="864" spans="1:10" ht="16">
      <c r="A864" s="93" t="s">
        <v>899</v>
      </c>
      <c r="B864" s="94" t="s">
        <v>893</v>
      </c>
      <c r="C864" s="95" t="s">
        <v>76</v>
      </c>
      <c r="D864" s="96" t="s">
        <v>60</v>
      </c>
      <c r="E864" s="97">
        <v>7022</v>
      </c>
      <c r="F864" s="97">
        <v>447</v>
      </c>
      <c r="G864" s="97">
        <v>983</v>
      </c>
      <c r="H864" s="114">
        <v>17.170321294277475</v>
      </c>
      <c r="I864" s="125">
        <v>8135</v>
      </c>
      <c r="J864" s="115">
        <v>18.68690264652902</v>
      </c>
    </row>
    <row r="865" spans="1:10" ht="16">
      <c r="A865" s="100" t="s">
        <v>608</v>
      </c>
      <c r="B865" s="101" t="s">
        <v>598</v>
      </c>
      <c r="C865" s="102" t="s">
        <v>76</v>
      </c>
      <c r="D865" s="103" t="s">
        <v>63</v>
      </c>
      <c r="E865" s="104">
        <v>19022</v>
      </c>
      <c r="F865" s="104">
        <v>334</v>
      </c>
      <c r="G865" s="104">
        <v>1332</v>
      </c>
      <c r="H865" s="116">
        <v>21.642935364681605</v>
      </c>
      <c r="I865" s="126">
        <v>12502</v>
      </c>
      <c r="J865" s="117">
        <v>20.045762159842834</v>
      </c>
    </row>
    <row r="866" spans="1:10" ht="16">
      <c r="A866" s="93" t="s">
        <v>853</v>
      </c>
      <c r="B866" s="94" t="s">
        <v>850</v>
      </c>
      <c r="C866" s="95" t="s">
        <v>76</v>
      </c>
      <c r="D866" s="96" t="s">
        <v>82</v>
      </c>
      <c r="E866" s="97">
        <v>14007</v>
      </c>
      <c r="F866" s="97">
        <v>1121</v>
      </c>
      <c r="G866" s="97">
        <v>1961</v>
      </c>
      <c r="H866" s="114">
        <v>29.51476400265382</v>
      </c>
      <c r="I866" s="125">
        <v>27709</v>
      </c>
      <c r="J866" s="115">
        <v>30.099203784394575</v>
      </c>
    </row>
    <row r="867" spans="1:10" ht="16">
      <c r="A867" s="100" t="s">
        <v>1074</v>
      </c>
      <c r="B867" s="101" t="s">
        <v>1072</v>
      </c>
      <c r="C867" s="102" t="s">
        <v>76</v>
      </c>
      <c r="D867" s="103" t="s">
        <v>77</v>
      </c>
      <c r="E867" s="104">
        <v>11090</v>
      </c>
      <c r="F867" s="104">
        <v>672</v>
      </c>
      <c r="G867" s="104">
        <v>1774</v>
      </c>
      <c r="H867" s="116">
        <v>41.869922317440952</v>
      </c>
      <c r="I867" s="126">
        <v>35805</v>
      </c>
      <c r="J867" s="117">
        <v>44.557425786835957</v>
      </c>
    </row>
    <row r="868" spans="1:10" ht="16">
      <c r="A868" s="93" t="s">
        <v>565</v>
      </c>
      <c r="B868" s="94" t="s">
        <v>537</v>
      </c>
      <c r="C868" s="95" t="s">
        <v>76</v>
      </c>
      <c r="D868" s="96" t="s">
        <v>59</v>
      </c>
      <c r="E868" s="97">
        <v>11000</v>
      </c>
      <c r="F868" s="97">
        <v>451</v>
      </c>
      <c r="G868" s="97">
        <v>110</v>
      </c>
      <c r="H868" s="114">
        <v>8.6763187620254545</v>
      </c>
      <c r="I868" s="125">
        <v>736</v>
      </c>
      <c r="J868" s="115">
        <v>17.334285018751146</v>
      </c>
    </row>
    <row r="869" spans="1:10" ht="16">
      <c r="A869" s="100" t="s">
        <v>1241</v>
      </c>
      <c r="B869" s="101" t="s">
        <v>1190</v>
      </c>
      <c r="C869" s="102" t="s">
        <v>76</v>
      </c>
      <c r="D869" s="103" t="s">
        <v>59</v>
      </c>
      <c r="E869" s="104">
        <v>29542</v>
      </c>
      <c r="F869" s="104">
        <v>1906</v>
      </c>
      <c r="G869" s="104">
        <v>8567</v>
      </c>
      <c r="H869" s="116">
        <v>46.223635136613197</v>
      </c>
      <c r="I869" s="126">
        <v>42133</v>
      </c>
      <c r="J869" s="117">
        <v>40.079695444068975</v>
      </c>
    </row>
    <row r="870" spans="1:10" ht="16">
      <c r="A870" s="93" t="s">
        <v>74</v>
      </c>
      <c r="B870" s="94" t="s">
        <v>75</v>
      </c>
      <c r="C870" s="95" t="s">
        <v>76</v>
      </c>
      <c r="D870" s="96" t="s">
        <v>77</v>
      </c>
      <c r="E870" s="97">
        <v>34037</v>
      </c>
      <c r="F870" s="97">
        <v>1389</v>
      </c>
      <c r="G870" s="97">
        <v>340</v>
      </c>
      <c r="H870" s="114">
        <v>8.208140330159571</v>
      </c>
      <c r="I870" s="125">
        <v>1043</v>
      </c>
      <c r="J870" s="115">
        <v>16.432070144451572</v>
      </c>
    </row>
    <row r="871" spans="1:10" ht="16">
      <c r="A871" s="100" t="s">
        <v>609</v>
      </c>
      <c r="B871" s="101" t="s">
        <v>598</v>
      </c>
      <c r="C871" s="102" t="s">
        <v>76</v>
      </c>
      <c r="D871" s="103" t="s">
        <v>82</v>
      </c>
      <c r="E871" s="104">
        <v>65819</v>
      </c>
      <c r="F871" s="104">
        <v>2742</v>
      </c>
      <c r="G871" s="104">
        <v>7898</v>
      </c>
      <c r="H871" s="116">
        <v>35.173299290335642</v>
      </c>
      <c r="I871" s="126">
        <v>29220</v>
      </c>
      <c r="J871" s="117">
        <v>52.103041506358309</v>
      </c>
    </row>
    <row r="872" spans="1:10" ht="16">
      <c r="A872" s="93" t="s">
        <v>426</v>
      </c>
      <c r="B872" s="94" t="s">
        <v>402</v>
      </c>
      <c r="C872" s="95" t="s">
        <v>76</v>
      </c>
      <c r="D872" s="96" t="s">
        <v>82</v>
      </c>
      <c r="E872" s="97">
        <v>36352</v>
      </c>
      <c r="F872" s="97">
        <v>537</v>
      </c>
      <c r="G872" s="97">
        <v>4726</v>
      </c>
      <c r="H872" s="114">
        <v>47.256162528571451</v>
      </c>
      <c r="I872" s="125">
        <v>41418</v>
      </c>
      <c r="J872" s="115">
        <v>47.716569066206972</v>
      </c>
    </row>
    <row r="873" spans="1:10" ht="16">
      <c r="A873" s="100" t="s">
        <v>389</v>
      </c>
      <c r="B873" s="101" t="s">
        <v>377</v>
      </c>
      <c r="C873" s="102" t="s">
        <v>76</v>
      </c>
      <c r="D873" s="103" t="s">
        <v>84</v>
      </c>
      <c r="E873" s="104">
        <v>54965</v>
      </c>
      <c r="F873" s="104">
        <v>2545</v>
      </c>
      <c r="G873" s="104">
        <v>7145</v>
      </c>
      <c r="H873" s="116">
        <v>23.01969189132587</v>
      </c>
      <c r="I873" s="126">
        <v>15280</v>
      </c>
      <c r="J873" s="117">
        <v>30.846128096426817</v>
      </c>
    </row>
    <row r="874" spans="1:10" ht="16">
      <c r="A874" s="93" t="s">
        <v>1242</v>
      </c>
      <c r="B874" s="94" t="s">
        <v>1190</v>
      </c>
      <c r="C874" s="95" t="s">
        <v>76</v>
      </c>
      <c r="D874" s="96" t="s">
        <v>80</v>
      </c>
      <c r="E874" s="97">
        <v>8917</v>
      </c>
      <c r="F874" s="97">
        <v>504</v>
      </c>
      <c r="G874" s="97">
        <v>2497</v>
      </c>
      <c r="H874" s="114">
        <v>17.193907302980435</v>
      </c>
      <c r="I874" s="125">
        <v>5446</v>
      </c>
      <c r="J874" s="115">
        <v>20.011525153270131</v>
      </c>
    </row>
    <row r="875" spans="1:10" ht="16">
      <c r="A875" s="100" t="s">
        <v>534</v>
      </c>
      <c r="B875" s="101" t="s">
        <v>530</v>
      </c>
      <c r="C875" s="102" t="s">
        <v>76</v>
      </c>
      <c r="D875" s="103" t="s">
        <v>61</v>
      </c>
      <c r="E875" s="104">
        <v>52975</v>
      </c>
      <c r="F875" s="104">
        <v>2803</v>
      </c>
      <c r="G875" s="104">
        <v>530</v>
      </c>
      <c r="H875" s="116">
        <v>9.0615760551950277</v>
      </c>
      <c r="I875" s="126">
        <v>774</v>
      </c>
      <c r="J875" s="117">
        <v>16.779583492971732</v>
      </c>
    </row>
    <row r="876" spans="1:10" ht="16">
      <c r="A876" s="93" t="s">
        <v>427</v>
      </c>
      <c r="B876" s="94" t="s">
        <v>402</v>
      </c>
      <c r="C876" s="95" t="s">
        <v>76</v>
      </c>
      <c r="D876" s="96" t="s">
        <v>130</v>
      </c>
      <c r="E876" s="97">
        <v>18915</v>
      </c>
      <c r="F876" s="97">
        <v>593</v>
      </c>
      <c r="G876" s="97">
        <v>2270</v>
      </c>
      <c r="H876" s="114">
        <v>36.682637210500616</v>
      </c>
      <c r="I876" s="125">
        <v>20291</v>
      </c>
      <c r="J876" s="115">
        <v>37.327428597546792</v>
      </c>
    </row>
    <row r="877" spans="1:10" ht="16">
      <c r="A877" s="100" t="s">
        <v>610</v>
      </c>
      <c r="B877" s="101" t="s">
        <v>598</v>
      </c>
      <c r="C877" s="102" t="s">
        <v>107</v>
      </c>
      <c r="D877" s="103" t="s">
        <v>82</v>
      </c>
      <c r="E877" s="104">
        <v>14206</v>
      </c>
      <c r="F877" s="104">
        <v>522</v>
      </c>
      <c r="G877" s="104">
        <v>994</v>
      </c>
      <c r="H877" s="116">
        <v>17.097852215679971</v>
      </c>
      <c r="I877" s="126">
        <v>12220</v>
      </c>
      <c r="J877" s="117">
        <v>16.250095137419997</v>
      </c>
    </row>
    <row r="878" spans="1:10" ht="16">
      <c r="A878" s="93" t="s">
        <v>1243</v>
      </c>
      <c r="B878" s="94" t="s">
        <v>1190</v>
      </c>
      <c r="C878" s="95" t="s">
        <v>76</v>
      </c>
      <c r="D878" s="96" t="s">
        <v>84</v>
      </c>
      <c r="E878" s="97">
        <v>17155</v>
      </c>
      <c r="F878" s="97">
        <v>953</v>
      </c>
      <c r="G878" s="97">
        <v>3603</v>
      </c>
      <c r="H878" s="114">
        <v>14.235431051225504</v>
      </c>
      <c r="I878" s="125">
        <v>6245</v>
      </c>
      <c r="J878" s="115">
        <v>17.391662556516341</v>
      </c>
    </row>
    <row r="879" spans="1:10" ht="16">
      <c r="A879" s="100" t="s">
        <v>1244</v>
      </c>
      <c r="B879" s="101" t="s">
        <v>1190</v>
      </c>
      <c r="C879" s="102" t="s">
        <v>76</v>
      </c>
      <c r="D879" s="103" t="s">
        <v>60</v>
      </c>
      <c r="E879" s="104">
        <v>21783</v>
      </c>
      <c r="F879" s="104">
        <v>1602</v>
      </c>
      <c r="G879" s="104">
        <v>5881</v>
      </c>
      <c r="H879" s="116">
        <v>48.595238147710432</v>
      </c>
      <c r="I879" s="126">
        <v>46316</v>
      </c>
      <c r="J879" s="117">
        <v>42.007999389853815</v>
      </c>
    </row>
    <row r="880" spans="1:10" ht="16">
      <c r="A880" s="93" t="s">
        <v>195</v>
      </c>
      <c r="B880" s="94" t="s">
        <v>184</v>
      </c>
      <c r="C880" s="95" t="s">
        <v>76</v>
      </c>
      <c r="D880" s="96" t="s">
        <v>84</v>
      </c>
      <c r="E880" s="97">
        <v>52108</v>
      </c>
      <c r="F880" s="97">
        <v>2879</v>
      </c>
      <c r="G880" s="97">
        <v>16675</v>
      </c>
      <c r="H880" s="114">
        <v>73.371266578155883</v>
      </c>
      <c r="I880" s="125">
        <v>67825</v>
      </c>
      <c r="J880" s="115">
        <v>62.267509300956007</v>
      </c>
    </row>
    <row r="881" spans="1:10" ht="16">
      <c r="A881" s="100" t="s">
        <v>916</v>
      </c>
      <c r="B881" s="101" t="s">
        <v>909</v>
      </c>
      <c r="C881" s="102" t="s">
        <v>76</v>
      </c>
      <c r="D881" s="103" t="s">
        <v>60</v>
      </c>
      <c r="E881" s="104">
        <v>30192</v>
      </c>
      <c r="F881" s="104">
        <v>1725</v>
      </c>
      <c r="G881" s="104">
        <v>604</v>
      </c>
      <c r="H881" s="116">
        <v>11.469264325431578</v>
      </c>
      <c r="I881" s="126">
        <v>1620</v>
      </c>
      <c r="J881" s="117">
        <v>18.229391710667599</v>
      </c>
    </row>
    <row r="882" spans="1:10" ht="16">
      <c r="A882" s="93" t="s">
        <v>1034</v>
      </c>
      <c r="B882" s="94" t="s">
        <v>1020</v>
      </c>
      <c r="C882" s="95" t="s">
        <v>76</v>
      </c>
      <c r="D882" s="96" t="s">
        <v>62</v>
      </c>
      <c r="E882" s="97">
        <v>7369</v>
      </c>
      <c r="F882" s="97">
        <v>550</v>
      </c>
      <c r="G882" s="97">
        <v>221</v>
      </c>
      <c r="H882" s="114">
        <v>12.927456040103927</v>
      </c>
      <c r="I882" s="125">
        <v>3138</v>
      </c>
      <c r="J882" s="115">
        <v>21.350803198323661</v>
      </c>
    </row>
    <row r="883" spans="1:10" ht="16">
      <c r="A883" s="100" t="s">
        <v>1035</v>
      </c>
      <c r="B883" s="101" t="s">
        <v>1020</v>
      </c>
      <c r="C883" s="102" t="s">
        <v>76</v>
      </c>
      <c r="D883" s="103" t="s">
        <v>130</v>
      </c>
      <c r="E883" s="104">
        <v>19288</v>
      </c>
      <c r="F883" s="104">
        <v>1010</v>
      </c>
      <c r="G883" s="104">
        <v>1543</v>
      </c>
      <c r="H883" s="116">
        <v>15.641565697894679</v>
      </c>
      <c r="I883" s="126">
        <v>4345</v>
      </c>
      <c r="J883" s="117">
        <v>27.306437072901062</v>
      </c>
    </row>
    <row r="884" spans="1:10" ht="16">
      <c r="A884" s="93" t="s">
        <v>611</v>
      </c>
      <c r="B884" s="94" t="s">
        <v>598</v>
      </c>
      <c r="C884" s="95" t="s">
        <v>76</v>
      </c>
      <c r="D884" s="96" t="s">
        <v>130</v>
      </c>
      <c r="E884" s="97">
        <v>27403</v>
      </c>
      <c r="F884" s="97">
        <v>830</v>
      </c>
      <c r="G884" s="97">
        <v>548</v>
      </c>
      <c r="H884" s="114">
        <v>18.448489522811606</v>
      </c>
      <c r="I884" s="125">
        <v>10521</v>
      </c>
      <c r="J884" s="115">
        <v>18.023245096499458</v>
      </c>
    </row>
    <row r="885" spans="1:10" ht="16">
      <c r="A885" s="100" t="s">
        <v>196</v>
      </c>
      <c r="B885" s="101" t="s">
        <v>184</v>
      </c>
      <c r="C885" s="102" t="s">
        <v>76</v>
      </c>
      <c r="D885" s="103" t="s">
        <v>59</v>
      </c>
      <c r="E885" s="104">
        <v>28560</v>
      </c>
      <c r="F885" s="104">
        <v>1785</v>
      </c>
      <c r="G885" s="104">
        <v>5426</v>
      </c>
      <c r="H885" s="116">
        <v>34.646166613949056</v>
      </c>
      <c r="I885" s="126">
        <v>29035</v>
      </c>
      <c r="J885" s="117">
        <v>34.136149457294813</v>
      </c>
    </row>
    <row r="886" spans="1:10" ht="16">
      <c r="A886" s="93" t="s">
        <v>1384</v>
      </c>
      <c r="B886" s="94" t="s">
        <v>1288</v>
      </c>
      <c r="C886" s="95" t="s">
        <v>107</v>
      </c>
      <c r="D886" s="96" t="s">
        <v>63</v>
      </c>
      <c r="E886" s="97">
        <v>41081</v>
      </c>
      <c r="F886" s="97">
        <v>2999</v>
      </c>
      <c r="G886" s="97">
        <v>6984</v>
      </c>
      <c r="H886" s="114">
        <v>90.676924119530753</v>
      </c>
      <c r="I886" s="125">
        <v>90008</v>
      </c>
      <c r="J886" s="115">
        <v>83.268490902771532</v>
      </c>
    </row>
    <row r="887" spans="1:10" ht="16">
      <c r="A887" s="100" t="s">
        <v>1385</v>
      </c>
      <c r="B887" s="101" t="s">
        <v>1288</v>
      </c>
      <c r="C887" s="102" t="s">
        <v>76</v>
      </c>
      <c r="D887" s="103" t="s">
        <v>62</v>
      </c>
      <c r="E887" s="104">
        <v>39164</v>
      </c>
      <c r="F887" s="104">
        <v>3264</v>
      </c>
      <c r="G887" s="104">
        <v>5483</v>
      </c>
      <c r="H887" s="116">
        <v>66.91479743412394</v>
      </c>
      <c r="I887" s="126">
        <v>55733</v>
      </c>
      <c r="J887" s="117">
        <v>62.665235253943585</v>
      </c>
    </row>
    <row r="888" spans="1:10" ht="16">
      <c r="A888" s="93" t="s">
        <v>1386</v>
      </c>
      <c r="B888" s="94" t="s">
        <v>1288</v>
      </c>
      <c r="C888" s="95" t="s">
        <v>76</v>
      </c>
      <c r="D888" s="96" t="s">
        <v>80</v>
      </c>
      <c r="E888" s="97">
        <v>32706</v>
      </c>
      <c r="F888" s="97">
        <v>1982</v>
      </c>
      <c r="G888" s="97">
        <v>8504</v>
      </c>
      <c r="H888" s="114">
        <v>46.996053237200329</v>
      </c>
      <c r="I888" s="125">
        <v>44239</v>
      </c>
      <c r="J888" s="115">
        <v>44.10355454400699</v>
      </c>
    </row>
    <row r="889" spans="1:10" ht="16">
      <c r="A889" s="100" t="s">
        <v>1387</v>
      </c>
      <c r="B889" s="101" t="s">
        <v>1288</v>
      </c>
      <c r="C889" s="102" t="s">
        <v>76</v>
      </c>
      <c r="D889" s="103" t="s">
        <v>82</v>
      </c>
      <c r="E889" s="104">
        <v>41066</v>
      </c>
      <c r="F889" s="104">
        <v>4369</v>
      </c>
      <c r="G889" s="104">
        <v>6981</v>
      </c>
      <c r="H889" s="116">
        <v>89.119703721570133</v>
      </c>
      <c r="I889" s="126">
        <v>86350</v>
      </c>
      <c r="J889" s="117">
        <v>83.571941290947137</v>
      </c>
    </row>
    <row r="890" spans="1:10" ht="16">
      <c r="A890" s="93" t="s">
        <v>1388</v>
      </c>
      <c r="B890" s="94" t="s">
        <v>1288</v>
      </c>
      <c r="C890" s="95" t="s">
        <v>76</v>
      </c>
      <c r="D890" s="96" t="s">
        <v>59</v>
      </c>
      <c r="E890" s="97">
        <v>7324</v>
      </c>
      <c r="F890" s="97">
        <v>350</v>
      </c>
      <c r="G890" s="97">
        <v>586</v>
      </c>
      <c r="H890" s="114">
        <v>21.683032236357494</v>
      </c>
      <c r="I890" s="125">
        <v>20679</v>
      </c>
      <c r="J890" s="115">
        <v>17.340440601148998</v>
      </c>
    </row>
    <row r="891" spans="1:10" ht="16">
      <c r="A891" s="100" t="s">
        <v>1389</v>
      </c>
      <c r="B891" s="101" t="s">
        <v>1288</v>
      </c>
      <c r="C891" s="102" t="s">
        <v>76</v>
      </c>
      <c r="D891" s="103" t="s">
        <v>60</v>
      </c>
      <c r="E891" s="104">
        <v>22272</v>
      </c>
      <c r="F891" s="104">
        <v>1237</v>
      </c>
      <c r="G891" s="104">
        <v>3118</v>
      </c>
      <c r="H891" s="116">
        <v>30.723506295292793</v>
      </c>
      <c r="I891" s="126">
        <v>26145</v>
      </c>
      <c r="J891" s="117">
        <v>31.218098131706004</v>
      </c>
    </row>
    <row r="892" spans="1:10" ht="16">
      <c r="A892" s="93" t="s">
        <v>1390</v>
      </c>
      <c r="B892" s="94" t="s">
        <v>1288</v>
      </c>
      <c r="C892" s="95" t="s">
        <v>107</v>
      </c>
      <c r="D892" s="96" t="s">
        <v>60</v>
      </c>
      <c r="E892" s="97">
        <v>33579</v>
      </c>
      <c r="F892" s="97">
        <v>2583</v>
      </c>
      <c r="G892" s="97">
        <v>7723</v>
      </c>
      <c r="H892" s="114">
        <v>79.404521579768755</v>
      </c>
      <c r="I892" s="125">
        <v>77191</v>
      </c>
      <c r="J892" s="115">
        <v>62.991345323021655</v>
      </c>
    </row>
    <row r="893" spans="1:10" ht="16">
      <c r="A893" s="100" t="s">
        <v>1391</v>
      </c>
      <c r="B893" s="101" t="s">
        <v>1288</v>
      </c>
      <c r="C893" s="102" t="s">
        <v>76</v>
      </c>
      <c r="D893" s="103" t="s">
        <v>82</v>
      </c>
      <c r="E893" s="104">
        <v>24089</v>
      </c>
      <c r="F893" s="104">
        <v>873</v>
      </c>
      <c r="G893" s="104">
        <v>3854</v>
      </c>
      <c r="H893" s="116">
        <v>63.807058085083021</v>
      </c>
      <c r="I893" s="126">
        <v>61426</v>
      </c>
      <c r="J893" s="117">
        <v>48.146095377129235</v>
      </c>
    </row>
    <row r="894" spans="1:10" ht="16">
      <c r="A894" s="93" t="s">
        <v>1392</v>
      </c>
      <c r="B894" s="94" t="s">
        <v>1288</v>
      </c>
      <c r="C894" s="95" t="s">
        <v>107</v>
      </c>
      <c r="D894" s="96" t="s">
        <v>62</v>
      </c>
      <c r="E894" s="97">
        <v>18783</v>
      </c>
      <c r="F894" s="97">
        <v>817</v>
      </c>
      <c r="G894" s="97">
        <v>1878</v>
      </c>
      <c r="H894" s="114">
        <v>35.581645654178203</v>
      </c>
      <c r="I894" s="125">
        <v>34173</v>
      </c>
      <c r="J894" s="115">
        <v>33.149994101656233</v>
      </c>
    </row>
    <row r="895" spans="1:10" ht="16">
      <c r="A895" s="100" t="s">
        <v>1245</v>
      </c>
      <c r="B895" s="101" t="s">
        <v>1190</v>
      </c>
      <c r="C895" s="102" t="s">
        <v>107</v>
      </c>
      <c r="D895" s="103" t="s">
        <v>130</v>
      </c>
      <c r="E895" s="104">
        <v>18978</v>
      </c>
      <c r="F895" s="104">
        <v>1741</v>
      </c>
      <c r="G895" s="104">
        <v>7022</v>
      </c>
      <c r="H895" s="116">
        <v>99.623052843154738</v>
      </c>
      <c r="I895" s="126">
        <v>94722</v>
      </c>
      <c r="J895" s="117">
        <v>91.502970201363752</v>
      </c>
    </row>
    <row r="896" spans="1:10" ht="16">
      <c r="A896" s="93" t="s">
        <v>175</v>
      </c>
      <c r="B896" s="94" t="s">
        <v>150</v>
      </c>
      <c r="C896" s="95" t="s">
        <v>107</v>
      </c>
      <c r="D896" s="96" t="s">
        <v>82</v>
      </c>
      <c r="E896" s="97">
        <v>28795</v>
      </c>
      <c r="F896" s="97">
        <v>1907</v>
      </c>
      <c r="G896" s="97">
        <v>864</v>
      </c>
      <c r="H896" s="114">
        <v>38.494045712720478</v>
      </c>
      <c r="I896" s="125">
        <v>13267</v>
      </c>
      <c r="J896" s="115">
        <v>44.723393627781903</v>
      </c>
    </row>
    <row r="897" spans="1:10" ht="16">
      <c r="A897" s="100" t="s">
        <v>111</v>
      </c>
      <c r="B897" s="101" t="s">
        <v>89</v>
      </c>
      <c r="C897" s="102" t="s">
        <v>76</v>
      </c>
      <c r="D897" s="103" t="s">
        <v>62</v>
      </c>
      <c r="E897" s="104">
        <v>10823</v>
      </c>
      <c r="F897" s="104">
        <v>299</v>
      </c>
      <c r="G897" s="104">
        <v>3463</v>
      </c>
      <c r="H897" s="116">
        <v>31.486388876389412</v>
      </c>
      <c r="I897" s="126">
        <v>30961</v>
      </c>
      <c r="J897" s="117">
        <v>26.178326467263911</v>
      </c>
    </row>
    <row r="898" spans="1:10" ht="16">
      <c r="A898" s="93" t="s">
        <v>838</v>
      </c>
      <c r="B898" s="94" t="s">
        <v>834</v>
      </c>
      <c r="C898" s="95" t="s">
        <v>107</v>
      </c>
      <c r="D898" s="96" t="s">
        <v>84</v>
      </c>
      <c r="E898" s="97">
        <v>13089</v>
      </c>
      <c r="F898" s="97">
        <v>727</v>
      </c>
      <c r="G898" s="97">
        <v>3141</v>
      </c>
      <c r="H898" s="114">
        <v>28.197970766947638</v>
      </c>
      <c r="I898" s="125">
        <v>19876</v>
      </c>
      <c r="J898" s="115">
        <v>24.901717158897561</v>
      </c>
    </row>
    <row r="899" spans="1:10" ht="16">
      <c r="A899" s="100" t="s">
        <v>980</v>
      </c>
      <c r="B899" s="101" t="s">
        <v>977</v>
      </c>
      <c r="C899" s="102" t="s">
        <v>76</v>
      </c>
      <c r="D899" s="103" t="s">
        <v>63</v>
      </c>
      <c r="E899" s="104">
        <v>21812</v>
      </c>
      <c r="F899" s="104">
        <v>1833</v>
      </c>
      <c r="G899" s="104">
        <v>3708</v>
      </c>
      <c r="H899" s="116">
        <v>43.758787532085087</v>
      </c>
      <c r="I899" s="126">
        <v>38724</v>
      </c>
      <c r="J899" s="117">
        <v>33.288868619975268</v>
      </c>
    </row>
    <row r="900" spans="1:10" ht="16">
      <c r="A900" s="93" t="s">
        <v>1134</v>
      </c>
      <c r="B900" s="94" t="s">
        <v>1135</v>
      </c>
      <c r="C900" s="95" t="s">
        <v>76</v>
      </c>
      <c r="D900" s="96" t="s">
        <v>130</v>
      </c>
      <c r="E900" s="97">
        <v>32088</v>
      </c>
      <c r="F900" s="97">
        <v>3177</v>
      </c>
      <c r="G900" s="97">
        <v>321</v>
      </c>
      <c r="H900" s="114">
        <v>8.9093202985753983</v>
      </c>
      <c r="I900" s="125">
        <v>1668</v>
      </c>
      <c r="J900" s="115">
        <v>19.888759637067427</v>
      </c>
    </row>
    <row r="901" spans="1:10" ht="16">
      <c r="A901" s="100" t="s">
        <v>1036</v>
      </c>
      <c r="B901" s="101" t="s">
        <v>1020</v>
      </c>
      <c r="C901" s="102" t="s">
        <v>76</v>
      </c>
      <c r="D901" s="103" t="s">
        <v>130</v>
      </c>
      <c r="E901" s="104">
        <v>23530</v>
      </c>
      <c r="F901" s="104">
        <v>1705</v>
      </c>
      <c r="G901" s="104">
        <v>1412</v>
      </c>
      <c r="H901" s="116">
        <v>13.33184686376816</v>
      </c>
      <c r="I901" s="126">
        <v>4144</v>
      </c>
      <c r="J901" s="117">
        <v>16.867803979612429</v>
      </c>
    </row>
    <row r="902" spans="1:10" ht="16">
      <c r="A902" s="93" t="s">
        <v>612</v>
      </c>
      <c r="B902" s="94" t="s">
        <v>598</v>
      </c>
      <c r="C902" s="95" t="s">
        <v>76</v>
      </c>
      <c r="D902" s="96" t="s">
        <v>130</v>
      </c>
      <c r="E902" s="97">
        <v>25392</v>
      </c>
      <c r="F902" s="97">
        <v>1245</v>
      </c>
      <c r="G902" s="97">
        <v>508</v>
      </c>
      <c r="H902" s="114">
        <v>18.180141158444822</v>
      </c>
      <c r="I902" s="125">
        <v>12022</v>
      </c>
      <c r="J902" s="115">
        <v>34.087943738150635</v>
      </c>
    </row>
    <row r="903" spans="1:10" ht="16">
      <c r="A903" s="100" t="s">
        <v>176</v>
      </c>
      <c r="B903" s="101" t="s">
        <v>150</v>
      </c>
      <c r="C903" s="102" t="s">
        <v>76</v>
      </c>
      <c r="D903" s="103" t="s">
        <v>59</v>
      </c>
      <c r="E903" s="104">
        <v>17101</v>
      </c>
      <c r="F903" s="104">
        <v>687</v>
      </c>
      <c r="G903" s="104">
        <v>855</v>
      </c>
      <c r="H903" s="116">
        <v>7.8326495687526201</v>
      </c>
      <c r="I903" s="126">
        <v>654</v>
      </c>
      <c r="J903" s="117">
        <v>14.77256547926204</v>
      </c>
    </row>
    <row r="904" spans="1:10" ht="16">
      <c r="A904" s="93" t="s">
        <v>1393</v>
      </c>
      <c r="B904" s="94" t="s">
        <v>1288</v>
      </c>
      <c r="C904" s="95" t="s">
        <v>76</v>
      </c>
      <c r="D904" s="96" t="s">
        <v>80</v>
      </c>
      <c r="E904" s="97">
        <v>56228</v>
      </c>
      <c r="F904" s="97">
        <v>1593</v>
      </c>
      <c r="G904" s="97">
        <v>2249</v>
      </c>
      <c r="H904" s="114">
        <v>28.911078500485903</v>
      </c>
      <c r="I904" s="125">
        <v>14335</v>
      </c>
      <c r="J904" s="115">
        <v>27.401990427528013</v>
      </c>
    </row>
    <row r="905" spans="1:10" ht="16">
      <c r="A905" s="100" t="s">
        <v>1246</v>
      </c>
      <c r="B905" s="101" t="s">
        <v>1190</v>
      </c>
      <c r="C905" s="102" t="s">
        <v>76</v>
      </c>
      <c r="D905" s="103" t="s">
        <v>77</v>
      </c>
      <c r="E905" s="104">
        <v>18824</v>
      </c>
      <c r="F905" s="104">
        <v>1141</v>
      </c>
      <c r="G905" s="104">
        <v>3388</v>
      </c>
      <c r="H905" s="116">
        <v>13.263031796773598</v>
      </c>
      <c r="I905" s="126">
        <v>5116</v>
      </c>
      <c r="J905" s="117">
        <v>15.876719314070746</v>
      </c>
    </row>
    <row r="906" spans="1:10" ht="16">
      <c r="A906" s="93" t="s">
        <v>390</v>
      </c>
      <c r="B906" s="94" t="s">
        <v>377</v>
      </c>
      <c r="C906" s="95" t="s">
        <v>76</v>
      </c>
      <c r="D906" s="96" t="s">
        <v>92</v>
      </c>
      <c r="E906" s="97">
        <v>14867</v>
      </c>
      <c r="F906" s="97">
        <v>912</v>
      </c>
      <c r="G906" s="97">
        <v>2379</v>
      </c>
      <c r="H906" s="114">
        <v>14.531034815725205</v>
      </c>
      <c r="I906" s="125">
        <v>3286</v>
      </c>
      <c r="J906" s="115">
        <v>16.552096196983904</v>
      </c>
    </row>
    <row r="907" spans="1:10" ht="16">
      <c r="A907" s="100" t="s">
        <v>329</v>
      </c>
      <c r="B907" s="101" t="s">
        <v>322</v>
      </c>
      <c r="C907" s="102" t="s">
        <v>76</v>
      </c>
      <c r="D907" s="103" t="s">
        <v>59</v>
      </c>
      <c r="E907" s="104">
        <v>4285</v>
      </c>
      <c r="F907" s="104">
        <v>437</v>
      </c>
      <c r="G907" s="104">
        <v>857</v>
      </c>
      <c r="H907" s="116">
        <v>15.220290088113659</v>
      </c>
      <c r="I907" s="126">
        <v>2615</v>
      </c>
      <c r="J907" s="117">
        <v>24.795014455552934</v>
      </c>
    </row>
    <row r="908" spans="1:10" ht="16">
      <c r="A908" s="93" t="s">
        <v>1247</v>
      </c>
      <c r="B908" s="94" t="s">
        <v>1190</v>
      </c>
      <c r="C908" s="95" t="s">
        <v>76</v>
      </c>
      <c r="D908" s="96" t="s">
        <v>60</v>
      </c>
      <c r="E908" s="97">
        <v>10915</v>
      </c>
      <c r="F908" s="97">
        <v>560</v>
      </c>
      <c r="G908" s="97">
        <v>1201</v>
      </c>
      <c r="H908" s="114">
        <v>13.557387438019621</v>
      </c>
      <c r="I908" s="125">
        <v>3235</v>
      </c>
      <c r="J908" s="115">
        <v>16.762485283069207</v>
      </c>
    </row>
    <row r="909" spans="1:10" ht="16">
      <c r="A909" s="100" t="s">
        <v>1394</v>
      </c>
      <c r="B909" s="101" t="s">
        <v>1288</v>
      </c>
      <c r="C909" s="102" t="s">
        <v>107</v>
      </c>
      <c r="D909" s="103" t="s">
        <v>60</v>
      </c>
      <c r="E909" s="104">
        <v>13833</v>
      </c>
      <c r="F909" s="104">
        <v>2427</v>
      </c>
      <c r="G909" s="104">
        <v>3873</v>
      </c>
      <c r="H909" s="116">
        <v>91.718594693345807</v>
      </c>
      <c r="I909" s="126">
        <v>88443</v>
      </c>
      <c r="J909" s="117">
        <v>89.566579186763207</v>
      </c>
    </row>
    <row r="910" spans="1:10" ht="16">
      <c r="A910" s="93" t="s">
        <v>216</v>
      </c>
      <c r="B910" s="94" t="s">
        <v>212</v>
      </c>
      <c r="C910" s="95" t="s">
        <v>107</v>
      </c>
      <c r="D910" s="96" t="s">
        <v>60</v>
      </c>
      <c r="E910" s="97">
        <v>35447</v>
      </c>
      <c r="F910" s="97">
        <v>2363</v>
      </c>
      <c r="G910" s="97">
        <v>2127</v>
      </c>
      <c r="H910" s="114">
        <v>17.887959388596492</v>
      </c>
      <c r="I910" s="125">
        <v>5892</v>
      </c>
      <c r="J910" s="115">
        <v>23.64322784370324</v>
      </c>
    </row>
    <row r="911" spans="1:10" ht="16">
      <c r="A911" s="100" t="s">
        <v>1395</v>
      </c>
      <c r="B911" s="101" t="s">
        <v>1288</v>
      </c>
      <c r="C911" s="102" t="s">
        <v>76</v>
      </c>
      <c r="D911" s="103" t="s">
        <v>61</v>
      </c>
      <c r="E911" s="104">
        <v>28434</v>
      </c>
      <c r="F911" s="104">
        <v>1394</v>
      </c>
      <c r="G911" s="104">
        <v>2559</v>
      </c>
      <c r="H911" s="116">
        <v>31.333600058541229</v>
      </c>
      <c r="I911" s="126">
        <v>25960</v>
      </c>
      <c r="J911" s="117">
        <v>36.08991058450632</v>
      </c>
    </row>
    <row r="912" spans="1:10" ht="16">
      <c r="A912" s="93" t="s">
        <v>391</v>
      </c>
      <c r="B912" s="94" t="s">
        <v>377</v>
      </c>
      <c r="C912" s="95" t="s">
        <v>76</v>
      </c>
      <c r="D912" s="96" t="s">
        <v>84</v>
      </c>
      <c r="E912" s="97">
        <v>34644</v>
      </c>
      <c r="F912" s="97">
        <v>1843</v>
      </c>
      <c r="G912" s="97">
        <v>4504</v>
      </c>
      <c r="H912" s="114">
        <v>10.357240032556772</v>
      </c>
      <c r="I912" s="125">
        <v>5789</v>
      </c>
      <c r="J912" s="115">
        <v>19.296550514414367</v>
      </c>
    </row>
    <row r="913" spans="1:10" ht="16">
      <c r="A913" s="100" t="s">
        <v>900</v>
      </c>
      <c r="B913" s="101" t="s">
        <v>893</v>
      </c>
      <c r="C913" s="102" t="s">
        <v>76</v>
      </c>
      <c r="D913" s="103" t="s">
        <v>80</v>
      </c>
      <c r="E913" s="104">
        <v>21404</v>
      </c>
      <c r="F913" s="104">
        <v>1216</v>
      </c>
      <c r="G913" s="104">
        <v>4067</v>
      </c>
      <c r="H913" s="116">
        <v>28.207101451436579</v>
      </c>
      <c r="I913" s="126">
        <v>13415</v>
      </c>
      <c r="J913" s="117">
        <v>24.506927039601553</v>
      </c>
    </row>
    <row r="914" spans="1:10" ht="16">
      <c r="A914" s="93" t="s">
        <v>428</v>
      </c>
      <c r="B914" s="94" t="s">
        <v>402</v>
      </c>
      <c r="C914" s="95" t="s">
        <v>76</v>
      </c>
      <c r="D914" s="96" t="s">
        <v>77</v>
      </c>
      <c r="E914" s="97">
        <v>36965</v>
      </c>
      <c r="F914" s="97">
        <v>1013</v>
      </c>
      <c r="G914" s="97">
        <v>5914</v>
      </c>
      <c r="H914" s="114">
        <v>43.450436724884192</v>
      </c>
      <c r="I914" s="125">
        <v>35033</v>
      </c>
      <c r="J914" s="115">
        <v>44.097134568032104</v>
      </c>
    </row>
    <row r="915" spans="1:10" ht="16">
      <c r="A915" s="100" t="s">
        <v>1058</v>
      </c>
      <c r="B915" s="101" t="s">
        <v>1059</v>
      </c>
      <c r="C915" s="102" t="s">
        <v>76</v>
      </c>
      <c r="D915" s="103" t="s">
        <v>60</v>
      </c>
      <c r="E915" s="104">
        <v>22322</v>
      </c>
      <c r="F915" s="104">
        <v>754</v>
      </c>
      <c r="G915" s="104">
        <v>223</v>
      </c>
      <c r="H915" s="116">
        <v>8.1038642002516017</v>
      </c>
      <c r="I915" s="126">
        <v>1178</v>
      </c>
      <c r="J915" s="117">
        <v>13.958916886533034</v>
      </c>
    </row>
    <row r="916" spans="1:10" ht="16">
      <c r="A916" s="93" t="s">
        <v>1396</v>
      </c>
      <c r="B916" s="94" t="s">
        <v>1288</v>
      </c>
      <c r="C916" s="95" t="s">
        <v>107</v>
      </c>
      <c r="D916" s="96" t="s">
        <v>61</v>
      </c>
      <c r="E916" s="97">
        <v>33186</v>
      </c>
      <c r="F916" s="97">
        <v>2036</v>
      </c>
      <c r="G916" s="97">
        <v>3650</v>
      </c>
      <c r="H916" s="114">
        <v>46.572262568390478</v>
      </c>
      <c r="I916" s="125">
        <v>42546</v>
      </c>
      <c r="J916" s="115">
        <v>45.730518681295308</v>
      </c>
    </row>
    <row r="917" spans="1:10" ht="16">
      <c r="A917" s="100" t="s">
        <v>1397</v>
      </c>
      <c r="B917" s="101" t="s">
        <v>1288</v>
      </c>
      <c r="C917" s="102" t="s">
        <v>76</v>
      </c>
      <c r="D917" s="103" t="s">
        <v>92</v>
      </c>
      <c r="E917" s="104">
        <v>32446</v>
      </c>
      <c r="F917" s="104">
        <v>2135</v>
      </c>
      <c r="G917" s="104">
        <v>2920</v>
      </c>
      <c r="H917" s="116">
        <v>30.496451904076309</v>
      </c>
      <c r="I917" s="126">
        <v>18097</v>
      </c>
      <c r="J917" s="117">
        <v>37.426529853205494</v>
      </c>
    </row>
    <row r="918" spans="1:10" ht="16">
      <c r="A918" s="93" t="s">
        <v>78</v>
      </c>
      <c r="B918" s="94" t="s">
        <v>75</v>
      </c>
      <c r="C918" s="95" t="s">
        <v>76</v>
      </c>
      <c r="D918" s="96" t="s">
        <v>62</v>
      </c>
      <c r="E918" s="97">
        <v>35382</v>
      </c>
      <c r="F918" s="97">
        <v>1726</v>
      </c>
      <c r="G918" s="97">
        <v>1769</v>
      </c>
      <c r="H918" s="114">
        <v>7.8815706207785485</v>
      </c>
      <c r="I918" s="125">
        <v>683</v>
      </c>
      <c r="J918" s="115">
        <v>19.469593264726225</v>
      </c>
    </row>
    <row r="919" spans="1:10" ht="16">
      <c r="A919" s="100" t="s">
        <v>341</v>
      </c>
      <c r="B919" s="101" t="s">
        <v>336</v>
      </c>
      <c r="C919" s="102" t="s">
        <v>76</v>
      </c>
      <c r="D919" s="103" t="s">
        <v>63</v>
      </c>
      <c r="E919" s="104">
        <v>31219</v>
      </c>
      <c r="F919" s="104">
        <v>7260</v>
      </c>
      <c r="G919" s="104">
        <v>5307</v>
      </c>
      <c r="H919" s="116">
        <v>44.29296671094562</v>
      </c>
      <c r="I919" s="126">
        <v>39562</v>
      </c>
      <c r="J919" s="117">
        <v>48.80361637984641</v>
      </c>
    </row>
    <row r="920" spans="1:10" ht="16">
      <c r="A920" s="93" t="s">
        <v>311</v>
      </c>
      <c r="B920" s="94" t="s">
        <v>312</v>
      </c>
      <c r="C920" s="95" t="s">
        <v>76</v>
      </c>
      <c r="D920" s="96" t="s">
        <v>77</v>
      </c>
      <c r="E920" s="97">
        <v>33900</v>
      </c>
      <c r="F920" s="97">
        <v>2245</v>
      </c>
      <c r="G920" s="97">
        <v>678</v>
      </c>
      <c r="H920" s="114">
        <v>8.7329027488610613</v>
      </c>
      <c r="I920" s="125">
        <v>6141</v>
      </c>
      <c r="J920" s="115">
        <v>16.855474586392109</v>
      </c>
    </row>
    <row r="921" spans="1:10" ht="16">
      <c r="A921" s="100" t="s">
        <v>453</v>
      </c>
      <c r="B921" s="101" t="s">
        <v>448</v>
      </c>
      <c r="C921" s="102" t="s">
        <v>76</v>
      </c>
      <c r="D921" s="103" t="s">
        <v>92</v>
      </c>
      <c r="E921" s="104">
        <v>13321</v>
      </c>
      <c r="F921" s="104">
        <v>569</v>
      </c>
      <c r="G921" s="104">
        <v>533</v>
      </c>
      <c r="H921" s="116">
        <v>20.911016533491118</v>
      </c>
      <c r="I921" s="126">
        <v>18401</v>
      </c>
      <c r="J921" s="117">
        <v>17.85791451688802</v>
      </c>
    </row>
    <row r="922" spans="1:10" ht="16">
      <c r="A922" s="93" t="s">
        <v>320</v>
      </c>
      <c r="B922" s="94" t="s">
        <v>319</v>
      </c>
      <c r="C922" s="95" t="s">
        <v>76</v>
      </c>
      <c r="D922" s="96" t="s">
        <v>92</v>
      </c>
      <c r="E922" s="97">
        <v>6635</v>
      </c>
      <c r="F922" s="97">
        <v>302</v>
      </c>
      <c r="G922" s="97">
        <v>730</v>
      </c>
      <c r="H922" s="114">
        <v>25.148840415780882</v>
      </c>
      <c r="I922" s="125">
        <v>15344</v>
      </c>
      <c r="J922" s="115">
        <v>24.165069910831669</v>
      </c>
    </row>
    <row r="923" spans="1:10" ht="16">
      <c r="A923" s="100" t="s">
        <v>1117</v>
      </c>
      <c r="B923" s="101" t="s">
        <v>1118</v>
      </c>
      <c r="C923" s="102" t="s">
        <v>107</v>
      </c>
      <c r="D923" s="103" t="s">
        <v>63</v>
      </c>
      <c r="E923" s="104">
        <v>30139</v>
      </c>
      <c r="F923" s="104">
        <v>1578</v>
      </c>
      <c r="G923" s="104">
        <v>478</v>
      </c>
      <c r="H923" s="116">
        <v>8.0661602507206336</v>
      </c>
      <c r="I923" s="126">
        <v>1520</v>
      </c>
      <c r="J923" s="117">
        <v>14.361634708537744</v>
      </c>
    </row>
    <row r="924" spans="1:10" ht="16">
      <c r="A924" s="93" t="s">
        <v>469</v>
      </c>
      <c r="B924" s="94" t="s">
        <v>466</v>
      </c>
      <c r="C924" s="95" t="s">
        <v>76</v>
      </c>
      <c r="D924" s="96" t="s">
        <v>130</v>
      </c>
      <c r="E924" s="97">
        <v>26771</v>
      </c>
      <c r="F924" s="97">
        <v>2250</v>
      </c>
      <c r="G924" s="97">
        <v>4819</v>
      </c>
      <c r="H924" s="114">
        <v>11.145498303888324</v>
      </c>
      <c r="I924" s="125">
        <v>3006</v>
      </c>
      <c r="J924" s="115">
        <v>20.361447282711492</v>
      </c>
    </row>
    <row r="925" spans="1:10" ht="16">
      <c r="A925" s="100" t="s">
        <v>1398</v>
      </c>
      <c r="B925" s="101" t="s">
        <v>1288</v>
      </c>
      <c r="C925" s="102" t="s">
        <v>76</v>
      </c>
      <c r="D925" s="103" t="s">
        <v>60</v>
      </c>
      <c r="E925" s="104">
        <v>20566</v>
      </c>
      <c r="F925" s="104">
        <v>1210</v>
      </c>
      <c r="G925" s="104">
        <v>2057</v>
      </c>
      <c r="H925" s="116">
        <v>38.661925017892884</v>
      </c>
      <c r="I925" s="126">
        <v>27421</v>
      </c>
      <c r="J925" s="117">
        <v>28.92432568617874</v>
      </c>
    </row>
    <row r="926" spans="1:10" ht="16">
      <c r="A926" s="93" t="s">
        <v>525</v>
      </c>
      <c r="B926" s="94" t="s">
        <v>474</v>
      </c>
      <c r="C926" s="95" t="s">
        <v>107</v>
      </c>
      <c r="D926" s="96" t="s">
        <v>82</v>
      </c>
      <c r="E926" s="97">
        <v>24547</v>
      </c>
      <c r="F926" s="97">
        <v>1067</v>
      </c>
      <c r="G926" s="97">
        <v>245</v>
      </c>
      <c r="H926" s="114">
        <v>18.72228300278568</v>
      </c>
      <c r="I926" s="125">
        <v>7655</v>
      </c>
      <c r="J926" s="115">
        <v>37.814312296776599</v>
      </c>
    </row>
    <row r="927" spans="1:10" ht="16">
      <c r="A927" s="100" t="s">
        <v>1399</v>
      </c>
      <c r="B927" s="101" t="s">
        <v>1288</v>
      </c>
      <c r="C927" s="102" t="s">
        <v>76</v>
      </c>
      <c r="D927" s="103" t="s">
        <v>60</v>
      </c>
      <c r="E927" s="104">
        <v>9535</v>
      </c>
      <c r="F927" s="104">
        <v>733</v>
      </c>
      <c r="G927" s="104">
        <v>858</v>
      </c>
      <c r="H927" s="116">
        <v>22.340559905397917</v>
      </c>
      <c r="I927" s="126">
        <v>16921</v>
      </c>
      <c r="J927" s="117">
        <v>40.677393318040423</v>
      </c>
    </row>
    <row r="928" spans="1:10" ht="16">
      <c r="A928" s="93" t="s">
        <v>1248</v>
      </c>
      <c r="B928" s="94" t="s">
        <v>1190</v>
      </c>
      <c r="C928" s="95" t="s">
        <v>76</v>
      </c>
      <c r="D928" s="96" t="s">
        <v>82</v>
      </c>
      <c r="E928" s="97">
        <v>13502</v>
      </c>
      <c r="F928" s="97">
        <v>888</v>
      </c>
      <c r="G928" s="97">
        <v>1755</v>
      </c>
      <c r="H928" s="114">
        <v>10.626181133225009</v>
      </c>
      <c r="I928" s="125">
        <v>3382</v>
      </c>
      <c r="J928" s="115">
        <v>17.039290306504007</v>
      </c>
    </row>
    <row r="929" spans="1:10" ht="16">
      <c r="A929" s="100" t="s">
        <v>217</v>
      </c>
      <c r="B929" s="101" t="s">
        <v>212</v>
      </c>
      <c r="C929" s="102" t="s">
        <v>76</v>
      </c>
      <c r="D929" s="103" t="s">
        <v>63</v>
      </c>
      <c r="E929" s="104">
        <v>15384</v>
      </c>
      <c r="F929" s="104">
        <v>810</v>
      </c>
      <c r="G929" s="104">
        <v>615</v>
      </c>
      <c r="H929" s="116">
        <v>9.1767270246496384</v>
      </c>
      <c r="I929" s="126">
        <v>8859</v>
      </c>
      <c r="J929" s="117">
        <v>14.494007235464087</v>
      </c>
    </row>
    <row r="930" spans="1:10" ht="16">
      <c r="A930" s="93" t="s">
        <v>1037</v>
      </c>
      <c r="B930" s="94" t="s">
        <v>1020</v>
      </c>
      <c r="C930" s="95" t="s">
        <v>76</v>
      </c>
      <c r="D930" s="96" t="s">
        <v>59</v>
      </c>
      <c r="E930" s="97">
        <v>9209</v>
      </c>
      <c r="F930" s="97">
        <v>422</v>
      </c>
      <c r="G930" s="97">
        <v>1013</v>
      </c>
      <c r="H930" s="114">
        <v>18.066120492860762</v>
      </c>
      <c r="I930" s="125">
        <v>7024</v>
      </c>
      <c r="J930" s="115">
        <v>22.277514955971281</v>
      </c>
    </row>
    <row r="931" spans="1:10" ht="16">
      <c r="A931" s="100" t="s">
        <v>139</v>
      </c>
      <c r="B931" s="101" t="s">
        <v>140</v>
      </c>
      <c r="C931" s="102" t="s">
        <v>107</v>
      </c>
      <c r="D931" s="103" t="s">
        <v>80</v>
      </c>
      <c r="E931" s="104">
        <v>34108</v>
      </c>
      <c r="F931" s="104">
        <v>2186</v>
      </c>
      <c r="G931" s="104">
        <v>1705</v>
      </c>
      <c r="H931" s="116">
        <v>9.3045988181025816</v>
      </c>
      <c r="I931" s="126">
        <v>1535</v>
      </c>
      <c r="J931" s="117">
        <v>16.649012394898723</v>
      </c>
    </row>
    <row r="932" spans="1:10" ht="16">
      <c r="A932" s="93" t="s">
        <v>429</v>
      </c>
      <c r="B932" s="94" t="s">
        <v>402</v>
      </c>
      <c r="C932" s="95" t="s">
        <v>107</v>
      </c>
      <c r="D932" s="96" t="s">
        <v>77</v>
      </c>
      <c r="E932" s="97">
        <v>42698</v>
      </c>
      <c r="F932" s="97">
        <v>806</v>
      </c>
      <c r="G932" s="97">
        <v>8113</v>
      </c>
      <c r="H932" s="114">
        <v>33.059474680249714</v>
      </c>
      <c r="I932" s="125">
        <v>30202</v>
      </c>
      <c r="J932" s="115">
        <v>35.35440254992897</v>
      </c>
    </row>
    <row r="933" spans="1:10" ht="16">
      <c r="A933" s="100" t="s">
        <v>1249</v>
      </c>
      <c r="B933" s="101" t="s">
        <v>1190</v>
      </c>
      <c r="C933" s="102" t="s">
        <v>76</v>
      </c>
      <c r="D933" s="103" t="s">
        <v>92</v>
      </c>
      <c r="E933" s="104">
        <v>12122</v>
      </c>
      <c r="F933" s="104">
        <v>689</v>
      </c>
      <c r="G933" s="104">
        <v>2667</v>
      </c>
      <c r="H933" s="116">
        <v>32.193479911800061</v>
      </c>
      <c r="I933" s="126">
        <v>28412</v>
      </c>
      <c r="J933" s="117">
        <v>25.045948897004688</v>
      </c>
    </row>
    <row r="934" spans="1:10" ht="16">
      <c r="A934" s="93" t="s">
        <v>1250</v>
      </c>
      <c r="B934" s="94" t="s">
        <v>1190</v>
      </c>
      <c r="C934" s="95" t="s">
        <v>76</v>
      </c>
      <c r="D934" s="96" t="s">
        <v>62</v>
      </c>
      <c r="E934" s="97">
        <v>15195</v>
      </c>
      <c r="F934" s="97">
        <v>1093</v>
      </c>
      <c r="G934" s="97">
        <v>4255</v>
      </c>
      <c r="H934" s="114">
        <v>30.573750222317233</v>
      </c>
      <c r="I934" s="125">
        <v>29331</v>
      </c>
      <c r="J934" s="115">
        <v>28.47146391483086</v>
      </c>
    </row>
    <row r="935" spans="1:10" ht="16">
      <c r="A935" s="100" t="s">
        <v>1251</v>
      </c>
      <c r="B935" s="101" t="s">
        <v>1190</v>
      </c>
      <c r="C935" s="102" t="s">
        <v>76</v>
      </c>
      <c r="D935" s="103" t="s">
        <v>62</v>
      </c>
      <c r="E935" s="104">
        <v>10302</v>
      </c>
      <c r="F935" s="104">
        <v>599</v>
      </c>
      <c r="G935" s="104">
        <v>3091</v>
      </c>
      <c r="H935" s="116">
        <v>15.443575144490939</v>
      </c>
      <c r="I935" s="126">
        <v>4839</v>
      </c>
      <c r="J935" s="117">
        <v>20.919578840304872</v>
      </c>
    </row>
    <row r="936" spans="1:10" ht="16">
      <c r="A936" s="93" t="s">
        <v>372</v>
      </c>
      <c r="B936" s="94" t="s">
        <v>369</v>
      </c>
      <c r="C936" s="95" t="s">
        <v>76</v>
      </c>
      <c r="D936" s="96" t="s">
        <v>130</v>
      </c>
      <c r="E936" s="97">
        <v>11630</v>
      </c>
      <c r="F936" s="97">
        <v>629</v>
      </c>
      <c r="G936" s="97">
        <v>698</v>
      </c>
      <c r="H936" s="114">
        <v>27.900232438122742</v>
      </c>
      <c r="I936" s="125">
        <v>19763</v>
      </c>
      <c r="J936" s="115">
        <v>24.773857056938645</v>
      </c>
    </row>
    <row r="937" spans="1:10" ht="16">
      <c r="A937" s="100" t="s">
        <v>330</v>
      </c>
      <c r="B937" s="101" t="s">
        <v>322</v>
      </c>
      <c r="C937" s="102" t="s">
        <v>76</v>
      </c>
      <c r="D937" s="103" t="s">
        <v>130</v>
      </c>
      <c r="E937" s="104">
        <v>14011</v>
      </c>
      <c r="F937" s="104">
        <v>499</v>
      </c>
      <c r="G937" s="104">
        <v>3223</v>
      </c>
      <c r="H937" s="116">
        <v>13.471023278460182</v>
      </c>
      <c r="I937" s="126">
        <v>800</v>
      </c>
      <c r="J937" s="117">
        <v>19.593275705189932</v>
      </c>
    </row>
    <row r="938" spans="1:10" ht="16">
      <c r="A938" s="93" t="s">
        <v>1252</v>
      </c>
      <c r="B938" s="94" t="s">
        <v>1190</v>
      </c>
      <c r="C938" s="95" t="s">
        <v>76</v>
      </c>
      <c r="D938" s="96" t="s">
        <v>60</v>
      </c>
      <c r="E938" s="97">
        <v>29433</v>
      </c>
      <c r="F938" s="97">
        <v>2299</v>
      </c>
      <c r="G938" s="97">
        <v>12068</v>
      </c>
      <c r="H938" s="114">
        <v>74.78629898378685</v>
      </c>
      <c r="I938" s="125">
        <v>71515</v>
      </c>
      <c r="J938" s="115">
        <v>67.601554114079548</v>
      </c>
    </row>
    <row r="939" spans="1:10" ht="16">
      <c r="A939" s="100" t="s">
        <v>288</v>
      </c>
      <c r="B939" s="101" t="s">
        <v>223</v>
      </c>
      <c r="C939" s="102" t="s">
        <v>107</v>
      </c>
      <c r="D939" s="103" t="s">
        <v>84</v>
      </c>
      <c r="E939" s="104">
        <v>33242</v>
      </c>
      <c r="F939" s="104">
        <v>2027</v>
      </c>
      <c r="G939" s="104">
        <v>1330</v>
      </c>
      <c r="H939" s="116">
        <v>22.948966401326523</v>
      </c>
      <c r="I939" s="126">
        <v>12328</v>
      </c>
      <c r="J939" s="117">
        <v>24.099691332209531</v>
      </c>
    </row>
    <row r="940" spans="1:10" ht="16">
      <c r="A940" s="93" t="s">
        <v>867</v>
      </c>
      <c r="B940" s="94" t="s">
        <v>858</v>
      </c>
      <c r="C940" s="95" t="s">
        <v>107</v>
      </c>
      <c r="D940" s="96" t="s">
        <v>84</v>
      </c>
      <c r="E940" s="97">
        <v>14654</v>
      </c>
      <c r="F940" s="97">
        <v>1011</v>
      </c>
      <c r="G940" s="97">
        <v>293</v>
      </c>
      <c r="H940" s="114">
        <v>9.8787596639667026</v>
      </c>
      <c r="I940" s="125">
        <v>1837</v>
      </c>
      <c r="J940" s="115">
        <v>15.369729364988464</v>
      </c>
    </row>
    <row r="941" spans="1:10" ht="16">
      <c r="A941" s="100" t="s">
        <v>430</v>
      </c>
      <c r="B941" s="101" t="s">
        <v>402</v>
      </c>
      <c r="C941" s="102" t="s">
        <v>107</v>
      </c>
      <c r="D941" s="103" t="s">
        <v>62</v>
      </c>
      <c r="E941" s="104">
        <v>38111</v>
      </c>
      <c r="F941" s="104">
        <v>669</v>
      </c>
      <c r="G941" s="104">
        <v>4573</v>
      </c>
      <c r="H941" s="116">
        <v>46.693573178675848</v>
      </c>
      <c r="I941" s="126">
        <v>34494</v>
      </c>
      <c r="J941" s="117">
        <v>42.013379505880543</v>
      </c>
    </row>
    <row r="942" spans="1:10" ht="16">
      <c r="A942" s="93" t="s">
        <v>1253</v>
      </c>
      <c r="B942" s="94" t="s">
        <v>1190</v>
      </c>
      <c r="C942" s="95" t="s">
        <v>76</v>
      </c>
      <c r="D942" s="96" t="s">
        <v>61</v>
      </c>
      <c r="E942" s="97">
        <v>11923</v>
      </c>
      <c r="F942" s="97">
        <v>741</v>
      </c>
      <c r="G942" s="97">
        <v>4650</v>
      </c>
      <c r="H942" s="114">
        <v>34.691364657285348</v>
      </c>
      <c r="I942" s="125">
        <v>23578</v>
      </c>
      <c r="J942" s="115">
        <v>32.278130487404752</v>
      </c>
    </row>
    <row r="943" spans="1:10" ht="16">
      <c r="A943" s="100" t="s">
        <v>1254</v>
      </c>
      <c r="B943" s="101" t="s">
        <v>1190</v>
      </c>
      <c r="C943" s="102" t="s">
        <v>76</v>
      </c>
      <c r="D943" s="103" t="s">
        <v>130</v>
      </c>
      <c r="E943" s="104">
        <v>21451</v>
      </c>
      <c r="F943" s="104">
        <v>1219</v>
      </c>
      <c r="G943" s="104">
        <v>6006</v>
      </c>
      <c r="H943" s="116">
        <v>39.281507997644127</v>
      </c>
      <c r="I943" s="126">
        <v>36018</v>
      </c>
      <c r="J943" s="117">
        <v>34.407901704439972</v>
      </c>
    </row>
    <row r="944" spans="1:10" ht="16">
      <c r="A944" s="93" t="s">
        <v>613</v>
      </c>
      <c r="B944" s="94" t="s">
        <v>598</v>
      </c>
      <c r="C944" s="95" t="s">
        <v>76</v>
      </c>
      <c r="D944" s="96" t="s">
        <v>130</v>
      </c>
      <c r="E944" s="97">
        <v>14644</v>
      </c>
      <c r="F944" s="97">
        <v>581</v>
      </c>
      <c r="G944" s="97">
        <v>1025</v>
      </c>
      <c r="H944" s="114">
        <v>20.75566057487308</v>
      </c>
      <c r="I944" s="125">
        <v>15261</v>
      </c>
      <c r="J944" s="115">
        <v>21.894787119294698</v>
      </c>
    </row>
    <row r="945" spans="1:10" ht="16">
      <c r="A945" s="100" t="s">
        <v>614</v>
      </c>
      <c r="B945" s="101" t="s">
        <v>598</v>
      </c>
      <c r="C945" s="102" t="s">
        <v>76</v>
      </c>
      <c r="D945" s="103" t="s">
        <v>80</v>
      </c>
      <c r="E945" s="104">
        <v>34686</v>
      </c>
      <c r="F945" s="104">
        <v>1700</v>
      </c>
      <c r="G945" s="104">
        <v>3815</v>
      </c>
      <c r="H945" s="116">
        <v>25.589941957486108</v>
      </c>
      <c r="I945" s="126">
        <v>16563</v>
      </c>
      <c r="J945" s="117">
        <v>38.406076633052244</v>
      </c>
    </row>
    <row r="946" spans="1:10" ht="16">
      <c r="A946" s="93" t="s">
        <v>1400</v>
      </c>
      <c r="B946" s="94" t="s">
        <v>1288</v>
      </c>
      <c r="C946" s="95" t="s">
        <v>76</v>
      </c>
      <c r="D946" s="96" t="s">
        <v>59</v>
      </c>
      <c r="E946" s="97">
        <v>46642</v>
      </c>
      <c r="F946" s="97">
        <v>2776</v>
      </c>
      <c r="G946" s="97">
        <v>4664</v>
      </c>
      <c r="H946" s="114">
        <v>54.117366402214465</v>
      </c>
      <c r="I946" s="125">
        <v>33316</v>
      </c>
      <c r="J946" s="115">
        <v>54.318479491146597</v>
      </c>
    </row>
    <row r="947" spans="1:10" ht="16">
      <c r="A947" s="100" t="s">
        <v>177</v>
      </c>
      <c r="B947" s="101" t="s">
        <v>150</v>
      </c>
      <c r="C947" s="102" t="s">
        <v>107</v>
      </c>
      <c r="D947" s="103" t="s">
        <v>62</v>
      </c>
      <c r="E947" s="104">
        <v>23923</v>
      </c>
      <c r="F947" s="104">
        <v>1574</v>
      </c>
      <c r="G947" s="104">
        <v>1647</v>
      </c>
      <c r="H947" s="116">
        <v>7.7196796292130276</v>
      </c>
      <c r="I947" s="126">
        <v>3068</v>
      </c>
      <c r="J947" s="117">
        <v>15.591512080350979</v>
      </c>
    </row>
    <row r="948" spans="1:10" ht="16">
      <c r="A948" s="93" t="s">
        <v>431</v>
      </c>
      <c r="B948" s="94" t="s">
        <v>402</v>
      </c>
      <c r="C948" s="95" t="s">
        <v>76</v>
      </c>
      <c r="D948" s="96" t="s">
        <v>63</v>
      </c>
      <c r="E948" s="97">
        <v>21475</v>
      </c>
      <c r="F948" s="97">
        <v>502</v>
      </c>
      <c r="G948" s="97">
        <v>4939</v>
      </c>
      <c r="H948" s="114">
        <v>52.381887036600951</v>
      </c>
      <c r="I948" s="125">
        <v>42964</v>
      </c>
      <c r="J948" s="115">
        <v>49.483100730903864</v>
      </c>
    </row>
    <row r="949" spans="1:10" ht="16">
      <c r="A949" s="100" t="s">
        <v>1075</v>
      </c>
      <c r="B949" s="101" t="s">
        <v>1072</v>
      </c>
      <c r="C949" s="102" t="s">
        <v>76</v>
      </c>
      <c r="D949" s="103" t="s">
        <v>92</v>
      </c>
      <c r="E949" s="104">
        <v>10887</v>
      </c>
      <c r="F949" s="104">
        <v>337</v>
      </c>
      <c r="G949" s="104">
        <v>1960</v>
      </c>
      <c r="H949" s="116">
        <v>33.38283590342715</v>
      </c>
      <c r="I949" s="126">
        <v>21059</v>
      </c>
      <c r="J949" s="117">
        <v>32.723749167737786</v>
      </c>
    </row>
    <row r="950" spans="1:10" ht="16">
      <c r="A950" s="93" t="s">
        <v>737</v>
      </c>
      <c r="B950" s="94" t="s">
        <v>642</v>
      </c>
      <c r="C950" s="95" t="s">
        <v>107</v>
      </c>
      <c r="D950" s="96" t="s">
        <v>82</v>
      </c>
      <c r="E950" s="97">
        <v>5020</v>
      </c>
      <c r="F950" s="97">
        <v>540</v>
      </c>
      <c r="G950" s="97">
        <v>201</v>
      </c>
      <c r="H950" s="114">
        <v>10.776601978152218</v>
      </c>
      <c r="I950" s="125">
        <v>1135</v>
      </c>
      <c r="J950" s="115">
        <v>19.793562698784175</v>
      </c>
    </row>
    <row r="951" spans="1:10" ht="16">
      <c r="A951" s="100" t="s">
        <v>887</v>
      </c>
      <c r="B951" s="101" t="s">
        <v>879</v>
      </c>
      <c r="C951" s="102" t="s">
        <v>76</v>
      </c>
      <c r="D951" s="103" t="s">
        <v>130</v>
      </c>
      <c r="E951" s="104">
        <v>27859</v>
      </c>
      <c r="F951" s="104">
        <v>1629</v>
      </c>
      <c r="G951" s="104">
        <v>557</v>
      </c>
      <c r="H951" s="116">
        <v>10.975003088032082</v>
      </c>
      <c r="I951" s="126">
        <v>2137</v>
      </c>
      <c r="J951" s="117">
        <v>16.374314073596167</v>
      </c>
    </row>
    <row r="952" spans="1:10" ht="16">
      <c r="A952" s="93" t="s">
        <v>1076</v>
      </c>
      <c r="B952" s="94" t="s">
        <v>1072</v>
      </c>
      <c r="C952" s="95" t="s">
        <v>76</v>
      </c>
      <c r="D952" s="96" t="s">
        <v>63</v>
      </c>
      <c r="E952" s="97">
        <v>16935</v>
      </c>
      <c r="F952" s="97">
        <v>1086</v>
      </c>
      <c r="G952" s="97">
        <v>6605</v>
      </c>
      <c r="H952" s="114">
        <v>44.087021886757469</v>
      </c>
      <c r="I952" s="125">
        <v>35229</v>
      </c>
      <c r="J952" s="115">
        <v>38.660057345838823</v>
      </c>
    </row>
    <row r="953" spans="1:10" ht="16">
      <c r="A953" s="100" t="s">
        <v>615</v>
      </c>
      <c r="B953" s="101" t="s">
        <v>598</v>
      </c>
      <c r="C953" s="102" t="s">
        <v>76</v>
      </c>
      <c r="D953" s="103" t="s">
        <v>80</v>
      </c>
      <c r="E953" s="104">
        <v>23977</v>
      </c>
      <c r="F953" s="104">
        <v>1230</v>
      </c>
      <c r="G953" s="104">
        <v>2158</v>
      </c>
      <c r="H953" s="116">
        <v>23.647062319306198</v>
      </c>
      <c r="I953" s="126">
        <v>14865</v>
      </c>
      <c r="J953" s="117">
        <v>32.345935634542229</v>
      </c>
    </row>
    <row r="954" spans="1:10" ht="16">
      <c r="A954" s="93" t="s">
        <v>1401</v>
      </c>
      <c r="B954" s="94" t="s">
        <v>1288</v>
      </c>
      <c r="C954" s="95" t="s">
        <v>76</v>
      </c>
      <c r="D954" s="96" t="s">
        <v>62</v>
      </c>
      <c r="E954" s="97">
        <v>35164</v>
      </c>
      <c r="F954" s="97">
        <v>2157</v>
      </c>
      <c r="G954" s="97">
        <v>2461</v>
      </c>
      <c r="H954" s="114">
        <v>36.106253056979561</v>
      </c>
      <c r="I954" s="125">
        <v>19995</v>
      </c>
      <c r="J954" s="115">
        <v>35.034198369737631</v>
      </c>
    </row>
    <row r="955" spans="1:10" ht="16">
      <c r="A955" s="100" t="s">
        <v>445</v>
      </c>
      <c r="B955" s="101" t="s">
        <v>446</v>
      </c>
      <c r="C955" s="102" t="s">
        <v>107</v>
      </c>
      <c r="D955" s="103" t="s">
        <v>77</v>
      </c>
      <c r="E955" s="104">
        <v>36819</v>
      </c>
      <c r="F955" s="104">
        <v>1283</v>
      </c>
      <c r="G955" s="104">
        <v>368</v>
      </c>
      <c r="H955" s="116">
        <v>16.049561733863655</v>
      </c>
      <c r="I955" s="126">
        <v>4456</v>
      </c>
      <c r="J955" s="117">
        <v>16.407347374715535</v>
      </c>
    </row>
    <row r="956" spans="1:10" ht="16">
      <c r="A956" s="93" t="s">
        <v>1038</v>
      </c>
      <c r="B956" s="94" t="s">
        <v>1020</v>
      </c>
      <c r="C956" s="95" t="s">
        <v>76</v>
      </c>
      <c r="D956" s="96" t="s">
        <v>130</v>
      </c>
      <c r="E956" s="97">
        <v>13906</v>
      </c>
      <c r="F956" s="97">
        <v>732</v>
      </c>
      <c r="G956" s="97">
        <v>1947</v>
      </c>
      <c r="H956" s="114">
        <v>18.383613377462602</v>
      </c>
      <c r="I956" s="125">
        <v>10577</v>
      </c>
      <c r="J956" s="115">
        <v>18.958308762282925</v>
      </c>
    </row>
    <row r="957" spans="1:10" ht="16">
      <c r="A957" s="100" t="s">
        <v>1255</v>
      </c>
      <c r="B957" s="101" t="s">
        <v>1190</v>
      </c>
      <c r="C957" s="102" t="s">
        <v>76</v>
      </c>
      <c r="D957" s="103" t="s">
        <v>92</v>
      </c>
      <c r="E957" s="104">
        <v>25357</v>
      </c>
      <c r="F957" s="104">
        <v>1647</v>
      </c>
      <c r="G957" s="104">
        <v>9382</v>
      </c>
      <c r="H957" s="116">
        <v>47.978680769327724</v>
      </c>
      <c r="I957" s="126">
        <v>44031</v>
      </c>
      <c r="J957" s="117">
        <v>41.261558089818806</v>
      </c>
    </row>
    <row r="958" spans="1:10" ht="16">
      <c r="A958" s="93" t="s">
        <v>1069</v>
      </c>
      <c r="B958" s="94" t="s">
        <v>1062</v>
      </c>
      <c r="C958" s="95" t="s">
        <v>107</v>
      </c>
      <c r="D958" s="96" t="s">
        <v>63</v>
      </c>
      <c r="E958" s="97">
        <v>19677</v>
      </c>
      <c r="F958" s="97">
        <v>1929</v>
      </c>
      <c r="G958" s="97">
        <v>2558</v>
      </c>
      <c r="H958" s="114">
        <v>41.606369139511855</v>
      </c>
      <c r="I958" s="125">
        <v>38892</v>
      </c>
      <c r="J958" s="115">
        <v>27.519199873337048</v>
      </c>
    </row>
    <row r="959" spans="1:10" ht="16">
      <c r="A959" s="100" t="s">
        <v>1039</v>
      </c>
      <c r="B959" s="101" t="s">
        <v>1020</v>
      </c>
      <c r="C959" s="102" t="s">
        <v>76</v>
      </c>
      <c r="D959" s="103" t="s">
        <v>63</v>
      </c>
      <c r="E959" s="104">
        <v>56044</v>
      </c>
      <c r="F959" s="104">
        <v>3639</v>
      </c>
      <c r="G959" s="104">
        <v>5604</v>
      </c>
      <c r="H959" s="116">
        <v>20.910031325453808</v>
      </c>
      <c r="I959" s="126">
        <v>10908</v>
      </c>
      <c r="J959" s="117">
        <v>19.681546862608204</v>
      </c>
    </row>
    <row r="960" spans="1:10" ht="16">
      <c r="A960" s="93" t="s">
        <v>133</v>
      </c>
      <c r="B960" s="94" t="s">
        <v>127</v>
      </c>
      <c r="C960" s="95" t="s">
        <v>76</v>
      </c>
      <c r="D960" s="96" t="s">
        <v>62</v>
      </c>
      <c r="E960" s="97">
        <v>20312</v>
      </c>
      <c r="F960" s="97">
        <v>927</v>
      </c>
      <c r="G960" s="97">
        <v>2641</v>
      </c>
      <c r="H960" s="114">
        <v>18.559956556723282</v>
      </c>
      <c r="I960" s="125">
        <v>10372</v>
      </c>
      <c r="J960" s="115">
        <v>23.605287361903184</v>
      </c>
    </row>
    <row r="961" spans="1:10" ht="16">
      <c r="A961" s="100" t="s">
        <v>1256</v>
      </c>
      <c r="B961" s="101" t="s">
        <v>1190</v>
      </c>
      <c r="C961" s="102" t="s">
        <v>76</v>
      </c>
      <c r="D961" s="103" t="s">
        <v>63</v>
      </c>
      <c r="E961" s="104">
        <v>14477</v>
      </c>
      <c r="F961" s="104">
        <v>804</v>
      </c>
      <c r="G961" s="104">
        <v>5212</v>
      </c>
      <c r="H961" s="116">
        <v>16.144938640010228</v>
      </c>
      <c r="I961" s="126">
        <v>6092</v>
      </c>
      <c r="J961" s="117">
        <v>17.61296969965095</v>
      </c>
    </row>
    <row r="962" spans="1:10" ht="16">
      <c r="A962" s="93" t="s">
        <v>432</v>
      </c>
      <c r="B962" s="94" t="s">
        <v>402</v>
      </c>
      <c r="C962" s="95" t="s">
        <v>76</v>
      </c>
      <c r="D962" s="96" t="s">
        <v>82</v>
      </c>
      <c r="E962" s="97">
        <v>10247</v>
      </c>
      <c r="F962" s="97">
        <v>486</v>
      </c>
      <c r="G962" s="97">
        <v>717</v>
      </c>
      <c r="H962" s="114">
        <v>22.813847770948172</v>
      </c>
      <c r="I962" s="125">
        <v>13600</v>
      </c>
      <c r="J962" s="115">
        <v>30.81917396039211</v>
      </c>
    </row>
    <row r="963" spans="1:10" ht="16">
      <c r="A963" s="100" t="s">
        <v>828</v>
      </c>
      <c r="B963" s="101" t="s">
        <v>820</v>
      </c>
      <c r="C963" s="102" t="s">
        <v>76</v>
      </c>
      <c r="D963" s="103" t="s">
        <v>60</v>
      </c>
      <c r="E963" s="104">
        <v>27228</v>
      </c>
      <c r="F963" s="104">
        <v>1144</v>
      </c>
      <c r="G963" s="104">
        <v>5718</v>
      </c>
      <c r="H963" s="116">
        <v>55.680704923165933</v>
      </c>
      <c r="I963" s="126">
        <v>50969</v>
      </c>
      <c r="J963" s="117">
        <v>42.378756734668663</v>
      </c>
    </row>
    <row r="964" spans="1:10" ht="16">
      <c r="A964" s="93" t="s">
        <v>808</v>
      </c>
      <c r="B964" s="94" t="s">
        <v>798</v>
      </c>
      <c r="C964" s="95" t="s">
        <v>76</v>
      </c>
      <c r="D964" s="96" t="s">
        <v>82</v>
      </c>
      <c r="E964" s="97">
        <v>123932</v>
      </c>
      <c r="F964" s="97">
        <v>2229</v>
      </c>
      <c r="G964" s="97">
        <v>8624</v>
      </c>
      <c r="H964" s="114">
        <v>8.5649564886795524</v>
      </c>
      <c r="I964" s="125">
        <v>841</v>
      </c>
      <c r="J964" s="115">
        <v>16.3394725416562</v>
      </c>
    </row>
    <row r="965" spans="1:10" ht="16">
      <c r="A965" s="100" t="s">
        <v>809</v>
      </c>
      <c r="B965" s="101" t="s">
        <v>798</v>
      </c>
      <c r="C965" s="102" t="s">
        <v>76</v>
      </c>
      <c r="D965" s="103" t="s">
        <v>60</v>
      </c>
      <c r="E965" s="104">
        <v>26034</v>
      </c>
      <c r="F965" s="104">
        <v>1315</v>
      </c>
      <c r="G965" s="104">
        <v>781</v>
      </c>
      <c r="H965" s="116">
        <v>8.8063698652241378</v>
      </c>
      <c r="I965" s="126">
        <v>1257</v>
      </c>
      <c r="J965" s="117">
        <v>17.127103982807931</v>
      </c>
    </row>
    <row r="966" spans="1:10" ht="16">
      <c r="A966" s="93" t="s">
        <v>197</v>
      </c>
      <c r="B966" s="94" t="s">
        <v>184</v>
      </c>
      <c r="C966" s="95" t="s">
        <v>76</v>
      </c>
      <c r="D966" s="96" t="s">
        <v>63</v>
      </c>
      <c r="E966" s="97">
        <v>22165</v>
      </c>
      <c r="F966" s="97">
        <v>762</v>
      </c>
      <c r="G966" s="97">
        <v>1995</v>
      </c>
      <c r="H966" s="114">
        <v>29.782215386066017</v>
      </c>
      <c r="I966" s="125">
        <v>14034</v>
      </c>
      <c r="J966" s="115">
        <v>27.155507109162471</v>
      </c>
    </row>
    <row r="967" spans="1:10" ht="16">
      <c r="A967" s="100" t="s">
        <v>566</v>
      </c>
      <c r="B967" s="101" t="s">
        <v>537</v>
      </c>
      <c r="C967" s="102" t="s">
        <v>76</v>
      </c>
      <c r="D967" s="103" t="s">
        <v>61</v>
      </c>
      <c r="E967" s="104">
        <v>16240</v>
      </c>
      <c r="F967" s="104">
        <v>576</v>
      </c>
      <c r="G967" s="104">
        <v>746</v>
      </c>
      <c r="H967" s="116">
        <v>13.772822807404642</v>
      </c>
      <c r="I967" s="126">
        <v>4087</v>
      </c>
      <c r="J967" s="117">
        <v>20.769037646847664</v>
      </c>
    </row>
    <row r="968" spans="1:10" ht="16">
      <c r="A968" s="93" t="s">
        <v>596</v>
      </c>
      <c r="B968" s="94" t="s">
        <v>591</v>
      </c>
      <c r="C968" s="95" t="s">
        <v>76</v>
      </c>
      <c r="D968" s="96" t="s">
        <v>61</v>
      </c>
      <c r="E968" s="97">
        <v>16164</v>
      </c>
      <c r="F968" s="97">
        <v>770</v>
      </c>
      <c r="G968" s="97">
        <v>323</v>
      </c>
      <c r="H968" s="114">
        <v>32.750461069788088</v>
      </c>
      <c r="I968" s="125">
        <v>16901</v>
      </c>
      <c r="J968" s="115">
        <v>26.949761424965033</v>
      </c>
    </row>
    <row r="969" spans="1:10" ht="16">
      <c r="A969" s="100" t="s">
        <v>433</v>
      </c>
      <c r="B969" s="101" t="s">
        <v>402</v>
      </c>
      <c r="C969" s="102" t="s">
        <v>76</v>
      </c>
      <c r="D969" s="103" t="s">
        <v>80</v>
      </c>
      <c r="E969" s="104">
        <v>30375</v>
      </c>
      <c r="F969" s="104">
        <v>512</v>
      </c>
      <c r="G969" s="104">
        <v>3645</v>
      </c>
      <c r="H969" s="116">
        <v>49.846857269102607</v>
      </c>
      <c r="I969" s="126">
        <v>36939</v>
      </c>
      <c r="J969" s="117">
        <v>45.203071794988411</v>
      </c>
    </row>
    <row r="970" spans="1:10" ht="16">
      <c r="A970" s="93" t="s">
        <v>316</v>
      </c>
      <c r="B970" s="94" t="s">
        <v>317</v>
      </c>
      <c r="C970" s="95" t="s">
        <v>76</v>
      </c>
      <c r="D970" s="96" t="s">
        <v>62</v>
      </c>
      <c r="E970" s="97">
        <v>14856</v>
      </c>
      <c r="F970" s="97">
        <v>1516</v>
      </c>
      <c r="G970" s="97">
        <v>1040</v>
      </c>
      <c r="H970" s="114">
        <v>9.3576615082063501</v>
      </c>
      <c r="I970" s="125">
        <v>911</v>
      </c>
      <c r="J970" s="115">
        <v>22.525790243582897</v>
      </c>
    </row>
    <row r="971" spans="1:10" ht="16">
      <c r="A971" s="100" t="s">
        <v>373</v>
      </c>
      <c r="B971" s="101" t="s">
        <v>369</v>
      </c>
      <c r="C971" s="102" t="s">
        <v>76</v>
      </c>
      <c r="D971" s="103" t="s">
        <v>61</v>
      </c>
      <c r="E971" s="104">
        <v>22072</v>
      </c>
      <c r="F971" s="104">
        <v>1330</v>
      </c>
      <c r="G971" s="104">
        <v>1104</v>
      </c>
      <c r="H971" s="116">
        <v>59.320746000429907</v>
      </c>
      <c r="I971" s="126">
        <v>52293</v>
      </c>
      <c r="J971" s="117">
        <v>43.652402286706049</v>
      </c>
    </row>
    <row r="972" spans="1:10" ht="16">
      <c r="A972" s="93" t="s">
        <v>1257</v>
      </c>
      <c r="B972" s="94" t="s">
        <v>1190</v>
      </c>
      <c r="C972" s="95" t="s">
        <v>76</v>
      </c>
      <c r="D972" s="96" t="s">
        <v>60</v>
      </c>
      <c r="E972" s="97">
        <v>17584</v>
      </c>
      <c r="F972" s="97">
        <v>1005</v>
      </c>
      <c r="G972" s="97">
        <v>4924</v>
      </c>
      <c r="H972" s="114">
        <v>13.250035868513692</v>
      </c>
      <c r="I972" s="125">
        <v>5609</v>
      </c>
      <c r="J972" s="115">
        <v>18.260286029838952</v>
      </c>
    </row>
    <row r="973" spans="1:10" ht="16">
      <c r="A973" s="100" t="s">
        <v>434</v>
      </c>
      <c r="B973" s="101" t="s">
        <v>402</v>
      </c>
      <c r="C973" s="102" t="s">
        <v>76</v>
      </c>
      <c r="D973" s="103" t="s">
        <v>61</v>
      </c>
      <c r="E973" s="104">
        <v>9234</v>
      </c>
      <c r="F973" s="104">
        <v>244</v>
      </c>
      <c r="G973" s="104">
        <v>1385</v>
      </c>
      <c r="H973" s="116">
        <v>31.416372245798797</v>
      </c>
      <c r="I973" s="126">
        <v>28700</v>
      </c>
      <c r="J973" s="117">
        <v>34.526646386031103</v>
      </c>
    </row>
    <row r="974" spans="1:10" ht="16">
      <c r="A974" s="93" t="s">
        <v>464</v>
      </c>
      <c r="B974" s="94" t="s">
        <v>459</v>
      </c>
      <c r="C974" s="95" t="s">
        <v>76</v>
      </c>
      <c r="D974" s="96" t="s">
        <v>60</v>
      </c>
      <c r="E974" s="97">
        <v>18260</v>
      </c>
      <c r="F974" s="97">
        <v>1003</v>
      </c>
      <c r="G974" s="97">
        <v>8034</v>
      </c>
      <c r="H974" s="114">
        <v>77.593878812230457</v>
      </c>
      <c r="I974" s="125">
        <v>59232</v>
      </c>
      <c r="J974" s="115">
        <v>70.243560732685424</v>
      </c>
    </row>
    <row r="975" spans="1:10" ht="16">
      <c r="A975" s="100" t="s">
        <v>1402</v>
      </c>
      <c r="B975" s="101" t="s">
        <v>1288</v>
      </c>
      <c r="C975" s="102" t="s">
        <v>107</v>
      </c>
      <c r="D975" s="103" t="s">
        <v>61</v>
      </c>
      <c r="E975" s="104">
        <v>44128</v>
      </c>
      <c r="F975" s="104">
        <v>1717</v>
      </c>
      <c r="G975" s="104">
        <v>3972</v>
      </c>
      <c r="H975" s="116">
        <v>26.054354565976144</v>
      </c>
      <c r="I975" s="126">
        <v>15127</v>
      </c>
      <c r="J975" s="117">
        <v>34.079371435489435</v>
      </c>
    </row>
    <row r="976" spans="1:10" ht="16">
      <c r="A976" s="93" t="s">
        <v>1258</v>
      </c>
      <c r="B976" s="94" t="s">
        <v>1190</v>
      </c>
      <c r="C976" s="95" t="s">
        <v>76</v>
      </c>
      <c r="D976" s="96" t="s">
        <v>63</v>
      </c>
      <c r="E976" s="97">
        <v>14483</v>
      </c>
      <c r="F976" s="97">
        <v>700</v>
      </c>
      <c r="G976" s="97">
        <v>3476</v>
      </c>
      <c r="H976" s="114">
        <v>20.817928782372665</v>
      </c>
      <c r="I976" s="125">
        <v>9067</v>
      </c>
      <c r="J976" s="115">
        <v>22.885326723022438</v>
      </c>
    </row>
    <row r="977" spans="1:10" ht="16">
      <c r="A977" s="100" t="s">
        <v>1259</v>
      </c>
      <c r="B977" s="101" t="s">
        <v>1190</v>
      </c>
      <c r="C977" s="102" t="s">
        <v>76</v>
      </c>
      <c r="D977" s="103" t="s">
        <v>63</v>
      </c>
      <c r="E977" s="104">
        <v>14047</v>
      </c>
      <c r="F977" s="104">
        <v>772</v>
      </c>
      <c r="G977" s="104">
        <v>2669</v>
      </c>
      <c r="H977" s="116">
        <v>23.453513914380629</v>
      </c>
      <c r="I977" s="126">
        <v>12936</v>
      </c>
      <c r="J977" s="117">
        <v>22.818644440805798</v>
      </c>
    </row>
    <row r="978" spans="1:10" ht="16">
      <c r="A978" s="93" t="s">
        <v>738</v>
      </c>
      <c r="B978" s="94" t="s">
        <v>642</v>
      </c>
      <c r="C978" s="95" t="s">
        <v>107</v>
      </c>
      <c r="D978" s="96" t="s">
        <v>61</v>
      </c>
      <c r="E978" s="97">
        <v>6566</v>
      </c>
      <c r="F978" s="97">
        <v>513</v>
      </c>
      <c r="G978" s="97">
        <v>197</v>
      </c>
      <c r="H978" s="114">
        <v>12.698721149896203</v>
      </c>
      <c r="I978" s="125">
        <v>1345</v>
      </c>
      <c r="J978" s="115">
        <v>17.172901643977841</v>
      </c>
    </row>
    <row r="979" spans="1:10" ht="16">
      <c r="A979" s="100" t="s">
        <v>844</v>
      </c>
      <c r="B979" s="101" t="s">
        <v>843</v>
      </c>
      <c r="C979" s="102" t="s">
        <v>107</v>
      </c>
      <c r="D979" s="103" t="s">
        <v>80</v>
      </c>
      <c r="E979" s="104">
        <v>26648</v>
      </c>
      <c r="F979" s="104">
        <v>1625</v>
      </c>
      <c r="G979" s="104">
        <v>266</v>
      </c>
      <c r="H979" s="116">
        <v>12.642430329488592</v>
      </c>
      <c r="I979" s="126">
        <v>9487</v>
      </c>
      <c r="J979" s="117">
        <v>23.719681948780526</v>
      </c>
    </row>
    <row r="980" spans="1:10" ht="16">
      <c r="A980" s="93" t="s">
        <v>471</v>
      </c>
      <c r="B980" s="94" t="s">
        <v>472</v>
      </c>
      <c r="C980" s="95" t="s">
        <v>76</v>
      </c>
      <c r="D980" s="96" t="s">
        <v>60</v>
      </c>
      <c r="E980" s="97">
        <v>8135</v>
      </c>
      <c r="F980" s="97">
        <v>585</v>
      </c>
      <c r="G980" s="97">
        <v>976</v>
      </c>
      <c r="H980" s="114">
        <v>30.241182317926839</v>
      </c>
      <c r="I980" s="125">
        <v>22632</v>
      </c>
      <c r="J980" s="115">
        <v>20.294415275044251</v>
      </c>
    </row>
    <row r="981" spans="1:10" ht="16">
      <c r="A981" s="100" t="s">
        <v>1403</v>
      </c>
      <c r="B981" s="101" t="s">
        <v>1288</v>
      </c>
      <c r="C981" s="102" t="s">
        <v>107</v>
      </c>
      <c r="D981" s="103" t="s">
        <v>63</v>
      </c>
      <c r="E981" s="104">
        <v>9694</v>
      </c>
      <c r="F981" s="104">
        <v>570</v>
      </c>
      <c r="G981" s="104">
        <v>776</v>
      </c>
      <c r="H981" s="116">
        <v>22.039469881202528</v>
      </c>
      <c r="I981" s="126">
        <v>11284</v>
      </c>
      <c r="J981" s="117">
        <v>33.607715106396874</v>
      </c>
    </row>
    <row r="982" spans="1:10" ht="16">
      <c r="A982" s="93" t="s">
        <v>1404</v>
      </c>
      <c r="B982" s="94" t="s">
        <v>1288</v>
      </c>
      <c r="C982" s="95" t="s">
        <v>76</v>
      </c>
      <c r="D982" s="96" t="s">
        <v>92</v>
      </c>
      <c r="E982" s="97">
        <v>27031</v>
      </c>
      <c r="F982" s="97">
        <v>2351</v>
      </c>
      <c r="G982" s="97">
        <v>5406</v>
      </c>
      <c r="H982" s="114">
        <v>33.442966796275954</v>
      </c>
      <c r="I982" s="125">
        <v>23350</v>
      </c>
      <c r="J982" s="115">
        <v>45.405848393721776</v>
      </c>
    </row>
    <row r="983" spans="1:10" ht="16">
      <c r="A983" s="100" t="s">
        <v>1405</v>
      </c>
      <c r="B983" s="101" t="s">
        <v>1288</v>
      </c>
      <c r="C983" s="102" t="s">
        <v>107</v>
      </c>
      <c r="D983" s="103" t="s">
        <v>59</v>
      </c>
      <c r="E983" s="104">
        <v>44916</v>
      </c>
      <c r="F983" s="104">
        <v>2509</v>
      </c>
      <c r="G983" s="104">
        <v>10780</v>
      </c>
      <c r="H983" s="116">
        <v>78.67983774056971</v>
      </c>
      <c r="I983" s="126">
        <v>65948</v>
      </c>
      <c r="J983" s="117">
        <v>63.245121564253843</v>
      </c>
    </row>
    <row r="984" spans="1:10" ht="16">
      <c r="A984" s="93" t="s">
        <v>535</v>
      </c>
      <c r="B984" s="94" t="s">
        <v>530</v>
      </c>
      <c r="C984" s="95" t="s">
        <v>76</v>
      </c>
      <c r="D984" s="96" t="s">
        <v>92</v>
      </c>
      <c r="E984" s="97">
        <v>41170</v>
      </c>
      <c r="F984" s="97">
        <v>4159</v>
      </c>
      <c r="G984" s="97">
        <v>4529</v>
      </c>
      <c r="H984" s="114">
        <v>19.261487382624612</v>
      </c>
      <c r="I984" s="125">
        <v>3254</v>
      </c>
      <c r="J984" s="115">
        <v>39.593976024488413</v>
      </c>
    </row>
    <row r="985" spans="1:10" ht="16">
      <c r="A985" s="100" t="s">
        <v>134</v>
      </c>
      <c r="B985" s="101" t="s">
        <v>127</v>
      </c>
      <c r="C985" s="102" t="s">
        <v>76</v>
      </c>
      <c r="D985" s="103" t="s">
        <v>60</v>
      </c>
      <c r="E985" s="104">
        <v>14128</v>
      </c>
      <c r="F985" s="104">
        <v>1121</v>
      </c>
      <c r="G985" s="104">
        <v>5651</v>
      </c>
      <c r="H985" s="116">
        <v>22.681403545146409</v>
      </c>
      <c r="I985" s="126">
        <v>13659</v>
      </c>
      <c r="J985" s="117">
        <v>28.536469029327019</v>
      </c>
    </row>
    <row r="986" spans="1:10" ht="16">
      <c r="A986" s="93" t="s">
        <v>616</v>
      </c>
      <c r="B986" s="94" t="s">
        <v>598</v>
      </c>
      <c r="C986" s="95" t="s">
        <v>76</v>
      </c>
      <c r="D986" s="96" t="s">
        <v>130</v>
      </c>
      <c r="E986" s="97">
        <v>7646</v>
      </c>
      <c r="F986" s="97">
        <v>346</v>
      </c>
      <c r="G986" s="97">
        <v>459</v>
      </c>
      <c r="H986" s="114">
        <v>19.760770436070842</v>
      </c>
      <c r="I986" s="125">
        <v>14165</v>
      </c>
      <c r="J986" s="115">
        <v>19.3568222349144</v>
      </c>
    </row>
    <row r="987" spans="1:10" ht="16">
      <c r="A987" s="100" t="s">
        <v>289</v>
      </c>
      <c r="B987" s="101" t="s">
        <v>223</v>
      </c>
      <c r="C987" s="102" t="s">
        <v>76</v>
      </c>
      <c r="D987" s="103" t="s">
        <v>59</v>
      </c>
      <c r="E987" s="104">
        <v>15775</v>
      </c>
      <c r="F987" s="104">
        <v>907</v>
      </c>
      <c r="G987" s="104">
        <v>2840</v>
      </c>
      <c r="H987" s="116">
        <v>16.57778573736627</v>
      </c>
      <c r="I987" s="126">
        <v>5749</v>
      </c>
      <c r="J987" s="117">
        <v>26.153627808200568</v>
      </c>
    </row>
    <row r="988" spans="1:10" ht="16">
      <c r="A988" s="93" t="s">
        <v>454</v>
      </c>
      <c r="B988" s="94" t="s">
        <v>448</v>
      </c>
      <c r="C988" s="95" t="s">
        <v>107</v>
      </c>
      <c r="D988" s="96" t="s">
        <v>92</v>
      </c>
      <c r="E988" s="97">
        <v>21902</v>
      </c>
      <c r="F988" s="97">
        <v>494</v>
      </c>
      <c r="G988" s="97">
        <v>657</v>
      </c>
      <c r="H988" s="114">
        <v>15.019891179094204</v>
      </c>
      <c r="I988" s="125">
        <v>8950</v>
      </c>
      <c r="J988" s="115">
        <v>17.436981737041332</v>
      </c>
    </row>
    <row r="989" spans="1:10" ht="16">
      <c r="A989" s="100" t="s">
        <v>1406</v>
      </c>
      <c r="B989" s="101" t="s">
        <v>1288</v>
      </c>
      <c r="C989" s="102" t="s">
        <v>76</v>
      </c>
      <c r="D989" s="103" t="s">
        <v>62</v>
      </c>
      <c r="E989" s="104">
        <v>28945</v>
      </c>
      <c r="F989" s="104">
        <v>2495</v>
      </c>
      <c r="G989" s="104">
        <v>3473</v>
      </c>
      <c r="H989" s="116">
        <v>30.288209505968322</v>
      </c>
      <c r="I989" s="126">
        <v>24437</v>
      </c>
      <c r="J989" s="117">
        <v>44.071194131993941</v>
      </c>
    </row>
    <row r="990" spans="1:10" ht="16">
      <c r="A990" s="93" t="s">
        <v>567</v>
      </c>
      <c r="B990" s="94" t="s">
        <v>537</v>
      </c>
      <c r="C990" s="95" t="s">
        <v>76</v>
      </c>
      <c r="D990" s="96" t="s">
        <v>92</v>
      </c>
      <c r="E990" s="97">
        <v>13782</v>
      </c>
      <c r="F990" s="97">
        <v>659</v>
      </c>
      <c r="G990" s="97">
        <v>138</v>
      </c>
      <c r="H990" s="114">
        <v>23.465169824381661</v>
      </c>
      <c r="I990" s="125">
        <v>3136</v>
      </c>
      <c r="J990" s="115">
        <v>31.561233013577876</v>
      </c>
    </row>
    <row r="991" spans="1:10" ht="16">
      <c r="A991" s="100" t="s">
        <v>981</v>
      </c>
      <c r="B991" s="101" t="s">
        <v>977</v>
      </c>
      <c r="C991" s="102" t="s">
        <v>76</v>
      </c>
      <c r="D991" s="103" t="s">
        <v>63</v>
      </c>
      <c r="E991" s="104">
        <v>26445</v>
      </c>
      <c r="F991" s="104">
        <v>1106</v>
      </c>
      <c r="G991" s="104">
        <v>3967</v>
      </c>
      <c r="H991" s="116">
        <v>26.013900525688602</v>
      </c>
      <c r="I991" s="126">
        <v>10994</v>
      </c>
      <c r="J991" s="117">
        <v>19.99205749190752</v>
      </c>
    </row>
    <row r="992" spans="1:10" ht="16">
      <c r="A992" s="93" t="s">
        <v>756</v>
      </c>
      <c r="B992" s="94" t="s">
        <v>753</v>
      </c>
      <c r="C992" s="95" t="s">
        <v>76</v>
      </c>
      <c r="D992" s="96" t="s">
        <v>60</v>
      </c>
      <c r="E992" s="97">
        <v>30495</v>
      </c>
      <c r="F992" s="97">
        <v>1804</v>
      </c>
      <c r="G992" s="97">
        <v>4879</v>
      </c>
      <c r="H992" s="114">
        <v>10.785152830633319</v>
      </c>
      <c r="I992" s="125">
        <v>3047</v>
      </c>
      <c r="J992" s="115">
        <v>25.912023636284555</v>
      </c>
    </row>
    <row r="993" spans="1:10" ht="16">
      <c r="A993" s="100" t="s">
        <v>435</v>
      </c>
      <c r="B993" s="101" t="s">
        <v>402</v>
      </c>
      <c r="C993" s="102" t="s">
        <v>107</v>
      </c>
      <c r="D993" s="103" t="s">
        <v>77</v>
      </c>
      <c r="E993" s="104">
        <v>14869</v>
      </c>
      <c r="F993" s="104">
        <v>288</v>
      </c>
      <c r="G993" s="104">
        <v>2676</v>
      </c>
      <c r="H993" s="116">
        <v>24.207679624795681</v>
      </c>
      <c r="I993" s="126">
        <v>9974</v>
      </c>
      <c r="J993" s="117">
        <v>34.365359173594477</v>
      </c>
    </row>
    <row r="994" spans="1:10" ht="16">
      <c r="A994" s="93" t="s">
        <v>1407</v>
      </c>
      <c r="B994" s="94" t="s">
        <v>1288</v>
      </c>
      <c r="C994" s="95" t="s">
        <v>76</v>
      </c>
      <c r="D994" s="96" t="s">
        <v>80</v>
      </c>
      <c r="E994" s="97">
        <v>24526</v>
      </c>
      <c r="F994" s="97">
        <v>2477</v>
      </c>
      <c r="G994" s="97">
        <v>2207</v>
      </c>
      <c r="H994" s="114">
        <v>23.129571815138217</v>
      </c>
      <c r="I994" s="125">
        <v>15543</v>
      </c>
      <c r="J994" s="115">
        <v>37.393082377474826</v>
      </c>
    </row>
    <row r="995" spans="1:10" ht="16">
      <c r="A995" s="100" t="s">
        <v>568</v>
      </c>
      <c r="B995" s="101" t="s">
        <v>537</v>
      </c>
      <c r="C995" s="102" t="s">
        <v>76</v>
      </c>
      <c r="D995" s="103" t="s">
        <v>62</v>
      </c>
      <c r="E995" s="104">
        <v>8438</v>
      </c>
      <c r="F995" s="104">
        <v>308</v>
      </c>
      <c r="G995" s="104">
        <v>253</v>
      </c>
      <c r="H995" s="116">
        <v>19.047720687338089</v>
      </c>
      <c r="I995" s="126">
        <v>13834</v>
      </c>
      <c r="J995" s="117">
        <v>20.405458493705286</v>
      </c>
    </row>
    <row r="996" spans="1:10" ht="16">
      <c r="A996" s="93" t="s">
        <v>1260</v>
      </c>
      <c r="B996" s="94" t="s">
        <v>1190</v>
      </c>
      <c r="C996" s="95" t="s">
        <v>76</v>
      </c>
      <c r="D996" s="96" t="s">
        <v>84</v>
      </c>
      <c r="E996" s="97">
        <v>17754</v>
      </c>
      <c r="F996" s="97">
        <v>888</v>
      </c>
      <c r="G996" s="97">
        <v>5504</v>
      </c>
      <c r="H996" s="114">
        <v>28.704162033712599</v>
      </c>
      <c r="I996" s="125">
        <v>19327</v>
      </c>
      <c r="J996" s="115">
        <v>24.518985094035887</v>
      </c>
    </row>
    <row r="997" spans="1:10" ht="16">
      <c r="A997" s="100" t="s">
        <v>1408</v>
      </c>
      <c r="B997" s="101" t="s">
        <v>1288</v>
      </c>
      <c r="C997" s="102" t="s">
        <v>76</v>
      </c>
      <c r="D997" s="103" t="s">
        <v>130</v>
      </c>
      <c r="E997" s="104">
        <v>27078</v>
      </c>
      <c r="F997" s="104">
        <v>2184</v>
      </c>
      <c r="G997" s="104">
        <v>1083</v>
      </c>
      <c r="H997" s="116">
        <v>24.946042370629328</v>
      </c>
      <c r="I997" s="126">
        <v>13934</v>
      </c>
      <c r="J997" s="117">
        <v>37.285826617099396</v>
      </c>
    </row>
    <row r="998" spans="1:10" ht="16">
      <c r="A998" s="93" t="s">
        <v>436</v>
      </c>
      <c r="B998" s="94" t="s">
        <v>402</v>
      </c>
      <c r="C998" s="95" t="s">
        <v>76</v>
      </c>
      <c r="D998" s="96" t="s">
        <v>130</v>
      </c>
      <c r="E998" s="97">
        <v>26412</v>
      </c>
      <c r="F998" s="97">
        <v>1190</v>
      </c>
      <c r="G998" s="97">
        <v>2113</v>
      </c>
      <c r="H998" s="114">
        <v>28.089202440556988</v>
      </c>
      <c r="I998" s="125">
        <v>23987</v>
      </c>
      <c r="J998" s="115">
        <v>30.726760111001777</v>
      </c>
    </row>
    <row r="999" spans="1:10" ht="16">
      <c r="A999" s="100" t="s">
        <v>135</v>
      </c>
      <c r="B999" s="101" t="s">
        <v>127</v>
      </c>
      <c r="C999" s="102" t="s">
        <v>76</v>
      </c>
      <c r="D999" s="103" t="s">
        <v>80</v>
      </c>
      <c r="E999" s="104">
        <v>3639</v>
      </c>
      <c r="F999" s="104">
        <v>337</v>
      </c>
      <c r="G999" s="104">
        <v>801</v>
      </c>
      <c r="H999" s="116">
        <v>16.605879440076208</v>
      </c>
      <c r="I999" s="126">
        <v>14414</v>
      </c>
      <c r="J999" s="117">
        <v>25.499685769772505</v>
      </c>
    </row>
    <row r="1000" spans="1:10" ht="16">
      <c r="A1000" s="93" t="s">
        <v>437</v>
      </c>
      <c r="B1000" s="94" t="s">
        <v>402</v>
      </c>
      <c r="C1000" s="95" t="s">
        <v>76</v>
      </c>
      <c r="D1000" s="96" t="s">
        <v>84</v>
      </c>
      <c r="E1000" s="97">
        <v>11387</v>
      </c>
      <c r="F1000" s="97">
        <v>203</v>
      </c>
      <c r="G1000" s="97">
        <v>1480</v>
      </c>
      <c r="H1000" s="114">
        <v>44.230099181250011</v>
      </c>
      <c r="I1000" s="125">
        <v>29397</v>
      </c>
      <c r="J1000" s="115">
        <v>39.746489042525575</v>
      </c>
    </row>
    <row r="1001" spans="1:10" ht="16">
      <c r="A1001" s="100" t="s">
        <v>569</v>
      </c>
      <c r="B1001" s="101" t="s">
        <v>537</v>
      </c>
      <c r="C1001" s="102" t="s">
        <v>76</v>
      </c>
      <c r="D1001" s="103" t="s">
        <v>82</v>
      </c>
      <c r="E1001" s="104">
        <v>9441</v>
      </c>
      <c r="F1001" s="104">
        <v>327</v>
      </c>
      <c r="G1001" s="104">
        <v>94</v>
      </c>
      <c r="H1001" s="116">
        <v>13.985838679543406</v>
      </c>
      <c r="I1001" s="126">
        <v>6181</v>
      </c>
      <c r="J1001" s="117">
        <v>14.626772657528228</v>
      </c>
    </row>
    <row r="1002" spans="1:10" ht="16">
      <c r="A1002" s="93" t="s">
        <v>982</v>
      </c>
      <c r="B1002" s="94" t="s">
        <v>977</v>
      </c>
      <c r="C1002" s="95" t="s">
        <v>76</v>
      </c>
      <c r="D1002" s="96" t="s">
        <v>63</v>
      </c>
      <c r="E1002" s="97">
        <v>36660</v>
      </c>
      <c r="F1002" s="97">
        <v>1255</v>
      </c>
      <c r="G1002" s="97">
        <v>1466</v>
      </c>
      <c r="H1002" s="114">
        <v>29.366137918528864</v>
      </c>
      <c r="I1002" s="125">
        <v>20234</v>
      </c>
      <c r="J1002" s="115">
        <v>25.797473329763644</v>
      </c>
    </row>
    <row r="1003" spans="1:10" ht="16">
      <c r="A1003" s="100" t="s">
        <v>218</v>
      </c>
      <c r="B1003" s="101" t="s">
        <v>212</v>
      </c>
      <c r="C1003" s="102" t="s">
        <v>107</v>
      </c>
      <c r="D1003" s="103" t="s">
        <v>59</v>
      </c>
      <c r="E1003" s="104">
        <v>10437</v>
      </c>
      <c r="F1003" s="104">
        <v>424</v>
      </c>
      <c r="G1003" s="104">
        <v>104</v>
      </c>
      <c r="H1003" s="116">
        <v>16.867540460435013</v>
      </c>
      <c r="I1003" s="126">
        <v>5501</v>
      </c>
      <c r="J1003" s="117">
        <v>16.098377528930449</v>
      </c>
    </row>
    <row r="1004" spans="1:10" ht="16">
      <c r="A1004" s="93" t="s">
        <v>1040</v>
      </c>
      <c r="B1004" s="94" t="s">
        <v>1020</v>
      </c>
      <c r="C1004" s="95" t="s">
        <v>76</v>
      </c>
      <c r="D1004" s="96" t="s">
        <v>82</v>
      </c>
      <c r="E1004" s="97">
        <v>18336</v>
      </c>
      <c r="F1004" s="97">
        <v>1421</v>
      </c>
      <c r="G1004" s="97">
        <v>733</v>
      </c>
      <c r="H1004" s="114">
        <v>12.082706162497971</v>
      </c>
      <c r="I1004" s="125">
        <v>7934</v>
      </c>
      <c r="J1004" s="115">
        <v>19.566934034135205</v>
      </c>
    </row>
    <row r="1005" spans="1:10" ht="16">
      <c r="A1005" s="100" t="s">
        <v>845</v>
      </c>
      <c r="B1005" s="101" t="s">
        <v>843</v>
      </c>
      <c r="C1005" s="102" t="s">
        <v>107</v>
      </c>
      <c r="D1005" s="103" t="s">
        <v>82</v>
      </c>
      <c r="E1005" s="104">
        <v>34056</v>
      </c>
      <c r="F1005" s="104">
        <v>1678</v>
      </c>
      <c r="G1005" s="104">
        <v>2370</v>
      </c>
      <c r="H1005" s="116">
        <v>9.3142875310559816</v>
      </c>
      <c r="I1005" s="126">
        <v>5387</v>
      </c>
      <c r="J1005" s="117">
        <v>15.596819056688169</v>
      </c>
    </row>
    <row r="1006" spans="1:10" ht="16">
      <c r="A1006" s="93" t="s">
        <v>1041</v>
      </c>
      <c r="B1006" s="94" t="s">
        <v>1020</v>
      </c>
      <c r="C1006" s="95" t="s">
        <v>76</v>
      </c>
      <c r="D1006" s="96" t="s">
        <v>61</v>
      </c>
      <c r="E1006" s="97">
        <v>18714</v>
      </c>
      <c r="F1006" s="97">
        <v>1094</v>
      </c>
      <c r="G1006" s="97">
        <v>1310</v>
      </c>
      <c r="H1006" s="114">
        <v>11.933071304705837</v>
      </c>
      <c r="I1006" s="125">
        <v>5368</v>
      </c>
      <c r="J1006" s="115">
        <v>18.210652233753116</v>
      </c>
    </row>
    <row r="1007" spans="1:10" ht="16">
      <c r="A1007" s="100" t="s">
        <v>768</v>
      </c>
      <c r="B1007" s="101" t="s">
        <v>766</v>
      </c>
      <c r="C1007" s="102" t="s">
        <v>76</v>
      </c>
      <c r="D1007" s="103" t="s">
        <v>80</v>
      </c>
      <c r="E1007" s="104">
        <v>12367</v>
      </c>
      <c r="F1007" s="104">
        <v>374</v>
      </c>
      <c r="G1007" s="104">
        <v>742</v>
      </c>
      <c r="H1007" s="116">
        <v>19.639963423690897</v>
      </c>
      <c r="I1007" s="126">
        <v>4766</v>
      </c>
      <c r="J1007" s="117">
        <v>17.814574593215966</v>
      </c>
    </row>
    <row r="1008" spans="1:10" ht="16">
      <c r="A1008" s="93" t="s">
        <v>1077</v>
      </c>
      <c r="B1008" s="94" t="s">
        <v>1072</v>
      </c>
      <c r="C1008" s="95" t="s">
        <v>76</v>
      </c>
      <c r="D1008" s="96" t="s">
        <v>62</v>
      </c>
      <c r="E1008" s="97">
        <v>12197</v>
      </c>
      <c r="F1008" s="97">
        <v>1271</v>
      </c>
      <c r="G1008" s="97">
        <v>2927</v>
      </c>
      <c r="H1008" s="114">
        <v>44.766121757805358</v>
      </c>
      <c r="I1008" s="125">
        <v>32552</v>
      </c>
      <c r="J1008" s="115">
        <v>33.969542161049482</v>
      </c>
    </row>
    <row r="1009" spans="1:10" ht="16">
      <c r="A1009" s="100" t="s">
        <v>1261</v>
      </c>
      <c r="B1009" s="101" t="s">
        <v>1190</v>
      </c>
      <c r="C1009" s="102" t="s">
        <v>76</v>
      </c>
      <c r="D1009" s="103" t="s">
        <v>77</v>
      </c>
      <c r="E1009" s="104">
        <v>30236</v>
      </c>
      <c r="F1009" s="104">
        <v>2129</v>
      </c>
      <c r="G1009" s="104">
        <v>8768</v>
      </c>
      <c r="H1009" s="116">
        <v>45.902603661508238</v>
      </c>
      <c r="I1009" s="126">
        <v>35947</v>
      </c>
      <c r="J1009" s="117">
        <v>42.06655217986517</v>
      </c>
    </row>
    <row r="1010" spans="1:10" ht="16">
      <c r="A1010" s="93" t="s">
        <v>1262</v>
      </c>
      <c r="B1010" s="94" t="s">
        <v>1190</v>
      </c>
      <c r="C1010" s="95" t="s">
        <v>76</v>
      </c>
      <c r="D1010" s="96" t="s">
        <v>61</v>
      </c>
      <c r="E1010" s="97">
        <v>14645</v>
      </c>
      <c r="F1010" s="97">
        <v>1024</v>
      </c>
      <c r="G1010" s="97">
        <v>4686</v>
      </c>
      <c r="H1010" s="114">
        <v>35.738068127131832</v>
      </c>
      <c r="I1010" s="125">
        <v>33510</v>
      </c>
      <c r="J1010" s="115">
        <v>30.177104130742173</v>
      </c>
    </row>
    <row r="1011" spans="1:10" ht="16">
      <c r="A1011" s="100" t="s">
        <v>136</v>
      </c>
      <c r="B1011" s="101" t="s">
        <v>127</v>
      </c>
      <c r="C1011" s="102" t="s">
        <v>107</v>
      </c>
      <c r="D1011" s="103" t="s">
        <v>62</v>
      </c>
      <c r="E1011" s="104">
        <v>3074</v>
      </c>
      <c r="F1011" s="104">
        <v>521</v>
      </c>
      <c r="G1011" s="104">
        <v>461</v>
      </c>
      <c r="H1011" s="116">
        <v>12.150565775672831</v>
      </c>
      <c r="I1011" s="126">
        <v>4015</v>
      </c>
      <c r="J1011" s="117">
        <v>28.29595523994303</v>
      </c>
    </row>
    <row r="1012" spans="1:10" ht="16">
      <c r="A1012" s="93" t="s">
        <v>198</v>
      </c>
      <c r="B1012" s="94" t="s">
        <v>184</v>
      </c>
      <c r="C1012" s="95" t="s">
        <v>76</v>
      </c>
      <c r="D1012" s="96" t="s">
        <v>84</v>
      </c>
      <c r="E1012" s="97">
        <v>6996</v>
      </c>
      <c r="F1012" s="97">
        <v>542</v>
      </c>
      <c r="G1012" s="97">
        <v>840</v>
      </c>
      <c r="H1012" s="114">
        <v>12.61533771678109</v>
      </c>
      <c r="I1012" s="125">
        <v>2809</v>
      </c>
      <c r="J1012" s="115">
        <v>16.713099211047499</v>
      </c>
    </row>
    <row r="1013" spans="1:10" ht="16">
      <c r="A1013" s="100" t="s">
        <v>392</v>
      </c>
      <c r="B1013" s="101" t="s">
        <v>377</v>
      </c>
      <c r="C1013" s="102" t="s">
        <v>76</v>
      </c>
      <c r="D1013" s="103" t="s">
        <v>77</v>
      </c>
      <c r="E1013" s="104">
        <v>69287</v>
      </c>
      <c r="F1013" s="104">
        <v>2389</v>
      </c>
      <c r="G1013" s="104">
        <v>9007</v>
      </c>
      <c r="H1013" s="116">
        <v>18.142539288125903</v>
      </c>
      <c r="I1013" s="126">
        <v>9244</v>
      </c>
      <c r="J1013" s="117">
        <v>20.955324170203966</v>
      </c>
    </row>
    <row r="1014" spans="1:10" ht="16">
      <c r="A1014" s="93" t="s">
        <v>589</v>
      </c>
      <c r="B1014" s="94" t="s">
        <v>581</v>
      </c>
      <c r="C1014" s="95" t="s">
        <v>107</v>
      </c>
      <c r="D1014" s="96" t="s">
        <v>84</v>
      </c>
      <c r="E1014" s="97">
        <v>14221</v>
      </c>
      <c r="F1014" s="97">
        <v>655</v>
      </c>
      <c r="G1014" s="97">
        <v>2418</v>
      </c>
      <c r="H1014" s="114">
        <v>24.487372446057215</v>
      </c>
      <c r="I1014" s="125">
        <v>12893</v>
      </c>
      <c r="J1014" s="115">
        <v>20.238764290190197</v>
      </c>
    </row>
    <row r="1015" spans="1:10" ht="16">
      <c r="A1015" s="100" t="s">
        <v>1263</v>
      </c>
      <c r="B1015" s="101" t="s">
        <v>1190</v>
      </c>
      <c r="C1015" s="102" t="s">
        <v>76</v>
      </c>
      <c r="D1015" s="103" t="s">
        <v>77</v>
      </c>
      <c r="E1015" s="104">
        <v>12060</v>
      </c>
      <c r="F1015" s="104">
        <v>799</v>
      </c>
      <c r="G1015" s="104">
        <v>1568</v>
      </c>
      <c r="H1015" s="116">
        <v>14.192959486108546</v>
      </c>
      <c r="I1015" s="126">
        <v>9110</v>
      </c>
      <c r="J1015" s="117">
        <v>16.859252796690267</v>
      </c>
    </row>
    <row r="1016" spans="1:10" ht="16">
      <c r="A1016" s="93" t="s">
        <v>901</v>
      </c>
      <c r="B1016" s="94" t="s">
        <v>893</v>
      </c>
      <c r="C1016" s="95" t="s">
        <v>76</v>
      </c>
      <c r="D1016" s="96" t="s">
        <v>92</v>
      </c>
      <c r="E1016" s="97">
        <v>47886</v>
      </c>
      <c r="F1016" s="97">
        <v>2705</v>
      </c>
      <c r="G1016" s="97">
        <v>5746</v>
      </c>
      <c r="H1016" s="114">
        <v>30.711596575320797</v>
      </c>
      <c r="I1016" s="125">
        <v>15723</v>
      </c>
      <c r="J1016" s="115">
        <v>25.918441892440907</v>
      </c>
    </row>
    <row r="1017" spans="1:10" ht="16">
      <c r="A1017" s="100" t="s">
        <v>1264</v>
      </c>
      <c r="B1017" s="101" t="s">
        <v>1190</v>
      </c>
      <c r="C1017" s="102" t="s">
        <v>76</v>
      </c>
      <c r="D1017" s="103" t="s">
        <v>84</v>
      </c>
      <c r="E1017" s="104">
        <v>23057</v>
      </c>
      <c r="F1017" s="104">
        <v>1671</v>
      </c>
      <c r="G1017" s="104">
        <v>7609</v>
      </c>
      <c r="H1017" s="116">
        <v>38.164420837817758</v>
      </c>
      <c r="I1017" s="126">
        <v>33334</v>
      </c>
      <c r="J1017" s="117">
        <v>35.62864385836594</v>
      </c>
    </row>
    <row r="1018" spans="1:10" ht="16">
      <c r="A1018" s="93" t="s">
        <v>973</v>
      </c>
      <c r="B1018" s="94" t="s">
        <v>974</v>
      </c>
      <c r="C1018" s="95" t="s">
        <v>76</v>
      </c>
      <c r="D1018" s="96" t="s">
        <v>84</v>
      </c>
      <c r="E1018" s="97">
        <v>40110</v>
      </c>
      <c r="F1018" s="97">
        <v>2729</v>
      </c>
      <c r="G1018" s="97">
        <v>2407</v>
      </c>
      <c r="H1018" s="114">
        <v>18.826353435629315</v>
      </c>
      <c r="I1018" s="125">
        <v>8505</v>
      </c>
      <c r="J1018" s="115">
        <v>21.306673403395202</v>
      </c>
    </row>
    <row r="1019" spans="1:10" ht="16">
      <c r="A1019" s="100" t="s">
        <v>1042</v>
      </c>
      <c r="B1019" s="101" t="s">
        <v>1020</v>
      </c>
      <c r="C1019" s="102" t="s">
        <v>76</v>
      </c>
      <c r="D1019" s="103" t="s">
        <v>77</v>
      </c>
      <c r="E1019" s="104">
        <v>8595</v>
      </c>
      <c r="F1019" s="104">
        <v>585</v>
      </c>
      <c r="G1019" s="104">
        <v>688</v>
      </c>
      <c r="H1019" s="116">
        <v>15.738287420680036</v>
      </c>
      <c r="I1019" s="126">
        <v>7507</v>
      </c>
      <c r="J1019" s="117">
        <v>23.823289920732375</v>
      </c>
    </row>
    <row r="1020" spans="1:10" ht="16">
      <c r="A1020" s="93" t="s">
        <v>393</v>
      </c>
      <c r="B1020" s="94" t="s">
        <v>377</v>
      </c>
      <c r="C1020" s="95" t="s">
        <v>76</v>
      </c>
      <c r="D1020" s="96" t="s">
        <v>80</v>
      </c>
      <c r="E1020" s="97">
        <v>58678</v>
      </c>
      <c r="F1020" s="97">
        <v>3056</v>
      </c>
      <c r="G1020" s="97">
        <v>9388</v>
      </c>
      <c r="H1020" s="114">
        <v>13.650492902513889</v>
      </c>
      <c r="I1020" s="125">
        <v>8335</v>
      </c>
      <c r="J1020" s="115">
        <v>22.130880321372686</v>
      </c>
    </row>
    <row r="1021" spans="1:10" ht="16">
      <c r="A1021" s="100" t="s">
        <v>776</v>
      </c>
      <c r="B1021" s="101" t="s">
        <v>777</v>
      </c>
      <c r="C1021" s="102" t="s">
        <v>76</v>
      </c>
      <c r="D1021" s="103" t="s">
        <v>63</v>
      </c>
      <c r="E1021" s="104">
        <v>4654</v>
      </c>
      <c r="F1021" s="104">
        <v>249</v>
      </c>
      <c r="G1021" s="104">
        <v>2280</v>
      </c>
      <c r="H1021" s="116">
        <v>36.785015474528919</v>
      </c>
      <c r="I1021" s="126">
        <v>27766</v>
      </c>
      <c r="J1021" s="117">
        <v>38.574321391907041</v>
      </c>
    </row>
    <row r="1022" spans="1:10" ht="16">
      <c r="A1022" s="93" t="s">
        <v>780</v>
      </c>
      <c r="B1022" s="94" t="s">
        <v>779</v>
      </c>
      <c r="C1022" s="95" t="s">
        <v>76</v>
      </c>
      <c r="D1022" s="96" t="s">
        <v>60</v>
      </c>
      <c r="E1022" s="97">
        <v>9340</v>
      </c>
      <c r="F1022" s="97">
        <v>649</v>
      </c>
      <c r="G1022" s="97">
        <v>3456</v>
      </c>
      <c r="H1022" s="114">
        <v>33.302522048879837</v>
      </c>
      <c r="I1022" s="125">
        <v>20292</v>
      </c>
      <c r="J1022" s="115">
        <v>32.820396518604461</v>
      </c>
    </row>
    <row r="1023" spans="1:10" ht="16">
      <c r="A1023" s="100" t="s">
        <v>1043</v>
      </c>
      <c r="B1023" s="101" t="s">
        <v>1020</v>
      </c>
      <c r="C1023" s="102" t="s">
        <v>76</v>
      </c>
      <c r="D1023" s="103" t="s">
        <v>84</v>
      </c>
      <c r="E1023" s="104">
        <v>35654</v>
      </c>
      <c r="F1023" s="104">
        <v>2764</v>
      </c>
      <c r="G1023" s="104">
        <v>3209</v>
      </c>
      <c r="H1023" s="116">
        <v>12.08106823209754</v>
      </c>
      <c r="I1023" s="126">
        <v>3882</v>
      </c>
      <c r="J1023" s="117">
        <v>20.299851065048603</v>
      </c>
    </row>
    <row r="1024" spans="1:10" ht="16">
      <c r="A1024" s="93" t="s">
        <v>794</v>
      </c>
      <c r="B1024" s="94" t="s">
        <v>782</v>
      </c>
      <c r="C1024" s="95" t="s">
        <v>76</v>
      </c>
      <c r="D1024" s="96" t="s">
        <v>63</v>
      </c>
      <c r="E1024" s="97">
        <v>15140</v>
      </c>
      <c r="F1024" s="97">
        <v>1893</v>
      </c>
      <c r="G1024" s="97">
        <v>3028</v>
      </c>
      <c r="H1024" s="114">
        <v>31.384375999341277</v>
      </c>
      <c r="I1024" s="125">
        <v>17306</v>
      </c>
      <c r="J1024" s="115">
        <v>42.370674680688062</v>
      </c>
    </row>
    <row r="1025" spans="1:10" ht="16">
      <c r="A1025" s="100" t="s">
        <v>795</v>
      </c>
      <c r="B1025" s="101" t="s">
        <v>796</v>
      </c>
      <c r="C1025" s="102" t="s">
        <v>76</v>
      </c>
      <c r="D1025" s="103" t="s">
        <v>80</v>
      </c>
      <c r="E1025" s="104">
        <v>11772</v>
      </c>
      <c r="F1025" s="104">
        <v>906</v>
      </c>
      <c r="G1025" s="104">
        <v>1059</v>
      </c>
      <c r="H1025" s="116">
        <v>14.591579142286554</v>
      </c>
      <c r="I1025" s="126">
        <v>6669</v>
      </c>
      <c r="J1025" s="117">
        <v>17.292491003130873</v>
      </c>
    </row>
    <row r="1026" spans="1:10" ht="16">
      <c r="A1026" s="93" t="s">
        <v>1265</v>
      </c>
      <c r="B1026" s="94" t="s">
        <v>1190</v>
      </c>
      <c r="C1026" s="95" t="s">
        <v>76</v>
      </c>
      <c r="D1026" s="96" t="s">
        <v>80</v>
      </c>
      <c r="E1026" s="97">
        <v>37038</v>
      </c>
      <c r="F1026" s="97">
        <v>2572</v>
      </c>
      <c r="G1026" s="97">
        <v>14815</v>
      </c>
      <c r="H1026" s="114">
        <v>64.19866330074629</v>
      </c>
      <c r="I1026" s="125">
        <v>54516</v>
      </c>
      <c r="J1026" s="115">
        <v>57.749014771021301</v>
      </c>
    </row>
    <row r="1027" spans="1:10" ht="16">
      <c r="A1027" s="100" t="s">
        <v>199</v>
      </c>
      <c r="B1027" s="101" t="s">
        <v>184</v>
      </c>
      <c r="C1027" s="102" t="s">
        <v>76</v>
      </c>
      <c r="D1027" s="103" t="s">
        <v>59</v>
      </c>
      <c r="E1027" s="104">
        <v>29311</v>
      </c>
      <c r="F1027" s="104">
        <v>997</v>
      </c>
      <c r="G1027" s="104">
        <v>4983</v>
      </c>
      <c r="H1027" s="116">
        <v>31.278720437708124</v>
      </c>
      <c r="I1027" s="126">
        <v>21566</v>
      </c>
      <c r="J1027" s="117">
        <v>28.830910837982454</v>
      </c>
    </row>
    <row r="1028" spans="1:10" ht="16">
      <c r="A1028" s="93" t="s">
        <v>438</v>
      </c>
      <c r="B1028" s="94" t="s">
        <v>402</v>
      </c>
      <c r="C1028" s="95" t="s">
        <v>76</v>
      </c>
      <c r="D1028" s="96" t="s">
        <v>82</v>
      </c>
      <c r="E1028" s="97">
        <v>10730</v>
      </c>
      <c r="F1028" s="97">
        <v>134</v>
      </c>
      <c r="G1028" s="97">
        <v>1931</v>
      </c>
      <c r="H1028" s="114">
        <v>50.586052786705878</v>
      </c>
      <c r="I1028" s="125">
        <v>39181</v>
      </c>
      <c r="J1028" s="115">
        <v>42.495959093721368</v>
      </c>
    </row>
    <row r="1029" spans="1:10" ht="16">
      <c r="A1029" s="100" t="s">
        <v>1136</v>
      </c>
      <c r="B1029" s="101" t="s">
        <v>1135</v>
      </c>
      <c r="C1029" s="102" t="s">
        <v>76</v>
      </c>
      <c r="D1029" s="103" t="s">
        <v>77</v>
      </c>
      <c r="E1029" s="104">
        <v>18361</v>
      </c>
      <c r="F1029" s="104">
        <v>1360</v>
      </c>
      <c r="G1029" s="104">
        <v>184</v>
      </c>
      <c r="H1029" s="116">
        <v>7.8147879408666974</v>
      </c>
      <c r="I1029" s="126">
        <v>1951</v>
      </c>
      <c r="J1029" s="117">
        <v>19.419524955891454</v>
      </c>
    </row>
    <row r="1030" spans="1:10" ht="16">
      <c r="A1030" s="93" t="s">
        <v>439</v>
      </c>
      <c r="B1030" s="94" t="s">
        <v>402</v>
      </c>
      <c r="C1030" s="95" t="s">
        <v>76</v>
      </c>
      <c r="D1030" s="96" t="s">
        <v>82</v>
      </c>
      <c r="E1030" s="97">
        <v>25541</v>
      </c>
      <c r="F1030" s="97">
        <v>736</v>
      </c>
      <c r="G1030" s="97">
        <v>3065</v>
      </c>
      <c r="H1030" s="114">
        <v>29.606100936452098</v>
      </c>
      <c r="I1030" s="125">
        <v>21451</v>
      </c>
      <c r="J1030" s="115">
        <v>34.131607841901513</v>
      </c>
    </row>
    <row r="1031" spans="1:10" ht="16">
      <c r="A1031" s="100" t="s">
        <v>975</v>
      </c>
      <c r="B1031" s="101" t="s">
        <v>974</v>
      </c>
      <c r="C1031" s="102" t="s">
        <v>76</v>
      </c>
      <c r="D1031" s="103" t="s">
        <v>60</v>
      </c>
      <c r="E1031" s="104">
        <v>12124</v>
      </c>
      <c r="F1031" s="104">
        <v>891</v>
      </c>
      <c r="G1031" s="104">
        <v>606</v>
      </c>
      <c r="H1031" s="116">
        <v>16.631824972966697</v>
      </c>
      <c r="I1031" s="126">
        <v>4951</v>
      </c>
      <c r="J1031" s="117">
        <v>17.143066119227608</v>
      </c>
    </row>
    <row r="1032" spans="1:10" ht="16">
      <c r="A1032" s="93" t="s">
        <v>816</v>
      </c>
      <c r="B1032" s="94" t="s">
        <v>814</v>
      </c>
      <c r="C1032" s="95" t="s">
        <v>76</v>
      </c>
      <c r="D1032" s="96" t="s">
        <v>82</v>
      </c>
      <c r="E1032" s="97">
        <v>102000</v>
      </c>
      <c r="F1032" s="97">
        <v>1553</v>
      </c>
      <c r="G1032" s="97">
        <v>1020</v>
      </c>
      <c r="H1032" s="114">
        <v>9.1290752895791734</v>
      </c>
      <c r="I1032" s="125">
        <v>2004</v>
      </c>
      <c r="J1032" s="115">
        <v>18.248976110087593</v>
      </c>
    </row>
    <row r="1033" spans="1:10" ht="16">
      <c r="A1033" s="100" t="s">
        <v>1409</v>
      </c>
      <c r="B1033" s="101" t="s">
        <v>1288</v>
      </c>
      <c r="C1033" s="102" t="s">
        <v>107</v>
      </c>
      <c r="D1033" s="103" t="s">
        <v>77</v>
      </c>
      <c r="E1033" s="104">
        <v>11667</v>
      </c>
      <c r="F1033" s="104">
        <v>645</v>
      </c>
      <c r="G1033" s="104">
        <v>933</v>
      </c>
      <c r="H1033" s="116">
        <v>17.776127441645887</v>
      </c>
      <c r="I1033" s="126">
        <v>10145</v>
      </c>
      <c r="J1033" s="117">
        <v>23.30474931665302</v>
      </c>
    </row>
    <row r="1034" spans="1:10" ht="16">
      <c r="A1034" s="93" t="s">
        <v>1410</v>
      </c>
      <c r="B1034" s="94" t="s">
        <v>1288</v>
      </c>
      <c r="C1034" s="95" t="s">
        <v>107</v>
      </c>
      <c r="D1034" s="96" t="s">
        <v>80</v>
      </c>
      <c r="E1034" s="97">
        <v>33108</v>
      </c>
      <c r="F1034" s="97">
        <v>1994</v>
      </c>
      <c r="G1034" s="97">
        <v>3642</v>
      </c>
      <c r="H1034" s="114">
        <v>59.189390353282725</v>
      </c>
      <c r="I1034" s="125">
        <v>53086</v>
      </c>
      <c r="J1034" s="115">
        <v>47.545858736909757</v>
      </c>
    </row>
    <row r="1035" spans="1:10" ht="16">
      <c r="A1035" s="100" t="s">
        <v>1411</v>
      </c>
      <c r="B1035" s="101" t="s">
        <v>1288</v>
      </c>
      <c r="C1035" s="102" t="s">
        <v>107</v>
      </c>
      <c r="D1035" s="103" t="s">
        <v>130</v>
      </c>
      <c r="E1035" s="104">
        <v>61204</v>
      </c>
      <c r="F1035" s="104">
        <v>4708</v>
      </c>
      <c r="G1035" s="104">
        <v>9181</v>
      </c>
      <c r="H1035" s="116">
        <v>31.497338926328421</v>
      </c>
      <c r="I1035" s="126">
        <v>27163</v>
      </c>
      <c r="J1035" s="117">
        <v>38.710836442419463</v>
      </c>
    </row>
    <row r="1036" spans="1:10" ht="16">
      <c r="A1036" s="93" t="s">
        <v>570</v>
      </c>
      <c r="B1036" s="94" t="s">
        <v>537</v>
      </c>
      <c r="C1036" s="95" t="s">
        <v>76</v>
      </c>
      <c r="D1036" s="96" t="s">
        <v>84</v>
      </c>
      <c r="E1036" s="97">
        <v>12942</v>
      </c>
      <c r="F1036" s="97">
        <v>384</v>
      </c>
      <c r="G1036" s="97">
        <v>259</v>
      </c>
      <c r="H1036" s="114">
        <v>11.686780667102671</v>
      </c>
      <c r="I1036" s="125">
        <v>3917</v>
      </c>
      <c r="J1036" s="115">
        <v>29.014077112079974</v>
      </c>
    </row>
    <row r="1037" spans="1:10" ht="16">
      <c r="A1037" s="100" t="s">
        <v>112</v>
      </c>
      <c r="B1037" s="101" t="s">
        <v>89</v>
      </c>
      <c r="C1037" s="102" t="s">
        <v>76</v>
      </c>
      <c r="D1037" s="103" t="s">
        <v>77</v>
      </c>
      <c r="E1037" s="104">
        <v>47385</v>
      </c>
      <c r="F1037" s="104">
        <v>1802</v>
      </c>
      <c r="G1037" s="104">
        <v>21797</v>
      </c>
      <c r="H1037" s="116">
        <v>74.605541193429275</v>
      </c>
      <c r="I1037" s="126">
        <v>66607</v>
      </c>
      <c r="J1037" s="117">
        <v>66.536032527550788</v>
      </c>
    </row>
    <row r="1038" spans="1:10" ht="16">
      <c r="A1038" s="93" t="s">
        <v>1412</v>
      </c>
      <c r="B1038" s="94" t="s">
        <v>1288</v>
      </c>
      <c r="C1038" s="95" t="s">
        <v>76</v>
      </c>
      <c r="D1038" s="96" t="s">
        <v>84</v>
      </c>
      <c r="E1038" s="97">
        <v>15971</v>
      </c>
      <c r="F1038" s="97">
        <v>2535</v>
      </c>
      <c r="G1038" s="97">
        <v>2555</v>
      </c>
      <c r="H1038" s="114">
        <v>25.671930956758512</v>
      </c>
      <c r="I1038" s="125">
        <v>21076</v>
      </c>
      <c r="J1038" s="115">
        <v>44.312209510137933</v>
      </c>
    </row>
    <row r="1039" spans="1:10" ht="16">
      <c r="A1039" s="100" t="s">
        <v>1413</v>
      </c>
      <c r="B1039" s="101" t="s">
        <v>1288</v>
      </c>
      <c r="C1039" s="102" t="s">
        <v>107</v>
      </c>
      <c r="D1039" s="103" t="s">
        <v>59</v>
      </c>
      <c r="E1039" s="104">
        <v>42982</v>
      </c>
      <c r="F1039" s="104">
        <v>5179</v>
      </c>
      <c r="G1039" s="104">
        <v>7307</v>
      </c>
      <c r="H1039" s="116">
        <v>86.872612983225494</v>
      </c>
      <c r="I1039" s="126">
        <v>81871</v>
      </c>
      <c r="J1039" s="117">
        <v>79.743255653432485</v>
      </c>
    </row>
    <row r="1040" spans="1:10" ht="16">
      <c r="A1040" s="93" t="s">
        <v>617</v>
      </c>
      <c r="B1040" s="94" t="s">
        <v>598</v>
      </c>
      <c r="C1040" s="95" t="s">
        <v>76</v>
      </c>
      <c r="D1040" s="96" t="s">
        <v>84</v>
      </c>
      <c r="E1040" s="97">
        <v>45451</v>
      </c>
      <c r="F1040" s="97">
        <v>2124</v>
      </c>
      <c r="G1040" s="97">
        <v>2727</v>
      </c>
      <c r="H1040" s="114">
        <v>29.058742091541177</v>
      </c>
      <c r="I1040" s="125">
        <v>20921</v>
      </c>
      <c r="J1040" s="115">
        <v>36.239657911755529</v>
      </c>
    </row>
    <row r="1041" spans="1:10" ht="16">
      <c r="A1041" s="100" t="s">
        <v>618</v>
      </c>
      <c r="B1041" s="101" t="s">
        <v>598</v>
      </c>
      <c r="C1041" s="102" t="s">
        <v>76</v>
      </c>
      <c r="D1041" s="103" t="s">
        <v>63</v>
      </c>
      <c r="E1041" s="104">
        <v>26509</v>
      </c>
      <c r="F1041" s="104">
        <v>917</v>
      </c>
      <c r="G1041" s="104">
        <v>1591</v>
      </c>
      <c r="H1041" s="116">
        <v>20.257605890163013</v>
      </c>
      <c r="I1041" s="126">
        <v>16423</v>
      </c>
      <c r="J1041" s="117">
        <v>24.351512949991665</v>
      </c>
    </row>
    <row r="1042" spans="1:10" ht="16">
      <c r="A1042" s="93" t="s">
        <v>902</v>
      </c>
      <c r="B1042" s="94" t="s">
        <v>893</v>
      </c>
      <c r="C1042" s="95" t="s">
        <v>76</v>
      </c>
      <c r="D1042" s="96" t="s">
        <v>59</v>
      </c>
      <c r="E1042" s="97">
        <v>18066</v>
      </c>
      <c r="F1042" s="97">
        <v>1009</v>
      </c>
      <c r="G1042" s="97">
        <v>1807</v>
      </c>
      <c r="H1042" s="114">
        <v>19.616348530683513</v>
      </c>
      <c r="I1042" s="125">
        <v>6747</v>
      </c>
      <c r="J1042" s="115">
        <v>22.644473893664887</v>
      </c>
    </row>
    <row r="1043" spans="1:10" ht="16">
      <c r="A1043" s="100" t="s">
        <v>1414</v>
      </c>
      <c r="B1043" s="101" t="s">
        <v>1288</v>
      </c>
      <c r="C1043" s="102" t="s">
        <v>76</v>
      </c>
      <c r="D1043" s="103" t="s">
        <v>130</v>
      </c>
      <c r="E1043" s="104">
        <v>61120</v>
      </c>
      <c r="F1043" s="104">
        <v>4929</v>
      </c>
      <c r="G1043" s="104">
        <v>6723</v>
      </c>
      <c r="H1043" s="116">
        <v>60.094343282614084</v>
      </c>
      <c r="I1043" s="126">
        <v>49155</v>
      </c>
      <c r="J1043" s="117">
        <v>55.756999976394155</v>
      </c>
    </row>
    <row r="1044" spans="1:10" ht="16">
      <c r="A1044" s="93" t="s">
        <v>1415</v>
      </c>
      <c r="B1044" s="94" t="s">
        <v>1288</v>
      </c>
      <c r="C1044" s="95" t="s">
        <v>76</v>
      </c>
      <c r="D1044" s="96" t="s">
        <v>61</v>
      </c>
      <c r="E1044" s="97">
        <v>28513</v>
      </c>
      <c r="F1044" s="97">
        <v>2144</v>
      </c>
      <c r="G1044" s="97">
        <v>1711</v>
      </c>
      <c r="H1044" s="114">
        <v>24.567941813926364</v>
      </c>
      <c r="I1044" s="125">
        <v>16036</v>
      </c>
      <c r="J1044" s="115">
        <v>34.921978310154081</v>
      </c>
    </row>
    <row r="1045" spans="1:10" ht="16">
      <c r="A1045" s="100" t="s">
        <v>1416</v>
      </c>
      <c r="B1045" s="101" t="s">
        <v>1288</v>
      </c>
      <c r="C1045" s="102" t="s">
        <v>76</v>
      </c>
      <c r="D1045" s="103" t="s">
        <v>82</v>
      </c>
      <c r="E1045" s="104">
        <v>7019</v>
      </c>
      <c r="F1045" s="104">
        <v>439</v>
      </c>
      <c r="G1045" s="104">
        <v>421</v>
      </c>
      <c r="H1045" s="116">
        <v>24.926840937412923</v>
      </c>
      <c r="I1045" s="126">
        <v>17504</v>
      </c>
      <c r="J1045" s="117">
        <v>30.475192527699868</v>
      </c>
    </row>
    <row r="1046" spans="1:10" ht="16">
      <c r="A1046" s="93" t="s">
        <v>739</v>
      </c>
      <c r="B1046" s="94" t="s">
        <v>642</v>
      </c>
      <c r="C1046" s="95" t="s">
        <v>107</v>
      </c>
      <c r="D1046" s="96" t="s">
        <v>80</v>
      </c>
      <c r="E1046" s="97">
        <v>5488</v>
      </c>
      <c r="F1046" s="97">
        <v>695</v>
      </c>
      <c r="G1046" s="97">
        <v>165</v>
      </c>
      <c r="H1046" s="114">
        <v>10.488037019111818</v>
      </c>
      <c r="I1046" s="125">
        <v>2138</v>
      </c>
      <c r="J1046" s="115">
        <v>20.930914302829532</v>
      </c>
    </row>
    <row r="1047" spans="1:10" ht="16">
      <c r="A1047" s="100" t="s">
        <v>619</v>
      </c>
      <c r="B1047" s="101" t="s">
        <v>598</v>
      </c>
      <c r="C1047" s="102" t="s">
        <v>76</v>
      </c>
      <c r="D1047" s="103" t="s">
        <v>62</v>
      </c>
      <c r="E1047" s="104">
        <v>17432</v>
      </c>
      <c r="F1047" s="104">
        <v>703</v>
      </c>
      <c r="G1047" s="104">
        <v>1046</v>
      </c>
      <c r="H1047" s="116">
        <v>20.303578201533924</v>
      </c>
      <c r="I1047" s="126">
        <v>13774</v>
      </c>
      <c r="J1047" s="117">
        <v>32.647645690912853</v>
      </c>
    </row>
    <row r="1048" spans="1:10" ht="16">
      <c r="A1048" s="93" t="s">
        <v>1137</v>
      </c>
      <c r="B1048" s="94" t="s">
        <v>1135</v>
      </c>
      <c r="C1048" s="95" t="s">
        <v>76</v>
      </c>
      <c r="D1048" s="96" t="s">
        <v>80</v>
      </c>
      <c r="E1048" s="97">
        <v>19973</v>
      </c>
      <c r="F1048" s="97">
        <v>2059</v>
      </c>
      <c r="G1048" s="97">
        <v>200</v>
      </c>
      <c r="H1048" s="114">
        <v>9.865739119644541</v>
      </c>
      <c r="I1048" s="125">
        <v>1144</v>
      </c>
      <c r="J1048" s="115">
        <v>20.647584271832198</v>
      </c>
    </row>
    <row r="1049" spans="1:10" ht="16">
      <c r="A1049" s="100" t="s">
        <v>811</v>
      </c>
      <c r="B1049" s="101" t="s">
        <v>812</v>
      </c>
      <c r="C1049" s="102" t="s">
        <v>76</v>
      </c>
      <c r="D1049" s="103" t="s">
        <v>130</v>
      </c>
      <c r="E1049" s="104">
        <v>19171</v>
      </c>
      <c r="F1049" s="104">
        <v>702</v>
      </c>
      <c r="G1049" s="104">
        <v>383</v>
      </c>
      <c r="H1049" s="116">
        <v>10.258733643538154</v>
      </c>
      <c r="I1049" s="126">
        <v>1551</v>
      </c>
      <c r="J1049" s="117">
        <v>12.831912785938263</v>
      </c>
    </row>
    <row r="1050" spans="1:10" ht="16">
      <c r="A1050" s="93" t="s">
        <v>200</v>
      </c>
      <c r="B1050" s="94" t="s">
        <v>184</v>
      </c>
      <c r="C1050" s="95" t="s">
        <v>107</v>
      </c>
      <c r="D1050" s="96" t="s">
        <v>92</v>
      </c>
      <c r="E1050" s="97">
        <v>36794</v>
      </c>
      <c r="F1050" s="97">
        <v>1821</v>
      </c>
      <c r="G1050" s="97">
        <v>8095</v>
      </c>
      <c r="H1050" s="114">
        <v>49.745163131166564</v>
      </c>
      <c r="I1050" s="125">
        <v>43059</v>
      </c>
      <c r="J1050" s="115">
        <v>48.861087851559134</v>
      </c>
    </row>
    <row r="1051" spans="1:10" ht="16">
      <c r="A1051" s="100" t="s">
        <v>526</v>
      </c>
      <c r="B1051" s="101" t="s">
        <v>474</v>
      </c>
      <c r="C1051" s="102" t="s">
        <v>107</v>
      </c>
      <c r="D1051" s="103" t="s">
        <v>63</v>
      </c>
      <c r="E1051" s="104">
        <v>7874</v>
      </c>
      <c r="F1051" s="104">
        <v>435</v>
      </c>
      <c r="G1051" s="104">
        <v>176</v>
      </c>
      <c r="H1051" s="116">
        <v>10.414589844491331</v>
      </c>
      <c r="I1051" s="126">
        <v>1783</v>
      </c>
      <c r="J1051" s="117">
        <v>31.95869181239653</v>
      </c>
    </row>
    <row r="1052" spans="1:10" ht="16">
      <c r="A1052" s="93" t="s">
        <v>1044</v>
      </c>
      <c r="B1052" s="94" t="s">
        <v>1020</v>
      </c>
      <c r="C1052" s="95" t="s">
        <v>76</v>
      </c>
      <c r="D1052" s="96" t="s">
        <v>60</v>
      </c>
      <c r="E1052" s="97">
        <v>27662</v>
      </c>
      <c r="F1052" s="97">
        <v>1697</v>
      </c>
      <c r="G1052" s="97">
        <v>1936</v>
      </c>
      <c r="H1052" s="114">
        <v>13.929931153593214</v>
      </c>
      <c r="I1052" s="125">
        <v>4577</v>
      </c>
      <c r="J1052" s="115">
        <v>22.486108535000387</v>
      </c>
    </row>
    <row r="1053" spans="1:10" ht="16">
      <c r="A1053" s="100" t="s">
        <v>527</v>
      </c>
      <c r="B1053" s="101" t="s">
        <v>474</v>
      </c>
      <c r="C1053" s="102" t="s">
        <v>107</v>
      </c>
      <c r="D1053" s="103" t="s">
        <v>63</v>
      </c>
      <c r="E1053" s="104">
        <v>7810</v>
      </c>
      <c r="F1053" s="104">
        <v>367</v>
      </c>
      <c r="G1053" s="104">
        <v>781</v>
      </c>
      <c r="H1053" s="116">
        <v>8.9947039997839706</v>
      </c>
      <c r="I1053" s="126">
        <v>697</v>
      </c>
      <c r="J1053" s="117">
        <v>31.533507818653916</v>
      </c>
    </row>
    <row r="1054" spans="1:10" ht="16">
      <c r="A1054" s="93" t="s">
        <v>761</v>
      </c>
      <c r="B1054" s="94" t="s">
        <v>762</v>
      </c>
      <c r="C1054" s="95" t="s">
        <v>107</v>
      </c>
      <c r="D1054" s="96" t="s">
        <v>60</v>
      </c>
      <c r="E1054" s="97">
        <v>69456</v>
      </c>
      <c r="F1054" s="97">
        <v>1767</v>
      </c>
      <c r="G1054" s="97">
        <v>695</v>
      </c>
      <c r="H1054" s="114">
        <v>11.017803354631429</v>
      </c>
      <c r="I1054" s="125">
        <v>4950</v>
      </c>
      <c r="J1054" s="115">
        <v>15.249537940515935</v>
      </c>
    </row>
    <row r="1055" spans="1:10" ht="16">
      <c r="A1055" s="100" t="s">
        <v>394</v>
      </c>
      <c r="B1055" s="101" t="s">
        <v>377</v>
      </c>
      <c r="C1055" s="102" t="s">
        <v>76</v>
      </c>
      <c r="D1055" s="103" t="s">
        <v>92</v>
      </c>
      <c r="E1055" s="104">
        <v>37078</v>
      </c>
      <c r="F1055" s="104">
        <v>1501</v>
      </c>
      <c r="G1055" s="104">
        <v>4079</v>
      </c>
      <c r="H1055" s="116">
        <v>21.514188653643256</v>
      </c>
      <c r="I1055" s="126">
        <v>12159</v>
      </c>
      <c r="J1055" s="117">
        <v>20.484089664625433</v>
      </c>
    </row>
    <row r="1056" spans="1:10" ht="16">
      <c r="A1056" s="93" t="s">
        <v>620</v>
      </c>
      <c r="B1056" s="94" t="s">
        <v>598</v>
      </c>
      <c r="C1056" s="95" t="s">
        <v>76</v>
      </c>
      <c r="D1056" s="96" t="s">
        <v>92</v>
      </c>
      <c r="E1056" s="97">
        <v>49604</v>
      </c>
      <c r="F1056" s="97">
        <v>2531</v>
      </c>
      <c r="G1056" s="97">
        <v>992</v>
      </c>
      <c r="H1056" s="114">
        <v>23.777064266092157</v>
      </c>
      <c r="I1056" s="125">
        <v>16916</v>
      </c>
      <c r="J1056" s="115">
        <v>35.823229065316134</v>
      </c>
    </row>
    <row r="1057" spans="1:10" ht="16">
      <c r="A1057" s="100" t="s">
        <v>1045</v>
      </c>
      <c r="B1057" s="101" t="s">
        <v>1020</v>
      </c>
      <c r="C1057" s="102" t="s">
        <v>76</v>
      </c>
      <c r="D1057" s="103" t="s">
        <v>61</v>
      </c>
      <c r="E1057" s="104">
        <v>10833</v>
      </c>
      <c r="F1057" s="104">
        <v>833</v>
      </c>
      <c r="G1057" s="104">
        <v>2383</v>
      </c>
      <c r="H1057" s="116">
        <v>28.589241404040141</v>
      </c>
      <c r="I1057" s="126">
        <v>22470</v>
      </c>
      <c r="J1057" s="117">
        <v>30.746233526349858</v>
      </c>
    </row>
    <row r="1058" spans="1:10" ht="16">
      <c r="A1058" s="93" t="s">
        <v>1417</v>
      </c>
      <c r="B1058" s="94" t="s">
        <v>1288</v>
      </c>
      <c r="C1058" s="95" t="s">
        <v>76</v>
      </c>
      <c r="D1058" s="96" t="s">
        <v>62</v>
      </c>
      <c r="E1058" s="97">
        <v>3041</v>
      </c>
      <c r="F1058" s="97">
        <v>1322</v>
      </c>
      <c r="G1058" s="97">
        <v>213</v>
      </c>
      <c r="H1058" s="114">
        <v>12.183277107405665</v>
      </c>
      <c r="I1058" s="125">
        <v>7019</v>
      </c>
      <c r="J1058" s="115">
        <v>36.506681797427603</v>
      </c>
    </row>
    <row r="1059" spans="1:10" ht="16">
      <c r="A1059" s="100" t="s">
        <v>1418</v>
      </c>
      <c r="B1059" s="101" t="s">
        <v>1288</v>
      </c>
      <c r="C1059" s="102" t="s">
        <v>107</v>
      </c>
      <c r="D1059" s="103" t="s">
        <v>61</v>
      </c>
      <c r="E1059" s="104">
        <v>24610</v>
      </c>
      <c r="F1059" s="104">
        <v>1431</v>
      </c>
      <c r="G1059" s="104">
        <v>2707</v>
      </c>
      <c r="H1059" s="116">
        <v>28.065367777197217</v>
      </c>
      <c r="I1059" s="126">
        <v>17766</v>
      </c>
      <c r="J1059" s="117">
        <v>30.820437387399796</v>
      </c>
    </row>
    <row r="1060" spans="1:10" ht="16">
      <c r="A1060" s="93" t="s">
        <v>1419</v>
      </c>
      <c r="B1060" s="94" t="s">
        <v>1288</v>
      </c>
      <c r="C1060" s="95" t="s">
        <v>76</v>
      </c>
      <c r="D1060" s="96" t="s">
        <v>80</v>
      </c>
      <c r="E1060" s="97">
        <v>24982</v>
      </c>
      <c r="F1060" s="97">
        <v>1101</v>
      </c>
      <c r="G1060" s="97">
        <v>1249</v>
      </c>
      <c r="H1060" s="114">
        <v>22.770322768195641</v>
      </c>
      <c r="I1060" s="125">
        <v>9380</v>
      </c>
      <c r="J1060" s="115">
        <v>29.24203413476986</v>
      </c>
    </row>
    <row r="1061" spans="1:10" ht="16">
      <c r="A1061" s="100" t="s">
        <v>1420</v>
      </c>
      <c r="B1061" s="101" t="s">
        <v>1288</v>
      </c>
      <c r="C1061" s="102" t="s">
        <v>76</v>
      </c>
      <c r="D1061" s="103" t="s">
        <v>92</v>
      </c>
      <c r="E1061" s="104">
        <v>19382</v>
      </c>
      <c r="F1061" s="104">
        <v>1133</v>
      </c>
      <c r="G1061" s="104">
        <v>969</v>
      </c>
      <c r="H1061" s="116">
        <v>32.42340028003035</v>
      </c>
      <c r="I1061" s="126">
        <v>26663</v>
      </c>
      <c r="J1061" s="117">
        <v>29.670303463253255</v>
      </c>
    </row>
    <row r="1062" spans="1:10" ht="16">
      <c r="A1062" s="93" t="s">
        <v>113</v>
      </c>
      <c r="B1062" s="94" t="s">
        <v>89</v>
      </c>
      <c r="C1062" s="95" t="s">
        <v>76</v>
      </c>
      <c r="D1062" s="96" t="s">
        <v>77</v>
      </c>
      <c r="E1062" s="97">
        <v>22100</v>
      </c>
      <c r="F1062" s="97">
        <v>1068</v>
      </c>
      <c r="G1062" s="97">
        <v>3978</v>
      </c>
      <c r="H1062" s="114">
        <v>29.000864748874125</v>
      </c>
      <c r="I1062" s="125">
        <v>21717</v>
      </c>
      <c r="J1062" s="115">
        <v>24.505843496015608</v>
      </c>
    </row>
    <row r="1063" spans="1:10" ht="16">
      <c r="A1063" s="100" t="s">
        <v>846</v>
      </c>
      <c r="B1063" s="101" t="s">
        <v>843</v>
      </c>
      <c r="C1063" s="102" t="s">
        <v>76</v>
      </c>
      <c r="D1063" s="103" t="s">
        <v>92</v>
      </c>
      <c r="E1063" s="104">
        <v>34227</v>
      </c>
      <c r="F1063" s="104">
        <v>2593</v>
      </c>
      <c r="G1063" s="104">
        <v>342</v>
      </c>
      <c r="H1063" s="116">
        <v>9.599865508843509</v>
      </c>
      <c r="I1063" s="126">
        <v>1640</v>
      </c>
      <c r="J1063" s="117">
        <v>23.930181379053366</v>
      </c>
    </row>
    <row r="1064" spans="1:10" ht="16">
      <c r="A1064" s="93" t="s">
        <v>1421</v>
      </c>
      <c r="B1064" s="94" t="s">
        <v>1288</v>
      </c>
      <c r="C1064" s="95" t="s">
        <v>76</v>
      </c>
      <c r="D1064" s="96" t="s">
        <v>61</v>
      </c>
      <c r="E1064" s="97">
        <v>35419</v>
      </c>
      <c r="F1064" s="97">
        <v>3768</v>
      </c>
      <c r="G1064" s="97">
        <v>2834</v>
      </c>
      <c r="H1064" s="114">
        <v>63.637755565499127</v>
      </c>
      <c r="I1064" s="125">
        <v>61297</v>
      </c>
      <c r="J1064" s="115">
        <v>60.052327984999636</v>
      </c>
    </row>
    <row r="1065" spans="1:10" ht="16">
      <c r="A1065" s="100" t="s">
        <v>1422</v>
      </c>
      <c r="B1065" s="101" t="s">
        <v>1288</v>
      </c>
      <c r="C1065" s="102" t="s">
        <v>76</v>
      </c>
      <c r="D1065" s="103" t="s">
        <v>61</v>
      </c>
      <c r="E1065" s="104">
        <v>18999</v>
      </c>
      <c r="F1065" s="104">
        <v>856</v>
      </c>
      <c r="G1065" s="104">
        <v>760</v>
      </c>
      <c r="H1065" s="116">
        <v>19.704465483968775</v>
      </c>
      <c r="I1065" s="126">
        <v>9706</v>
      </c>
      <c r="J1065" s="117">
        <v>21.10401284882931</v>
      </c>
    </row>
    <row r="1066" spans="1:10" ht="16">
      <c r="A1066" s="93" t="s">
        <v>1423</v>
      </c>
      <c r="B1066" s="94" t="s">
        <v>1288</v>
      </c>
      <c r="C1066" s="95" t="s">
        <v>76</v>
      </c>
      <c r="D1066" s="96" t="s">
        <v>59</v>
      </c>
      <c r="E1066" s="97">
        <v>14791</v>
      </c>
      <c r="F1066" s="97">
        <v>755</v>
      </c>
      <c r="G1066" s="97">
        <v>296</v>
      </c>
      <c r="H1066" s="114">
        <v>8.1310046247381731</v>
      </c>
      <c r="I1066" s="125">
        <v>1825</v>
      </c>
      <c r="J1066" s="115">
        <v>16.525835809573554</v>
      </c>
    </row>
    <row r="1067" spans="1:10" ht="16">
      <c r="A1067" s="100" t="s">
        <v>1424</v>
      </c>
      <c r="B1067" s="101" t="s">
        <v>1288</v>
      </c>
      <c r="C1067" s="102" t="s">
        <v>76</v>
      </c>
      <c r="D1067" s="103" t="s">
        <v>61</v>
      </c>
      <c r="E1067" s="104">
        <v>12132</v>
      </c>
      <c r="F1067" s="104">
        <v>685</v>
      </c>
      <c r="G1067" s="104">
        <v>243</v>
      </c>
      <c r="H1067" s="116">
        <v>11.158630613826659</v>
      </c>
      <c r="I1067" s="126">
        <v>2807</v>
      </c>
      <c r="J1067" s="117">
        <v>24.833928739051149</v>
      </c>
    </row>
    <row r="1068" spans="1:10" ht="16">
      <c r="A1068" s="93" t="s">
        <v>201</v>
      </c>
      <c r="B1068" s="94" t="s">
        <v>184</v>
      </c>
      <c r="C1068" s="95" t="s">
        <v>76</v>
      </c>
      <c r="D1068" s="96" t="s">
        <v>82</v>
      </c>
      <c r="E1068" s="97">
        <v>2733</v>
      </c>
      <c r="F1068" s="97">
        <v>195</v>
      </c>
      <c r="G1068" s="97">
        <v>219</v>
      </c>
      <c r="H1068" s="114">
        <v>19.150061344902085</v>
      </c>
      <c r="I1068" s="125">
        <v>7900</v>
      </c>
      <c r="J1068" s="115">
        <v>19.662161289295732</v>
      </c>
    </row>
    <row r="1069" spans="1:10" ht="16">
      <c r="A1069" s="100" t="s">
        <v>1425</v>
      </c>
      <c r="B1069" s="101" t="s">
        <v>1288</v>
      </c>
      <c r="C1069" s="102" t="s">
        <v>107</v>
      </c>
      <c r="D1069" s="103" t="s">
        <v>60</v>
      </c>
      <c r="E1069" s="104">
        <v>12104</v>
      </c>
      <c r="F1069" s="104">
        <v>884</v>
      </c>
      <c r="G1069" s="104">
        <v>1452</v>
      </c>
      <c r="H1069" s="116">
        <v>46.215664821485021</v>
      </c>
      <c r="I1069" s="126">
        <v>34036</v>
      </c>
      <c r="J1069" s="117">
        <v>53.679826558972437</v>
      </c>
    </row>
    <row r="1070" spans="1:10" ht="16">
      <c r="A1070" s="93" t="s">
        <v>1266</v>
      </c>
      <c r="B1070" s="94" t="s">
        <v>1190</v>
      </c>
      <c r="C1070" s="95" t="s">
        <v>76</v>
      </c>
      <c r="D1070" s="96" t="s">
        <v>84</v>
      </c>
      <c r="E1070" s="97">
        <v>29699</v>
      </c>
      <c r="F1070" s="97">
        <v>2034</v>
      </c>
      <c r="G1070" s="97">
        <v>8613</v>
      </c>
      <c r="H1070" s="114">
        <v>43.448280804995946</v>
      </c>
      <c r="I1070" s="125">
        <v>34292</v>
      </c>
      <c r="J1070" s="115">
        <v>43.208762991941988</v>
      </c>
    </row>
    <row r="1071" spans="1:10" ht="16">
      <c r="A1071" s="100" t="s">
        <v>740</v>
      </c>
      <c r="B1071" s="101" t="s">
        <v>642</v>
      </c>
      <c r="C1071" s="102" t="s">
        <v>76</v>
      </c>
      <c r="D1071" s="103" t="s">
        <v>80</v>
      </c>
      <c r="E1071" s="104">
        <v>1142</v>
      </c>
      <c r="F1071" s="104">
        <v>439</v>
      </c>
      <c r="G1071" s="104">
        <v>11</v>
      </c>
      <c r="H1071" s="116">
        <v>10.189164637301841</v>
      </c>
      <c r="I1071" s="126">
        <v>9738</v>
      </c>
      <c r="J1071" s="117">
        <v>26.993915563858401</v>
      </c>
    </row>
    <row r="1072" spans="1:10" ht="16">
      <c r="A1072" s="93" t="s">
        <v>1426</v>
      </c>
      <c r="B1072" s="94" t="s">
        <v>1288</v>
      </c>
      <c r="C1072" s="95" t="s">
        <v>76</v>
      </c>
      <c r="D1072" s="96" t="s">
        <v>84</v>
      </c>
      <c r="E1072" s="97">
        <v>22143</v>
      </c>
      <c r="F1072" s="97">
        <v>2050</v>
      </c>
      <c r="G1072" s="97">
        <v>2657</v>
      </c>
      <c r="H1072" s="114">
        <v>29.389685997645586</v>
      </c>
      <c r="I1072" s="125">
        <v>24634</v>
      </c>
      <c r="J1072" s="115">
        <v>34.617703674603078</v>
      </c>
    </row>
    <row r="1073" spans="1:10" ht="16">
      <c r="A1073" s="100" t="s">
        <v>854</v>
      </c>
      <c r="B1073" s="101" t="s">
        <v>850</v>
      </c>
      <c r="C1073" s="102" t="s">
        <v>76</v>
      </c>
      <c r="D1073" s="103" t="s">
        <v>62</v>
      </c>
      <c r="E1073" s="104">
        <v>20783</v>
      </c>
      <c r="F1073" s="104">
        <v>1649</v>
      </c>
      <c r="G1073" s="104">
        <v>3533</v>
      </c>
      <c r="H1073" s="116">
        <v>43.871060173362117</v>
      </c>
      <c r="I1073" s="126">
        <v>39497</v>
      </c>
      <c r="J1073" s="117">
        <v>39.694657304946787</v>
      </c>
    </row>
    <row r="1074" spans="1:10" ht="16">
      <c r="A1074" s="93" t="s">
        <v>331</v>
      </c>
      <c r="B1074" s="94" t="s">
        <v>322</v>
      </c>
      <c r="C1074" s="95" t="s">
        <v>76</v>
      </c>
      <c r="D1074" s="96" t="s">
        <v>59</v>
      </c>
      <c r="E1074" s="97">
        <v>8872</v>
      </c>
      <c r="F1074" s="97">
        <v>485</v>
      </c>
      <c r="G1074" s="97">
        <v>798</v>
      </c>
      <c r="H1074" s="114">
        <v>14.126857488391542</v>
      </c>
      <c r="I1074" s="125">
        <v>3957</v>
      </c>
      <c r="J1074" s="115">
        <v>17.074771727236552</v>
      </c>
    </row>
    <row r="1075" spans="1:10" ht="16">
      <c r="A1075" s="100" t="s">
        <v>839</v>
      </c>
      <c r="B1075" s="101" t="s">
        <v>834</v>
      </c>
      <c r="C1075" s="102" t="s">
        <v>76</v>
      </c>
      <c r="D1075" s="103" t="s">
        <v>84</v>
      </c>
      <c r="E1075" s="104">
        <v>18196</v>
      </c>
      <c r="F1075" s="104">
        <v>910</v>
      </c>
      <c r="G1075" s="104">
        <v>3821</v>
      </c>
      <c r="H1075" s="116">
        <v>32.200682952696241</v>
      </c>
      <c r="I1075" s="126">
        <v>27250</v>
      </c>
      <c r="J1075" s="117">
        <v>30.215939731387792</v>
      </c>
    </row>
    <row r="1076" spans="1:10" ht="16">
      <c r="A1076" s="93" t="s">
        <v>202</v>
      </c>
      <c r="B1076" s="94" t="s">
        <v>184</v>
      </c>
      <c r="C1076" s="95" t="s">
        <v>76</v>
      </c>
      <c r="D1076" s="96" t="s">
        <v>61</v>
      </c>
      <c r="E1076" s="97">
        <v>35365</v>
      </c>
      <c r="F1076" s="97">
        <v>1432</v>
      </c>
      <c r="G1076" s="97">
        <v>6719</v>
      </c>
      <c r="H1076" s="114">
        <v>42.430402468687859</v>
      </c>
      <c r="I1076" s="125">
        <v>36324</v>
      </c>
      <c r="J1076" s="115">
        <v>41.445663841017115</v>
      </c>
    </row>
    <row r="1077" spans="1:10" ht="16">
      <c r="A1077" s="100" t="s">
        <v>374</v>
      </c>
      <c r="B1077" s="101" t="s">
        <v>369</v>
      </c>
      <c r="C1077" s="102" t="s">
        <v>76</v>
      </c>
      <c r="D1077" s="103" t="s">
        <v>59</v>
      </c>
      <c r="E1077" s="104">
        <v>10086</v>
      </c>
      <c r="F1077" s="104">
        <v>336</v>
      </c>
      <c r="G1077" s="104">
        <v>605</v>
      </c>
      <c r="H1077" s="116">
        <v>35.149388322215643</v>
      </c>
      <c r="I1077" s="126">
        <v>26387</v>
      </c>
      <c r="J1077" s="117">
        <v>31.096487823864003</v>
      </c>
    </row>
    <row r="1078" spans="1:10" ht="16">
      <c r="A1078" s="93" t="s">
        <v>1046</v>
      </c>
      <c r="B1078" s="94" t="s">
        <v>1020</v>
      </c>
      <c r="C1078" s="95" t="s">
        <v>76</v>
      </c>
      <c r="D1078" s="96" t="s">
        <v>59</v>
      </c>
      <c r="E1078" s="97">
        <v>21663</v>
      </c>
      <c r="F1078" s="97">
        <v>1706</v>
      </c>
      <c r="G1078" s="97">
        <v>650</v>
      </c>
      <c r="H1078" s="114">
        <v>15.584708399588871</v>
      </c>
      <c r="I1078" s="125">
        <v>8444</v>
      </c>
      <c r="J1078" s="115">
        <v>17.560008399857772</v>
      </c>
    </row>
    <row r="1079" spans="1:10" ht="16">
      <c r="A1079" s="100" t="s">
        <v>1267</v>
      </c>
      <c r="B1079" s="101" t="s">
        <v>1190</v>
      </c>
      <c r="C1079" s="102" t="s">
        <v>107</v>
      </c>
      <c r="D1079" s="103" t="s">
        <v>59</v>
      </c>
      <c r="E1079" s="104">
        <v>20664</v>
      </c>
      <c r="F1079" s="104">
        <v>1845</v>
      </c>
      <c r="G1079" s="104">
        <v>8472</v>
      </c>
      <c r="H1079" s="116">
        <v>99.786882819998596</v>
      </c>
      <c r="I1079" s="126">
        <v>98105</v>
      </c>
      <c r="J1079" s="117">
        <v>91.423167133308084</v>
      </c>
    </row>
    <row r="1080" spans="1:10" ht="16">
      <c r="A1080" s="93" t="s">
        <v>621</v>
      </c>
      <c r="B1080" s="94" t="s">
        <v>598</v>
      </c>
      <c r="C1080" s="95" t="s">
        <v>76</v>
      </c>
      <c r="D1080" s="96" t="s">
        <v>63</v>
      </c>
      <c r="E1080" s="97">
        <v>45169</v>
      </c>
      <c r="F1080" s="97">
        <v>2121</v>
      </c>
      <c r="G1080" s="97">
        <v>1807</v>
      </c>
      <c r="H1080" s="114">
        <v>31.814203951624471</v>
      </c>
      <c r="I1080" s="125">
        <v>24924</v>
      </c>
      <c r="J1080" s="115">
        <v>43.290758432459803</v>
      </c>
    </row>
    <row r="1081" spans="1:10" ht="16">
      <c r="A1081" s="100" t="s">
        <v>622</v>
      </c>
      <c r="B1081" s="101" t="s">
        <v>598</v>
      </c>
      <c r="C1081" s="102" t="s">
        <v>76</v>
      </c>
      <c r="D1081" s="103" t="s">
        <v>77</v>
      </c>
      <c r="E1081" s="104">
        <v>29437</v>
      </c>
      <c r="F1081" s="104">
        <v>1436</v>
      </c>
      <c r="G1081" s="104">
        <v>294</v>
      </c>
      <c r="H1081" s="116">
        <v>17.999963223412021</v>
      </c>
      <c r="I1081" s="126">
        <v>11398</v>
      </c>
      <c r="J1081" s="117">
        <v>21.337291399865439</v>
      </c>
    </row>
    <row r="1082" spans="1:10" ht="16">
      <c r="A1082" s="93" t="s">
        <v>332</v>
      </c>
      <c r="B1082" s="94" t="s">
        <v>322</v>
      </c>
      <c r="C1082" s="95" t="s">
        <v>76</v>
      </c>
      <c r="D1082" s="96" t="s">
        <v>130</v>
      </c>
      <c r="E1082" s="97">
        <v>7266</v>
      </c>
      <c r="F1082" s="97">
        <v>530</v>
      </c>
      <c r="G1082" s="97">
        <v>509</v>
      </c>
      <c r="H1082" s="114">
        <v>15.999730396443979</v>
      </c>
      <c r="I1082" s="125">
        <v>1687</v>
      </c>
      <c r="J1082" s="115">
        <v>18.034851368047686</v>
      </c>
    </row>
    <row r="1083" spans="1:10" ht="16">
      <c r="A1083" s="100" t="s">
        <v>395</v>
      </c>
      <c r="B1083" s="101" t="s">
        <v>377</v>
      </c>
      <c r="C1083" s="102" t="s">
        <v>76</v>
      </c>
      <c r="D1083" s="103" t="s">
        <v>61</v>
      </c>
      <c r="E1083" s="104">
        <v>61390</v>
      </c>
      <c r="F1083" s="104">
        <v>3961</v>
      </c>
      <c r="G1083" s="104">
        <v>10436</v>
      </c>
      <c r="H1083" s="116">
        <v>36.490352586523514</v>
      </c>
      <c r="I1083" s="126">
        <v>31960</v>
      </c>
      <c r="J1083" s="117">
        <v>52.281504972779899</v>
      </c>
    </row>
    <row r="1084" spans="1:10" ht="16">
      <c r="A1084" s="93" t="s">
        <v>623</v>
      </c>
      <c r="B1084" s="94" t="s">
        <v>598</v>
      </c>
      <c r="C1084" s="95" t="s">
        <v>76</v>
      </c>
      <c r="D1084" s="96" t="s">
        <v>62</v>
      </c>
      <c r="E1084" s="97">
        <v>25140</v>
      </c>
      <c r="F1084" s="97">
        <v>918</v>
      </c>
      <c r="G1084" s="97">
        <v>1508</v>
      </c>
      <c r="H1084" s="114">
        <v>19.603673293406231</v>
      </c>
      <c r="I1084" s="125">
        <v>12559</v>
      </c>
      <c r="J1084" s="115">
        <v>18.842710807033566</v>
      </c>
    </row>
    <row r="1085" spans="1:10" ht="16">
      <c r="A1085" s="100" t="s">
        <v>440</v>
      </c>
      <c r="B1085" s="101" t="s">
        <v>402</v>
      </c>
      <c r="C1085" s="102" t="s">
        <v>76</v>
      </c>
      <c r="D1085" s="103" t="s">
        <v>77</v>
      </c>
      <c r="E1085" s="104">
        <v>11387</v>
      </c>
      <c r="F1085" s="104">
        <v>131</v>
      </c>
      <c r="G1085" s="104">
        <v>1366</v>
      </c>
      <c r="H1085" s="116">
        <v>40.238822073964457</v>
      </c>
      <c r="I1085" s="126">
        <v>29763</v>
      </c>
      <c r="J1085" s="117">
        <v>33.027128835577791</v>
      </c>
    </row>
    <row r="1086" spans="1:10" ht="16">
      <c r="A1086" s="93" t="s">
        <v>455</v>
      </c>
      <c r="B1086" s="94" t="s">
        <v>448</v>
      </c>
      <c r="C1086" s="95" t="s">
        <v>107</v>
      </c>
      <c r="D1086" s="96" t="s">
        <v>77</v>
      </c>
      <c r="E1086" s="97">
        <v>25580</v>
      </c>
      <c r="F1086" s="97">
        <v>927</v>
      </c>
      <c r="G1086" s="97">
        <v>1279</v>
      </c>
      <c r="H1086" s="114">
        <v>12.596155404271242</v>
      </c>
      <c r="I1086" s="125">
        <v>4669</v>
      </c>
      <c r="J1086" s="115">
        <v>16.624783010651786</v>
      </c>
    </row>
    <row r="1087" spans="1:10" ht="16">
      <c r="A1087" s="100" t="s">
        <v>624</v>
      </c>
      <c r="B1087" s="101" t="s">
        <v>598</v>
      </c>
      <c r="C1087" s="102" t="s">
        <v>76</v>
      </c>
      <c r="D1087" s="103" t="s">
        <v>60</v>
      </c>
      <c r="E1087" s="104">
        <v>24623</v>
      </c>
      <c r="F1087" s="104">
        <v>593</v>
      </c>
      <c r="G1087" s="104">
        <v>1970</v>
      </c>
      <c r="H1087" s="116">
        <v>25.799156715622971</v>
      </c>
      <c r="I1087" s="126">
        <v>16896</v>
      </c>
      <c r="J1087" s="117">
        <v>25.405739617691282</v>
      </c>
    </row>
    <row r="1088" spans="1:10" ht="16">
      <c r="A1088" s="93" t="s">
        <v>1427</v>
      </c>
      <c r="B1088" s="94" t="s">
        <v>1288</v>
      </c>
      <c r="C1088" s="95" t="s">
        <v>76</v>
      </c>
      <c r="D1088" s="96" t="s">
        <v>84</v>
      </c>
      <c r="E1088" s="97">
        <v>20578</v>
      </c>
      <c r="F1088" s="97">
        <v>3166</v>
      </c>
      <c r="G1088" s="97">
        <v>4321</v>
      </c>
      <c r="H1088" s="114">
        <v>91.122303050584861</v>
      </c>
      <c r="I1088" s="125">
        <v>88891</v>
      </c>
      <c r="J1088" s="115">
        <v>88.13734390321379</v>
      </c>
    </row>
    <row r="1089" spans="1:10" ht="16">
      <c r="A1089" s="100" t="s">
        <v>1060</v>
      </c>
      <c r="B1089" s="101" t="s">
        <v>1059</v>
      </c>
      <c r="C1089" s="102" t="s">
        <v>76</v>
      </c>
      <c r="D1089" s="103" t="s">
        <v>63</v>
      </c>
      <c r="E1089" s="104">
        <v>17482</v>
      </c>
      <c r="F1089" s="104">
        <v>1619</v>
      </c>
      <c r="G1089" s="104">
        <v>175</v>
      </c>
      <c r="H1089" s="116">
        <v>8.2868663795214541</v>
      </c>
      <c r="I1089" s="126">
        <v>7697</v>
      </c>
      <c r="J1089" s="117">
        <v>16.904556583438499</v>
      </c>
    </row>
    <row r="1090" spans="1:10" ht="16">
      <c r="A1090" s="93" t="s">
        <v>625</v>
      </c>
      <c r="B1090" s="94" t="s">
        <v>598</v>
      </c>
      <c r="C1090" s="95" t="s">
        <v>76</v>
      </c>
      <c r="D1090" s="96" t="s">
        <v>92</v>
      </c>
      <c r="E1090" s="97">
        <v>24830</v>
      </c>
      <c r="F1090" s="97">
        <v>769</v>
      </c>
      <c r="G1090" s="97">
        <v>1490</v>
      </c>
      <c r="H1090" s="114">
        <v>22.916962268087513</v>
      </c>
      <c r="I1090" s="125">
        <v>20021</v>
      </c>
      <c r="J1090" s="115">
        <v>18.617458255787689</v>
      </c>
    </row>
    <row r="1091" spans="1:10" ht="16">
      <c r="A1091" s="100" t="s">
        <v>868</v>
      </c>
      <c r="B1091" s="101" t="s">
        <v>858</v>
      </c>
      <c r="C1091" s="102" t="s">
        <v>107</v>
      </c>
      <c r="D1091" s="103" t="s">
        <v>60</v>
      </c>
      <c r="E1091" s="104">
        <v>5647</v>
      </c>
      <c r="F1091" s="104">
        <v>528</v>
      </c>
      <c r="G1091" s="104">
        <v>113</v>
      </c>
      <c r="H1091" s="116">
        <v>11.345755808848745</v>
      </c>
      <c r="I1091" s="126">
        <v>1620</v>
      </c>
      <c r="J1091" s="117">
        <v>25.857617202702244</v>
      </c>
    </row>
    <row r="1092" spans="1:10" ht="16">
      <c r="A1092" s="93" t="s">
        <v>626</v>
      </c>
      <c r="B1092" s="94" t="s">
        <v>598</v>
      </c>
      <c r="C1092" s="95" t="s">
        <v>76</v>
      </c>
      <c r="D1092" s="96" t="s">
        <v>77</v>
      </c>
      <c r="E1092" s="97">
        <v>33726</v>
      </c>
      <c r="F1092" s="97">
        <v>1506</v>
      </c>
      <c r="G1092" s="97">
        <v>2024</v>
      </c>
      <c r="H1092" s="114">
        <v>26.507119440567799</v>
      </c>
      <c r="I1092" s="125">
        <v>19756</v>
      </c>
      <c r="J1092" s="115">
        <v>31.825481538089434</v>
      </c>
    </row>
    <row r="1093" spans="1:10" ht="16">
      <c r="A1093" s="100" t="s">
        <v>1428</v>
      </c>
      <c r="B1093" s="101" t="s">
        <v>1288</v>
      </c>
      <c r="C1093" s="102" t="s">
        <v>76</v>
      </c>
      <c r="D1093" s="103" t="s">
        <v>59</v>
      </c>
      <c r="E1093" s="104">
        <v>26652</v>
      </c>
      <c r="F1093" s="104">
        <v>4595</v>
      </c>
      <c r="G1093" s="104">
        <v>2932</v>
      </c>
      <c r="H1093" s="116">
        <v>46.425492152466475</v>
      </c>
      <c r="I1093" s="126">
        <v>43390</v>
      </c>
      <c r="J1093" s="117">
        <v>47.814499292403447</v>
      </c>
    </row>
    <row r="1094" spans="1:10" ht="16">
      <c r="A1094" s="93" t="s">
        <v>1268</v>
      </c>
      <c r="B1094" s="94" t="s">
        <v>1190</v>
      </c>
      <c r="C1094" s="95" t="s">
        <v>76</v>
      </c>
      <c r="D1094" s="96" t="s">
        <v>82</v>
      </c>
      <c r="E1094" s="97">
        <v>17667</v>
      </c>
      <c r="F1094" s="97">
        <v>1027</v>
      </c>
      <c r="G1094" s="97">
        <v>2650</v>
      </c>
      <c r="H1094" s="114">
        <v>19.870686879171217</v>
      </c>
      <c r="I1094" s="125">
        <v>13042</v>
      </c>
      <c r="J1094" s="115">
        <v>20.984557043093549</v>
      </c>
    </row>
    <row r="1095" spans="1:10" ht="16">
      <c r="A1095" s="100" t="s">
        <v>903</v>
      </c>
      <c r="B1095" s="101" t="s">
        <v>893</v>
      </c>
      <c r="C1095" s="102" t="s">
        <v>76</v>
      </c>
      <c r="D1095" s="103" t="s">
        <v>62</v>
      </c>
      <c r="E1095" s="104">
        <v>32020</v>
      </c>
      <c r="F1095" s="104">
        <v>1712</v>
      </c>
      <c r="G1095" s="104">
        <v>4803</v>
      </c>
      <c r="H1095" s="116">
        <v>28.078144605228832</v>
      </c>
      <c r="I1095" s="126">
        <v>17469</v>
      </c>
      <c r="J1095" s="117">
        <v>28.110389956536096</v>
      </c>
    </row>
    <row r="1096" spans="1:10" ht="16">
      <c r="A1096" s="93" t="s">
        <v>1269</v>
      </c>
      <c r="B1096" s="94" t="s">
        <v>1190</v>
      </c>
      <c r="C1096" s="95" t="s">
        <v>107</v>
      </c>
      <c r="D1096" s="96" t="s">
        <v>92</v>
      </c>
      <c r="E1096" s="97">
        <v>20186</v>
      </c>
      <c r="F1096" s="97">
        <v>1311</v>
      </c>
      <c r="G1096" s="97">
        <v>5248</v>
      </c>
      <c r="H1096" s="114">
        <v>16.904184317456771</v>
      </c>
      <c r="I1096" s="125">
        <v>11536</v>
      </c>
      <c r="J1096" s="115">
        <v>18.101796948623615</v>
      </c>
    </row>
    <row r="1097" spans="1:10" ht="16">
      <c r="A1097" s="100" t="s">
        <v>441</v>
      </c>
      <c r="B1097" s="101" t="s">
        <v>402</v>
      </c>
      <c r="C1097" s="102" t="s">
        <v>76</v>
      </c>
      <c r="D1097" s="103" t="s">
        <v>130</v>
      </c>
      <c r="E1097" s="104">
        <v>20063</v>
      </c>
      <c r="F1097" s="104">
        <v>372</v>
      </c>
      <c r="G1097" s="104">
        <v>2207</v>
      </c>
      <c r="H1097" s="116">
        <v>41.725282386244032</v>
      </c>
      <c r="I1097" s="126">
        <v>26693</v>
      </c>
      <c r="J1097" s="117">
        <v>37.45717105357523</v>
      </c>
    </row>
    <row r="1098" spans="1:10" ht="16">
      <c r="A1098" s="93" t="s">
        <v>983</v>
      </c>
      <c r="B1098" s="94" t="s">
        <v>977</v>
      </c>
      <c r="C1098" s="95" t="s">
        <v>76</v>
      </c>
      <c r="D1098" s="96" t="s">
        <v>92</v>
      </c>
      <c r="E1098" s="97">
        <v>35086</v>
      </c>
      <c r="F1098" s="97">
        <v>1595</v>
      </c>
      <c r="G1098" s="97">
        <v>2807</v>
      </c>
      <c r="H1098" s="114">
        <v>30.35388298762096</v>
      </c>
      <c r="I1098" s="125">
        <v>10018</v>
      </c>
      <c r="J1098" s="115">
        <v>25.926916172969321</v>
      </c>
    </row>
    <row r="1099" spans="1:10" ht="16">
      <c r="A1099" s="100" t="s">
        <v>904</v>
      </c>
      <c r="B1099" s="101" t="s">
        <v>905</v>
      </c>
      <c r="C1099" s="102" t="s">
        <v>76</v>
      </c>
      <c r="D1099" s="103" t="s">
        <v>61</v>
      </c>
      <c r="E1099" s="104">
        <v>49713</v>
      </c>
      <c r="F1099" s="104">
        <v>3576</v>
      </c>
      <c r="G1099" s="104">
        <v>497</v>
      </c>
      <c r="H1099" s="116">
        <v>8.7308073161822062</v>
      </c>
      <c r="I1099" s="126">
        <v>3822</v>
      </c>
      <c r="J1099" s="117">
        <v>18.360315857108578</v>
      </c>
    </row>
    <row r="1100" spans="1:10" ht="16">
      <c r="A1100" s="93" t="s">
        <v>114</v>
      </c>
      <c r="B1100" s="94" t="s">
        <v>89</v>
      </c>
      <c r="C1100" s="95" t="s">
        <v>76</v>
      </c>
      <c r="D1100" s="96" t="s">
        <v>82</v>
      </c>
      <c r="E1100" s="97">
        <v>39144</v>
      </c>
      <c r="F1100" s="97">
        <v>1096</v>
      </c>
      <c r="G1100" s="97">
        <v>13309</v>
      </c>
      <c r="H1100" s="114">
        <v>59.53299947484107</v>
      </c>
      <c r="I1100" s="125">
        <v>51087</v>
      </c>
      <c r="J1100" s="115">
        <v>49.431679181066727</v>
      </c>
    </row>
    <row r="1101" spans="1:10" ht="16">
      <c r="A1101" s="100" t="s">
        <v>1270</v>
      </c>
      <c r="B1101" s="101" t="s">
        <v>1190</v>
      </c>
      <c r="C1101" s="102" t="s">
        <v>76</v>
      </c>
      <c r="D1101" s="103" t="s">
        <v>59</v>
      </c>
      <c r="E1101" s="104">
        <v>14107</v>
      </c>
      <c r="F1101" s="104">
        <v>947</v>
      </c>
      <c r="G1101" s="104">
        <v>4373</v>
      </c>
      <c r="H1101" s="116">
        <v>35.557864453455153</v>
      </c>
      <c r="I1101" s="126">
        <v>27128</v>
      </c>
      <c r="J1101" s="117">
        <v>32.634878139827769</v>
      </c>
    </row>
    <row r="1102" spans="1:10" ht="16">
      <c r="A1102" s="93" t="s">
        <v>203</v>
      </c>
      <c r="B1102" s="94" t="s">
        <v>184</v>
      </c>
      <c r="C1102" s="95" t="s">
        <v>76</v>
      </c>
      <c r="D1102" s="96" t="s">
        <v>61</v>
      </c>
      <c r="E1102" s="97">
        <v>12935</v>
      </c>
      <c r="F1102" s="97">
        <v>553</v>
      </c>
      <c r="G1102" s="97">
        <v>2846</v>
      </c>
      <c r="H1102" s="114">
        <v>15.816270489623104</v>
      </c>
      <c r="I1102" s="125">
        <v>7144</v>
      </c>
      <c r="J1102" s="115">
        <v>17.479824548246729</v>
      </c>
    </row>
    <row r="1103" spans="1:10" ht="16">
      <c r="A1103" s="100" t="s">
        <v>396</v>
      </c>
      <c r="B1103" s="101" t="s">
        <v>377</v>
      </c>
      <c r="C1103" s="102" t="s">
        <v>76</v>
      </c>
      <c r="D1103" s="103" t="s">
        <v>61</v>
      </c>
      <c r="E1103" s="104">
        <v>28351</v>
      </c>
      <c r="F1103" s="104">
        <v>1575</v>
      </c>
      <c r="G1103" s="104">
        <v>3402</v>
      </c>
      <c r="H1103" s="116">
        <v>15.88007071415716</v>
      </c>
      <c r="I1103" s="126">
        <v>7945</v>
      </c>
      <c r="J1103" s="117">
        <v>21.757293825074662</v>
      </c>
    </row>
    <row r="1104" spans="1:10" ht="16">
      <c r="A1104" s="93" t="s">
        <v>1429</v>
      </c>
      <c r="B1104" s="94" t="s">
        <v>1288</v>
      </c>
      <c r="C1104" s="95" t="s">
        <v>76</v>
      </c>
      <c r="D1104" s="96" t="s">
        <v>130</v>
      </c>
      <c r="E1104" s="97">
        <v>16569</v>
      </c>
      <c r="F1104" s="97">
        <v>858</v>
      </c>
      <c r="G1104" s="97">
        <v>497</v>
      </c>
      <c r="H1104" s="114">
        <v>18.572483571327592</v>
      </c>
      <c r="I1104" s="125">
        <v>11766</v>
      </c>
      <c r="J1104" s="115">
        <v>24.784045593771577</v>
      </c>
    </row>
    <row r="1105" spans="1:10" ht="16">
      <c r="A1105" s="100" t="s">
        <v>1430</v>
      </c>
      <c r="B1105" s="101" t="s">
        <v>1288</v>
      </c>
      <c r="C1105" s="102" t="s">
        <v>107</v>
      </c>
      <c r="D1105" s="103" t="s">
        <v>80</v>
      </c>
      <c r="E1105" s="104">
        <v>9824</v>
      </c>
      <c r="F1105" s="104">
        <v>2339</v>
      </c>
      <c r="G1105" s="104">
        <v>3045</v>
      </c>
      <c r="H1105" s="116">
        <v>31.23191327387568</v>
      </c>
      <c r="I1105" s="126">
        <v>27820</v>
      </c>
      <c r="J1105" s="117">
        <v>44.042878160607714</v>
      </c>
    </row>
    <row r="1106" spans="1:10" ht="16">
      <c r="A1106" s="93" t="s">
        <v>1271</v>
      </c>
      <c r="B1106" s="94" t="s">
        <v>1190</v>
      </c>
      <c r="C1106" s="95" t="s">
        <v>76</v>
      </c>
      <c r="D1106" s="96" t="s">
        <v>92</v>
      </c>
      <c r="E1106" s="97">
        <v>7665</v>
      </c>
      <c r="F1106" s="97">
        <v>470</v>
      </c>
      <c r="G1106" s="97">
        <v>2146</v>
      </c>
      <c r="H1106" s="114">
        <v>20.446769909353794</v>
      </c>
      <c r="I1106" s="125">
        <v>6320</v>
      </c>
      <c r="J1106" s="115">
        <v>19.397767828510286</v>
      </c>
    </row>
    <row r="1107" spans="1:10" ht="16">
      <c r="A1107" s="100" t="s">
        <v>627</v>
      </c>
      <c r="B1107" s="101" t="s">
        <v>598</v>
      </c>
      <c r="C1107" s="102" t="s">
        <v>76</v>
      </c>
      <c r="D1107" s="103" t="s">
        <v>63</v>
      </c>
      <c r="E1107" s="104">
        <v>31696</v>
      </c>
      <c r="F1107" s="104">
        <v>633</v>
      </c>
      <c r="G1107" s="104">
        <v>1585</v>
      </c>
      <c r="H1107" s="116">
        <v>23.357257975190524</v>
      </c>
      <c r="I1107" s="126">
        <v>13981</v>
      </c>
      <c r="J1107" s="117">
        <v>23.910374280719008</v>
      </c>
    </row>
    <row r="1108" spans="1:10" ht="16">
      <c r="A1108" s="93" t="s">
        <v>1047</v>
      </c>
      <c r="B1108" s="94" t="s">
        <v>1020</v>
      </c>
      <c r="C1108" s="95" t="s">
        <v>76</v>
      </c>
      <c r="D1108" s="96" t="s">
        <v>62</v>
      </c>
      <c r="E1108" s="97">
        <v>12411</v>
      </c>
      <c r="F1108" s="97">
        <v>1009</v>
      </c>
      <c r="G1108" s="97">
        <v>1365</v>
      </c>
      <c r="H1108" s="114">
        <v>21.989397613506139</v>
      </c>
      <c r="I1108" s="125">
        <v>14306</v>
      </c>
      <c r="J1108" s="115">
        <v>23.776967393300385</v>
      </c>
    </row>
    <row r="1109" spans="1:10" ht="16">
      <c r="A1109" s="100" t="s">
        <v>1048</v>
      </c>
      <c r="B1109" s="101" t="s">
        <v>1020</v>
      </c>
      <c r="C1109" s="102" t="s">
        <v>76</v>
      </c>
      <c r="D1109" s="103" t="s">
        <v>82</v>
      </c>
      <c r="E1109" s="104">
        <v>28673</v>
      </c>
      <c r="F1109" s="104">
        <v>1629</v>
      </c>
      <c r="G1109" s="104">
        <v>4588</v>
      </c>
      <c r="H1109" s="116">
        <v>18.261519617365888</v>
      </c>
      <c r="I1109" s="126">
        <v>6709</v>
      </c>
      <c r="J1109" s="117">
        <v>26.823416455799133</v>
      </c>
    </row>
    <row r="1110" spans="1:10" ht="16">
      <c r="A1110" s="93" t="s">
        <v>628</v>
      </c>
      <c r="B1110" s="94" t="s">
        <v>598</v>
      </c>
      <c r="C1110" s="95" t="s">
        <v>76</v>
      </c>
      <c r="D1110" s="96" t="s">
        <v>77</v>
      </c>
      <c r="E1110" s="97">
        <v>12040</v>
      </c>
      <c r="F1110" s="97">
        <v>405</v>
      </c>
      <c r="G1110" s="97">
        <v>120</v>
      </c>
      <c r="H1110" s="114">
        <v>21.154512610075347</v>
      </c>
      <c r="I1110" s="125">
        <v>11894</v>
      </c>
      <c r="J1110" s="115">
        <v>28.348519159072914</v>
      </c>
    </row>
    <row r="1111" spans="1:10" ht="16">
      <c r="A1111" s="100" t="s">
        <v>629</v>
      </c>
      <c r="B1111" s="101" t="s">
        <v>598</v>
      </c>
      <c r="C1111" s="102" t="s">
        <v>76</v>
      </c>
      <c r="D1111" s="103" t="s">
        <v>84</v>
      </c>
      <c r="E1111" s="104">
        <v>24290</v>
      </c>
      <c r="F1111" s="104">
        <v>941</v>
      </c>
      <c r="G1111" s="104">
        <v>486</v>
      </c>
      <c r="H1111" s="116">
        <v>19.670715751168899</v>
      </c>
      <c r="I1111" s="126">
        <v>18384</v>
      </c>
      <c r="J1111" s="117">
        <v>20.931071814534253</v>
      </c>
    </row>
    <row r="1112" spans="1:10" ht="16">
      <c r="A1112" s="93" t="s">
        <v>1272</v>
      </c>
      <c r="B1112" s="94" t="s">
        <v>1190</v>
      </c>
      <c r="C1112" s="95" t="s">
        <v>76</v>
      </c>
      <c r="D1112" s="96" t="s">
        <v>82</v>
      </c>
      <c r="E1112" s="97">
        <v>15356</v>
      </c>
      <c r="F1112" s="97">
        <v>903</v>
      </c>
      <c r="G1112" s="97">
        <v>3378</v>
      </c>
      <c r="H1112" s="114">
        <v>15.79852626065659</v>
      </c>
      <c r="I1112" s="125">
        <v>5807</v>
      </c>
      <c r="J1112" s="115">
        <v>18.932488306572917</v>
      </c>
    </row>
    <row r="1113" spans="1:10" ht="16">
      <c r="A1113" s="100" t="s">
        <v>1049</v>
      </c>
      <c r="B1113" s="101" t="s">
        <v>1020</v>
      </c>
      <c r="C1113" s="102" t="s">
        <v>76</v>
      </c>
      <c r="D1113" s="103" t="s">
        <v>62</v>
      </c>
      <c r="E1113" s="104">
        <v>25455</v>
      </c>
      <c r="F1113" s="104">
        <v>1675</v>
      </c>
      <c r="G1113" s="104">
        <v>2036</v>
      </c>
      <c r="H1113" s="116">
        <v>16.928854888687255</v>
      </c>
      <c r="I1113" s="126">
        <v>7878</v>
      </c>
      <c r="J1113" s="117">
        <v>22.132226228355737</v>
      </c>
    </row>
    <row r="1114" spans="1:10" ht="16">
      <c r="A1114" s="93" t="s">
        <v>219</v>
      </c>
      <c r="B1114" s="94" t="s">
        <v>212</v>
      </c>
      <c r="C1114" s="95" t="s">
        <v>107</v>
      </c>
      <c r="D1114" s="96" t="s">
        <v>82</v>
      </c>
      <c r="E1114" s="97">
        <v>22818</v>
      </c>
      <c r="F1114" s="97">
        <v>939</v>
      </c>
      <c r="G1114" s="97">
        <v>456</v>
      </c>
      <c r="H1114" s="114">
        <v>14.940226921548923</v>
      </c>
      <c r="I1114" s="125">
        <v>1779</v>
      </c>
      <c r="J1114" s="115">
        <v>17.007510187101957</v>
      </c>
    </row>
    <row r="1115" spans="1:10" ht="16">
      <c r="A1115" s="100" t="s">
        <v>869</v>
      </c>
      <c r="B1115" s="101" t="s">
        <v>858</v>
      </c>
      <c r="C1115" s="102" t="s">
        <v>76</v>
      </c>
      <c r="D1115" s="103" t="s">
        <v>82</v>
      </c>
      <c r="E1115" s="104">
        <v>26206</v>
      </c>
      <c r="F1115" s="104">
        <v>771</v>
      </c>
      <c r="G1115" s="104">
        <v>1824</v>
      </c>
      <c r="H1115" s="116">
        <v>8.4501515556565039</v>
      </c>
      <c r="I1115" s="126">
        <v>933</v>
      </c>
      <c r="J1115" s="117">
        <v>11.809711734180988</v>
      </c>
    </row>
    <row r="1116" spans="1:10" ht="16">
      <c r="A1116" s="93" t="s">
        <v>204</v>
      </c>
      <c r="B1116" s="94" t="s">
        <v>184</v>
      </c>
      <c r="C1116" s="95" t="s">
        <v>76</v>
      </c>
      <c r="D1116" s="96" t="s">
        <v>62</v>
      </c>
      <c r="E1116" s="97">
        <v>17194</v>
      </c>
      <c r="F1116" s="97">
        <v>971</v>
      </c>
      <c r="G1116" s="97">
        <v>3439</v>
      </c>
      <c r="H1116" s="114">
        <v>26.908857086521358</v>
      </c>
      <c r="I1116" s="125">
        <v>12986</v>
      </c>
      <c r="J1116" s="115">
        <v>36.665507789894114</v>
      </c>
    </row>
    <row r="1117" spans="1:10" ht="16">
      <c r="A1117" s="100" t="s">
        <v>630</v>
      </c>
      <c r="B1117" s="101" t="s">
        <v>598</v>
      </c>
      <c r="C1117" s="102" t="s">
        <v>76</v>
      </c>
      <c r="D1117" s="103" t="s">
        <v>62</v>
      </c>
      <c r="E1117" s="104">
        <v>12993</v>
      </c>
      <c r="F1117" s="104">
        <v>539</v>
      </c>
      <c r="G1117" s="104">
        <v>260</v>
      </c>
      <c r="H1117" s="116">
        <v>17.63931004672013</v>
      </c>
      <c r="I1117" s="126">
        <v>8317</v>
      </c>
      <c r="J1117" s="117">
        <v>22.965251159555287</v>
      </c>
    </row>
    <row r="1118" spans="1:10" ht="16">
      <c r="A1118" s="93" t="s">
        <v>290</v>
      </c>
      <c r="B1118" s="94" t="s">
        <v>223</v>
      </c>
      <c r="C1118" s="95" t="s">
        <v>107</v>
      </c>
      <c r="D1118" s="96" t="s">
        <v>63</v>
      </c>
      <c r="E1118" s="97">
        <v>24232</v>
      </c>
      <c r="F1118" s="97">
        <v>1648</v>
      </c>
      <c r="G1118" s="97">
        <v>969</v>
      </c>
      <c r="H1118" s="114">
        <v>26.146253194287432</v>
      </c>
      <c r="I1118" s="125">
        <v>7497</v>
      </c>
      <c r="J1118" s="115">
        <v>28.140417626248496</v>
      </c>
    </row>
    <row r="1119" spans="1:10" ht="16">
      <c r="A1119" s="100" t="s">
        <v>291</v>
      </c>
      <c r="B1119" s="101" t="s">
        <v>223</v>
      </c>
      <c r="C1119" s="102" t="s">
        <v>107</v>
      </c>
      <c r="D1119" s="103" t="s">
        <v>92</v>
      </c>
      <c r="E1119" s="104">
        <v>16245</v>
      </c>
      <c r="F1119" s="104">
        <v>2110</v>
      </c>
      <c r="G1119" s="104">
        <v>650</v>
      </c>
      <c r="H1119" s="116">
        <v>60.304885515529065</v>
      </c>
      <c r="I1119" s="126">
        <v>44605</v>
      </c>
      <c r="J1119" s="117">
        <v>65.376619121000161</v>
      </c>
    </row>
    <row r="1120" spans="1:10" ht="16">
      <c r="A1120" s="93" t="s">
        <v>79</v>
      </c>
      <c r="B1120" s="94" t="s">
        <v>75</v>
      </c>
      <c r="C1120" s="95" t="s">
        <v>76</v>
      </c>
      <c r="D1120" s="96" t="s">
        <v>80</v>
      </c>
      <c r="E1120" s="97">
        <v>22049</v>
      </c>
      <c r="F1120" s="97">
        <v>1885</v>
      </c>
      <c r="G1120" s="97">
        <v>441</v>
      </c>
      <c r="H1120" s="114">
        <v>7.2797959891556232</v>
      </c>
      <c r="I1120" s="125">
        <v>529</v>
      </c>
      <c r="J1120" s="115">
        <v>19.836850086856508</v>
      </c>
    </row>
    <row r="1121" spans="1:10" ht="16">
      <c r="A1121" s="100" t="s">
        <v>81</v>
      </c>
      <c r="B1121" s="101" t="s">
        <v>75</v>
      </c>
      <c r="C1121" s="102" t="s">
        <v>76</v>
      </c>
      <c r="D1121" s="103" t="s">
        <v>82</v>
      </c>
      <c r="E1121" s="104">
        <v>41865</v>
      </c>
      <c r="F1121" s="104">
        <v>1861</v>
      </c>
      <c r="G1121" s="104">
        <v>419</v>
      </c>
      <c r="H1121" s="116">
        <v>7.6224039611455723</v>
      </c>
      <c r="I1121" s="126">
        <v>638</v>
      </c>
      <c r="J1121" s="117">
        <v>17.036580736015832</v>
      </c>
    </row>
    <row r="1122" spans="1:10" ht="16">
      <c r="A1122" s="93" t="s">
        <v>1015</v>
      </c>
      <c r="B1122" s="94" t="s">
        <v>988</v>
      </c>
      <c r="C1122" s="95" t="s">
        <v>76</v>
      </c>
      <c r="D1122" s="96" t="s">
        <v>61</v>
      </c>
      <c r="E1122" s="97">
        <v>8807</v>
      </c>
      <c r="F1122" s="97">
        <v>531</v>
      </c>
      <c r="G1122" s="97">
        <v>440</v>
      </c>
      <c r="H1122" s="114">
        <v>18.343179435229359</v>
      </c>
      <c r="I1122" s="125">
        <v>4545</v>
      </c>
      <c r="J1122" s="115">
        <v>22.906967947396115</v>
      </c>
    </row>
    <row r="1123" spans="1:10" ht="16">
      <c r="A1123" s="100" t="s">
        <v>1050</v>
      </c>
      <c r="B1123" s="101" t="s">
        <v>1020</v>
      </c>
      <c r="C1123" s="102" t="s">
        <v>76</v>
      </c>
      <c r="D1123" s="103" t="s">
        <v>82</v>
      </c>
      <c r="E1123" s="104">
        <v>62811</v>
      </c>
      <c r="F1123" s="104">
        <v>3049</v>
      </c>
      <c r="G1123" s="104">
        <v>3769</v>
      </c>
      <c r="H1123" s="116">
        <v>19.332619416970719</v>
      </c>
      <c r="I1123" s="126">
        <v>6899</v>
      </c>
      <c r="J1123" s="117">
        <v>25.815064707560936</v>
      </c>
    </row>
    <row r="1124" spans="1:10" ht="16">
      <c r="A1124" s="93" t="s">
        <v>1138</v>
      </c>
      <c r="B1124" s="94" t="s">
        <v>1135</v>
      </c>
      <c r="C1124" s="95" t="s">
        <v>76</v>
      </c>
      <c r="D1124" s="96" t="s">
        <v>130</v>
      </c>
      <c r="E1124" s="97">
        <v>32178</v>
      </c>
      <c r="F1124" s="97">
        <v>2384</v>
      </c>
      <c r="G1124" s="97">
        <v>322</v>
      </c>
      <c r="H1124" s="114">
        <v>10.689108235676747</v>
      </c>
      <c r="I1124" s="125">
        <v>1848</v>
      </c>
      <c r="J1124" s="115">
        <v>29.385597187514467</v>
      </c>
    </row>
    <row r="1125" spans="1:10" ht="16">
      <c r="A1125" s="100" t="s">
        <v>1188</v>
      </c>
      <c r="B1125" s="101" t="s">
        <v>1185</v>
      </c>
      <c r="C1125" s="102" t="s">
        <v>76</v>
      </c>
      <c r="D1125" s="103" t="s">
        <v>82</v>
      </c>
      <c r="E1125" s="104">
        <v>14286</v>
      </c>
      <c r="F1125" s="104">
        <v>687</v>
      </c>
      <c r="G1125" s="104">
        <v>8572</v>
      </c>
      <c r="H1125" s="116">
        <v>12.007780877014612</v>
      </c>
      <c r="I1125" s="126">
        <v>4671</v>
      </c>
      <c r="J1125" s="117">
        <v>20.13905621047077</v>
      </c>
    </row>
    <row r="1126" spans="1:10" ht="16">
      <c r="A1126" s="93" t="s">
        <v>1273</v>
      </c>
      <c r="B1126" s="94" t="s">
        <v>1190</v>
      </c>
      <c r="C1126" s="95" t="s">
        <v>107</v>
      </c>
      <c r="D1126" s="96" t="s">
        <v>63</v>
      </c>
      <c r="E1126" s="97">
        <v>26218</v>
      </c>
      <c r="F1126" s="97">
        <v>1748</v>
      </c>
      <c r="G1126" s="97">
        <v>8914</v>
      </c>
      <c r="H1126" s="114">
        <v>47.274550846830103</v>
      </c>
      <c r="I1126" s="125">
        <v>38624</v>
      </c>
      <c r="J1126" s="115">
        <v>45.870342375217433</v>
      </c>
    </row>
    <row r="1127" spans="1:10" ht="16">
      <c r="A1127" s="100" t="s">
        <v>741</v>
      </c>
      <c r="B1127" s="101" t="s">
        <v>642</v>
      </c>
      <c r="C1127" s="102" t="s">
        <v>76</v>
      </c>
      <c r="D1127" s="103" t="s">
        <v>84</v>
      </c>
      <c r="E1127" s="104">
        <v>3002</v>
      </c>
      <c r="F1127" s="104">
        <v>259</v>
      </c>
      <c r="G1127" s="104">
        <v>90</v>
      </c>
      <c r="H1127" s="116">
        <v>12.663940696363131</v>
      </c>
      <c r="I1127" s="126">
        <v>1630</v>
      </c>
      <c r="J1127" s="117">
        <v>20.9246286144297</v>
      </c>
    </row>
    <row r="1128" spans="1:10" ht="16">
      <c r="A1128" s="93" t="s">
        <v>442</v>
      </c>
      <c r="B1128" s="94" t="s">
        <v>402</v>
      </c>
      <c r="C1128" s="95" t="s">
        <v>107</v>
      </c>
      <c r="D1128" s="96" t="s">
        <v>82</v>
      </c>
      <c r="E1128" s="97">
        <v>19268</v>
      </c>
      <c r="F1128" s="97">
        <v>456</v>
      </c>
      <c r="G1128" s="97">
        <v>2312</v>
      </c>
      <c r="H1128" s="114">
        <v>25.500375627650758</v>
      </c>
      <c r="I1128" s="125">
        <v>14534</v>
      </c>
      <c r="J1128" s="115">
        <v>21.594272292188055</v>
      </c>
    </row>
    <row r="1129" spans="1:10" ht="16">
      <c r="A1129" s="100" t="s">
        <v>631</v>
      </c>
      <c r="B1129" s="101" t="s">
        <v>598</v>
      </c>
      <c r="C1129" s="102" t="s">
        <v>76</v>
      </c>
      <c r="D1129" s="103" t="s">
        <v>82</v>
      </c>
      <c r="E1129" s="104">
        <v>12636</v>
      </c>
      <c r="F1129" s="104">
        <v>854</v>
      </c>
      <c r="G1129" s="104">
        <v>1011</v>
      </c>
      <c r="H1129" s="116">
        <v>21.622150150288906</v>
      </c>
      <c r="I1129" s="126">
        <v>14692</v>
      </c>
      <c r="J1129" s="117">
        <v>38.144567175103582</v>
      </c>
    </row>
    <row r="1130" spans="1:10" ht="16">
      <c r="A1130" s="93" t="s">
        <v>888</v>
      </c>
      <c r="B1130" s="94" t="s">
        <v>879</v>
      </c>
      <c r="C1130" s="95" t="s">
        <v>76</v>
      </c>
      <c r="D1130" s="96" t="s">
        <v>62</v>
      </c>
      <c r="E1130" s="97">
        <v>24174</v>
      </c>
      <c r="F1130" s="97">
        <v>1889</v>
      </c>
      <c r="G1130" s="97">
        <v>725</v>
      </c>
      <c r="H1130" s="114">
        <v>9.5329636521431222</v>
      </c>
      <c r="I1130" s="125">
        <v>1748</v>
      </c>
      <c r="J1130" s="115">
        <v>18.489606158255139</v>
      </c>
    </row>
    <row r="1131" spans="1:10" ht="16">
      <c r="A1131" s="100" t="s">
        <v>810</v>
      </c>
      <c r="B1131" s="101" t="s">
        <v>798</v>
      </c>
      <c r="C1131" s="102" t="s">
        <v>76</v>
      </c>
      <c r="D1131" s="103" t="s">
        <v>84</v>
      </c>
      <c r="E1131" s="104">
        <v>29921</v>
      </c>
      <c r="F1131" s="104">
        <v>1432</v>
      </c>
      <c r="G1131" s="104">
        <v>299</v>
      </c>
      <c r="H1131" s="116">
        <v>8.2192642641788751</v>
      </c>
      <c r="I1131" s="126">
        <v>763</v>
      </c>
      <c r="J1131" s="117">
        <v>14.462266634037022</v>
      </c>
    </row>
    <row r="1132" spans="1:10" ht="16">
      <c r="A1132" s="93" t="s">
        <v>1139</v>
      </c>
      <c r="B1132" s="94" t="s">
        <v>1135</v>
      </c>
      <c r="C1132" s="95" t="s">
        <v>76</v>
      </c>
      <c r="D1132" s="96" t="s">
        <v>84</v>
      </c>
      <c r="E1132" s="97">
        <v>25335</v>
      </c>
      <c r="F1132" s="97">
        <v>2282</v>
      </c>
      <c r="G1132" s="97">
        <v>253</v>
      </c>
      <c r="H1132" s="114">
        <v>8.4332702248748372</v>
      </c>
      <c r="I1132" s="125">
        <v>1124</v>
      </c>
      <c r="J1132" s="115">
        <v>23.614533522042638</v>
      </c>
    </row>
    <row r="1133" spans="1:10" ht="16">
      <c r="A1133" s="100" t="s">
        <v>984</v>
      </c>
      <c r="B1133" s="101" t="s">
        <v>977</v>
      </c>
      <c r="C1133" s="102" t="s">
        <v>76</v>
      </c>
      <c r="D1133" s="103" t="s">
        <v>61</v>
      </c>
      <c r="E1133" s="104">
        <v>193874</v>
      </c>
      <c r="F1133" s="104">
        <v>1249</v>
      </c>
      <c r="G1133" s="104">
        <v>13571</v>
      </c>
      <c r="H1133" s="116">
        <v>19.983682968862553</v>
      </c>
      <c r="I1133" s="126">
        <v>2956</v>
      </c>
      <c r="J1133" s="117">
        <v>22.492148785704476</v>
      </c>
    </row>
    <row r="1134" spans="1:10" ht="16">
      <c r="A1134" s="93" t="s">
        <v>115</v>
      </c>
      <c r="B1134" s="94" t="s">
        <v>89</v>
      </c>
      <c r="C1134" s="95" t="s">
        <v>76</v>
      </c>
      <c r="D1134" s="96" t="s">
        <v>60</v>
      </c>
      <c r="E1134" s="97">
        <v>20268</v>
      </c>
      <c r="F1134" s="97">
        <v>665</v>
      </c>
      <c r="G1134" s="97">
        <v>5067</v>
      </c>
      <c r="H1134" s="114">
        <v>39.64663158996138</v>
      </c>
      <c r="I1134" s="125">
        <v>25995</v>
      </c>
      <c r="J1134" s="115">
        <v>31.915459811228779</v>
      </c>
    </row>
    <row r="1135" spans="1:10" ht="16">
      <c r="A1135" s="100" t="s">
        <v>1431</v>
      </c>
      <c r="B1135" s="101" t="s">
        <v>1288</v>
      </c>
      <c r="C1135" s="102" t="s">
        <v>76</v>
      </c>
      <c r="D1135" s="103" t="s">
        <v>61</v>
      </c>
      <c r="E1135" s="104">
        <v>32291</v>
      </c>
      <c r="F1135" s="104">
        <v>1993</v>
      </c>
      <c r="G1135" s="104">
        <v>1615</v>
      </c>
      <c r="H1135" s="116">
        <v>26.092729855797863</v>
      </c>
      <c r="I1135" s="126">
        <v>16350</v>
      </c>
      <c r="J1135" s="117">
        <v>33.88226926939798</v>
      </c>
    </row>
    <row r="1136" spans="1:10" ht="16">
      <c r="A1136" s="93" t="s">
        <v>292</v>
      </c>
      <c r="B1136" s="94" t="s">
        <v>223</v>
      </c>
      <c r="C1136" s="95" t="s">
        <v>76</v>
      </c>
      <c r="D1136" s="96" t="s">
        <v>84</v>
      </c>
      <c r="E1136" s="97">
        <v>21401</v>
      </c>
      <c r="F1136" s="97">
        <v>2140</v>
      </c>
      <c r="G1136" s="97">
        <v>1473</v>
      </c>
      <c r="H1136" s="114">
        <v>10.284080130092244</v>
      </c>
      <c r="I1136" s="125">
        <v>1153</v>
      </c>
      <c r="J1136" s="115">
        <v>19.583056409531743</v>
      </c>
    </row>
    <row r="1137" spans="1:10" ht="16">
      <c r="A1137" s="100" t="s">
        <v>1432</v>
      </c>
      <c r="B1137" s="101" t="s">
        <v>1288</v>
      </c>
      <c r="C1137" s="102" t="s">
        <v>76</v>
      </c>
      <c r="D1137" s="103" t="s">
        <v>84</v>
      </c>
      <c r="E1137" s="104">
        <v>14542</v>
      </c>
      <c r="F1137" s="104">
        <v>414</v>
      </c>
      <c r="G1137" s="104">
        <v>436</v>
      </c>
      <c r="H1137" s="116">
        <v>16.140856089729965</v>
      </c>
      <c r="I1137" s="126">
        <v>7351</v>
      </c>
      <c r="J1137" s="117">
        <v>31.508066334718126</v>
      </c>
    </row>
    <row r="1138" spans="1:10" ht="16">
      <c r="A1138" s="93" t="s">
        <v>1433</v>
      </c>
      <c r="B1138" s="94" t="s">
        <v>1288</v>
      </c>
      <c r="C1138" s="95" t="s">
        <v>76</v>
      </c>
      <c r="D1138" s="96" t="s">
        <v>62</v>
      </c>
      <c r="E1138" s="97">
        <v>33885</v>
      </c>
      <c r="F1138" s="97">
        <v>1793</v>
      </c>
      <c r="G1138" s="97">
        <v>4744</v>
      </c>
      <c r="H1138" s="114">
        <v>34.201867893046398</v>
      </c>
      <c r="I1138" s="125">
        <v>30024</v>
      </c>
      <c r="J1138" s="115">
        <v>30.816378636719147</v>
      </c>
    </row>
    <row r="1139" spans="1:10" ht="16">
      <c r="A1139" s="100" t="s">
        <v>1274</v>
      </c>
      <c r="B1139" s="101" t="s">
        <v>1190</v>
      </c>
      <c r="C1139" s="102" t="s">
        <v>76</v>
      </c>
      <c r="D1139" s="103" t="s">
        <v>80</v>
      </c>
      <c r="E1139" s="104">
        <v>15664</v>
      </c>
      <c r="F1139" s="104">
        <v>1058</v>
      </c>
      <c r="G1139" s="104">
        <v>2976</v>
      </c>
      <c r="H1139" s="116">
        <v>9.8869501602394596</v>
      </c>
      <c r="I1139" s="126">
        <v>2657</v>
      </c>
      <c r="J1139" s="117">
        <v>16.699281525536154</v>
      </c>
    </row>
    <row r="1140" spans="1:10" ht="16">
      <c r="A1140" s="93" t="s">
        <v>1275</v>
      </c>
      <c r="B1140" s="94" t="s">
        <v>1190</v>
      </c>
      <c r="C1140" s="95" t="s">
        <v>76</v>
      </c>
      <c r="D1140" s="96" t="s">
        <v>60</v>
      </c>
      <c r="E1140" s="97">
        <v>23863</v>
      </c>
      <c r="F1140" s="97">
        <v>1742</v>
      </c>
      <c r="G1140" s="97">
        <v>8113</v>
      </c>
      <c r="H1140" s="114">
        <v>45.294036054477466</v>
      </c>
      <c r="I1140" s="125">
        <v>39133</v>
      </c>
      <c r="J1140" s="115">
        <v>41.138419730165147</v>
      </c>
    </row>
    <row r="1141" spans="1:10" ht="16">
      <c r="A1141" s="100" t="s">
        <v>1434</v>
      </c>
      <c r="B1141" s="101" t="s">
        <v>1288</v>
      </c>
      <c r="C1141" s="102" t="s">
        <v>76</v>
      </c>
      <c r="D1141" s="103" t="s">
        <v>82</v>
      </c>
      <c r="E1141" s="104">
        <v>36929</v>
      </c>
      <c r="F1141" s="104">
        <v>3156</v>
      </c>
      <c r="G1141" s="104">
        <v>9232</v>
      </c>
      <c r="H1141" s="116">
        <v>60.242704498069713</v>
      </c>
      <c r="I1141" s="126">
        <v>55285</v>
      </c>
      <c r="J1141" s="117">
        <v>55.107976853204377</v>
      </c>
    </row>
    <row r="1142" spans="1:10" ht="16">
      <c r="A1142" s="93" t="s">
        <v>342</v>
      </c>
      <c r="B1142" s="94" t="s">
        <v>336</v>
      </c>
      <c r="C1142" s="95" t="s">
        <v>76</v>
      </c>
      <c r="D1142" s="96" t="s">
        <v>63</v>
      </c>
      <c r="E1142" s="97">
        <v>21281</v>
      </c>
      <c r="F1142" s="97">
        <v>1759</v>
      </c>
      <c r="G1142" s="97">
        <v>3618</v>
      </c>
      <c r="H1142" s="114">
        <v>28.573814596794431</v>
      </c>
      <c r="I1142" s="125">
        <v>24005</v>
      </c>
      <c r="J1142" s="115">
        <v>21.703619580892671</v>
      </c>
    </row>
    <row r="1143" spans="1:10" ht="16">
      <c r="A1143" s="100" t="s">
        <v>116</v>
      </c>
      <c r="B1143" s="101" t="s">
        <v>89</v>
      </c>
      <c r="C1143" s="102" t="s">
        <v>76</v>
      </c>
      <c r="D1143" s="103" t="s">
        <v>63</v>
      </c>
      <c r="E1143" s="104">
        <v>12405</v>
      </c>
      <c r="F1143" s="104">
        <v>481</v>
      </c>
      <c r="G1143" s="104">
        <v>1861</v>
      </c>
      <c r="H1143" s="116">
        <v>20.227327109174848</v>
      </c>
      <c r="I1143" s="126">
        <v>10969</v>
      </c>
      <c r="J1143" s="117">
        <v>20.269643552614625</v>
      </c>
    </row>
    <row r="1144" spans="1:10" ht="16">
      <c r="A1144" s="93" t="s">
        <v>313</v>
      </c>
      <c r="B1144" s="94" t="s">
        <v>314</v>
      </c>
      <c r="C1144" s="95" t="s">
        <v>107</v>
      </c>
      <c r="D1144" s="96" t="s">
        <v>60</v>
      </c>
      <c r="E1144" s="97">
        <v>20043</v>
      </c>
      <c r="F1144" s="97">
        <v>891</v>
      </c>
      <c r="G1144" s="97">
        <v>401</v>
      </c>
      <c r="H1144" s="114">
        <v>12.677920963618778</v>
      </c>
      <c r="I1144" s="125">
        <v>7079</v>
      </c>
      <c r="J1144" s="115">
        <v>16.038218114652036</v>
      </c>
    </row>
    <row r="1145" spans="1:10" ht="16">
      <c r="A1145" s="100" t="s">
        <v>1276</v>
      </c>
      <c r="B1145" s="101" t="s">
        <v>1190</v>
      </c>
      <c r="C1145" s="102" t="s">
        <v>76</v>
      </c>
      <c r="D1145" s="103" t="s">
        <v>82</v>
      </c>
      <c r="E1145" s="104">
        <v>9213</v>
      </c>
      <c r="F1145" s="104">
        <v>725</v>
      </c>
      <c r="G1145" s="104">
        <v>4238</v>
      </c>
      <c r="H1145" s="116">
        <v>41.806920127924009</v>
      </c>
      <c r="I1145" s="126">
        <v>28416</v>
      </c>
      <c r="J1145" s="117">
        <v>42.303069961183105</v>
      </c>
    </row>
    <row r="1146" spans="1:10" ht="16">
      <c r="A1146" s="93" t="s">
        <v>1078</v>
      </c>
      <c r="B1146" s="94" t="s">
        <v>1072</v>
      </c>
      <c r="C1146" s="95" t="s">
        <v>107</v>
      </c>
      <c r="D1146" s="96" t="s">
        <v>130</v>
      </c>
      <c r="E1146" s="97">
        <v>7579</v>
      </c>
      <c r="F1146" s="97">
        <v>642</v>
      </c>
      <c r="G1146" s="97">
        <v>2577</v>
      </c>
      <c r="H1146" s="114">
        <v>20.124378201852082</v>
      </c>
      <c r="I1146" s="125">
        <v>11690</v>
      </c>
      <c r="J1146" s="115">
        <v>31.398841422355812</v>
      </c>
    </row>
    <row r="1147" spans="1:10" ht="16">
      <c r="A1147" s="100" t="s">
        <v>1277</v>
      </c>
      <c r="B1147" s="101" t="s">
        <v>1190</v>
      </c>
      <c r="C1147" s="102" t="s">
        <v>76</v>
      </c>
      <c r="D1147" s="103" t="s">
        <v>62</v>
      </c>
      <c r="E1147" s="104">
        <v>9250</v>
      </c>
      <c r="F1147" s="104">
        <v>585</v>
      </c>
      <c r="G1147" s="104">
        <v>2128</v>
      </c>
      <c r="H1147" s="116">
        <v>25.760471249437828</v>
      </c>
      <c r="I1147" s="126">
        <v>19156</v>
      </c>
      <c r="J1147" s="117">
        <v>24.491731789228986</v>
      </c>
    </row>
    <row r="1148" spans="1:10" ht="16">
      <c r="A1148" s="93" t="s">
        <v>397</v>
      </c>
      <c r="B1148" s="94" t="s">
        <v>377</v>
      </c>
      <c r="C1148" s="95" t="s">
        <v>76</v>
      </c>
      <c r="D1148" s="96" t="s">
        <v>80</v>
      </c>
      <c r="E1148" s="97">
        <v>46898</v>
      </c>
      <c r="F1148" s="97">
        <v>2495</v>
      </c>
      <c r="G1148" s="97">
        <v>9380</v>
      </c>
      <c r="H1148" s="114">
        <v>21.56885751602147</v>
      </c>
      <c r="I1148" s="125">
        <v>13211</v>
      </c>
      <c r="J1148" s="115">
        <v>29.377324720509506</v>
      </c>
    </row>
    <row r="1149" spans="1:10" ht="16">
      <c r="A1149" s="100" t="s">
        <v>1278</v>
      </c>
      <c r="B1149" s="101" t="s">
        <v>1190</v>
      </c>
      <c r="C1149" s="102" t="s">
        <v>107</v>
      </c>
      <c r="D1149" s="103" t="s">
        <v>80</v>
      </c>
      <c r="E1149" s="104">
        <v>18517</v>
      </c>
      <c r="F1149" s="104">
        <v>975</v>
      </c>
      <c r="G1149" s="104">
        <v>5000</v>
      </c>
      <c r="H1149" s="116">
        <v>31.824920060306372</v>
      </c>
      <c r="I1149" s="126">
        <v>16426</v>
      </c>
      <c r="J1149" s="117">
        <v>29.060590037735096</v>
      </c>
    </row>
    <row r="1150" spans="1:10" ht="16">
      <c r="A1150" s="93" t="s">
        <v>443</v>
      </c>
      <c r="B1150" s="94" t="s">
        <v>402</v>
      </c>
      <c r="C1150" s="95" t="s">
        <v>107</v>
      </c>
      <c r="D1150" s="96" t="s">
        <v>77</v>
      </c>
      <c r="E1150" s="97">
        <v>26004</v>
      </c>
      <c r="F1150" s="97">
        <v>568</v>
      </c>
      <c r="G1150" s="97">
        <v>5201</v>
      </c>
      <c r="H1150" s="114">
        <v>46.154567228097804</v>
      </c>
      <c r="I1150" s="125">
        <v>23861</v>
      </c>
      <c r="J1150" s="115">
        <v>42.486117488545375</v>
      </c>
    </row>
    <row r="1151" spans="1:10" ht="16">
      <c r="A1151" s="100" t="s">
        <v>1279</v>
      </c>
      <c r="B1151" s="101" t="s">
        <v>1190</v>
      </c>
      <c r="C1151" s="102" t="s">
        <v>76</v>
      </c>
      <c r="D1151" s="103" t="s">
        <v>77</v>
      </c>
      <c r="E1151" s="104">
        <v>13125</v>
      </c>
      <c r="F1151" s="104">
        <v>820</v>
      </c>
      <c r="G1151" s="104">
        <v>4856</v>
      </c>
      <c r="H1151" s="116">
        <v>34.590729161196869</v>
      </c>
      <c r="I1151" s="126">
        <v>24702</v>
      </c>
      <c r="J1151" s="117">
        <v>30.618638012504892</v>
      </c>
    </row>
    <row r="1152" spans="1:10" ht="16">
      <c r="A1152" s="93" t="s">
        <v>1280</v>
      </c>
      <c r="B1152" s="94" t="s">
        <v>1190</v>
      </c>
      <c r="C1152" s="95" t="s">
        <v>76</v>
      </c>
      <c r="D1152" s="96" t="s">
        <v>63</v>
      </c>
      <c r="E1152" s="97">
        <v>14978</v>
      </c>
      <c r="F1152" s="97">
        <v>930</v>
      </c>
      <c r="G1152" s="97">
        <v>5841</v>
      </c>
      <c r="H1152" s="114">
        <v>38.255137295760598</v>
      </c>
      <c r="I1152" s="125">
        <v>34842</v>
      </c>
      <c r="J1152" s="115">
        <v>35.47714006978002</v>
      </c>
    </row>
    <row r="1153" spans="1:10" ht="16">
      <c r="A1153" s="100" t="s">
        <v>117</v>
      </c>
      <c r="B1153" s="101" t="s">
        <v>89</v>
      </c>
      <c r="C1153" s="102" t="s">
        <v>76</v>
      </c>
      <c r="D1153" s="103" t="s">
        <v>61</v>
      </c>
      <c r="E1153" s="104">
        <v>45111</v>
      </c>
      <c r="F1153" s="104">
        <v>2244</v>
      </c>
      <c r="G1153" s="104">
        <v>17593</v>
      </c>
      <c r="H1153" s="116">
        <v>62.364687795547937</v>
      </c>
      <c r="I1153" s="126">
        <v>55877</v>
      </c>
      <c r="J1153" s="117">
        <v>51.902713240821413</v>
      </c>
    </row>
    <row r="1154" spans="1:10" ht="16">
      <c r="A1154" s="93" t="s">
        <v>470</v>
      </c>
      <c r="B1154" s="94" t="s">
        <v>466</v>
      </c>
      <c r="C1154" s="95" t="s">
        <v>76</v>
      </c>
      <c r="D1154" s="96" t="s">
        <v>80</v>
      </c>
      <c r="E1154" s="97">
        <v>19700</v>
      </c>
      <c r="F1154" s="97">
        <v>1576</v>
      </c>
      <c r="G1154" s="97">
        <v>3152</v>
      </c>
      <c r="H1154" s="114">
        <v>13.222542557295707</v>
      </c>
      <c r="I1154" s="125">
        <v>4578</v>
      </c>
      <c r="J1154" s="115">
        <v>22.08997577832379</v>
      </c>
    </row>
    <row r="1155" spans="1:10" ht="16">
      <c r="A1155" s="100" t="s">
        <v>571</v>
      </c>
      <c r="B1155" s="101" t="s">
        <v>537</v>
      </c>
      <c r="C1155" s="102" t="s">
        <v>107</v>
      </c>
      <c r="D1155" s="103" t="s">
        <v>84</v>
      </c>
      <c r="E1155" s="104">
        <v>20360</v>
      </c>
      <c r="F1155" s="104">
        <v>771</v>
      </c>
      <c r="G1155" s="104">
        <v>936</v>
      </c>
      <c r="H1155" s="116">
        <v>19.998007177655307</v>
      </c>
      <c r="I1155" s="126">
        <v>8440</v>
      </c>
      <c r="J1155" s="117">
        <v>28.449718807385594</v>
      </c>
    </row>
    <row r="1156" spans="1:10" ht="16">
      <c r="A1156" s="93" t="s">
        <v>220</v>
      </c>
      <c r="B1156" s="94" t="s">
        <v>212</v>
      </c>
      <c r="C1156" s="95" t="s">
        <v>107</v>
      </c>
      <c r="D1156" s="96" t="s">
        <v>77</v>
      </c>
      <c r="E1156" s="97">
        <v>10795</v>
      </c>
      <c r="F1156" s="97">
        <v>670</v>
      </c>
      <c r="G1156" s="97">
        <v>108</v>
      </c>
      <c r="H1156" s="114">
        <v>11.914040206405797</v>
      </c>
      <c r="I1156" s="125">
        <v>3104</v>
      </c>
      <c r="J1156" s="115">
        <v>15.373262209332657</v>
      </c>
    </row>
    <row r="1157" spans="1:10" ht="16">
      <c r="A1157" s="100" t="s">
        <v>367</v>
      </c>
      <c r="B1157" s="101" t="s">
        <v>365</v>
      </c>
      <c r="C1157" s="102" t="s">
        <v>76</v>
      </c>
      <c r="D1157" s="103" t="s">
        <v>130</v>
      </c>
      <c r="E1157" s="104">
        <v>8532</v>
      </c>
      <c r="F1157" s="104">
        <v>736</v>
      </c>
      <c r="G1157" s="104">
        <v>683</v>
      </c>
      <c r="H1157" s="116">
        <v>27.608850897463558</v>
      </c>
      <c r="I1157" s="126">
        <v>22497</v>
      </c>
      <c r="J1157" s="117">
        <v>27.623810784623281</v>
      </c>
    </row>
    <row r="1158" spans="1:10" ht="16">
      <c r="A1158" s="93" t="s">
        <v>118</v>
      </c>
      <c r="B1158" s="94" t="s">
        <v>89</v>
      </c>
      <c r="C1158" s="95" t="s">
        <v>76</v>
      </c>
      <c r="D1158" s="96" t="s">
        <v>62</v>
      </c>
      <c r="E1158" s="97">
        <v>18219</v>
      </c>
      <c r="F1158" s="97">
        <v>732</v>
      </c>
      <c r="G1158" s="97">
        <v>5466</v>
      </c>
      <c r="H1158" s="114">
        <v>33.751301125798157</v>
      </c>
      <c r="I1158" s="125">
        <v>21372</v>
      </c>
      <c r="J1158" s="115">
        <v>26.284939024105508</v>
      </c>
    </row>
    <row r="1159" spans="1:10" ht="16">
      <c r="A1159" s="100" t="s">
        <v>119</v>
      </c>
      <c r="B1159" s="101" t="s">
        <v>89</v>
      </c>
      <c r="C1159" s="102" t="s">
        <v>76</v>
      </c>
      <c r="D1159" s="103" t="s">
        <v>59</v>
      </c>
      <c r="E1159" s="104">
        <v>26385</v>
      </c>
      <c r="F1159" s="104">
        <v>608</v>
      </c>
      <c r="G1159" s="104">
        <v>8971</v>
      </c>
      <c r="H1159" s="116">
        <v>43.288247487775458</v>
      </c>
      <c r="I1159" s="126">
        <v>32356</v>
      </c>
      <c r="J1159" s="117">
        <v>33.915689783664988</v>
      </c>
    </row>
    <row r="1160" spans="1:10" ht="16">
      <c r="A1160" s="93" t="s">
        <v>579</v>
      </c>
      <c r="B1160" s="94" t="s">
        <v>578</v>
      </c>
      <c r="C1160" s="95" t="s">
        <v>76</v>
      </c>
      <c r="D1160" s="96" t="s">
        <v>60</v>
      </c>
      <c r="E1160" s="97">
        <v>10450</v>
      </c>
      <c r="F1160" s="97">
        <v>1659</v>
      </c>
      <c r="G1160" s="97">
        <v>727</v>
      </c>
      <c r="H1160" s="114">
        <v>7.2384401590711835</v>
      </c>
      <c r="I1160" s="125">
        <v>1501</v>
      </c>
      <c r="J1160" s="115">
        <v>21.269495050220772</v>
      </c>
    </row>
    <row r="1161" spans="1:10" ht="16">
      <c r="A1161" s="100" t="s">
        <v>572</v>
      </c>
      <c r="B1161" s="101" t="s">
        <v>537</v>
      </c>
      <c r="C1161" s="102" t="s">
        <v>107</v>
      </c>
      <c r="D1161" s="103" t="s">
        <v>82</v>
      </c>
      <c r="E1161" s="104">
        <v>53614</v>
      </c>
      <c r="F1161" s="104">
        <v>2188</v>
      </c>
      <c r="G1161" s="104">
        <v>1072</v>
      </c>
      <c r="H1161" s="116">
        <v>24.039906653127499</v>
      </c>
      <c r="I1161" s="126">
        <v>9190</v>
      </c>
      <c r="J1161" s="117">
        <v>37.282231852386509</v>
      </c>
    </row>
    <row r="1162" spans="1:10" ht="16">
      <c r="A1162" s="93" t="s">
        <v>1435</v>
      </c>
      <c r="B1162" s="94" t="s">
        <v>1288</v>
      </c>
      <c r="C1162" s="95" t="s">
        <v>76</v>
      </c>
      <c r="D1162" s="96" t="s">
        <v>82</v>
      </c>
      <c r="E1162" s="97">
        <v>28835</v>
      </c>
      <c r="F1162" s="97">
        <v>1144</v>
      </c>
      <c r="G1162" s="97">
        <v>4325</v>
      </c>
      <c r="H1162" s="114">
        <v>19.141362788149969</v>
      </c>
      <c r="I1162" s="125">
        <v>9234</v>
      </c>
      <c r="J1162" s="115">
        <v>21.682162897488595</v>
      </c>
    </row>
    <row r="1163" spans="1:10" ht="16">
      <c r="A1163" s="100" t="s">
        <v>1436</v>
      </c>
      <c r="B1163" s="101" t="s">
        <v>1288</v>
      </c>
      <c r="C1163" s="102" t="s">
        <v>76</v>
      </c>
      <c r="D1163" s="103" t="s">
        <v>61</v>
      </c>
      <c r="E1163" s="104">
        <v>49165</v>
      </c>
      <c r="F1163" s="104">
        <v>2858</v>
      </c>
      <c r="G1163" s="104">
        <v>4917</v>
      </c>
      <c r="H1163" s="116">
        <v>76.345927825363518</v>
      </c>
      <c r="I1163" s="126">
        <v>71060</v>
      </c>
      <c r="J1163" s="117">
        <v>68.336945964699225</v>
      </c>
    </row>
    <row r="1164" spans="1:10" ht="16">
      <c r="A1164" s="93" t="s">
        <v>1437</v>
      </c>
      <c r="B1164" s="94" t="s">
        <v>1288</v>
      </c>
      <c r="C1164" s="95" t="s">
        <v>107</v>
      </c>
      <c r="D1164" s="96" t="s">
        <v>92</v>
      </c>
      <c r="E1164" s="97">
        <v>22757</v>
      </c>
      <c r="F1164" s="97">
        <v>1054</v>
      </c>
      <c r="G1164" s="97">
        <v>5689</v>
      </c>
      <c r="H1164" s="114">
        <v>29.791909924479722</v>
      </c>
      <c r="I1164" s="125">
        <v>24149</v>
      </c>
      <c r="J1164" s="115">
        <v>24.298555625731421</v>
      </c>
    </row>
    <row r="1165" spans="1:10" ht="16">
      <c r="A1165" s="100" t="s">
        <v>1438</v>
      </c>
      <c r="B1165" s="101" t="s">
        <v>1288</v>
      </c>
      <c r="C1165" s="102" t="s">
        <v>76</v>
      </c>
      <c r="D1165" s="103" t="s">
        <v>77</v>
      </c>
      <c r="E1165" s="104">
        <v>17089</v>
      </c>
      <c r="F1165" s="104">
        <v>737</v>
      </c>
      <c r="G1165" s="104">
        <v>1367</v>
      </c>
      <c r="H1165" s="116">
        <v>23.053329021680412</v>
      </c>
      <c r="I1165" s="126">
        <v>8387</v>
      </c>
      <c r="J1165" s="117">
        <v>21.67089118352914</v>
      </c>
    </row>
    <row r="1166" spans="1:10" ht="16">
      <c r="A1166" s="93" t="s">
        <v>1439</v>
      </c>
      <c r="B1166" s="94" t="s">
        <v>1288</v>
      </c>
      <c r="C1166" s="95" t="s">
        <v>76</v>
      </c>
      <c r="D1166" s="96" t="s">
        <v>80</v>
      </c>
      <c r="E1166" s="97">
        <v>24435</v>
      </c>
      <c r="F1166" s="97">
        <v>997</v>
      </c>
      <c r="G1166" s="97">
        <v>977</v>
      </c>
      <c r="H1166" s="114">
        <v>22.095312186868341</v>
      </c>
      <c r="I1166" s="125">
        <v>16523</v>
      </c>
      <c r="J1166" s="115">
        <v>18.654671256822734</v>
      </c>
    </row>
    <row r="1167" spans="1:10" ht="16">
      <c r="A1167" s="100" t="s">
        <v>456</v>
      </c>
      <c r="B1167" s="101" t="s">
        <v>448</v>
      </c>
      <c r="C1167" s="102" t="s">
        <v>76</v>
      </c>
      <c r="D1167" s="103" t="s">
        <v>130</v>
      </c>
      <c r="E1167" s="104">
        <v>13040</v>
      </c>
      <c r="F1167" s="104">
        <v>316</v>
      </c>
      <c r="G1167" s="104">
        <v>130</v>
      </c>
      <c r="H1167" s="116">
        <v>17.976865900170765</v>
      </c>
      <c r="I1167" s="126">
        <v>7933</v>
      </c>
      <c r="J1167" s="117">
        <v>18.70045987866358</v>
      </c>
    </row>
    <row r="1168" spans="1:10" ht="16">
      <c r="A1168" s="93" t="s">
        <v>221</v>
      </c>
      <c r="B1168" s="94" t="s">
        <v>212</v>
      </c>
      <c r="C1168" s="95" t="s">
        <v>76</v>
      </c>
      <c r="D1168" s="96" t="s">
        <v>82</v>
      </c>
      <c r="E1168" s="97">
        <v>8402</v>
      </c>
      <c r="F1168" s="97">
        <v>583</v>
      </c>
      <c r="G1168" s="97">
        <v>168</v>
      </c>
      <c r="H1168" s="114">
        <v>10.996938743367114</v>
      </c>
      <c r="I1168" s="125">
        <v>1663</v>
      </c>
      <c r="J1168" s="115">
        <v>16.424760114234839</v>
      </c>
    </row>
    <row r="1169" spans="1:10" ht="16">
      <c r="A1169" s="100" t="s">
        <v>309</v>
      </c>
      <c r="B1169" s="101" t="s">
        <v>304</v>
      </c>
      <c r="C1169" s="102" t="s">
        <v>107</v>
      </c>
      <c r="D1169" s="103" t="s">
        <v>61</v>
      </c>
      <c r="E1169" s="104">
        <v>15521</v>
      </c>
      <c r="F1169" s="104">
        <v>1176</v>
      </c>
      <c r="G1169" s="104">
        <v>310</v>
      </c>
      <c r="H1169" s="116">
        <v>16.624862871218141</v>
      </c>
      <c r="I1169" s="126">
        <v>7244</v>
      </c>
      <c r="J1169" s="117">
        <v>21.498226167490408</v>
      </c>
    </row>
    <row r="1170" spans="1:10" ht="16">
      <c r="A1170" s="93" t="s">
        <v>1458</v>
      </c>
      <c r="B1170" s="94" t="s">
        <v>1459</v>
      </c>
      <c r="C1170" s="95" t="s">
        <v>76</v>
      </c>
      <c r="D1170" s="96" t="s">
        <v>84</v>
      </c>
      <c r="E1170" s="97">
        <v>42198</v>
      </c>
      <c r="F1170" s="97">
        <v>2512</v>
      </c>
      <c r="G1170" s="97">
        <v>4007</v>
      </c>
      <c r="H1170" s="114">
        <v>8.1451060332230458</v>
      </c>
      <c r="I1170" s="125">
        <v>741</v>
      </c>
      <c r="J1170" s="115">
        <v>15.05079926397684</v>
      </c>
    </row>
    <row r="1171" spans="1:10" ht="16">
      <c r="A1171" s="100" t="s">
        <v>1051</v>
      </c>
      <c r="B1171" s="101" t="s">
        <v>1020</v>
      </c>
      <c r="C1171" s="102" t="s">
        <v>76</v>
      </c>
      <c r="D1171" s="103" t="s">
        <v>61</v>
      </c>
      <c r="E1171" s="104">
        <v>11277</v>
      </c>
      <c r="F1171" s="104">
        <v>881</v>
      </c>
      <c r="G1171" s="104">
        <v>789</v>
      </c>
      <c r="H1171" s="116">
        <v>14.332685624986937</v>
      </c>
      <c r="I1171" s="126">
        <v>8096</v>
      </c>
      <c r="J1171" s="117">
        <v>20.775006348903471</v>
      </c>
    </row>
    <row r="1172" spans="1:10" ht="16">
      <c r="A1172" s="93" t="s">
        <v>1052</v>
      </c>
      <c r="B1172" s="94" t="s">
        <v>1020</v>
      </c>
      <c r="C1172" s="95" t="s">
        <v>76</v>
      </c>
      <c r="D1172" s="96" t="s">
        <v>82</v>
      </c>
      <c r="E1172" s="97">
        <v>42485</v>
      </c>
      <c r="F1172" s="97">
        <v>2871</v>
      </c>
      <c r="G1172" s="97">
        <v>1699</v>
      </c>
      <c r="H1172" s="114">
        <v>17.111683989972036</v>
      </c>
      <c r="I1172" s="125">
        <v>8119</v>
      </c>
      <c r="J1172" s="115">
        <v>22.6023707588785</v>
      </c>
    </row>
    <row r="1173" spans="1:10" ht="16">
      <c r="A1173" s="100" t="s">
        <v>310</v>
      </c>
      <c r="B1173" s="101" t="s">
        <v>304</v>
      </c>
      <c r="C1173" s="102" t="s">
        <v>76</v>
      </c>
      <c r="D1173" s="103" t="s">
        <v>63</v>
      </c>
      <c r="E1173" s="104">
        <v>14228</v>
      </c>
      <c r="F1173" s="104">
        <v>694</v>
      </c>
      <c r="G1173" s="104">
        <v>427</v>
      </c>
      <c r="H1173" s="116">
        <v>11.349795845586572</v>
      </c>
      <c r="I1173" s="126">
        <v>1343</v>
      </c>
      <c r="J1173" s="117">
        <v>15.163152342487361</v>
      </c>
    </row>
    <row r="1174" spans="1:10" ht="16">
      <c r="A1174" s="93" t="s">
        <v>877</v>
      </c>
      <c r="B1174" s="94" t="s">
        <v>876</v>
      </c>
      <c r="C1174" s="95" t="s">
        <v>76</v>
      </c>
      <c r="D1174" s="96" t="s">
        <v>62</v>
      </c>
      <c r="E1174" s="97">
        <v>39877</v>
      </c>
      <c r="F1174" s="97">
        <v>4747</v>
      </c>
      <c r="G1174" s="97">
        <v>399</v>
      </c>
      <c r="H1174" s="114">
        <v>17.569465008286322</v>
      </c>
      <c r="I1174" s="125">
        <v>15060</v>
      </c>
      <c r="J1174" s="115">
        <v>24.779586396299678</v>
      </c>
    </row>
    <row r="1175" spans="1:10" ht="16">
      <c r="A1175" s="100" t="s">
        <v>870</v>
      </c>
      <c r="B1175" s="101" t="s">
        <v>858</v>
      </c>
      <c r="C1175" s="102" t="s">
        <v>76</v>
      </c>
      <c r="D1175" s="103" t="s">
        <v>82</v>
      </c>
      <c r="E1175" s="104">
        <v>27907</v>
      </c>
      <c r="F1175" s="104">
        <v>1037</v>
      </c>
      <c r="G1175" s="104">
        <v>1942</v>
      </c>
      <c r="H1175" s="116">
        <v>11.202636326933215</v>
      </c>
      <c r="I1175" s="126">
        <v>3602</v>
      </c>
      <c r="J1175" s="117">
        <v>19.966898454447158</v>
      </c>
    </row>
    <row r="1176" spans="1:10" ht="16">
      <c r="A1176" s="93" t="s">
        <v>742</v>
      </c>
      <c r="B1176" s="94" t="s">
        <v>642</v>
      </c>
      <c r="C1176" s="95" t="s">
        <v>107</v>
      </c>
      <c r="D1176" s="96" t="s">
        <v>60</v>
      </c>
      <c r="E1176" s="97">
        <v>8222</v>
      </c>
      <c r="F1176" s="97">
        <v>754</v>
      </c>
      <c r="G1176" s="97">
        <v>164</v>
      </c>
      <c r="H1176" s="114">
        <v>12.029051349980369</v>
      </c>
      <c r="I1176" s="125">
        <v>1809</v>
      </c>
      <c r="J1176" s="115">
        <v>19.673508707596614</v>
      </c>
    </row>
    <row r="1177" spans="1:10" ht="16">
      <c r="A1177" s="100" t="s">
        <v>178</v>
      </c>
      <c r="B1177" s="101" t="s">
        <v>150</v>
      </c>
      <c r="C1177" s="102" t="s">
        <v>76</v>
      </c>
      <c r="D1177" s="103" t="s">
        <v>130</v>
      </c>
      <c r="E1177" s="104">
        <v>21715</v>
      </c>
      <c r="F1177" s="104">
        <v>916</v>
      </c>
      <c r="G1177" s="104">
        <v>1495</v>
      </c>
      <c r="H1177" s="116">
        <v>10.674769222766253</v>
      </c>
      <c r="I1177" s="126">
        <v>2158</v>
      </c>
      <c r="J1177" s="117">
        <v>18.489304211537551</v>
      </c>
    </row>
    <row r="1178" spans="1:10" ht="16">
      <c r="A1178" s="93" t="s">
        <v>120</v>
      </c>
      <c r="B1178" s="94" t="s">
        <v>89</v>
      </c>
      <c r="C1178" s="95" t="s">
        <v>76</v>
      </c>
      <c r="D1178" s="96" t="s">
        <v>84</v>
      </c>
      <c r="E1178" s="97">
        <v>9720</v>
      </c>
      <c r="F1178" s="97">
        <v>311</v>
      </c>
      <c r="G1178" s="97">
        <v>1652</v>
      </c>
      <c r="H1178" s="114">
        <v>23.629191623398199</v>
      </c>
      <c r="I1178" s="125">
        <v>10917</v>
      </c>
      <c r="J1178" s="115">
        <v>17.87061403634025</v>
      </c>
    </row>
    <row r="1179" spans="1:10" ht="16">
      <c r="A1179" s="100" t="s">
        <v>1281</v>
      </c>
      <c r="B1179" s="101" t="s">
        <v>1190</v>
      </c>
      <c r="C1179" s="102" t="s">
        <v>76</v>
      </c>
      <c r="D1179" s="103" t="s">
        <v>84</v>
      </c>
      <c r="E1179" s="104">
        <v>21737</v>
      </c>
      <c r="F1179" s="104">
        <v>1188</v>
      </c>
      <c r="G1179" s="104">
        <v>4565</v>
      </c>
      <c r="H1179" s="116">
        <v>16.155101482479047</v>
      </c>
      <c r="I1179" s="126">
        <v>7467</v>
      </c>
      <c r="J1179" s="117">
        <v>18.011576741625703</v>
      </c>
    </row>
    <row r="1180" spans="1:10" ht="16">
      <c r="A1180" s="93" t="s">
        <v>1282</v>
      </c>
      <c r="B1180" s="94" t="s">
        <v>1190</v>
      </c>
      <c r="C1180" s="95" t="s">
        <v>76</v>
      </c>
      <c r="D1180" s="96" t="s">
        <v>80</v>
      </c>
      <c r="E1180" s="97">
        <v>11730</v>
      </c>
      <c r="F1180" s="97">
        <v>524</v>
      </c>
      <c r="G1180" s="97">
        <v>2463</v>
      </c>
      <c r="H1180" s="114">
        <v>13.919966983627969</v>
      </c>
      <c r="I1180" s="125">
        <v>10752</v>
      </c>
      <c r="J1180" s="115">
        <v>14.437452858868832</v>
      </c>
    </row>
    <row r="1181" spans="1:10" ht="16">
      <c r="A1181" s="100" t="s">
        <v>985</v>
      </c>
      <c r="B1181" s="101" t="s">
        <v>977</v>
      </c>
      <c r="C1181" s="102" t="s">
        <v>76</v>
      </c>
      <c r="D1181" s="103" t="s">
        <v>80</v>
      </c>
      <c r="E1181" s="104">
        <v>21999</v>
      </c>
      <c r="F1181" s="104">
        <v>721</v>
      </c>
      <c r="G1181" s="104">
        <v>1760</v>
      </c>
      <c r="H1181" s="116">
        <v>20.493660374250936</v>
      </c>
      <c r="I1181" s="126">
        <v>12112</v>
      </c>
      <c r="J1181" s="117">
        <v>18.99898691780961</v>
      </c>
    </row>
    <row r="1182" spans="1:10" ht="16">
      <c r="A1182" s="93" t="s">
        <v>986</v>
      </c>
      <c r="B1182" s="94" t="s">
        <v>977</v>
      </c>
      <c r="C1182" s="95" t="s">
        <v>76</v>
      </c>
      <c r="D1182" s="96" t="s">
        <v>59</v>
      </c>
      <c r="E1182" s="97">
        <v>28521</v>
      </c>
      <c r="F1182" s="97">
        <v>1084</v>
      </c>
      <c r="G1182" s="97">
        <v>2282</v>
      </c>
      <c r="H1182" s="114">
        <v>43.335432720339895</v>
      </c>
      <c r="I1182" s="125">
        <v>34104</v>
      </c>
      <c r="J1182" s="115">
        <v>31.255238397522891</v>
      </c>
    </row>
    <row r="1183" spans="1:10" ht="16">
      <c r="A1183" s="100" t="s">
        <v>457</v>
      </c>
      <c r="B1183" s="101" t="s">
        <v>448</v>
      </c>
      <c r="C1183" s="102" t="s">
        <v>76</v>
      </c>
      <c r="D1183" s="103" t="s">
        <v>59</v>
      </c>
      <c r="E1183" s="104">
        <v>17004</v>
      </c>
      <c r="F1183" s="104">
        <v>437</v>
      </c>
      <c r="G1183" s="104">
        <v>680</v>
      </c>
      <c r="H1183" s="116">
        <v>20.530999003160819</v>
      </c>
      <c r="I1183" s="126">
        <v>9887</v>
      </c>
      <c r="J1183" s="117">
        <v>15.96440994100735</v>
      </c>
    </row>
    <row r="1184" spans="1:10" ht="16">
      <c r="A1184" s="93" t="s">
        <v>83</v>
      </c>
      <c r="B1184" s="94" t="s">
        <v>75</v>
      </c>
      <c r="C1184" s="95" t="s">
        <v>76</v>
      </c>
      <c r="D1184" s="96" t="s">
        <v>84</v>
      </c>
      <c r="E1184" s="97">
        <v>43446</v>
      </c>
      <c r="F1184" s="97">
        <v>1773</v>
      </c>
      <c r="G1184" s="97">
        <v>434</v>
      </c>
      <c r="H1184" s="114">
        <v>9.7882440923561411</v>
      </c>
      <c r="I1184" s="125">
        <v>594</v>
      </c>
      <c r="J1184" s="115">
        <v>29.914807519795048</v>
      </c>
    </row>
    <row r="1185" spans="1:10" ht="16">
      <c r="A1185" s="100" t="s">
        <v>1440</v>
      </c>
      <c r="B1185" s="101" t="s">
        <v>1288</v>
      </c>
      <c r="C1185" s="102" t="s">
        <v>76</v>
      </c>
      <c r="D1185" s="103" t="s">
        <v>61</v>
      </c>
      <c r="E1185" s="104">
        <v>18587</v>
      </c>
      <c r="F1185" s="104">
        <v>1199</v>
      </c>
      <c r="G1185" s="104">
        <v>2045</v>
      </c>
      <c r="H1185" s="116">
        <v>14.411563446418423</v>
      </c>
      <c r="I1185" s="126">
        <v>6883</v>
      </c>
      <c r="J1185" s="117">
        <v>34.208112387825267</v>
      </c>
    </row>
    <row r="1186" spans="1:10" ht="16">
      <c r="A1186" s="93" t="s">
        <v>205</v>
      </c>
      <c r="B1186" s="94" t="s">
        <v>184</v>
      </c>
      <c r="C1186" s="95" t="s">
        <v>76</v>
      </c>
      <c r="D1186" s="96" t="s">
        <v>62</v>
      </c>
      <c r="E1186" s="97">
        <v>73370</v>
      </c>
      <c r="F1186" s="97">
        <v>3650</v>
      </c>
      <c r="G1186" s="97">
        <v>15408</v>
      </c>
      <c r="H1186" s="114">
        <v>89.705770188294181</v>
      </c>
      <c r="I1186" s="125">
        <v>83900</v>
      </c>
      <c r="J1186" s="115">
        <v>77.346245805235142</v>
      </c>
    </row>
    <row r="1187" spans="1:10" ht="16">
      <c r="A1187" s="100" t="s">
        <v>398</v>
      </c>
      <c r="B1187" s="101" t="s">
        <v>377</v>
      </c>
      <c r="C1187" s="102" t="s">
        <v>76</v>
      </c>
      <c r="D1187" s="103" t="s">
        <v>59</v>
      </c>
      <c r="E1187" s="104">
        <v>27285</v>
      </c>
      <c r="F1187" s="104">
        <v>1287</v>
      </c>
      <c r="G1187" s="104">
        <v>3001</v>
      </c>
      <c r="H1187" s="116">
        <v>12.685153058160129</v>
      </c>
      <c r="I1187" s="126">
        <v>6148</v>
      </c>
      <c r="J1187" s="117">
        <v>30.506213471299571</v>
      </c>
    </row>
    <row r="1188" spans="1:10" ht="16">
      <c r="A1188" s="93" t="s">
        <v>743</v>
      </c>
      <c r="B1188" s="94" t="s">
        <v>642</v>
      </c>
      <c r="C1188" s="95" t="s">
        <v>107</v>
      </c>
      <c r="D1188" s="96" t="s">
        <v>60</v>
      </c>
      <c r="E1188" s="97">
        <v>9133</v>
      </c>
      <c r="F1188" s="97">
        <v>761</v>
      </c>
      <c r="G1188" s="97">
        <v>274</v>
      </c>
      <c r="H1188" s="114">
        <v>13.90909294289645</v>
      </c>
      <c r="I1188" s="125">
        <v>2705</v>
      </c>
      <c r="J1188" s="115">
        <v>21.188216379763499</v>
      </c>
    </row>
    <row r="1189" spans="1:10" ht="16">
      <c r="A1189" s="100" t="s">
        <v>632</v>
      </c>
      <c r="B1189" s="101" t="s">
        <v>598</v>
      </c>
      <c r="C1189" s="102" t="s">
        <v>76</v>
      </c>
      <c r="D1189" s="103" t="s">
        <v>60</v>
      </c>
      <c r="E1189" s="104">
        <v>12920</v>
      </c>
      <c r="F1189" s="104">
        <v>663</v>
      </c>
      <c r="G1189" s="104">
        <v>904</v>
      </c>
      <c r="H1189" s="116">
        <v>32.509508366019261</v>
      </c>
      <c r="I1189" s="126">
        <v>24821</v>
      </c>
      <c r="J1189" s="117">
        <v>27.791513806955827</v>
      </c>
    </row>
    <row r="1190" spans="1:10" ht="16">
      <c r="A1190" s="93" t="s">
        <v>633</v>
      </c>
      <c r="B1190" s="94" t="s">
        <v>598</v>
      </c>
      <c r="C1190" s="95" t="s">
        <v>76</v>
      </c>
      <c r="D1190" s="96" t="s">
        <v>60</v>
      </c>
      <c r="E1190" s="97">
        <v>15933</v>
      </c>
      <c r="F1190" s="97">
        <v>678</v>
      </c>
      <c r="G1190" s="97">
        <v>1275</v>
      </c>
      <c r="H1190" s="114">
        <v>23.21777658174685</v>
      </c>
      <c r="I1190" s="125">
        <v>15205</v>
      </c>
      <c r="J1190" s="115">
        <v>31.08377312923983</v>
      </c>
    </row>
    <row r="1191" spans="1:10" ht="16">
      <c r="A1191" s="100" t="s">
        <v>744</v>
      </c>
      <c r="B1191" s="101" t="s">
        <v>642</v>
      </c>
      <c r="C1191" s="102" t="s">
        <v>107</v>
      </c>
      <c r="D1191" s="103" t="s">
        <v>130</v>
      </c>
      <c r="E1191" s="104">
        <v>16844</v>
      </c>
      <c r="F1191" s="104">
        <v>1239</v>
      </c>
      <c r="G1191" s="104">
        <v>3537</v>
      </c>
      <c r="H1191" s="116">
        <v>37.353272986714998</v>
      </c>
      <c r="I1191" s="126">
        <v>12874</v>
      </c>
      <c r="J1191" s="117">
        <v>44.292467739475711</v>
      </c>
    </row>
    <row r="1192" spans="1:10" ht="16">
      <c r="A1192" s="93" t="s">
        <v>1441</v>
      </c>
      <c r="B1192" s="94" t="s">
        <v>1288</v>
      </c>
      <c r="C1192" s="95" t="s">
        <v>107</v>
      </c>
      <c r="D1192" s="96" t="s">
        <v>60</v>
      </c>
      <c r="E1192" s="97">
        <v>5067</v>
      </c>
      <c r="F1192" s="97">
        <v>409</v>
      </c>
      <c r="G1192" s="97">
        <v>811</v>
      </c>
      <c r="H1192" s="114">
        <v>16.585439483819833</v>
      </c>
      <c r="I1192" s="125">
        <v>11194</v>
      </c>
      <c r="J1192" s="115">
        <v>34.049950489881695</v>
      </c>
    </row>
    <row r="1193" spans="1:10" ht="16">
      <c r="A1193" s="100" t="s">
        <v>1140</v>
      </c>
      <c r="B1193" s="101" t="s">
        <v>1135</v>
      </c>
      <c r="C1193" s="102" t="s">
        <v>76</v>
      </c>
      <c r="D1193" s="103" t="s">
        <v>77</v>
      </c>
      <c r="E1193" s="104">
        <v>33923</v>
      </c>
      <c r="F1193" s="104">
        <v>3359</v>
      </c>
      <c r="G1193" s="104">
        <v>339</v>
      </c>
      <c r="H1193" s="116">
        <v>10.5142062157562</v>
      </c>
      <c r="I1193" s="126">
        <v>1853</v>
      </c>
      <c r="J1193" s="117">
        <v>25.756958280094928</v>
      </c>
    </row>
    <row r="1194" spans="1:10" ht="16">
      <c r="A1194" s="93" t="s">
        <v>634</v>
      </c>
      <c r="B1194" s="94" t="s">
        <v>598</v>
      </c>
      <c r="C1194" s="95" t="s">
        <v>76</v>
      </c>
      <c r="D1194" s="96" t="s">
        <v>84</v>
      </c>
      <c r="E1194" s="97">
        <v>55957</v>
      </c>
      <c r="F1194" s="97">
        <v>1890</v>
      </c>
      <c r="G1194" s="97">
        <v>4477</v>
      </c>
      <c r="H1194" s="114">
        <v>27.338694135951357</v>
      </c>
      <c r="I1194" s="125">
        <v>20577</v>
      </c>
      <c r="J1194" s="115">
        <v>23.435151518008862</v>
      </c>
    </row>
    <row r="1195" spans="1:10" ht="16">
      <c r="A1195" s="100" t="s">
        <v>375</v>
      </c>
      <c r="B1195" s="101" t="s">
        <v>369</v>
      </c>
      <c r="C1195" s="102" t="s">
        <v>76</v>
      </c>
      <c r="D1195" s="103" t="s">
        <v>84</v>
      </c>
      <c r="E1195" s="104">
        <v>12785</v>
      </c>
      <c r="F1195" s="104">
        <v>784</v>
      </c>
      <c r="G1195" s="104">
        <v>767</v>
      </c>
      <c r="H1195" s="116">
        <v>31.138898160843112</v>
      </c>
      <c r="I1195" s="126">
        <v>22733</v>
      </c>
      <c r="J1195" s="117">
        <v>27.149821890130355</v>
      </c>
    </row>
    <row r="1196" spans="1:10" ht="16">
      <c r="A1196" s="93" t="s">
        <v>829</v>
      </c>
      <c r="B1196" s="94" t="s">
        <v>820</v>
      </c>
      <c r="C1196" s="95" t="s">
        <v>107</v>
      </c>
      <c r="D1196" s="96" t="s">
        <v>59</v>
      </c>
      <c r="E1196" s="97">
        <v>7584</v>
      </c>
      <c r="F1196" s="97">
        <v>546</v>
      </c>
      <c r="G1196" s="97">
        <v>2427</v>
      </c>
      <c r="H1196" s="114">
        <v>47.703468168538542</v>
      </c>
      <c r="I1196" s="125">
        <v>26081</v>
      </c>
      <c r="J1196" s="115">
        <v>35.843274907211708</v>
      </c>
    </row>
    <row r="1197" spans="1:10" ht="16">
      <c r="A1197" s="100" t="s">
        <v>635</v>
      </c>
      <c r="B1197" s="101" t="s">
        <v>598</v>
      </c>
      <c r="C1197" s="102" t="s">
        <v>76</v>
      </c>
      <c r="D1197" s="103" t="s">
        <v>63</v>
      </c>
      <c r="E1197" s="104">
        <v>11793</v>
      </c>
      <c r="F1197" s="104">
        <v>663</v>
      </c>
      <c r="G1197" s="104">
        <v>826</v>
      </c>
      <c r="H1197" s="116">
        <v>16.171743902448817</v>
      </c>
      <c r="I1197" s="126">
        <v>11193</v>
      </c>
      <c r="J1197" s="117">
        <v>26.209512124576637</v>
      </c>
    </row>
    <row r="1198" spans="1:10" ht="16">
      <c r="A1198" s="93" t="s">
        <v>1016</v>
      </c>
      <c r="B1198" s="94" t="s">
        <v>988</v>
      </c>
      <c r="C1198" s="95" t="s">
        <v>107</v>
      </c>
      <c r="D1198" s="96" t="s">
        <v>61</v>
      </c>
      <c r="E1198" s="97">
        <v>12730</v>
      </c>
      <c r="F1198" s="97">
        <v>1107</v>
      </c>
      <c r="G1198" s="97">
        <v>382</v>
      </c>
      <c r="H1198" s="114">
        <v>24.266118896461254</v>
      </c>
      <c r="I1198" s="125">
        <v>14565</v>
      </c>
      <c r="J1198" s="115">
        <v>20.609822408348794</v>
      </c>
    </row>
    <row r="1199" spans="1:10" ht="16">
      <c r="A1199" s="100" t="s">
        <v>636</v>
      </c>
      <c r="B1199" s="101" t="s">
        <v>598</v>
      </c>
      <c r="C1199" s="102" t="s">
        <v>76</v>
      </c>
      <c r="D1199" s="103" t="s">
        <v>62</v>
      </c>
      <c r="E1199" s="104">
        <v>14278</v>
      </c>
      <c r="F1199" s="104">
        <v>361</v>
      </c>
      <c r="G1199" s="104">
        <v>857</v>
      </c>
      <c r="H1199" s="116">
        <v>14.930310401414099</v>
      </c>
      <c r="I1199" s="126">
        <v>13045</v>
      </c>
      <c r="J1199" s="117">
        <v>17.791924301788093</v>
      </c>
    </row>
    <row r="1200" spans="1:10" ht="16">
      <c r="A1200" s="93" t="s">
        <v>1442</v>
      </c>
      <c r="B1200" s="94" t="s">
        <v>1288</v>
      </c>
      <c r="C1200" s="95" t="s">
        <v>107</v>
      </c>
      <c r="D1200" s="96" t="s">
        <v>63</v>
      </c>
      <c r="E1200" s="97">
        <v>30365</v>
      </c>
      <c r="F1200" s="97">
        <v>2138</v>
      </c>
      <c r="G1200" s="97">
        <v>2429</v>
      </c>
      <c r="H1200" s="114">
        <v>35.186342026725896</v>
      </c>
      <c r="I1200" s="125">
        <v>30114</v>
      </c>
      <c r="J1200" s="115">
        <v>39.543501073509134</v>
      </c>
    </row>
    <row r="1201" spans="1:10" ht="16">
      <c r="A1201" s="100" t="s">
        <v>1053</v>
      </c>
      <c r="B1201" s="101" t="s">
        <v>1020</v>
      </c>
      <c r="C1201" s="102" t="s">
        <v>76</v>
      </c>
      <c r="D1201" s="103" t="s">
        <v>61</v>
      </c>
      <c r="E1201" s="104">
        <v>50311</v>
      </c>
      <c r="F1201" s="104">
        <v>3377</v>
      </c>
      <c r="G1201" s="104">
        <v>6037</v>
      </c>
      <c r="H1201" s="116">
        <v>21.563719544311461</v>
      </c>
      <c r="I1201" s="126">
        <v>14750</v>
      </c>
      <c r="J1201" s="117">
        <v>25.07550729548484</v>
      </c>
    </row>
    <row r="1202" spans="1:10" ht="16">
      <c r="A1202" s="93" t="s">
        <v>1054</v>
      </c>
      <c r="B1202" s="94" t="s">
        <v>1020</v>
      </c>
      <c r="C1202" s="95" t="s">
        <v>76</v>
      </c>
      <c r="D1202" s="96" t="s">
        <v>80</v>
      </c>
      <c r="E1202" s="97">
        <v>23232</v>
      </c>
      <c r="F1202" s="97">
        <v>1889</v>
      </c>
      <c r="G1202" s="97">
        <v>1394</v>
      </c>
      <c r="H1202" s="114">
        <v>12.786797544911645</v>
      </c>
      <c r="I1202" s="125">
        <v>2745</v>
      </c>
      <c r="J1202" s="115">
        <v>22.056752942758905</v>
      </c>
    </row>
    <row r="1203" spans="1:10" ht="16">
      <c r="A1203" s="100" t="s">
        <v>871</v>
      </c>
      <c r="B1203" s="101" t="s">
        <v>858</v>
      </c>
      <c r="C1203" s="102" t="s">
        <v>107</v>
      </c>
      <c r="D1203" s="103" t="s">
        <v>92</v>
      </c>
      <c r="E1203" s="104">
        <v>5794</v>
      </c>
      <c r="F1203" s="104">
        <v>203</v>
      </c>
      <c r="G1203" s="104">
        <v>58</v>
      </c>
      <c r="H1203" s="116">
        <v>11.013901363475192</v>
      </c>
      <c r="I1203" s="126">
        <v>904</v>
      </c>
      <c r="J1203" s="117">
        <v>15.452263602618752</v>
      </c>
    </row>
    <row r="1204" spans="1:10" ht="16">
      <c r="A1204" s="93" t="s">
        <v>206</v>
      </c>
      <c r="B1204" s="94" t="s">
        <v>184</v>
      </c>
      <c r="C1204" s="95" t="s">
        <v>76</v>
      </c>
      <c r="D1204" s="96" t="s">
        <v>63</v>
      </c>
      <c r="E1204" s="97">
        <v>21169</v>
      </c>
      <c r="F1204" s="97">
        <v>824</v>
      </c>
      <c r="G1204" s="97">
        <v>4234</v>
      </c>
      <c r="H1204" s="114">
        <v>16.040187750000353</v>
      </c>
      <c r="I1204" s="125">
        <v>11275</v>
      </c>
      <c r="J1204" s="115">
        <v>23.848593852469286</v>
      </c>
    </row>
    <row r="1205" spans="1:10" ht="16">
      <c r="A1205" s="100" t="s">
        <v>137</v>
      </c>
      <c r="B1205" s="101" t="s">
        <v>127</v>
      </c>
      <c r="C1205" s="102" t="s">
        <v>76</v>
      </c>
      <c r="D1205" s="103" t="s">
        <v>77</v>
      </c>
      <c r="E1205" s="104">
        <v>33547</v>
      </c>
      <c r="F1205" s="104">
        <v>835</v>
      </c>
      <c r="G1205" s="104">
        <v>9058</v>
      </c>
      <c r="H1205" s="116">
        <v>55.719703985720116</v>
      </c>
      <c r="I1205" s="126">
        <v>35814</v>
      </c>
      <c r="J1205" s="117">
        <v>48.567018846133088</v>
      </c>
    </row>
    <row r="1206" spans="1:10" ht="16">
      <c r="A1206" s="93" t="s">
        <v>1055</v>
      </c>
      <c r="B1206" s="94" t="s">
        <v>1020</v>
      </c>
      <c r="C1206" s="95" t="s">
        <v>107</v>
      </c>
      <c r="D1206" s="96" t="s">
        <v>77</v>
      </c>
      <c r="E1206" s="97">
        <v>18652</v>
      </c>
      <c r="F1206" s="97">
        <v>1137</v>
      </c>
      <c r="G1206" s="97">
        <v>933</v>
      </c>
      <c r="H1206" s="114">
        <v>15.419468793241073</v>
      </c>
      <c r="I1206" s="125">
        <v>5816</v>
      </c>
      <c r="J1206" s="115">
        <v>18.199798732422991</v>
      </c>
    </row>
    <row r="1207" spans="1:10" ht="16">
      <c r="A1207" s="100" t="s">
        <v>1443</v>
      </c>
      <c r="B1207" s="101" t="s">
        <v>1288</v>
      </c>
      <c r="C1207" s="102" t="s">
        <v>76</v>
      </c>
      <c r="D1207" s="103" t="s">
        <v>130</v>
      </c>
      <c r="E1207" s="104">
        <v>23116</v>
      </c>
      <c r="F1207" s="104">
        <v>2688</v>
      </c>
      <c r="G1207" s="104">
        <v>2774</v>
      </c>
      <c r="H1207" s="116">
        <v>44.087631770234914</v>
      </c>
      <c r="I1207" s="126">
        <v>39874</v>
      </c>
      <c r="J1207" s="117">
        <v>54.502792564415962</v>
      </c>
    </row>
    <row r="1208" spans="1:10" ht="16">
      <c r="A1208" s="93" t="s">
        <v>840</v>
      </c>
      <c r="B1208" s="94" t="s">
        <v>834</v>
      </c>
      <c r="C1208" s="95" t="s">
        <v>76</v>
      </c>
      <c r="D1208" s="96" t="s">
        <v>130</v>
      </c>
      <c r="E1208" s="97">
        <v>9892</v>
      </c>
      <c r="F1208" s="97">
        <v>547</v>
      </c>
      <c r="G1208" s="97">
        <v>1879</v>
      </c>
      <c r="H1208" s="114">
        <v>27.270627216226828</v>
      </c>
      <c r="I1208" s="125">
        <v>12948</v>
      </c>
      <c r="J1208" s="115">
        <v>21.293292842643915</v>
      </c>
    </row>
    <row r="1209" spans="1:10" ht="16">
      <c r="A1209" s="100" t="s">
        <v>889</v>
      </c>
      <c r="B1209" s="101" t="s">
        <v>879</v>
      </c>
      <c r="C1209" s="102" t="s">
        <v>76</v>
      </c>
      <c r="D1209" s="103" t="s">
        <v>84</v>
      </c>
      <c r="E1209" s="104">
        <v>50484</v>
      </c>
      <c r="F1209" s="104">
        <v>3606</v>
      </c>
      <c r="G1209" s="104">
        <v>5048</v>
      </c>
      <c r="H1209" s="116">
        <v>22.007991994525408</v>
      </c>
      <c r="I1209" s="126">
        <v>9017</v>
      </c>
      <c r="J1209" s="117">
        <v>26.636478240284273</v>
      </c>
    </row>
    <row r="1210" spans="1:10" ht="16">
      <c r="A1210" s="93" t="s">
        <v>1283</v>
      </c>
      <c r="B1210" s="94" t="s">
        <v>1190</v>
      </c>
      <c r="C1210" s="95" t="s">
        <v>107</v>
      </c>
      <c r="D1210" s="96" t="s">
        <v>82</v>
      </c>
      <c r="E1210" s="97">
        <v>20599</v>
      </c>
      <c r="F1210" s="97">
        <v>1561</v>
      </c>
      <c r="G1210" s="97">
        <v>8446</v>
      </c>
      <c r="H1210" s="114">
        <v>52.784375828443913</v>
      </c>
      <c r="I1210" s="125">
        <v>46893</v>
      </c>
      <c r="J1210" s="115">
        <v>47.281603444033649</v>
      </c>
    </row>
    <row r="1211" spans="1:10" ht="16">
      <c r="A1211" s="100" t="s">
        <v>1444</v>
      </c>
      <c r="B1211" s="101" t="s">
        <v>1288</v>
      </c>
      <c r="C1211" s="102" t="s">
        <v>76</v>
      </c>
      <c r="D1211" s="103" t="s">
        <v>61</v>
      </c>
      <c r="E1211" s="104">
        <v>45692</v>
      </c>
      <c r="F1211" s="104">
        <v>4116</v>
      </c>
      <c r="G1211" s="104">
        <v>7311</v>
      </c>
      <c r="H1211" s="116">
        <v>82.940926863414461</v>
      </c>
      <c r="I1211" s="126">
        <v>81113</v>
      </c>
      <c r="J1211" s="117">
        <v>72.527080792851436</v>
      </c>
    </row>
    <row r="1212" spans="1:10" ht="16">
      <c r="A1212" s="93" t="s">
        <v>207</v>
      </c>
      <c r="B1212" s="94" t="s">
        <v>184</v>
      </c>
      <c r="C1212" s="95" t="s">
        <v>107</v>
      </c>
      <c r="D1212" s="96" t="s">
        <v>82</v>
      </c>
      <c r="E1212" s="97">
        <v>33519</v>
      </c>
      <c r="F1212" s="97">
        <v>1420</v>
      </c>
      <c r="G1212" s="97">
        <v>6704</v>
      </c>
      <c r="H1212" s="114">
        <v>42.372045453186026</v>
      </c>
      <c r="I1212" s="125">
        <v>28024</v>
      </c>
      <c r="J1212" s="115">
        <v>35.013915843791324</v>
      </c>
    </row>
    <row r="1213" spans="1:10" ht="16">
      <c r="A1213" s="100" t="s">
        <v>333</v>
      </c>
      <c r="B1213" s="101" t="s">
        <v>322</v>
      </c>
      <c r="C1213" s="102" t="s">
        <v>76</v>
      </c>
      <c r="D1213" s="103" t="s">
        <v>61</v>
      </c>
      <c r="E1213" s="104">
        <v>10540</v>
      </c>
      <c r="F1213" s="104">
        <v>693</v>
      </c>
      <c r="G1213" s="104">
        <v>527</v>
      </c>
      <c r="H1213" s="116">
        <v>16.219086190108676</v>
      </c>
      <c r="I1213" s="126">
        <v>2671</v>
      </c>
      <c r="J1213" s="117">
        <v>18.572947538468707</v>
      </c>
    </row>
    <row r="1214" spans="1:10" ht="16">
      <c r="A1214" s="93" t="s">
        <v>121</v>
      </c>
      <c r="B1214" s="94" t="s">
        <v>89</v>
      </c>
      <c r="C1214" s="95" t="s">
        <v>107</v>
      </c>
      <c r="D1214" s="96" t="s">
        <v>60</v>
      </c>
      <c r="E1214" s="97">
        <v>18400</v>
      </c>
      <c r="F1214" s="97">
        <v>793</v>
      </c>
      <c r="G1214" s="97">
        <v>5336</v>
      </c>
      <c r="H1214" s="114">
        <v>44.036418610507731</v>
      </c>
      <c r="I1214" s="125">
        <v>40070</v>
      </c>
      <c r="J1214" s="115">
        <v>32.687845683950378</v>
      </c>
    </row>
    <row r="1215" spans="1:10" ht="16">
      <c r="A1215" s="100" t="s">
        <v>1284</v>
      </c>
      <c r="B1215" s="101" t="s">
        <v>1190</v>
      </c>
      <c r="C1215" s="102" t="s">
        <v>76</v>
      </c>
      <c r="D1215" s="103" t="s">
        <v>59</v>
      </c>
      <c r="E1215" s="104">
        <v>16401</v>
      </c>
      <c r="F1215" s="104">
        <v>943</v>
      </c>
      <c r="G1215" s="104">
        <v>7544</v>
      </c>
      <c r="H1215" s="116">
        <v>17.076420945448834</v>
      </c>
      <c r="I1215" s="126">
        <v>6072</v>
      </c>
      <c r="J1215" s="117">
        <v>19.146030206140811</v>
      </c>
    </row>
    <row r="1216" spans="1:10" ht="16">
      <c r="A1216" s="93" t="s">
        <v>208</v>
      </c>
      <c r="B1216" s="94" t="s">
        <v>184</v>
      </c>
      <c r="C1216" s="95" t="s">
        <v>76</v>
      </c>
      <c r="D1216" s="96" t="s">
        <v>80</v>
      </c>
      <c r="E1216" s="97">
        <v>13140</v>
      </c>
      <c r="F1216" s="97">
        <v>453</v>
      </c>
      <c r="G1216" s="97">
        <v>3022</v>
      </c>
      <c r="H1216" s="114">
        <v>26.883103594544401</v>
      </c>
      <c r="I1216" s="125">
        <v>9013</v>
      </c>
      <c r="J1216" s="115">
        <v>34.486619256580958</v>
      </c>
    </row>
    <row r="1217" spans="1:10" ht="16">
      <c r="A1217" s="100" t="s">
        <v>1445</v>
      </c>
      <c r="B1217" s="101" t="s">
        <v>1288</v>
      </c>
      <c r="C1217" s="102" t="s">
        <v>107</v>
      </c>
      <c r="D1217" s="103" t="s">
        <v>92</v>
      </c>
      <c r="E1217" s="104">
        <v>39154</v>
      </c>
      <c r="F1217" s="104">
        <v>3915</v>
      </c>
      <c r="G1217" s="104">
        <v>5090</v>
      </c>
      <c r="H1217" s="116">
        <v>70.821381510164528</v>
      </c>
      <c r="I1217" s="126">
        <v>60002</v>
      </c>
      <c r="J1217" s="117">
        <v>69.492929858071051</v>
      </c>
    </row>
    <row r="1218" spans="1:10" ht="16">
      <c r="A1218" s="93" t="s">
        <v>1446</v>
      </c>
      <c r="B1218" s="94" t="s">
        <v>1288</v>
      </c>
      <c r="C1218" s="95" t="s">
        <v>76</v>
      </c>
      <c r="D1218" s="96" t="s">
        <v>77</v>
      </c>
      <c r="E1218" s="97">
        <v>20874</v>
      </c>
      <c r="F1218" s="97">
        <v>1082</v>
      </c>
      <c r="G1218" s="97">
        <v>1252</v>
      </c>
      <c r="H1218" s="114">
        <v>23.533198060812797</v>
      </c>
      <c r="I1218" s="125">
        <v>15341</v>
      </c>
      <c r="J1218" s="115">
        <v>21.853106906160306</v>
      </c>
    </row>
    <row r="1219" spans="1:10" ht="16">
      <c r="A1219" s="100" t="s">
        <v>122</v>
      </c>
      <c r="B1219" s="101" t="s">
        <v>89</v>
      </c>
      <c r="C1219" s="102" t="s">
        <v>76</v>
      </c>
      <c r="D1219" s="103" t="s">
        <v>63</v>
      </c>
      <c r="E1219" s="104">
        <v>18642</v>
      </c>
      <c r="F1219" s="104">
        <v>592</v>
      </c>
      <c r="G1219" s="104">
        <v>5406</v>
      </c>
      <c r="H1219" s="116">
        <v>35.525717488363831</v>
      </c>
      <c r="I1219" s="126">
        <v>26545</v>
      </c>
      <c r="J1219" s="117">
        <v>30.051451309151233</v>
      </c>
    </row>
    <row r="1220" spans="1:10" ht="16">
      <c r="A1220" s="93" t="s">
        <v>1285</v>
      </c>
      <c r="B1220" s="94" t="s">
        <v>1190</v>
      </c>
      <c r="C1220" s="95" t="s">
        <v>76</v>
      </c>
      <c r="D1220" s="96" t="s">
        <v>130</v>
      </c>
      <c r="E1220" s="97">
        <v>15687</v>
      </c>
      <c r="F1220" s="97">
        <v>769</v>
      </c>
      <c r="G1220" s="97">
        <v>3294</v>
      </c>
      <c r="H1220" s="114">
        <v>13.311706387408233</v>
      </c>
      <c r="I1220" s="125">
        <v>4720</v>
      </c>
      <c r="J1220" s="115">
        <v>15.868564678636</v>
      </c>
    </row>
    <row r="1221" spans="1:10" ht="16">
      <c r="A1221" s="100" t="s">
        <v>444</v>
      </c>
      <c r="B1221" s="101" t="s">
        <v>402</v>
      </c>
      <c r="C1221" s="102" t="s">
        <v>76</v>
      </c>
      <c r="D1221" s="103" t="s">
        <v>61</v>
      </c>
      <c r="E1221" s="104">
        <v>23343</v>
      </c>
      <c r="F1221" s="104">
        <v>418</v>
      </c>
      <c r="G1221" s="104">
        <v>2568</v>
      </c>
      <c r="H1221" s="116">
        <v>17.901391928333929</v>
      </c>
      <c r="I1221" s="126">
        <v>10891</v>
      </c>
      <c r="J1221" s="117">
        <v>25.668543215576033</v>
      </c>
    </row>
    <row r="1222" spans="1:10" ht="16">
      <c r="A1222" s="93" t="s">
        <v>745</v>
      </c>
      <c r="B1222" s="94" t="s">
        <v>642</v>
      </c>
      <c r="C1222" s="95" t="s">
        <v>107</v>
      </c>
      <c r="D1222" s="96" t="s">
        <v>60</v>
      </c>
      <c r="E1222" s="97">
        <v>4659</v>
      </c>
      <c r="F1222" s="97">
        <v>740</v>
      </c>
      <c r="G1222" s="97">
        <v>186</v>
      </c>
      <c r="H1222" s="114">
        <v>11.450653838563008</v>
      </c>
      <c r="I1222" s="125">
        <v>2795</v>
      </c>
      <c r="J1222" s="115">
        <v>24.408119167278727</v>
      </c>
    </row>
    <row r="1223" spans="1:10" ht="16">
      <c r="A1223" s="100" t="s">
        <v>1286</v>
      </c>
      <c r="B1223" s="101" t="s">
        <v>1190</v>
      </c>
      <c r="C1223" s="102" t="s">
        <v>76</v>
      </c>
      <c r="D1223" s="103" t="s">
        <v>63</v>
      </c>
      <c r="E1223" s="104">
        <v>16058</v>
      </c>
      <c r="F1223" s="104">
        <v>1078</v>
      </c>
      <c r="G1223" s="104">
        <v>3854</v>
      </c>
      <c r="H1223" s="116">
        <v>47.166467471534517</v>
      </c>
      <c r="I1223" s="126">
        <v>39712</v>
      </c>
      <c r="J1223" s="117">
        <v>41.245597936573539</v>
      </c>
    </row>
    <row r="1224" spans="1:10" ht="16">
      <c r="A1224" s="93" t="s">
        <v>315</v>
      </c>
      <c r="B1224" s="94" t="s">
        <v>314</v>
      </c>
      <c r="C1224" s="95" t="s">
        <v>76</v>
      </c>
      <c r="D1224" s="96" t="s">
        <v>63</v>
      </c>
      <c r="E1224" s="97">
        <v>68216</v>
      </c>
      <c r="F1224" s="97">
        <v>3609</v>
      </c>
      <c r="G1224" s="97">
        <v>2046</v>
      </c>
      <c r="H1224" s="114">
        <v>13.112883403593706</v>
      </c>
      <c r="I1224" s="125">
        <v>3347</v>
      </c>
      <c r="J1224" s="115">
        <v>18.789915728181175</v>
      </c>
    </row>
    <row r="1225" spans="1:10" ht="16">
      <c r="A1225" s="100" t="s">
        <v>573</v>
      </c>
      <c r="B1225" s="101" t="s">
        <v>537</v>
      </c>
      <c r="C1225" s="102" t="s">
        <v>76</v>
      </c>
      <c r="D1225" s="103" t="s">
        <v>61</v>
      </c>
      <c r="E1225" s="104">
        <v>9980</v>
      </c>
      <c r="F1225" s="104">
        <v>398</v>
      </c>
      <c r="G1225" s="104">
        <v>459</v>
      </c>
      <c r="H1225" s="116">
        <v>12.516513027764006</v>
      </c>
      <c r="I1225" s="126">
        <v>3601</v>
      </c>
      <c r="J1225" s="117">
        <v>17.58394796498682</v>
      </c>
    </row>
    <row r="1226" spans="1:10" ht="16">
      <c r="A1226" s="93" t="s">
        <v>1056</v>
      </c>
      <c r="B1226" s="94" t="s">
        <v>1020</v>
      </c>
      <c r="C1226" s="95" t="s">
        <v>76</v>
      </c>
      <c r="D1226" s="96" t="s">
        <v>59</v>
      </c>
      <c r="E1226" s="97">
        <v>28211</v>
      </c>
      <c r="F1226" s="97">
        <v>2739</v>
      </c>
      <c r="G1226" s="97">
        <v>1693</v>
      </c>
      <c r="H1226" s="114">
        <v>13.449380211417274</v>
      </c>
      <c r="I1226" s="125">
        <v>5951</v>
      </c>
      <c r="J1226" s="115">
        <v>22.755285892968665</v>
      </c>
    </row>
    <row r="1227" spans="1:10" ht="16">
      <c r="A1227" s="100" t="s">
        <v>1079</v>
      </c>
      <c r="B1227" s="101" t="s">
        <v>1072</v>
      </c>
      <c r="C1227" s="102" t="s">
        <v>76</v>
      </c>
      <c r="D1227" s="103" t="s">
        <v>59</v>
      </c>
      <c r="E1227" s="104">
        <v>22609</v>
      </c>
      <c r="F1227" s="104">
        <v>1838</v>
      </c>
      <c r="G1227" s="104">
        <v>4748</v>
      </c>
      <c r="H1227" s="116">
        <v>47.123286732497967</v>
      </c>
      <c r="I1227" s="126">
        <v>41269</v>
      </c>
      <c r="J1227" s="117">
        <v>47.968536400910239</v>
      </c>
    </row>
    <row r="1228" spans="1:10" ht="16">
      <c r="A1228" s="93" t="s">
        <v>1057</v>
      </c>
      <c r="B1228" s="94" t="s">
        <v>1020</v>
      </c>
      <c r="C1228" s="95" t="s">
        <v>76</v>
      </c>
      <c r="D1228" s="96" t="s">
        <v>61</v>
      </c>
      <c r="E1228" s="97">
        <v>42079</v>
      </c>
      <c r="F1228" s="97">
        <v>1670</v>
      </c>
      <c r="G1228" s="97">
        <v>4629</v>
      </c>
      <c r="H1228" s="114">
        <v>10.94395685032325</v>
      </c>
      <c r="I1228" s="125">
        <v>4454</v>
      </c>
      <c r="J1228" s="115">
        <v>19.210408856240292</v>
      </c>
    </row>
    <row r="1229" spans="1:10" ht="16">
      <c r="A1229" s="100" t="s">
        <v>123</v>
      </c>
      <c r="B1229" s="101" t="s">
        <v>89</v>
      </c>
      <c r="C1229" s="102" t="s">
        <v>107</v>
      </c>
      <c r="D1229" s="103" t="s">
        <v>80</v>
      </c>
      <c r="E1229" s="104">
        <v>44336</v>
      </c>
      <c r="F1229" s="104">
        <v>1242</v>
      </c>
      <c r="G1229" s="104">
        <v>18178</v>
      </c>
      <c r="H1229" s="116">
        <v>58.562976675945187</v>
      </c>
      <c r="I1229" s="126">
        <v>48343</v>
      </c>
      <c r="J1229" s="117">
        <v>50.327187854617954</v>
      </c>
    </row>
    <row r="1230" spans="1:10" ht="16">
      <c r="A1230" s="93" t="s">
        <v>1070</v>
      </c>
      <c r="B1230" s="94" t="s">
        <v>1062</v>
      </c>
      <c r="C1230" s="95" t="s">
        <v>76</v>
      </c>
      <c r="D1230" s="96" t="s">
        <v>92</v>
      </c>
      <c r="E1230" s="97">
        <v>25438</v>
      </c>
      <c r="F1230" s="97">
        <v>1523</v>
      </c>
      <c r="G1230" s="97">
        <v>3816</v>
      </c>
      <c r="H1230" s="114">
        <v>57.2281725506299</v>
      </c>
      <c r="I1230" s="125">
        <v>47958</v>
      </c>
      <c r="J1230" s="115">
        <v>41.772343322097129</v>
      </c>
    </row>
    <row r="1231" spans="1:10" ht="16">
      <c r="A1231" s="100" t="s">
        <v>955</v>
      </c>
      <c r="B1231" s="101" t="s">
        <v>919</v>
      </c>
      <c r="C1231" s="102" t="s">
        <v>107</v>
      </c>
      <c r="D1231" s="103" t="s">
        <v>82</v>
      </c>
      <c r="E1231" s="104">
        <v>25000</v>
      </c>
      <c r="F1231" s="104">
        <v>2155</v>
      </c>
      <c r="G1231" s="104">
        <v>2750</v>
      </c>
      <c r="H1231" s="116">
        <v>17.048621416539131</v>
      </c>
      <c r="I1231" s="126">
        <v>2219</v>
      </c>
      <c r="J1231" s="117">
        <v>23.859810943227199</v>
      </c>
    </row>
    <row r="1232" spans="1:10" ht="16">
      <c r="A1232" s="93" t="s">
        <v>574</v>
      </c>
      <c r="B1232" s="94" t="s">
        <v>537</v>
      </c>
      <c r="C1232" s="95" t="s">
        <v>107</v>
      </c>
      <c r="D1232" s="96" t="s">
        <v>62</v>
      </c>
      <c r="E1232" s="97">
        <v>13500</v>
      </c>
      <c r="F1232" s="97">
        <v>472</v>
      </c>
      <c r="G1232" s="97">
        <v>620</v>
      </c>
      <c r="H1232" s="114">
        <v>13.400164288455871</v>
      </c>
      <c r="I1232" s="125">
        <v>2445</v>
      </c>
      <c r="J1232" s="115">
        <v>20.598426499445292</v>
      </c>
    </row>
    <row r="1233" spans="1:10" ht="16">
      <c r="A1233" s="100" t="s">
        <v>830</v>
      </c>
      <c r="B1233" s="101" t="s">
        <v>820</v>
      </c>
      <c r="C1233" s="102" t="s">
        <v>76</v>
      </c>
      <c r="D1233" s="103" t="s">
        <v>77</v>
      </c>
      <c r="E1233" s="104">
        <v>31833</v>
      </c>
      <c r="F1233" s="104">
        <v>2242</v>
      </c>
      <c r="G1233" s="104">
        <v>2865</v>
      </c>
      <c r="H1233" s="116">
        <v>61.762811568446338</v>
      </c>
      <c r="I1233" s="126">
        <v>54180</v>
      </c>
      <c r="J1233" s="117">
        <v>44.162779243300697</v>
      </c>
    </row>
    <row r="1234" spans="1:10" ht="16">
      <c r="A1234" s="93" t="s">
        <v>746</v>
      </c>
      <c r="B1234" s="94" t="s">
        <v>642</v>
      </c>
      <c r="C1234" s="95" t="s">
        <v>107</v>
      </c>
      <c r="D1234" s="96" t="s">
        <v>77</v>
      </c>
      <c r="E1234" s="97">
        <v>4872</v>
      </c>
      <c r="F1234" s="97">
        <v>364</v>
      </c>
      <c r="G1234" s="97">
        <v>195</v>
      </c>
      <c r="H1234" s="114">
        <v>11.017453134038654</v>
      </c>
      <c r="I1234" s="125">
        <v>666</v>
      </c>
      <c r="J1234" s="115">
        <v>18.660339850379547</v>
      </c>
    </row>
    <row r="1235" spans="1:10" ht="16">
      <c r="A1235" s="100" t="s">
        <v>1183</v>
      </c>
      <c r="B1235" s="101" t="s">
        <v>1178</v>
      </c>
      <c r="C1235" s="102" t="s">
        <v>107</v>
      </c>
      <c r="D1235" s="103" t="s">
        <v>80</v>
      </c>
      <c r="E1235" s="104">
        <v>17109</v>
      </c>
      <c r="F1235" s="104">
        <v>1880</v>
      </c>
      <c r="G1235" s="104">
        <v>4277</v>
      </c>
      <c r="H1235" s="116">
        <v>9.7172635954443312</v>
      </c>
      <c r="I1235" s="126">
        <v>860</v>
      </c>
      <c r="J1235" s="117">
        <v>21.015013555373525</v>
      </c>
    </row>
    <row r="1236" spans="1:10" ht="16">
      <c r="A1236" s="93" t="s">
        <v>1447</v>
      </c>
      <c r="B1236" s="94" t="s">
        <v>1288</v>
      </c>
      <c r="C1236" s="95" t="s">
        <v>76</v>
      </c>
      <c r="D1236" s="96" t="s">
        <v>61</v>
      </c>
      <c r="E1236" s="97">
        <v>12006</v>
      </c>
      <c r="F1236" s="97">
        <v>4002</v>
      </c>
      <c r="G1236" s="97">
        <v>1681</v>
      </c>
      <c r="H1236" s="114">
        <v>42.633752603495964</v>
      </c>
      <c r="I1236" s="125">
        <v>40296</v>
      </c>
      <c r="J1236" s="115">
        <v>48.750915977687519</v>
      </c>
    </row>
    <row r="1237" spans="1:10" ht="16">
      <c r="A1237" s="100" t="s">
        <v>637</v>
      </c>
      <c r="B1237" s="101" t="s">
        <v>598</v>
      </c>
      <c r="C1237" s="102" t="s">
        <v>76</v>
      </c>
      <c r="D1237" s="103" t="s">
        <v>59</v>
      </c>
      <c r="E1237" s="104">
        <v>19873</v>
      </c>
      <c r="F1237" s="104">
        <v>723</v>
      </c>
      <c r="G1237" s="104">
        <v>994</v>
      </c>
      <c r="H1237" s="116">
        <v>20.622168122627439</v>
      </c>
      <c r="I1237" s="126">
        <v>12981</v>
      </c>
      <c r="J1237" s="117">
        <v>31.588618536734668</v>
      </c>
    </row>
    <row r="1238" spans="1:10" ht="16">
      <c r="A1238" s="93" t="s">
        <v>124</v>
      </c>
      <c r="B1238" s="94" t="s">
        <v>89</v>
      </c>
      <c r="C1238" s="95" t="s">
        <v>76</v>
      </c>
      <c r="D1238" s="96" t="s">
        <v>59</v>
      </c>
      <c r="E1238" s="97">
        <v>14815</v>
      </c>
      <c r="F1238" s="97">
        <v>460</v>
      </c>
      <c r="G1238" s="97">
        <v>3407</v>
      </c>
      <c r="H1238" s="114">
        <v>26.561006770265195</v>
      </c>
      <c r="I1238" s="125">
        <v>19663</v>
      </c>
      <c r="J1238" s="115">
        <v>24.877636978751045</v>
      </c>
    </row>
    <row r="1239" spans="1:10" ht="16">
      <c r="A1239" s="100" t="s">
        <v>841</v>
      </c>
      <c r="B1239" s="101" t="s">
        <v>834</v>
      </c>
      <c r="C1239" s="102" t="s">
        <v>76</v>
      </c>
      <c r="D1239" s="103" t="s">
        <v>80</v>
      </c>
      <c r="E1239" s="104">
        <v>17442</v>
      </c>
      <c r="F1239" s="104">
        <v>923</v>
      </c>
      <c r="G1239" s="104">
        <v>3663</v>
      </c>
      <c r="H1239" s="116">
        <v>32.583411678106657</v>
      </c>
      <c r="I1239" s="126">
        <v>14557</v>
      </c>
      <c r="J1239" s="117">
        <v>23.689614436469501</v>
      </c>
    </row>
    <row r="1240" spans="1:10" ht="16">
      <c r="A1240" s="93" t="s">
        <v>138</v>
      </c>
      <c r="B1240" s="94" t="s">
        <v>127</v>
      </c>
      <c r="C1240" s="95" t="s">
        <v>107</v>
      </c>
      <c r="D1240" s="96" t="s">
        <v>59</v>
      </c>
      <c r="E1240" s="97">
        <v>10464</v>
      </c>
      <c r="F1240" s="97">
        <v>526</v>
      </c>
      <c r="G1240" s="97">
        <v>3035</v>
      </c>
      <c r="H1240" s="114">
        <v>36.831960590615019</v>
      </c>
      <c r="I1240" s="125">
        <v>16824</v>
      </c>
      <c r="J1240" s="115">
        <v>39.237484893202968</v>
      </c>
    </row>
    <row r="1241" spans="1:10" ht="16">
      <c r="A1241" s="100" t="s">
        <v>1462</v>
      </c>
      <c r="B1241" s="101" t="s">
        <v>1461</v>
      </c>
      <c r="C1241" s="102" t="s">
        <v>76</v>
      </c>
      <c r="D1241" s="103" t="s">
        <v>84</v>
      </c>
      <c r="E1241" s="104">
        <v>63479</v>
      </c>
      <c r="F1241" s="104">
        <v>2925</v>
      </c>
      <c r="G1241" s="104">
        <v>635</v>
      </c>
      <c r="H1241" s="116">
        <v>8.874805216387097</v>
      </c>
      <c r="I1241" s="126">
        <v>1452</v>
      </c>
      <c r="J1241" s="117">
        <v>14.857003436652219</v>
      </c>
    </row>
    <row r="1242" spans="1:10" ht="16">
      <c r="A1242" s="93" t="s">
        <v>1463</v>
      </c>
      <c r="B1242" s="94" t="s">
        <v>1461</v>
      </c>
      <c r="C1242" s="95" t="s">
        <v>76</v>
      </c>
      <c r="D1242" s="96" t="s">
        <v>77</v>
      </c>
      <c r="E1242" s="97">
        <v>32944</v>
      </c>
      <c r="F1242" s="97">
        <v>2459</v>
      </c>
      <c r="G1242" s="97">
        <v>329</v>
      </c>
      <c r="H1242" s="114">
        <v>9.2575160053138408</v>
      </c>
      <c r="I1242" s="125">
        <v>3591</v>
      </c>
      <c r="J1242" s="115">
        <v>22.491492797601602</v>
      </c>
    </row>
    <row r="1243" spans="1:10" ht="16">
      <c r="A1243" s="100" t="s">
        <v>774</v>
      </c>
      <c r="B1243" s="101" t="s">
        <v>773</v>
      </c>
      <c r="C1243" s="102" t="s">
        <v>107</v>
      </c>
      <c r="D1243" s="103" t="s">
        <v>92</v>
      </c>
      <c r="E1243" s="104">
        <v>9551</v>
      </c>
      <c r="F1243" s="104">
        <v>677</v>
      </c>
      <c r="G1243" s="104">
        <v>955</v>
      </c>
      <c r="H1243" s="116">
        <v>13.227194509584962</v>
      </c>
      <c r="I1243" s="126">
        <v>3980</v>
      </c>
      <c r="J1243" s="117">
        <v>16.468425866992053</v>
      </c>
    </row>
    <row r="1244" spans="1:10" ht="16">
      <c r="A1244" s="93" t="s">
        <v>775</v>
      </c>
      <c r="B1244" s="94" t="s">
        <v>773</v>
      </c>
      <c r="C1244" s="95" t="s">
        <v>76</v>
      </c>
      <c r="D1244" s="96" t="s">
        <v>60</v>
      </c>
      <c r="E1244" s="97">
        <v>16216</v>
      </c>
      <c r="F1244" s="97">
        <v>1501</v>
      </c>
      <c r="G1244" s="97">
        <v>1459</v>
      </c>
      <c r="H1244" s="114">
        <v>14.43790601754753</v>
      </c>
      <c r="I1244" s="125">
        <v>5368</v>
      </c>
      <c r="J1244" s="115">
        <v>20.166572550590921</v>
      </c>
    </row>
    <row r="1245" spans="1:10" ht="16">
      <c r="A1245" s="100" t="s">
        <v>1448</v>
      </c>
      <c r="B1245" s="101" t="s">
        <v>1288</v>
      </c>
      <c r="C1245" s="102" t="s">
        <v>107</v>
      </c>
      <c r="D1245" s="103" t="s">
        <v>59</v>
      </c>
      <c r="E1245" s="104">
        <v>32838</v>
      </c>
      <c r="F1245" s="104">
        <v>1794</v>
      </c>
      <c r="G1245" s="104">
        <v>4597</v>
      </c>
      <c r="H1245" s="116">
        <v>42.407907101645357</v>
      </c>
      <c r="I1245" s="126">
        <v>30097</v>
      </c>
      <c r="J1245" s="117">
        <v>38.421229321152367</v>
      </c>
    </row>
    <row r="1246" spans="1:10" ht="16">
      <c r="A1246" s="93" t="s">
        <v>528</v>
      </c>
      <c r="B1246" s="94" t="s">
        <v>474</v>
      </c>
      <c r="C1246" s="95" t="s">
        <v>107</v>
      </c>
      <c r="D1246" s="96" t="s">
        <v>59</v>
      </c>
      <c r="E1246" s="97">
        <v>33380</v>
      </c>
      <c r="F1246" s="97">
        <v>1677</v>
      </c>
      <c r="G1246" s="97">
        <v>334</v>
      </c>
      <c r="H1246" s="114">
        <v>12.768566406452717</v>
      </c>
      <c r="I1246" s="125">
        <v>5609</v>
      </c>
      <c r="J1246" s="115">
        <v>21.021939851461671</v>
      </c>
    </row>
    <row r="1247" spans="1:10" ht="16">
      <c r="A1247" s="100" t="s">
        <v>638</v>
      </c>
      <c r="B1247" s="101" t="s">
        <v>598</v>
      </c>
      <c r="C1247" s="102" t="s">
        <v>76</v>
      </c>
      <c r="D1247" s="103" t="s">
        <v>80</v>
      </c>
      <c r="E1247" s="104">
        <v>2610</v>
      </c>
      <c r="F1247" s="104">
        <v>244</v>
      </c>
      <c r="G1247" s="104">
        <v>78</v>
      </c>
      <c r="H1247" s="116">
        <v>23.071992402210853</v>
      </c>
      <c r="I1247" s="126">
        <v>21931</v>
      </c>
      <c r="J1247" s="117">
        <v>38.973990245777053</v>
      </c>
    </row>
    <row r="1248" spans="1:10" ht="16">
      <c r="A1248" s="93" t="s">
        <v>956</v>
      </c>
      <c r="B1248" s="94" t="s">
        <v>919</v>
      </c>
      <c r="C1248" s="95" t="s">
        <v>107</v>
      </c>
      <c r="D1248" s="96" t="s">
        <v>77</v>
      </c>
      <c r="E1248" s="97">
        <v>14764</v>
      </c>
      <c r="F1248" s="97">
        <v>984</v>
      </c>
      <c r="G1248" s="97">
        <v>1033</v>
      </c>
      <c r="H1248" s="114">
        <v>9.532744613892854</v>
      </c>
      <c r="I1248" s="125">
        <v>2121</v>
      </c>
      <c r="J1248" s="115">
        <v>16.097424913121987</v>
      </c>
    </row>
    <row r="1249" spans="1:10" ht="16">
      <c r="A1249" s="100" t="s">
        <v>957</v>
      </c>
      <c r="B1249" s="101" t="s">
        <v>919</v>
      </c>
      <c r="C1249" s="102" t="s">
        <v>76</v>
      </c>
      <c r="D1249" s="103" t="s">
        <v>77</v>
      </c>
      <c r="E1249" s="104">
        <v>15246</v>
      </c>
      <c r="F1249" s="104">
        <v>1386</v>
      </c>
      <c r="G1249" s="104">
        <v>1525</v>
      </c>
      <c r="H1249" s="116">
        <v>8.9361454809654681</v>
      </c>
      <c r="I1249" s="126">
        <v>404</v>
      </c>
      <c r="J1249" s="117">
        <v>21.791868648248006</v>
      </c>
    </row>
    <row r="1250" spans="1:10" ht="16">
      <c r="A1250" s="93" t="s">
        <v>831</v>
      </c>
      <c r="B1250" s="94" t="s">
        <v>820</v>
      </c>
      <c r="C1250" s="95" t="s">
        <v>76</v>
      </c>
      <c r="D1250" s="96" t="s">
        <v>63</v>
      </c>
      <c r="E1250" s="97">
        <v>23025</v>
      </c>
      <c r="F1250" s="97">
        <v>1395</v>
      </c>
      <c r="G1250" s="97">
        <v>2303</v>
      </c>
      <c r="H1250" s="114">
        <v>49.015448632788392</v>
      </c>
      <c r="I1250" s="125">
        <v>42596</v>
      </c>
      <c r="J1250" s="115">
        <v>36.456816125575969</v>
      </c>
    </row>
    <row r="1251" spans="1:10" ht="16">
      <c r="A1251" s="100" t="s">
        <v>148</v>
      </c>
      <c r="B1251" s="101" t="s">
        <v>144</v>
      </c>
      <c r="C1251" s="102" t="s">
        <v>76</v>
      </c>
      <c r="D1251" s="103" t="s">
        <v>130</v>
      </c>
      <c r="E1251" s="104">
        <v>11371</v>
      </c>
      <c r="F1251" s="104">
        <v>400</v>
      </c>
      <c r="G1251" s="104">
        <v>2502</v>
      </c>
      <c r="H1251" s="116">
        <v>42.362787356261499</v>
      </c>
      <c r="I1251" s="126">
        <v>26637</v>
      </c>
      <c r="J1251" s="117">
        <v>38.142506335234721</v>
      </c>
    </row>
    <row r="1252" spans="1:10" ht="16">
      <c r="A1252" s="93" t="s">
        <v>334</v>
      </c>
      <c r="B1252" s="94" t="s">
        <v>322</v>
      </c>
      <c r="C1252" s="95" t="s">
        <v>107</v>
      </c>
      <c r="D1252" s="96" t="s">
        <v>60</v>
      </c>
      <c r="E1252" s="97">
        <v>13381</v>
      </c>
      <c r="F1252" s="97">
        <v>910</v>
      </c>
      <c r="G1252" s="97">
        <v>1740</v>
      </c>
      <c r="H1252" s="114">
        <v>13.453351388476344</v>
      </c>
      <c r="I1252" s="125">
        <v>1350</v>
      </c>
      <c r="J1252" s="115">
        <v>19.285804076490315</v>
      </c>
    </row>
    <row r="1253" spans="1:10" ht="16">
      <c r="A1253" s="100" t="s">
        <v>832</v>
      </c>
      <c r="B1253" s="101" t="s">
        <v>820</v>
      </c>
      <c r="C1253" s="102" t="s">
        <v>76</v>
      </c>
      <c r="D1253" s="103" t="s">
        <v>80</v>
      </c>
      <c r="E1253" s="104">
        <v>13914</v>
      </c>
      <c r="F1253" s="104">
        <v>653</v>
      </c>
      <c r="G1253" s="104">
        <v>3757</v>
      </c>
      <c r="H1253" s="116">
        <v>57.125244204470008</v>
      </c>
      <c r="I1253" s="126">
        <v>54934</v>
      </c>
      <c r="J1253" s="117">
        <v>50.212274018257936</v>
      </c>
    </row>
    <row r="1254" spans="1:10" ht="16">
      <c r="A1254" s="93" t="s">
        <v>1449</v>
      </c>
      <c r="B1254" s="94" t="s">
        <v>1288</v>
      </c>
      <c r="C1254" s="95" t="s">
        <v>76</v>
      </c>
      <c r="D1254" s="96" t="s">
        <v>63</v>
      </c>
      <c r="E1254" s="97">
        <v>7675</v>
      </c>
      <c r="F1254" s="97">
        <v>1919</v>
      </c>
      <c r="G1254" s="97">
        <v>691</v>
      </c>
      <c r="H1254" s="114">
        <v>19.43948254775259</v>
      </c>
      <c r="I1254" s="125">
        <v>17713</v>
      </c>
      <c r="J1254" s="115">
        <v>43.437383037460535</v>
      </c>
    </row>
    <row r="1255" spans="1:10" ht="16">
      <c r="A1255" s="100" t="s">
        <v>890</v>
      </c>
      <c r="B1255" s="101" t="s">
        <v>879</v>
      </c>
      <c r="C1255" s="102" t="s">
        <v>107</v>
      </c>
      <c r="D1255" s="103" t="s">
        <v>62</v>
      </c>
      <c r="E1255" s="104">
        <v>29709</v>
      </c>
      <c r="F1255" s="104">
        <v>2303</v>
      </c>
      <c r="G1255" s="104">
        <v>1783</v>
      </c>
      <c r="H1255" s="116">
        <v>11.876215211318648</v>
      </c>
      <c r="I1255" s="126">
        <v>3734</v>
      </c>
      <c r="J1255" s="117">
        <v>19.924389777182594</v>
      </c>
    </row>
    <row r="1256" spans="1:10" ht="16">
      <c r="A1256" s="93" t="s">
        <v>747</v>
      </c>
      <c r="B1256" s="94" t="s">
        <v>642</v>
      </c>
      <c r="C1256" s="95" t="s">
        <v>107</v>
      </c>
      <c r="D1256" s="96" t="s">
        <v>82</v>
      </c>
      <c r="E1256" s="97">
        <v>48839</v>
      </c>
      <c r="F1256" s="97">
        <v>3464</v>
      </c>
      <c r="G1256" s="97">
        <v>4884</v>
      </c>
      <c r="H1256" s="114">
        <v>23.766858114505734</v>
      </c>
      <c r="I1256" s="125">
        <v>6497</v>
      </c>
      <c r="J1256" s="115">
        <v>32.215654352038626</v>
      </c>
    </row>
    <row r="1257" spans="1:10" ht="16">
      <c r="A1257" s="100" t="s">
        <v>1450</v>
      </c>
      <c r="B1257" s="101" t="s">
        <v>1288</v>
      </c>
      <c r="C1257" s="102" t="s">
        <v>76</v>
      </c>
      <c r="D1257" s="103" t="s">
        <v>82</v>
      </c>
      <c r="E1257" s="104">
        <v>27957</v>
      </c>
      <c r="F1257" s="104">
        <v>1545</v>
      </c>
      <c r="G1257" s="104">
        <v>1957</v>
      </c>
      <c r="H1257" s="116">
        <v>29.09589811758331</v>
      </c>
      <c r="I1257" s="126">
        <v>20563</v>
      </c>
      <c r="J1257" s="117">
        <v>31.041305168253771</v>
      </c>
    </row>
    <row r="1258" spans="1:10" ht="16">
      <c r="A1258" s="93" t="s">
        <v>1451</v>
      </c>
      <c r="B1258" s="94" t="s">
        <v>1288</v>
      </c>
      <c r="C1258" s="95" t="s">
        <v>107</v>
      </c>
      <c r="D1258" s="96" t="s">
        <v>59</v>
      </c>
      <c r="E1258" s="97">
        <v>13401</v>
      </c>
      <c r="F1258" s="97">
        <v>1787</v>
      </c>
      <c r="G1258" s="97">
        <v>2680</v>
      </c>
      <c r="H1258" s="114">
        <v>58.350660333721954</v>
      </c>
      <c r="I1258" s="125">
        <v>56919</v>
      </c>
      <c r="J1258" s="115">
        <v>64.741642527789509</v>
      </c>
    </row>
    <row r="1259" spans="1:10" ht="16">
      <c r="A1259" s="100" t="s">
        <v>1452</v>
      </c>
      <c r="B1259" s="101" t="s">
        <v>1288</v>
      </c>
      <c r="C1259" s="102" t="s">
        <v>76</v>
      </c>
      <c r="D1259" s="103" t="s">
        <v>92</v>
      </c>
      <c r="E1259" s="104">
        <v>22295</v>
      </c>
      <c r="F1259" s="104">
        <v>1973</v>
      </c>
      <c r="G1259" s="104">
        <v>2007</v>
      </c>
      <c r="H1259" s="116">
        <v>18.868821211579345</v>
      </c>
      <c r="I1259" s="126">
        <v>15112</v>
      </c>
      <c r="J1259" s="117">
        <v>33.323033303736572</v>
      </c>
    </row>
    <row r="1260" spans="1:10" ht="16">
      <c r="A1260" s="93" t="s">
        <v>293</v>
      </c>
      <c r="B1260" s="94" t="s">
        <v>223</v>
      </c>
      <c r="C1260" s="95" t="s">
        <v>76</v>
      </c>
      <c r="D1260" s="96" t="s">
        <v>82</v>
      </c>
      <c r="E1260" s="97">
        <v>15971</v>
      </c>
      <c r="F1260" s="97">
        <v>1365</v>
      </c>
      <c r="G1260" s="97">
        <v>799</v>
      </c>
      <c r="H1260" s="114">
        <v>13.603386710261908</v>
      </c>
      <c r="I1260" s="125">
        <v>3638</v>
      </c>
      <c r="J1260" s="115">
        <v>16.934834975160513</v>
      </c>
    </row>
    <row r="1261" spans="1:10" ht="16">
      <c r="A1261" s="100" t="s">
        <v>917</v>
      </c>
      <c r="B1261" s="101" t="s">
        <v>909</v>
      </c>
      <c r="C1261" s="102" t="s">
        <v>76</v>
      </c>
      <c r="D1261" s="103" t="s">
        <v>60</v>
      </c>
      <c r="E1261" s="104">
        <v>13550</v>
      </c>
      <c r="F1261" s="104">
        <v>753</v>
      </c>
      <c r="G1261" s="104">
        <v>542</v>
      </c>
      <c r="H1261" s="116">
        <v>10.184468627349334</v>
      </c>
      <c r="I1261" s="126">
        <v>1148</v>
      </c>
      <c r="J1261" s="117">
        <v>18.098758817686591</v>
      </c>
    </row>
    <row r="1262" spans="1:10" ht="16">
      <c r="A1262" s="93" t="s">
        <v>1453</v>
      </c>
      <c r="B1262" s="94" t="s">
        <v>1288</v>
      </c>
      <c r="C1262" s="95" t="s">
        <v>107</v>
      </c>
      <c r="D1262" s="96" t="s">
        <v>59</v>
      </c>
      <c r="E1262" s="97">
        <v>25966</v>
      </c>
      <c r="F1262" s="97">
        <v>1404</v>
      </c>
      <c r="G1262" s="97">
        <v>2077</v>
      </c>
      <c r="H1262" s="114">
        <v>17.702667642105489</v>
      </c>
      <c r="I1262" s="125">
        <v>10213</v>
      </c>
      <c r="J1262" s="115">
        <v>28.744794985723345</v>
      </c>
    </row>
    <row r="1263" spans="1:10" ht="16">
      <c r="A1263" s="100" t="s">
        <v>125</v>
      </c>
      <c r="B1263" s="101" t="s">
        <v>89</v>
      </c>
      <c r="C1263" s="102" t="s">
        <v>76</v>
      </c>
      <c r="D1263" s="103" t="s">
        <v>63</v>
      </c>
      <c r="E1263" s="104">
        <v>32259</v>
      </c>
      <c r="F1263" s="104">
        <v>904</v>
      </c>
      <c r="G1263" s="104">
        <v>5484</v>
      </c>
      <c r="H1263" s="116">
        <v>30.097911482239184</v>
      </c>
      <c r="I1263" s="126">
        <v>24186</v>
      </c>
      <c r="J1263" s="117">
        <v>24.361065218956877</v>
      </c>
    </row>
    <row r="1264" spans="1:10" ht="16">
      <c r="A1264" s="93" t="s">
        <v>209</v>
      </c>
      <c r="B1264" s="94" t="s">
        <v>184</v>
      </c>
      <c r="C1264" s="95" t="s">
        <v>76</v>
      </c>
      <c r="D1264" s="96" t="s">
        <v>62</v>
      </c>
      <c r="E1264" s="97">
        <v>29865</v>
      </c>
      <c r="F1264" s="97">
        <v>1293</v>
      </c>
      <c r="G1264" s="97">
        <v>5376</v>
      </c>
      <c r="H1264" s="114">
        <v>36.003268563592478</v>
      </c>
      <c r="I1264" s="125">
        <v>27367</v>
      </c>
      <c r="J1264" s="115">
        <v>40.726930553659393</v>
      </c>
    </row>
    <row r="1265" spans="1:10" ht="16">
      <c r="A1265" s="100" t="s">
        <v>1454</v>
      </c>
      <c r="B1265" s="101" t="s">
        <v>1288</v>
      </c>
      <c r="C1265" s="102" t="s">
        <v>76</v>
      </c>
      <c r="D1265" s="103" t="s">
        <v>61</v>
      </c>
      <c r="E1265" s="104">
        <v>13726</v>
      </c>
      <c r="F1265" s="104">
        <v>775</v>
      </c>
      <c r="G1265" s="104">
        <v>137</v>
      </c>
      <c r="H1265" s="116">
        <v>10.856000920632784</v>
      </c>
      <c r="I1265" s="126">
        <v>6753</v>
      </c>
      <c r="J1265" s="117">
        <v>16.687399949413592</v>
      </c>
    </row>
    <row r="1266" spans="1:10" ht="16">
      <c r="A1266" s="93" t="s">
        <v>1455</v>
      </c>
      <c r="B1266" s="94" t="s">
        <v>1288</v>
      </c>
      <c r="C1266" s="95" t="s">
        <v>76</v>
      </c>
      <c r="D1266" s="96" t="s">
        <v>82</v>
      </c>
      <c r="E1266" s="97">
        <v>8235</v>
      </c>
      <c r="F1266" s="97">
        <v>722</v>
      </c>
      <c r="G1266" s="97">
        <v>741</v>
      </c>
      <c r="H1266" s="114">
        <v>21.242197327065934</v>
      </c>
      <c r="I1266" s="125">
        <v>18575</v>
      </c>
      <c r="J1266" s="115">
        <v>48.293928081036803</v>
      </c>
    </row>
    <row r="1267" spans="1:10" ht="16">
      <c r="A1267" s="100" t="s">
        <v>1456</v>
      </c>
      <c r="B1267" s="101" t="s">
        <v>1288</v>
      </c>
      <c r="C1267" s="102" t="s">
        <v>107</v>
      </c>
      <c r="D1267" s="103" t="s">
        <v>82</v>
      </c>
      <c r="E1267" s="104">
        <v>5733</v>
      </c>
      <c r="F1267" s="104">
        <v>451</v>
      </c>
      <c r="G1267" s="104">
        <v>1261</v>
      </c>
      <c r="H1267" s="116">
        <v>18.641153634634342</v>
      </c>
      <c r="I1267" s="126">
        <v>10525</v>
      </c>
      <c r="J1267" s="117">
        <v>20.472003694730162</v>
      </c>
    </row>
    <row r="1268" spans="1:10" ht="16">
      <c r="A1268" s="93" t="s">
        <v>891</v>
      </c>
      <c r="B1268" s="94" t="s">
        <v>879</v>
      </c>
      <c r="C1268" s="95" t="s">
        <v>107</v>
      </c>
      <c r="D1268" s="96" t="s">
        <v>62</v>
      </c>
      <c r="E1268" s="97">
        <v>28329</v>
      </c>
      <c r="F1268" s="97">
        <v>1914</v>
      </c>
      <c r="G1268" s="97">
        <v>850</v>
      </c>
      <c r="H1268" s="114">
        <v>11.645114430473223</v>
      </c>
      <c r="I1268" s="125">
        <v>2379</v>
      </c>
      <c r="J1268" s="115">
        <v>17.035868990125618</v>
      </c>
    </row>
    <row r="1269" spans="1:10" ht="16">
      <c r="A1269" s="100" t="s">
        <v>294</v>
      </c>
      <c r="B1269" s="101" t="s">
        <v>223</v>
      </c>
      <c r="C1269" s="102" t="s">
        <v>76</v>
      </c>
      <c r="D1269" s="103" t="s">
        <v>84</v>
      </c>
      <c r="E1269" s="104">
        <v>52502</v>
      </c>
      <c r="F1269" s="104">
        <v>3596</v>
      </c>
      <c r="G1269" s="104">
        <v>3675</v>
      </c>
      <c r="H1269" s="116">
        <v>34.722602469721728</v>
      </c>
      <c r="I1269" s="126">
        <v>17952</v>
      </c>
      <c r="J1269" s="117">
        <v>44.407944064457361</v>
      </c>
    </row>
    <row r="1270" spans="1:10" ht="16">
      <c r="A1270" s="93" t="s">
        <v>295</v>
      </c>
      <c r="B1270" s="94" t="s">
        <v>223</v>
      </c>
      <c r="C1270" s="95" t="s">
        <v>107</v>
      </c>
      <c r="D1270" s="96" t="s">
        <v>59</v>
      </c>
      <c r="E1270" s="97">
        <v>51684</v>
      </c>
      <c r="F1270" s="97">
        <v>3692</v>
      </c>
      <c r="G1270" s="97">
        <v>1551</v>
      </c>
      <c r="H1270" s="114">
        <v>14.159085984768536</v>
      </c>
      <c r="I1270" s="125">
        <v>5520</v>
      </c>
      <c r="J1270" s="115">
        <v>18.901301877179147</v>
      </c>
    </row>
    <row r="1271" spans="1:10" ht="16">
      <c r="A1271" s="100" t="s">
        <v>296</v>
      </c>
      <c r="B1271" s="101" t="s">
        <v>223</v>
      </c>
      <c r="C1271" s="102" t="s">
        <v>107</v>
      </c>
      <c r="D1271" s="103" t="s">
        <v>80</v>
      </c>
      <c r="E1271" s="104">
        <v>40841</v>
      </c>
      <c r="F1271" s="104">
        <v>2797</v>
      </c>
      <c r="G1271" s="104">
        <v>1634</v>
      </c>
      <c r="H1271" s="116">
        <v>23.309536319973986</v>
      </c>
      <c r="I1271" s="126">
        <v>13135</v>
      </c>
      <c r="J1271" s="117">
        <v>28.118254094266334</v>
      </c>
    </row>
    <row r="1272" spans="1:10" ht="16">
      <c r="A1272" s="93" t="s">
        <v>297</v>
      </c>
      <c r="B1272" s="94" t="s">
        <v>223</v>
      </c>
      <c r="C1272" s="95" t="s">
        <v>76</v>
      </c>
      <c r="D1272" s="96" t="s">
        <v>92</v>
      </c>
      <c r="E1272" s="97">
        <v>31340</v>
      </c>
      <c r="F1272" s="97">
        <v>1478</v>
      </c>
      <c r="G1272" s="97">
        <v>313</v>
      </c>
      <c r="H1272" s="114">
        <v>12.108815601356307</v>
      </c>
      <c r="I1272" s="125">
        <v>5544</v>
      </c>
      <c r="J1272" s="115">
        <v>15.034272884389155</v>
      </c>
    </row>
    <row r="1273" spans="1:10" ht="16">
      <c r="A1273" s="100" t="s">
        <v>298</v>
      </c>
      <c r="B1273" s="101" t="s">
        <v>223</v>
      </c>
      <c r="C1273" s="102" t="s">
        <v>107</v>
      </c>
      <c r="D1273" s="103" t="s">
        <v>82</v>
      </c>
      <c r="E1273" s="104">
        <v>34140</v>
      </c>
      <c r="F1273" s="104">
        <v>1996</v>
      </c>
      <c r="G1273" s="104">
        <v>1024</v>
      </c>
      <c r="H1273" s="116">
        <v>17.919115384518232</v>
      </c>
      <c r="I1273" s="126">
        <v>5729</v>
      </c>
      <c r="J1273" s="117">
        <v>21.167141633000487</v>
      </c>
    </row>
    <row r="1274" spans="1:10" ht="16">
      <c r="A1274" s="93" t="s">
        <v>1457</v>
      </c>
      <c r="B1274" s="94" t="s">
        <v>1288</v>
      </c>
      <c r="C1274" s="95" t="s">
        <v>107</v>
      </c>
      <c r="D1274" s="96" t="s">
        <v>80</v>
      </c>
      <c r="E1274" s="97">
        <v>12402</v>
      </c>
      <c r="F1274" s="97">
        <v>2297</v>
      </c>
      <c r="G1274" s="97">
        <v>2480</v>
      </c>
      <c r="H1274" s="114">
        <v>95.449296001712099</v>
      </c>
      <c r="I1274" s="125">
        <v>92391</v>
      </c>
      <c r="J1274" s="115">
        <v>92.222971271602773</v>
      </c>
    </row>
    <row r="1275" spans="1:10" ht="16">
      <c r="A1275" s="100" t="s">
        <v>748</v>
      </c>
      <c r="B1275" s="101" t="s">
        <v>642</v>
      </c>
      <c r="C1275" s="102" t="s">
        <v>107</v>
      </c>
      <c r="D1275" s="103" t="s">
        <v>60</v>
      </c>
      <c r="E1275" s="104">
        <v>8913</v>
      </c>
      <c r="F1275" s="104">
        <v>1024</v>
      </c>
      <c r="G1275" s="104">
        <v>178</v>
      </c>
      <c r="H1275" s="116">
        <v>13.073010081982778</v>
      </c>
      <c r="I1275" s="126">
        <v>2224</v>
      </c>
      <c r="J1275" s="117">
        <v>22.676313059369743</v>
      </c>
    </row>
    <row r="1276" spans="1:10" ht="16">
      <c r="A1276" s="93" t="s">
        <v>749</v>
      </c>
      <c r="B1276" s="94" t="s">
        <v>642</v>
      </c>
      <c r="C1276" s="95" t="s">
        <v>107</v>
      </c>
      <c r="D1276" s="96" t="s">
        <v>59</v>
      </c>
      <c r="E1276" s="97">
        <v>10580</v>
      </c>
      <c r="F1276" s="97">
        <v>980</v>
      </c>
      <c r="G1276" s="97">
        <v>529</v>
      </c>
      <c r="H1276" s="114">
        <v>13.047725416243354</v>
      </c>
      <c r="I1276" s="125">
        <v>1889</v>
      </c>
      <c r="J1276" s="115">
        <v>21.41485200378764</v>
      </c>
    </row>
    <row r="1277" spans="1:10" ht="16">
      <c r="A1277" s="100" t="s">
        <v>299</v>
      </c>
      <c r="B1277" s="101" t="s">
        <v>223</v>
      </c>
      <c r="C1277" s="102" t="s">
        <v>76</v>
      </c>
      <c r="D1277" s="103" t="s">
        <v>130</v>
      </c>
      <c r="E1277" s="104">
        <v>36880</v>
      </c>
      <c r="F1277" s="104">
        <v>2442</v>
      </c>
      <c r="G1277" s="104">
        <v>1106</v>
      </c>
      <c r="H1277" s="116">
        <v>11.586022668174603</v>
      </c>
      <c r="I1277" s="126">
        <v>4447</v>
      </c>
      <c r="J1277" s="117">
        <v>15.749346955448837</v>
      </c>
    </row>
    <row r="1278" spans="1:10" ht="16">
      <c r="A1278" s="93" t="s">
        <v>300</v>
      </c>
      <c r="B1278" s="94" t="s">
        <v>223</v>
      </c>
      <c r="C1278" s="95" t="s">
        <v>107</v>
      </c>
      <c r="D1278" s="96" t="s">
        <v>61</v>
      </c>
      <c r="E1278" s="97">
        <v>32748</v>
      </c>
      <c r="F1278" s="97">
        <v>2140</v>
      </c>
      <c r="G1278" s="97">
        <v>327</v>
      </c>
      <c r="H1278" s="114">
        <v>11.498381087319386</v>
      </c>
      <c r="I1278" s="125">
        <v>1765</v>
      </c>
      <c r="J1278" s="115">
        <v>17.958007925496581</v>
      </c>
    </row>
    <row r="1279" spans="1:10" ht="16">
      <c r="A1279" s="100" t="s">
        <v>757</v>
      </c>
      <c r="B1279" s="101" t="s">
        <v>753</v>
      </c>
      <c r="C1279" s="102" t="s">
        <v>76</v>
      </c>
      <c r="D1279" s="103" t="s">
        <v>130</v>
      </c>
      <c r="E1279" s="104">
        <v>35353</v>
      </c>
      <c r="F1279" s="104">
        <v>1163</v>
      </c>
      <c r="G1279" s="104">
        <v>3182</v>
      </c>
      <c r="H1279" s="116">
        <v>8.7933223560283196</v>
      </c>
      <c r="I1279" s="126">
        <v>603</v>
      </c>
      <c r="J1279" s="117">
        <v>20.05381089094416</v>
      </c>
    </row>
    <row r="1280" spans="1:10" ht="16">
      <c r="A1280" s="93" t="s">
        <v>575</v>
      </c>
      <c r="B1280" s="94" t="s">
        <v>537</v>
      </c>
      <c r="C1280" s="95" t="s">
        <v>107</v>
      </c>
      <c r="D1280" s="96" t="s">
        <v>82</v>
      </c>
      <c r="E1280" s="97">
        <v>6332</v>
      </c>
      <c r="F1280" s="97">
        <v>230</v>
      </c>
      <c r="G1280" s="97">
        <v>441</v>
      </c>
      <c r="H1280" s="114">
        <v>16.264567180370019</v>
      </c>
      <c r="I1280" s="125">
        <v>14302</v>
      </c>
      <c r="J1280" s="115">
        <v>15.772906319317649</v>
      </c>
    </row>
    <row r="1281" spans="1:10" ht="16">
      <c r="A1281" s="100" t="s">
        <v>576</v>
      </c>
      <c r="B1281" s="101" t="s">
        <v>537</v>
      </c>
      <c r="C1281" s="102" t="s">
        <v>76</v>
      </c>
      <c r="D1281" s="103" t="s">
        <v>77</v>
      </c>
      <c r="E1281" s="104">
        <v>13745</v>
      </c>
      <c r="F1281" s="104">
        <v>455</v>
      </c>
      <c r="G1281" s="104">
        <v>137</v>
      </c>
      <c r="H1281" s="116">
        <v>15.130891182218821</v>
      </c>
      <c r="I1281" s="126">
        <v>2406</v>
      </c>
      <c r="J1281" s="117">
        <v>17.291886348724478</v>
      </c>
    </row>
    <row r="1282" spans="1:10" ht="16">
      <c r="A1282" s="93" t="s">
        <v>1173</v>
      </c>
      <c r="B1282" s="94" t="s">
        <v>1142</v>
      </c>
      <c r="C1282" s="95" t="s">
        <v>76</v>
      </c>
      <c r="D1282" s="96" t="s">
        <v>130</v>
      </c>
      <c r="E1282" s="97">
        <v>19508</v>
      </c>
      <c r="F1282" s="97">
        <v>522</v>
      </c>
      <c r="G1282" s="97">
        <v>390</v>
      </c>
      <c r="H1282" s="114">
        <v>12.464623952012323</v>
      </c>
      <c r="I1282" s="125">
        <v>1481</v>
      </c>
      <c r="J1282" s="115">
        <v>19.164021460578507</v>
      </c>
    </row>
    <row r="1283" spans="1:10" ht="16">
      <c r="A1283" s="100" t="s">
        <v>1017</v>
      </c>
      <c r="B1283" s="101" t="s">
        <v>988</v>
      </c>
      <c r="C1283" s="102" t="s">
        <v>107</v>
      </c>
      <c r="D1283" s="103" t="s">
        <v>82</v>
      </c>
      <c r="E1283" s="104">
        <v>20135</v>
      </c>
      <c r="F1283" s="104">
        <v>1360</v>
      </c>
      <c r="G1283" s="104">
        <v>1007</v>
      </c>
      <c r="H1283" s="116">
        <v>13.291719411654331</v>
      </c>
      <c r="I1283" s="126">
        <v>5945</v>
      </c>
      <c r="J1283" s="117">
        <v>19.060188340403108</v>
      </c>
    </row>
    <row r="1284" spans="1:10" ht="16">
      <c r="A1284" s="93" t="s">
        <v>1174</v>
      </c>
      <c r="B1284" s="94" t="s">
        <v>1142</v>
      </c>
      <c r="C1284" s="95" t="s">
        <v>107</v>
      </c>
      <c r="D1284" s="96" t="s">
        <v>80</v>
      </c>
      <c r="E1284" s="97">
        <v>36946</v>
      </c>
      <c r="F1284" s="97">
        <v>1103</v>
      </c>
      <c r="G1284" s="97">
        <v>1478</v>
      </c>
      <c r="H1284" s="114">
        <v>13.275000123907169</v>
      </c>
      <c r="I1284" s="125">
        <v>3070</v>
      </c>
      <c r="J1284" s="115">
        <v>15.652762255131982</v>
      </c>
    </row>
    <row r="1285" spans="1:10" ht="16">
      <c r="A1285" s="100" t="s">
        <v>750</v>
      </c>
      <c r="B1285" s="101" t="s">
        <v>642</v>
      </c>
      <c r="C1285" s="102" t="s">
        <v>76</v>
      </c>
      <c r="D1285" s="103" t="s">
        <v>130</v>
      </c>
      <c r="E1285" s="104">
        <v>4910</v>
      </c>
      <c r="F1285" s="104">
        <v>1091</v>
      </c>
      <c r="G1285" s="104">
        <v>98</v>
      </c>
      <c r="H1285" s="116">
        <v>8.7657091642034661</v>
      </c>
      <c r="I1285" s="126">
        <v>7433</v>
      </c>
      <c r="J1285" s="117">
        <v>25.955807066487569</v>
      </c>
    </row>
    <row r="1286" spans="1:10" ht="16">
      <c r="A1286" s="93" t="s">
        <v>751</v>
      </c>
      <c r="B1286" s="94" t="s">
        <v>642</v>
      </c>
      <c r="C1286" s="95" t="s">
        <v>107</v>
      </c>
      <c r="D1286" s="96" t="s">
        <v>61</v>
      </c>
      <c r="E1286" s="97">
        <v>9889</v>
      </c>
      <c r="F1286" s="97">
        <v>791</v>
      </c>
      <c r="G1286" s="97">
        <v>692</v>
      </c>
      <c r="H1286" s="114">
        <v>16.926531807610097</v>
      </c>
      <c r="I1286" s="125">
        <v>2738</v>
      </c>
      <c r="J1286" s="115">
        <v>23.404774447151688</v>
      </c>
    </row>
    <row r="1287" spans="1:10" ht="16">
      <c r="A1287" s="100" t="s">
        <v>1018</v>
      </c>
      <c r="B1287" s="101" t="s">
        <v>988</v>
      </c>
      <c r="C1287" s="102" t="s">
        <v>107</v>
      </c>
      <c r="D1287" s="103" t="s">
        <v>84</v>
      </c>
      <c r="E1287" s="104">
        <v>17744</v>
      </c>
      <c r="F1287" s="104">
        <v>1215</v>
      </c>
      <c r="G1287" s="104">
        <v>3904</v>
      </c>
      <c r="H1287" s="116">
        <v>53.085742475072166</v>
      </c>
      <c r="I1287" s="126">
        <v>27886</v>
      </c>
      <c r="J1287" s="117">
        <v>51.227585358905706</v>
      </c>
    </row>
    <row r="1288" spans="1:10" ht="16">
      <c r="A1288" s="93" t="s">
        <v>210</v>
      </c>
      <c r="B1288" s="94" t="s">
        <v>184</v>
      </c>
      <c r="C1288" s="95" t="s">
        <v>76</v>
      </c>
      <c r="D1288" s="96" t="s">
        <v>84</v>
      </c>
      <c r="E1288" s="97">
        <v>46683</v>
      </c>
      <c r="F1288" s="97">
        <v>1319</v>
      </c>
      <c r="G1288" s="97">
        <v>11204</v>
      </c>
      <c r="H1288" s="114">
        <v>37.953710045881245</v>
      </c>
      <c r="I1288" s="125">
        <v>19107</v>
      </c>
      <c r="J1288" s="115">
        <v>28.972247532906014</v>
      </c>
    </row>
    <row r="1289" spans="1:10" ht="16">
      <c r="A1289" s="100" t="s">
        <v>1116</v>
      </c>
      <c r="B1289" s="101" t="s">
        <v>1081</v>
      </c>
      <c r="C1289" s="102" t="s">
        <v>107</v>
      </c>
      <c r="D1289" s="103" t="s">
        <v>77</v>
      </c>
      <c r="E1289" s="104">
        <v>8356</v>
      </c>
      <c r="F1289" s="104">
        <v>429</v>
      </c>
      <c r="G1289" s="104">
        <v>668</v>
      </c>
      <c r="H1289" s="116">
        <v>14.82811308101139</v>
      </c>
      <c r="I1289" s="126">
        <v>2198</v>
      </c>
      <c r="J1289" s="117">
        <v>17.301845072674848</v>
      </c>
    </row>
    <row r="1290" spans="1:10" ht="16">
      <c r="A1290" s="93" t="s">
        <v>363</v>
      </c>
      <c r="B1290" s="94" t="s">
        <v>344</v>
      </c>
      <c r="C1290" s="95" t="s">
        <v>76</v>
      </c>
      <c r="D1290" s="96" t="s">
        <v>77</v>
      </c>
      <c r="E1290" s="97">
        <v>156419</v>
      </c>
      <c r="F1290" s="97">
        <v>6517</v>
      </c>
      <c r="G1290" s="97">
        <v>1564</v>
      </c>
      <c r="H1290" s="114">
        <v>8.3264488230614475</v>
      </c>
      <c r="I1290" s="125">
        <v>2349</v>
      </c>
      <c r="J1290" s="115">
        <v>14.240703990121405</v>
      </c>
    </row>
    <row r="1291" spans="1:10" ht="16">
      <c r="A1291" s="100" t="s">
        <v>301</v>
      </c>
      <c r="B1291" s="101" t="s">
        <v>223</v>
      </c>
      <c r="C1291" s="102" t="s">
        <v>107</v>
      </c>
      <c r="D1291" s="103" t="s">
        <v>82</v>
      </c>
      <c r="E1291" s="104">
        <v>33427</v>
      </c>
      <c r="F1291" s="104">
        <v>3124</v>
      </c>
      <c r="G1291" s="104">
        <v>7354</v>
      </c>
      <c r="H1291" s="116">
        <v>65.521320223063469</v>
      </c>
      <c r="I1291" s="126">
        <v>32779</v>
      </c>
      <c r="J1291" s="117">
        <v>66.108543554792149</v>
      </c>
    </row>
    <row r="1292" spans="1:10" ht="16">
      <c r="A1292" s="107" t="s">
        <v>302</v>
      </c>
      <c r="B1292" s="108" t="s">
        <v>223</v>
      </c>
      <c r="C1292" s="109" t="s">
        <v>76</v>
      </c>
      <c r="D1292" s="110" t="s">
        <v>63</v>
      </c>
      <c r="E1292" s="111">
        <v>31228</v>
      </c>
      <c r="F1292" s="111">
        <v>2124</v>
      </c>
      <c r="G1292" s="111">
        <v>2498</v>
      </c>
      <c r="H1292" s="118">
        <v>14.434036967941024</v>
      </c>
      <c r="I1292" s="127">
        <v>4701</v>
      </c>
      <c r="J1292" s="119">
        <v>17.423796165543536</v>
      </c>
    </row>
  </sheetData>
  <phoneticPr fontId="4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94D34-CDC8-764C-A7E4-D9FC3A505EEA}">
  <sheetPr codeName="Sheet7"/>
  <dimension ref="A1:J1292"/>
  <sheetViews>
    <sheetView zoomScaleNormal="100" workbookViewId="0"/>
  </sheetViews>
  <sheetFormatPr baseColWidth="10" defaultRowHeight="15"/>
  <cols>
    <col min="1" max="1" width="59" style="26" bestFit="1"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65</v>
      </c>
      <c r="B1" s="91" t="s">
        <v>66</v>
      </c>
      <c r="C1" s="91" t="s">
        <v>67</v>
      </c>
      <c r="D1" s="91" t="s">
        <v>68</v>
      </c>
      <c r="E1" s="91" t="s">
        <v>1492</v>
      </c>
      <c r="F1" s="91" t="s">
        <v>69</v>
      </c>
      <c r="G1" s="91" t="s">
        <v>70</v>
      </c>
      <c r="H1" s="91" t="s">
        <v>71</v>
      </c>
      <c r="I1" s="91" t="s">
        <v>72</v>
      </c>
      <c r="J1" s="92" t="s">
        <v>73</v>
      </c>
    </row>
    <row r="2" spans="1:10" ht="16">
      <c r="A2" s="93" t="s">
        <v>335</v>
      </c>
      <c r="B2" s="94" t="s">
        <v>336</v>
      </c>
      <c r="C2" s="95" t="s">
        <v>76</v>
      </c>
      <c r="D2" s="96" t="s">
        <v>82</v>
      </c>
      <c r="E2" s="97">
        <v>16340</v>
      </c>
      <c r="F2" s="97">
        <v>1201</v>
      </c>
      <c r="G2" s="97">
        <v>2451</v>
      </c>
      <c r="H2" s="114">
        <v>39.776720990517688</v>
      </c>
      <c r="I2" s="125">
        <v>34070</v>
      </c>
      <c r="J2" s="115">
        <v>29.494859240638689</v>
      </c>
    </row>
    <row r="3" spans="1:10" ht="16">
      <c r="A3" s="100" t="s">
        <v>368</v>
      </c>
      <c r="B3" s="101" t="s">
        <v>369</v>
      </c>
      <c r="C3" s="102" t="s">
        <v>107</v>
      </c>
      <c r="D3" s="103" t="s">
        <v>59</v>
      </c>
      <c r="E3" s="104">
        <v>12195</v>
      </c>
      <c r="F3" s="104">
        <v>656</v>
      </c>
      <c r="G3" s="104">
        <v>3171</v>
      </c>
      <c r="H3" s="116">
        <v>40.279169458865212</v>
      </c>
      <c r="I3" s="126">
        <v>30312</v>
      </c>
      <c r="J3" s="117">
        <v>42.504089885750382</v>
      </c>
    </row>
    <row r="4" spans="1:10" ht="16">
      <c r="A4" s="93" t="s">
        <v>337</v>
      </c>
      <c r="B4" s="94" t="s">
        <v>336</v>
      </c>
      <c r="C4" s="95" t="s">
        <v>76</v>
      </c>
      <c r="D4" s="96" t="s">
        <v>60</v>
      </c>
      <c r="E4" s="97">
        <v>26842</v>
      </c>
      <c r="F4" s="97">
        <v>1864</v>
      </c>
      <c r="G4" s="97">
        <v>2416</v>
      </c>
      <c r="H4" s="114">
        <v>54.332129951079203</v>
      </c>
      <c r="I4" s="125">
        <v>46189</v>
      </c>
      <c r="J4" s="115">
        <v>37.330775576408584</v>
      </c>
    </row>
    <row r="5" spans="1:10" ht="16">
      <c r="A5" s="100" t="s">
        <v>1189</v>
      </c>
      <c r="B5" s="101" t="s">
        <v>1190</v>
      </c>
      <c r="C5" s="102" t="s">
        <v>107</v>
      </c>
      <c r="D5" s="103" t="s">
        <v>61</v>
      </c>
      <c r="E5" s="104">
        <v>6866</v>
      </c>
      <c r="F5" s="104">
        <v>424</v>
      </c>
      <c r="G5" s="104">
        <v>1305</v>
      </c>
      <c r="H5" s="116">
        <v>23.734708386851651</v>
      </c>
      <c r="I5" s="126">
        <v>15242</v>
      </c>
      <c r="J5" s="117">
        <v>25.254126864034429</v>
      </c>
    </row>
    <row r="6" spans="1:10" ht="16">
      <c r="A6" s="93" t="s">
        <v>473</v>
      </c>
      <c r="B6" s="94" t="s">
        <v>474</v>
      </c>
      <c r="C6" s="95" t="s">
        <v>107</v>
      </c>
      <c r="D6" s="96" t="s">
        <v>59</v>
      </c>
      <c r="E6" s="97">
        <v>4792</v>
      </c>
      <c r="F6" s="97">
        <v>383</v>
      </c>
      <c r="G6" s="97">
        <v>288</v>
      </c>
      <c r="H6" s="114">
        <v>9.3709212540129965</v>
      </c>
      <c r="I6" s="125">
        <v>1529</v>
      </c>
      <c r="J6" s="115">
        <v>40.641924351797861</v>
      </c>
    </row>
    <row r="7" spans="1:10" ht="16">
      <c r="A7" s="100" t="s">
        <v>1141</v>
      </c>
      <c r="B7" s="101" t="s">
        <v>1142</v>
      </c>
      <c r="C7" s="102" t="s">
        <v>76</v>
      </c>
      <c r="D7" s="103" t="s">
        <v>63</v>
      </c>
      <c r="E7" s="104">
        <v>2342</v>
      </c>
      <c r="F7" s="104">
        <v>545</v>
      </c>
      <c r="G7" s="104">
        <v>47</v>
      </c>
      <c r="H7" s="116">
        <v>9.2368746520522915</v>
      </c>
      <c r="I7" s="126">
        <v>672</v>
      </c>
      <c r="J7" s="117">
        <v>22.206674009347989</v>
      </c>
    </row>
    <row r="8" spans="1:10" ht="16">
      <c r="A8" s="93" t="s">
        <v>878</v>
      </c>
      <c r="B8" s="94" t="s">
        <v>879</v>
      </c>
      <c r="C8" s="95" t="s">
        <v>76</v>
      </c>
      <c r="D8" s="96" t="s">
        <v>92</v>
      </c>
      <c r="E8" s="97">
        <v>37634</v>
      </c>
      <c r="F8" s="97">
        <v>2650</v>
      </c>
      <c r="G8" s="97">
        <v>753</v>
      </c>
      <c r="H8" s="114">
        <v>14.16538293827079</v>
      </c>
      <c r="I8" s="125">
        <v>4445</v>
      </c>
      <c r="J8" s="115">
        <v>18.632459251322409</v>
      </c>
    </row>
    <row r="9" spans="1:10" ht="16">
      <c r="A9" s="100" t="s">
        <v>880</v>
      </c>
      <c r="B9" s="101" t="s">
        <v>879</v>
      </c>
      <c r="C9" s="102" t="s">
        <v>107</v>
      </c>
      <c r="D9" s="103" t="s">
        <v>84</v>
      </c>
      <c r="E9" s="104">
        <v>28620</v>
      </c>
      <c r="F9" s="104">
        <v>2202</v>
      </c>
      <c r="G9" s="104">
        <v>572</v>
      </c>
      <c r="H9" s="116">
        <v>14.259533578595944</v>
      </c>
      <c r="I9" s="126">
        <v>3207</v>
      </c>
      <c r="J9" s="117">
        <v>18.077137775835308</v>
      </c>
    </row>
    <row r="10" spans="1:10" ht="16">
      <c r="A10" s="93" t="s">
        <v>641</v>
      </c>
      <c r="B10" s="94" t="s">
        <v>642</v>
      </c>
      <c r="C10" s="95" t="s">
        <v>76</v>
      </c>
      <c r="D10" s="96" t="s">
        <v>84</v>
      </c>
      <c r="E10" s="97">
        <v>1288</v>
      </c>
      <c r="F10" s="97">
        <v>460</v>
      </c>
      <c r="G10" s="97">
        <v>13</v>
      </c>
      <c r="H10" s="114">
        <v>11.618031527606925</v>
      </c>
      <c r="I10" s="125">
        <v>3603</v>
      </c>
      <c r="J10" s="115">
        <v>26.702859912362864</v>
      </c>
    </row>
    <row r="11" spans="1:10" ht="16">
      <c r="A11" s="100" t="s">
        <v>343</v>
      </c>
      <c r="B11" s="101" t="s">
        <v>344</v>
      </c>
      <c r="C11" s="102" t="s">
        <v>76</v>
      </c>
      <c r="D11" s="103" t="s">
        <v>60</v>
      </c>
      <c r="E11" s="104">
        <v>179636</v>
      </c>
      <c r="F11" s="104">
        <v>10629</v>
      </c>
      <c r="G11" s="104">
        <v>5389</v>
      </c>
      <c r="H11" s="116">
        <v>10.477071955032958</v>
      </c>
      <c r="I11" s="126">
        <v>3256</v>
      </c>
      <c r="J11" s="117">
        <v>21.642080667412721</v>
      </c>
    </row>
    <row r="12" spans="1:10" ht="16">
      <c r="A12" s="93" t="s">
        <v>376</v>
      </c>
      <c r="B12" s="94" t="s">
        <v>377</v>
      </c>
      <c r="C12" s="95" t="s">
        <v>76</v>
      </c>
      <c r="D12" s="96" t="s">
        <v>63</v>
      </c>
      <c r="E12" s="97">
        <v>67857</v>
      </c>
      <c r="F12" s="97">
        <v>4088</v>
      </c>
      <c r="G12" s="97">
        <v>8143</v>
      </c>
      <c r="H12" s="114">
        <v>26.00749682136782</v>
      </c>
      <c r="I12" s="125">
        <v>17070</v>
      </c>
      <c r="J12" s="115">
        <v>41.560527869045117</v>
      </c>
    </row>
    <row r="13" spans="1:10" ht="16">
      <c r="A13" s="100" t="s">
        <v>987</v>
      </c>
      <c r="B13" s="101" t="s">
        <v>988</v>
      </c>
      <c r="C13" s="102" t="s">
        <v>76</v>
      </c>
      <c r="D13" s="103" t="s">
        <v>130</v>
      </c>
      <c r="E13" s="104">
        <v>9906</v>
      </c>
      <c r="F13" s="104">
        <v>877</v>
      </c>
      <c r="G13" s="104">
        <v>693</v>
      </c>
      <c r="H13" s="116">
        <v>23.917081814336282</v>
      </c>
      <c r="I13" s="126">
        <v>7090</v>
      </c>
      <c r="J13" s="117">
        <v>24.20257300311529</v>
      </c>
    </row>
    <row r="14" spans="1:10" ht="16">
      <c r="A14" s="93" t="s">
        <v>1143</v>
      </c>
      <c r="B14" s="94" t="s">
        <v>1142</v>
      </c>
      <c r="C14" s="95" t="s">
        <v>107</v>
      </c>
      <c r="D14" s="96" t="s">
        <v>82</v>
      </c>
      <c r="E14" s="97">
        <v>42862</v>
      </c>
      <c r="F14" s="97">
        <v>1194</v>
      </c>
      <c r="G14" s="97">
        <v>429</v>
      </c>
      <c r="H14" s="114">
        <v>9.4413981292227867</v>
      </c>
      <c r="I14" s="125">
        <v>1314</v>
      </c>
      <c r="J14" s="115">
        <v>16.089946681464419</v>
      </c>
    </row>
    <row r="15" spans="1:10" ht="16">
      <c r="A15" s="100" t="s">
        <v>643</v>
      </c>
      <c r="B15" s="101" t="s">
        <v>642</v>
      </c>
      <c r="C15" s="102" t="s">
        <v>107</v>
      </c>
      <c r="D15" s="103" t="s">
        <v>63</v>
      </c>
      <c r="E15" s="104">
        <v>4942</v>
      </c>
      <c r="F15" s="104">
        <v>504</v>
      </c>
      <c r="G15" s="104">
        <v>198</v>
      </c>
      <c r="H15" s="116">
        <v>10.902906093943249</v>
      </c>
      <c r="I15" s="126">
        <v>1047</v>
      </c>
      <c r="J15" s="117">
        <v>21.993328941271439</v>
      </c>
    </row>
    <row r="16" spans="1:10" ht="16">
      <c r="A16" s="93" t="s">
        <v>345</v>
      </c>
      <c r="B16" s="94" t="s">
        <v>344</v>
      </c>
      <c r="C16" s="95" t="s">
        <v>107</v>
      </c>
      <c r="D16" s="96" t="s">
        <v>84</v>
      </c>
      <c r="E16" s="97">
        <v>342151</v>
      </c>
      <c r="F16" s="97">
        <v>10495</v>
      </c>
      <c r="G16" s="97">
        <v>20529</v>
      </c>
      <c r="H16" s="114">
        <v>9.1435595105987222</v>
      </c>
      <c r="I16" s="125">
        <v>1406</v>
      </c>
      <c r="J16" s="115">
        <v>15.45780733854723</v>
      </c>
    </row>
    <row r="17" spans="1:10" ht="16">
      <c r="A17" s="100" t="s">
        <v>752</v>
      </c>
      <c r="B17" s="101" t="s">
        <v>753</v>
      </c>
      <c r="C17" s="102" t="s">
        <v>76</v>
      </c>
      <c r="D17" s="103" t="s">
        <v>59</v>
      </c>
      <c r="E17" s="104">
        <v>33918</v>
      </c>
      <c r="F17" s="104">
        <v>1084</v>
      </c>
      <c r="G17" s="104">
        <v>1357</v>
      </c>
      <c r="H17" s="116">
        <v>9.2640367848755236</v>
      </c>
      <c r="I17" s="126">
        <v>4828</v>
      </c>
      <c r="J17" s="117">
        <v>12.350811016545281</v>
      </c>
    </row>
    <row r="18" spans="1:10" ht="16">
      <c r="A18" s="93" t="s">
        <v>758</v>
      </c>
      <c r="B18" s="94" t="s">
        <v>759</v>
      </c>
      <c r="C18" s="95" t="s">
        <v>76</v>
      </c>
      <c r="D18" s="96" t="s">
        <v>80</v>
      </c>
      <c r="E18" s="97">
        <v>21138</v>
      </c>
      <c r="F18" s="97">
        <v>3775</v>
      </c>
      <c r="G18" s="97">
        <v>2325</v>
      </c>
      <c r="H18" s="114">
        <v>10.281840077245143</v>
      </c>
      <c r="I18" s="125">
        <v>2030</v>
      </c>
      <c r="J18" s="115">
        <v>25.016524969797892</v>
      </c>
    </row>
    <row r="19" spans="1:10" ht="16">
      <c r="A19" s="100" t="s">
        <v>346</v>
      </c>
      <c r="B19" s="101" t="s">
        <v>344</v>
      </c>
      <c r="C19" s="102" t="s">
        <v>76</v>
      </c>
      <c r="D19" s="103" t="s">
        <v>92</v>
      </c>
      <c r="E19" s="104">
        <v>182129</v>
      </c>
      <c r="F19" s="104">
        <v>6647</v>
      </c>
      <c r="G19" s="104">
        <v>5464</v>
      </c>
      <c r="H19" s="116">
        <v>13.946535646141738</v>
      </c>
      <c r="I19" s="126">
        <v>3238</v>
      </c>
      <c r="J19" s="117">
        <v>19.170244370643232</v>
      </c>
    </row>
    <row r="20" spans="1:10" ht="16">
      <c r="A20" s="93" t="s">
        <v>908</v>
      </c>
      <c r="B20" s="94" t="s">
        <v>909</v>
      </c>
      <c r="C20" s="95" t="s">
        <v>76</v>
      </c>
      <c r="D20" s="96" t="s">
        <v>59</v>
      </c>
      <c r="E20" s="97">
        <v>23124</v>
      </c>
      <c r="F20" s="97">
        <v>1278</v>
      </c>
      <c r="G20" s="97">
        <v>1387</v>
      </c>
      <c r="H20" s="114">
        <v>11.938222392599078</v>
      </c>
      <c r="I20" s="125">
        <v>1082</v>
      </c>
      <c r="J20" s="115">
        <v>17.408108032619296</v>
      </c>
    </row>
    <row r="21" spans="1:10" ht="16">
      <c r="A21" s="100" t="s">
        <v>958</v>
      </c>
      <c r="B21" s="101" t="s">
        <v>959</v>
      </c>
      <c r="C21" s="102" t="s">
        <v>76</v>
      </c>
      <c r="D21" s="103" t="s">
        <v>59</v>
      </c>
      <c r="E21" s="104">
        <v>2566</v>
      </c>
      <c r="F21" s="104">
        <v>247</v>
      </c>
      <c r="G21" s="104">
        <v>872</v>
      </c>
      <c r="H21" s="116">
        <v>21.788216781924806</v>
      </c>
      <c r="I21" s="126">
        <v>20195</v>
      </c>
      <c r="J21" s="117">
        <v>20.244444493866325</v>
      </c>
    </row>
    <row r="22" spans="1:10" ht="16">
      <c r="A22" s="93" t="s">
        <v>475</v>
      </c>
      <c r="B22" s="94" t="s">
        <v>474</v>
      </c>
      <c r="C22" s="95" t="s">
        <v>107</v>
      </c>
      <c r="D22" s="96" t="s">
        <v>80</v>
      </c>
      <c r="E22" s="97">
        <v>18783</v>
      </c>
      <c r="F22" s="97">
        <v>1391</v>
      </c>
      <c r="G22" s="97">
        <v>376</v>
      </c>
      <c r="H22" s="114">
        <v>10.566507716896945</v>
      </c>
      <c r="I22" s="125">
        <v>4304</v>
      </c>
      <c r="J22" s="115">
        <v>29.110930516289709</v>
      </c>
    </row>
    <row r="23" spans="1:10" ht="16">
      <c r="A23" s="100" t="s">
        <v>536</v>
      </c>
      <c r="B23" s="101" t="s">
        <v>537</v>
      </c>
      <c r="C23" s="102" t="s">
        <v>76</v>
      </c>
      <c r="D23" s="103" t="s">
        <v>82</v>
      </c>
      <c r="E23" s="104">
        <v>10110</v>
      </c>
      <c r="F23" s="104">
        <v>449</v>
      </c>
      <c r="G23" s="104">
        <v>101</v>
      </c>
      <c r="H23" s="116">
        <v>10.353656674858417</v>
      </c>
      <c r="I23" s="126">
        <v>1704</v>
      </c>
      <c r="J23" s="117">
        <v>18.782954944064034</v>
      </c>
    </row>
    <row r="24" spans="1:10" ht="16">
      <c r="A24" s="93" t="s">
        <v>597</v>
      </c>
      <c r="B24" s="94" t="s">
        <v>598</v>
      </c>
      <c r="C24" s="95" t="s">
        <v>76</v>
      </c>
      <c r="D24" s="96" t="s">
        <v>60</v>
      </c>
      <c r="E24" s="97">
        <v>13447</v>
      </c>
      <c r="F24" s="97">
        <v>372</v>
      </c>
      <c r="G24" s="97">
        <v>807</v>
      </c>
      <c r="H24" s="114">
        <v>19.619132169445134</v>
      </c>
      <c r="I24" s="125">
        <v>12546</v>
      </c>
      <c r="J24" s="115">
        <v>15.210304130372291</v>
      </c>
    </row>
    <row r="25" spans="1:10" ht="16">
      <c r="A25" s="100" t="s">
        <v>1287</v>
      </c>
      <c r="B25" s="101" t="s">
        <v>1288</v>
      </c>
      <c r="C25" s="102" t="s">
        <v>76</v>
      </c>
      <c r="D25" s="103" t="s">
        <v>77</v>
      </c>
      <c r="E25" s="104">
        <v>11750</v>
      </c>
      <c r="F25" s="104">
        <v>1068</v>
      </c>
      <c r="G25" s="104">
        <v>1410</v>
      </c>
      <c r="H25" s="116">
        <v>19.610686613019876</v>
      </c>
      <c r="I25" s="126">
        <v>12916</v>
      </c>
      <c r="J25" s="117">
        <v>41.510578499460827</v>
      </c>
    </row>
    <row r="26" spans="1:10" ht="16">
      <c r="A26" s="93" t="s">
        <v>347</v>
      </c>
      <c r="B26" s="94" t="s">
        <v>344</v>
      </c>
      <c r="C26" s="95" t="s">
        <v>76</v>
      </c>
      <c r="D26" s="96" t="s">
        <v>61</v>
      </c>
      <c r="E26" s="97">
        <v>5936</v>
      </c>
      <c r="F26" s="97">
        <v>433</v>
      </c>
      <c r="G26" s="97">
        <v>297</v>
      </c>
      <c r="H26" s="114">
        <v>26.070574222327679</v>
      </c>
      <c r="I26" s="125">
        <v>5108</v>
      </c>
      <c r="J26" s="115">
        <v>27.911539908428772</v>
      </c>
    </row>
    <row r="27" spans="1:10" ht="16">
      <c r="A27" s="100" t="s">
        <v>769</v>
      </c>
      <c r="B27" s="101" t="s">
        <v>770</v>
      </c>
      <c r="C27" s="102" t="s">
        <v>76</v>
      </c>
      <c r="D27" s="103" t="s">
        <v>80</v>
      </c>
      <c r="E27" s="104">
        <v>8401</v>
      </c>
      <c r="F27" s="104">
        <v>988</v>
      </c>
      <c r="G27" s="104">
        <v>1764</v>
      </c>
      <c r="H27" s="116">
        <v>15.459886991648014</v>
      </c>
      <c r="I27" s="126">
        <v>11633</v>
      </c>
      <c r="J27" s="117">
        <v>29.17647252135886</v>
      </c>
    </row>
    <row r="28" spans="1:10" ht="16">
      <c r="A28" s="93" t="s">
        <v>1184</v>
      </c>
      <c r="B28" s="94" t="s">
        <v>1185</v>
      </c>
      <c r="C28" s="95" t="s">
        <v>107</v>
      </c>
      <c r="D28" s="96" t="s">
        <v>84</v>
      </c>
      <c r="E28" s="97">
        <v>5652</v>
      </c>
      <c r="F28" s="97">
        <v>404</v>
      </c>
      <c r="G28" s="97">
        <v>4691</v>
      </c>
      <c r="H28" s="114">
        <v>14.893441763763732</v>
      </c>
      <c r="I28" s="125">
        <v>3482</v>
      </c>
      <c r="J28" s="115">
        <v>20.052538892768037</v>
      </c>
    </row>
    <row r="29" spans="1:10" ht="16">
      <c r="A29" s="100" t="s">
        <v>538</v>
      </c>
      <c r="B29" s="101" t="s">
        <v>537</v>
      </c>
      <c r="C29" s="102" t="s">
        <v>107</v>
      </c>
      <c r="D29" s="103" t="s">
        <v>77</v>
      </c>
      <c r="E29" s="104">
        <v>11580</v>
      </c>
      <c r="F29" s="104">
        <v>536</v>
      </c>
      <c r="G29" s="104">
        <v>232</v>
      </c>
      <c r="H29" s="116">
        <v>31.885547054660371</v>
      </c>
      <c r="I29" s="126">
        <v>13747</v>
      </c>
      <c r="J29" s="117">
        <v>34.851736634558918</v>
      </c>
    </row>
    <row r="30" spans="1:10" ht="16">
      <c r="A30" s="93" t="s">
        <v>476</v>
      </c>
      <c r="B30" s="94" t="s">
        <v>474</v>
      </c>
      <c r="C30" s="95" t="s">
        <v>107</v>
      </c>
      <c r="D30" s="96" t="s">
        <v>84</v>
      </c>
      <c r="E30" s="97">
        <v>29623</v>
      </c>
      <c r="F30" s="97">
        <v>1975</v>
      </c>
      <c r="G30" s="97">
        <v>1185</v>
      </c>
      <c r="H30" s="114">
        <v>9.5356184505950221</v>
      </c>
      <c r="I30" s="125">
        <v>1770</v>
      </c>
      <c r="J30" s="115">
        <v>15.891357325983529</v>
      </c>
    </row>
    <row r="31" spans="1:10" ht="16">
      <c r="A31" s="100" t="s">
        <v>477</v>
      </c>
      <c r="B31" s="101" t="s">
        <v>474</v>
      </c>
      <c r="C31" s="102" t="s">
        <v>107</v>
      </c>
      <c r="D31" s="103" t="s">
        <v>84</v>
      </c>
      <c r="E31" s="104">
        <v>14689</v>
      </c>
      <c r="F31" s="104">
        <v>1234</v>
      </c>
      <c r="G31" s="104">
        <v>1763</v>
      </c>
      <c r="H31" s="116">
        <v>17.665362461541044</v>
      </c>
      <c r="I31" s="126">
        <v>8152</v>
      </c>
      <c r="J31" s="117">
        <v>26.28874858871314</v>
      </c>
    </row>
    <row r="32" spans="1:10" ht="16">
      <c r="A32" s="93" t="s">
        <v>1144</v>
      </c>
      <c r="B32" s="94" t="s">
        <v>1142</v>
      </c>
      <c r="C32" s="95" t="s">
        <v>107</v>
      </c>
      <c r="D32" s="96" t="s">
        <v>59</v>
      </c>
      <c r="E32" s="97">
        <v>830104</v>
      </c>
      <c r="F32" s="97">
        <v>1682</v>
      </c>
      <c r="G32" s="97">
        <v>8301</v>
      </c>
      <c r="H32" s="114">
        <v>24.184558742978233</v>
      </c>
      <c r="I32" s="125">
        <v>4040</v>
      </c>
      <c r="J32" s="115">
        <v>13.562802819961732</v>
      </c>
    </row>
    <row r="33" spans="1:10" ht="16">
      <c r="A33" s="100" t="s">
        <v>478</v>
      </c>
      <c r="B33" s="101" t="s">
        <v>474</v>
      </c>
      <c r="C33" s="102" t="s">
        <v>76</v>
      </c>
      <c r="D33" s="103" t="s">
        <v>130</v>
      </c>
      <c r="E33" s="104">
        <v>9785</v>
      </c>
      <c r="F33" s="104">
        <v>589</v>
      </c>
      <c r="G33" s="104">
        <v>196</v>
      </c>
      <c r="H33" s="116">
        <v>11.012320381909545</v>
      </c>
      <c r="I33" s="126">
        <v>896</v>
      </c>
      <c r="J33" s="117">
        <v>37.518259282767616</v>
      </c>
    </row>
    <row r="34" spans="1:10" ht="16">
      <c r="A34" s="93" t="s">
        <v>1191</v>
      </c>
      <c r="B34" s="94" t="s">
        <v>1190</v>
      </c>
      <c r="C34" s="95" t="s">
        <v>76</v>
      </c>
      <c r="D34" s="96" t="s">
        <v>77</v>
      </c>
      <c r="E34" s="97">
        <v>18022</v>
      </c>
      <c r="F34" s="97">
        <v>780</v>
      </c>
      <c r="G34" s="97">
        <v>5407</v>
      </c>
      <c r="H34" s="114">
        <v>15.361853725556768</v>
      </c>
      <c r="I34" s="125">
        <v>14485</v>
      </c>
      <c r="J34" s="115">
        <v>18.015403557899543</v>
      </c>
    </row>
    <row r="35" spans="1:10" ht="16">
      <c r="A35" s="100" t="s">
        <v>1145</v>
      </c>
      <c r="B35" s="101" t="s">
        <v>1142</v>
      </c>
      <c r="C35" s="102" t="s">
        <v>107</v>
      </c>
      <c r="D35" s="103" t="s">
        <v>63</v>
      </c>
      <c r="E35" s="104">
        <v>69737</v>
      </c>
      <c r="F35" s="104">
        <v>3651</v>
      </c>
      <c r="G35" s="104">
        <v>2789</v>
      </c>
      <c r="H35" s="116">
        <v>10.493117562358192</v>
      </c>
      <c r="I35" s="126">
        <v>1468</v>
      </c>
      <c r="J35" s="117">
        <v>19.708413100153468</v>
      </c>
    </row>
    <row r="36" spans="1:10" ht="16">
      <c r="A36" s="93" t="s">
        <v>479</v>
      </c>
      <c r="B36" s="94" t="s">
        <v>474</v>
      </c>
      <c r="C36" s="95" t="s">
        <v>107</v>
      </c>
      <c r="D36" s="96" t="s">
        <v>62</v>
      </c>
      <c r="E36" s="97">
        <v>14428</v>
      </c>
      <c r="F36" s="97">
        <v>925</v>
      </c>
      <c r="G36" s="97">
        <v>144</v>
      </c>
      <c r="H36" s="114">
        <v>14.566935470862118</v>
      </c>
      <c r="I36" s="125">
        <v>2648</v>
      </c>
      <c r="J36" s="115">
        <v>23.066217010586684</v>
      </c>
    </row>
    <row r="37" spans="1:10" ht="16">
      <c r="A37" s="100" t="s">
        <v>480</v>
      </c>
      <c r="B37" s="101" t="s">
        <v>474</v>
      </c>
      <c r="C37" s="102" t="s">
        <v>107</v>
      </c>
      <c r="D37" s="103" t="s">
        <v>84</v>
      </c>
      <c r="E37" s="104">
        <v>23098</v>
      </c>
      <c r="F37" s="104">
        <v>1638</v>
      </c>
      <c r="G37" s="104">
        <v>462</v>
      </c>
      <c r="H37" s="116">
        <v>9.0526604853006347</v>
      </c>
      <c r="I37" s="126">
        <v>1651</v>
      </c>
      <c r="J37" s="117">
        <v>29.564838643181851</v>
      </c>
    </row>
    <row r="38" spans="1:10" ht="16">
      <c r="A38" s="93" t="s">
        <v>644</v>
      </c>
      <c r="B38" s="94" t="s">
        <v>642</v>
      </c>
      <c r="C38" s="95" t="s">
        <v>107</v>
      </c>
      <c r="D38" s="96" t="s">
        <v>80</v>
      </c>
      <c r="E38" s="97">
        <v>19143</v>
      </c>
      <c r="F38" s="97">
        <v>1679</v>
      </c>
      <c r="G38" s="97">
        <v>574</v>
      </c>
      <c r="H38" s="114">
        <v>8.304260246362988</v>
      </c>
      <c r="I38" s="125">
        <v>1745</v>
      </c>
      <c r="J38" s="115">
        <v>17.208967134480009</v>
      </c>
    </row>
    <row r="39" spans="1:10" ht="16">
      <c r="A39" s="100" t="s">
        <v>447</v>
      </c>
      <c r="B39" s="101" t="s">
        <v>448</v>
      </c>
      <c r="C39" s="102" t="s">
        <v>76</v>
      </c>
      <c r="D39" s="103" t="s">
        <v>61</v>
      </c>
      <c r="E39" s="104">
        <v>46505</v>
      </c>
      <c r="F39" s="104">
        <v>1735</v>
      </c>
      <c r="G39" s="104">
        <v>2325</v>
      </c>
      <c r="H39" s="116">
        <v>17.558225876798566</v>
      </c>
      <c r="I39" s="126">
        <v>10883</v>
      </c>
      <c r="J39" s="117">
        <v>19.481750202421207</v>
      </c>
    </row>
    <row r="40" spans="1:10" ht="16">
      <c r="A40" s="93" t="s">
        <v>1289</v>
      </c>
      <c r="B40" s="94" t="s">
        <v>1288</v>
      </c>
      <c r="C40" s="95" t="s">
        <v>107</v>
      </c>
      <c r="D40" s="96" t="s">
        <v>62</v>
      </c>
      <c r="E40" s="97">
        <v>46683</v>
      </c>
      <c r="F40" s="97">
        <v>2212</v>
      </c>
      <c r="G40" s="97">
        <v>9803</v>
      </c>
      <c r="H40" s="114">
        <v>50.990630415409413</v>
      </c>
      <c r="I40" s="125">
        <v>41470</v>
      </c>
      <c r="J40" s="115">
        <v>40.018293890271863</v>
      </c>
    </row>
    <row r="41" spans="1:10" ht="16">
      <c r="A41" s="100" t="s">
        <v>1080</v>
      </c>
      <c r="B41" s="101" t="s">
        <v>1081</v>
      </c>
      <c r="C41" s="102" t="s">
        <v>76</v>
      </c>
      <c r="D41" s="103" t="s">
        <v>77</v>
      </c>
      <c r="E41" s="104">
        <v>11779</v>
      </c>
      <c r="F41" s="104">
        <v>395</v>
      </c>
      <c r="G41" s="104">
        <v>589</v>
      </c>
      <c r="H41" s="116">
        <v>34.140732491277767</v>
      </c>
      <c r="I41" s="126">
        <v>7819</v>
      </c>
      <c r="J41" s="117">
        <v>18.03153384437843</v>
      </c>
    </row>
    <row r="42" spans="1:10" ht="16">
      <c r="A42" s="93" t="s">
        <v>348</v>
      </c>
      <c r="B42" s="94" t="s">
        <v>344</v>
      </c>
      <c r="C42" s="95" t="s">
        <v>107</v>
      </c>
      <c r="D42" s="96" t="s">
        <v>92</v>
      </c>
      <c r="E42" s="97">
        <v>87471</v>
      </c>
      <c r="F42" s="97">
        <v>4440</v>
      </c>
      <c r="G42" s="97">
        <v>875</v>
      </c>
      <c r="H42" s="114">
        <v>9.1263342153420641</v>
      </c>
      <c r="I42" s="125">
        <v>2348</v>
      </c>
      <c r="J42" s="115">
        <v>16.002976865549755</v>
      </c>
    </row>
    <row r="43" spans="1:10" ht="16">
      <c r="A43" s="100" t="s">
        <v>1192</v>
      </c>
      <c r="B43" s="101" t="s">
        <v>1190</v>
      </c>
      <c r="C43" s="102" t="s">
        <v>107</v>
      </c>
      <c r="D43" s="103" t="s">
        <v>84</v>
      </c>
      <c r="E43" s="104">
        <v>11113</v>
      </c>
      <c r="F43" s="104">
        <v>527</v>
      </c>
      <c r="G43" s="104">
        <v>2889</v>
      </c>
      <c r="H43" s="116">
        <v>24.51885597733428</v>
      </c>
      <c r="I43" s="126">
        <v>13345</v>
      </c>
      <c r="J43" s="117">
        <v>21.063748734831726</v>
      </c>
    </row>
    <row r="44" spans="1:10" ht="16">
      <c r="A44" s="93" t="s">
        <v>349</v>
      </c>
      <c r="B44" s="94" t="s">
        <v>344</v>
      </c>
      <c r="C44" s="95" t="s">
        <v>76</v>
      </c>
      <c r="D44" s="96" t="s">
        <v>63</v>
      </c>
      <c r="E44" s="97">
        <v>22393</v>
      </c>
      <c r="F44" s="97">
        <v>549</v>
      </c>
      <c r="G44" s="97">
        <v>501</v>
      </c>
      <c r="H44" s="114">
        <v>9.4733462379331215</v>
      </c>
      <c r="I44" s="125">
        <v>8822</v>
      </c>
      <c r="J44" s="115">
        <v>12.102786972584415</v>
      </c>
    </row>
    <row r="45" spans="1:10" ht="16">
      <c r="A45" s="100" t="s">
        <v>449</v>
      </c>
      <c r="B45" s="101" t="s">
        <v>448</v>
      </c>
      <c r="C45" s="102" t="s">
        <v>107</v>
      </c>
      <c r="D45" s="103" t="s">
        <v>63</v>
      </c>
      <c r="E45" s="104">
        <v>9678</v>
      </c>
      <c r="F45" s="104">
        <v>218</v>
      </c>
      <c r="G45" s="104">
        <v>484</v>
      </c>
      <c r="H45" s="116">
        <v>21.503207578559028</v>
      </c>
      <c r="I45" s="126">
        <v>8410</v>
      </c>
      <c r="J45" s="117">
        <v>17.980003676929229</v>
      </c>
    </row>
    <row r="46" spans="1:10" ht="16">
      <c r="A46" s="93" t="s">
        <v>1146</v>
      </c>
      <c r="B46" s="94" t="s">
        <v>1142</v>
      </c>
      <c r="C46" s="95" t="s">
        <v>107</v>
      </c>
      <c r="D46" s="96" t="s">
        <v>130</v>
      </c>
      <c r="E46" s="97">
        <v>9862</v>
      </c>
      <c r="F46" s="97">
        <v>587</v>
      </c>
      <c r="G46" s="97">
        <v>592</v>
      </c>
      <c r="H46" s="114">
        <v>9.5034108268015292</v>
      </c>
      <c r="I46" s="125">
        <v>3477</v>
      </c>
      <c r="J46" s="115">
        <v>15.142700484467674</v>
      </c>
    </row>
    <row r="47" spans="1:10" ht="16">
      <c r="A47" s="100" t="s">
        <v>1290</v>
      </c>
      <c r="B47" s="101" t="s">
        <v>1288</v>
      </c>
      <c r="C47" s="102" t="s">
        <v>76</v>
      </c>
      <c r="D47" s="103" t="s">
        <v>80</v>
      </c>
      <c r="E47" s="104">
        <v>26641</v>
      </c>
      <c r="F47" s="104">
        <v>1417</v>
      </c>
      <c r="G47" s="104">
        <v>2398</v>
      </c>
      <c r="H47" s="116">
        <v>21.995992885062471</v>
      </c>
      <c r="I47" s="126">
        <v>9253</v>
      </c>
      <c r="J47" s="117">
        <v>33.173511774791898</v>
      </c>
    </row>
    <row r="48" spans="1:10" ht="16">
      <c r="A48" s="93" t="s">
        <v>833</v>
      </c>
      <c r="B48" s="94" t="s">
        <v>834</v>
      </c>
      <c r="C48" s="95" t="s">
        <v>76</v>
      </c>
      <c r="D48" s="96" t="s">
        <v>92</v>
      </c>
      <c r="E48" s="97">
        <v>18035</v>
      </c>
      <c r="F48" s="97">
        <v>1055</v>
      </c>
      <c r="G48" s="97">
        <v>8476</v>
      </c>
      <c r="H48" s="114">
        <v>18.461574801189784</v>
      </c>
      <c r="I48" s="125">
        <v>18068</v>
      </c>
      <c r="J48" s="115">
        <v>20.562959992333013</v>
      </c>
    </row>
    <row r="49" spans="1:10" ht="16">
      <c r="A49" s="100" t="s">
        <v>211</v>
      </c>
      <c r="B49" s="101" t="s">
        <v>212</v>
      </c>
      <c r="C49" s="102" t="s">
        <v>107</v>
      </c>
      <c r="D49" s="103" t="s">
        <v>82</v>
      </c>
      <c r="E49" s="104">
        <v>15575</v>
      </c>
      <c r="F49" s="104">
        <v>880</v>
      </c>
      <c r="G49" s="104">
        <v>312</v>
      </c>
      <c r="H49" s="116">
        <v>12.325320148521726</v>
      </c>
      <c r="I49" s="126">
        <v>2836</v>
      </c>
      <c r="J49" s="117">
        <v>15.933621900156643</v>
      </c>
    </row>
    <row r="50" spans="1:10" ht="16">
      <c r="A50" s="93" t="s">
        <v>88</v>
      </c>
      <c r="B50" s="94" t="s">
        <v>89</v>
      </c>
      <c r="C50" s="95" t="s">
        <v>76</v>
      </c>
      <c r="D50" s="96" t="s">
        <v>59</v>
      </c>
      <c r="E50" s="97">
        <v>23886</v>
      </c>
      <c r="F50" s="97">
        <v>549</v>
      </c>
      <c r="G50" s="97">
        <v>2866</v>
      </c>
      <c r="H50" s="114">
        <v>27.916137453170926</v>
      </c>
      <c r="I50" s="125">
        <v>20309</v>
      </c>
      <c r="J50" s="115">
        <v>21.393220440050147</v>
      </c>
    </row>
    <row r="51" spans="1:10" ht="16">
      <c r="A51" s="100" t="s">
        <v>90</v>
      </c>
      <c r="B51" s="101" t="s">
        <v>89</v>
      </c>
      <c r="C51" s="102" t="s">
        <v>76</v>
      </c>
      <c r="D51" s="103" t="s">
        <v>80</v>
      </c>
      <c r="E51" s="104">
        <v>17359</v>
      </c>
      <c r="F51" s="104">
        <v>975</v>
      </c>
      <c r="G51" s="104">
        <v>7638</v>
      </c>
      <c r="H51" s="116">
        <v>70.434574179405402</v>
      </c>
      <c r="I51" s="126">
        <v>61761</v>
      </c>
      <c r="J51" s="117">
        <v>55.134868663219272</v>
      </c>
    </row>
    <row r="52" spans="1:10" ht="16">
      <c r="A52" s="93" t="s">
        <v>797</v>
      </c>
      <c r="B52" s="94" t="s">
        <v>798</v>
      </c>
      <c r="C52" s="95" t="s">
        <v>76</v>
      </c>
      <c r="D52" s="96" t="s">
        <v>130</v>
      </c>
      <c r="E52" s="97">
        <v>59507</v>
      </c>
      <c r="F52" s="97">
        <v>3362</v>
      </c>
      <c r="G52" s="97">
        <v>1190</v>
      </c>
      <c r="H52" s="114">
        <v>9.77968919268009</v>
      </c>
      <c r="I52" s="125">
        <v>755</v>
      </c>
      <c r="J52" s="115">
        <v>14.513387855041717</v>
      </c>
    </row>
    <row r="53" spans="1:10" ht="16">
      <c r="A53" s="100" t="s">
        <v>1019</v>
      </c>
      <c r="B53" s="101" t="s">
        <v>1020</v>
      </c>
      <c r="C53" s="102" t="s">
        <v>76</v>
      </c>
      <c r="D53" s="103" t="s">
        <v>92</v>
      </c>
      <c r="E53" s="104">
        <v>31877</v>
      </c>
      <c r="F53" s="104">
        <v>2530</v>
      </c>
      <c r="G53" s="104">
        <v>5100</v>
      </c>
      <c r="H53" s="116">
        <v>36.230407953728502</v>
      </c>
      <c r="I53" s="126">
        <v>33696</v>
      </c>
      <c r="J53" s="117">
        <v>41.794539834289637</v>
      </c>
    </row>
    <row r="54" spans="1:10" ht="16">
      <c r="A54" s="93" t="s">
        <v>799</v>
      </c>
      <c r="B54" s="94" t="s">
        <v>798</v>
      </c>
      <c r="C54" s="95" t="s">
        <v>76</v>
      </c>
      <c r="D54" s="96" t="s">
        <v>77</v>
      </c>
      <c r="E54" s="97">
        <v>34995</v>
      </c>
      <c r="F54" s="97">
        <v>1923</v>
      </c>
      <c r="G54" s="97">
        <v>350</v>
      </c>
      <c r="H54" s="114">
        <v>9.1924411455997035</v>
      </c>
      <c r="I54" s="125">
        <v>786</v>
      </c>
      <c r="J54" s="115">
        <v>15.939786883370482</v>
      </c>
    </row>
    <row r="55" spans="1:10" ht="16">
      <c r="A55" s="100" t="s">
        <v>1021</v>
      </c>
      <c r="B55" s="101" t="s">
        <v>1020</v>
      </c>
      <c r="C55" s="102" t="s">
        <v>76</v>
      </c>
      <c r="D55" s="103" t="s">
        <v>63</v>
      </c>
      <c r="E55" s="104">
        <v>29576</v>
      </c>
      <c r="F55" s="104">
        <v>2207</v>
      </c>
      <c r="G55" s="104">
        <v>4141</v>
      </c>
      <c r="H55" s="116">
        <v>29.071791134829219</v>
      </c>
      <c r="I55" s="126">
        <v>21506</v>
      </c>
      <c r="J55" s="117">
        <v>40.494711862801388</v>
      </c>
    </row>
    <row r="56" spans="1:10" ht="16">
      <c r="A56" s="93" t="s">
        <v>800</v>
      </c>
      <c r="B56" s="94" t="s">
        <v>798</v>
      </c>
      <c r="C56" s="95" t="s">
        <v>76</v>
      </c>
      <c r="D56" s="96" t="s">
        <v>63</v>
      </c>
      <c r="E56" s="97">
        <v>69982</v>
      </c>
      <c r="F56" s="97">
        <v>2108</v>
      </c>
      <c r="G56" s="97">
        <v>700</v>
      </c>
      <c r="H56" s="114">
        <v>7.9950124336095296</v>
      </c>
      <c r="I56" s="125">
        <v>1021</v>
      </c>
      <c r="J56" s="115">
        <v>16.826977586342707</v>
      </c>
    </row>
    <row r="57" spans="1:10" ht="16">
      <c r="A57" s="100" t="s">
        <v>801</v>
      </c>
      <c r="B57" s="101" t="s">
        <v>798</v>
      </c>
      <c r="C57" s="102" t="s">
        <v>76</v>
      </c>
      <c r="D57" s="103" t="s">
        <v>80</v>
      </c>
      <c r="E57" s="104">
        <v>32012</v>
      </c>
      <c r="F57" s="104">
        <v>3370</v>
      </c>
      <c r="G57" s="104">
        <v>320</v>
      </c>
      <c r="H57" s="116">
        <v>8.275450102048401</v>
      </c>
      <c r="I57" s="126">
        <v>904</v>
      </c>
      <c r="J57" s="117">
        <v>18.525586982452985</v>
      </c>
    </row>
    <row r="58" spans="1:10" ht="16">
      <c r="A58" s="93" t="s">
        <v>802</v>
      </c>
      <c r="B58" s="94" t="s">
        <v>798</v>
      </c>
      <c r="C58" s="95" t="s">
        <v>76</v>
      </c>
      <c r="D58" s="96" t="s">
        <v>63</v>
      </c>
      <c r="E58" s="97">
        <v>72792</v>
      </c>
      <c r="F58" s="97">
        <v>3386</v>
      </c>
      <c r="G58" s="97">
        <v>5065</v>
      </c>
      <c r="H58" s="114">
        <v>8.2779436172186482</v>
      </c>
      <c r="I58" s="125">
        <v>1203</v>
      </c>
      <c r="J58" s="115">
        <v>13.54711675793958</v>
      </c>
    </row>
    <row r="59" spans="1:10" ht="16">
      <c r="A59" s="100" t="s">
        <v>803</v>
      </c>
      <c r="B59" s="101" t="s">
        <v>798</v>
      </c>
      <c r="C59" s="102" t="s">
        <v>76</v>
      </c>
      <c r="D59" s="103" t="s">
        <v>130</v>
      </c>
      <c r="E59" s="104">
        <v>57588</v>
      </c>
      <c r="F59" s="104">
        <v>2594</v>
      </c>
      <c r="G59" s="104">
        <v>576</v>
      </c>
      <c r="H59" s="116">
        <v>10.134091439392787</v>
      </c>
      <c r="I59" s="126">
        <v>650</v>
      </c>
      <c r="J59" s="117">
        <v>14.639590672691572</v>
      </c>
    </row>
    <row r="60" spans="1:10" ht="16">
      <c r="A60" s="93" t="s">
        <v>539</v>
      </c>
      <c r="B60" s="94" t="s">
        <v>537</v>
      </c>
      <c r="C60" s="95" t="s">
        <v>76</v>
      </c>
      <c r="D60" s="96" t="s">
        <v>80</v>
      </c>
      <c r="E60" s="97">
        <v>6329</v>
      </c>
      <c r="F60" s="97">
        <v>265</v>
      </c>
      <c r="G60" s="97">
        <v>291</v>
      </c>
      <c r="H60" s="114">
        <v>13.375213679262407</v>
      </c>
      <c r="I60" s="125">
        <v>3067</v>
      </c>
      <c r="J60" s="115">
        <v>18.443041033195374</v>
      </c>
    </row>
    <row r="61" spans="1:10" ht="16">
      <c r="A61" s="100" t="s">
        <v>910</v>
      </c>
      <c r="B61" s="101" t="s">
        <v>909</v>
      </c>
      <c r="C61" s="102" t="s">
        <v>76</v>
      </c>
      <c r="D61" s="103" t="s">
        <v>59</v>
      </c>
      <c r="E61" s="104">
        <v>37168</v>
      </c>
      <c r="F61" s="104">
        <v>1511</v>
      </c>
      <c r="G61" s="104">
        <v>1487</v>
      </c>
      <c r="H61" s="116">
        <v>14.412680813950024</v>
      </c>
      <c r="I61" s="126">
        <v>5304</v>
      </c>
      <c r="J61" s="117">
        <v>17.40217545810059</v>
      </c>
    </row>
    <row r="62" spans="1:10" ht="16">
      <c r="A62" s="93" t="s">
        <v>540</v>
      </c>
      <c r="B62" s="94" t="s">
        <v>537</v>
      </c>
      <c r="C62" s="95" t="s">
        <v>107</v>
      </c>
      <c r="D62" s="96" t="s">
        <v>59</v>
      </c>
      <c r="E62" s="97">
        <v>5744</v>
      </c>
      <c r="F62" s="97">
        <v>194</v>
      </c>
      <c r="G62" s="97">
        <v>400</v>
      </c>
      <c r="H62" s="114">
        <v>21.706281955467944</v>
      </c>
      <c r="I62" s="125">
        <v>21274</v>
      </c>
      <c r="J62" s="115">
        <v>15.582212944757876</v>
      </c>
    </row>
    <row r="63" spans="1:10" ht="16">
      <c r="A63" s="100" t="s">
        <v>857</v>
      </c>
      <c r="B63" s="101" t="s">
        <v>858</v>
      </c>
      <c r="C63" s="102" t="s">
        <v>107</v>
      </c>
      <c r="D63" s="103" t="s">
        <v>77</v>
      </c>
      <c r="E63" s="104">
        <v>28135</v>
      </c>
      <c r="F63" s="104">
        <v>816</v>
      </c>
      <c r="G63" s="104">
        <v>1958</v>
      </c>
      <c r="H63" s="116">
        <v>9.5091762440590699</v>
      </c>
      <c r="I63" s="126">
        <v>1818</v>
      </c>
      <c r="J63" s="117">
        <v>13.796182011048593</v>
      </c>
    </row>
    <row r="64" spans="1:10" ht="16">
      <c r="A64" s="93" t="s">
        <v>1147</v>
      </c>
      <c r="B64" s="94" t="s">
        <v>1142</v>
      </c>
      <c r="C64" s="95" t="s">
        <v>107</v>
      </c>
      <c r="D64" s="96" t="s">
        <v>61</v>
      </c>
      <c r="E64" s="97">
        <v>16458</v>
      </c>
      <c r="F64" s="97">
        <v>430</v>
      </c>
      <c r="G64" s="97">
        <v>1975</v>
      </c>
      <c r="H64" s="114">
        <v>14.864020720294283</v>
      </c>
      <c r="I64" s="125">
        <v>2233</v>
      </c>
      <c r="J64" s="115">
        <v>19.09601417688323</v>
      </c>
    </row>
    <row r="65" spans="1:10" ht="16">
      <c r="A65" s="100" t="s">
        <v>481</v>
      </c>
      <c r="B65" s="101" t="s">
        <v>474</v>
      </c>
      <c r="C65" s="102" t="s">
        <v>107</v>
      </c>
      <c r="D65" s="103" t="s">
        <v>84</v>
      </c>
      <c r="E65" s="104">
        <v>14953</v>
      </c>
      <c r="F65" s="104">
        <v>1323</v>
      </c>
      <c r="G65" s="104">
        <v>449</v>
      </c>
      <c r="H65" s="116">
        <v>17.223206474233361</v>
      </c>
      <c r="I65" s="126">
        <v>7757</v>
      </c>
      <c r="J65" s="117">
        <v>30.824163576717638</v>
      </c>
    </row>
    <row r="66" spans="1:10" ht="16">
      <c r="A66" s="93" t="s">
        <v>482</v>
      </c>
      <c r="B66" s="94" t="s">
        <v>474</v>
      </c>
      <c r="C66" s="95" t="s">
        <v>76</v>
      </c>
      <c r="D66" s="96" t="s">
        <v>77</v>
      </c>
      <c r="E66" s="97">
        <v>10355</v>
      </c>
      <c r="F66" s="97">
        <v>542</v>
      </c>
      <c r="G66" s="97">
        <v>414</v>
      </c>
      <c r="H66" s="114">
        <v>10.81396589928001</v>
      </c>
      <c r="I66" s="125">
        <v>1111</v>
      </c>
      <c r="J66" s="115">
        <v>33.588253589504795</v>
      </c>
    </row>
    <row r="67" spans="1:10" ht="16">
      <c r="A67" s="100" t="s">
        <v>529</v>
      </c>
      <c r="B67" s="101" t="s">
        <v>530</v>
      </c>
      <c r="C67" s="102" t="s">
        <v>107</v>
      </c>
      <c r="D67" s="103" t="s">
        <v>59</v>
      </c>
      <c r="E67" s="104">
        <v>17382</v>
      </c>
      <c r="F67" s="104">
        <v>1655</v>
      </c>
      <c r="G67" s="104">
        <v>348</v>
      </c>
      <c r="H67" s="116">
        <v>17.681752271262614</v>
      </c>
      <c r="I67" s="126">
        <v>2779</v>
      </c>
      <c r="J67" s="117">
        <v>22.399530698044845</v>
      </c>
    </row>
    <row r="68" spans="1:10" ht="16">
      <c r="A68" s="93" t="s">
        <v>1193</v>
      </c>
      <c r="B68" s="94" t="s">
        <v>1190</v>
      </c>
      <c r="C68" s="95" t="s">
        <v>76</v>
      </c>
      <c r="D68" s="96" t="s">
        <v>59</v>
      </c>
      <c r="E68" s="97">
        <v>9590</v>
      </c>
      <c r="F68" s="97">
        <v>588</v>
      </c>
      <c r="G68" s="97">
        <v>2206</v>
      </c>
      <c r="H68" s="114">
        <v>21.29072658328792</v>
      </c>
      <c r="I68" s="125">
        <v>13839</v>
      </c>
      <c r="J68" s="115">
        <v>23.015354210136287</v>
      </c>
    </row>
    <row r="69" spans="1:10" ht="16">
      <c r="A69" s="100" t="s">
        <v>590</v>
      </c>
      <c r="B69" s="101" t="s">
        <v>591</v>
      </c>
      <c r="C69" s="102" t="s">
        <v>76</v>
      </c>
      <c r="D69" s="103" t="s">
        <v>62</v>
      </c>
      <c r="E69" s="104">
        <v>16723</v>
      </c>
      <c r="F69" s="104">
        <v>956</v>
      </c>
      <c r="G69" s="104">
        <v>836</v>
      </c>
      <c r="H69" s="116">
        <v>36.883379423738084</v>
      </c>
      <c r="I69" s="126">
        <v>16229</v>
      </c>
      <c r="J69" s="117">
        <v>30.066285756287961</v>
      </c>
    </row>
    <row r="70" spans="1:10" ht="16">
      <c r="A70" s="93" t="s">
        <v>918</v>
      </c>
      <c r="B70" s="94" t="s">
        <v>919</v>
      </c>
      <c r="C70" s="95" t="s">
        <v>76</v>
      </c>
      <c r="D70" s="96" t="s">
        <v>130</v>
      </c>
      <c r="E70" s="97">
        <v>15236</v>
      </c>
      <c r="F70" s="97">
        <v>1373</v>
      </c>
      <c r="G70" s="97">
        <v>457</v>
      </c>
      <c r="H70" s="114">
        <v>8.1763057239254895</v>
      </c>
      <c r="I70" s="125">
        <v>435</v>
      </c>
      <c r="J70" s="115">
        <v>17.856445685340432</v>
      </c>
    </row>
    <row r="71" spans="1:10" ht="16">
      <c r="A71" s="100" t="s">
        <v>1148</v>
      </c>
      <c r="B71" s="101" t="s">
        <v>1142</v>
      </c>
      <c r="C71" s="102" t="s">
        <v>76</v>
      </c>
      <c r="D71" s="103" t="s">
        <v>80</v>
      </c>
      <c r="E71" s="104">
        <v>12516</v>
      </c>
      <c r="F71" s="104">
        <v>1138</v>
      </c>
      <c r="G71" s="104">
        <v>1188</v>
      </c>
      <c r="H71" s="116">
        <v>11.502500631293348</v>
      </c>
      <c r="I71" s="126">
        <v>530</v>
      </c>
      <c r="J71" s="117">
        <v>22.258757225183174</v>
      </c>
    </row>
    <row r="72" spans="1:10" ht="16">
      <c r="A72" s="93" t="s">
        <v>920</v>
      </c>
      <c r="B72" s="94" t="s">
        <v>919</v>
      </c>
      <c r="C72" s="95" t="s">
        <v>107</v>
      </c>
      <c r="D72" s="96" t="s">
        <v>84</v>
      </c>
      <c r="E72" s="97">
        <v>19785</v>
      </c>
      <c r="F72" s="97">
        <v>4122</v>
      </c>
      <c r="G72" s="97">
        <v>1583</v>
      </c>
      <c r="H72" s="114">
        <v>17.61725982160517</v>
      </c>
      <c r="I72" s="125">
        <v>2993</v>
      </c>
      <c r="J72" s="115">
        <v>34.07147474988642</v>
      </c>
    </row>
    <row r="73" spans="1:10" ht="16">
      <c r="A73" s="100" t="s">
        <v>1291</v>
      </c>
      <c r="B73" s="101" t="s">
        <v>1288</v>
      </c>
      <c r="C73" s="102" t="s">
        <v>76</v>
      </c>
      <c r="D73" s="103" t="s">
        <v>77</v>
      </c>
      <c r="E73" s="104">
        <v>17078</v>
      </c>
      <c r="F73" s="104">
        <v>1054</v>
      </c>
      <c r="G73" s="104">
        <v>1025</v>
      </c>
      <c r="H73" s="116">
        <v>19.19084625196751</v>
      </c>
      <c r="I73" s="126">
        <v>9859</v>
      </c>
      <c r="J73" s="117">
        <v>33.00766296616176</v>
      </c>
    </row>
    <row r="74" spans="1:10" ht="16">
      <c r="A74" s="93" t="s">
        <v>222</v>
      </c>
      <c r="B74" s="94" t="s">
        <v>223</v>
      </c>
      <c r="C74" s="95" t="s">
        <v>107</v>
      </c>
      <c r="D74" s="96" t="s">
        <v>130</v>
      </c>
      <c r="E74" s="97">
        <v>29952</v>
      </c>
      <c r="F74" s="97">
        <v>2186</v>
      </c>
      <c r="G74" s="97">
        <v>1797</v>
      </c>
      <c r="H74" s="114">
        <v>34.992066689152026</v>
      </c>
      <c r="I74" s="125">
        <v>13092</v>
      </c>
      <c r="J74" s="115">
        <v>31.399095462548964</v>
      </c>
    </row>
    <row r="75" spans="1:10" ht="16">
      <c r="A75" s="100" t="s">
        <v>224</v>
      </c>
      <c r="B75" s="101" t="s">
        <v>223</v>
      </c>
      <c r="C75" s="102" t="s">
        <v>107</v>
      </c>
      <c r="D75" s="103" t="s">
        <v>80</v>
      </c>
      <c r="E75" s="104">
        <v>30608</v>
      </c>
      <c r="F75" s="104">
        <v>2301</v>
      </c>
      <c r="G75" s="104">
        <v>2449</v>
      </c>
      <c r="H75" s="116">
        <v>32.758681843596811</v>
      </c>
      <c r="I75" s="126">
        <v>10617</v>
      </c>
      <c r="J75" s="117">
        <v>31.485267796507681</v>
      </c>
    </row>
    <row r="76" spans="1:10" ht="16">
      <c r="A76" s="93" t="s">
        <v>225</v>
      </c>
      <c r="B76" s="94" t="s">
        <v>223</v>
      </c>
      <c r="C76" s="95" t="s">
        <v>76</v>
      </c>
      <c r="D76" s="96" t="s">
        <v>62</v>
      </c>
      <c r="E76" s="97">
        <v>26457</v>
      </c>
      <c r="F76" s="97">
        <v>1890</v>
      </c>
      <c r="G76" s="97">
        <v>2117</v>
      </c>
      <c r="H76" s="114">
        <v>24.326287317154431</v>
      </c>
      <c r="I76" s="125">
        <v>4854</v>
      </c>
      <c r="J76" s="115">
        <v>23.876424712932415</v>
      </c>
    </row>
    <row r="77" spans="1:10" ht="16">
      <c r="A77" s="100" t="s">
        <v>226</v>
      </c>
      <c r="B77" s="101" t="s">
        <v>223</v>
      </c>
      <c r="C77" s="102" t="s">
        <v>76</v>
      </c>
      <c r="D77" s="103" t="s">
        <v>62</v>
      </c>
      <c r="E77" s="104">
        <v>23524</v>
      </c>
      <c r="F77" s="104">
        <v>1528</v>
      </c>
      <c r="G77" s="104">
        <v>2588</v>
      </c>
      <c r="H77" s="116">
        <v>40.246964200785968</v>
      </c>
      <c r="I77" s="126">
        <v>19309</v>
      </c>
      <c r="J77" s="117">
        <v>47.10833019751361</v>
      </c>
    </row>
    <row r="78" spans="1:10" ht="16">
      <c r="A78" s="93" t="s">
        <v>141</v>
      </c>
      <c r="B78" s="94" t="s">
        <v>142</v>
      </c>
      <c r="C78" s="95" t="s">
        <v>76</v>
      </c>
      <c r="D78" s="96" t="s">
        <v>60</v>
      </c>
      <c r="E78" s="97">
        <v>27101</v>
      </c>
      <c r="F78" s="97">
        <v>3226</v>
      </c>
      <c r="G78" s="97">
        <v>2439</v>
      </c>
      <c r="H78" s="114">
        <v>10.151069836010812</v>
      </c>
      <c r="I78" s="125">
        <v>1336</v>
      </c>
      <c r="J78" s="115">
        <v>21.823981460458356</v>
      </c>
    </row>
    <row r="79" spans="1:10" ht="16">
      <c r="A79" s="100" t="s">
        <v>921</v>
      </c>
      <c r="B79" s="101" t="s">
        <v>919</v>
      </c>
      <c r="C79" s="102" t="s">
        <v>76</v>
      </c>
      <c r="D79" s="103" t="s">
        <v>61</v>
      </c>
      <c r="E79" s="104">
        <v>13175</v>
      </c>
      <c r="F79" s="104">
        <v>983</v>
      </c>
      <c r="G79" s="104">
        <v>2372</v>
      </c>
      <c r="H79" s="116">
        <v>10.533525085116333</v>
      </c>
      <c r="I79" s="126">
        <v>2067</v>
      </c>
      <c r="J79" s="117">
        <v>19.857927144539207</v>
      </c>
    </row>
    <row r="80" spans="1:10" ht="16">
      <c r="A80" s="93" t="s">
        <v>350</v>
      </c>
      <c r="B80" s="94" t="s">
        <v>344</v>
      </c>
      <c r="C80" s="95" t="s">
        <v>107</v>
      </c>
      <c r="D80" s="96" t="s">
        <v>63</v>
      </c>
      <c r="E80" s="97">
        <v>97843</v>
      </c>
      <c r="F80" s="97">
        <v>3208</v>
      </c>
      <c r="G80" s="97">
        <v>4892</v>
      </c>
      <c r="H80" s="114">
        <v>7.7885988967594839</v>
      </c>
      <c r="I80" s="125">
        <v>4103</v>
      </c>
      <c r="J80" s="115">
        <v>15.579380320925047</v>
      </c>
    </row>
    <row r="81" spans="1:10" ht="16">
      <c r="A81" s="100" t="s">
        <v>351</v>
      </c>
      <c r="B81" s="101" t="s">
        <v>344</v>
      </c>
      <c r="C81" s="102" t="s">
        <v>107</v>
      </c>
      <c r="D81" s="103" t="s">
        <v>82</v>
      </c>
      <c r="E81" s="104">
        <v>67981</v>
      </c>
      <c r="F81" s="104">
        <v>2687</v>
      </c>
      <c r="G81" s="104">
        <v>680</v>
      </c>
      <c r="H81" s="116">
        <v>8.2762706403909156</v>
      </c>
      <c r="I81" s="126">
        <v>4605</v>
      </c>
      <c r="J81" s="117">
        <v>15.329705931614333</v>
      </c>
    </row>
    <row r="82" spans="1:10" ht="16">
      <c r="A82" s="93" t="s">
        <v>401</v>
      </c>
      <c r="B82" s="94" t="s">
        <v>402</v>
      </c>
      <c r="C82" s="95" t="s">
        <v>76</v>
      </c>
      <c r="D82" s="96" t="s">
        <v>77</v>
      </c>
      <c r="E82" s="97">
        <v>24875</v>
      </c>
      <c r="F82" s="97">
        <v>321</v>
      </c>
      <c r="G82" s="97">
        <v>1990</v>
      </c>
      <c r="H82" s="114">
        <v>43.528500963385895</v>
      </c>
      <c r="I82" s="125">
        <v>38957</v>
      </c>
      <c r="J82" s="115">
        <v>36.291732816541973</v>
      </c>
    </row>
    <row r="83" spans="1:10" ht="16">
      <c r="A83" s="100" t="s">
        <v>1149</v>
      </c>
      <c r="B83" s="101" t="s">
        <v>1142</v>
      </c>
      <c r="C83" s="102" t="s">
        <v>107</v>
      </c>
      <c r="D83" s="103" t="s">
        <v>62</v>
      </c>
      <c r="E83" s="104">
        <v>10374</v>
      </c>
      <c r="F83" s="104">
        <v>715</v>
      </c>
      <c r="G83" s="104">
        <v>934</v>
      </c>
      <c r="H83" s="116">
        <v>25.028897068987586</v>
      </c>
      <c r="I83" s="126">
        <v>13210</v>
      </c>
      <c r="J83" s="117">
        <v>25.283600651949769</v>
      </c>
    </row>
    <row r="84" spans="1:10" ht="16">
      <c r="A84" s="93" t="s">
        <v>1292</v>
      </c>
      <c r="B84" s="94" t="s">
        <v>1288</v>
      </c>
      <c r="C84" s="95" t="s">
        <v>107</v>
      </c>
      <c r="D84" s="96" t="s">
        <v>60</v>
      </c>
      <c r="E84" s="97">
        <v>17848</v>
      </c>
      <c r="F84" s="97">
        <v>766</v>
      </c>
      <c r="G84" s="97">
        <v>2499</v>
      </c>
      <c r="H84" s="114">
        <v>21.921284043236099</v>
      </c>
      <c r="I84" s="125">
        <v>13686</v>
      </c>
      <c r="J84" s="115">
        <v>23.40717053073077</v>
      </c>
    </row>
    <row r="85" spans="1:10" ht="16">
      <c r="A85" s="100" t="s">
        <v>1194</v>
      </c>
      <c r="B85" s="101" t="s">
        <v>1190</v>
      </c>
      <c r="C85" s="102" t="s">
        <v>76</v>
      </c>
      <c r="D85" s="103" t="s">
        <v>62</v>
      </c>
      <c r="E85" s="104">
        <v>8631</v>
      </c>
      <c r="F85" s="104">
        <v>546</v>
      </c>
      <c r="G85" s="104">
        <v>3280</v>
      </c>
      <c r="H85" s="116">
        <v>31.824492233226259</v>
      </c>
      <c r="I85" s="126">
        <v>19915</v>
      </c>
      <c r="J85" s="117">
        <v>27.785720636596778</v>
      </c>
    </row>
    <row r="86" spans="1:10" ht="16">
      <c r="A86" s="93" t="s">
        <v>483</v>
      </c>
      <c r="B86" s="94" t="s">
        <v>474</v>
      </c>
      <c r="C86" s="95" t="s">
        <v>107</v>
      </c>
      <c r="D86" s="96" t="s">
        <v>60</v>
      </c>
      <c r="E86" s="97">
        <v>13535</v>
      </c>
      <c r="F86" s="97">
        <v>778</v>
      </c>
      <c r="G86" s="97">
        <v>135</v>
      </c>
      <c r="H86" s="114">
        <v>11.246735564770352</v>
      </c>
      <c r="I86" s="125">
        <v>3412</v>
      </c>
      <c r="J86" s="115">
        <v>19.789136785592071</v>
      </c>
    </row>
    <row r="87" spans="1:10" ht="16">
      <c r="A87" s="100" t="s">
        <v>1195</v>
      </c>
      <c r="B87" s="101" t="s">
        <v>1190</v>
      </c>
      <c r="C87" s="102" t="s">
        <v>76</v>
      </c>
      <c r="D87" s="103" t="s">
        <v>84</v>
      </c>
      <c r="E87" s="104">
        <v>19975</v>
      </c>
      <c r="F87" s="104">
        <v>1104</v>
      </c>
      <c r="G87" s="104">
        <v>4594</v>
      </c>
      <c r="H87" s="116">
        <v>10.736039470042295</v>
      </c>
      <c r="I87" s="126">
        <v>3940</v>
      </c>
      <c r="J87" s="117">
        <v>16.418804493960433</v>
      </c>
    </row>
    <row r="88" spans="1:10" ht="16">
      <c r="A88" s="93" t="s">
        <v>1150</v>
      </c>
      <c r="B88" s="94" t="s">
        <v>1142</v>
      </c>
      <c r="C88" s="95" t="s">
        <v>107</v>
      </c>
      <c r="D88" s="96" t="s">
        <v>77</v>
      </c>
      <c r="E88" s="97">
        <v>13202</v>
      </c>
      <c r="F88" s="97">
        <v>569</v>
      </c>
      <c r="G88" s="97">
        <v>396</v>
      </c>
      <c r="H88" s="114">
        <v>21.235089845385968</v>
      </c>
      <c r="I88" s="125">
        <v>10542</v>
      </c>
      <c r="J88" s="115">
        <v>23.253278691881523</v>
      </c>
    </row>
    <row r="89" spans="1:10" ht="16">
      <c r="A89" s="100" t="s">
        <v>531</v>
      </c>
      <c r="B89" s="101" t="s">
        <v>530</v>
      </c>
      <c r="C89" s="102" t="s">
        <v>76</v>
      </c>
      <c r="D89" s="103" t="s">
        <v>62</v>
      </c>
      <c r="E89" s="104">
        <v>22289</v>
      </c>
      <c r="F89" s="104">
        <v>1798</v>
      </c>
      <c r="G89" s="104">
        <v>669</v>
      </c>
      <c r="H89" s="116">
        <v>10.632606966457791</v>
      </c>
      <c r="I89" s="126">
        <v>1046</v>
      </c>
      <c r="J89" s="117">
        <v>19.823897267687887</v>
      </c>
    </row>
    <row r="90" spans="1:10" ht="16">
      <c r="A90" s="93" t="s">
        <v>91</v>
      </c>
      <c r="B90" s="94" t="s">
        <v>89</v>
      </c>
      <c r="C90" s="95" t="s">
        <v>76</v>
      </c>
      <c r="D90" s="96" t="s">
        <v>92</v>
      </c>
      <c r="E90" s="97">
        <v>3341</v>
      </c>
      <c r="F90" s="97">
        <v>324</v>
      </c>
      <c r="G90" s="97">
        <v>1437</v>
      </c>
      <c r="H90" s="114">
        <v>19.653795402597773</v>
      </c>
      <c r="I90" s="125">
        <v>12748</v>
      </c>
      <c r="J90" s="115">
        <v>21.249261726479702</v>
      </c>
    </row>
    <row r="91" spans="1:10" ht="16">
      <c r="A91" s="100" t="s">
        <v>1293</v>
      </c>
      <c r="B91" s="101" t="s">
        <v>1288</v>
      </c>
      <c r="C91" s="102" t="s">
        <v>76</v>
      </c>
      <c r="D91" s="103" t="s">
        <v>59</v>
      </c>
      <c r="E91" s="104">
        <v>12904</v>
      </c>
      <c r="F91" s="104">
        <v>822</v>
      </c>
      <c r="G91" s="104">
        <v>1419</v>
      </c>
      <c r="H91" s="116">
        <v>34.37242462538201</v>
      </c>
      <c r="I91" s="126">
        <v>23484</v>
      </c>
      <c r="J91" s="117">
        <v>37.240173952984605</v>
      </c>
    </row>
    <row r="92" spans="1:10" ht="16">
      <c r="A92" s="93" t="s">
        <v>1294</v>
      </c>
      <c r="B92" s="94" t="s">
        <v>1288</v>
      </c>
      <c r="C92" s="95" t="s">
        <v>76</v>
      </c>
      <c r="D92" s="96" t="s">
        <v>77</v>
      </c>
      <c r="E92" s="97">
        <v>25662</v>
      </c>
      <c r="F92" s="97">
        <v>2212</v>
      </c>
      <c r="G92" s="97">
        <v>6929</v>
      </c>
      <c r="H92" s="114">
        <v>56.063719791573412</v>
      </c>
      <c r="I92" s="125">
        <v>53397</v>
      </c>
      <c r="J92" s="115">
        <v>57.661957484755327</v>
      </c>
    </row>
    <row r="93" spans="1:10" ht="16">
      <c r="A93" s="100" t="s">
        <v>1196</v>
      </c>
      <c r="B93" s="101" t="s">
        <v>1190</v>
      </c>
      <c r="C93" s="102" t="s">
        <v>76</v>
      </c>
      <c r="D93" s="103" t="s">
        <v>92</v>
      </c>
      <c r="E93" s="104">
        <v>13692</v>
      </c>
      <c r="F93" s="104">
        <v>801</v>
      </c>
      <c r="G93" s="104">
        <v>2465</v>
      </c>
      <c r="H93" s="116">
        <v>19.04762873698515</v>
      </c>
      <c r="I93" s="126">
        <v>10447</v>
      </c>
      <c r="J93" s="117">
        <v>34.006206813777482</v>
      </c>
    </row>
    <row r="94" spans="1:10" ht="16">
      <c r="A94" s="93" t="s">
        <v>1295</v>
      </c>
      <c r="B94" s="94" t="s">
        <v>1288</v>
      </c>
      <c r="C94" s="95" t="s">
        <v>76</v>
      </c>
      <c r="D94" s="96" t="s">
        <v>61</v>
      </c>
      <c r="E94" s="97">
        <v>5375</v>
      </c>
      <c r="F94" s="97">
        <v>441</v>
      </c>
      <c r="G94" s="97">
        <v>1451</v>
      </c>
      <c r="H94" s="114">
        <v>23.486689180746897</v>
      </c>
      <c r="I94" s="125">
        <v>23010</v>
      </c>
      <c r="J94" s="115">
        <v>28.66458779125842</v>
      </c>
    </row>
    <row r="95" spans="1:10" ht="16">
      <c r="A95" s="100" t="s">
        <v>1197</v>
      </c>
      <c r="B95" s="101" t="s">
        <v>1190</v>
      </c>
      <c r="C95" s="102" t="s">
        <v>76</v>
      </c>
      <c r="D95" s="103" t="s">
        <v>130</v>
      </c>
      <c r="E95" s="104">
        <v>879</v>
      </c>
      <c r="F95" s="104">
        <v>78</v>
      </c>
      <c r="G95" s="104">
        <v>132</v>
      </c>
      <c r="H95" s="116">
        <v>20.826628827528715</v>
      </c>
      <c r="I95" s="126">
        <v>20057</v>
      </c>
      <c r="J95" s="117">
        <v>16.48997818314481</v>
      </c>
    </row>
    <row r="96" spans="1:10" ht="16">
      <c r="A96" s="93" t="s">
        <v>321</v>
      </c>
      <c r="B96" s="94" t="s">
        <v>322</v>
      </c>
      <c r="C96" s="95" t="s">
        <v>107</v>
      </c>
      <c r="D96" s="96" t="s">
        <v>130</v>
      </c>
      <c r="E96" s="97">
        <v>20275</v>
      </c>
      <c r="F96" s="97">
        <v>1034</v>
      </c>
      <c r="G96" s="97">
        <v>4461</v>
      </c>
      <c r="H96" s="114">
        <v>15.613109175232239</v>
      </c>
      <c r="I96" s="125">
        <v>3482</v>
      </c>
      <c r="J96" s="115">
        <v>19.359335724553628</v>
      </c>
    </row>
    <row r="97" spans="1:10" ht="16">
      <c r="A97" s="100" t="s">
        <v>1296</v>
      </c>
      <c r="B97" s="101" t="s">
        <v>1288</v>
      </c>
      <c r="C97" s="102" t="s">
        <v>107</v>
      </c>
      <c r="D97" s="103" t="s">
        <v>61</v>
      </c>
      <c r="E97" s="104">
        <v>9391</v>
      </c>
      <c r="F97" s="104">
        <v>870</v>
      </c>
      <c r="G97" s="104">
        <v>1878</v>
      </c>
      <c r="H97" s="116">
        <v>56.292018796778159</v>
      </c>
      <c r="I97" s="126">
        <v>53343</v>
      </c>
      <c r="J97" s="117">
        <v>64.321101257341113</v>
      </c>
    </row>
    <row r="98" spans="1:10" ht="16">
      <c r="A98" s="93" t="s">
        <v>1198</v>
      </c>
      <c r="B98" s="94" t="s">
        <v>1190</v>
      </c>
      <c r="C98" s="95" t="s">
        <v>107</v>
      </c>
      <c r="D98" s="96" t="s">
        <v>61</v>
      </c>
      <c r="E98" s="97">
        <v>10961</v>
      </c>
      <c r="F98" s="97">
        <v>672</v>
      </c>
      <c r="G98" s="97">
        <v>3946</v>
      </c>
      <c r="H98" s="114">
        <v>27.594833617619251</v>
      </c>
      <c r="I98" s="125">
        <v>17119</v>
      </c>
      <c r="J98" s="115">
        <v>27.018713014117267</v>
      </c>
    </row>
    <row r="99" spans="1:10" ht="16">
      <c r="A99" s="100" t="s">
        <v>541</v>
      </c>
      <c r="B99" s="101" t="s">
        <v>537</v>
      </c>
      <c r="C99" s="102" t="s">
        <v>76</v>
      </c>
      <c r="D99" s="103" t="s">
        <v>59</v>
      </c>
      <c r="E99" s="104">
        <v>11609</v>
      </c>
      <c r="F99" s="104">
        <v>441</v>
      </c>
      <c r="G99" s="104">
        <v>116</v>
      </c>
      <c r="H99" s="116">
        <v>16.239610397462066</v>
      </c>
      <c r="I99" s="126">
        <v>4001</v>
      </c>
      <c r="J99" s="117">
        <v>22.278900134572872</v>
      </c>
    </row>
    <row r="100" spans="1:10" ht="16">
      <c r="A100" s="93" t="s">
        <v>911</v>
      </c>
      <c r="B100" s="94" t="s">
        <v>909</v>
      </c>
      <c r="C100" s="95" t="s">
        <v>76</v>
      </c>
      <c r="D100" s="96" t="s">
        <v>59</v>
      </c>
      <c r="E100" s="97">
        <v>22022</v>
      </c>
      <c r="F100" s="97">
        <v>1488</v>
      </c>
      <c r="G100" s="97">
        <v>661</v>
      </c>
      <c r="H100" s="114">
        <v>10.853194756500134</v>
      </c>
      <c r="I100" s="125">
        <v>5366</v>
      </c>
      <c r="J100" s="115">
        <v>16.16769650535587</v>
      </c>
    </row>
    <row r="101" spans="1:10" ht="16">
      <c r="A101" s="100" t="s">
        <v>465</v>
      </c>
      <c r="B101" s="101" t="s">
        <v>466</v>
      </c>
      <c r="C101" s="102" t="s">
        <v>107</v>
      </c>
      <c r="D101" s="103" t="s">
        <v>82</v>
      </c>
      <c r="E101" s="104">
        <v>18219</v>
      </c>
      <c r="F101" s="104">
        <v>1078</v>
      </c>
      <c r="G101" s="104">
        <v>1275</v>
      </c>
      <c r="H101" s="116">
        <v>16.358782234313338</v>
      </c>
      <c r="I101" s="126">
        <v>4076</v>
      </c>
      <c r="J101" s="117">
        <v>17.509241459304295</v>
      </c>
    </row>
    <row r="102" spans="1:10" ht="16">
      <c r="A102" s="93" t="s">
        <v>352</v>
      </c>
      <c r="B102" s="94" t="s">
        <v>344</v>
      </c>
      <c r="C102" s="95" t="s">
        <v>107</v>
      </c>
      <c r="D102" s="96" t="s">
        <v>80</v>
      </c>
      <c r="E102" s="97">
        <v>223275</v>
      </c>
      <c r="F102" s="97">
        <v>5499</v>
      </c>
      <c r="G102" s="97">
        <v>4466</v>
      </c>
      <c r="H102" s="114">
        <v>13.867920845781235</v>
      </c>
      <c r="I102" s="125">
        <v>7123</v>
      </c>
      <c r="J102" s="115">
        <v>22.159178290488569</v>
      </c>
    </row>
    <row r="103" spans="1:10" ht="16">
      <c r="A103" s="100" t="s">
        <v>1297</v>
      </c>
      <c r="B103" s="101" t="s">
        <v>1288</v>
      </c>
      <c r="C103" s="102" t="s">
        <v>107</v>
      </c>
      <c r="D103" s="103" t="s">
        <v>130</v>
      </c>
      <c r="E103" s="104">
        <v>2240</v>
      </c>
      <c r="F103" s="104">
        <v>350</v>
      </c>
      <c r="G103" s="104">
        <v>672</v>
      </c>
      <c r="H103" s="116">
        <v>97.714208980505319</v>
      </c>
      <c r="I103" s="126">
        <v>95281</v>
      </c>
      <c r="J103" s="117">
        <v>92.862044042680239</v>
      </c>
    </row>
    <row r="104" spans="1:10" ht="16">
      <c r="A104" s="93" t="s">
        <v>1298</v>
      </c>
      <c r="B104" s="94" t="s">
        <v>1288</v>
      </c>
      <c r="C104" s="95" t="s">
        <v>76</v>
      </c>
      <c r="D104" s="96" t="s">
        <v>77</v>
      </c>
      <c r="E104" s="97">
        <v>30595</v>
      </c>
      <c r="F104" s="97">
        <v>1553</v>
      </c>
      <c r="G104" s="97">
        <v>1224</v>
      </c>
      <c r="H104" s="114">
        <v>10.40664463393728</v>
      </c>
      <c r="I104" s="125">
        <v>2809</v>
      </c>
      <c r="J104" s="115">
        <v>23.171702379613212</v>
      </c>
    </row>
    <row r="105" spans="1:10" ht="16">
      <c r="A105" s="100" t="s">
        <v>1151</v>
      </c>
      <c r="B105" s="101" t="s">
        <v>1142</v>
      </c>
      <c r="C105" s="102" t="s">
        <v>107</v>
      </c>
      <c r="D105" s="103" t="s">
        <v>62</v>
      </c>
      <c r="E105" s="104">
        <v>9164</v>
      </c>
      <c r="F105" s="104">
        <v>323</v>
      </c>
      <c r="G105" s="104">
        <v>183</v>
      </c>
      <c r="H105" s="116">
        <v>12.28028040156177</v>
      </c>
      <c r="I105" s="126">
        <v>11439</v>
      </c>
      <c r="J105" s="117">
        <v>15.588593829891485</v>
      </c>
    </row>
    <row r="106" spans="1:10" ht="16">
      <c r="A106" s="93" t="s">
        <v>1199</v>
      </c>
      <c r="B106" s="94" t="s">
        <v>1190</v>
      </c>
      <c r="C106" s="95" t="s">
        <v>76</v>
      </c>
      <c r="D106" s="96" t="s">
        <v>59</v>
      </c>
      <c r="E106" s="97">
        <v>11386</v>
      </c>
      <c r="F106" s="97">
        <v>674</v>
      </c>
      <c r="G106" s="97">
        <v>1366</v>
      </c>
      <c r="H106" s="114">
        <v>11.905587497951144</v>
      </c>
      <c r="I106" s="125">
        <v>2296</v>
      </c>
      <c r="J106" s="115">
        <v>16.683469552620341</v>
      </c>
    </row>
    <row r="107" spans="1:10" ht="16">
      <c r="A107" s="100" t="s">
        <v>227</v>
      </c>
      <c r="B107" s="101" t="s">
        <v>223</v>
      </c>
      <c r="C107" s="102" t="s">
        <v>76</v>
      </c>
      <c r="D107" s="103" t="s">
        <v>80</v>
      </c>
      <c r="E107" s="104">
        <v>13178</v>
      </c>
      <c r="F107" s="104">
        <v>1938</v>
      </c>
      <c r="G107" s="104">
        <v>659</v>
      </c>
      <c r="H107" s="116">
        <v>20.240359900162261</v>
      </c>
      <c r="I107" s="126">
        <v>5055</v>
      </c>
      <c r="J107" s="117">
        <v>30.771933881596592</v>
      </c>
    </row>
    <row r="108" spans="1:10" ht="16">
      <c r="A108" s="93" t="s">
        <v>1200</v>
      </c>
      <c r="B108" s="94" t="s">
        <v>1190</v>
      </c>
      <c r="C108" s="95" t="s">
        <v>76</v>
      </c>
      <c r="D108" s="96" t="s">
        <v>60</v>
      </c>
      <c r="E108" s="97">
        <v>8661</v>
      </c>
      <c r="F108" s="97">
        <v>525</v>
      </c>
      <c r="G108" s="97">
        <v>1472</v>
      </c>
      <c r="H108" s="114">
        <v>11.007724091032983</v>
      </c>
      <c r="I108" s="125">
        <v>4503</v>
      </c>
      <c r="J108" s="115">
        <v>17.357052338691357</v>
      </c>
    </row>
    <row r="109" spans="1:10" ht="16">
      <c r="A109" s="100" t="s">
        <v>1201</v>
      </c>
      <c r="B109" s="101" t="s">
        <v>1190</v>
      </c>
      <c r="C109" s="102" t="s">
        <v>76</v>
      </c>
      <c r="D109" s="103" t="s">
        <v>80</v>
      </c>
      <c r="E109" s="104">
        <v>25501</v>
      </c>
      <c r="F109" s="104">
        <v>1889</v>
      </c>
      <c r="G109" s="104">
        <v>6885</v>
      </c>
      <c r="H109" s="116">
        <v>35.987940485647584</v>
      </c>
      <c r="I109" s="126">
        <v>31084</v>
      </c>
      <c r="J109" s="117">
        <v>33.457738617348554</v>
      </c>
    </row>
    <row r="110" spans="1:10" ht="16">
      <c r="A110" s="93" t="s">
        <v>183</v>
      </c>
      <c r="B110" s="94" t="s">
        <v>184</v>
      </c>
      <c r="C110" s="95" t="s">
        <v>107</v>
      </c>
      <c r="D110" s="96" t="s">
        <v>130</v>
      </c>
      <c r="E110" s="97">
        <v>27570</v>
      </c>
      <c r="F110" s="97">
        <v>928</v>
      </c>
      <c r="G110" s="97">
        <v>5790</v>
      </c>
      <c r="H110" s="114">
        <v>28.149523396930554</v>
      </c>
      <c r="I110" s="125">
        <v>15638</v>
      </c>
      <c r="J110" s="115">
        <v>20.412167360806773</v>
      </c>
    </row>
    <row r="111" spans="1:10" ht="16">
      <c r="A111" s="100" t="s">
        <v>1022</v>
      </c>
      <c r="B111" s="101" t="s">
        <v>1020</v>
      </c>
      <c r="C111" s="102" t="s">
        <v>107</v>
      </c>
      <c r="D111" s="103" t="s">
        <v>59</v>
      </c>
      <c r="E111" s="104">
        <v>17265</v>
      </c>
      <c r="F111" s="104">
        <v>1570</v>
      </c>
      <c r="G111" s="104">
        <v>2590</v>
      </c>
      <c r="H111" s="116">
        <v>16.525993791478076</v>
      </c>
      <c r="I111" s="126">
        <v>5788</v>
      </c>
      <c r="J111" s="117">
        <v>25.261859823793674</v>
      </c>
    </row>
    <row r="112" spans="1:10" ht="16">
      <c r="A112" s="93" t="s">
        <v>1299</v>
      </c>
      <c r="B112" s="94" t="s">
        <v>1288</v>
      </c>
      <c r="C112" s="95" t="s">
        <v>107</v>
      </c>
      <c r="D112" s="96" t="s">
        <v>77</v>
      </c>
      <c r="E112" s="97">
        <v>13430</v>
      </c>
      <c r="F112" s="97">
        <v>988</v>
      </c>
      <c r="G112" s="97">
        <v>6446</v>
      </c>
      <c r="H112" s="114">
        <v>83.020323054544193</v>
      </c>
      <c r="I112" s="125">
        <v>81287</v>
      </c>
      <c r="J112" s="115">
        <v>66.514151266758404</v>
      </c>
    </row>
    <row r="113" spans="1:10" ht="16">
      <c r="A113" s="100" t="s">
        <v>1300</v>
      </c>
      <c r="B113" s="101" t="s">
        <v>1288</v>
      </c>
      <c r="C113" s="102" t="s">
        <v>107</v>
      </c>
      <c r="D113" s="103" t="s">
        <v>61</v>
      </c>
      <c r="E113" s="104">
        <v>10654</v>
      </c>
      <c r="F113" s="104">
        <v>1211</v>
      </c>
      <c r="G113" s="104">
        <v>2450</v>
      </c>
      <c r="H113" s="116">
        <v>40.316279881391914</v>
      </c>
      <c r="I113" s="126">
        <v>38154</v>
      </c>
      <c r="J113" s="117">
        <v>49.023448199696205</v>
      </c>
    </row>
    <row r="114" spans="1:10" ht="16">
      <c r="A114" s="93" t="s">
        <v>892</v>
      </c>
      <c r="B114" s="94" t="s">
        <v>893</v>
      </c>
      <c r="C114" s="95" t="s">
        <v>76</v>
      </c>
      <c r="D114" s="96" t="s">
        <v>63</v>
      </c>
      <c r="E114" s="97">
        <v>10998</v>
      </c>
      <c r="F114" s="97">
        <v>412</v>
      </c>
      <c r="G114" s="97">
        <v>1100</v>
      </c>
      <c r="H114" s="114">
        <v>15.617612063181717</v>
      </c>
      <c r="I114" s="125">
        <v>14307</v>
      </c>
      <c r="J114" s="115">
        <v>19.242278344155338</v>
      </c>
    </row>
    <row r="115" spans="1:10" ht="16">
      <c r="A115" s="100" t="s">
        <v>213</v>
      </c>
      <c r="B115" s="101" t="s">
        <v>212</v>
      </c>
      <c r="C115" s="102" t="s">
        <v>107</v>
      </c>
      <c r="D115" s="103" t="s">
        <v>84</v>
      </c>
      <c r="E115" s="104">
        <v>11871</v>
      </c>
      <c r="F115" s="104">
        <v>606</v>
      </c>
      <c r="G115" s="104">
        <v>237</v>
      </c>
      <c r="H115" s="116">
        <v>14.471988923409482</v>
      </c>
      <c r="I115" s="126">
        <v>2767</v>
      </c>
      <c r="J115" s="117">
        <v>15.58255101228235</v>
      </c>
    </row>
    <row r="116" spans="1:10" ht="16">
      <c r="A116" s="93" t="s">
        <v>599</v>
      </c>
      <c r="B116" s="94" t="s">
        <v>598</v>
      </c>
      <c r="C116" s="95" t="s">
        <v>76</v>
      </c>
      <c r="D116" s="96" t="s">
        <v>82</v>
      </c>
      <c r="E116" s="97">
        <v>28725</v>
      </c>
      <c r="F116" s="97">
        <v>1330</v>
      </c>
      <c r="G116" s="97">
        <v>2011</v>
      </c>
      <c r="H116" s="114">
        <v>21.519510532734774</v>
      </c>
      <c r="I116" s="125">
        <v>15267</v>
      </c>
      <c r="J116" s="115">
        <v>19.328101799027966</v>
      </c>
    </row>
    <row r="117" spans="1:10" ht="16">
      <c r="A117" s="100" t="s">
        <v>93</v>
      </c>
      <c r="B117" s="101" t="s">
        <v>89</v>
      </c>
      <c r="C117" s="102" t="s">
        <v>76</v>
      </c>
      <c r="D117" s="103" t="s">
        <v>82</v>
      </c>
      <c r="E117" s="104">
        <v>14701</v>
      </c>
      <c r="F117" s="104">
        <v>707</v>
      </c>
      <c r="G117" s="104">
        <v>4557</v>
      </c>
      <c r="H117" s="116">
        <v>13.561413373985205</v>
      </c>
      <c r="I117" s="126">
        <v>6522</v>
      </c>
      <c r="J117" s="117">
        <v>16.935425274113321</v>
      </c>
    </row>
    <row r="118" spans="1:10" ht="16">
      <c r="A118" s="93" t="s">
        <v>228</v>
      </c>
      <c r="B118" s="94" t="s">
        <v>223</v>
      </c>
      <c r="C118" s="95" t="s">
        <v>76</v>
      </c>
      <c r="D118" s="96" t="s">
        <v>130</v>
      </c>
      <c r="E118" s="97">
        <v>51546</v>
      </c>
      <c r="F118" s="97">
        <v>2801</v>
      </c>
      <c r="G118" s="97">
        <v>1031</v>
      </c>
      <c r="H118" s="114">
        <v>34.011262062064361</v>
      </c>
      <c r="I118" s="125">
        <v>19091</v>
      </c>
      <c r="J118" s="115">
        <v>32.134131118996159</v>
      </c>
    </row>
    <row r="119" spans="1:10" ht="16">
      <c r="A119" s="100" t="s">
        <v>378</v>
      </c>
      <c r="B119" s="101" t="s">
        <v>377</v>
      </c>
      <c r="C119" s="102" t="s">
        <v>107</v>
      </c>
      <c r="D119" s="103" t="s">
        <v>63</v>
      </c>
      <c r="E119" s="104">
        <v>1706</v>
      </c>
      <c r="F119" s="104">
        <v>106</v>
      </c>
      <c r="G119" s="104">
        <v>768</v>
      </c>
      <c r="H119" s="116">
        <v>30.314853704089707</v>
      </c>
      <c r="I119" s="126">
        <v>14412</v>
      </c>
      <c r="J119" s="117">
        <v>31.233313891726198</v>
      </c>
    </row>
    <row r="120" spans="1:10" ht="16">
      <c r="A120" s="93" t="s">
        <v>1061</v>
      </c>
      <c r="B120" s="94" t="s">
        <v>1062</v>
      </c>
      <c r="C120" s="95" t="s">
        <v>107</v>
      </c>
      <c r="D120" s="96" t="s">
        <v>62</v>
      </c>
      <c r="E120" s="97">
        <v>9209</v>
      </c>
      <c r="F120" s="97">
        <v>737</v>
      </c>
      <c r="G120" s="97">
        <v>1566</v>
      </c>
      <c r="H120" s="114">
        <v>42.724556984648622</v>
      </c>
      <c r="I120" s="125">
        <v>25362</v>
      </c>
      <c r="J120" s="115">
        <v>36.777031953115916</v>
      </c>
    </row>
    <row r="121" spans="1:10" ht="16">
      <c r="A121" s="100" t="s">
        <v>1082</v>
      </c>
      <c r="B121" s="101" t="s">
        <v>1081</v>
      </c>
      <c r="C121" s="102" t="s">
        <v>107</v>
      </c>
      <c r="D121" s="103" t="s">
        <v>63</v>
      </c>
      <c r="E121" s="104">
        <v>7556</v>
      </c>
      <c r="F121" s="104">
        <v>614</v>
      </c>
      <c r="G121" s="104">
        <v>378</v>
      </c>
      <c r="H121" s="116">
        <v>26.539074120490319</v>
      </c>
      <c r="I121" s="126">
        <v>7920</v>
      </c>
      <c r="J121" s="117">
        <v>24.155904798883931</v>
      </c>
    </row>
    <row r="122" spans="1:10" ht="16">
      <c r="A122" s="93" t="s">
        <v>1083</v>
      </c>
      <c r="B122" s="94" t="s">
        <v>1081</v>
      </c>
      <c r="C122" s="95" t="s">
        <v>76</v>
      </c>
      <c r="D122" s="96" t="s">
        <v>63</v>
      </c>
      <c r="E122" s="97">
        <v>16787</v>
      </c>
      <c r="F122" s="97">
        <v>401</v>
      </c>
      <c r="G122" s="97">
        <v>1343</v>
      </c>
      <c r="H122" s="114">
        <v>12.992560543035326</v>
      </c>
      <c r="I122" s="125">
        <v>869</v>
      </c>
      <c r="J122" s="115">
        <v>13.718553869399571</v>
      </c>
    </row>
    <row r="123" spans="1:10" ht="16">
      <c r="A123" s="100" t="s">
        <v>94</v>
      </c>
      <c r="B123" s="101" t="s">
        <v>89</v>
      </c>
      <c r="C123" s="102" t="s">
        <v>76</v>
      </c>
      <c r="D123" s="103" t="s">
        <v>84</v>
      </c>
      <c r="E123" s="104">
        <v>6314</v>
      </c>
      <c r="F123" s="104">
        <v>277</v>
      </c>
      <c r="G123" s="104">
        <v>2020</v>
      </c>
      <c r="H123" s="116">
        <v>24.770793773199795</v>
      </c>
      <c r="I123" s="126">
        <v>12622</v>
      </c>
      <c r="J123" s="117">
        <v>20.739780118042177</v>
      </c>
    </row>
    <row r="124" spans="1:10" ht="16">
      <c r="A124" s="93" t="s">
        <v>323</v>
      </c>
      <c r="B124" s="94" t="s">
        <v>322</v>
      </c>
      <c r="C124" s="95" t="s">
        <v>76</v>
      </c>
      <c r="D124" s="96" t="s">
        <v>82</v>
      </c>
      <c r="E124" s="97">
        <v>48623</v>
      </c>
      <c r="F124" s="97">
        <v>3829</v>
      </c>
      <c r="G124" s="97">
        <v>8752</v>
      </c>
      <c r="H124" s="114">
        <v>26.61559235140734</v>
      </c>
      <c r="I124" s="125">
        <v>13797</v>
      </c>
      <c r="J124" s="115">
        <v>33.046727829064665</v>
      </c>
    </row>
    <row r="125" spans="1:10" ht="16">
      <c r="A125" s="100" t="s">
        <v>403</v>
      </c>
      <c r="B125" s="101" t="s">
        <v>402</v>
      </c>
      <c r="C125" s="102" t="s">
        <v>107</v>
      </c>
      <c r="D125" s="103" t="s">
        <v>59</v>
      </c>
      <c r="E125" s="104">
        <v>10473</v>
      </c>
      <c r="F125" s="104">
        <v>229</v>
      </c>
      <c r="G125" s="104">
        <v>2514</v>
      </c>
      <c r="H125" s="116">
        <v>27.250393286265211</v>
      </c>
      <c r="I125" s="126">
        <v>7145</v>
      </c>
      <c r="J125" s="117">
        <v>33.501743271146808</v>
      </c>
    </row>
    <row r="126" spans="1:10" ht="16">
      <c r="A126" s="93" t="s">
        <v>1119</v>
      </c>
      <c r="B126" s="94" t="s">
        <v>1120</v>
      </c>
      <c r="C126" s="95" t="s">
        <v>76</v>
      </c>
      <c r="D126" s="96" t="s">
        <v>82</v>
      </c>
      <c r="E126" s="97">
        <v>35013</v>
      </c>
      <c r="F126" s="97">
        <v>2259</v>
      </c>
      <c r="G126" s="97">
        <v>700</v>
      </c>
      <c r="H126" s="114">
        <v>15.100636950224663</v>
      </c>
      <c r="I126" s="125">
        <v>2568</v>
      </c>
      <c r="J126" s="115">
        <v>21.631195357945099</v>
      </c>
    </row>
    <row r="127" spans="1:10" ht="16">
      <c r="A127" s="100" t="s">
        <v>645</v>
      </c>
      <c r="B127" s="101" t="s">
        <v>642</v>
      </c>
      <c r="C127" s="102" t="s">
        <v>107</v>
      </c>
      <c r="D127" s="103" t="s">
        <v>59</v>
      </c>
      <c r="E127" s="104">
        <v>9763</v>
      </c>
      <c r="F127" s="104">
        <v>321</v>
      </c>
      <c r="G127" s="104">
        <v>98</v>
      </c>
      <c r="H127" s="116">
        <v>9.1392828824757704</v>
      </c>
      <c r="I127" s="126">
        <v>710</v>
      </c>
      <c r="J127" s="117">
        <v>14.670758980096794</v>
      </c>
    </row>
    <row r="128" spans="1:10" ht="16">
      <c r="A128" s="93" t="s">
        <v>646</v>
      </c>
      <c r="B128" s="94" t="s">
        <v>642</v>
      </c>
      <c r="C128" s="95" t="s">
        <v>107</v>
      </c>
      <c r="D128" s="96" t="s">
        <v>92</v>
      </c>
      <c r="E128" s="97">
        <v>13764</v>
      </c>
      <c r="F128" s="97">
        <v>1404</v>
      </c>
      <c r="G128" s="97">
        <v>688</v>
      </c>
      <c r="H128" s="114">
        <v>19.386687320925677</v>
      </c>
      <c r="I128" s="125">
        <v>6269</v>
      </c>
      <c r="J128" s="115">
        <v>29.61825045374648</v>
      </c>
    </row>
    <row r="129" spans="1:10" ht="16">
      <c r="A129" s="100" t="s">
        <v>229</v>
      </c>
      <c r="B129" s="101" t="s">
        <v>223</v>
      </c>
      <c r="C129" s="102" t="s">
        <v>76</v>
      </c>
      <c r="D129" s="103" t="s">
        <v>63</v>
      </c>
      <c r="E129" s="104">
        <v>19586</v>
      </c>
      <c r="F129" s="104">
        <v>1688</v>
      </c>
      <c r="G129" s="104">
        <v>196</v>
      </c>
      <c r="H129" s="116">
        <v>26.582259169067843</v>
      </c>
      <c r="I129" s="126">
        <v>10731</v>
      </c>
      <c r="J129" s="117">
        <v>35.488644970883342</v>
      </c>
    </row>
    <row r="130" spans="1:10" ht="16">
      <c r="A130" s="93" t="s">
        <v>1084</v>
      </c>
      <c r="B130" s="94" t="s">
        <v>1081</v>
      </c>
      <c r="C130" s="95" t="s">
        <v>76</v>
      </c>
      <c r="D130" s="96" t="s">
        <v>82</v>
      </c>
      <c r="E130" s="97">
        <v>7603</v>
      </c>
      <c r="F130" s="97">
        <v>461</v>
      </c>
      <c r="G130" s="97">
        <v>608</v>
      </c>
      <c r="H130" s="114">
        <v>33.211993084762916</v>
      </c>
      <c r="I130" s="125">
        <v>14965</v>
      </c>
      <c r="J130" s="115">
        <v>26.429717136603113</v>
      </c>
    </row>
    <row r="131" spans="1:10" ht="16">
      <c r="A131" s="100" t="s">
        <v>230</v>
      </c>
      <c r="B131" s="101" t="s">
        <v>223</v>
      </c>
      <c r="C131" s="102" t="s">
        <v>76</v>
      </c>
      <c r="D131" s="103" t="s">
        <v>61</v>
      </c>
      <c r="E131" s="104">
        <v>16144</v>
      </c>
      <c r="F131" s="104">
        <v>897</v>
      </c>
      <c r="G131" s="104">
        <v>484</v>
      </c>
      <c r="H131" s="116">
        <v>13.500943420858976</v>
      </c>
      <c r="I131" s="126">
        <v>4667</v>
      </c>
      <c r="J131" s="117">
        <v>22.96340218055753</v>
      </c>
    </row>
    <row r="132" spans="1:10" ht="16">
      <c r="A132" s="93" t="s">
        <v>231</v>
      </c>
      <c r="B132" s="94" t="s">
        <v>223</v>
      </c>
      <c r="C132" s="95" t="s">
        <v>107</v>
      </c>
      <c r="D132" s="96" t="s">
        <v>63</v>
      </c>
      <c r="E132" s="97">
        <v>17752</v>
      </c>
      <c r="F132" s="97">
        <v>1168</v>
      </c>
      <c r="G132" s="97">
        <v>178</v>
      </c>
      <c r="H132" s="114">
        <v>14.3464185006658</v>
      </c>
      <c r="I132" s="125">
        <v>5696</v>
      </c>
      <c r="J132" s="115">
        <v>24.706052378786229</v>
      </c>
    </row>
    <row r="133" spans="1:10" ht="16">
      <c r="A133" s="100" t="s">
        <v>232</v>
      </c>
      <c r="B133" s="101" t="s">
        <v>223</v>
      </c>
      <c r="C133" s="102" t="s">
        <v>76</v>
      </c>
      <c r="D133" s="103" t="s">
        <v>63</v>
      </c>
      <c r="E133" s="104">
        <v>28934</v>
      </c>
      <c r="F133" s="104">
        <v>1733</v>
      </c>
      <c r="G133" s="104">
        <v>1157</v>
      </c>
      <c r="H133" s="116">
        <v>17.976152490622052</v>
      </c>
      <c r="I133" s="126">
        <v>7518</v>
      </c>
      <c r="J133" s="117">
        <v>21.05359909920773</v>
      </c>
    </row>
    <row r="134" spans="1:10" ht="16">
      <c r="A134" s="93" t="s">
        <v>233</v>
      </c>
      <c r="B134" s="94" t="s">
        <v>223</v>
      </c>
      <c r="C134" s="95" t="s">
        <v>107</v>
      </c>
      <c r="D134" s="96" t="s">
        <v>80</v>
      </c>
      <c r="E134" s="97">
        <v>47225</v>
      </c>
      <c r="F134" s="97">
        <v>2539</v>
      </c>
      <c r="G134" s="97">
        <v>945</v>
      </c>
      <c r="H134" s="114">
        <v>13.985734579269781</v>
      </c>
      <c r="I134" s="125">
        <v>6528</v>
      </c>
      <c r="J134" s="115">
        <v>19.975629105385913</v>
      </c>
    </row>
    <row r="135" spans="1:10" ht="16">
      <c r="A135" s="100" t="s">
        <v>234</v>
      </c>
      <c r="B135" s="101" t="s">
        <v>223</v>
      </c>
      <c r="C135" s="102" t="s">
        <v>107</v>
      </c>
      <c r="D135" s="103" t="s">
        <v>84</v>
      </c>
      <c r="E135" s="104">
        <v>15150</v>
      </c>
      <c r="F135" s="104">
        <v>810</v>
      </c>
      <c r="G135" s="104">
        <v>606</v>
      </c>
      <c r="H135" s="116">
        <v>26.150164660279348</v>
      </c>
      <c r="I135" s="126">
        <v>10359</v>
      </c>
      <c r="J135" s="117">
        <v>24.925764576529609</v>
      </c>
    </row>
    <row r="136" spans="1:10" ht="16">
      <c r="A136" s="93" t="s">
        <v>458</v>
      </c>
      <c r="B136" s="94" t="s">
        <v>459</v>
      </c>
      <c r="C136" s="95" t="s">
        <v>107</v>
      </c>
      <c r="D136" s="96" t="s">
        <v>130</v>
      </c>
      <c r="E136" s="97">
        <v>18340</v>
      </c>
      <c r="F136" s="97">
        <v>986</v>
      </c>
      <c r="G136" s="97">
        <v>5869</v>
      </c>
      <c r="H136" s="114">
        <v>63.024968335978308</v>
      </c>
      <c r="I136" s="125">
        <v>53194</v>
      </c>
      <c r="J136" s="115">
        <v>56.529889236256224</v>
      </c>
    </row>
    <row r="137" spans="1:10" ht="16">
      <c r="A137" s="100" t="s">
        <v>989</v>
      </c>
      <c r="B137" s="101" t="s">
        <v>988</v>
      </c>
      <c r="C137" s="102" t="s">
        <v>107</v>
      </c>
      <c r="D137" s="103" t="s">
        <v>84</v>
      </c>
      <c r="E137" s="104">
        <v>20601</v>
      </c>
      <c r="F137" s="104">
        <v>995</v>
      </c>
      <c r="G137" s="104">
        <v>1030</v>
      </c>
      <c r="H137" s="116">
        <v>20.532267823348885</v>
      </c>
      <c r="I137" s="126">
        <v>4933</v>
      </c>
      <c r="J137" s="117">
        <v>23.226855812431239</v>
      </c>
    </row>
    <row r="138" spans="1:10" ht="16">
      <c r="A138" s="93" t="s">
        <v>235</v>
      </c>
      <c r="B138" s="94" t="s">
        <v>223</v>
      </c>
      <c r="C138" s="95" t="s">
        <v>76</v>
      </c>
      <c r="D138" s="96" t="s">
        <v>130</v>
      </c>
      <c r="E138" s="97">
        <v>44394</v>
      </c>
      <c r="F138" s="97">
        <v>2775</v>
      </c>
      <c r="G138" s="97">
        <v>1776</v>
      </c>
      <c r="H138" s="114">
        <v>21.586286248455654</v>
      </c>
      <c r="I138" s="125">
        <v>7626</v>
      </c>
      <c r="J138" s="115">
        <v>23.292485880975562</v>
      </c>
    </row>
    <row r="139" spans="1:10" ht="16">
      <c r="A139" s="100" t="s">
        <v>990</v>
      </c>
      <c r="B139" s="101" t="s">
        <v>988</v>
      </c>
      <c r="C139" s="102" t="s">
        <v>107</v>
      </c>
      <c r="D139" s="103" t="s">
        <v>62</v>
      </c>
      <c r="E139" s="104">
        <v>22469</v>
      </c>
      <c r="F139" s="104">
        <v>1330</v>
      </c>
      <c r="G139" s="104">
        <v>1348</v>
      </c>
      <c r="H139" s="116">
        <v>21.1438708317079</v>
      </c>
      <c r="I139" s="126">
        <v>6050</v>
      </c>
      <c r="J139" s="117">
        <v>22.049681883229628</v>
      </c>
    </row>
    <row r="140" spans="1:10" ht="16">
      <c r="A140" s="93" t="s">
        <v>647</v>
      </c>
      <c r="B140" s="94" t="s">
        <v>642</v>
      </c>
      <c r="C140" s="95" t="s">
        <v>107</v>
      </c>
      <c r="D140" s="96" t="s">
        <v>59</v>
      </c>
      <c r="E140" s="97">
        <v>12533</v>
      </c>
      <c r="F140" s="97">
        <v>520</v>
      </c>
      <c r="G140" s="97">
        <v>125</v>
      </c>
      <c r="H140" s="114">
        <v>10.003240990766798</v>
      </c>
      <c r="I140" s="125">
        <v>1770</v>
      </c>
      <c r="J140" s="115">
        <v>13.858418795448257</v>
      </c>
    </row>
    <row r="141" spans="1:10" ht="16">
      <c r="A141" s="100" t="s">
        <v>1121</v>
      </c>
      <c r="B141" s="101" t="s">
        <v>1120</v>
      </c>
      <c r="C141" s="102" t="s">
        <v>76</v>
      </c>
      <c r="D141" s="103" t="s">
        <v>59</v>
      </c>
      <c r="E141" s="104">
        <v>38531</v>
      </c>
      <c r="F141" s="104">
        <v>2752</v>
      </c>
      <c r="G141" s="104">
        <v>1541</v>
      </c>
      <c r="H141" s="116">
        <v>22.435484464979876</v>
      </c>
      <c r="I141" s="126">
        <v>4886</v>
      </c>
      <c r="J141" s="117">
        <v>31.982642408130694</v>
      </c>
    </row>
    <row r="142" spans="1:10" ht="16">
      <c r="A142" s="93" t="s">
        <v>1085</v>
      </c>
      <c r="B142" s="94" t="s">
        <v>1081</v>
      </c>
      <c r="C142" s="95" t="s">
        <v>107</v>
      </c>
      <c r="D142" s="96" t="s">
        <v>77</v>
      </c>
      <c r="E142" s="97">
        <v>15926</v>
      </c>
      <c r="F142" s="97">
        <v>484</v>
      </c>
      <c r="G142" s="97">
        <v>1752</v>
      </c>
      <c r="H142" s="114">
        <v>24.672282457089963</v>
      </c>
      <c r="I142" s="125">
        <v>3656</v>
      </c>
      <c r="J142" s="115">
        <v>17.359513755488916</v>
      </c>
    </row>
    <row r="143" spans="1:10" ht="16">
      <c r="A143" s="100" t="s">
        <v>991</v>
      </c>
      <c r="B143" s="101" t="s">
        <v>988</v>
      </c>
      <c r="C143" s="102" t="s">
        <v>107</v>
      </c>
      <c r="D143" s="103" t="s">
        <v>84</v>
      </c>
      <c r="E143" s="104">
        <v>16681</v>
      </c>
      <c r="F143" s="104">
        <v>755</v>
      </c>
      <c r="G143" s="104">
        <v>3003</v>
      </c>
      <c r="H143" s="116">
        <v>37.275474634270658</v>
      </c>
      <c r="I143" s="126">
        <v>9402</v>
      </c>
      <c r="J143" s="117">
        <v>38.462323816354335</v>
      </c>
    </row>
    <row r="144" spans="1:10" ht="16">
      <c r="A144" s="93" t="s">
        <v>992</v>
      </c>
      <c r="B144" s="94" t="s">
        <v>988</v>
      </c>
      <c r="C144" s="95" t="s">
        <v>107</v>
      </c>
      <c r="D144" s="96" t="s">
        <v>63</v>
      </c>
      <c r="E144" s="97">
        <v>21908</v>
      </c>
      <c r="F144" s="97">
        <v>1101</v>
      </c>
      <c r="G144" s="97">
        <v>876</v>
      </c>
      <c r="H144" s="114">
        <v>21.345016798457696</v>
      </c>
      <c r="I144" s="125">
        <v>2643</v>
      </c>
      <c r="J144" s="115">
        <v>22.886702531517919</v>
      </c>
    </row>
    <row r="145" spans="1:10" ht="16">
      <c r="A145" s="100" t="s">
        <v>648</v>
      </c>
      <c r="B145" s="101" t="s">
        <v>642</v>
      </c>
      <c r="C145" s="102" t="s">
        <v>107</v>
      </c>
      <c r="D145" s="103" t="s">
        <v>82</v>
      </c>
      <c r="E145" s="104">
        <v>26302</v>
      </c>
      <c r="F145" s="104">
        <v>707</v>
      </c>
      <c r="G145" s="104">
        <v>1052</v>
      </c>
      <c r="H145" s="116">
        <v>11.160197621302224</v>
      </c>
      <c r="I145" s="126">
        <v>2468</v>
      </c>
      <c r="J145" s="117">
        <v>27.845805146262695</v>
      </c>
    </row>
    <row r="146" spans="1:10" ht="16">
      <c r="A146" s="93" t="s">
        <v>460</v>
      </c>
      <c r="B146" s="94" t="s">
        <v>459</v>
      </c>
      <c r="C146" s="95" t="s">
        <v>76</v>
      </c>
      <c r="D146" s="96" t="s">
        <v>60</v>
      </c>
      <c r="E146" s="97">
        <v>9587</v>
      </c>
      <c r="F146" s="97">
        <v>872</v>
      </c>
      <c r="G146" s="97">
        <v>4314</v>
      </c>
      <c r="H146" s="114">
        <v>49.097985455349885</v>
      </c>
      <c r="I146" s="125">
        <v>38047</v>
      </c>
      <c r="J146" s="115">
        <v>41.414239707480967</v>
      </c>
    </row>
    <row r="147" spans="1:10" ht="16">
      <c r="A147" s="100" t="s">
        <v>1202</v>
      </c>
      <c r="B147" s="101" t="s">
        <v>1190</v>
      </c>
      <c r="C147" s="102" t="s">
        <v>76</v>
      </c>
      <c r="D147" s="103" t="s">
        <v>84</v>
      </c>
      <c r="E147" s="104">
        <v>14362</v>
      </c>
      <c r="F147" s="104">
        <v>776</v>
      </c>
      <c r="G147" s="104">
        <v>7325</v>
      </c>
      <c r="H147" s="116">
        <v>28.75600439278864</v>
      </c>
      <c r="I147" s="126">
        <v>16172</v>
      </c>
      <c r="J147" s="117">
        <v>26.72578901611508</v>
      </c>
    </row>
    <row r="148" spans="1:10" ht="16">
      <c r="A148" s="93" t="s">
        <v>1301</v>
      </c>
      <c r="B148" s="94" t="s">
        <v>1288</v>
      </c>
      <c r="C148" s="95" t="s">
        <v>76</v>
      </c>
      <c r="D148" s="96" t="s">
        <v>84</v>
      </c>
      <c r="E148" s="97">
        <v>3045</v>
      </c>
      <c r="F148" s="97">
        <v>265</v>
      </c>
      <c r="G148" s="97">
        <v>700</v>
      </c>
      <c r="H148" s="114">
        <v>22.935176449660123</v>
      </c>
      <c r="I148" s="125">
        <v>18072</v>
      </c>
      <c r="J148" s="115">
        <v>24.737211486851166</v>
      </c>
    </row>
    <row r="149" spans="1:10" ht="16">
      <c r="A149" s="100" t="s">
        <v>379</v>
      </c>
      <c r="B149" s="101" t="s">
        <v>377</v>
      </c>
      <c r="C149" s="102" t="s">
        <v>76</v>
      </c>
      <c r="D149" s="103" t="s">
        <v>60</v>
      </c>
      <c r="E149" s="104">
        <v>26875</v>
      </c>
      <c r="F149" s="104">
        <v>2116</v>
      </c>
      <c r="G149" s="104">
        <v>3494</v>
      </c>
      <c r="H149" s="116">
        <v>24.155203221815437</v>
      </c>
      <c r="I149" s="126">
        <v>13977</v>
      </c>
      <c r="J149" s="117">
        <v>26.946693299708862</v>
      </c>
    </row>
    <row r="150" spans="1:10" ht="16">
      <c r="A150" s="93" t="s">
        <v>1302</v>
      </c>
      <c r="B150" s="94" t="s">
        <v>1288</v>
      </c>
      <c r="C150" s="95" t="s">
        <v>107</v>
      </c>
      <c r="D150" s="96" t="s">
        <v>92</v>
      </c>
      <c r="E150" s="97">
        <v>21436</v>
      </c>
      <c r="F150" s="97">
        <v>1261</v>
      </c>
      <c r="G150" s="97">
        <v>1501</v>
      </c>
      <c r="H150" s="114">
        <v>21.670610412756933</v>
      </c>
      <c r="I150" s="125">
        <v>9184</v>
      </c>
      <c r="J150" s="115">
        <v>25.70211138201061</v>
      </c>
    </row>
    <row r="151" spans="1:10" ht="16">
      <c r="A151" s="100" t="s">
        <v>484</v>
      </c>
      <c r="B151" s="101" t="s">
        <v>474</v>
      </c>
      <c r="C151" s="102" t="s">
        <v>107</v>
      </c>
      <c r="D151" s="103" t="s">
        <v>84</v>
      </c>
      <c r="E151" s="104">
        <v>8271</v>
      </c>
      <c r="F151" s="104">
        <v>447</v>
      </c>
      <c r="G151" s="104">
        <v>185</v>
      </c>
      <c r="H151" s="116">
        <v>11.318984896527978</v>
      </c>
      <c r="I151" s="126">
        <v>855</v>
      </c>
      <c r="J151" s="117">
        <v>24.186183475932815</v>
      </c>
    </row>
    <row r="152" spans="1:10" ht="16">
      <c r="A152" s="93" t="s">
        <v>1303</v>
      </c>
      <c r="B152" s="94" t="s">
        <v>1288</v>
      </c>
      <c r="C152" s="95" t="s">
        <v>107</v>
      </c>
      <c r="D152" s="96" t="s">
        <v>62</v>
      </c>
      <c r="E152" s="97">
        <v>5768</v>
      </c>
      <c r="F152" s="97">
        <v>345</v>
      </c>
      <c r="G152" s="97">
        <v>634</v>
      </c>
      <c r="H152" s="114">
        <v>25.56917346734766</v>
      </c>
      <c r="I152" s="125">
        <v>20044</v>
      </c>
      <c r="J152" s="115">
        <v>30.387438583795742</v>
      </c>
    </row>
    <row r="153" spans="1:10" ht="16">
      <c r="A153" s="100" t="s">
        <v>1304</v>
      </c>
      <c r="B153" s="101" t="s">
        <v>1288</v>
      </c>
      <c r="C153" s="102" t="s">
        <v>76</v>
      </c>
      <c r="D153" s="103" t="s">
        <v>130</v>
      </c>
      <c r="E153" s="104">
        <v>26014</v>
      </c>
      <c r="F153" s="104">
        <v>1596</v>
      </c>
      <c r="G153" s="104">
        <v>1561</v>
      </c>
      <c r="H153" s="116">
        <v>26.001105730954077</v>
      </c>
      <c r="I153" s="126">
        <v>16280</v>
      </c>
      <c r="J153" s="117">
        <v>28.574682628260277</v>
      </c>
    </row>
    <row r="154" spans="1:10" ht="16">
      <c r="A154" s="93" t="s">
        <v>1305</v>
      </c>
      <c r="B154" s="94" t="s">
        <v>1288</v>
      </c>
      <c r="C154" s="95" t="s">
        <v>107</v>
      </c>
      <c r="D154" s="96" t="s">
        <v>130</v>
      </c>
      <c r="E154" s="97">
        <v>26586</v>
      </c>
      <c r="F154" s="97">
        <v>4584</v>
      </c>
      <c r="G154" s="97">
        <v>9837</v>
      </c>
      <c r="H154" s="114">
        <v>83.489624781728836</v>
      </c>
      <c r="I154" s="125">
        <v>81155</v>
      </c>
      <c r="J154" s="115">
        <v>85.632939315463688</v>
      </c>
    </row>
    <row r="155" spans="1:10" ht="16">
      <c r="A155" s="100" t="s">
        <v>969</v>
      </c>
      <c r="B155" s="101" t="s">
        <v>970</v>
      </c>
      <c r="C155" s="102" t="s">
        <v>76</v>
      </c>
      <c r="D155" s="103" t="s">
        <v>77</v>
      </c>
      <c r="E155" s="104">
        <v>20056</v>
      </c>
      <c r="F155" s="104">
        <v>2047</v>
      </c>
      <c r="G155" s="104">
        <v>2808</v>
      </c>
      <c r="H155" s="116">
        <v>13.241441896189317</v>
      </c>
      <c r="I155" s="126">
        <v>2936</v>
      </c>
      <c r="J155" s="117">
        <v>22.511396780941705</v>
      </c>
    </row>
    <row r="156" spans="1:10" ht="16">
      <c r="A156" s="93" t="s">
        <v>1023</v>
      </c>
      <c r="B156" s="94" t="s">
        <v>1020</v>
      </c>
      <c r="C156" s="95" t="s">
        <v>76</v>
      </c>
      <c r="D156" s="96" t="s">
        <v>60</v>
      </c>
      <c r="E156" s="97">
        <v>62624</v>
      </c>
      <c r="F156" s="97">
        <v>3179</v>
      </c>
      <c r="G156" s="97">
        <v>8141</v>
      </c>
      <c r="H156" s="114">
        <v>29.732751349823946</v>
      </c>
      <c r="I156" s="125">
        <v>13692</v>
      </c>
      <c r="J156" s="115">
        <v>36.042220741450087</v>
      </c>
    </row>
    <row r="157" spans="1:10" ht="16">
      <c r="A157" s="100" t="s">
        <v>859</v>
      </c>
      <c r="B157" s="101" t="s">
        <v>858</v>
      </c>
      <c r="C157" s="102" t="s">
        <v>107</v>
      </c>
      <c r="D157" s="103" t="s">
        <v>60</v>
      </c>
      <c r="E157" s="104">
        <v>33030</v>
      </c>
      <c r="F157" s="104">
        <v>2897</v>
      </c>
      <c r="G157" s="104">
        <v>330</v>
      </c>
      <c r="H157" s="116">
        <v>10.054184086016072</v>
      </c>
      <c r="I157" s="126">
        <v>6585</v>
      </c>
      <c r="J157" s="117">
        <v>17.013924807600656</v>
      </c>
    </row>
    <row r="158" spans="1:10" ht="16">
      <c r="A158" s="93" t="s">
        <v>185</v>
      </c>
      <c r="B158" s="94" t="s">
        <v>184</v>
      </c>
      <c r="C158" s="95" t="s">
        <v>107</v>
      </c>
      <c r="D158" s="96" t="s">
        <v>130</v>
      </c>
      <c r="E158" s="97">
        <v>33543</v>
      </c>
      <c r="F158" s="97">
        <v>1038</v>
      </c>
      <c r="G158" s="97">
        <v>9727</v>
      </c>
      <c r="H158" s="114">
        <v>26.814724917468592</v>
      </c>
      <c r="I158" s="125">
        <v>11993</v>
      </c>
      <c r="J158" s="115">
        <v>20.922955738032247</v>
      </c>
    </row>
    <row r="159" spans="1:10" ht="16">
      <c r="A159" s="100" t="s">
        <v>338</v>
      </c>
      <c r="B159" s="101" t="s">
        <v>336</v>
      </c>
      <c r="C159" s="102" t="s">
        <v>107</v>
      </c>
      <c r="D159" s="103" t="s">
        <v>130</v>
      </c>
      <c r="E159" s="104">
        <v>16317</v>
      </c>
      <c r="F159" s="104">
        <v>528</v>
      </c>
      <c r="G159" s="104">
        <v>4079</v>
      </c>
      <c r="H159" s="116">
        <v>32.847421447993611</v>
      </c>
      <c r="I159" s="126">
        <v>27254</v>
      </c>
      <c r="J159" s="117">
        <v>25.741542404305278</v>
      </c>
    </row>
    <row r="160" spans="1:10" ht="16">
      <c r="A160" s="93" t="s">
        <v>1306</v>
      </c>
      <c r="B160" s="94" t="s">
        <v>1288</v>
      </c>
      <c r="C160" s="95" t="s">
        <v>107</v>
      </c>
      <c r="D160" s="96" t="s">
        <v>84</v>
      </c>
      <c r="E160" s="97">
        <v>22319</v>
      </c>
      <c r="F160" s="97">
        <v>2277</v>
      </c>
      <c r="G160" s="97">
        <v>5580</v>
      </c>
      <c r="H160" s="114">
        <v>86.344615702797554</v>
      </c>
      <c r="I160" s="125">
        <v>83156</v>
      </c>
      <c r="J160" s="115">
        <v>79.774205901116957</v>
      </c>
    </row>
    <row r="161" spans="1:10" ht="16">
      <c r="A161" s="100" t="s">
        <v>467</v>
      </c>
      <c r="B161" s="101" t="s">
        <v>466</v>
      </c>
      <c r="C161" s="102" t="s">
        <v>76</v>
      </c>
      <c r="D161" s="103" t="s">
        <v>62</v>
      </c>
      <c r="E161" s="104">
        <v>11023</v>
      </c>
      <c r="F161" s="104">
        <v>475</v>
      </c>
      <c r="G161" s="104">
        <v>1653</v>
      </c>
      <c r="H161" s="116">
        <v>13.885616620847239</v>
      </c>
      <c r="I161" s="126">
        <v>3311</v>
      </c>
      <c r="J161" s="117">
        <v>18.735015985452392</v>
      </c>
    </row>
    <row r="162" spans="1:10" ht="16">
      <c r="A162" s="93" t="s">
        <v>842</v>
      </c>
      <c r="B162" s="94" t="s">
        <v>843</v>
      </c>
      <c r="C162" s="95" t="s">
        <v>107</v>
      </c>
      <c r="D162" s="96" t="s">
        <v>92</v>
      </c>
      <c r="E162" s="97">
        <v>8768</v>
      </c>
      <c r="F162" s="97">
        <v>558</v>
      </c>
      <c r="G162" s="97">
        <v>610</v>
      </c>
      <c r="H162" s="114">
        <v>15.01376435859974</v>
      </c>
      <c r="I162" s="125">
        <v>11600</v>
      </c>
      <c r="J162" s="115">
        <v>28.178302906448689</v>
      </c>
    </row>
    <row r="163" spans="1:10" ht="16">
      <c r="A163" s="100" t="s">
        <v>1203</v>
      </c>
      <c r="B163" s="101" t="s">
        <v>1190</v>
      </c>
      <c r="C163" s="102" t="s">
        <v>107</v>
      </c>
      <c r="D163" s="103" t="s">
        <v>80</v>
      </c>
      <c r="E163" s="104">
        <v>27531</v>
      </c>
      <c r="F163" s="104">
        <v>1679</v>
      </c>
      <c r="G163" s="104">
        <v>12664</v>
      </c>
      <c r="H163" s="116">
        <v>13.191212229508384</v>
      </c>
      <c r="I163" s="126">
        <v>5703</v>
      </c>
      <c r="J163" s="117">
        <v>17.438841403212813</v>
      </c>
    </row>
    <row r="164" spans="1:10" ht="16">
      <c r="A164" s="93" t="s">
        <v>1307</v>
      </c>
      <c r="B164" s="94" t="s">
        <v>1288</v>
      </c>
      <c r="C164" s="95" t="s">
        <v>76</v>
      </c>
      <c r="D164" s="96" t="s">
        <v>62</v>
      </c>
      <c r="E164" s="97">
        <v>8228</v>
      </c>
      <c r="F164" s="97">
        <v>741</v>
      </c>
      <c r="G164" s="97">
        <v>658</v>
      </c>
      <c r="H164" s="114">
        <v>12.527920059963789</v>
      </c>
      <c r="I164" s="125">
        <v>4851</v>
      </c>
      <c r="J164" s="115">
        <v>42.090624414962264</v>
      </c>
    </row>
    <row r="165" spans="1:10" ht="16">
      <c r="A165" s="100" t="s">
        <v>1152</v>
      </c>
      <c r="B165" s="101" t="s">
        <v>1142</v>
      </c>
      <c r="C165" s="102" t="s">
        <v>107</v>
      </c>
      <c r="D165" s="103" t="s">
        <v>77</v>
      </c>
      <c r="E165" s="104">
        <v>42418</v>
      </c>
      <c r="F165" s="104">
        <v>2164</v>
      </c>
      <c r="G165" s="104">
        <v>1273</v>
      </c>
      <c r="H165" s="116">
        <v>13.495929951152339</v>
      </c>
      <c r="I165" s="126">
        <v>2015</v>
      </c>
      <c r="J165" s="117">
        <v>16.043732427087559</v>
      </c>
    </row>
    <row r="166" spans="1:10" ht="16">
      <c r="A166" s="93" t="s">
        <v>95</v>
      </c>
      <c r="B166" s="94" t="s">
        <v>89</v>
      </c>
      <c r="C166" s="95" t="s">
        <v>76</v>
      </c>
      <c r="D166" s="96" t="s">
        <v>62</v>
      </c>
      <c r="E166" s="97">
        <v>29214</v>
      </c>
      <c r="F166" s="97">
        <v>1446</v>
      </c>
      <c r="G166" s="97">
        <v>9056</v>
      </c>
      <c r="H166" s="114">
        <v>31.260917294756517</v>
      </c>
      <c r="I166" s="125">
        <v>25381</v>
      </c>
      <c r="J166" s="115">
        <v>23.513325737768316</v>
      </c>
    </row>
    <row r="167" spans="1:10" ht="16">
      <c r="A167" s="100" t="s">
        <v>318</v>
      </c>
      <c r="B167" s="101" t="s">
        <v>319</v>
      </c>
      <c r="C167" s="102" t="s">
        <v>76</v>
      </c>
      <c r="D167" s="103" t="s">
        <v>82</v>
      </c>
      <c r="E167" s="104">
        <v>3228</v>
      </c>
      <c r="F167" s="104">
        <v>186</v>
      </c>
      <c r="G167" s="104">
        <v>258</v>
      </c>
      <c r="H167" s="116">
        <v>16.831042109260309</v>
      </c>
      <c r="I167" s="126">
        <v>16118</v>
      </c>
      <c r="J167" s="117">
        <v>17.872215990674547</v>
      </c>
    </row>
    <row r="168" spans="1:10" ht="16">
      <c r="A168" s="93" t="s">
        <v>324</v>
      </c>
      <c r="B168" s="94" t="s">
        <v>322</v>
      </c>
      <c r="C168" s="95" t="s">
        <v>107</v>
      </c>
      <c r="D168" s="96" t="s">
        <v>62</v>
      </c>
      <c r="E168" s="97">
        <v>19499</v>
      </c>
      <c r="F168" s="97">
        <v>1840</v>
      </c>
      <c r="G168" s="97">
        <v>3705</v>
      </c>
      <c r="H168" s="114">
        <v>17.897494235589466</v>
      </c>
      <c r="I168" s="125">
        <v>4097</v>
      </c>
      <c r="J168" s="115">
        <v>21.388525562420451</v>
      </c>
    </row>
    <row r="169" spans="1:10" ht="16">
      <c r="A169" s="100" t="s">
        <v>325</v>
      </c>
      <c r="B169" s="101" t="s">
        <v>322</v>
      </c>
      <c r="C169" s="102" t="s">
        <v>76</v>
      </c>
      <c r="D169" s="103" t="s">
        <v>84</v>
      </c>
      <c r="E169" s="104">
        <v>17065</v>
      </c>
      <c r="F169" s="104">
        <v>837</v>
      </c>
      <c r="G169" s="104">
        <v>3413</v>
      </c>
      <c r="H169" s="116">
        <v>13.948240633538081</v>
      </c>
      <c r="I169" s="126">
        <v>2478</v>
      </c>
      <c r="J169" s="117">
        <v>18.012561178102128</v>
      </c>
    </row>
    <row r="170" spans="1:10" ht="16">
      <c r="A170" s="93" t="s">
        <v>186</v>
      </c>
      <c r="B170" s="94" t="s">
        <v>184</v>
      </c>
      <c r="C170" s="95" t="s">
        <v>76</v>
      </c>
      <c r="D170" s="96" t="s">
        <v>82</v>
      </c>
      <c r="E170" s="97">
        <v>15196</v>
      </c>
      <c r="F170" s="97">
        <v>1034</v>
      </c>
      <c r="G170" s="97">
        <v>3495</v>
      </c>
      <c r="H170" s="114">
        <v>30.297670787727505</v>
      </c>
      <c r="I170" s="125">
        <v>23698</v>
      </c>
      <c r="J170" s="115">
        <v>27.918169660252342</v>
      </c>
    </row>
    <row r="171" spans="1:10" ht="16">
      <c r="A171" s="100" t="s">
        <v>236</v>
      </c>
      <c r="B171" s="101" t="s">
        <v>223</v>
      </c>
      <c r="C171" s="102" t="s">
        <v>107</v>
      </c>
      <c r="D171" s="103" t="s">
        <v>82</v>
      </c>
      <c r="E171" s="104">
        <v>39665</v>
      </c>
      <c r="F171" s="104">
        <v>2526</v>
      </c>
      <c r="G171" s="104">
        <v>1190</v>
      </c>
      <c r="H171" s="116">
        <v>24.573558859836375</v>
      </c>
      <c r="I171" s="126">
        <v>9556</v>
      </c>
      <c r="J171" s="117">
        <v>25.361014887084359</v>
      </c>
    </row>
    <row r="172" spans="1:10" ht="16">
      <c r="A172" s="93" t="s">
        <v>1308</v>
      </c>
      <c r="B172" s="94" t="s">
        <v>1288</v>
      </c>
      <c r="C172" s="95" t="s">
        <v>107</v>
      </c>
      <c r="D172" s="96" t="s">
        <v>62</v>
      </c>
      <c r="E172" s="97">
        <v>6247</v>
      </c>
      <c r="F172" s="97">
        <v>811</v>
      </c>
      <c r="G172" s="97">
        <v>937</v>
      </c>
      <c r="H172" s="114">
        <v>40.468455415806787</v>
      </c>
      <c r="I172" s="125">
        <v>38581</v>
      </c>
      <c r="J172" s="115">
        <v>58.677453373022949</v>
      </c>
    </row>
    <row r="173" spans="1:10" ht="16">
      <c r="A173" s="100" t="s">
        <v>875</v>
      </c>
      <c r="B173" s="101" t="s">
        <v>876</v>
      </c>
      <c r="C173" s="102" t="s">
        <v>107</v>
      </c>
      <c r="D173" s="103" t="s">
        <v>59</v>
      </c>
      <c r="E173" s="104">
        <v>15604</v>
      </c>
      <c r="F173" s="104">
        <v>877</v>
      </c>
      <c r="G173" s="104">
        <v>468</v>
      </c>
      <c r="H173" s="116">
        <v>13.108721857387252</v>
      </c>
      <c r="I173" s="126">
        <v>3444</v>
      </c>
      <c r="J173" s="117">
        <v>17.83113969255362</v>
      </c>
    </row>
    <row r="174" spans="1:10" ht="16">
      <c r="A174" s="93" t="s">
        <v>1204</v>
      </c>
      <c r="B174" s="94" t="s">
        <v>1190</v>
      </c>
      <c r="C174" s="95" t="s">
        <v>76</v>
      </c>
      <c r="D174" s="96" t="s">
        <v>61</v>
      </c>
      <c r="E174" s="97">
        <v>19093</v>
      </c>
      <c r="F174" s="97">
        <v>979</v>
      </c>
      <c r="G174" s="97">
        <v>5155</v>
      </c>
      <c r="H174" s="114">
        <v>14.200733762139405</v>
      </c>
      <c r="I174" s="125">
        <v>7059</v>
      </c>
      <c r="J174" s="115">
        <v>17.472261329971712</v>
      </c>
    </row>
    <row r="175" spans="1:10" ht="16">
      <c r="A175" s="100" t="s">
        <v>96</v>
      </c>
      <c r="B175" s="101" t="s">
        <v>89</v>
      </c>
      <c r="C175" s="102" t="s">
        <v>76</v>
      </c>
      <c r="D175" s="103" t="s">
        <v>77</v>
      </c>
      <c r="E175" s="104">
        <v>39305</v>
      </c>
      <c r="F175" s="104">
        <v>1374</v>
      </c>
      <c r="G175" s="104">
        <v>8647</v>
      </c>
      <c r="H175" s="116">
        <v>29.642737116464453</v>
      </c>
      <c r="I175" s="126">
        <v>21883</v>
      </c>
      <c r="J175" s="117">
        <v>24.755570918801919</v>
      </c>
    </row>
    <row r="176" spans="1:10" ht="16">
      <c r="A176" s="93" t="s">
        <v>303</v>
      </c>
      <c r="B176" s="94" t="s">
        <v>304</v>
      </c>
      <c r="C176" s="95" t="s">
        <v>76</v>
      </c>
      <c r="D176" s="96" t="s">
        <v>63</v>
      </c>
      <c r="E176" s="97">
        <v>10339</v>
      </c>
      <c r="F176" s="97">
        <v>801</v>
      </c>
      <c r="G176" s="97">
        <v>103</v>
      </c>
      <c r="H176" s="114">
        <v>10.519090402729431</v>
      </c>
      <c r="I176" s="125">
        <v>1531</v>
      </c>
      <c r="J176" s="115">
        <v>16.885534615232991</v>
      </c>
    </row>
    <row r="177" spans="1:10" ht="16">
      <c r="A177" s="100" t="s">
        <v>819</v>
      </c>
      <c r="B177" s="101" t="s">
        <v>820</v>
      </c>
      <c r="C177" s="102" t="s">
        <v>107</v>
      </c>
      <c r="D177" s="103" t="s">
        <v>80</v>
      </c>
      <c r="E177" s="104">
        <v>18743</v>
      </c>
      <c r="F177" s="104">
        <v>928</v>
      </c>
      <c r="G177" s="104">
        <v>5623</v>
      </c>
      <c r="H177" s="116">
        <v>72.964474871691181</v>
      </c>
      <c r="I177" s="126">
        <v>45713</v>
      </c>
      <c r="J177" s="117">
        <v>55.99060701784434</v>
      </c>
    </row>
    <row r="178" spans="1:10" ht="16">
      <c r="A178" s="93" t="s">
        <v>485</v>
      </c>
      <c r="B178" s="94" t="s">
        <v>474</v>
      </c>
      <c r="C178" s="95" t="s">
        <v>107</v>
      </c>
      <c r="D178" s="96" t="s">
        <v>59</v>
      </c>
      <c r="E178" s="97">
        <v>8242</v>
      </c>
      <c r="F178" s="97">
        <v>354</v>
      </c>
      <c r="G178" s="97">
        <v>379</v>
      </c>
      <c r="H178" s="114">
        <v>13.115012669044114</v>
      </c>
      <c r="I178" s="125">
        <v>5009</v>
      </c>
      <c r="J178" s="115">
        <v>16.018644022165468</v>
      </c>
    </row>
    <row r="179" spans="1:10" ht="16">
      <c r="A179" s="100" t="s">
        <v>450</v>
      </c>
      <c r="B179" s="101" t="s">
        <v>448</v>
      </c>
      <c r="C179" s="102" t="s">
        <v>76</v>
      </c>
      <c r="D179" s="103" t="s">
        <v>82</v>
      </c>
      <c r="E179" s="104">
        <v>30414</v>
      </c>
      <c r="F179" s="104">
        <v>611</v>
      </c>
      <c r="G179" s="104">
        <v>912</v>
      </c>
      <c r="H179" s="116">
        <v>12.349204868740451</v>
      </c>
      <c r="I179" s="126">
        <v>3829</v>
      </c>
      <c r="J179" s="117">
        <v>15.234538679518169</v>
      </c>
    </row>
    <row r="180" spans="1:10" ht="16">
      <c r="A180" s="93" t="s">
        <v>214</v>
      </c>
      <c r="B180" s="94" t="s">
        <v>212</v>
      </c>
      <c r="C180" s="95" t="s">
        <v>107</v>
      </c>
      <c r="D180" s="96" t="s">
        <v>92</v>
      </c>
      <c r="E180" s="97">
        <v>17287</v>
      </c>
      <c r="F180" s="97">
        <v>1160</v>
      </c>
      <c r="G180" s="97">
        <v>346</v>
      </c>
      <c r="H180" s="114">
        <v>10.599984269521325</v>
      </c>
      <c r="I180" s="125">
        <v>10142</v>
      </c>
      <c r="J180" s="115">
        <v>15.338309356842199</v>
      </c>
    </row>
    <row r="181" spans="1:10" ht="16">
      <c r="A181" s="100" t="s">
        <v>1153</v>
      </c>
      <c r="B181" s="101" t="s">
        <v>1142</v>
      </c>
      <c r="C181" s="102" t="s">
        <v>107</v>
      </c>
      <c r="D181" s="103" t="s">
        <v>62</v>
      </c>
      <c r="E181" s="104">
        <v>62844</v>
      </c>
      <c r="F181" s="104">
        <v>3256</v>
      </c>
      <c r="G181" s="104">
        <v>1257</v>
      </c>
      <c r="H181" s="116">
        <v>9.7819003246819687</v>
      </c>
      <c r="I181" s="126">
        <v>1910</v>
      </c>
      <c r="J181" s="117">
        <v>15.585750637834167</v>
      </c>
    </row>
    <row r="182" spans="1:10" ht="16">
      <c r="A182" s="93" t="s">
        <v>649</v>
      </c>
      <c r="B182" s="94" t="s">
        <v>642</v>
      </c>
      <c r="C182" s="95" t="s">
        <v>107</v>
      </c>
      <c r="D182" s="96" t="s">
        <v>84</v>
      </c>
      <c r="E182" s="97">
        <v>28309</v>
      </c>
      <c r="F182" s="97">
        <v>1506</v>
      </c>
      <c r="G182" s="97">
        <v>1132</v>
      </c>
      <c r="H182" s="114">
        <v>10.656279575455025</v>
      </c>
      <c r="I182" s="125">
        <v>816</v>
      </c>
      <c r="J182" s="115">
        <v>15.807106801766551</v>
      </c>
    </row>
    <row r="183" spans="1:10" ht="16">
      <c r="A183" s="100" t="s">
        <v>1309</v>
      </c>
      <c r="B183" s="101" t="s">
        <v>1288</v>
      </c>
      <c r="C183" s="102" t="s">
        <v>107</v>
      </c>
      <c r="D183" s="103" t="s">
        <v>60</v>
      </c>
      <c r="E183" s="104">
        <v>19801</v>
      </c>
      <c r="F183" s="104">
        <v>1784</v>
      </c>
      <c r="G183" s="104">
        <v>3366</v>
      </c>
      <c r="H183" s="116">
        <v>20.921555540471999</v>
      </c>
      <c r="I183" s="126">
        <v>13262</v>
      </c>
      <c r="J183" s="117">
        <v>35.842112166818126</v>
      </c>
    </row>
    <row r="184" spans="1:10" ht="16">
      <c r="A184" s="93" t="s">
        <v>580</v>
      </c>
      <c r="B184" s="94" t="s">
        <v>581</v>
      </c>
      <c r="C184" s="95" t="s">
        <v>76</v>
      </c>
      <c r="D184" s="96" t="s">
        <v>60</v>
      </c>
      <c r="E184" s="97">
        <v>12619</v>
      </c>
      <c r="F184" s="97">
        <v>526</v>
      </c>
      <c r="G184" s="97">
        <v>1262</v>
      </c>
      <c r="H184" s="114">
        <v>25.844816406163584</v>
      </c>
      <c r="I184" s="125">
        <v>12582</v>
      </c>
      <c r="J184" s="115">
        <v>21.406348996257996</v>
      </c>
    </row>
    <row r="185" spans="1:10" ht="16">
      <c r="A185" s="100" t="s">
        <v>1310</v>
      </c>
      <c r="B185" s="101" t="s">
        <v>1288</v>
      </c>
      <c r="C185" s="102" t="s">
        <v>107</v>
      </c>
      <c r="D185" s="103" t="s">
        <v>62</v>
      </c>
      <c r="E185" s="104">
        <v>15309</v>
      </c>
      <c r="F185" s="104">
        <v>3560</v>
      </c>
      <c r="G185" s="104">
        <v>2909</v>
      </c>
      <c r="H185" s="116">
        <v>77.364105931586337</v>
      </c>
      <c r="I185" s="126">
        <v>74620</v>
      </c>
      <c r="J185" s="117">
        <v>82.431460492093564</v>
      </c>
    </row>
    <row r="186" spans="1:10" ht="16">
      <c r="A186" s="93" t="s">
        <v>1205</v>
      </c>
      <c r="B186" s="94" t="s">
        <v>1190</v>
      </c>
      <c r="C186" s="95" t="s">
        <v>76</v>
      </c>
      <c r="D186" s="96" t="s">
        <v>61</v>
      </c>
      <c r="E186" s="97">
        <v>16963</v>
      </c>
      <c r="F186" s="97">
        <v>1146</v>
      </c>
      <c r="G186" s="97">
        <v>5089</v>
      </c>
      <c r="H186" s="114">
        <v>48.623172943050683</v>
      </c>
      <c r="I186" s="125">
        <v>36163</v>
      </c>
      <c r="J186" s="115">
        <v>45.903874290911318</v>
      </c>
    </row>
    <row r="187" spans="1:10" ht="16">
      <c r="A187" s="100" t="s">
        <v>237</v>
      </c>
      <c r="B187" s="101" t="s">
        <v>223</v>
      </c>
      <c r="C187" s="102" t="s">
        <v>76</v>
      </c>
      <c r="D187" s="103" t="s">
        <v>63</v>
      </c>
      <c r="E187" s="104">
        <v>25747</v>
      </c>
      <c r="F187" s="104">
        <v>2239</v>
      </c>
      <c r="G187" s="104">
        <v>4377</v>
      </c>
      <c r="H187" s="116">
        <v>24.284971614582069</v>
      </c>
      <c r="I187" s="126">
        <v>11974</v>
      </c>
      <c r="J187" s="117">
        <v>31.404114755220942</v>
      </c>
    </row>
    <row r="188" spans="1:10" ht="16">
      <c r="A188" s="93" t="s">
        <v>238</v>
      </c>
      <c r="B188" s="94" t="s">
        <v>223</v>
      </c>
      <c r="C188" s="95" t="s">
        <v>107</v>
      </c>
      <c r="D188" s="96" t="s">
        <v>61</v>
      </c>
      <c r="E188" s="97">
        <v>25519</v>
      </c>
      <c r="F188" s="97">
        <v>1636</v>
      </c>
      <c r="G188" s="97">
        <v>510</v>
      </c>
      <c r="H188" s="114">
        <v>19.727597994149924</v>
      </c>
      <c r="I188" s="125">
        <v>8447</v>
      </c>
      <c r="J188" s="115">
        <v>22.389134825369961</v>
      </c>
    </row>
    <row r="189" spans="1:10" ht="16">
      <c r="A189" s="100" t="s">
        <v>847</v>
      </c>
      <c r="B189" s="101" t="s">
        <v>848</v>
      </c>
      <c r="C189" s="102" t="s">
        <v>107</v>
      </c>
      <c r="D189" s="103" t="s">
        <v>62</v>
      </c>
      <c r="E189" s="104">
        <v>18865</v>
      </c>
      <c r="F189" s="104">
        <v>696</v>
      </c>
      <c r="G189" s="104">
        <v>15658</v>
      </c>
      <c r="H189" s="116">
        <v>12.651155246885816</v>
      </c>
      <c r="I189" s="126">
        <v>3647</v>
      </c>
      <c r="J189" s="117">
        <v>17.467455656739354</v>
      </c>
    </row>
    <row r="190" spans="1:10" ht="16">
      <c r="A190" s="93" t="s">
        <v>1206</v>
      </c>
      <c r="B190" s="94" t="s">
        <v>1190</v>
      </c>
      <c r="C190" s="95" t="s">
        <v>76</v>
      </c>
      <c r="D190" s="96" t="s">
        <v>84</v>
      </c>
      <c r="E190" s="97">
        <v>12185</v>
      </c>
      <c r="F190" s="97">
        <v>786</v>
      </c>
      <c r="G190" s="97">
        <v>609</v>
      </c>
      <c r="H190" s="114">
        <v>11.149441288326557</v>
      </c>
      <c r="I190" s="125">
        <v>3468</v>
      </c>
      <c r="J190" s="115">
        <v>15.174614039124044</v>
      </c>
    </row>
    <row r="191" spans="1:10" ht="16">
      <c r="A191" s="100" t="s">
        <v>1207</v>
      </c>
      <c r="B191" s="101" t="s">
        <v>1190</v>
      </c>
      <c r="C191" s="102" t="s">
        <v>76</v>
      </c>
      <c r="D191" s="103" t="s">
        <v>77</v>
      </c>
      <c r="E191" s="104">
        <v>10668</v>
      </c>
      <c r="F191" s="104">
        <v>567</v>
      </c>
      <c r="G191" s="104">
        <v>3520</v>
      </c>
      <c r="H191" s="116">
        <v>13.939612037343803</v>
      </c>
      <c r="I191" s="126">
        <v>5721</v>
      </c>
      <c r="J191" s="117">
        <v>17.122973450035158</v>
      </c>
    </row>
    <row r="192" spans="1:10" ht="16">
      <c r="A192" s="93" t="s">
        <v>97</v>
      </c>
      <c r="B192" s="94" t="s">
        <v>89</v>
      </c>
      <c r="C192" s="95" t="s">
        <v>76</v>
      </c>
      <c r="D192" s="96" t="s">
        <v>82</v>
      </c>
      <c r="E192" s="97">
        <v>17560</v>
      </c>
      <c r="F192" s="97">
        <v>561</v>
      </c>
      <c r="G192" s="97">
        <v>4566</v>
      </c>
      <c r="H192" s="114">
        <v>22.406830182499604</v>
      </c>
      <c r="I192" s="125">
        <v>14927</v>
      </c>
      <c r="J192" s="115">
        <v>19.554064783763099</v>
      </c>
    </row>
    <row r="193" spans="1:10" ht="16">
      <c r="A193" s="100" t="s">
        <v>1154</v>
      </c>
      <c r="B193" s="101" t="s">
        <v>1142</v>
      </c>
      <c r="C193" s="102" t="s">
        <v>107</v>
      </c>
      <c r="D193" s="103" t="s">
        <v>84</v>
      </c>
      <c r="E193" s="104">
        <v>46056</v>
      </c>
      <c r="F193" s="104">
        <v>2193</v>
      </c>
      <c r="G193" s="104">
        <v>1382</v>
      </c>
      <c r="H193" s="116">
        <v>10.611170128252045</v>
      </c>
      <c r="I193" s="126">
        <v>1438</v>
      </c>
      <c r="J193" s="117">
        <v>17.39794077000376</v>
      </c>
    </row>
    <row r="194" spans="1:10" ht="16">
      <c r="A194" s="93" t="s">
        <v>650</v>
      </c>
      <c r="B194" s="94" t="s">
        <v>642</v>
      </c>
      <c r="C194" s="95" t="s">
        <v>107</v>
      </c>
      <c r="D194" s="96" t="s">
        <v>84</v>
      </c>
      <c r="E194" s="97">
        <v>9333</v>
      </c>
      <c r="F194" s="97">
        <v>712</v>
      </c>
      <c r="G194" s="97">
        <v>187</v>
      </c>
      <c r="H194" s="114">
        <v>15.235565013532455</v>
      </c>
      <c r="I194" s="125">
        <v>3056</v>
      </c>
      <c r="J194" s="115">
        <v>21.344907831104234</v>
      </c>
    </row>
    <row r="195" spans="1:10" ht="16">
      <c r="A195" s="100" t="s">
        <v>821</v>
      </c>
      <c r="B195" s="101" t="s">
        <v>820</v>
      </c>
      <c r="C195" s="102" t="s">
        <v>107</v>
      </c>
      <c r="D195" s="103" t="s">
        <v>80</v>
      </c>
      <c r="E195" s="104">
        <v>8917</v>
      </c>
      <c r="F195" s="104">
        <v>431</v>
      </c>
      <c r="G195" s="104">
        <v>1694</v>
      </c>
      <c r="H195" s="116">
        <v>48.829892313152776</v>
      </c>
      <c r="I195" s="126">
        <v>29874</v>
      </c>
      <c r="J195" s="117">
        <v>45.269438837845499</v>
      </c>
    </row>
    <row r="196" spans="1:10" ht="16">
      <c r="A196" s="93" t="s">
        <v>1311</v>
      </c>
      <c r="B196" s="94" t="s">
        <v>1288</v>
      </c>
      <c r="C196" s="95" t="s">
        <v>107</v>
      </c>
      <c r="D196" s="96" t="s">
        <v>77</v>
      </c>
      <c r="E196" s="97">
        <v>16340</v>
      </c>
      <c r="F196" s="97">
        <v>973</v>
      </c>
      <c r="G196" s="97">
        <v>1471</v>
      </c>
      <c r="H196" s="114">
        <v>9.7143809673742698</v>
      </c>
      <c r="I196" s="125">
        <v>4125</v>
      </c>
      <c r="J196" s="115">
        <v>17.861770540163104</v>
      </c>
    </row>
    <row r="197" spans="1:10" ht="16">
      <c r="A197" s="100" t="s">
        <v>1312</v>
      </c>
      <c r="B197" s="101" t="s">
        <v>1288</v>
      </c>
      <c r="C197" s="102" t="s">
        <v>76</v>
      </c>
      <c r="D197" s="103" t="s">
        <v>60</v>
      </c>
      <c r="E197" s="104">
        <v>12735</v>
      </c>
      <c r="F197" s="104">
        <v>3184</v>
      </c>
      <c r="G197" s="104">
        <v>2547</v>
      </c>
      <c r="H197" s="116">
        <v>40.814925156918747</v>
      </c>
      <c r="I197" s="126">
        <v>40078</v>
      </c>
      <c r="J197" s="117">
        <v>56.642482116498726</v>
      </c>
    </row>
    <row r="198" spans="1:10" ht="16">
      <c r="A198" s="93" t="s">
        <v>822</v>
      </c>
      <c r="B198" s="94" t="s">
        <v>820</v>
      </c>
      <c r="C198" s="95" t="s">
        <v>76</v>
      </c>
      <c r="D198" s="96" t="s">
        <v>63</v>
      </c>
      <c r="E198" s="97">
        <v>23167</v>
      </c>
      <c r="F198" s="97">
        <v>1136</v>
      </c>
      <c r="G198" s="97">
        <v>5328</v>
      </c>
      <c r="H198" s="114">
        <v>58.210419973466081</v>
      </c>
      <c r="I198" s="125">
        <v>55684</v>
      </c>
      <c r="J198" s="115">
        <v>39.709089834028845</v>
      </c>
    </row>
    <row r="199" spans="1:10" ht="16">
      <c r="A199" s="100" t="s">
        <v>1155</v>
      </c>
      <c r="B199" s="101" t="s">
        <v>1142</v>
      </c>
      <c r="C199" s="102" t="s">
        <v>107</v>
      </c>
      <c r="D199" s="103" t="s">
        <v>84</v>
      </c>
      <c r="E199" s="104">
        <v>39178</v>
      </c>
      <c r="F199" s="104">
        <v>1346</v>
      </c>
      <c r="G199" s="104">
        <v>1175</v>
      </c>
      <c r="H199" s="116">
        <v>17.196634497167761</v>
      </c>
      <c r="I199" s="126">
        <v>3411</v>
      </c>
      <c r="J199" s="117">
        <v>20.467998944621907</v>
      </c>
    </row>
    <row r="200" spans="1:10" ht="16">
      <c r="A200" s="93" t="s">
        <v>1071</v>
      </c>
      <c r="B200" s="94" t="s">
        <v>1072</v>
      </c>
      <c r="C200" s="95" t="s">
        <v>107</v>
      </c>
      <c r="D200" s="96" t="s">
        <v>61</v>
      </c>
      <c r="E200" s="97">
        <v>18956</v>
      </c>
      <c r="F200" s="97">
        <v>1516</v>
      </c>
      <c r="G200" s="97">
        <v>7393</v>
      </c>
      <c r="H200" s="114">
        <v>93.78872428038953</v>
      </c>
      <c r="I200" s="125">
        <v>83883</v>
      </c>
      <c r="J200" s="115">
        <v>82.539135114244843</v>
      </c>
    </row>
    <row r="201" spans="1:10" ht="16">
      <c r="A201" s="100" t="s">
        <v>993</v>
      </c>
      <c r="B201" s="101" t="s">
        <v>988</v>
      </c>
      <c r="C201" s="102" t="s">
        <v>107</v>
      </c>
      <c r="D201" s="103" t="s">
        <v>80</v>
      </c>
      <c r="E201" s="104">
        <v>14510</v>
      </c>
      <c r="F201" s="104">
        <v>859</v>
      </c>
      <c r="G201" s="104">
        <v>2177</v>
      </c>
      <c r="H201" s="116">
        <v>31.67687731312596</v>
      </c>
      <c r="I201" s="126">
        <v>9730</v>
      </c>
      <c r="J201" s="117">
        <v>30.478712622526107</v>
      </c>
    </row>
    <row r="202" spans="1:10" ht="16">
      <c r="A202" s="93" t="s">
        <v>922</v>
      </c>
      <c r="B202" s="94" t="s">
        <v>919</v>
      </c>
      <c r="C202" s="95" t="s">
        <v>107</v>
      </c>
      <c r="D202" s="96" t="s">
        <v>130</v>
      </c>
      <c r="E202" s="97">
        <v>15601</v>
      </c>
      <c r="F202" s="97">
        <v>1515</v>
      </c>
      <c r="G202" s="97">
        <v>2964</v>
      </c>
      <c r="H202" s="114">
        <v>11.810622679430384</v>
      </c>
      <c r="I202" s="125">
        <v>1338</v>
      </c>
      <c r="J202" s="115">
        <v>21.46594525911517</v>
      </c>
    </row>
    <row r="203" spans="1:10" ht="16">
      <c r="A203" s="100" t="s">
        <v>353</v>
      </c>
      <c r="B203" s="101" t="s">
        <v>344</v>
      </c>
      <c r="C203" s="102" t="s">
        <v>107</v>
      </c>
      <c r="D203" s="103" t="s">
        <v>77</v>
      </c>
      <c r="E203" s="104">
        <v>33084</v>
      </c>
      <c r="F203" s="104">
        <v>2346</v>
      </c>
      <c r="G203" s="104">
        <v>331</v>
      </c>
      <c r="H203" s="116">
        <v>10.023814867381549</v>
      </c>
      <c r="I203" s="126">
        <v>3212</v>
      </c>
      <c r="J203" s="117">
        <v>15.796862427913828</v>
      </c>
    </row>
    <row r="204" spans="1:10" ht="16">
      <c r="A204" s="93" t="s">
        <v>149</v>
      </c>
      <c r="B204" s="94" t="s">
        <v>150</v>
      </c>
      <c r="C204" s="95" t="s">
        <v>107</v>
      </c>
      <c r="D204" s="96" t="s">
        <v>61</v>
      </c>
      <c r="E204" s="97">
        <v>5872</v>
      </c>
      <c r="F204" s="97">
        <v>763</v>
      </c>
      <c r="G204" s="97">
        <v>404</v>
      </c>
      <c r="H204" s="114">
        <v>7.8561030921231456</v>
      </c>
      <c r="I204" s="125">
        <v>231</v>
      </c>
      <c r="J204" s="115">
        <v>28.220909236539185</v>
      </c>
    </row>
    <row r="205" spans="1:10" ht="16">
      <c r="A205" s="100" t="s">
        <v>151</v>
      </c>
      <c r="B205" s="101" t="s">
        <v>150</v>
      </c>
      <c r="C205" s="102" t="s">
        <v>107</v>
      </c>
      <c r="D205" s="103" t="s">
        <v>92</v>
      </c>
      <c r="E205" s="104">
        <v>14422</v>
      </c>
      <c r="F205" s="104">
        <v>690</v>
      </c>
      <c r="G205" s="104">
        <v>144</v>
      </c>
      <c r="H205" s="116">
        <v>11.81490494719246</v>
      </c>
      <c r="I205" s="126">
        <v>2894</v>
      </c>
      <c r="J205" s="117">
        <v>16.583901842020285</v>
      </c>
    </row>
    <row r="206" spans="1:10" ht="16">
      <c r="A206" s="93" t="s">
        <v>152</v>
      </c>
      <c r="B206" s="94" t="s">
        <v>150</v>
      </c>
      <c r="C206" s="95" t="s">
        <v>76</v>
      </c>
      <c r="D206" s="96" t="s">
        <v>82</v>
      </c>
      <c r="E206" s="97">
        <v>24077</v>
      </c>
      <c r="F206" s="97">
        <v>1824</v>
      </c>
      <c r="G206" s="97">
        <v>1204</v>
      </c>
      <c r="H206" s="114">
        <v>7.6228092504392153</v>
      </c>
      <c r="I206" s="125">
        <v>871</v>
      </c>
      <c r="J206" s="115">
        <v>16.686613635527912</v>
      </c>
    </row>
    <row r="207" spans="1:10" ht="16">
      <c r="A207" s="100" t="s">
        <v>153</v>
      </c>
      <c r="B207" s="101" t="s">
        <v>150</v>
      </c>
      <c r="C207" s="102" t="s">
        <v>76</v>
      </c>
      <c r="D207" s="103" t="s">
        <v>62</v>
      </c>
      <c r="E207" s="104">
        <v>40848</v>
      </c>
      <c r="F207" s="104">
        <v>2569</v>
      </c>
      <c r="G207" s="104">
        <v>2812</v>
      </c>
      <c r="H207" s="116">
        <v>13.925946731600424</v>
      </c>
      <c r="I207" s="126">
        <v>2616</v>
      </c>
      <c r="J207" s="117">
        <v>22.396981938112479</v>
      </c>
    </row>
    <row r="208" spans="1:10" ht="16">
      <c r="A208" s="93" t="s">
        <v>154</v>
      </c>
      <c r="B208" s="94" t="s">
        <v>150</v>
      </c>
      <c r="C208" s="95" t="s">
        <v>76</v>
      </c>
      <c r="D208" s="96" t="s">
        <v>61</v>
      </c>
      <c r="E208" s="97">
        <v>3621</v>
      </c>
      <c r="F208" s="97">
        <v>338</v>
      </c>
      <c r="G208" s="97">
        <v>72</v>
      </c>
      <c r="H208" s="114">
        <v>10.727461027487623</v>
      </c>
      <c r="I208" s="125">
        <v>1439</v>
      </c>
      <c r="J208" s="115">
        <v>21.130004651174435</v>
      </c>
    </row>
    <row r="209" spans="1:10" ht="16">
      <c r="A209" s="100" t="s">
        <v>155</v>
      </c>
      <c r="B209" s="101" t="s">
        <v>150</v>
      </c>
      <c r="C209" s="102" t="s">
        <v>107</v>
      </c>
      <c r="D209" s="103" t="s">
        <v>62</v>
      </c>
      <c r="E209" s="104">
        <v>14024</v>
      </c>
      <c r="F209" s="104">
        <v>723</v>
      </c>
      <c r="G209" s="104">
        <v>140</v>
      </c>
      <c r="H209" s="116">
        <v>17.58213444253543</v>
      </c>
      <c r="I209" s="126">
        <v>1945</v>
      </c>
      <c r="J209" s="117">
        <v>24.475238655370035</v>
      </c>
    </row>
    <row r="210" spans="1:10" ht="16">
      <c r="A210" s="93" t="s">
        <v>156</v>
      </c>
      <c r="B210" s="94" t="s">
        <v>150</v>
      </c>
      <c r="C210" s="95" t="s">
        <v>107</v>
      </c>
      <c r="D210" s="96" t="s">
        <v>82</v>
      </c>
      <c r="E210" s="97">
        <v>25018</v>
      </c>
      <c r="F210" s="97">
        <v>1390</v>
      </c>
      <c r="G210" s="97">
        <v>1722</v>
      </c>
      <c r="H210" s="114">
        <v>7.7688725844615574</v>
      </c>
      <c r="I210" s="125">
        <v>517</v>
      </c>
      <c r="J210" s="115">
        <v>17.932793943482746</v>
      </c>
    </row>
    <row r="211" spans="1:10" ht="16">
      <c r="A211" s="100" t="s">
        <v>157</v>
      </c>
      <c r="B211" s="101" t="s">
        <v>150</v>
      </c>
      <c r="C211" s="102" t="s">
        <v>76</v>
      </c>
      <c r="D211" s="103" t="s">
        <v>130</v>
      </c>
      <c r="E211" s="104">
        <v>43899</v>
      </c>
      <c r="F211" s="104">
        <v>3484</v>
      </c>
      <c r="G211" s="104">
        <v>878</v>
      </c>
      <c r="H211" s="116">
        <v>18.020460711201569</v>
      </c>
      <c r="I211" s="126">
        <v>9402</v>
      </c>
      <c r="J211" s="117">
        <v>30.852172437647614</v>
      </c>
    </row>
    <row r="212" spans="1:10" ht="16">
      <c r="A212" s="93" t="s">
        <v>158</v>
      </c>
      <c r="B212" s="94" t="s">
        <v>150</v>
      </c>
      <c r="C212" s="95" t="s">
        <v>76</v>
      </c>
      <c r="D212" s="96" t="s">
        <v>80</v>
      </c>
      <c r="E212" s="97">
        <v>13823</v>
      </c>
      <c r="F212" s="97">
        <v>848</v>
      </c>
      <c r="G212" s="97">
        <v>138</v>
      </c>
      <c r="H212" s="114">
        <v>10.164823432142843</v>
      </c>
      <c r="I212" s="125">
        <v>1910</v>
      </c>
      <c r="J212" s="115">
        <v>17.165123938760406</v>
      </c>
    </row>
    <row r="213" spans="1:10" ht="16">
      <c r="A213" s="100" t="s">
        <v>159</v>
      </c>
      <c r="B213" s="101" t="s">
        <v>150</v>
      </c>
      <c r="C213" s="102" t="s">
        <v>76</v>
      </c>
      <c r="D213" s="103" t="s">
        <v>84</v>
      </c>
      <c r="E213" s="104">
        <v>23198</v>
      </c>
      <c r="F213" s="104">
        <v>1333</v>
      </c>
      <c r="G213" s="104">
        <v>1160</v>
      </c>
      <c r="H213" s="116">
        <v>11.346006481708931</v>
      </c>
      <c r="I213" s="126">
        <v>5398</v>
      </c>
      <c r="J213" s="117">
        <v>18.487356933678182</v>
      </c>
    </row>
    <row r="214" spans="1:10" ht="16">
      <c r="A214" s="93" t="s">
        <v>160</v>
      </c>
      <c r="B214" s="94" t="s">
        <v>150</v>
      </c>
      <c r="C214" s="95" t="s">
        <v>107</v>
      </c>
      <c r="D214" s="96" t="s">
        <v>84</v>
      </c>
      <c r="E214" s="97">
        <v>34072</v>
      </c>
      <c r="F214" s="97">
        <v>2662</v>
      </c>
      <c r="G214" s="97">
        <v>341</v>
      </c>
      <c r="H214" s="114">
        <v>9.9665685483785023</v>
      </c>
      <c r="I214" s="125">
        <v>1388</v>
      </c>
      <c r="J214" s="115">
        <v>27.282696028261121</v>
      </c>
    </row>
    <row r="215" spans="1:10" ht="16">
      <c r="A215" s="100" t="s">
        <v>161</v>
      </c>
      <c r="B215" s="101" t="s">
        <v>150</v>
      </c>
      <c r="C215" s="102" t="s">
        <v>76</v>
      </c>
      <c r="D215" s="103" t="s">
        <v>82</v>
      </c>
      <c r="E215" s="104">
        <v>48675</v>
      </c>
      <c r="F215" s="104">
        <v>3957</v>
      </c>
      <c r="G215" s="104">
        <v>974</v>
      </c>
      <c r="H215" s="116">
        <v>22.842101971640435</v>
      </c>
      <c r="I215" s="126">
        <v>5824</v>
      </c>
      <c r="J215" s="117">
        <v>35.2416829749287</v>
      </c>
    </row>
    <row r="216" spans="1:10" ht="16">
      <c r="A216" s="93" t="s">
        <v>162</v>
      </c>
      <c r="B216" s="94" t="s">
        <v>150</v>
      </c>
      <c r="C216" s="95" t="s">
        <v>76</v>
      </c>
      <c r="D216" s="96" t="s">
        <v>63</v>
      </c>
      <c r="E216" s="97">
        <v>42573</v>
      </c>
      <c r="F216" s="97">
        <v>2490</v>
      </c>
      <c r="G216" s="97">
        <v>2931</v>
      </c>
      <c r="H216" s="114">
        <v>8.7628744857619498</v>
      </c>
      <c r="I216" s="125">
        <v>1699</v>
      </c>
      <c r="J216" s="115">
        <v>19.60161499469573</v>
      </c>
    </row>
    <row r="217" spans="1:10" ht="16">
      <c r="A217" s="100" t="s">
        <v>163</v>
      </c>
      <c r="B217" s="101" t="s">
        <v>150</v>
      </c>
      <c r="C217" s="102" t="s">
        <v>76</v>
      </c>
      <c r="D217" s="103" t="s">
        <v>130</v>
      </c>
      <c r="E217" s="104">
        <v>52579</v>
      </c>
      <c r="F217" s="104">
        <v>2710</v>
      </c>
      <c r="G217" s="104">
        <v>526</v>
      </c>
      <c r="H217" s="116">
        <v>19.121317501101739</v>
      </c>
      <c r="I217" s="126">
        <v>9087</v>
      </c>
      <c r="J217" s="117">
        <v>29.989143630399191</v>
      </c>
    </row>
    <row r="218" spans="1:10" ht="16">
      <c r="A218" s="93" t="s">
        <v>164</v>
      </c>
      <c r="B218" s="94" t="s">
        <v>150</v>
      </c>
      <c r="C218" s="95" t="s">
        <v>107</v>
      </c>
      <c r="D218" s="96" t="s">
        <v>82</v>
      </c>
      <c r="E218" s="97">
        <v>38719</v>
      </c>
      <c r="F218" s="97">
        <v>2332</v>
      </c>
      <c r="G218" s="97">
        <v>774</v>
      </c>
      <c r="H218" s="114">
        <v>13.105359604967868</v>
      </c>
      <c r="I218" s="125">
        <v>6939</v>
      </c>
      <c r="J218" s="115">
        <v>29.285293821455824</v>
      </c>
    </row>
    <row r="219" spans="1:10" ht="16">
      <c r="A219" s="100" t="s">
        <v>165</v>
      </c>
      <c r="B219" s="101" t="s">
        <v>150</v>
      </c>
      <c r="C219" s="102" t="s">
        <v>76</v>
      </c>
      <c r="D219" s="103" t="s">
        <v>61</v>
      </c>
      <c r="E219" s="104">
        <v>27285</v>
      </c>
      <c r="F219" s="104">
        <v>1935</v>
      </c>
      <c r="G219" s="104">
        <v>1879</v>
      </c>
      <c r="H219" s="116">
        <v>9.4113957186814936</v>
      </c>
      <c r="I219" s="126">
        <v>1268</v>
      </c>
      <c r="J219" s="117">
        <v>20.770014117038539</v>
      </c>
    </row>
    <row r="220" spans="1:10" ht="16">
      <c r="A220" s="93" t="s">
        <v>1086</v>
      </c>
      <c r="B220" s="94" t="s">
        <v>1081</v>
      </c>
      <c r="C220" s="95" t="s">
        <v>107</v>
      </c>
      <c r="D220" s="96" t="s">
        <v>80</v>
      </c>
      <c r="E220" s="97">
        <v>19840</v>
      </c>
      <c r="F220" s="97">
        <v>859</v>
      </c>
      <c r="G220" s="97">
        <v>3174</v>
      </c>
      <c r="H220" s="114">
        <v>17.652933800014619</v>
      </c>
      <c r="I220" s="125">
        <v>3016</v>
      </c>
      <c r="J220" s="115">
        <v>18.199799190229012</v>
      </c>
    </row>
    <row r="221" spans="1:10" ht="16">
      <c r="A221" s="100" t="s">
        <v>542</v>
      </c>
      <c r="B221" s="101" t="s">
        <v>537</v>
      </c>
      <c r="C221" s="102" t="s">
        <v>76</v>
      </c>
      <c r="D221" s="103" t="s">
        <v>63</v>
      </c>
      <c r="E221" s="104">
        <v>23992</v>
      </c>
      <c r="F221" s="104">
        <v>813</v>
      </c>
      <c r="G221" s="104">
        <v>1200</v>
      </c>
      <c r="H221" s="116">
        <v>19.405070502925309</v>
      </c>
      <c r="I221" s="126">
        <v>4305</v>
      </c>
      <c r="J221" s="117">
        <v>26.395528210549841</v>
      </c>
    </row>
    <row r="222" spans="1:10" ht="16">
      <c r="A222" s="93" t="s">
        <v>98</v>
      </c>
      <c r="B222" s="94" t="s">
        <v>89</v>
      </c>
      <c r="C222" s="95" t="s">
        <v>76</v>
      </c>
      <c r="D222" s="96" t="s">
        <v>62</v>
      </c>
      <c r="E222" s="97">
        <v>16844</v>
      </c>
      <c r="F222" s="97">
        <v>653</v>
      </c>
      <c r="G222" s="97">
        <v>5727</v>
      </c>
      <c r="H222" s="114">
        <v>30.240115866073598</v>
      </c>
      <c r="I222" s="125">
        <v>25271</v>
      </c>
      <c r="J222" s="115">
        <v>22.95600297587298</v>
      </c>
    </row>
    <row r="223" spans="1:10" ht="16">
      <c r="A223" s="100" t="s">
        <v>1313</v>
      </c>
      <c r="B223" s="101" t="s">
        <v>1288</v>
      </c>
      <c r="C223" s="102" t="s">
        <v>76</v>
      </c>
      <c r="D223" s="103" t="s">
        <v>62</v>
      </c>
      <c r="E223" s="104">
        <v>23658</v>
      </c>
      <c r="F223" s="104">
        <v>1293</v>
      </c>
      <c r="G223" s="104">
        <v>2366</v>
      </c>
      <c r="H223" s="116">
        <v>19.861783072457225</v>
      </c>
      <c r="I223" s="126">
        <v>7287</v>
      </c>
      <c r="J223" s="117">
        <v>21.85601319612941</v>
      </c>
    </row>
    <row r="224" spans="1:10" ht="16">
      <c r="A224" s="93" t="s">
        <v>1314</v>
      </c>
      <c r="B224" s="94" t="s">
        <v>1288</v>
      </c>
      <c r="C224" s="95" t="s">
        <v>107</v>
      </c>
      <c r="D224" s="96" t="s">
        <v>60</v>
      </c>
      <c r="E224" s="97">
        <v>5344</v>
      </c>
      <c r="F224" s="97">
        <v>379</v>
      </c>
      <c r="G224" s="97">
        <v>1764</v>
      </c>
      <c r="H224" s="114">
        <v>14.962745054502037</v>
      </c>
      <c r="I224" s="125">
        <v>4678</v>
      </c>
      <c r="J224" s="115">
        <v>23.49427268702134</v>
      </c>
    </row>
    <row r="225" spans="1:10" ht="16">
      <c r="A225" s="100" t="s">
        <v>1315</v>
      </c>
      <c r="B225" s="101" t="s">
        <v>1288</v>
      </c>
      <c r="C225" s="102" t="s">
        <v>76</v>
      </c>
      <c r="D225" s="103" t="s">
        <v>63</v>
      </c>
      <c r="E225" s="104">
        <v>34203</v>
      </c>
      <c r="F225" s="104">
        <v>1437</v>
      </c>
      <c r="G225" s="104">
        <v>2736</v>
      </c>
      <c r="H225" s="116">
        <v>23.588461559923442</v>
      </c>
      <c r="I225" s="126">
        <v>14199</v>
      </c>
      <c r="J225" s="117">
        <v>30.967480050487129</v>
      </c>
    </row>
    <row r="226" spans="1:10" ht="16">
      <c r="A226" s="93" t="s">
        <v>1316</v>
      </c>
      <c r="B226" s="94" t="s">
        <v>1288</v>
      </c>
      <c r="C226" s="95" t="s">
        <v>76</v>
      </c>
      <c r="D226" s="96" t="s">
        <v>84</v>
      </c>
      <c r="E226" s="97">
        <v>38520</v>
      </c>
      <c r="F226" s="97">
        <v>1598</v>
      </c>
      <c r="G226" s="97">
        <v>2696</v>
      </c>
      <c r="H226" s="114">
        <v>40.17027352502447</v>
      </c>
      <c r="I226" s="125">
        <v>27796</v>
      </c>
      <c r="J226" s="115">
        <v>38.071546903495431</v>
      </c>
    </row>
    <row r="227" spans="1:10" ht="16">
      <c r="A227" s="100" t="s">
        <v>166</v>
      </c>
      <c r="B227" s="101" t="s">
        <v>150</v>
      </c>
      <c r="C227" s="102" t="s">
        <v>107</v>
      </c>
      <c r="D227" s="103" t="s">
        <v>80</v>
      </c>
      <c r="E227" s="104">
        <v>55502</v>
      </c>
      <c r="F227" s="104">
        <v>3604</v>
      </c>
      <c r="G227" s="104">
        <v>3821</v>
      </c>
      <c r="H227" s="116">
        <v>11.956516457462193</v>
      </c>
      <c r="I227" s="126">
        <v>1779</v>
      </c>
      <c r="J227" s="117">
        <v>20.583077063141761</v>
      </c>
    </row>
    <row r="228" spans="1:10" ht="16">
      <c r="A228" s="93" t="s">
        <v>404</v>
      </c>
      <c r="B228" s="94" t="s">
        <v>402</v>
      </c>
      <c r="C228" s="95" t="s">
        <v>76</v>
      </c>
      <c r="D228" s="96" t="s">
        <v>60</v>
      </c>
      <c r="E228" s="97">
        <v>35894</v>
      </c>
      <c r="F228" s="97">
        <v>617</v>
      </c>
      <c r="G228" s="97">
        <v>7538</v>
      </c>
      <c r="H228" s="114">
        <v>64.183785046883727</v>
      </c>
      <c r="I228" s="125">
        <v>37054</v>
      </c>
      <c r="J228" s="115">
        <v>57.410940334721971</v>
      </c>
    </row>
    <row r="229" spans="1:10" ht="16">
      <c r="A229" s="100" t="s">
        <v>600</v>
      </c>
      <c r="B229" s="101" t="s">
        <v>598</v>
      </c>
      <c r="C229" s="102" t="s">
        <v>76</v>
      </c>
      <c r="D229" s="103" t="s">
        <v>84</v>
      </c>
      <c r="E229" s="104">
        <v>3891</v>
      </c>
      <c r="F229" s="104">
        <v>324</v>
      </c>
      <c r="G229" s="104">
        <v>506</v>
      </c>
      <c r="H229" s="116">
        <v>14.072386085276749</v>
      </c>
      <c r="I229" s="126">
        <v>10359</v>
      </c>
      <c r="J229" s="117">
        <v>21.40767007231225</v>
      </c>
    </row>
    <row r="230" spans="1:10" ht="16">
      <c r="A230" s="93" t="s">
        <v>1087</v>
      </c>
      <c r="B230" s="94" t="s">
        <v>1081</v>
      </c>
      <c r="C230" s="95" t="s">
        <v>76</v>
      </c>
      <c r="D230" s="96" t="s">
        <v>62</v>
      </c>
      <c r="E230" s="97">
        <v>20450</v>
      </c>
      <c r="F230" s="97">
        <v>988</v>
      </c>
      <c r="G230" s="97">
        <v>1841</v>
      </c>
      <c r="H230" s="114">
        <v>20.16988707495257</v>
      </c>
      <c r="I230" s="125">
        <v>6333</v>
      </c>
      <c r="J230" s="115">
        <v>18.913204923912385</v>
      </c>
    </row>
    <row r="231" spans="1:10" ht="16">
      <c r="A231" s="100" t="s">
        <v>239</v>
      </c>
      <c r="B231" s="101" t="s">
        <v>223</v>
      </c>
      <c r="C231" s="102" t="s">
        <v>76</v>
      </c>
      <c r="D231" s="103" t="s">
        <v>84</v>
      </c>
      <c r="E231" s="104">
        <v>32537</v>
      </c>
      <c r="F231" s="104">
        <v>2905</v>
      </c>
      <c r="G231" s="104">
        <v>3904</v>
      </c>
      <c r="H231" s="116">
        <v>59.046558465244679</v>
      </c>
      <c r="I231" s="126">
        <v>39984</v>
      </c>
      <c r="J231" s="117">
        <v>62.306355466386947</v>
      </c>
    </row>
    <row r="232" spans="1:10" ht="16">
      <c r="A232" s="93" t="s">
        <v>651</v>
      </c>
      <c r="B232" s="94" t="s">
        <v>642</v>
      </c>
      <c r="C232" s="95" t="s">
        <v>76</v>
      </c>
      <c r="D232" s="96" t="s">
        <v>77</v>
      </c>
      <c r="E232" s="97">
        <v>2942</v>
      </c>
      <c r="F232" s="97">
        <v>919</v>
      </c>
      <c r="G232" s="97">
        <v>205</v>
      </c>
      <c r="H232" s="114">
        <v>10.179967017157397</v>
      </c>
      <c r="I232" s="125">
        <v>8926</v>
      </c>
      <c r="J232" s="115">
        <v>25.407972558383928</v>
      </c>
    </row>
    <row r="233" spans="1:10" ht="16">
      <c r="A233" s="100" t="s">
        <v>240</v>
      </c>
      <c r="B233" s="101" t="s">
        <v>223</v>
      </c>
      <c r="C233" s="102" t="s">
        <v>107</v>
      </c>
      <c r="D233" s="103" t="s">
        <v>62</v>
      </c>
      <c r="E233" s="104">
        <v>34979</v>
      </c>
      <c r="F233" s="104">
        <v>2200</v>
      </c>
      <c r="G233" s="104">
        <v>700</v>
      </c>
      <c r="H233" s="116">
        <v>12.141667381418106</v>
      </c>
      <c r="I233" s="126">
        <v>6679</v>
      </c>
      <c r="J233" s="117">
        <v>16.754300022009026</v>
      </c>
    </row>
    <row r="234" spans="1:10" ht="16">
      <c r="A234" s="93" t="s">
        <v>1156</v>
      </c>
      <c r="B234" s="94" t="s">
        <v>1142</v>
      </c>
      <c r="C234" s="95" t="s">
        <v>107</v>
      </c>
      <c r="D234" s="96" t="s">
        <v>62</v>
      </c>
      <c r="E234" s="97">
        <v>77346</v>
      </c>
      <c r="F234" s="97">
        <v>2553</v>
      </c>
      <c r="G234" s="97">
        <v>2320</v>
      </c>
      <c r="H234" s="114">
        <v>11.291591702228631</v>
      </c>
      <c r="I234" s="125">
        <v>1445</v>
      </c>
      <c r="J234" s="115">
        <v>19.659416858520999</v>
      </c>
    </row>
    <row r="235" spans="1:10" ht="16">
      <c r="A235" s="100" t="s">
        <v>1157</v>
      </c>
      <c r="B235" s="101" t="s">
        <v>1142</v>
      </c>
      <c r="C235" s="102" t="s">
        <v>107</v>
      </c>
      <c r="D235" s="103" t="s">
        <v>62</v>
      </c>
      <c r="E235" s="104">
        <v>37903</v>
      </c>
      <c r="F235" s="104">
        <v>995</v>
      </c>
      <c r="G235" s="104">
        <v>2274</v>
      </c>
      <c r="H235" s="116">
        <v>9.583958912735385</v>
      </c>
      <c r="I235" s="126">
        <v>1503</v>
      </c>
      <c r="J235" s="117">
        <v>17.653216566824053</v>
      </c>
    </row>
    <row r="236" spans="1:10" ht="16">
      <c r="A236" s="93" t="s">
        <v>881</v>
      </c>
      <c r="B236" s="94" t="s">
        <v>879</v>
      </c>
      <c r="C236" s="95" t="s">
        <v>107</v>
      </c>
      <c r="D236" s="96" t="s">
        <v>63</v>
      </c>
      <c r="E236" s="97">
        <v>16834</v>
      </c>
      <c r="F236" s="97">
        <v>1137</v>
      </c>
      <c r="G236" s="97">
        <v>673</v>
      </c>
      <c r="H236" s="114">
        <v>12.61054081507986</v>
      </c>
      <c r="I236" s="125">
        <v>4588</v>
      </c>
      <c r="J236" s="115">
        <v>17.301159619825327</v>
      </c>
    </row>
    <row r="237" spans="1:10" ht="16">
      <c r="A237" s="100" t="s">
        <v>1158</v>
      </c>
      <c r="B237" s="101" t="s">
        <v>1142</v>
      </c>
      <c r="C237" s="102" t="s">
        <v>107</v>
      </c>
      <c r="D237" s="103" t="s">
        <v>63</v>
      </c>
      <c r="E237" s="104">
        <v>7487</v>
      </c>
      <c r="F237" s="104">
        <v>273</v>
      </c>
      <c r="G237" s="104">
        <v>150</v>
      </c>
      <c r="H237" s="116">
        <v>14.179962089355918</v>
      </c>
      <c r="I237" s="126">
        <v>2788</v>
      </c>
      <c r="J237" s="117">
        <v>21.677287741202516</v>
      </c>
    </row>
    <row r="238" spans="1:10" ht="16">
      <c r="A238" s="93" t="s">
        <v>1317</v>
      </c>
      <c r="B238" s="94" t="s">
        <v>1288</v>
      </c>
      <c r="C238" s="95" t="s">
        <v>76</v>
      </c>
      <c r="D238" s="96" t="s">
        <v>80</v>
      </c>
      <c r="E238" s="97">
        <v>29377</v>
      </c>
      <c r="F238" s="97">
        <v>1632</v>
      </c>
      <c r="G238" s="97">
        <v>2938</v>
      </c>
      <c r="H238" s="114">
        <v>26.673517996096546</v>
      </c>
      <c r="I238" s="125">
        <v>23598</v>
      </c>
      <c r="J238" s="115">
        <v>30.104935108440671</v>
      </c>
    </row>
    <row r="239" spans="1:10" ht="16">
      <c r="A239" s="100" t="s">
        <v>1318</v>
      </c>
      <c r="B239" s="101" t="s">
        <v>1288</v>
      </c>
      <c r="C239" s="102" t="s">
        <v>76</v>
      </c>
      <c r="D239" s="103" t="s">
        <v>84</v>
      </c>
      <c r="E239" s="104">
        <v>23488</v>
      </c>
      <c r="F239" s="104">
        <v>1793</v>
      </c>
      <c r="G239" s="104">
        <v>4228</v>
      </c>
      <c r="H239" s="116">
        <v>33.025641854689482</v>
      </c>
      <c r="I239" s="126">
        <v>26465</v>
      </c>
      <c r="J239" s="117">
        <v>49.408218382166076</v>
      </c>
    </row>
    <row r="240" spans="1:10" ht="16">
      <c r="A240" s="93" t="s">
        <v>1319</v>
      </c>
      <c r="B240" s="94" t="s">
        <v>1288</v>
      </c>
      <c r="C240" s="95" t="s">
        <v>76</v>
      </c>
      <c r="D240" s="96" t="s">
        <v>61</v>
      </c>
      <c r="E240" s="97">
        <v>16279</v>
      </c>
      <c r="F240" s="97">
        <v>1915</v>
      </c>
      <c r="G240" s="97">
        <v>2930</v>
      </c>
      <c r="H240" s="114">
        <v>38.039640511466644</v>
      </c>
      <c r="I240" s="125">
        <v>35682</v>
      </c>
      <c r="J240" s="115">
        <v>57.830380655462719</v>
      </c>
    </row>
    <row r="241" spans="1:10" ht="16">
      <c r="A241" s="100" t="s">
        <v>1320</v>
      </c>
      <c r="B241" s="101" t="s">
        <v>1288</v>
      </c>
      <c r="C241" s="102" t="s">
        <v>107</v>
      </c>
      <c r="D241" s="103" t="s">
        <v>84</v>
      </c>
      <c r="E241" s="104">
        <v>21372</v>
      </c>
      <c r="F241" s="104">
        <v>1168</v>
      </c>
      <c r="G241" s="104">
        <v>5770</v>
      </c>
      <c r="H241" s="116">
        <v>76.609872335463166</v>
      </c>
      <c r="I241" s="126">
        <v>69151</v>
      </c>
      <c r="J241" s="117">
        <v>60.932741200446031</v>
      </c>
    </row>
    <row r="242" spans="1:10" ht="16">
      <c r="A242" s="93" t="s">
        <v>1321</v>
      </c>
      <c r="B242" s="94" t="s">
        <v>1288</v>
      </c>
      <c r="C242" s="95" t="s">
        <v>76</v>
      </c>
      <c r="D242" s="96" t="s">
        <v>82</v>
      </c>
      <c r="E242" s="97">
        <v>29290</v>
      </c>
      <c r="F242" s="97">
        <v>2034</v>
      </c>
      <c r="G242" s="97">
        <v>1757</v>
      </c>
      <c r="H242" s="114">
        <v>27.507549889938165</v>
      </c>
      <c r="I242" s="125">
        <v>17228</v>
      </c>
      <c r="J242" s="115">
        <v>34.66055106467617</v>
      </c>
    </row>
    <row r="243" spans="1:10" ht="16">
      <c r="A243" s="100" t="s">
        <v>143</v>
      </c>
      <c r="B243" s="101" t="s">
        <v>144</v>
      </c>
      <c r="C243" s="102" t="s">
        <v>76</v>
      </c>
      <c r="D243" s="103" t="s">
        <v>59</v>
      </c>
      <c r="E243" s="104">
        <v>38080</v>
      </c>
      <c r="F243" s="104">
        <v>1029</v>
      </c>
      <c r="G243" s="104">
        <v>3808</v>
      </c>
      <c r="H243" s="116">
        <v>55.75357474890351</v>
      </c>
      <c r="I243" s="126">
        <v>43641</v>
      </c>
      <c r="J243" s="117">
        <v>43.321681070241077</v>
      </c>
    </row>
    <row r="244" spans="1:10" ht="16">
      <c r="A244" s="93" t="s">
        <v>652</v>
      </c>
      <c r="B244" s="94" t="s">
        <v>642</v>
      </c>
      <c r="C244" s="95" t="s">
        <v>107</v>
      </c>
      <c r="D244" s="96" t="s">
        <v>62</v>
      </c>
      <c r="E244" s="97">
        <v>7194</v>
      </c>
      <c r="F244" s="97">
        <v>947</v>
      </c>
      <c r="G244" s="97">
        <v>288</v>
      </c>
      <c r="H244" s="114">
        <v>12.240342304663628</v>
      </c>
      <c r="I244" s="125">
        <v>2082</v>
      </c>
      <c r="J244" s="115">
        <v>23.849798797251971</v>
      </c>
    </row>
    <row r="245" spans="1:10" ht="16">
      <c r="A245" s="100" t="s">
        <v>486</v>
      </c>
      <c r="B245" s="101" t="s">
        <v>474</v>
      </c>
      <c r="C245" s="102" t="s">
        <v>107</v>
      </c>
      <c r="D245" s="103" t="s">
        <v>77</v>
      </c>
      <c r="E245" s="104">
        <v>17226</v>
      </c>
      <c r="F245" s="104">
        <v>1213</v>
      </c>
      <c r="G245" s="104">
        <v>345</v>
      </c>
      <c r="H245" s="116">
        <v>7.9075727814385877</v>
      </c>
      <c r="I245" s="126">
        <v>1188</v>
      </c>
      <c r="J245" s="117">
        <v>17.084421519552635</v>
      </c>
    </row>
    <row r="246" spans="1:10" ht="16">
      <c r="A246" s="93" t="s">
        <v>1208</v>
      </c>
      <c r="B246" s="94" t="s">
        <v>1190</v>
      </c>
      <c r="C246" s="95" t="s">
        <v>76</v>
      </c>
      <c r="D246" s="96" t="s">
        <v>92</v>
      </c>
      <c r="E246" s="97">
        <v>12637</v>
      </c>
      <c r="F246" s="97">
        <v>635</v>
      </c>
      <c r="G246" s="97">
        <v>2148</v>
      </c>
      <c r="H246" s="114">
        <v>12.480163582302753</v>
      </c>
      <c r="I246" s="125">
        <v>6951</v>
      </c>
      <c r="J246" s="115">
        <v>16.584555660974296</v>
      </c>
    </row>
    <row r="247" spans="1:10" ht="16">
      <c r="A247" s="100" t="s">
        <v>405</v>
      </c>
      <c r="B247" s="101" t="s">
        <v>402</v>
      </c>
      <c r="C247" s="102" t="s">
        <v>76</v>
      </c>
      <c r="D247" s="103" t="s">
        <v>77</v>
      </c>
      <c r="E247" s="104">
        <v>47141</v>
      </c>
      <c r="F247" s="104">
        <v>2405</v>
      </c>
      <c r="G247" s="104">
        <v>7071</v>
      </c>
      <c r="H247" s="116">
        <v>30.136412124464719</v>
      </c>
      <c r="I247" s="126">
        <v>22369</v>
      </c>
      <c r="J247" s="117">
        <v>32.046553745970456</v>
      </c>
    </row>
    <row r="248" spans="1:10" ht="16">
      <c r="A248" s="93" t="s">
        <v>1209</v>
      </c>
      <c r="B248" s="94" t="s">
        <v>1190</v>
      </c>
      <c r="C248" s="95" t="s">
        <v>76</v>
      </c>
      <c r="D248" s="96" t="s">
        <v>130</v>
      </c>
      <c r="E248" s="97">
        <v>8486</v>
      </c>
      <c r="F248" s="97">
        <v>555</v>
      </c>
      <c r="G248" s="97">
        <v>2970</v>
      </c>
      <c r="H248" s="114">
        <v>29.049455371348174</v>
      </c>
      <c r="I248" s="125">
        <v>17357</v>
      </c>
      <c r="J248" s="115">
        <v>34.222407245923932</v>
      </c>
    </row>
    <row r="249" spans="1:10" ht="16">
      <c r="A249" s="100" t="s">
        <v>860</v>
      </c>
      <c r="B249" s="101" t="s">
        <v>858</v>
      </c>
      <c r="C249" s="102" t="s">
        <v>107</v>
      </c>
      <c r="D249" s="103" t="s">
        <v>130</v>
      </c>
      <c r="E249" s="104">
        <v>9986</v>
      </c>
      <c r="F249" s="104">
        <v>414</v>
      </c>
      <c r="G249" s="104">
        <v>100</v>
      </c>
      <c r="H249" s="116">
        <v>9.6722759198303425</v>
      </c>
      <c r="I249" s="126">
        <v>522</v>
      </c>
      <c r="J249" s="117">
        <v>14.047926387014222</v>
      </c>
    </row>
    <row r="250" spans="1:10" ht="16">
      <c r="A250" s="93" t="s">
        <v>126</v>
      </c>
      <c r="B250" s="94" t="s">
        <v>127</v>
      </c>
      <c r="C250" s="95" t="s">
        <v>107</v>
      </c>
      <c r="D250" s="96" t="s">
        <v>60</v>
      </c>
      <c r="E250" s="97">
        <v>6370</v>
      </c>
      <c r="F250" s="97">
        <v>637</v>
      </c>
      <c r="G250" s="97">
        <v>1274</v>
      </c>
      <c r="H250" s="114">
        <v>18.4496607006853</v>
      </c>
      <c r="I250" s="125">
        <v>8874</v>
      </c>
      <c r="J250" s="115">
        <v>31.039836223590818</v>
      </c>
    </row>
    <row r="251" spans="1:10" ht="16">
      <c r="A251" s="100" t="s">
        <v>380</v>
      </c>
      <c r="B251" s="101" t="s">
        <v>377</v>
      </c>
      <c r="C251" s="102" t="s">
        <v>76</v>
      </c>
      <c r="D251" s="103" t="s">
        <v>61</v>
      </c>
      <c r="E251" s="104">
        <v>41411</v>
      </c>
      <c r="F251" s="104">
        <v>2353</v>
      </c>
      <c r="G251" s="104">
        <v>5383</v>
      </c>
      <c r="H251" s="116">
        <v>30.567130588051707</v>
      </c>
      <c r="I251" s="126">
        <v>21266</v>
      </c>
      <c r="J251" s="117">
        <v>34.073031839012614</v>
      </c>
    </row>
    <row r="252" spans="1:10" ht="16">
      <c r="A252" s="93" t="s">
        <v>99</v>
      </c>
      <c r="B252" s="94" t="s">
        <v>89</v>
      </c>
      <c r="C252" s="95" t="s">
        <v>76</v>
      </c>
      <c r="D252" s="96" t="s">
        <v>92</v>
      </c>
      <c r="E252" s="97">
        <v>34120</v>
      </c>
      <c r="F252" s="97">
        <v>1446</v>
      </c>
      <c r="G252" s="97">
        <v>5800</v>
      </c>
      <c r="H252" s="114">
        <v>33.387764719223959</v>
      </c>
      <c r="I252" s="125">
        <v>28138</v>
      </c>
      <c r="J252" s="115">
        <v>25.511898931315756</v>
      </c>
    </row>
    <row r="253" spans="1:10" ht="16">
      <c r="A253" s="100" t="s">
        <v>912</v>
      </c>
      <c r="B253" s="101" t="s">
        <v>909</v>
      </c>
      <c r="C253" s="102" t="s">
        <v>76</v>
      </c>
      <c r="D253" s="103" t="s">
        <v>60</v>
      </c>
      <c r="E253" s="104">
        <v>9375</v>
      </c>
      <c r="F253" s="104">
        <v>845</v>
      </c>
      <c r="G253" s="104">
        <v>2625</v>
      </c>
      <c r="H253" s="116">
        <v>7.8879266914928481</v>
      </c>
      <c r="I253" s="126">
        <v>1197</v>
      </c>
      <c r="J253" s="117">
        <v>17.642055239784401</v>
      </c>
    </row>
    <row r="254" spans="1:10" ht="16">
      <c r="A254" s="93" t="s">
        <v>241</v>
      </c>
      <c r="B254" s="94" t="s">
        <v>223</v>
      </c>
      <c r="C254" s="95" t="s">
        <v>107</v>
      </c>
      <c r="D254" s="96" t="s">
        <v>60</v>
      </c>
      <c r="E254" s="97">
        <v>43815</v>
      </c>
      <c r="F254" s="97">
        <v>2224</v>
      </c>
      <c r="G254" s="97">
        <v>3017</v>
      </c>
      <c r="H254" s="114">
        <v>13.492370448470469</v>
      </c>
      <c r="I254" s="125">
        <v>7295</v>
      </c>
      <c r="J254" s="115">
        <v>14.871070410712186</v>
      </c>
    </row>
    <row r="255" spans="1:10" ht="16">
      <c r="A255" s="100" t="s">
        <v>242</v>
      </c>
      <c r="B255" s="101" t="s">
        <v>223</v>
      </c>
      <c r="C255" s="102" t="s">
        <v>107</v>
      </c>
      <c r="D255" s="103" t="s">
        <v>61</v>
      </c>
      <c r="E255" s="104">
        <v>36083</v>
      </c>
      <c r="F255" s="104">
        <v>2135</v>
      </c>
      <c r="G255" s="104">
        <v>1443</v>
      </c>
      <c r="H255" s="116">
        <v>12.166959756538528</v>
      </c>
      <c r="I255" s="126">
        <v>2093</v>
      </c>
      <c r="J255" s="117">
        <v>16.758952587322543</v>
      </c>
    </row>
    <row r="256" spans="1:10" ht="16">
      <c r="A256" s="93" t="s">
        <v>923</v>
      </c>
      <c r="B256" s="94" t="s">
        <v>919</v>
      </c>
      <c r="C256" s="95" t="s">
        <v>107</v>
      </c>
      <c r="D256" s="96" t="s">
        <v>84</v>
      </c>
      <c r="E256" s="97">
        <v>8406</v>
      </c>
      <c r="F256" s="97">
        <v>712</v>
      </c>
      <c r="G256" s="97">
        <v>588</v>
      </c>
      <c r="H256" s="114">
        <v>11.910402038728085</v>
      </c>
      <c r="I256" s="125">
        <v>1030</v>
      </c>
      <c r="J256" s="115">
        <v>18.22225335211666</v>
      </c>
    </row>
    <row r="257" spans="1:10" ht="16">
      <c r="A257" s="100" t="s">
        <v>653</v>
      </c>
      <c r="B257" s="101" t="s">
        <v>642</v>
      </c>
      <c r="C257" s="102" t="s">
        <v>107</v>
      </c>
      <c r="D257" s="103" t="s">
        <v>92</v>
      </c>
      <c r="E257" s="104">
        <v>6473</v>
      </c>
      <c r="F257" s="104">
        <v>841</v>
      </c>
      <c r="G257" s="104">
        <v>194</v>
      </c>
      <c r="H257" s="116">
        <v>13.571092247600779</v>
      </c>
      <c r="I257" s="126">
        <v>2398</v>
      </c>
      <c r="J257" s="117">
        <v>28.297390688380126</v>
      </c>
    </row>
    <row r="258" spans="1:10" ht="16">
      <c r="A258" s="93" t="s">
        <v>994</v>
      </c>
      <c r="B258" s="94" t="s">
        <v>988</v>
      </c>
      <c r="C258" s="95" t="s">
        <v>107</v>
      </c>
      <c r="D258" s="96" t="s">
        <v>92</v>
      </c>
      <c r="E258" s="97">
        <v>2098</v>
      </c>
      <c r="F258" s="97">
        <v>173</v>
      </c>
      <c r="G258" s="97">
        <v>126</v>
      </c>
      <c r="H258" s="114">
        <v>39.736024815367493</v>
      </c>
      <c r="I258" s="125">
        <v>15519</v>
      </c>
      <c r="J258" s="115">
        <v>40.355864683549939</v>
      </c>
    </row>
    <row r="259" spans="1:10" ht="16">
      <c r="A259" s="100" t="s">
        <v>1159</v>
      </c>
      <c r="B259" s="101" t="s">
        <v>1142</v>
      </c>
      <c r="C259" s="102" t="s">
        <v>107</v>
      </c>
      <c r="D259" s="103" t="s">
        <v>60</v>
      </c>
      <c r="E259" s="104">
        <v>48591</v>
      </c>
      <c r="F259" s="104">
        <v>2505</v>
      </c>
      <c r="G259" s="104">
        <v>1944</v>
      </c>
      <c r="H259" s="116">
        <v>9.0516780764523084</v>
      </c>
      <c r="I259" s="126">
        <v>1600</v>
      </c>
      <c r="J259" s="117">
        <v>15.72824155692504</v>
      </c>
    </row>
    <row r="260" spans="1:10" ht="16">
      <c r="A260" s="93" t="s">
        <v>995</v>
      </c>
      <c r="B260" s="94" t="s">
        <v>988</v>
      </c>
      <c r="C260" s="95" t="s">
        <v>107</v>
      </c>
      <c r="D260" s="96" t="s">
        <v>84</v>
      </c>
      <c r="E260" s="97">
        <v>8108</v>
      </c>
      <c r="F260" s="97">
        <v>827</v>
      </c>
      <c r="G260" s="97">
        <v>405</v>
      </c>
      <c r="H260" s="114">
        <v>15.864902798277466</v>
      </c>
      <c r="I260" s="125">
        <v>2533</v>
      </c>
      <c r="J260" s="115">
        <v>19.03640671519226</v>
      </c>
    </row>
    <row r="261" spans="1:10" ht="16">
      <c r="A261" s="100" t="s">
        <v>654</v>
      </c>
      <c r="B261" s="101" t="s">
        <v>642</v>
      </c>
      <c r="C261" s="102" t="s">
        <v>107</v>
      </c>
      <c r="D261" s="103" t="s">
        <v>59</v>
      </c>
      <c r="E261" s="104">
        <v>1210</v>
      </c>
      <c r="F261" s="104">
        <v>318</v>
      </c>
      <c r="G261" s="104">
        <v>12</v>
      </c>
      <c r="H261" s="116">
        <v>14.136161488873398</v>
      </c>
      <c r="I261" s="126">
        <v>3340</v>
      </c>
      <c r="J261" s="117">
        <v>29.231768679636851</v>
      </c>
    </row>
    <row r="262" spans="1:10" ht="16">
      <c r="A262" s="93" t="s">
        <v>406</v>
      </c>
      <c r="B262" s="94" t="s">
        <v>402</v>
      </c>
      <c r="C262" s="95" t="s">
        <v>107</v>
      </c>
      <c r="D262" s="96" t="s">
        <v>59</v>
      </c>
      <c r="E262" s="97">
        <v>5216</v>
      </c>
      <c r="F262" s="97">
        <v>148</v>
      </c>
      <c r="G262" s="97">
        <v>991</v>
      </c>
      <c r="H262" s="114">
        <v>24.339902216483445</v>
      </c>
      <c r="I262" s="125">
        <v>10197</v>
      </c>
      <c r="J262" s="115">
        <v>36.448546500576235</v>
      </c>
    </row>
    <row r="263" spans="1:10" ht="16">
      <c r="A263" s="100" t="s">
        <v>1460</v>
      </c>
      <c r="B263" s="101" t="s">
        <v>1461</v>
      </c>
      <c r="C263" s="102" t="s">
        <v>107</v>
      </c>
      <c r="D263" s="103" t="s">
        <v>130</v>
      </c>
      <c r="E263" s="104">
        <v>32161</v>
      </c>
      <c r="F263" s="104">
        <v>1503</v>
      </c>
      <c r="G263" s="104">
        <v>322</v>
      </c>
      <c r="H263" s="116">
        <v>8.6076339854041528</v>
      </c>
      <c r="I263" s="126">
        <v>3560</v>
      </c>
      <c r="J263" s="117">
        <v>15.609771999271423</v>
      </c>
    </row>
    <row r="264" spans="1:10" ht="16">
      <c r="A264" s="93" t="s">
        <v>996</v>
      </c>
      <c r="B264" s="94" t="s">
        <v>988</v>
      </c>
      <c r="C264" s="95" t="s">
        <v>76</v>
      </c>
      <c r="D264" s="96" t="s">
        <v>80</v>
      </c>
      <c r="E264" s="97">
        <v>20087</v>
      </c>
      <c r="F264" s="97">
        <v>1279</v>
      </c>
      <c r="G264" s="97">
        <v>4218</v>
      </c>
      <c r="H264" s="114">
        <v>40.234590164097924</v>
      </c>
      <c r="I264" s="125">
        <v>16064</v>
      </c>
      <c r="J264" s="115">
        <v>40.063584601030101</v>
      </c>
    </row>
    <row r="265" spans="1:10" ht="16">
      <c r="A265" s="100" t="s">
        <v>243</v>
      </c>
      <c r="B265" s="101" t="s">
        <v>223</v>
      </c>
      <c r="C265" s="102" t="s">
        <v>107</v>
      </c>
      <c r="D265" s="103" t="s">
        <v>77</v>
      </c>
      <c r="E265" s="104">
        <v>29603</v>
      </c>
      <c r="F265" s="104">
        <v>2990</v>
      </c>
      <c r="G265" s="104">
        <v>3552</v>
      </c>
      <c r="H265" s="116">
        <v>37.293746416613857</v>
      </c>
      <c r="I265" s="126">
        <v>16308</v>
      </c>
      <c r="J265" s="117">
        <v>40.14092715410154</v>
      </c>
    </row>
    <row r="266" spans="1:10" ht="16">
      <c r="A266" s="93" t="s">
        <v>1322</v>
      </c>
      <c r="B266" s="94" t="s">
        <v>1288</v>
      </c>
      <c r="C266" s="95" t="s">
        <v>107</v>
      </c>
      <c r="D266" s="96" t="s">
        <v>60</v>
      </c>
      <c r="E266" s="97">
        <v>20823</v>
      </c>
      <c r="F266" s="97">
        <v>2263</v>
      </c>
      <c r="G266" s="97">
        <v>4998</v>
      </c>
      <c r="H266" s="114">
        <v>99.26611985268579</v>
      </c>
      <c r="I266" s="125">
        <v>97874</v>
      </c>
      <c r="J266" s="115">
        <v>90.108769549585261</v>
      </c>
    </row>
    <row r="267" spans="1:10" ht="16">
      <c r="A267" s="100" t="s">
        <v>754</v>
      </c>
      <c r="B267" s="101" t="s">
        <v>753</v>
      </c>
      <c r="C267" s="102" t="s">
        <v>76</v>
      </c>
      <c r="D267" s="103" t="s">
        <v>130</v>
      </c>
      <c r="E267" s="104">
        <v>15654</v>
      </c>
      <c r="F267" s="104">
        <v>879</v>
      </c>
      <c r="G267" s="104">
        <v>1096</v>
      </c>
      <c r="H267" s="116">
        <v>11.31259838956213</v>
      </c>
      <c r="I267" s="126">
        <v>956</v>
      </c>
      <c r="J267" s="117">
        <v>14.099004909209304</v>
      </c>
    </row>
    <row r="268" spans="1:10" ht="16">
      <c r="A268" s="93" t="s">
        <v>145</v>
      </c>
      <c r="B268" s="94" t="s">
        <v>144</v>
      </c>
      <c r="C268" s="95" t="s">
        <v>107</v>
      </c>
      <c r="D268" s="96" t="s">
        <v>80</v>
      </c>
      <c r="E268" s="97">
        <v>5189</v>
      </c>
      <c r="F268" s="97">
        <v>167</v>
      </c>
      <c r="G268" s="97">
        <v>675</v>
      </c>
      <c r="H268" s="114">
        <v>38.580965705497853</v>
      </c>
      <c r="I268" s="125">
        <v>21646</v>
      </c>
      <c r="J268" s="115">
        <v>28.321540957796078</v>
      </c>
    </row>
    <row r="269" spans="1:10" ht="16">
      <c r="A269" s="100" t="s">
        <v>592</v>
      </c>
      <c r="B269" s="101" t="s">
        <v>591</v>
      </c>
      <c r="C269" s="102" t="s">
        <v>76</v>
      </c>
      <c r="D269" s="103" t="s">
        <v>82</v>
      </c>
      <c r="E269" s="104">
        <v>16137</v>
      </c>
      <c r="F269" s="104">
        <v>1345</v>
      </c>
      <c r="G269" s="104">
        <v>807</v>
      </c>
      <c r="H269" s="116">
        <v>45.155063166085235</v>
      </c>
      <c r="I269" s="126">
        <v>28215</v>
      </c>
      <c r="J269" s="117">
        <v>48.415651406584935</v>
      </c>
    </row>
    <row r="270" spans="1:10" ht="16">
      <c r="A270" s="93" t="s">
        <v>407</v>
      </c>
      <c r="B270" s="94" t="s">
        <v>402</v>
      </c>
      <c r="C270" s="95" t="s">
        <v>76</v>
      </c>
      <c r="D270" s="96" t="s">
        <v>60</v>
      </c>
      <c r="E270" s="97">
        <v>20800</v>
      </c>
      <c r="F270" s="97">
        <v>1292</v>
      </c>
      <c r="G270" s="97">
        <v>3744</v>
      </c>
      <c r="H270" s="114">
        <v>61.040266540950505</v>
      </c>
      <c r="I270" s="125">
        <v>58040</v>
      </c>
      <c r="J270" s="115">
        <v>67.798591729623809</v>
      </c>
    </row>
    <row r="271" spans="1:10" ht="16">
      <c r="A271" s="100" t="s">
        <v>354</v>
      </c>
      <c r="B271" s="101" t="s">
        <v>344</v>
      </c>
      <c r="C271" s="102" t="s">
        <v>76</v>
      </c>
      <c r="D271" s="103" t="s">
        <v>59</v>
      </c>
      <c r="E271" s="104">
        <v>113043</v>
      </c>
      <c r="F271" s="104">
        <v>5162</v>
      </c>
      <c r="G271" s="104">
        <v>1130</v>
      </c>
      <c r="H271" s="116">
        <v>9.450402469090001</v>
      </c>
      <c r="I271" s="126">
        <v>1806</v>
      </c>
      <c r="J271" s="117">
        <v>15.527357513595563</v>
      </c>
    </row>
    <row r="272" spans="1:10" ht="16">
      <c r="A272" s="93" t="s">
        <v>1210</v>
      </c>
      <c r="B272" s="94" t="s">
        <v>1190</v>
      </c>
      <c r="C272" s="95" t="s">
        <v>107</v>
      </c>
      <c r="D272" s="96" t="s">
        <v>59</v>
      </c>
      <c r="E272" s="97">
        <v>9189</v>
      </c>
      <c r="F272" s="97">
        <v>534</v>
      </c>
      <c r="G272" s="97">
        <v>3216</v>
      </c>
      <c r="H272" s="114">
        <v>26.775757292720254</v>
      </c>
      <c r="I272" s="125">
        <v>20218</v>
      </c>
      <c r="J272" s="115">
        <v>28.916445401108213</v>
      </c>
    </row>
    <row r="273" spans="1:10" ht="16">
      <c r="A273" s="100" t="s">
        <v>924</v>
      </c>
      <c r="B273" s="101" t="s">
        <v>919</v>
      </c>
      <c r="C273" s="102" t="s">
        <v>76</v>
      </c>
      <c r="D273" s="103" t="s">
        <v>82</v>
      </c>
      <c r="E273" s="104">
        <v>22111</v>
      </c>
      <c r="F273" s="104">
        <v>1688</v>
      </c>
      <c r="G273" s="104">
        <v>1990</v>
      </c>
      <c r="H273" s="116">
        <v>38.250103703380248</v>
      </c>
      <c r="I273" s="126">
        <v>29240</v>
      </c>
      <c r="J273" s="117">
        <v>36.821178732078131</v>
      </c>
    </row>
    <row r="274" spans="1:10" ht="16">
      <c r="A274" s="93" t="s">
        <v>655</v>
      </c>
      <c r="B274" s="94" t="s">
        <v>642</v>
      </c>
      <c r="C274" s="95" t="s">
        <v>107</v>
      </c>
      <c r="D274" s="96" t="s">
        <v>59</v>
      </c>
      <c r="E274" s="97">
        <v>15077</v>
      </c>
      <c r="F274" s="97">
        <v>1675</v>
      </c>
      <c r="G274" s="97">
        <v>1508</v>
      </c>
      <c r="H274" s="114">
        <v>22.585361469618586</v>
      </c>
      <c r="I274" s="125">
        <v>7155</v>
      </c>
      <c r="J274" s="115">
        <v>29.06235903994439</v>
      </c>
    </row>
    <row r="275" spans="1:10" ht="16">
      <c r="A275" s="100" t="s">
        <v>1323</v>
      </c>
      <c r="B275" s="101" t="s">
        <v>1288</v>
      </c>
      <c r="C275" s="102" t="s">
        <v>76</v>
      </c>
      <c r="D275" s="103" t="s">
        <v>60</v>
      </c>
      <c r="E275" s="104">
        <v>10066</v>
      </c>
      <c r="F275" s="104">
        <v>724</v>
      </c>
      <c r="G275" s="104">
        <v>906</v>
      </c>
      <c r="H275" s="116">
        <v>13.221605350982038</v>
      </c>
      <c r="I275" s="126">
        <v>10561</v>
      </c>
      <c r="J275" s="117">
        <v>39.369629197800563</v>
      </c>
    </row>
    <row r="276" spans="1:10" ht="16">
      <c r="A276" s="93" t="s">
        <v>656</v>
      </c>
      <c r="B276" s="94" t="s">
        <v>642</v>
      </c>
      <c r="C276" s="95" t="s">
        <v>107</v>
      </c>
      <c r="D276" s="96" t="s">
        <v>130</v>
      </c>
      <c r="E276" s="97">
        <v>18225</v>
      </c>
      <c r="F276" s="97">
        <v>2250</v>
      </c>
      <c r="G276" s="97">
        <v>2005</v>
      </c>
      <c r="H276" s="114">
        <v>40.878083926031799</v>
      </c>
      <c r="I276" s="125">
        <v>12056</v>
      </c>
      <c r="J276" s="115">
        <v>46.194497717426259</v>
      </c>
    </row>
    <row r="277" spans="1:10" ht="16">
      <c r="A277" s="100" t="s">
        <v>461</v>
      </c>
      <c r="B277" s="101" t="s">
        <v>459</v>
      </c>
      <c r="C277" s="102" t="s">
        <v>76</v>
      </c>
      <c r="D277" s="103" t="s">
        <v>92</v>
      </c>
      <c r="E277" s="104">
        <v>8759</v>
      </c>
      <c r="F277" s="104">
        <v>755</v>
      </c>
      <c r="G277" s="104">
        <v>3942</v>
      </c>
      <c r="H277" s="116">
        <v>22.649318319026353</v>
      </c>
      <c r="I277" s="126">
        <v>12820</v>
      </c>
      <c r="J277" s="117">
        <v>28.691033087936543</v>
      </c>
    </row>
    <row r="278" spans="1:10" ht="16">
      <c r="A278" s="93" t="s">
        <v>462</v>
      </c>
      <c r="B278" s="94" t="s">
        <v>459</v>
      </c>
      <c r="C278" s="95" t="s">
        <v>76</v>
      </c>
      <c r="D278" s="96" t="s">
        <v>61</v>
      </c>
      <c r="E278" s="97">
        <v>20388</v>
      </c>
      <c r="F278" s="97">
        <v>883</v>
      </c>
      <c r="G278" s="97">
        <v>5097</v>
      </c>
      <c r="H278" s="114">
        <v>46.836741337255738</v>
      </c>
      <c r="I278" s="125">
        <v>33512</v>
      </c>
      <c r="J278" s="115">
        <v>41.401333852228078</v>
      </c>
    </row>
    <row r="279" spans="1:10" ht="16">
      <c r="A279" s="100" t="s">
        <v>657</v>
      </c>
      <c r="B279" s="101" t="s">
        <v>642</v>
      </c>
      <c r="C279" s="102" t="s">
        <v>107</v>
      </c>
      <c r="D279" s="103" t="s">
        <v>77</v>
      </c>
      <c r="E279" s="104">
        <v>30969</v>
      </c>
      <c r="F279" s="104">
        <v>761</v>
      </c>
      <c r="G279" s="104">
        <v>619</v>
      </c>
      <c r="H279" s="116">
        <v>10.123625197520241</v>
      </c>
      <c r="I279" s="126">
        <v>2610</v>
      </c>
      <c r="J279" s="117">
        <v>17.323246974793818</v>
      </c>
    </row>
    <row r="280" spans="1:10" ht="16">
      <c r="A280" s="93" t="s">
        <v>1324</v>
      </c>
      <c r="B280" s="94" t="s">
        <v>1288</v>
      </c>
      <c r="C280" s="95" t="s">
        <v>76</v>
      </c>
      <c r="D280" s="96" t="s">
        <v>61</v>
      </c>
      <c r="E280" s="97">
        <v>8449</v>
      </c>
      <c r="F280" s="97">
        <v>1127</v>
      </c>
      <c r="G280" s="97">
        <v>676</v>
      </c>
      <c r="H280" s="114">
        <v>16.082875930627637</v>
      </c>
      <c r="I280" s="125">
        <v>15230</v>
      </c>
      <c r="J280" s="115">
        <v>43.045119358834434</v>
      </c>
    </row>
    <row r="281" spans="1:10" ht="16">
      <c r="A281" s="100" t="s">
        <v>244</v>
      </c>
      <c r="B281" s="101" t="s">
        <v>223</v>
      </c>
      <c r="C281" s="102" t="s">
        <v>107</v>
      </c>
      <c r="D281" s="103" t="s">
        <v>82</v>
      </c>
      <c r="E281" s="104">
        <v>30491</v>
      </c>
      <c r="F281" s="104">
        <v>1723</v>
      </c>
      <c r="G281" s="104">
        <v>3354</v>
      </c>
      <c r="H281" s="116">
        <v>11.529505019495003</v>
      </c>
      <c r="I281" s="126">
        <v>3099</v>
      </c>
      <c r="J281" s="117">
        <v>15.128053093901926</v>
      </c>
    </row>
    <row r="282" spans="1:10" ht="16">
      <c r="A282" s="93" t="s">
        <v>245</v>
      </c>
      <c r="B282" s="94" t="s">
        <v>223</v>
      </c>
      <c r="C282" s="95" t="s">
        <v>76</v>
      </c>
      <c r="D282" s="96" t="s">
        <v>59</v>
      </c>
      <c r="E282" s="97">
        <v>25956</v>
      </c>
      <c r="F282" s="97">
        <v>1492</v>
      </c>
      <c r="G282" s="97">
        <v>519</v>
      </c>
      <c r="H282" s="114">
        <v>15.903554688916589</v>
      </c>
      <c r="I282" s="125">
        <v>7569</v>
      </c>
      <c r="J282" s="115">
        <v>22.432200095293801</v>
      </c>
    </row>
    <row r="283" spans="1:10" ht="16">
      <c r="A283" s="100" t="s">
        <v>246</v>
      </c>
      <c r="B283" s="101" t="s">
        <v>223</v>
      </c>
      <c r="C283" s="102" t="s">
        <v>107</v>
      </c>
      <c r="D283" s="103" t="s">
        <v>84</v>
      </c>
      <c r="E283" s="104">
        <v>56379</v>
      </c>
      <c r="F283" s="104">
        <v>3417</v>
      </c>
      <c r="G283" s="104">
        <v>2819</v>
      </c>
      <c r="H283" s="116">
        <v>39.412984771596335</v>
      </c>
      <c r="I283" s="126">
        <v>23481</v>
      </c>
      <c r="J283" s="117">
        <v>41.42428098102404</v>
      </c>
    </row>
    <row r="284" spans="1:10" ht="16">
      <c r="A284" s="93" t="s">
        <v>408</v>
      </c>
      <c r="B284" s="94" t="s">
        <v>402</v>
      </c>
      <c r="C284" s="95" t="s">
        <v>107</v>
      </c>
      <c r="D284" s="96" t="s">
        <v>62</v>
      </c>
      <c r="E284" s="97">
        <v>33463</v>
      </c>
      <c r="F284" s="97">
        <v>596</v>
      </c>
      <c r="G284" s="97">
        <v>5689</v>
      </c>
      <c r="H284" s="114">
        <v>67.67801032155549</v>
      </c>
      <c r="I284" s="125">
        <v>45389</v>
      </c>
      <c r="J284" s="115">
        <v>61.843416719735991</v>
      </c>
    </row>
    <row r="285" spans="1:10" ht="16">
      <c r="A285" s="100" t="s">
        <v>247</v>
      </c>
      <c r="B285" s="101" t="s">
        <v>223</v>
      </c>
      <c r="C285" s="102" t="s">
        <v>107</v>
      </c>
      <c r="D285" s="103" t="s">
        <v>60</v>
      </c>
      <c r="E285" s="104">
        <v>40715</v>
      </c>
      <c r="F285" s="104">
        <v>1996</v>
      </c>
      <c r="G285" s="104">
        <v>814</v>
      </c>
      <c r="H285" s="116">
        <v>24.375884520352461</v>
      </c>
      <c r="I285" s="126">
        <v>18163</v>
      </c>
      <c r="J285" s="117">
        <v>24.330488239478271</v>
      </c>
    </row>
    <row r="286" spans="1:10" ht="16">
      <c r="A286" s="93" t="s">
        <v>658</v>
      </c>
      <c r="B286" s="94" t="s">
        <v>642</v>
      </c>
      <c r="C286" s="95" t="s">
        <v>107</v>
      </c>
      <c r="D286" s="96" t="s">
        <v>77</v>
      </c>
      <c r="E286" s="97">
        <v>888</v>
      </c>
      <c r="F286" s="97">
        <v>444</v>
      </c>
      <c r="G286" s="97">
        <v>9</v>
      </c>
      <c r="H286" s="114">
        <v>12.793134064182521</v>
      </c>
      <c r="I286" s="125">
        <v>5472</v>
      </c>
      <c r="J286" s="115">
        <v>30.265676634725637</v>
      </c>
    </row>
    <row r="287" spans="1:10" ht="16">
      <c r="A287" s="100" t="s">
        <v>1088</v>
      </c>
      <c r="B287" s="101" t="s">
        <v>1081</v>
      </c>
      <c r="C287" s="102" t="s">
        <v>107</v>
      </c>
      <c r="D287" s="103" t="s">
        <v>77</v>
      </c>
      <c r="E287" s="104">
        <v>13970</v>
      </c>
      <c r="F287" s="104">
        <v>490</v>
      </c>
      <c r="G287" s="104">
        <v>1956</v>
      </c>
      <c r="H287" s="116">
        <v>17.852398357614657</v>
      </c>
      <c r="I287" s="126">
        <v>2280</v>
      </c>
      <c r="J287" s="117">
        <v>15.597192251115796</v>
      </c>
    </row>
    <row r="288" spans="1:10" ht="16">
      <c r="A288" s="93" t="s">
        <v>659</v>
      </c>
      <c r="B288" s="94" t="s">
        <v>642</v>
      </c>
      <c r="C288" s="95" t="s">
        <v>107</v>
      </c>
      <c r="D288" s="96" t="s">
        <v>59</v>
      </c>
      <c r="E288" s="97">
        <v>8181</v>
      </c>
      <c r="F288" s="97">
        <v>538</v>
      </c>
      <c r="G288" s="97">
        <v>245</v>
      </c>
      <c r="H288" s="114">
        <v>10.824723848491006</v>
      </c>
      <c r="I288" s="125">
        <v>821</v>
      </c>
      <c r="J288" s="115">
        <v>16.655842191457488</v>
      </c>
    </row>
    <row r="289" spans="1:10" ht="16">
      <c r="A289" s="100" t="s">
        <v>593</v>
      </c>
      <c r="B289" s="101" t="s">
        <v>591</v>
      </c>
      <c r="C289" s="102" t="s">
        <v>76</v>
      </c>
      <c r="D289" s="103" t="s">
        <v>77</v>
      </c>
      <c r="E289" s="104">
        <v>6908</v>
      </c>
      <c r="F289" s="104">
        <v>147</v>
      </c>
      <c r="G289" s="104">
        <v>1658</v>
      </c>
      <c r="H289" s="116">
        <v>11.020510826505355</v>
      </c>
      <c r="I289" s="126">
        <v>6423</v>
      </c>
      <c r="J289" s="117">
        <v>14.995134508481318</v>
      </c>
    </row>
    <row r="290" spans="1:10" ht="16">
      <c r="A290" s="93" t="s">
        <v>409</v>
      </c>
      <c r="B290" s="94" t="s">
        <v>402</v>
      </c>
      <c r="C290" s="95" t="s">
        <v>107</v>
      </c>
      <c r="D290" s="96" t="s">
        <v>61</v>
      </c>
      <c r="E290" s="97">
        <v>5807</v>
      </c>
      <c r="F290" s="97">
        <v>328</v>
      </c>
      <c r="G290" s="97">
        <v>1278</v>
      </c>
      <c r="H290" s="114">
        <v>17.48539553760698</v>
      </c>
      <c r="I290" s="125">
        <v>5089</v>
      </c>
      <c r="J290" s="115">
        <v>25.40595782967031</v>
      </c>
    </row>
    <row r="291" spans="1:10" ht="16">
      <c r="A291" s="100" t="s">
        <v>960</v>
      </c>
      <c r="B291" s="101" t="s">
        <v>959</v>
      </c>
      <c r="C291" s="102" t="s">
        <v>76</v>
      </c>
      <c r="D291" s="103" t="s">
        <v>62</v>
      </c>
      <c r="E291" s="104">
        <v>24763</v>
      </c>
      <c r="F291" s="104">
        <v>2913</v>
      </c>
      <c r="G291" s="104">
        <v>991</v>
      </c>
      <c r="H291" s="116">
        <v>8.4267004253025242</v>
      </c>
      <c r="I291" s="126">
        <v>1242</v>
      </c>
      <c r="J291" s="117">
        <v>22.004598225466722</v>
      </c>
    </row>
    <row r="292" spans="1:10" ht="16">
      <c r="A292" s="93" t="s">
        <v>543</v>
      </c>
      <c r="B292" s="94" t="s">
        <v>537</v>
      </c>
      <c r="C292" s="95" t="s">
        <v>76</v>
      </c>
      <c r="D292" s="96" t="s">
        <v>63</v>
      </c>
      <c r="E292" s="97">
        <v>8330</v>
      </c>
      <c r="F292" s="97">
        <v>291</v>
      </c>
      <c r="G292" s="97">
        <v>583</v>
      </c>
      <c r="H292" s="114">
        <v>8.8345460502221638</v>
      </c>
      <c r="I292" s="125">
        <v>6699</v>
      </c>
      <c r="J292" s="115">
        <v>12.763005039549892</v>
      </c>
    </row>
    <row r="293" spans="1:10" ht="16">
      <c r="A293" s="100" t="s">
        <v>1211</v>
      </c>
      <c r="B293" s="101" t="s">
        <v>1190</v>
      </c>
      <c r="C293" s="102" t="s">
        <v>107</v>
      </c>
      <c r="D293" s="103" t="s">
        <v>59</v>
      </c>
      <c r="E293" s="104">
        <v>16760</v>
      </c>
      <c r="F293" s="104">
        <v>1432</v>
      </c>
      <c r="G293" s="104">
        <v>9386</v>
      </c>
      <c r="H293" s="116">
        <v>88.201362423883822</v>
      </c>
      <c r="I293" s="126">
        <v>85016</v>
      </c>
      <c r="J293" s="117">
        <v>85.002366913309316</v>
      </c>
    </row>
    <row r="294" spans="1:10" ht="16">
      <c r="A294" s="93" t="s">
        <v>381</v>
      </c>
      <c r="B294" s="94" t="s">
        <v>377</v>
      </c>
      <c r="C294" s="95" t="s">
        <v>107</v>
      </c>
      <c r="D294" s="96" t="s">
        <v>77</v>
      </c>
      <c r="E294" s="97">
        <v>1676</v>
      </c>
      <c r="F294" s="97">
        <v>204</v>
      </c>
      <c r="G294" s="97">
        <v>737</v>
      </c>
      <c r="H294" s="114">
        <v>29.29250510773047</v>
      </c>
      <c r="I294" s="125">
        <v>15158</v>
      </c>
      <c r="J294" s="115">
        <v>35.189845005623852</v>
      </c>
    </row>
    <row r="295" spans="1:10" ht="16">
      <c r="A295" s="100" t="s">
        <v>997</v>
      </c>
      <c r="B295" s="101" t="s">
        <v>988</v>
      </c>
      <c r="C295" s="102" t="s">
        <v>107</v>
      </c>
      <c r="D295" s="103" t="s">
        <v>77</v>
      </c>
      <c r="E295" s="104">
        <v>13499</v>
      </c>
      <c r="F295" s="104">
        <v>605</v>
      </c>
      <c r="G295" s="104">
        <v>405</v>
      </c>
      <c r="H295" s="116">
        <v>17.758713496651438</v>
      </c>
      <c r="I295" s="126">
        <v>3778</v>
      </c>
      <c r="J295" s="117">
        <v>16.946454457650674</v>
      </c>
    </row>
    <row r="296" spans="1:10" ht="16">
      <c r="A296" s="93" t="s">
        <v>487</v>
      </c>
      <c r="B296" s="94" t="s">
        <v>474</v>
      </c>
      <c r="C296" s="95" t="s">
        <v>107</v>
      </c>
      <c r="D296" s="96" t="s">
        <v>60</v>
      </c>
      <c r="E296" s="97">
        <v>4128</v>
      </c>
      <c r="F296" s="97">
        <v>430</v>
      </c>
      <c r="G296" s="97">
        <v>41</v>
      </c>
      <c r="H296" s="114">
        <v>56.027995952249682</v>
      </c>
      <c r="I296" s="125">
        <v>17983</v>
      </c>
      <c r="J296" s="115">
        <v>59.242420720617545</v>
      </c>
    </row>
    <row r="297" spans="1:10" ht="16">
      <c r="A297" s="100" t="s">
        <v>488</v>
      </c>
      <c r="B297" s="101" t="s">
        <v>474</v>
      </c>
      <c r="C297" s="102" t="s">
        <v>107</v>
      </c>
      <c r="D297" s="103" t="s">
        <v>130</v>
      </c>
      <c r="E297" s="104">
        <v>1335</v>
      </c>
      <c r="F297" s="104">
        <v>113</v>
      </c>
      <c r="G297" s="104">
        <v>30</v>
      </c>
      <c r="H297" s="116">
        <v>10.972568069142524</v>
      </c>
      <c r="I297" s="126">
        <v>3166</v>
      </c>
      <c r="J297" s="117">
        <v>28.366409014571861</v>
      </c>
    </row>
    <row r="298" spans="1:10" ht="16">
      <c r="A298" s="93" t="s">
        <v>489</v>
      </c>
      <c r="B298" s="94" t="s">
        <v>474</v>
      </c>
      <c r="C298" s="95" t="s">
        <v>107</v>
      </c>
      <c r="D298" s="96" t="s">
        <v>63</v>
      </c>
      <c r="E298" s="97">
        <v>1274</v>
      </c>
      <c r="F298" s="97">
        <v>134</v>
      </c>
      <c r="G298" s="97">
        <v>29</v>
      </c>
      <c r="H298" s="114">
        <v>19.740872479806203</v>
      </c>
      <c r="I298" s="125">
        <v>10671</v>
      </c>
      <c r="J298" s="115">
        <v>32.649611844582559</v>
      </c>
    </row>
    <row r="299" spans="1:10" ht="16">
      <c r="A299" s="100" t="s">
        <v>490</v>
      </c>
      <c r="B299" s="101" t="s">
        <v>474</v>
      </c>
      <c r="C299" s="102" t="s">
        <v>107</v>
      </c>
      <c r="D299" s="103" t="s">
        <v>92</v>
      </c>
      <c r="E299" s="104">
        <v>7833</v>
      </c>
      <c r="F299" s="104">
        <v>312</v>
      </c>
      <c r="G299" s="104">
        <v>78</v>
      </c>
      <c r="H299" s="116">
        <v>13.967150379515653</v>
      </c>
      <c r="I299" s="126">
        <v>5148</v>
      </c>
      <c r="J299" s="117">
        <v>22.051427173977906</v>
      </c>
    </row>
    <row r="300" spans="1:10" ht="16">
      <c r="A300" s="93" t="s">
        <v>491</v>
      </c>
      <c r="B300" s="94" t="s">
        <v>474</v>
      </c>
      <c r="C300" s="95" t="s">
        <v>107</v>
      </c>
      <c r="D300" s="96" t="s">
        <v>92</v>
      </c>
      <c r="E300" s="97">
        <v>1237</v>
      </c>
      <c r="F300" s="97">
        <v>116</v>
      </c>
      <c r="G300" s="97">
        <v>57</v>
      </c>
      <c r="H300" s="114">
        <v>12.171789817410007</v>
      </c>
      <c r="I300" s="125">
        <v>6100</v>
      </c>
      <c r="J300" s="115">
        <v>27.360842663760156</v>
      </c>
    </row>
    <row r="301" spans="1:10" ht="16">
      <c r="A301" s="100" t="s">
        <v>492</v>
      </c>
      <c r="B301" s="101" t="s">
        <v>474</v>
      </c>
      <c r="C301" s="102" t="s">
        <v>107</v>
      </c>
      <c r="D301" s="103" t="s">
        <v>130</v>
      </c>
      <c r="E301" s="104">
        <v>10267</v>
      </c>
      <c r="F301" s="104">
        <v>638</v>
      </c>
      <c r="G301" s="104">
        <v>103</v>
      </c>
      <c r="H301" s="116">
        <v>40.176217356502001</v>
      </c>
      <c r="I301" s="126">
        <v>13890</v>
      </c>
      <c r="J301" s="117">
        <v>45.441218435024872</v>
      </c>
    </row>
    <row r="302" spans="1:10" ht="16">
      <c r="A302" s="93" t="s">
        <v>493</v>
      </c>
      <c r="B302" s="94" t="s">
        <v>474</v>
      </c>
      <c r="C302" s="95" t="s">
        <v>107</v>
      </c>
      <c r="D302" s="96" t="s">
        <v>130</v>
      </c>
      <c r="E302" s="97">
        <v>7284</v>
      </c>
      <c r="F302" s="97">
        <v>492</v>
      </c>
      <c r="G302" s="97">
        <v>73</v>
      </c>
      <c r="H302" s="114">
        <v>28.645569212238662</v>
      </c>
      <c r="I302" s="125">
        <v>13795</v>
      </c>
      <c r="J302" s="115">
        <v>49.248882423172127</v>
      </c>
    </row>
    <row r="303" spans="1:10" ht="16">
      <c r="A303" s="100" t="s">
        <v>494</v>
      </c>
      <c r="B303" s="101" t="s">
        <v>474</v>
      </c>
      <c r="C303" s="102" t="s">
        <v>107</v>
      </c>
      <c r="D303" s="103" t="s">
        <v>62</v>
      </c>
      <c r="E303" s="104">
        <v>1222</v>
      </c>
      <c r="F303" s="104">
        <v>109</v>
      </c>
      <c r="G303" s="104">
        <v>27</v>
      </c>
      <c r="H303" s="116">
        <v>12.035843022243219</v>
      </c>
      <c r="I303" s="126">
        <v>8804</v>
      </c>
      <c r="J303" s="117">
        <v>21.689334393267011</v>
      </c>
    </row>
    <row r="304" spans="1:10" ht="16">
      <c r="A304" s="93" t="s">
        <v>495</v>
      </c>
      <c r="B304" s="94" t="s">
        <v>474</v>
      </c>
      <c r="C304" s="95" t="s">
        <v>107</v>
      </c>
      <c r="D304" s="96" t="s">
        <v>130</v>
      </c>
      <c r="E304" s="97">
        <v>5699</v>
      </c>
      <c r="F304" s="97">
        <v>422</v>
      </c>
      <c r="G304" s="97">
        <v>57</v>
      </c>
      <c r="H304" s="114">
        <v>22.420093629859167</v>
      </c>
      <c r="I304" s="125">
        <v>8237</v>
      </c>
      <c r="J304" s="115">
        <v>34.246579914918883</v>
      </c>
    </row>
    <row r="305" spans="1:10" ht="16">
      <c r="A305" s="100" t="s">
        <v>496</v>
      </c>
      <c r="B305" s="101" t="s">
        <v>474</v>
      </c>
      <c r="C305" s="102" t="s">
        <v>107</v>
      </c>
      <c r="D305" s="103" t="s">
        <v>92</v>
      </c>
      <c r="E305" s="104">
        <v>2088</v>
      </c>
      <c r="F305" s="104">
        <v>175</v>
      </c>
      <c r="G305" s="104">
        <v>96</v>
      </c>
      <c r="H305" s="116">
        <v>18.037328894983329</v>
      </c>
      <c r="I305" s="126">
        <v>9558</v>
      </c>
      <c r="J305" s="117">
        <v>25.99690153361092</v>
      </c>
    </row>
    <row r="306" spans="1:10" ht="16">
      <c r="A306" s="93" t="s">
        <v>497</v>
      </c>
      <c r="B306" s="94" t="s">
        <v>474</v>
      </c>
      <c r="C306" s="95" t="s">
        <v>107</v>
      </c>
      <c r="D306" s="96" t="s">
        <v>84</v>
      </c>
      <c r="E306" s="97">
        <v>1128</v>
      </c>
      <c r="F306" s="97">
        <v>116</v>
      </c>
      <c r="G306" s="97">
        <v>52</v>
      </c>
      <c r="H306" s="114">
        <v>24.63149144796088</v>
      </c>
      <c r="I306" s="125">
        <v>18425</v>
      </c>
      <c r="J306" s="115">
        <v>33.425956994522814</v>
      </c>
    </row>
    <row r="307" spans="1:10" ht="16">
      <c r="A307" s="100" t="s">
        <v>498</v>
      </c>
      <c r="B307" s="101" t="s">
        <v>474</v>
      </c>
      <c r="C307" s="102" t="s">
        <v>107</v>
      </c>
      <c r="D307" s="103" t="s">
        <v>84</v>
      </c>
      <c r="E307" s="104">
        <v>6860</v>
      </c>
      <c r="F307" s="104">
        <v>504</v>
      </c>
      <c r="G307" s="104">
        <v>315</v>
      </c>
      <c r="H307" s="116">
        <v>24.725874923855329</v>
      </c>
      <c r="I307" s="126">
        <v>8712</v>
      </c>
      <c r="J307" s="117">
        <v>37.922120919513198</v>
      </c>
    </row>
    <row r="308" spans="1:10" ht="16">
      <c r="A308" s="93" t="s">
        <v>499</v>
      </c>
      <c r="B308" s="94" t="s">
        <v>474</v>
      </c>
      <c r="C308" s="95" t="s">
        <v>107</v>
      </c>
      <c r="D308" s="96" t="s">
        <v>59</v>
      </c>
      <c r="E308" s="97">
        <v>9167</v>
      </c>
      <c r="F308" s="97">
        <v>745</v>
      </c>
      <c r="G308" s="97">
        <v>421</v>
      </c>
      <c r="H308" s="114">
        <v>39.115282164789384</v>
      </c>
      <c r="I308" s="125">
        <v>15248</v>
      </c>
      <c r="J308" s="115">
        <v>41.537117186001794</v>
      </c>
    </row>
    <row r="309" spans="1:10" ht="16">
      <c r="A309" s="100" t="s">
        <v>500</v>
      </c>
      <c r="B309" s="101" t="s">
        <v>474</v>
      </c>
      <c r="C309" s="102" t="s">
        <v>107</v>
      </c>
      <c r="D309" s="103" t="s">
        <v>60</v>
      </c>
      <c r="E309" s="104">
        <v>9241</v>
      </c>
      <c r="F309" s="104">
        <v>592</v>
      </c>
      <c r="G309" s="104">
        <v>92</v>
      </c>
      <c r="H309" s="116">
        <v>31.476812899905465</v>
      </c>
      <c r="I309" s="126">
        <v>7856</v>
      </c>
      <c r="J309" s="117">
        <v>45.706402758593214</v>
      </c>
    </row>
    <row r="310" spans="1:10" ht="16">
      <c r="A310" s="93" t="s">
        <v>501</v>
      </c>
      <c r="B310" s="94" t="s">
        <v>474</v>
      </c>
      <c r="C310" s="95" t="s">
        <v>107</v>
      </c>
      <c r="D310" s="96" t="s">
        <v>92</v>
      </c>
      <c r="E310" s="97">
        <v>1387</v>
      </c>
      <c r="F310" s="97">
        <v>110</v>
      </c>
      <c r="G310" s="97">
        <v>64</v>
      </c>
      <c r="H310" s="114">
        <v>8.5227408139377445</v>
      </c>
      <c r="I310" s="125">
        <v>3543</v>
      </c>
      <c r="J310" s="115">
        <v>18.226386989392012</v>
      </c>
    </row>
    <row r="311" spans="1:10" ht="16">
      <c r="A311" s="100" t="s">
        <v>502</v>
      </c>
      <c r="B311" s="101" t="s">
        <v>474</v>
      </c>
      <c r="C311" s="102" t="s">
        <v>107</v>
      </c>
      <c r="D311" s="103" t="s">
        <v>61</v>
      </c>
      <c r="E311" s="104">
        <v>7561</v>
      </c>
      <c r="F311" s="104">
        <v>461</v>
      </c>
      <c r="G311" s="104">
        <v>151</v>
      </c>
      <c r="H311" s="116">
        <v>28.530488323705207</v>
      </c>
      <c r="I311" s="126">
        <v>13258</v>
      </c>
      <c r="J311" s="117">
        <v>38.947491364752942</v>
      </c>
    </row>
    <row r="312" spans="1:10" ht="16">
      <c r="A312" s="93" t="s">
        <v>503</v>
      </c>
      <c r="B312" s="94" t="s">
        <v>474</v>
      </c>
      <c r="C312" s="95" t="s">
        <v>107</v>
      </c>
      <c r="D312" s="96" t="s">
        <v>63</v>
      </c>
      <c r="E312" s="97">
        <v>1119</v>
      </c>
      <c r="F312" s="97">
        <v>147</v>
      </c>
      <c r="G312" s="97">
        <v>51</v>
      </c>
      <c r="H312" s="114">
        <v>12.991537349407103</v>
      </c>
      <c r="I312" s="125">
        <v>12917</v>
      </c>
      <c r="J312" s="115">
        <v>28.196588491268745</v>
      </c>
    </row>
    <row r="313" spans="1:10" ht="16">
      <c r="A313" s="100" t="s">
        <v>1325</v>
      </c>
      <c r="B313" s="101" t="s">
        <v>1288</v>
      </c>
      <c r="C313" s="102" t="s">
        <v>76</v>
      </c>
      <c r="D313" s="103" t="s">
        <v>59</v>
      </c>
      <c r="E313" s="104">
        <v>66872</v>
      </c>
      <c r="F313" s="104">
        <v>4917</v>
      </c>
      <c r="G313" s="104">
        <v>10031</v>
      </c>
      <c r="H313" s="116">
        <v>49.886542115732112</v>
      </c>
      <c r="I313" s="126">
        <v>38242</v>
      </c>
      <c r="J313" s="117">
        <v>51.678486582913443</v>
      </c>
    </row>
    <row r="314" spans="1:10" ht="16">
      <c r="A314" s="93" t="s">
        <v>305</v>
      </c>
      <c r="B314" s="94" t="s">
        <v>304</v>
      </c>
      <c r="C314" s="95" t="s">
        <v>107</v>
      </c>
      <c r="D314" s="96" t="s">
        <v>130</v>
      </c>
      <c r="E314" s="97">
        <v>20851</v>
      </c>
      <c r="F314" s="97">
        <v>851</v>
      </c>
      <c r="G314" s="97">
        <v>1436</v>
      </c>
      <c r="H314" s="114">
        <v>10.133930904681984</v>
      </c>
      <c r="I314" s="125">
        <v>3534</v>
      </c>
      <c r="J314" s="115">
        <v>15.016875861949327</v>
      </c>
    </row>
    <row r="315" spans="1:10" ht="16">
      <c r="A315" s="100" t="s">
        <v>998</v>
      </c>
      <c r="B315" s="101" t="s">
        <v>988</v>
      </c>
      <c r="C315" s="102" t="s">
        <v>107</v>
      </c>
      <c r="D315" s="103" t="s">
        <v>80</v>
      </c>
      <c r="E315" s="104">
        <v>19196</v>
      </c>
      <c r="F315" s="104">
        <v>817</v>
      </c>
      <c r="G315" s="104">
        <v>1152</v>
      </c>
      <c r="H315" s="116">
        <v>21.267191033407588</v>
      </c>
      <c r="I315" s="126">
        <v>4960</v>
      </c>
      <c r="J315" s="117">
        <v>24.113006714220283</v>
      </c>
    </row>
    <row r="316" spans="1:10" ht="16">
      <c r="A316" s="93" t="s">
        <v>504</v>
      </c>
      <c r="B316" s="94" t="s">
        <v>474</v>
      </c>
      <c r="C316" s="95" t="s">
        <v>107</v>
      </c>
      <c r="D316" s="96" t="s">
        <v>77</v>
      </c>
      <c r="E316" s="97">
        <v>2146</v>
      </c>
      <c r="F316" s="97">
        <v>118</v>
      </c>
      <c r="G316" s="97">
        <v>48</v>
      </c>
      <c r="H316" s="114">
        <v>24.355008664690466</v>
      </c>
      <c r="I316" s="125">
        <v>11473</v>
      </c>
      <c r="J316" s="115">
        <v>38.959067156188709</v>
      </c>
    </row>
    <row r="317" spans="1:10" ht="16">
      <c r="A317" s="100" t="s">
        <v>861</v>
      </c>
      <c r="B317" s="101" t="s">
        <v>858</v>
      </c>
      <c r="C317" s="102" t="s">
        <v>107</v>
      </c>
      <c r="D317" s="103" t="s">
        <v>62</v>
      </c>
      <c r="E317" s="104">
        <v>30614</v>
      </c>
      <c r="F317" s="104">
        <v>1554</v>
      </c>
      <c r="G317" s="104">
        <v>2449</v>
      </c>
      <c r="H317" s="116">
        <v>8.3387401531275174</v>
      </c>
      <c r="I317" s="126">
        <v>4002</v>
      </c>
      <c r="J317" s="117">
        <v>14.489908213627045</v>
      </c>
    </row>
    <row r="318" spans="1:10" ht="16">
      <c r="A318" s="93" t="s">
        <v>1326</v>
      </c>
      <c r="B318" s="94" t="s">
        <v>1288</v>
      </c>
      <c r="C318" s="95" t="s">
        <v>107</v>
      </c>
      <c r="D318" s="96" t="s">
        <v>59</v>
      </c>
      <c r="E318" s="97">
        <v>32469</v>
      </c>
      <c r="F318" s="97">
        <v>1727</v>
      </c>
      <c r="G318" s="97">
        <v>3896</v>
      </c>
      <c r="H318" s="114">
        <v>33.38108939865986</v>
      </c>
      <c r="I318" s="125">
        <v>20003</v>
      </c>
      <c r="J318" s="115">
        <v>29.784122961796797</v>
      </c>
    </row>
    <row r="319" spans="1:10" ht="16">
      <c r="A319" s="100" t="s">
        <v>544</v>
      </c>
      <c r="B319" s="101" t="s">
        <v>537</v>
      </c>
      <c r="C319" s="102" t="s">
        <v>76</v>
      </c>
      <c r="D319" s="103" t="s">
        <v>59</v>
      </c>
      <c r="E319" s="104">
        <v>8673</v>
      </c>
      <c r="F319" s="104">
        <v>964</v>
      </c>
      <c r="G319" s="104">
        <v>260</v>
      </c>
      <c r="H319" s="116">
        <v>10.41716873988759</v>
      </c>
      <c r="I319" s="126">
        <v>5325</v>
      </c>
      <c r="J319" s="117">
        <v>37.898102732992157</v>
      </c>
    </row>
    <row r="320" spans="1:10" ht="16">
      <c r="A320" s="93" t="s">
        <v>545</v>
      </c>
      <c r="B320" s="94" t="s">
        <v>537</v>
      </c>
      <c r="C320" s="95" t="s">
        <v>107</v>
      </c>
      <c r="D320" s="96" t="s">
        <v>82</v>
      </c>
      <c r="E320" s="97">
        <v>13273</v>
      </c>
      <c r="F320" s="97">
        <v>419</v>
      </c>
      <c r="G320" s="97">
        <v>133</v>
      </c>
      <c r="H320" s="114">
        <v>33.050500709548913</v>
      </c>
      <c r="I320" s="125">
        <v>14124</v>
      </c>
      <c r="J320" s="115">
        <v>28.108557466400342</v>
      </c>
    </row>
    <row r="321" spans="1:10" ht="16">
      <c r="A321" s="100" t="s">
        <v>894</v>
      </c>
      <c r="B321" s="101" t="s">
        <v>893</v>
      </c>
      <c r="C321" s="102" t="s">
        <v>107</v>
      </c>
      <c r="D321" s="103" t="s">
        <v>80</v>
      </c>
      <c r="E321" s="104">
        <v>8898</v>
      </c>
      <c r="F321" s="104">
        <v>368</v>
      </c>
      <c r="G321" s="104">
        <v>1068</v>
      </c>
      <c r="H321" s="116">
        <v>27.0329971187045</v>
      </c>
      <c r="I321" s="126">
        <v>7791</v>
      </c>
      <c r="J321" s="117">
        <v>23.513735426901579</v>
      </c>
    </row>
    <row r="322" spans="1:10" ht="16">
      <c r="A322" s="93" t="s">
        <v>546</v>
      </c>
      <c r="B322" s="94" t="s">
        <v>537</v>
      </c>
      <c r="C322" s="95" t="s">
        <v>76</v>
      </c>
      <c r="D322" s="96" t="s">
        <v>130</v>
      </c>
      <c r="E322" s="97">
        <v>11340</v>
      </c>
      <c r="F322" s="97">
        <v>922</v>
      </c>
      <c r="G322" s="97">
        <v>113</v>
      </c>
      <c r="H322" s="114">
        <v>11.92335910857229</v>
      </c>
      <c r="I322" s="125">
        <v>2693</v>
      </c>
      <c r="J322" s="115">
        <v>41.512752192337352</v>
      </c>
    </row>
    <row r="323" spans="1:10" ht="16">
      <c r="A323" s="100" t="s">
        <v>547</v>
      </c>
      <c r="B323" s="101" t="s">
        <v>537</v>
      </c>
      <c r="C323" s="102" t="s">
        <v>107</v>
      </c>
      <c r="D323" s="103" t="s">
        <v>63</v>
      </c>
      <c r="E323" s="104">
        <v>10064</v>
      </c>
      <c r="F323" s="104">
        <v>486</v>
      </c>
      <c r="G323" s="104">
        <v>101</v>
      </c>
      <c r="H323" s="116">
        <v>24.366004353694546</v>
      </c>
      <c r="I323" s="126">
        <v>9821</v>
      </c>
      <c r="J323" s="117">
        <v>25.62505426634047</v>
      </c>
    </row>
    <row r="324" spans="1:10" ht="16">
      <c r="A324" s="93" t="s">
        <v>1160</v>
      </c>
      <c r="B324" s="94" t="s">
        <v>1142</v>
      </c>
      <c r="C324" s="95" t="s">
        <v>76</v>
      </c>
      <c r="D324" s="96" t="s">
        <v>130</v>
      </c>
      <c r="E324" s="97">
        <v>26215</v>
      </c>
      <c r="F324" s="97">
        <v>892</v>
      </c>
      <c r="G324" s="97">
        <v>524</v>
      </c>
      <c r="H324" s="114">
        <v>9.4726578362295708</v>
      </c>
      <c r="I324" s="125">
        <v>1067</v>
      </c>
      <c r="J324" s="115">
        <v>12.550206648627325</v>
      </c>
    </row>
    <row r="325" spans="1:10" ht="16">
      <c r="A325" s="100" t="s">
        <v>1161</v>
      </c>
      <c r="B325" s="101" t="s">
        <v>1142</v>
      </c>
      <c r="C325" s="102" t="s">
        <v>107</v>
      </c>
      <c r="D325" s="103" t="s">
        <v>130</v>
      </c>
      <c r="E325" s="104">
        <v>34825</v>
      </c>
      <c r="F325" s="104">
        <v>1514</v>
      </c>
      <c r="G325" s="104">
        <v>1393</v>
      </c>
      <c r="H325" s="116">
        <v>28.292393854486331</v>
      </c>
      <c r="I325" s="126">
        <v>8486</v>
      </c>
      <c r="J325" s="117">
        <v>25.966267318460208</v>
      </c>
    </row>
    <row r="326" spans="1:10" ht="16">
      <c r="A326" s="93" t="s">
        <v>1162</v>
      </c>
      <c r="B326" s="94" t="s">
        <v>1142</v>
      </c>
      <c r="C326" s="95" t="s">
        <v>76</v>
      </c>
      <c r="D326" s="96" t="s">
        <v>63</v>
      </c>
      <c r="E326" s="97">
        <v>122002</v>
      </c>
      <c r="F326" s="97">
        <v>2044</v>
      </c>
      <c r="G326" s="97">
        <v>7320</v>
      </c>
      <c r="H326" s="114">
        <v>24.77908429941089</v>
      </c>
      <c r="I326" s="125">
        <v>5807</v>
      </c>
      <c r="J326" s="115">
        <v>26.23282227546278</v>
      </c>
    </row>
    <row r="327" spans="1:10" ht="16">
      <c r="A327" s="100" t="s">
        <v>925</v>
      </c>
      <c r="B327" s="101" t="s">
        <v>919</v>
      </c>
      <c r="C327" s="102" t="s">
        <v>107</v>
      </c>
      <c r="D327" s="103" t="s">
        <v>82</v>
      </c>
      <c r="E327" s="104">
        <v>10206</v>
      </c>
      <c r="F327" s="104">
        <v>779</v>
      </c>
      <c r="G327" s="104">
        <v>1633</v>
      </c>
      <c r="H327" s="116">
        <v>28.442908792157034</v>
      </c>
      <c r="I327" s="126">
        <v>14019</v>
      </c>
      <c r="J327" s="117">
        <v>31.493280680447498</v>
      </c>
    </row>
    <row r="328" spans="1:10" ht="16">
      <c r="A328" s="93" t="s">
        <v>1177</v>
      </c>
      <c r="B328" s="94" t="s">
        <v>1178</v>
      </c>
      <c r="C328" s="95" t="s">
        <v>76</v>
      </c>
      <c r="D328" s="96" t="s">
        <v>82</v>
      </c>
      <c r="E328" s="97">
        <v>16220</v>
      </c>
      <c r="F328" s="97">
        <v>1886</v>
      </c>
      <c r="G328" s="97">
        <v>162</v>
      </c>
      <c r="H328" s="114">
        <v>8.2032461340794107</v>
      </c>
      <c r="I328" s="125">
        <v>381</v>
      </c>
      <c r="J328" s="115">
        <v>22.455434209368523</v>
      </c>
    </row>
    <row r="329" spans="1:10" ht="16">
      <c r="A329" s="100" t="s">
        <v>399</v>
      </c>
      <c r="B329" s="101" t="s">
        <v>400</v>
      </c>
      <c r="C329" s="102" t="s">
        <v>76</v>
      </c>
      <c r="D329" s="103" t="s">
        <v>60</v>
      </c>
      <c r="E329" s="104">
        <v>19670</v>
      </c>
      <c r="F329" s="104">
        <v>823</v>
      </c>
      <c r="G329" s="104">
        <v>393</v>
      </c>
      <c r="H329" s="116">
        <v>9.5603597799170128</v>
      </c>
      <c r="I329" s="126">
        <v>440</v>
      </c>
      <c r="J329" s="117">
        <v>15.61374196150528</v>
      </c>
    </row>
    <row r="330" spans="1:10" ht="16">
      <c r="A330" s="93" t="s">
        <v>660</v>
      </c>
      <c r="B330" s="94" t="s">
        <v>642</v>
      </c>
      <c r="C330" s="95" t="s">
        <v>107</v>
      </c>
      <c r="D330" s="96" t="s">
        <v>82</v>
      </c>
      <c r="E330" s="97">
        <v>5516</v>
      </c>
      <c r="F330" s="97">
        <v>400</v>
      </c>
      <c r="G330" s="97">
        <v>165</v>
      </c>
      <c r="H330" s="114">
        <v>10.004481379772017</v>
      </c>
      <c r="I330" s="125">
        <v>1236</v>
      </c>
      <c r="J330" s="115">
        <v>20.029165203717273</v>
      </c>
    </row>
    <row r="331" spans="1:10" ht="16">
      <c r="A331" s="100" t="s">
        <v>1163</v>
      </c>
      <c r="B331" s="101" t="s">
        <v>1142</v>
      </c>
      <c r="C331" s="102" t="s">
        <v>107</v>
      </c>
      <c r="D331" s="103" t="s">
        <v>80</v>
      </c>
      <c r="E331" s="104">
        <v>5090</v>
      </c>
      <c r="F331" s="104">
        <v>260</v>
      </c>
      <c r="G331" s="104">
        <v>204</v>
      </c>
      <c r="H331" s="116">
        <v>11.83779966203393</v>
      </c>
      <c r="I331" s="126">
        <v>3332</v>
      </c>
      <c r="J331" s="117">
        <v>19.700864101050417</v>
      </c>
    </row>
    <row r="332" spans="1:10" ht="16">
      <c r="A332" s="93" t="s">
        <v>410</v>
      </c>
      <c r="B332" s="94" t="s">
        <v>402</v>
      </c>
      <c r="C332" s="95" t="s">
        <v>107</v>
      </c>
      <c r="D332" s="96" t="s">
        <v>82</v>
      </c>
      <c r="E332" s="97">
        <v>1142</v>
      </c>
      <c r="F332" s="97">
        <v>70</v>
      </c>
      <c r="G332" s="97">
        <v>868</v>
      </c>
      <c r="H332" s="114">
        <v>33.592383578232457</v>
      </c>
      <c r="I332" s="125">
        <v>16874</v>
      </c>
      <c r="J332" s="115">
        <v>40.638531801082088</v>
      </c>
    </row>
    <row r="333" spans="1:10" ht="16">
      <c r="A333" s="100" t="s">
        <v>505</v>
      </c>
      <c r="B333" s="101" t="s">
        <v>474</v>
      </c>
      <c r="C333" s="102" t="s">
        <v>107</v>
      </c>
      <c r="D333" s="103" t="s">
        <v>92</v>
      </c>
      <c r="E333" s="104">
        <v>11528</v>
      </c>
      <c r="F333" s="104">
        <v>627</v>
      </c>
      <c r="G333" s="104">
        <v>115</v>
      </c>
      <c r="H333" s="116">
        <v>22.56439909879186</v>
      </c>
      <c r="I333" s="126">
        <v>6369</v>
      </c>
      <c r="J333" s="117">
        <v>34.027374598137463</v>
      </c>
    </row>
    <row r="334" spans="1:10" ht="16">
      <c r="A334" s="93" t="s">
        <v>882</v>
      </c>
      <c r="B334" s="94" t="s">
        <v>879</v>
      </c>
      <c r="C334" s="95" t="s">
        <v>76</v>
      </c>
      <c r="D334" s="96" t="s">
        <v>82</v>
      </c>
      <c r="E334" s="97">
        <v>40608</v>
      </c>
      <c r="F334" s="97">
        <v>3726</v>
      </c>
      <c r="G334" s="97">
        <v>3655</v>
      </c>
      <c r="H334" s="114">
        <v>17.88537060365455</v>
      </c>
      <c r="I334" s="125">
        <v>10525</v>
      </c>
      <c r="J334" s="115">
        <v>25.85826963659289</v>
      </c>
    </row>
    <row r="335" spans="1:10" ht="16">
      <c r="A335" s="100" t="s">
        <v>100</v>
      </c>
      <c r="B335" s="101" t="s">
        <v>89</v>
      </c>
      <c r="C335" s="102" t="s">
        <v>76</v>
      </c>
      <c r="D335" s="103" t="s">
        <v>60</v>
      </c>
      <c r="E335" s="104">
        <v>11491</v>
      </c>
      <c r="F335" s="104">
        <v>542</v>
      </c>
      <c r="G335" s="104">
        <v>1264</v>
      </c>
      <c r="H335" s="116">
        <v>28.674314692830073</v>
      </c>
      <c r="I335" s="126">
        <v>26621</v>
      </c>
      <c r="J335" s="117">
        <v>24.283271215299376</v>
      </c>
    </row>
    <row r="336" spans="1:10" ht="16">
      <c r="A336" s="93" t="s">
        <v>506</v>
      </c>
      <c r="B336" s="94" t="s">
        <v>474</v>
      </c>
      <c r="C336" s="95" t="s">
        <v>107</v>
      </c>
      <c r="D336" s="96" t="s">
        <v>62</v>
      </c>
      <c r="E336" s="97">
        <v>10653</v>
      </c>
      <c r="F336" s="97">
        <v>1098</v>
      </c>
      <c r="G336" s="97">
        <v>320</v>
      </c>
      <c r="H336" s="114">
        <v>9.2392189529107398</v>
      </c>
      <c r="I336" s="125">
        <v>4171</v>
      </c>
      <c r="J336" s="115">
        <v>29.923096498984993</v>
      </c>
    </row>
    <row r="337" spans="1:10" ht="16">
      <c r="A337" s="100" t="s">
        <v>1024</v>
      </c>
      <c r="B337" s="101" t="s">
        <v>1020</v>
      </c>
      <c r="C337" s="102" t="s">
        <v>76</v>
      </c>
      <c r="D337" s="103" t="s">
        <v>62</v>
      </c>
      <c r="E337" s="104">
        <v>12182</v>
      </c>
      <c r="F337" s="104">
        <v>781</v>
      </c>
      <c r="G337" s="104">
        <v>1096</v>
      </c>
      <c r="H337" s="116">
        <v>16.815138530912581</v>
      </c>
      <c r="I337" s="126">
        <v>8151</v>
      </c>
      <c r="J337" s="117">
        <v>23.469734104553424</v>
      </c>
    </row>
    <row r="338" spans="1:10" ht="16">
      <c r="A338" s="93" t="s">
        <v>507</v>
      </c>
      <c r="B338" s="94" t="s">
        <v>474</v>
      </c>
      <c r="C338" s="95" t="s">
        <v>76</v>
      </c>
      <c r="D338" s="96" t="s">
        <v>60</v>
      </c>
      <c r="E338" s="97">
        <v>7938</v>
      </c>
      <c r="F338" s="97">
        <v>571</v>
      </c>
      <c r="G338" s="97">
        <v>318</v>
      </c>
      <c r="H338" s="114">
        <v>17.323326156256734</v>
      </c>
      <c r="I338" s="125">
        <v>4670</v>
      </c>
      <c r="J338" s="115">
        <v>44.517308019604997</v>
      </c>
    </row>
    <row r="339" spans="1:10" ht="16">
      <c r="A339" s="100" t="s">
        <v>248</v>
      </c>
      <c r="B339" s="101" t="s">
        <v>223</v>
      </c>
      <c r="C339" s="102" t="s">
        <v>107</v>
      </c>
      <c r="D339" s="103" t="s">
        <v>82</v>
      </c>
      <c r="E339" s="104">
        <v>21455</v>
      </c>
      <c r="F339" s="104">
        <v>1500</v>
      </c>
      <c r="G339" s="104">
        <v>429</v>
      </c>
      <c r="H339" s="116">
        <v>11.773913903651065</v>
      </c>
      <c r="I339" s="126">
        <v>6780</v>
      </c>
      <c r="J339" s="117">
        <v>15.877750765779457</v>
      </c>
    </row>
    <row r="340" spans="1:10" ht="16">
      <c r="A340" s="93" t="s">
        <v>249</v>
      </c>
      <c r="B340" s="94" t="s">
        <v>223</v>
      </c>
      <c r="C340" s="95" t="s">
        <v>107</v>
      </c>
      <c r="D340" s="96" t="s">
        <v>82</v>
      </c>
      <c r="E340" s="97">
        <v>35335</v>
      </c>
      <c r="F340" s="97">
        <v>3719</v>
      </c>
      <c r="G340" s="97">
        <v>1767</v>
      </c>
      <c r="H340" s="114">
        <v>10.700300867433794</v>
      </c>
      <c r="I340" s="125">
        <v>3529</v>
      </c>
      <c r="J340" s="115">
        <v>19.638485383991192</v>
      </c>
    </row>
    <row r="341" spans="1:10" ht="16">
      <c r="A341" s="100" t="s">
        <v>661</v>
      </c>
      <c r="B341" s="101" t="s">
        <v>642</v>
      </c>
      <c r="C341" s="102" t="s">
        <v>107</v>
      </c>
      <c r="D341" s="103" t="s">
        <v>80</v>
      </c>
      <c r="E341" s="104">
        <v>1078</v>
      </c>
      <c r="F341" s="104">
        <v>1198</v>
      </c>
      <c r="G341" s="104">
        <v>11</v>
      </c>
      <c r="H341" s="116">
        <v>9.3132777325488405</v>
      </c>
      <c r="I341" s="126">
        <v>4554</v>
      </c>
      <c r="J341" s="117">
        <v>29.316054243258517</v>
      </c>
    </row>
    <row r="342" spans="1:10" ht="16">
      <c r="A342" s="93" t="s">
        <v>250</v>
      </c>
      <c r="B342" s="94" t="s">
        <v>223</v>
      </c>
      <c r="C342" s="95" t="s">
        <v>107</v>
      </c>
      <c r="D342" s="96" t="s">
        <v>84</v>
      </c>
      <c r="E342" s="97">
        <v>70450</v>
      </c>
      <c r="F342" s="97">
        <v>6523</v>
      </c>
      <c r="G342" s="97">
        <v>2114</v>
      </c>
      <c r="H342" s="114">
        <v>16.571795965375223</v>
      </c>
      <c r="I342" s="125">
        <v>4495</v>
      </c>
      <c r="J342" s="115">
        <v>27.819573219479786</v>
      </c>
    </row>
    <row r="343" spans="1:10" ht="16">
      <c r="A343" s="100" t="s">
        <v>251</v>
      </c>
      <c r="B343" s="101" t="s">
        <v>223</v>
      </c>
      <c r="C343" s="102" t="s">
        <v>76</v>
      </c>
      <c r="D343" s="103" t="s">
        <v>60</v>
      </c>
      <c r="E343" s="104">
        <v>34904</v>
      </c>
      <c r="F343" s="104">
        <v>2493</v>
      </c>
      <c r="G343" s="104">
        <v>11867</v>
      </c>
      <c r="H343" s="116">
        <v>15.34322731641878</v>
      </c>
      <c r="I343" s="126">
        <v>5807</v>
      </c>
      <c r="J343" s="117">
        <v>22.446820454487248</v>
      </c>
    </row>
    <row r="344" spans="1:10" ht="16">
      <c r="A344" s="93" t="s">
        <v>411</v>
      </c>
      <c r="B344" s="94" t="s">
        <v>402</v>
      </c>
      <c r="C344" s="95" t="s">
        <v>76</v>
      </c>
      <c r="D344" s="96" t="s">
        <v>84</v>
      </c>
      <c r="E344" s="97">
        <v>31919</v>
      </c>
      <c r="F344" s="97">
        <v>1187</v>
      </c>
      <c r="G344" s="97">
        <v>3511</v>
      </c>
      <c r="H344" s="114">
        <v>23.294106857357065</v>
      </c>
      <c r="I344" s="125">
        <v>17601</v>
      </c>
      <c r="J344" s="115">
        <v>35.960990171566493</v>
      </c>
    </row>
    <row r="345" spans="1:10" ht="16">
      <c r="A345" s="100" t="s">
        <v>128</v>
      </c>
      <c r="B345" s="101" t="s">
        <v>127</v>
      </c>
      <c r="C345" s="102" t="s">
        <v>76</v>
      </c>
      <c r="D345" s="103" t="s">
        <v>59</v>
      </c>
      <c r="E345" s="104">
        <v>6122</v>
      </c>
      <c r="F345" s="104">
        <v>583</v>
      </c>
      <c r="G345" s="104">
        <v>673</v>
      </c>
      <c r="H345" s="116">
        <v>19.863021584167178</v>
      </c>
      <c r="I345" s="126">
        <v>9338</v>
      </c>
      <c r="J345" s="117">
        <v>29.004514706624306</v>
      </c>
    </row>
    <row r="346" spans="1:10" ht="16">
      <c r="A346" s="93" t="s">
        <v>1327</v>
      </c>
      <c r="B346" s="94" t="s">
        <v>1288</v>
      </c>
      <c r="C346" s="95" t="s">
        <v>76</v>
      </c>
      <c r="D346" s="96" t="s">
        <v>80</v>
      </c>
      <c r="E346" s="97">
        <v>16171</v>
      </c>
      <c r="F346" s="97">
        <v>3594</v>
      </c>
      <c r="G346" s="97">
        <v>4204</v>
      </c>
      <c r="H346" s="114">
        <v>92.36395591619609</v>
      </c>
      <c r="I346" s="125">
        <v>89908</v>
      </c>
      <c r="J346" s="115">
        <v>82.593890709390948</v>
      </c>
    </row>
    <row r="347" spans="1:10" ht="16">
      <c r="A347" s="100" t="s">
        <v>755</v>
      </c>
      <c r="B347" s="101" t="s">
        <v>753</v>
      </c>
      <c r="C347" s="102" t="s">
        <v>76</v>
      </c>
      <c r="D347" s="103" t="s">
        <v>63</v>
      </c>
      <c r="E347" s="104">
        <v>21512</v>
      </c>
      <c r="F347" s="104">
        <v>1605</v>
      </c>
      <c r="G347" s="104">
        <v>3657</v>
      </c>
      <c r="H347" s="116">
        <v>9.3155530258138128</v>
      </c>
      <c r="I347" s="126">
        <v>9167</v>
      </c>
      <c r="J347" s="117">
        <v>16.600018390587717</v>
      </c>
    </row>
    <row r="348" spans="1:10" ht="16">
      <c r="A348" s="93" t="s">
        <v>662</v>
      </c>
      <c r="B348" s="94" t="s">
        <v>642</v>
      </c>
      <c r="C348" s="95" t="s">
        <v>76</v>
      </c>
      <c r="D348" s="96" t="s">
        <v>60</v>
      </c>
      <c r="E348" s="97">
        <v>4653</v>
      </c>
      <c r="F348" s="97">
        <v>1224</v>
      </c>
      <c r="G348" s="97">
        <v>93</v>
      </c>
      <c r="H348" s="114">
        <v>14.042520596270766</v>
      </c>
      <c r="I348" s="125">
        <v>3804</v>
      </c>
      <c r="J348" s="115">
        <v>35.568121545316728</v>
      </c>
    </row>
    <row r="349" spans="1:10" ht="16">
      <c r="A349" s="100" t="s">
        <v>412</v>
      </c>
      <c r="B349" s="101" t="s">
        <v>402</v>
      </c>
      <c r="C349" s="102" t="s">
        <v>76</v>
      </c>
      <c r="D349" s="103" t="s">
        <v>77</v>
      </c>
      <c r="E349" s="104">
        <v>28575</v>
      </c>
      <c r="F349" s="104">
        <v>611</v>
      </c>
      <c r="G349" s="104">
        <v>2572</v>
      </c>
      <c r="H349" s="116">
        <v>34.729782903112365</v>
      </c>
      <c r="I349" s="126">
        <v>18438</v>
      </c>
      <c r="J349" s="117">
        <v>38.694550150144821</v>
      </c>
    </row>
    <row r="350" spans="1:10" ht="16">
      <c r="A350" s="93" t="s">
        <v>548</v>
      </c>
      <c r="B350" s="94" t="s">
        <v>537</v>
      </c>
      <c r="C350" s="95" t="s">
        <v>107</v>
      </c>
      <c r="D350" s="96" t="s">
        <v>59</v>
      </c>
      <c r="E350" s="97">
        <v>6582</v>
      </c>
      <c r="F350" s="97">
        <v>295</v>
      </c>
      <c r="G350" s="97">
        <v>66</v>
      </c>
      <c r="H350" s="114">
        <v>23.78469025451475</v>
      </c>
      <c r="I350" s="125">
        <v>6008</v>
      </c>
      <c r="J350" s="115">
        <v>25.484895671407362</v>
      </c>
    </row>
    <row r="351" spans="1:10" ht="16">
      <c r="A351" s="100" t="s">
        <v>355</v>
      </c>
      <c r="B351" s="101" t="s">
        <v>344</v>
      </c>
      <c r="C351" s="102" t="s">
        <v>76</v>
      </c>
      <c r="D351" s="103" t="s">
        <v>59</v>
      </c>
      <c r="E351" s="104">
        <v>74546</v>
      </c>
      <c r="F351" s="104">
        <v>1878</v>
      </c>
      <c r="G351" s="104">
        <v>745</v>
      </c>
      <c r="H351" s="116">
        <v>8.3879534537151361</v>
      </c>
      <c r="I351" s="126">
        <v>5410</v>
      </c>
      <c r="J351" s="117">
        <v>13.824819454941604</v>
      </c>
    </row>
    <row r="352" spans="1:10" ht="16">
      <c r="A352" s="93" t="s">
        <v>663</v>
      </c>
      <c r="B352" s="94" t="s">
        <v>642</v>
      </c>
      <c r="C352" s="95" t="s">
        <v>107</v>
      </c>
      <c r="D352" s="96" t="s">
        <v>80</v>
      </c>
      <c r="E352" s="97">
        <v>6392</v>
      </c>
      <c r="F352" s="97">
        <v>659</v>
      </c>
      <c r="G352" s="97">
        <v>128</v>
      </c>
      <c r="H352" s="114">
        <v>12.232168344945391</v>
      </c>
      <c r="I352" s="125">
        <v>3364</v>
      </c>
      <c r="J352" s="115">
        <v>21.005079228793321</v>
      </c>
    </row>
    <row r="353" spans="1:10" ht="16">
      <c r="A353" s="100" t="s">
        <v>664</v>
      </c>
      <c r="B353" s="101" t="s">
        <v>642</v>
      </c>
      <c r="C353" s="102" t="s">
        <v>107</v>
      </c>
      <c r="D353" s="103" t="s">
        <v>130</v>
      </c>
      <c r="E353" s="104">
        <v>10541</v>
      </c>
      <c r="F353" s="104">
        <v>1044</v>
      </c>
      <c r="G353" s="104">
        <v>316</v>
      </c>
      <c r="H353" s="116">
        <v>11.751219156609345</v>
      </c>
      <c r="I353" s="126">
        <v>2077</v>
      </c>
      <c r="J353" s="117">
        <v>21.915898167648709</v>
      </c>
    </row>
    <row r="354" spans="1:10" ht="16">
      <c r="A354" s="93" t="s">
        <v>665</v>
      </c>
      <c r="B354" s="94" t="s">
        <v>642</v>
      </c>
      <c r="C354" s="95" t="s">
        <v>107</v>
      </c>
      <c r="D354" s="96" t="s">
        <v>80</v>
      </c>
      <c r="E354" s="97">
        <v>18104</v>
      </c>
      <c r="F354" s="97">
        <v>1240</v>
      </c>
      <c r="G354" s="97">
        <v>543</v>
      </c>
      <c r="H354" s="114">
        <v>8.0311912620616805</v>
      </c>
      <c r="I354" s="125">
        <v>1016</v>
      </c>
      <c r="J354" s="115">
        <v>15.218319770109048</v>
      </c>
    </row>
    <row r="355" spans="1:10" ht="16">
      <c r="A355" s="100" t="s">
        <v>666</v>
      </c>
      <c r="B355" s="101" t="s">
        <v>642</v>
      </c>
      <c r="C355" s="102" t="s">
        <v>107</v>
      </c>
      <c r="D355" s="103" t="s">
        <v>84</v>
      </c>
      <c r="E355" s="104">
        <v>10420</v>
      </c>
      <c r="F355" s="104">
        <v>1063</v>
      </c>
      <c r="G355" s="104">
        <v>521</v>
      </c>
      <c r="H355" s="116">
        <v>17.936422832655889</v>
      </c>
      <c r="I355" s="126">
        <v>5105</v>
      </c>
      <c r="J355" s="117">
        <v>27.530207044220724</v>
      </c>
    </row>
    <row r="356" spans="1:10" ht="16">
      <c r="A356" s="93" t="s">
        <v>999</v>
      </c>
      <c r="B356" s="94" t="s">
        <v>988</v>
      </c>
      <c r="C356" s="95" t="s">
        <v>107</v>
      </c>
      <c r="D356" s="96" t="s">
        <v>80</v>
      </c>
      <c r="E356" s="97">
        <v>23127</v>
      </c>
      <c r="F356" s="97">
        <v>1001</v>
      </c>
      <c r="G356" s="97">
        <v>694</v>
      </c>
      <c r="H356" s="114">
        <v>15.681935078154792</v>
      </c>
      <c r="I356" s="125">
        <v>2688</v>
      </c>
      <c r="J356" s="115">
        <v>18.487861207805885</v>
      </c>
    </row>
    <row r="357" spans="1:10" ht="16">
      <c r="A357" s="100" t="s">
        <v>667</v>
      </c>
      <c r="B357" s="101" t="s">
        <v>642</v>
      </c>
      <c r="C357" s="102" t="s">
        <v>107</v>
      </c>
      <c r="D357" s="103" t="s">
        <v>60</v>
      </c>
      <c r="E357" s="104">
        <v>841</v>
      </c>
      <c r="F357" s="104">
        <v>765</v>
      </c>
      <c r="G357" s="104">
        <v>25</v>
      </c>
      <c r="H357" s="116">
        <v>9.6769341194280489</v>
      </c>
      <c r="I357" s="126">
        <v>6216</v>
      </c>
      <c r="J357" s="117">
        <v>32.666595345909577</v>
      </c>
    </row>
    <row r="358" spans="1:10" ht="16">
      <c r="A358" s="93" t="s">
        <v>668</v>
      </c>
      <c r="B358" s="94" t="s">
        <v>642</v>
      </c>
      <c r="C358" s="95" t="s">
        <v>107</v>
      </c>
      <c r="D358" s="96" t="s">
        <v>82</v>
      </c>
      <c r="E358" s="97">
        <v>30346</v>
      </c>
      <c r="F358" s="97">
        <v>2709</v>
      </c>
      <c r="G358" s="97">
        <v>910</v>
      </c>
      <c r="H358" s="114">
        <v>8.9736077280863107</v>
      </c>
      <c r="I358" s="125">
        <v>624</v>
      </c>
      <c r="J358" s="115">
        <v>24.90465541400749</v>
      </c>
    </row>
    <row r="359" spans="1:10" ht="16">
      <c r="A359" s="100" t="s">
        <v>1328</v>
      </c>
      <c r="B359" s="101" t="s">
        <v>1288</v>
      </c>
      <c r="C359" s="102" t="s">
        <v>107</v>
      </c>
      <c r="D359" s="103" t="s">
        <v>92</v>
      </c>
      <c r="E359" s="104">
        <v>21536</v>
      </c>
      <c r="F359" s="104">
        <v>1506</v>
      </c>
      <c r="G359" s="104">
        <v>1938</v>
      </c>
      <c r="H359" s="116">
        <v>21.388952606422322</v>
      </c>
      <c r="I359" s="126">
        <v>9422</v>
      </c>
      <c r="J359" s="117">
        <v>25.64716184809939</v>
      </c>
    </row>
    <row r="360" spans="1:10" ht="16">
      <c r="A360" s="93" t="s">
        <v>1089</v>
      </c>
      <c r="B360" s="94" t="s">
        <v>1081</v>
      </c>
      <c r="C360" s="95" t="s">
        <v>76</v>
      </c>
      <c r="D360" s="96" t="s">
        <v>61</v>
      </c>
      <c r="E360" s="97">
        <v>6881</v>
      </c>
      <c r="F360" s="97">
        <v>564</v>
      </c>
      <c r="G360" s="97">
        <v>482</v>
      </c>
      <c r="H360" s="114">
        <v>23.378626284312126</v>
      </c>
      <c r="I360" s="125">
        <v>6101</v>
      </c>
      <c r="J360" s="115">
        <v>22.784624182570617</v>
      </c>
    </row>
    <row r="361" spans="1:10" ht="16">
      <c r="A361" s="100" t="s">
        <v>413</v>
      </c>
      <c r="B361" s="101" t="s">
        <v>402</v>
      </c>
      <c r="C361" s="102" t="s">
        <v>107</v>
      </c>
      <c r="D361" s="103" t="s">
        <v>63</v>
      </c>
      <c r="E361" s="104">
        <v>27255</v>
      </c>
      <c r="F361" s="104">
        <v>1065</v>
      </c>
      <c r="G361" s="104">
        <v>5996</v>
      </c>
      <c r="H361" s="116">
        <v>48.020534381498777</v>
      </c>
      <c r="I361" s="126">
        <v>31867</v>
      </c>
      <c r="J361" s="117">
        <v>46.341184236459952</v>
      </c>
    </row>
    <row r="362" spans="1:10" ht="16">
      <c r="A362" s="93" t="s">
        <v>1063</v>
      </c>
      <c r="B362" s="94" t="s">
        <v>1062</v>
      </c>
      <c r="C362" s="95" t="s">
        <v>76</v>
      </c>
      <c r="D362" s="96" t="s">
        <v>61</v>
      </c>
      <c r="E362" s="97">
        <v>8552</v>
      </c>
      <c r="F362" s="97">
        <v>668</v>
      </c>
      <c r="G362" s="97">
        <v>7184</v>
      </c>
      <c r="H362" s="114">
        <v>13.746119446343176</v>
      </c>
      <c r="I362" s="125">
        <v>6358</v>
      </c>
      <c r="J362" s="115">
        <v>17.60763885729207</v>
      </c>
    </row>
    <row r="363" spans="1:10" ht="16">
      <c r="A363" s="100" t="s">
        <v>1064</v>
      </c>
      <c r="B363" s="101" t="s">
        <v>1062</v>
      </c>
      <c r="C363" s="102" t="s">
        <v>76</v>
      </c>
      <c r="D363" s="103" t="s">
        <v>130</v>
      </c>
      <c r="E363" s="104">
        <v>7777</v>
      </c>
      <c r="F363" s="104">
        <v>864</v>
      </c>
      <c r="G363" s="104">
        <v>1555</v>
      </c>
      <c r="H363" s="116">
        <v>71.827539937892439</v>
      </c>
      <c r="I363" s="126">
        <v>68753</v>
      </c>
      <c r="J363" s="117">
        <v>55.791478843002977</v>
      </c>
    </row>
    <row r="364" spans="1:10" ht="16">
      <c r="A364" s="93" t="s">
        <v>1122</v>
      </c>
      <c r="B364" s="94" t="s">
        <v>1120</v>
      </c>
      <c r="C364" s="95" t="s">
        <v>76</v>
      </c>
      <c r="D364" s="96" t="s">
        <v>59</v>
      </c>
      <c r="E364" s="97">
        <v>68067</v>
      </c>
      <c r="F364" s="97">
        <v>3066</v>
      </c>
      <c r="G364" s="97">
        <v>681</v>
      </c>
      <c r="H364" s="114">
        <v>13.083052614484661</v>
      </c>
      <c r="I364" s="125">
        <v>1377</v>
      </c>
      <c r="J364" s="115">
        <v>18.877875878862181</v>
      </c>
    </row>
    <row r="365" spans="1:10" ht="16">
      <c r="A365" s="100" t="s">
        <v>772</v>
      </c>
      <c r="B365" s="101" t="s">
        <v>773</v>
      </c>
      <c r="C365" s="102" t="s">
        <v>107</v>
      </c>
      <c r="D365" s="103" t="s">
        <v>63</v>
      </c>
      <c r="E365" s="104">
        <v>9956</v>
      </c>
      <c r="F365" s="104">
        <v>677</v>
      </c>
      <c r="G365" s="104">
        <v>597</v>
      </c>
      <c r="H365" s="116">
        <v>11.870943933325423</v>
      </c>
      <c r="I365" s="126">
        <v>734</v>
      </c>
      <c r="J365" s="117">
        <v>16.860654250223611</v>
      </c>
    </row>
    <row r="366" spans="1:10" ht="16">
      <c r="A366" s="93" t="s">
        <v>926</v>
      </c>
      <c r="B366" s="94" t="s">
        <v>919</v>
      </c>
      <c r="C366" s="95" t="s">
        <v>76</v>
      </c>
      <c r="D366" s="96" t="s">
        <v>84</v>
      </c>
      <c r="E366" s="97">
        <v>26670</v>
      </c>
      <c r="F366" s="97">
        <v>2469</v>
      </c>
      <c r="G366" s="97">
        <v>3467</v>
      </c>
      <c r="H366" s="114">
        <v>17.595194851306253</v>
      </c>
      <c r="I366" s="125">
        <v>8149</v>
      </c>
      <c r="J366" s="115">
        <v>29.183607017429647</v>
      </c>
    </row>
    <row r="367" spans="1:10" ht="16">
      <c r="A367" s="100" t="s">
        <v>927</v>
      </c>
      <c r="B367" s="101" t="s">
        <v>919</v>
      </c>
      <c r="C367" s="102" t="s">
        <v>107</v>
      </c>
      <c r="D367" s="103" t="s">
        <v>92</v>
      </c>
      <c r="E367" s="104">
        <v>15260</v>
      </c>
      <c r="F367" s="104">
        <v>1426</v>
      </c>
      <c r="G367" s="104">
        <v>1679</v>
      </c>
      <c r="H367" s="116">
        <v>9.2015981056349716</v>
      </c>
      <c r="I367" s="126">
        <v>928</v>
      </c>
      <c r="J367" s="117">
        <v>18.529820249732552</v>
      </c>
    </row>
    <row r="368" spans="1:10" ht="16">
      <c r="A368" s="93" t="s">
        <v>1212</v>
      </c>
      <c r="B368" s="94" t="s">
        <v>1190</v>
      </c>
      <c r="C368" s="95" t="s">
        <v>76</v>
      </c>
      <c r="D368" s="96" t="s">
        <v>62</v>
      </c>
      <c r="E368" s="97">
        <v>9004</v>
      </c>
      <c r="F368" s="97">
        <v>600</v>
      </c>
      <c r="G368" s="97">
        <v>1711</v>
      </c>
      <c r="H368" s="114">
        <v>22.770198351727892</v>
      </c>
      <c r="I368" s="125">
        <v>14406</v>
      </c>
      <c r="J368" s="115">
        <v>21.262328165616765</v>
      </c>
    </row>
    <row r="369" spans="1:10" ht="16">
      <c r="A369" s="100" t="s">
        <v>669</v>
      </c>
      <c r="B369" s="101" t="s">
        <v>642</v>
      </c>
      <c r="C369" s="102" t="s">
        <v>107</v>
      </c>
      <c r="D369" s="103" t="s">
        <v>77</v>
      </c>
      <c r="E369" s="104">
        <v>34916</v>
      </c>
      <c r="F369" s="104">
        <v>3357</v>
      </c>
      <c r="G369" s="104">
        <v>2793</v>
      </c>
      <c r="H369" s="116">
        <v>26.575287465113266</v>
      </c>
      <c r="I369" s="126">
        <v>9547</v>
      </c>
      <c r="J369" s="117">
        <v>32.635517892613628</v>
      </c>
    </row>
    <row r="370" spans="1:10" ht="16">
      <c r="A370" s="93" t="s">
        <v>1329</v>
      </c>
      <c r="B370" s="94" t="s">
        <v>1288</v>
      </c>
      <c r="C370" s="95" t="s">
        <v>76</v>
      </c>
      <c r="D370" s="96" t="s">
        <v>84</v>
      </c>
      <c r="E370" s="97">
        <v>24559</v>
      </c>
      <c r="F370" s="97">
        <v>1204</v>
      </c>
      <c r="G370" s="97">
        <v>2210</v>
      </c>
      <c r="H370" s="114">
        <v>19.060740695925684</v>
      </c>
      <c r="I370" s="125">
        <v>10654</v>
      </c>
      <c r="J370" s="115">
        <v>24.297092730128533</v>
      </c>
    </row>
    <row r="371" spans="1:10" ht="16">
      <c r="A371" s="100" t="s">
        <v>1186</v>
      </c>
      <c r="B371" s="101" t="s">
        <v>1185</v>
      </c>
      <c r="C371" s="102" t="s">
        <v>76</v>
      </c>
      <c r="D371" s="103" t="s">
        <v>84</v>
      </c>
      <c r="E371" s="104">
        <v>3651</v>
      </c>
      <c r="F371" s="104">
        <v>384</v>
      </c>
      <c r="G371" s="104">
        <v>949</v>
      </c>
      <c r="H371" s="116">
        <v>33.89736071378767</v>
      </c>
      <c r="I371" s="126">
        <v>17876</v>
      </c>
      <c r="J371" s="117">
        <v>28.428732118190414</v>
      </c>
    </row>
    <row r="372" spans="1:10" ht="16">
      <c r="A372" s="93" t="s">
        <v>549</v>
      </c>
      <c r="B372" s="94" t="s">
        <v>537</v>
      </c>
      <c r="C372" s="95" t="s">
        <v>76</v>
      </c>
      <c r="D372" s="96" t="s">
        <v>80</v>
      </c>
      <c r="E372" s="97">
        <v>12656</v>
      </c>
      <c r="F372" s="97">
        <v>606</v>
      </c>
      <c r="G372" s="97">
        <v>127</v>
      </c>
      <c r="H372" s="114">
        <v>12.772892968513908</v>
      </c>
      <c r="I372" s="125">
        <v>2743</v>
      </c>
      <c r="J372" s="115">
        <v>28.353064412101752</v>
      </c>
    </row>
    <row r="373" spans="1:10" ht="16">
      <c r="A373" s="100" t="s">
        <v>1123</v>
      </c>
      <c r="B373" s="101" t="s">
        <v>1120</v>
      </c>
      <c r="C373" s="102" t="s">
        <v>76</v>
      </c>
      <c r="D373" s="103" t="s">
        <v>84</v>
      </c>
      <c r="E373" s="104">
        <v>38655</v>
      </c>
      <c r="F373" s="104">
        <v>1962</v>
      </c>
      <c r="G373" s="104">
        <v>773</v>
      </c>
      <c r="H373" s="116">
        <v>12.862322648445188</v>
      </c>
      <c r="I373" s="126">
        <v>2196</v>
      </c>
      <c r="J373" s="117">
        <v>22.091705471987588</v>
      </c>
    </row>
    <row r="374" spans="1:10" ht="16">
      <c r="A374" s="93" t="s">
        <v>508</v>
      </c>
      <c r="B374" s="94" t="s">
        <v>474</v>
      </c>
      <c r="C374" s="95" t="s">
        <v>107</v>
      </c>
      <c r="D374" s="96" t="s">
        <v>84</v>
      </c>
      <c r="E374" s="97">
        <v>21390</v>
      </c>
      <c r="F374" s="97">
        <v>1633</v>
      </c>
      <c r="G374" s="97">
        <v>428</v>
      </c>
      <c r="H374" s="114">
        <v>11.633761544331696</v>
      </c>
      <c r="I374" s="125">
        <v>3031</v>
      </c>
      <c r="J374" s="115">
        <v>17.166561800869331</v>
      </c>
    </row>
    <row r="375" spans="1:10" ht="16">
      <c r="A375" s="100" t="s">
        <v>670</v>
      </c>
      <c r="B375" s="101" t="s">
        <v>642</v>
      </c>
      <c r="C375" s="102" t="s">
        <v>107</v>
      </c>
      <c r="D375" s="103" t="s">
        <v>63</v>
      </c>
      <c r="E375" s="104">
        <v>33125</v>
      </c>
      <c r="F375" s="104">
        <v>2436</v>
      </c>
      <c r="G375" s="104">
        <v>663</v>
      </c>
      <c r="H375" s="116">
        <v>12.14078384171704</v>
      </c>
      <c r="I375" s="126">
        <v>6716</v>
      </c>
      <c r="J375" s="117">
        <v>20.463974108154151</v>
      </c>
    </row>
    <row r="376" spans="1:10" ht="16">
      <c r="A376" s="93" t="s">
        <v>961</v>
      </c>
      <c r="B376" s="94" t="s">
        <v>959</v>
      </c>
      <c r="C376" s="95" t="s">
        <v>76</v>
      </c>
      <c r="D376" s="96" t="s">
        <v>63</v>
      </c>
      <c r="E376" s="97">
        <v>32853</v>
      </c>
      <c r="F376" s="97">
        <v>4159</v>
      </c>
      <c r="G376" s="97">
        <v>6899</v>
      </c>
      <c r="H376" s="114">
        <v>16.829758886585331</v>
      </c>
      <c r="I376" s="125">
        <v>16018</v>
      </c>
      <c r="J376" s="115">
        <v>29.637138556483002</v>
      </c>
    </row>
    <row r="377" spans="1:10" ht="16">
      <c r="A377" s="100" t="s">
        <v>962</v>
      </c>
      <c r="B377" s="101" t="s">
        <v>959</v>
      </c>
      <c r="C377" s="102" t="s">
        <v>107</v>
      </c>
      <c r="D377" s="103" t="s">
        <v>130</v>
      </c>
      <c r="E377" s="104">
        <v>6882</v>
      </c>
      <c r="F377" s="104">
        <v>1012</v>
      </c>
      <c r="G377" s="104">
        <v>895</v>
      </c>
      <c r="H377" s="116">
        <v>16.050412270728899</v>
      </c>
      <c r="I377" s="126">
        <v>8297</v>
      </c>
      <c r="J377" s="117">
        <v>28.007651831163777</v>
      </c>
    </row>
    <row r="378" spans="1:10" ht="16">
      <c r="A378" s="93" t="s">
        <v>963</v>
      </c>
      <c r="B378" s="94" t="s">
        <v>959</v>
      </c>
      <c r="C378" s="95" t="s">
        <v>76</v>
      </c>
      <c r="D378" s="96" t="s">
        <v>92</v>
      </c>
      <c r="E378" s="97">
        <v>38865</v>
      </c>
      <c r="F378" s="97">
        <v>4798</v>
      </c>
      <c r="G378" s="97">
        <v>4275</v>
      </c>
      <c r="H378" s="114">
        <v>7.5415702632466797</v>
      </c>
      <c r="I378" s="125">
        <v>3890</v>
      </c>
      <c r="J378" s="115">
        <v>22.328945831827266</v>
      </c>
    </row>
    <row r="379" spans="1:10" ht="16">
      <c r="A379" s="100" t="s">
        <v>1124</v>
      </c>
      <c r="B379" s="101" t="s">
        <v>1120</v>
      </c>
      <c r="C379" s="102" t="s">
        <v>107</v>
      </c>
      <c r="D379" s="103" t="s">
        <v>84</v>
      </c>
      <c r="E379" s="104">
        <v>26846</v>
      </c>
      <c r="F379" s="104">
        <v>1078</v>
      </c>
      <c r="G379" s="104">
        <v>2549</v>
      </c>
      <c r="H379" s="116">
        <v>9.9072200688768497</v>
      </c>
      <c r="I379" s="126">
        <v>1036</v>
      </c>
      <c r="J379" s="117">
        <v>15.225842634473782</v>
      </c>
    </row>
    <row r="380" spans="1:10" ht="16">
      <c r="A380" s="93" t="s">
        <v>964</v>
      </c>
      <c r="B380" s="94" t="s">
        <v>959</v>
      </c>
      <c r="C380" s="95" t="s">
        <v>76</v>
      </c>
      <c r="D380" s="96" t="s">
        <v>62</v>
      </c>
      <c r="E380" s="97">
        <v>11708</v>
      </c>
      <c r="F380" s="97">
        <v>1697</v>
      </c>
      <c r="G380" s="97">
        <v>117</v>
      </c>
      <c r="H380" s="114">
        <v>8.165869774521358</v>
      </c>
      <c r="I380" s="125">
        <v>5313</v>
      </c>
      <c r="J380" s="115">
        <v>30.548706054337195</v>
      </c>
    </row>
    <row r="381" spans="1:10" ht="16">
      <c r="A381" s="100" t="s">
        <v>965</v>
      </c>
      <c r="B381" s="101" t="s">
        <v>959</v>
      </c>
      <c r="C381" s="102" t="s">
        <v>76</v>
      </c>
      <c r="D381" s="103" t="s">
        <v>62</v>
      </c>
      <c r="E381" s="104">
        <v>38971</v>
      </c>
      <c r="F381" s="104">
        <v>3747</v>
      </c>
      <c r="G381" s="104">
        <v>3897</v>
      </c>
      <c r="H381" s="116">
        <v>26.150978057498868</v>
      </c>
      <c r="I381" s="126">
        <v>12911</v>
      </c>
      <c r="J381" s="117">
        <v>25.478399950876859</v>
      </c>
    </row>
    <row r="382" spans="1:10" ht="16">
      <c r="A382" s="93" t="s">
        <v>1213</v>
      </c>
      <c r="B382" s="94" t="s">
        <v>1190</v>
      </c>
      <c r="C382" s="95" t="s">
        <v>76</v>
      </c>
      <c r="D382" s="96" t="s">
        <v>84</v>
      </c>
      <c r="E382" s="97">
        <v>15700</v>
      </c>
      <c r="F382" s="97">
        <v>892</v>
      </c>
      <c r="G382" s="97">
        <v>5652</v>
      </c>
      <c r="H382" s="114">
        <v>15.904457622377139</v>
      </c>
      <c r="I382" s="125">
        <v>5295</v>
      </c>
      <c r="J382" s="115">
        <v>18.205097757387733</v>
      </c>
    </row>
    <row r="383" spans="1:10" ht="16">
      <c r="A383" s="100" t="s">
        <v>671</v>
      </c>
      <c r="B383" s="101" t="s">
        <v>642</v>
      </c>
      <c r="C383" s="102" t="s">
        <v>76</v>
      </c>
      <c r="D383" s="103" t="s">
        <v>130</v>
      </c>
      <c r="E383" s="104">
        <v>8503</v>
      </c>
      <c r="F383" s="104">
        <v>1575</v>
      </c>
      <c r="G383" s="104">
        <v>592</v>
      </c>
      <c r="H383" s="116">
        <v>10.839248875079864</v>
      </c>
      <c r="I383" s="126">
        <v>1879</v>
      </c>
      <c r="J383" s="117">
        <v>24.447518744248086</v>
      </c>
    </row>
    <row r="384" spans="1:10" ht="16">
      <c r="A384" s="93" t="s">
        <v>672</v>
      </c>
      <c r="B384" s="94" t="s">
        <v>642</v>
      </c>
      <c r="C384" s="95" t="s">
        <v>107</v>
      </c>
      <c r="D384" s="96" t="s">
        <v>80</v>
      </c>
      <c r="E384" s="97">
        <v>15593</v>
      </c>
      <c r="F384" s="97">
        <v>1641</v>
      </c>
      <c r="G384" s="97">
        <v>1092</v>
      </c>
      <c r="H384" s="114">
        <v>23.403000907662189</v>
      </c>
      <c r="I384" s="125">
        <v>7140</v>
      </c>
      <c r="J384" s="115">
        <v>32.714981542088431</v>
      </c>
    </row>
    <row r="385" spans="1:10" ht="16">
      <c r="A385" s="100" t="s">
        <v>1164</v>
      </c>
      <c r="B385" s="101" t="s">
        <v>1142</v>
      </c>
      <c r="C385" s="102" t="s">
        <v>76</v>
      </c>
      <c r="D385" s="103" t="s">
        <v>84</v>
      </c>
      <c r="E385" s="104">
        <v>5381</v>
      </c>
      <c r="F385" s="104">
        <v>345</v>
      </c>
      <c r="G385" s="104">
        <v>323</v>
      </c>
      <c r="H385" s="116">
        <v>34.419170440771978</v>
      </c>
      <c r="I385" s="126">
        <v>16946</v>
      </c>
      <c r="J385" s="117">
        <v>26.983562401209596</v>
      </c>
    </row>
    <row r="386" spans="1:10" ht="16">
      <c r="A386" s="93" t="s">
        <v>673</v>
      </c>
      <c r="B386" s="94" t="s">
        <v>642</v>
      </c>
      <c r="C386" s="95" t="s">
        <v>107</v>
      </c>
      <c r="D386" s="96" t="s">
        <v>80</v>
      </c>
      <c r="E386" s="97">
        <v>5469</v>
      </c>
      <c r="F386" s="97">
        <v>675</v>
      </c>
      <c r="G386" s="97">
        <v>55</v>
      </c>
      <c r="H386" s="114">
        <v>11.215570226271703</v>
      </c>
      <c r="I386" s="125">
        <v>2252</v>
      </c>
      <c r="J386" s="115">
        <v>20.735414851254298</v>
      </c>
    </row>
    <row r="387" spans="1:10" ht="16">
      <c r="A387" s="100" t="s">
        <v>674</v>
      </c>
      <c r="B387" s="101" t="s">
        <v>642</v>
      </c>
      <c r="C387" s="102" t="s">
        <v>107</v>
      </c>
      <c r="D387" s="103" t="s">
        <v>63</v>
      </c>
      <c r="E387" s="104">
        <v>6505</v>
      </c>
      <c r="F387" s="104">
        <v>374</v>
      </c>
      <c r="G387" s="104">
        <v>65</v>
      </c>
      <c r="H387" s="116">
        <v>9.8284829284117414</v>
      </c>
      <c r="I387" s="126">
        <v>872</v>
      </c>
      <c r="J387" s="117">
        <v>17.887013467306677</v>
      </c>
    </row>
    <row r="388" spans="1:10" ht="16">
      <c r="A388" s="93" t="s">
        <v>1000</v>
      </c>
      <c r="B388" s="94" t="s">
        <v>988</v>
      </c>
      <c r="C388" s="95" t="s">
        <v>76</v>
      </c>
      <c r="D388" s="96" t="s">
        <v>92</v>
      </c>
      <c r="E388" s="97">
        <v>12225</v>
      </c>
      <c r="F388" s="97">
        <v>527</v>
      </c>
      <c r="G388" s="97">
        <v>1956</v>
      </c>
      <c r="H388" s="114">
        <v>38.836473100928956</v>
      </c>
      <c r="I388" s="125">
        <v>10464</v>
      </c>
      <c r="J388" s="115">
        <v>33.644268736747144</v>
      </c>
    </row>
    <row r="389" spans="1:10" ht="16">
      <c r="A389" s="100" t="s">
        <v>1001</v>
      </c>
      <c r="B389" s="101" t="s">
        <v>988</v>
      </c>
      <c r="C389" s="102" t="s">
        <v>107</v>
      </c>
      <c r="D389" s="103" t="s">
        <v>82</v>
      </c>
      <c r="E389" s="104">
        <v>17081</v>
      </c>
      <c r="F389" s="104">
        <v>1512</v>
      </c>
      <c r="G389" s="104">
        <v>1708</v>
      </c>
      <c r="H389" s="116">
        <v>10.85547568885716</v>
      </c>
      <c r="I389" s="126">
        <v>1748</v>
      </c>
      <c r="J389" s="117">
        <v>18.765325217678612</v>
      </c>
    </row>
    <row r="390" spans="1:10" ht="16">
      <c r="A390" s="93" t="s">
        <v>1002</v>
      </c>
      <c r="B390" s="94" t="s">
        <v>988</v>
      </c>
      <c r="C390" s="95" t="s">
        <v>107</v>
      </c>
      <c r="D390" s="96" t="s">
        <v>60</v>
      </c>
      <c r="E390" s="97">
        <v>9481</v>
      </c>
      <c r="F390" s="97">
        <v>930</v>
      </c>
      <c r="G390" s="97">
        <v>758</v>
      </c>
      <c r="H390" s="114">
        <v>66.575610863719845</v>
      </c>
      <c r="I390" s="125">
        <v>38711</v>
      </c>
      <c r="J390" s="115">
        <v>63.452580115286878</v>
      </c>
    </row>
    <row r="391" spans="1:10" ht="16">
      <c r="A391" s="100" t="s">
        <v>1003</v>
      </c>
      <c r="B391" s="101" t="s">
        <v>988</v>
      </c>
      <c r="C391" s="102" t="s">
        <v>107</v>
      </c>
      <c r="D391" s="103" t="s">
        <v>82</v>
      </c>
      <c r="E391" s="104">
        <v>22965</v>
      </c>
      <c r="F391" s="104">
        <v>1435</v>
      </c>
      <c r="G391" s="104">
        <v>5052</v>
      </c>
      <c r="H391" s="116">
        <v>50.566941234685352</v>
      </c>
      <c r="I391" s="126">
        <v>32451</v>
      </c>
      <c r="J391" s="117">
        <v>49.166494657120104</v>
      </c>
    </row>
    <row r="392" spans="1:10" ht="16">
      <c r="A392" s="93" t="s">
        <v>1065</v>
      </c>
      <c r="B392" s="94" t="s">
        <v>1062</v>
      </c>
      <c r="C392" s="95" t="s">
        <v>107</v>
      </c>
      <c r="D392" s="96" t="s">
        <v>62</v>
      </c>
      <c r="E392" s="97">
        <v>12659</v>
      </c>
      <c r="F392" s="97">
        <v>806</v>
      </c>
      <c r="G392" s="97">
        <v>2532</v>
      </c>
      <c r="H392" s="114">
        <v>43.199652350411988</v>
      </c>
      <c r="I392" s="125">
        <v>26735</v>
      </c>
      <c r="J392" s="115">
        <v>40.7234054133596</v>
      </c>
    </row>
    <row r="393" spans="1:10" ht="16">
      <c r="A393" s="100" t="s">
        <v>146</v>
      </c>
      <c r="B393" s="101" t="s">
        <v>144</v>
      </c>
      <c r="C393" s="102" t="s">
        <v>107</v>
      </c>
      <c r="D393" s="103" t="s">
        <v>80</v>
      </c>
      <c r="E393" s="104">
        <v>45049</v>
      </c>
      <c r="F393" s="104">
        <v>1241</v>
      </c>
      <c r="G393" s="104">
        <v>6757</v>
      </c>
      <c r="H393" s="116">
        <v>74.27859467384512</v>
      </c>
      <c r="I393" s="126">
        <v>63191</v>
      </c>
      <c r="J393" s="117">
        <v>59.558834149465028</v>
      </c>
    </row>
    <row r="394" spans="1:10" ht="16">
      <c r="A394" s="93" t="s">
        <v>675</v>
      </c>
      <c r="B394" s="94" t="s">
        <v>642</v>
      </c>
      <c r="C394" s="95" t="s">
        <v>107</v>
      </c>
      <c r="D394" s="96" t="s">
        <v>60</v>
      </c>
      <c r="E394" s="97">
        <v>10032</v>
      </c>
      <c r="F394" s="97">
        <v>1320</v>
      </c>
      <c r="G394" s="97">
        <v>702</v>
      </c>
      <c r="H394" s="114">
        <v>14.305056940870962</v>
      </c>
      <c r="I394" s="125">
        <v>3337</v>
      </c>
      <c r="J394" s="115">
        <v>26.384067141490792</v>
      </c>
    </row>
    <row r="395" spans="1:10" ht="16">
      <c r="A395" s="100" t="s">
        <v>676</v>
      </c>
      <c r="B395" s="101" t="s">
        <v>642</v>
      </c>
      <c r="C395" s="102" t="s">
        <v>107</v>
      </c>
      <c r="D395" s="103" t="s">
        <v>130</v>
      </c>
      <c r="E395" s="104">
        <v>4850</v>
      </c>
      <c r="F395" s="104">
        <v>664</v>
      </c>
      <c r="G395" s="104">
        <v>97</v>
      </c>
      <c r="H395" s="116">
        <v>10.479444295806122</v>
      </c>
      <c r="I395" s="126">
        <v>5649</v>
      </c>
      <c r="J395" s="117">
        <v>22.440490922742327</v>
      </c>
    </row>
    <row r="396" spans="1:10" ht="16">
      <c r="A396" s="93" t="s">
        <v>763</v>
      </c>
      <c r="B396" s="94" t="s">
        <v>764</v>
      </c>
      <c r="C396" s="95" t="s">
        <v>76</v>
      </c>
      <c r="D396" s="96" t="s">
        <v>63</v>
      </c>
      <c r="E396" s="97">
        <v>36551</v>
      </c>
      <c r="F396" s="97">
        <v>1549</v>
      </c>
      <c r="G396" s="97">
        <v>5483</v>
      </c>
      <c r="H396" s="114">
        <v>10.093868749149415</v>
      </c>
      <c r="I396" s="125">
        <v>3232</v>
      </c>
      <c r="J396" s="115">
        <v>19.883969805026098</v>
      </c>
    </row>
    <row r="397" spans="1:10" ht="16">
      <c r="A397" s="100" t="s">
        <v>677</v>
      </c>
      <c r="B397" s="101" t="s">
        <v>642</v>
      </c>
      <c r="C397" s="102" t="s">
        <v>107</v>
      </c>
      <c r="D397" s="103" t="s">
        <v>84</v>
      </c>
      <c r="E397" s="104">
        <v>24766</v>
      </c>
      <c r="F397" s="104">
        <v>1041</v>
      </c>
      <c r="G397" s="104">
        <v>743</v>
      </c>
      <c r="H397" s="116">
        <v>9.5303863969250013</v>
      </c>
      <c r="I397" s="126">
        <v>1299</v>
      </c>
      <c r="J397" s="117">
        <v>15.551510645397393</v>
      </c>
    </row>
    <row r="398" spans="1:10" ht="16">
      <c r="A398" s="93" t="s">
        <v>678</v>
      </c>
      <c r="B398" s="94" t="s">
        <v>642</v>
      </c>
      <c r="C398" s="95" t="s">
        <v>107</v>
      </c>
      <c r="D398" s="96" t="s">
        <v>59</v>
      </c>
      <c r="E398" s="97">
        <v>3989</v>
      </c>
      <c r="F398" s="97">
        <v>307</v>
      </c>
      <c r="G398" s="97">
        <v>199</v>
      </c>
      <c r="H398" s="114">
        <v>16.416143828250082</v>
      </c>
      <c r="I398" s="125">
        <v>1666</v>
      </c>
      <c r="J398" s="115">
        <v>22.122480512500847</v>
      </c>
    </row>
    <row r="399" spans="1:10" ht="16">
      <c r="A399" s="100" t="s">
        <v>679</v>
      </c>
      <c r="B399" s="101" t="s">
        <v>642</v>
      </c>
      <c r="C399" s="102" t="s">
        <v>107</v>
      </c>
      <c r="D399" s="103" t="s">
        <v>77</v>
      </c>
      <c r="E399" s="104">
        <v>1330</v>
      </c>
      <c r="F399" s="104">
        <v>391</v>
      </c>
      <c r="G399" s="104">
        <v>13</v>
      </c>
      <c r="H399" s="116">
        <v>13.582603380141903</v>
      </c>
      <c r="I399" s="126">
        <v>4542</v>
      </c>
      <c r="J399" s="117">
        <v>33.233393179252047</v>
      </c>
    </row>
    <row r="400" spans="1:10" ht="16">
      <c r="A400" s="93" t="s">
        <v>680</v>
      </c>
      <c r="B400" s="94" t="s">
        <v>642</v>
      </c>
      <c r="C400" s="95" t="s">
        <v>107</v>
      </c>
      <c r="D400" s="96" t="s">
        <v>62</v>
      </c>
      <c r="E400" s="97">
        <v>22566</v>
      </c>
      <c r="F400" s="97">
        <v>2507</v>
      </c>
      <c r="G400" s="97">
        <v>2031</v>
      </c>
      <c r="H400" s="114">
        <v>78.858170251149829</v>
      </c>
      <c r="I400" s="125">
        <v>46919</v>
      </c>
      <c r="J400" s="115">
        <v>74.269245195559733</v>
      </c>
    </row>
    <row r="401" spans="1:10" ht="16">
      <c r="A401" s="100" t="s">
        <v>1004</v>
      </c>
      <c r="B401" s="101" t="s">
        <v>988</v>
      </c>
      <c r="C401" s="102" t="s">
        <v>76</v>
      </c>
      <c r="D401" s="103" t="s">
        <v>84</v>
      </c>
      <c r="E401" s="104">
        <v>22102</v>
      </c>
      <c r="F401" s="104">
        <v>1278</v>
      </c>
      <c r="G401" s="104">
        <v>4862</v>
      </c>
      <c r="H401" s="116">
        <v>40.525308853241164</v>
      </c>
      <c r="I401" s="126">
        <v>22943</v>
      </c>
      <c r="J401" s="117">
        <v>34.255825964580502</v>
      </c>
    </row>
    <row r="402" spans="1:10" ht="16">
      <c r="A402" s="93" t="s">
        <v>1005</v>
      </c>
      <c r="B402" s="94" t="s">
        <v>988</v>
      </c>
      <c r="C402" s="95" t="s">
        <v>107</v>
      </c>
      <c r="D402" s="96" t="s">
        <v>80</v>
      </c>
      <c r="E402" s="97">
        <v>24155</v>
      </c>
      <c r="F402" s="97">
        <v>1028</v>
      </c>
      <c r="G402" s="97">
        <v>1449</v>
      </c>
      <c r="H402" s="114">
        <v>28.015679295112726</v>
      </c>
      <c r="I402" s="125">
        <v>7103</v>
      </c>
      <c r="J402" s="115">
        <v>25.304298601011411</v>
      </c>
    </row>
    <row r="403" spans="1:10" ht="16">
      <c r="A403" s="100" t="s">
        <v>681</v>
      </c>
      <c r="B403" s="101" t="s">
        <v>642</v>
      </c>
      <c r="C403" s="102" t="s">
        <v>107</v>
      </c>
      <c r="D403" s="103" t="s">
        <v>60</v>
      </c>
      <c r="E403" s="104">
        <v>5653</v>
      </c>
      <c r="F403" s="104">
        <v>349</v>
      </c>
      <c r="G403" s="104">
        <v>226</v>
      </c>
      <c r="H403" s="116">
        <v>12.925469247442155</v>
      </c>
      <c r="I403" s="126">
        <v>3857</v>
      </c>
      <c r="J403" s="117">
        <v>19.50696183355209</v>
      </c>
    </row>
    <row r="404" spans="1:10" ht="16">
      <c r="A404" s="93" t="s">
        <v>682</v>
      </c>
      <c r="B404" s="94" t="s">
        <v>642</v>
      </c>
      <c r="C404" s="95" t="s">
        <v>107</v>
      </c>
      <c r="D404" s="96" t="s">
        <v>82</v>
      </c>
      <c r="E404" s="97">
        <v>18643</v>
      </c>
      <c r="F404" s="97">
        <v>2119</v>
      </c>
      <c r="G404" s="97">
        <v>2424</v>
      </c>
      <c r="H404" s="114">
        <v>39.52156515694297</v>
      </c>
      <c r="I404" s="125">
        <v>13544</v>
      </c>
      <c r="J404" s="115">
        <v>44.955254775062969</v>
      </c>
    </row>
    <row r="405" spans="1:10" ht="16">
      <c r="A405" s="100" t="s">
        <v>760</v>
      </c>
      <c r="B405" s="101" t="s">
        <v>759</v>
      </c>
      <c r="C405" s="102" t="s">
        <v>107</v>
      </c>
      <c r="D405" s="103" t="s">
        <v>77</v>
      </c>
      <c r="E405" s="104">
        <v>17205</v>
      </c>
      <c r="F405" s="104">
        <v>3246</v>
      </c>
      <c r="G405" s="104">
        <v>688</v>
      </c>
      <c r="H405" s="116">
        <v>8.3759544159873158</v>
      </c>
      <c r="I405" s="126">
        <v>1271</v>
      </c>
      <c r="J405" s="117">
        <v>21.663514330609484</v>
      </c>
    </row>
    <row r="406" spans="1:10" ht="16">
      <c r="A406" s="93" t="s">
        <v>101</v>
      </c>
      <c r="B406" s="94" t="s">
        <v>89</v>
      </c>
      <c r="C406" s="95" t="s">
        <v>76</v>
      </c>
      <c r="D406" s="96" t="s">
        <v>84</v>
      </c>
      <c r="E406" s="97">
        <v>22292</v>
      </c>
      <c r="F406" s="97">
        <v>658</v>
      </c>
      <c r="G406" s="97">
        <v>6465</v>
      </c>
      <c r="H406" s="114">
        <v>33.341057046140087</v>
      </c>
      <c r="I406" s="125">
        <v>24352</v>
      </c>
      <c r="J406" s="115">
        <v>27.421268529363882</v>
      </c>
    </row>
    <row r="407" spans="1:10" ht="16">
      <c r="A407" s="100" t="s">
        <v>862</v>
      </c>
      <c r="B407" s="101" t="s">
        <v>858</v>
      </c>
      <c r="C407" s="102" t="s">
        <v>107</v>
      </c>
      <c r="D407" s="103" t="s">
        <v>92</v>
      </c>
      <c r="E407" s="104">
        <v>3859</v>
      </c>
      <c r="F407" s="104">
        <v>264</v>
      </c>
      <c r="G407" s="104">
        <v>39</v>
      </c>
      <c r="H407" s="116">
        <v>13.425991528015629</v>
      </c>
      <c r="I407" s="126">
        <v>4368</v>
      </c>
      <c r="J407" s="117">
        <v>19.762187069977973</v>
      </c>
    </row>
    <row r="408" spans="1:10" ht="16">
      <c r="A408" s="93" t="s">
        <v>187</v>
      </c>
      <c r="B408" s="94" t="s">
        <v>184</v>
      </c>
      <c r="C408" s="95" t="s">
        <v>76</v>
      </c>
      <c r="D408" s="96" t="s">
        <v>60</v>
      </c>
      <c r="E408" s="97">
        <v>8050</v>
      </c>
      <c r="F408" s="97">
        <v>329</v>
      </c>
      <c r="G408" s="97">
        <v>1047</v>
      </c>
      <c r="H408" s="114">
        <v>20.411019152353219</v>
      </c>
      <c r="I408" s="125">
        <v>9243</v>
      </c>
      <c r="J408" s="115">
        <v>17.608791550970249</v>
      </c>
    </row>
    <row r="409" spans="1:10" ht="16">
      <c r="A409" s="100" t="s">
        <v>1214</v>
      </c>
      <c r="B409" s="101" t="s">
        <v>1190</v>
      </c>
      <c r="C409" s="102" t="s">
        <v>76</v>
      </c>
      <c r="D409" s="103" t="s">
        <v>60</v>
      </c>
      <c r="E409" s="104">
        <v>12657</v>
      </c>
      <c r="F409" s="104">
        <v>1013</v>
      </c>
      <c r="G409" s="104">
        <v>4810</v>
      </c>
      <c r="H409" s="116">
        <v>40.184549442129644</v>
      </c>
      <c r="I409" s="126">
        <v>36545</v>
      </c>
      <c r="J409" s="117">
        <v>35.043312222925792</v>
      </c>
    </row>
    <row r="410" spans="1:10" ht="16">
      <c r="A410" s="93" t="s">
        <v>370</v>
      </c>
      <c r="B410" s="94" t="s">
        <v>369</v>
      </c>
      <c r="C410" s="95" t="s">
        <v>107</v>
      </c>
      <c r="D410" s="96" t="s">
        <v>62</v>
      </c>
      <c r="E410" s="97">
        <v>3851</v>
      </c>
      <c r="F410" s="97">
        <v>137</v>
      </c>
      <c r="G410" s="97">
        <v>732</v>
      </c>
      <c r="H410" s="114">
        <v>30.512454339116584</v>
      </c>
      <c r="I410" s="125">
        <v>13026</v>
      </c>
      <c r="J410" s="115">
        <v>28.62735219906061</v>
      </c>
    </row>
    <row r="411" spans="1:10" ht="16">
      <c r="A411" s="100" t="s">
        <v>765</v>
      </c>
      <c r="B411" s="101" t="s">
        <v>766</v>
      </c>
      <c r="C411" s="102" t="s">
        <v>107</v>
      </c>
      <c r="D411" s="103" t="s">
        <v>130</v>
      </c>
      <c r="E411" s="104">
        <v>4216</v>
      </c>
      <c r="F411" s="104">
        <v>114</v>
      </c>
      <c r="G411" s="104">
        <v>42</v>
      </c>
      <c r="H411" s="116">
        <v>17.846456428978296</v>
      </c>
      <c r="I411" s="126">
        <v>984</v>
      </c>
      <c r="J411" s="117">
        <v>17.750966913020985</v>
      </c>
    </row>
    <row r="412" spans="1:10" ht="16">
      <c r="A412" s="93" t="s">
        <v>188</v>
      </c>
      <c r="B412" s="94" t="s">
        <v>184</v>
      </c>
      <c r="C412" s="95" t="s">
        <v>76</v>
      </c>
      <c r="D412" s="96" t="s">
        <v>60</v>
      </c>
      <c r="E412" s="97">
        <v>29250</v>
      </c>
      <c r="F412" s="97">
        <v>1691</v>
      </c>
      <c r="G412" s="97">
        <v>3803</v>
      </c>
      <c r="H412" s="114">
        <v>32.745741480342552</v>
      </c>
      <c r="I412" s="125">
        <v>21549</v>
      </c>
      <c r="J412" s="115">
        <v>40.723268806560355</v>
      </c>
    </row>
    <row r="413" spans="1:10" ht="16">
      <c r="A413" s="100" t="s">
        <v>771</v>
      </c>
      <c r="B413" s="101" t="s">
        <v>770</v>
      </c>
      <c r="C413" s="102" t="s">
        <v>107</v>
      </c>
      <c r="D413" s="103" t="s">
        <v>63</v>
      </c>
      <c r="E413" s="104">
        <v>7866</v>
      </c>
      <c r="F413" s="104">
        <v>587</v>
      </c>
      <c r="G413" s="104">
        <v>1416</v>
      </c>
      <c r="H413" s="116">
        <v>10.554226128147203</v>
      </c>
      <c r="I413" s="126">
        <v>2571</v>
      </c>
      <c r="J413" s="117">
        <v>31.114974052369014</v>
      </c>
    </row>
    <row r="414" spans="1:10" ht="16">
      <c r="A414" s="93" t="s">
        <v>1215</v>
      </c>
      <c r="B414" s="94" t="s">
        <v>1190</v>
      </c>
      <c r="C414" s="95" t="s">
        <v>76</v>
      </c>
      <c r="D414" s="96" t="s">
        <v>84</v>
      </c>
      <c r="E414" s="97">
        <v>19726</v>
      </c>
      <c r="F414" s="97">
        <v>1012</v>
      </c>
      <c r="G414" s="97">
        <v>2367</v>
      </c>
      <c r="H414" s="114">
        <v>14.449821554987357</v>
      </c>
      <c r="I414" s="125">
        <v>5603</v>
      </c>
      <c r="J414" s="115">
        <v>17.186735390943269</v>
      </c>
    </row>
    <row r="415" spans="1:10" ht="16">
      <c r="A415" s="100" t="s">
        <v>1330</v>
      </c>
      <c r="B415" s="101" t="s">
        <v>1288</v>
      </c>
      <c r="C415" s="102" t="s">
        <v>107</v>
      </c>
      <c r="D415" s="103" t="s">
        <v>82</v>
      </c>
      <c r="E415" s="104">
        <v>6462</v>
      </c>
      <c r="F415" s="104">
        <v>598</v>
      </c>
      <c r="G415" s="104">
        <v>1099</v>
      </c>
      <c r="H415" s="116">
        <v>20.820951425842065</v>
      </c>
      <c r="I415" s="126">
        <v>10619</v>
      </c>
      <c r="J415" s="117">
        <v>28.275258392442897</v>
      </c>
    </row>
    <row r="416" spans="1:10" ht="16">
      <c r="A416" s="93" t="s">
        <v>414</v>
      </c>
      <c r="B416" s="94" t="s">
        <v>402</v>
      </c>
      <c r="C416" s="95" t="s">
        <v>107</v>
      </c>
      <c r="D416" s="96" t="s">
        <v>61</v>
      </c>
      <c r="E416" s="97">
        <v>27625</v>
      </c>
      <c r="F416" s="97">
        <v>512</v>
      </c>
      <c r="G416" s="97">
        <v>3868</v>
      </c>
      <c r="H416" s="114">
        <v>30.219344804130394</v>
      </c>
      <c r="I416" s="125">
        <v>13841</v>
      </c>
      <c r="J416" s="115">
        <v>37.20251581295863</v>
      </c>
    </row>
    <row r="417" spans="1:10" ht="16">
      <c r="A417" s="100" t="s">
        <v>823</v>
      </c>
      <c r="B417" s="101" t="s">
        <v>820</v>
      </c>
      <c r="C417" s="102" t="s">
        <v>76</v>
      </c>
      <c r="D417" s="103" t="s">
        <v>77</v>
      </c>
      <c r="E417" s="104">
        <v>28741</v>
      </c>
      <c r="F417" s="104">
        <v>1537</v>
      </c>
      <c r="G417" s="104">
        <v>4599</v>
      </c>
      <c r="H417" s="116">
        <v>65.055484514871068</v>
      </c>
      <c r="I417" s="126">
        <v>54123</v>
      </c>
      <c r="J417" s="117">
        <v>48.799738835922476</v>
      </c>
    </row>
    <row r="418" spans="1:10" ht="16">
      <c r="A418" s="93" t="s">
        <v>835</v>
      </c>
      <c r="B418" s="94" t="s">
        <v>834</v>
      </c>
      <c r="C418" s="95" t="s">
        <v>107</v>
      </c>
      <c r="D418" s="96" t="s">
        <v>80</v>
      </c>
      <c r="E418" s="97">
        <v>2476</v>
      </c>
      <c r="F418" s="97">
        <v>183</v>
      </c>
      <c r="G418" s="97">
        <v>966</v>
      </c>
      <c r="H418" s="114">
        <v>20.753259392101743</v>
      </c>
      <c r="I418" s="125">
        <v>9580</v>
      </c>
      <c r="J418" s="115">
        <v>25.026150902340383</v>
      </c>
    </row>
    <row r="419" spans="1:10" ht="16">
      <c r="A419" s="100" t="s">
        <v>1216</v>
      </c>
      <c r="B419" s="101" t="s">
        <v>1190</v>
      </c>
      <c r="C419" s="102" t="s">
        <v>76</v>
      </c>
      <c r="D419" s="103" t="s">
        <v>82</v>
      </c>
      <c r="E419" s="104">
        <v>19461</v>
      </c>
      <c r="F419" s="104">
        <v>1118</v>
      </c>
      <c r="G419" s="104">
        <v>2725</v>
      </c>
      <c r="H419" s="116">
        <v>17.686137442087897</v>
      </c>
      <c r="I419" s="126">
        <v>13706</v>
      </c>
      <c r="J419" s="117">
        <v>17.965954096687472</v>
      </c>
    </row>
    <row r="420" spans="1:10" ht="16">
      <c r="A420" s="93" t="s">
        <v>415</v>
      </c>
      <c r="B420" s="94" t="s">
        <v>402</v>
      </c>
      <c r="C420" s="95" t="s">
        <v>76</v>
      </c>
      <c r="D420" s="96" t="s">
        <v>84</v>
      </c>
      <c r="E420" s="97">
        <v>34519</v>
      </c>
      <c r="F420" s="97">
        <v>995</v>
      </c>
      <c r="G420" s="97">
        <v>5868</v>
      </c>
      <c r="H420" s="114">
        <v>77.257949225388757</v>
      </c>
      <c r="I420" s="125">
        <v>68552</v>
      </c>
      <c r="J420" s="115">
        <v>69.09384444332261</v>
      </c>
    </row>
    <row r="421" spans="1:10" ht="16">
      <c r="A421" s="100" t="s">
        <v>928</v>
      </c>
      <c r="B421" s="101" t="s">
        <v>919</v>
      </c>
      <c r="C421" s="102" t="s">
        <v>76</v>
      </c>
      <c r="D421" s="103" t="s">
        <v>61</v>
      </c>
      <c r="E421" s="104">
        <v>18077</v>
      </c>
      <c r="F421" s="104">
        <v>2288</v>
      </c>
      <c r="G421" s="104">
        <v>1265</v>
      </c>
      <c r="H421" s="116">
        <v>12.061976074294744</v>
      </c>
      <c r="I421" s="126">
        <v>1539</v>
      </c>
      <c r="J421" s="117">
        <v>26.311793624665697</v>
      </c>
    </row>
    <row r="422" spans="1:10" ht="16">
      <c r="A422" s="93" t="s">
        <v>883</v>
      </c>
      <c r="B422" s="94" t="s">
        <v>879</v>
      </c>
      <c r="C422" s="95" t="s">
        <v>107</v>
      </c>
      <c r="D422" s="96" t="s">
        <v>82</v>
      </c>
      <c r="E422" s="97">
        <v>16372</v>
      </c>
      <c r="F422" s="97">
        <v>1259</v>
      </c>
      <c r="G422" s="97">
        <v>655</v>
      </c>
      <c r="H422" s="114">
        <v>11.965014666885223</v>
      </c>
      <c r="I422" s="125">
        <v>2084</v>
      </c>
      <c r="J422" s="115">
        <v>17.092049892576789</v>
      </c>
    </row>
    <row r="423" spans="1:10" ht="16">
      <c r="A423" s="100" t="s">
        <v>929</v>
      </c>
      <c r="B423" s="101" t="s">
        <v>919</v>
      </c>
      <c r="C423" s="102" t="s">
        <v>107</v>
      </c>
      <c r="D423" s="103" t="s">
        <v>60</v>
      </c>
      <c r="E423" s="104">
        <v>29235</v>
      </c>
      <c r="F423" s="104">
        <v>4005</v>
      </c>
      <c r="G423" s="104">
        <v>8478</v>
      </c>
      <c r="H423" s="116">
        <v>63.633433073231863</v>
      </c>
      <c r="I423" s="126">
        <v>9911</v>
      </c>
      <c r="J423" s="117">
        <v>79.005509102377601</v>
      </c>
    </row>
    <row r="424" spans="1:10" ht="16">
      <c r="A424" s="93" t="s">
        <v>1217</v>
      </c>
      <c r="B424" s="94" t="s">
        <v>1190</v>
      </c>
      <c r="C424" s="95" t="s">
        <v>76</v>
      </c>
      <c r="D424" s="96" t="s">
        <v>84</v>
      </c>
      <c r="E424" s="97">
        <v>10570</v>
      </c>
      <c r="F424" s="97">
        <v>874</v>
      </c>
      <c r="G424" s="97">
        <v>7505</v>
      </c>
      <c r="H424" s="114">
        <v>83.84844731821299</v>
      </c>
      <c r="I424" s="125">
        <v>77129</v>
      </c>
      <c r="J424" s="115">
        <v>69.757728565353176</v>
      </c>
    </row>
    <row r="425" spans="1:10" ht="16">
      <c r="A425" s="100" t="s">
        <v>1218</v>
      </c>
      <c r="B425" s="101" t="s">
        <v>1190</v>
      </c>
      <c r="C425" s="102" t="s">
        <v>76</v>
      </c>
      <c r="D425" s="103" t="s">
        <v>63</v>
      </c>
      <c r="E425" s="104">
        <v>12168</v>
      </c>
      <c r="F425" s="104">
        <v>737</v>
      </c>
      <c r="G425" s="104">
        <v>4015</v>
      </c>
      <c r="H425" s="116">
        <v>10.633633829373954</v>
      </c>
      <c r="I425" s="126">
        <v>1939</v>
      </c>
      <c r="J425" s="117">
        <v>15.882899580305796</v>
      </c>
    </row>
    <row r="426" spans="1:10" ht="16">
      <c r="A426" s="93" t="s">
        <v>167</v>
      </c>
      <c r="B426" s="94" t="s">
        <v>150</v>
      </c>
      <c r="C426" s="95" t="s">
        <v>76</v>
      </c>
      <c r="D426" s="96" t="s">
        <v>62</v>
      </c>
      <c r="E426" s="97">
        <v>26685</v>
      </c>
      <c r="F426" s="97">
        <v>1744</v>
      </c>
      <c r="G426" s="97">
        <v>267</v>
      </c>
      <c r="H426" s="114">
        <v>14.057915849351813</v>
      </c>
      <c r="I426" s="125">
        <v>2265</v>
      </c>
      <c r="J426" s="115">
        <v>21.889551871383208</v>
      </c>
    </row>
    <row r="427" spans="1:10" ht="16">
      <c r="A427" s="100" t="s">
        <v>1219</v>
      </c>
      <c r="B427" s="101" t="s">
        <v>1190</v>
      </c>
      <c r="C427" s="102" t="s">
        <v>107</v>
      </c>
      <c r="D427" s="103" t="s">
        <v>60</v>
      </c>
      <c r="E427" s="104">
        <v>14749</v>
      </c>
      <c r="F427" s="104">
        <v>1031</v>
      </c>
      <c r="G427" s="104">
        <v>3687</v>
      </c>
      <c r="H427" s="116">
        <v>35.033673934296552</v>
      </c>
      <c r="I427" s="126">
        <v>18271</v>
      </c>
      <c r="J427" s="117">
        <v>34.421343351134254</v>
      </c>
    </row>
    <row r="428" spans="1:10" ht="16">
      <c r="A428" s="93" t="s">
        <v>1331</v>
      </c>
      <c r="B428" s="94" t="s">
        <v>1288</v>
      </c>
      <c r="C428" s="95" t="s">
        <v>76</v>
      </c>
      <c r="D428" s="96" t="s">
        <v>84</v>
      </c>
      <c r="E428" s="97">
        <v>29169</v>
      </c>
      <c r="F428" s="97">
        <v>1409</v>
      </c>
      <c r="G428" s="97">
        <v>1750</v>
      </c>
      <c r="H428" s="114">
        <v>27.245282465898715</v>
      </c>
      <c r="I428" s="125">
        <v>14667</v>
      </c>
      <c r="J428" s="115">
        <v>34.551910651175319</v>
      </c>
    </row>
    <row r="429" spans="1:10" ht="16">
      <c r="A429" s="100" t="s">
        <v>1332</v>
      </c>
      <c r="B429" s="101" t="s">
        <v>1288</v>
      </c>
      <c r="C429" s="102" t="s">
        <v>107</v>
      </c>
      <c r="D429" s="103" t="s">
        <v>84</v>
      </c>
      <c r="E429" s="104">
        <v>11210</v>
      </c>
      <c r="F429" s="104">
        <v>496</v>
      </c>
      <c r="G429" s="104">
        <v>448</v>
      </c>
      <c r="H429" s="116">
        <v>9.9872989552079829</v>
      </c>
      <c r="I429" s="126">
        <v>4351</v>
      </c>
      <c r="J429" s="117">
        <v>17.800459440451633</v>
      </c>
    </row>
    <row r="430" spans="1:10" ht="16">
      <c r="A430" s="93" t="s">
        <v>1066</v>
      </c>
      <c r="B430" s="94" t="s">
        <v>1062</v>
      </c>
      <c r="C430" s="95" t="s">
        <v>76</v>
      </c>
      <c r="D430" s="96" t="s">
        <v>61</v>
      </c>
      <c r="E430" s="97">
        <v>27266</v>
      </c>
      <c r="F430" s="97">
        <v>2253</v>
      </c>
      <c r="G430" s="97">
        <v>5181</v>
      </c>
      <c r="H430" s="114">
        <v>55.164569123324426</v>
      </c>
      <c r="I430" s="125">
        <v>46967</v>
      </c>
      <c r="J430" s="115">
        <v>41.406123102368113</v>
      </c>
    </row>
    <row r="431" spans="1:10" ht="16">
      <c r="A431" s="100" t="s">
        <v>1179</v>
      </c>
      <c r="B431" s="101" t="s">
        <v>1178</v>
      </c>
      <c r="C431" s="102" t="s">
        <v>107</v>
      </c>
      <c r="D431" s="103" t="s">
        <v>63</v>
      </c>
      <c r="E431" s="104">
        <v>21560</v>
      </c>
      <c r="F431" s="104">
        <v>2053</v>
      </c>
      <c r="G431" s="104">
        <v>216</v>
      </c>
      <c r="H431" s="116">
        <v>9.1818084519171244</v>
      </c>
      <c r="I431" s="126">
        <v>4440</v>
      </c>
      <c r="J431" s="117">
        <v>18.593237039226839</v>
      </c>
    </row>
    <row r="432" spans="1:10" ht="16">
      <c r="A432" s="93" t="s">
        <v>824</v>
      </c>
      <c r="B432" s="94" t="s">
        <v>820</v>
      </c>
      <c r="C432" s="95" t="s">
        <v>76</v>
      </c>
      <c r="D432" s="96" t="s">
        <v>84</v>
      </c>
      <c r="E432" s="97">
        <v>16857</v>
      </c>
      <c r="F432" s="97">
        <v>906</v>
      </c>
      <c r="G432" s="97">
        <v>9103</v>
      </c>
      <c r="H432" s="114">
        <v>48.986381930308156</v>
      </c>
      <c r="I432" s="125">
        <v>37299</v>
      </c>
      <c r="J432" s="115">
        <v>40.898136993697946</v>
      </c>
    </row>
    <row r="433" spans="1:10" ht="16">
      <c r="A433" s="100" t="s">
        <v>778</v>
      </c>
      <c r="B433" s="101" t="s">
        <v>779</v>
      </c>
      <c r="C433" s="102" t="s">
        <v>76</v>
      </c>
      <c r="D433" s="103" t="s">
        <v>77</v>
      </c>
      <c r="E433" s="104">
        <v>9924</v>
      </c>
      <c r="F433" s="104">
        <v>407</v>
      </c>
      <c r="G433" s="104">
        <v>7840</v>
      </c>
      <c r="H433" s="116">
        <v>23.178594901879894</v>
      </c>
      <c r="I433" s="126">
        <v>18688</v>
      </c>
      <c r="J433" s="117">
        <v>27.112554328853051</v>
      </c>
    </row>
    <row r="434" spans="1:10" ht="16">
      <c r="A434" s="93" t="s">
        <v>102</v>
      </c>
      <c r="B434" s="94" t="s">
        <v>89</v>
      </c>
      <c r="C434" s="95" t="s">
        <v>76</v>
      </c>
      <c r="D434" s="96" t="s">
        <v>63</v>
      </c>
      <c r="E434" s="97">
        <v>30234</v>
      </c>
      <c r="F434" s="97">
        <v>441</v>
      </c>
      <c r="G434" s="97">
        <v>8768</v>
      </c>
      <c r="H434" s="114">
        <v>42.846807848630803</v>
      </c>
      <c r="I434" s="125">
        <v>30701</v>
      </c>
      <c r="J434" s="115">
        <v>37.889904382729078</v>
      </c>
    </row>
    <row r="435" spans="1:10" ht="16">
      <c r="A435" s="100" t="s">
        <v>1125</v>
      </c>
      <c r="B435" s="101" t="s">
        <v>1120</v>
      </c>
      <c r="C435" s="102" t="s">
        <v>76</v>
      </c>
      <c r="D435" s="103" t="s">
        <v>84</v>
      </c>
      <c r="E435" s="104">
        <v>13534</v>
      </c>
      <c r="F435" s="104">
        <v>607</v>
      </c>
      <c r="G435" s="104">
        <v>541</v>
      </c>
      <c r="H435" s="116">
        <v>9.1105301328075754</v>
      </c>
      <c r="I435" s="126">
        <v>6747</v>
      </c>
      <c r="J435" s="117">
        <v>15.323155305463786</v>
      </c>
    </row>
    <row r="436" spans="1:10" ht="16">
      <c r="A436" s="93" t="s">
        <v>509</v>
      </c>
      <c r="B436" s="94" t="s">
        <v>474</v>
      </c>
      <c r="C436" s="95" t="s">
        <v>76</v>
      </c>
      <c r="D436" s="96" t="s">
        <v>84</v>
      </c>
      <c r="E436" s="97">
        <v>39252</v>
      </c>
      <c r="F436" s="97">
        <v>1443</v>
      </c>
      <c r="G436" s="97">
        <v>879</v>
      </c>
      <c r="H436" s="114">
        <v>10.105007112631911</v>
      </c>
      <c r="I436" s="125">
        <v>1608</v>
      </c>
      <c r="J436" s="115">
        <v>14.683010255530954</v>
      </c>
    </row>
    <row r="437" spans="1:10" ht="16">
      <c r="A437" s="100" t="s">
        <v>1126</v>
      </c>
      <c r="B437" s="101" t="s">
        <v>1120</v>
      </c>
      <c r="C437" s="102" t="s">
        <v>76</v>
      </c>
      <c r="D437" s="103" t="s">
        <v>82</v>
      </c>
      <c r="E437" s="104">
        <v>38192</v>
      </c>
      <c r="F437" s="104">
        <v>1303</v>
      </c>
      <c r="G437" s="104">
        <v>3626</v>
      </c>
      <c r="H437" s="116">
        <v>8.9075900901861456</v>
      </c>
      <c r="I437" s="126">
        <v>898</v>
      </c>
      <c r="J437" s="117">
        <v>18.526693381918154</v>
      </c>
    </row>
    <row r="438" spans="1:10" ht="16">
      <c r="A438" s="93" t="s">
        <v>1127</v>
      </c>
      <c r="B438" s="94" t="s">
        <v>1120</v>
      </c>
      <c r="C438" s="95" t="s">
        <v>107</v>
      </c>
      <c r="D438" s="96" t="s">
        <v>63</v>
      </c>
      <c r="E438" s="97">
        <v>28476</v>
      </c>
      <c r="F438" s="97">
        <v>2792</v>
      </c>
      <c r="G438" s="97">
        <v>1139</v>
      </c>
      <c r="H438" s="114">
        <v>21.493101757755078</v>
      </c>
      <c r="I438" s="125">
        <v>9583</v>
      </c>
      <c r="J438" s="115">
        <v>32.203933927504629</v>
      </c>
    </row>
    <row r="439" spans="1:10" ht="16">
      <c r="A439" s="100" t="s">
        <v>1175</v>
      </c>
      <c r="B439" s="101" t="s">
        <v>1176</v>
      </c>
      <c r="C439" s="102" t="s">
        <v>107</v>
      </c>
      <c r="D439" s="103" t="s">
        <v>80</v>
      </c>
      <c r="E439" s="104">
        <v>34651</v>
      </c>
      <c r="F439" s="104">
        <v>1468</v>
      </c>
      <c r="G439" s="104">
        <v>2772</v>
      </c>
      <c r="H439" s="116">
        <v>13.175263297951147</v>
      </c>
      <c r="I439" s="126">
        <v>8874</v>
      </c>
      <c r="J439" s="117">
        <v>17.362430845711749</v>
      </c>
    </row>
    <row r="440" spans="1:10" ht="16">
      <c r="A440" s="93" t="s">
        <v>1220</v>
      </c>
      <c r="B440" s="94" t="s">
        <v>1190</v>
      </c>
      <c r="C440" s="95" t="s">
        <v>76</v>
      </c>
      <c r="D440" s="96" t="s">
        <v>61</v>
      </c>
      <c r="E440" s="97">
        <v>28146</v>
      </c>
      <c r="F440" s="97">
        <v>1864</v>
      </c>
      <c r="G440" s="97">
        <v>4503</v>
      </c>
      <c r="H440" s="114">
        <v>14.964902123552493</v>
      </c>
      <c r="I440" s="125">
        <v>7962</v>
      </c>
      <c r="J440" s="115">
        <v>20.254125899284677</v>
      </c>
    </row>
    <row r="441" spans="1:10" ht="16">
      <c r="A441" s="100" t="s">
        <v>510</v>
      </c>
      <c r="B441" s="101" t="s">
        <v>474</v>
      </c>
      <c r="C441" s="102" t="s">
        <v>107</v>
      </c>
      <c r="D441" s="103" t="s">
        <v>60</v>
      </c>
      <c r="E441" s="104">
        <v>23082</v>
      </c>
      <c r="F441" s="104">
        <v>2684</v>
      </c>
      <c r="G441" s="104">
        <v>2539</v>
      </c>
      <c r="H441" s="116">
        <v>12.476601934520968</v>
      </c>
      <c r="I441" s="126">
        <v>1091</v>
      </c>
      <c r="J441" s="117">
        <v>24.126643581438994</v>
      </c>
    </row>
    <row r="442" spans="1:10" ht="16">
      <c r="A442" s="93" t="s">
        <v>356</v>
      </c>
      <c r="B442" s="94" t="s">
        <v>344</v>
      </c>
      <c r="C442" s="95" t="s">
        <v>76</v>
      </c>
      <c r="D442" s="96" t="s">
        <v>80</v>
      </c>
      <c r="E442" s="97">
        <v>140126</v>
      </c>
      <c r="F442" s="97">
        <v>5628</v>
      </c>
      <c r="G442" s="97">
        <v>4204</v>
      </c>
      <c r="H442" s="114">
        <v>10.15790829231778</v>
      </c>
      <c r="I442" s="125">
        <v>8246</v>
      </c>
      <c r="J442" s="115">
        <v>19.94122194194728</v>
      </c>
    </row>
    <row r="443" spans="1:10" ht="16">
      <c r="A443" s="100" t="s">
        <v>601</v>
      </c>
      <c r="B443" s="101" t="s">
        <v>598</v>
      </c>
      <c r="C443" s="102" t="s">
        <v>107</v>
      </c>
      <c r="D443" s="103" t="s">
        <v>82</v>
      </c>
      <c r="E443" s="104">
        <v>10603</v>
      </c>
      <c r="F443" s="104">
        <v>512</v>
      </c>
      <c r="G443" s="104">
        <v>424</v>
      </c>
      <c r="H443" s="116">
        <v>19.542078504027828</v>
      </c>
      <c r="I443" s="126">
        <v>12478</v>
      </c>
      <c r="J443" s="117">
        <v>22.798521597165113</v>
      </c>
    </row>
    <row r="444" spans="1:10" ht="16">
      <c r="A444" s="93" t="s">
        <v>1165</v>
      </c>
      <c r="B444" s="94" t="s">
        <v>1142</v>
      </c>
      <c r="C444" s="95" t="s">
        <v>107</v>
      </c>
      <c r="D444" s="96" t="s">
        <v>82</v>
      </c>
      <c r="E444" s="97">
        <v>59480</v>
      </c>
      <c r="F444" s="97">
        <v>2044</v>
      </c>
      <c r="G444" s="97">
        <v>2379</v>
      </c>
      <c r="H444" s="114">
        <v>9.5677118350944159</v>
      </c>
      <c r="I444" s="125">
        <v>1789</v>
      </c>
      <c r="J444" s="115">
        <v>22.079766733766789</v>
      </c>
    </row>
    <row r="445" spans="1:10" ht="16">
      <c r="A445" s="100" t="s">
        <v>1333</v>
      </c>
      <c r="B445" s="101" t="s">
        <v>1288</v>
      </c>
      <c r="C445" s="102" t="s">
        <v>76</v>
      </c>
      <c r="D445" s="103" t="s">
        <v>63</v>
      </c>
      <c r="E445" s="104">
        <v>10472</v>
      </c>
      <c r="F445" s="104">
        <v>873</v>
      </c>
      <c r="G445" s="104">
        <v>419</v>
      </c>
      <c r="H445" s="116">
        <v>14.50783434634398</v>
      </c>
      <c r="I445" s="126">
        <v>4984</v>
      </c>
      <c r="J445" s="117">
        <v>36.387204227788715</v>
      </c>
    </row>
    <row r="446" spans="1:10" ht="16">
      <c r="A446" s="93" t="s">
        <v>326</v>
      </c>
      <c r="B446" s="94" t="s">
        <v>322</v>
      </c>
      <c r="C446" s="95" t="s">
        <v>76</v>
      </c>
      <c r="D446" s="96" t="s">
        <v>60</v>
      </c>
      <c r="E446" s="97">
        <v>31611</v>
      </c>
      <c r="F446" s="97">
        <v>1565</v>
      </c>
      <c r="G446" s="97">
        <v>6638</v>
      </c>
      <c r="H446" s="114">
        <v>25.564475359537528</v>
      </c>
      <c r="I446" s="125">
        <v>9245</v>
      </c>
      <c r="J446" s="115">
        <v>22.666608994702951</v>
      </c>
    </row>
    <row r="447" spans="1:10" ht="16">
      <c r="A447" s="100" t="s">
        <v>550</v>
      </c>
      <c r="B447" s="101" t="s">
        <v>537</v>
      </c>
      <c r="C447" s="102" t="s">
        <v>76</v>
      </c>
      <c r="D447" s="103" t="s">
        <v>61</v>
      </c>
      <c r="E447" s="104">
        <v>9134</v>
      </c>
      <c r="F447" s="104">
        <v>862</v>
      </c>
      <c r="G447" s="104">
        <v>274</v>
      </c>
      <c r="H447" s="116">
        <v>12.711483037839031</v>
      </c>
      <c r="I447" s="126">
        <v>9000</v>
      </c>
      <c r="J447" s="117">
        <v>28.421499841281914</v>
      </c>
    </row>
    <row r="448" spans="1:10" ht="16">
      <c r="A448" s="93" t="s">
        <v>1334</v>
      </c>
      <c r="B448" s="94" t="s">
        <v>1288</v>
      </c>
      <c r="C448" s="95" t="s">
        <v>107</v>
      </c>
      <c r="D448" s="96" t="s">
        <v>84</v>
      </c>
      <c r="E448" s="97">
        <v>11247</v>
      </c>
      <c r="F448" s="97">
        <v>1308</v>
      </c>
      <c r="G448" s="97">
        <v>3824</v>
      </c>
      <c r="H448" s="114">
        <v>92.593889844879939</v>
      </c>
      <c r="I448" s="125">
        <v>92051</v>
      </c>
      <c r="J448" s="115">
        <v>90.955689166125794</v>
      </c>
    </row>
    <row r="449" spans="1:10" ht="16">
      <c r="A449" s="100" t="s">
        <v>836</v>
      </c>
      <c r="B449" s="101" t="s">
        <v>834</v>
      </c>
      <c r="C449" s="102" t="s">
        <v>76</v>
      </c>
      <c r="D449" s="103" t="s">
        <v>61</v>
      </c>
      <c r="E449" s="104">
        <v>18653</v>
      </c>
      <c r="F449" s="104">
        <v>1151</v>
      </c>
      <c r="G449" s="104">
        <v>5782</v>
      </c>
      <c r="H449" s="116">
        <v>19.42393214154469</v>
      </c>
      <c r="I449" s="126">
        <v>9371</v>
      </c>
      <c r="J449" s="117">
        <v>23.304877329579536</v>
      </c>
    </row>
    <row r="450" spans="1:10" ht="16">
      <c r="A450" s="93" t="s">
        <v>582</v>
      </c>
      <c r="B450" s="94" t="s">
        <v>581</v>
      </c>
      <c r="C450" s="95" t="s">
        <v>76</v>
      </c>
      <c r="D450" s="96" t="s">
        <v>60</v>
      </c>
      <c r="E450" s="97">
        <v>9291</v>
      </c>
      <c r="F450" s="97">
        <v>328</v>
      </c>
      <c r="G450" s="97">
        <v>1115</v>
      </c>
      <c r="H450" s="114">
        <v>30.257181110708355</v>
      </c>
      <c r="I450" s="125">
        <v>24055</v>
      </c>
      <c r="J450" s="115">
        <v>21.245418888629622</v>
      </c>
    </row>
    <row r="451" spans="1:10" ht="16">
      <c r="A451" s="100" t="s">
        <v>189</v>
      </c>
      <c r="B451" s="101" t="s">
        <v>184</v>
      </c>
      <c r="C451" s="102" t="s">
        <v>76</v>
      </c>
      <c r="D451" s="103" t="s">
        <v>82</v>
      </c>
      <c r="E451" s="104">
        <v>31294</v>
      </c>
      <c r="F451" s="104">
        <v>2407</v>
      </c>
      <c r="G451" s="104">
        <v>9075</v>
      </c>
      <c r="H451" s="116">
        <v>72.441550338965257</v>
      </c>
      <c r="I451" s="126">
        <v>61012</v>
      </c>
      <c r="J451" s="117">
        <v>65.973913884768791</v>
      </c>
    </row>
    <row r="452" spans="1:10" ht="16">
      <c r="A452" s="93" t="s">
        <v>190</v>
      </c>
      <c r="B452" s="94" t="s">
        <v>184</v>
      </c>
      <c r="C452" s="95" t="s">
        <v>76</v>
      </c>
      <c r="D452" s="96" t="s">
        <v>80</v>
      </c>
      <c r="E452" s="97">
        <v>24412</v>
      </c>
      <c r="F452" s="97">
        <v>869</v>
      </c>
      <c r="G452" s="97">
        <v>4150</v>
      </c>
      <c r="H452" s="114">
        <v>50.367613389814281</v>
      </c>
      <c r="I452" s="125">
        <v>47575</v>
      </c>
      <c r="J452" s="115">
        <v>44.874529651223618</v>
      </c>
    </row>
    <row r="453" spans="1:10" ht="16">
      <c r="A453" s="100" t="s">
        <v>129</v>
      </c>
      <c r="B453" s="101" t="s">
        <v>127</v>
      </c>
      <c r="C453" s="102" t="s">
        <v>76</v>
      </c>
      <c r="D453" s="103" t="s">
        <v>130</v>
      </c>
      <c r="E453" s="104">
        <v>3352</v>
      </c>
      <c r="F453" s="104">
        <v>308</v>
      </c>
      <c r="G453" s="104">
        <v>804</v>
      </c>
      <c r="H453" s="116">
        <v>25.298616571579362</v>
      </c>
      <c r="I453" s="126">
        <v>23172</v>
      </c>
      <c r="J453" s="117">
        <v>31.381656596108993</v>
      </c>
    </row>
    <row r="454" spans="1:10" ht="16">
      <c r="A454" s="93" t="s">
        <v>131</v>
      </c>
      <c r="B454" s="94" t="s">
        <v>127</v>
      </c>
      <c r="C454" s="95" t="s">
        <v>76</v>
      </c>
      <c r="D454" s="96" t="s">
        <v>63</v>
      </c>
      <c r="E454" s="97">
        <v>2966</v>
      </c>
      <c r="F454" s="97">
        <v>690</v>
      </c>
      <c r="G454" s="97">
        <v>1305</v>
      </c>
      <c r="H454" s="114">
        <v>14.878487793619705</v>
      </c>
      <c r="I454" s="125">
        <v>12751</v>
      </c>
      <c r="J454" s="115">
        <v>31.329446049479003</v>
      </c>
    </row>
    <row r="455" spans="1:10" ht="16">
      <c r="A455" s="100" t="s">
        <v>132</v>
      </c>
      <c r="B455" s="101" t="s">
        <v>127</v>
      </c>
      <c r="C455" s="102" t="s">
        <v>76</v>
      </c>
      <c r="D455" s="103" t="s">
        <v>130</v>
      </c>
      <c r="E455" s="104">
        <v>7142</v>
      </c>
      <c r="F455" s="104">
        <v>882</v>
      </c>
      <c r="G455" s="104">
        <v>2143</v>
      </c>
      <c r="H455" s="116">
        <v>23.956092701144236</v>
      </c>
      <c r="I455" s="126">
        <v>21358</v>
      </c>
      <c r="J455" s="117">
        <v>34.27930945260303</v>
      </c>
    </row>
    <row r="456" spans="1:10" ht="16">
      <c r="A456" s="93" t="s">
        <v>683</v>
      </c>
      <c r="B456" s="94" t="s">
        <v>642</v>
      </c>
      <c r="C456" s="95" t="s">
        <v>107</v>
      </c>
      <c r="D456" s="96" t="s">
        <v>92</v>
      </c>
      <c r="E456" s="97">
        <v>33309</v>
      </c>
      <c r="F456" s="97">
        <v>2847</v>
      </c>
      <c r="G456" s="97">
        <v>1332</v>
      </c>
      <c r="H456" s="114">
        <v>8.8263401451098726</v>
      </c>
      <c r="I456" s="125">
        <v>1051</v>
      </c>
      <c r="J456" s="115">
        <v>18.587009078213704</v>
      </c>
    </row>
    <row r="457" spans="1:10" ht="16">
      <c r="A457" s="100" t="s">
        <v>684</v>
      </c>
      <c r="B457" s="101" t="s">
        <v>642</v>
      </c>
      <c r="C457" s="102" t="s">
        <v>107</v>
      </c>
      <c r="D457" s="103" t="s">
        <v>92</v>
      </c>
      <c r="E457" s="104">
        <v>15412</v>
      </c>
      <c r="F457" s="104">
        <v>491</v>
      </c>
      <c r="G457" s="104">
        <v>154</v>
      </c>
      <c r="H457" s="116">
        <v>10.183438259751849</v>
      </c>
      <c r="I457" s="126">
        <v>1186</v>
      </c>
      <c r="J457" s="117">
        <v>16.445104668844863</v>
      </c>
    </row>
    <row r="458" spans="1:10" ht="16">
      <c r="A458" s="93" t="s">
        <v>191</v>
      </c>
      <c r="B458" s="94" t="s">
        <v>184</v>
      </c>
      <c r="C458" s="95" t="s">
        <v>76</v>
      </c>
      <c r="D458" s="96" t="s">
        <v>80</v>
      </c>
      <c r="E458" s="97">
        <v>15127</v>
      </c>
      <c r="F458" s="97">
        <v>1104</v>
      </c>
      <c r="G458" s="97">
        <v>2723</v>
      </c>
      <c r="H458" s="114">
        <v>20.153491302414949</v>
      </c>
      <c r="I458" s="125">
        <v>11612</v>
      </c>
      <c r="J458" s="115">
        <v>21.053514045230866</v>
      </c>
    </row>
    <row r="459" spans="1:10" ht="16">
      <c r="A459" s="100" t="s">
        <v>327</v>
      </c>
      <c r="B459" s="101" t="s">
        <v>322</v>
      </c>
      <c r="C459" s="102" t="s">
        <v>76</v>
      </c>
      <c r="D459" s="103" t="s">
        <v>63</v>
      </c>
      <c r="E459" s="104">
        <v>7215</v>
      </c>
      <c r="F459" s="104">
        <v>501</v>
      </c>
      <c r="G459" s="104">
        <v>1154</v>
      </c>
      <c r="H459" s="116">
        <v>15.42576903110135</v>
      </c>
      <c r="I459" s="126">
        <v>1122</v>
      </c>
      <c r="J459" s="117">
        <v>18.513255833373698</v>
      </c>
    </row>
    <row r="460" spans="1:10" ht="16">
      <c r="A460" s="93" t="s">
        <v>357</v>
      </c>
      <c r="B460" s="94" t="s">
        <v>344</v>
      </c>
      <c r="C460" s="95" t="s">
        <v>107</v>
      </c>
      <c r="D460" s="96" t="s">
        <v>60</v>
      </c>
      <c r="E460" s="97">
        <v>84587</v>
      </c>
      <c r="F460" s="97">
        <v>2324</v>
      </c>
      <c r="G460" s="97">
        <v>846</v>
      </c>
      <c r="H460" s="114">
        <v>8.6714988731275984</v>
      </c>
      <c r="I460" s="125">
        <v>2065</v>
      </c>
      <c r="J460" s="115">
        <v>15.412793567416289</v>
      </c>
    </row>
    <row r="461" spans="1:10" ht="16">
      <c r="A461" s="100" t="s">
        <v>804</v>
      </c>
      <c r="B461" s="101" t="s">
        <v>798</v>
      </c>
      <c r="C461" s="102" t="s">
        <v>107</v>
      </c>
      <c r="D461" s="103" t="s">
        <v>63</v>
      </c>
      <c r="E461" s="104">
        <v>57827</v>
      </c>
      <c r="F461" s="104">
        <v>2891</v>
      </c>
      <c r="G461" s="104">
        <v>4024</v>
      </c>
      <c r="H461" s="116">
        <v>17.216127574006709</v>
      </c>
      <c r="I461" s="126">
        <v>11252</v>
      </c>
      <c r="J461" s="117">
        <v>16.785666597598944</v>
      </c>
    </row>
    <row r="462" spans="1:10" ht="16">
      <c r="A462" s="93" t="s">
        <v>1335</v>
      </c>
      <c r="B462" s="94" t="s">
        <v>1288</v>
      </c>
      <c r="C462" s="95" t="s">
        <v>76</v>
      </c>
      <c r="D462" s="96" t="s">
        <v>77</v>
      </c>
      <c r="E462" s="97">
        <v>44789</v>
      </c>
      <c r="F462" s="97">
        <v>2714</v>
      </c>
      <c r="G462" s="97">
        <v>7166</v>
      </c>
      <c r="H462" s="114">
        <v>58.121429631324432</v>
      </c>
      <c r="I462" s="125">
        <v>46069</v>
      </c>
      <c r="J462" s="115">
        <v>57.49355902140757</v>
      </c>
    </row>
    <row r="463" spans="1:10" ht="16">
      <c r="A463" s="100" t="s">
        <v>1166</v>
      </c>
      <c r="B463" s="101" t="s">
        <v>1142</v>
      </c>
      <c r="C463" s="102" t="s">
        <v>107</v>
      </c>
      <c r="D463" s="103" t="s">
        <v>80</v>
      </c>
      <c r="E463" s="104">
        <v>27455</v>
      </c>
      <c r="F463" s="104">
        <v>869</v>
      </c>
      <c r="G463" s="104">
        <v>1647</v>
      </c>
      <c r="H463" s="116">
        <v>24.02825303958798</v>
      </c>
      <c r="I463" s="126">
        <v>7153</v>
      </c>
      <c r="J463" s="117">
        <v>29.594770055792207</v>
      </c>
    </row>
    <row r="464" spans="1:10" ht="16">
      <c r="A464" s="93" t="s">
        <v>1221</v>
      </c>
      <c r="B464" s="94" t="s">
        <v>1190</v>
      </c>
      <c r="C464" s="95" t="s">
        <v>76</v>
      </c>
      <c r="D464" s="96" t="s">
        <v>92</v>
      </c>
      <c r="E464" s="97">
        <v>15649</v>
      </c>
      <c r="F464" s="97">
        <v>869</v>
      </c>
      <c r="G464" s="97">
        <v>7042</v>
      </c>
      <c r="H464" s="114">
        <v>17.529644071886285</v>
      </c>
      <c r="I464" s="125">
        <v>12868</v>
      </c>
      <c r="J464" s="115">
        <v>20.395574331562813</v>
      </c>
    </row>
    <row r="465" spans="1:10" ht="16">
      <c r="A465" s="100" t="s">
        <v>685</v>
      </c>
      <c r="B465" s="101" t="s">
        <v>642</v>
      </c>
      <c r="C465" s="102" t="s">
        <v>107</v>
      </c>
      <c r="D465" s="103" t="s">
        <v>63</v>
      </c>
      <c r="E465" s="104">
        <v>7118</v>
      </c>
      <c r="F465" s="104">
        <v>749</v>
      </c>
      <c r="G465" s="104">
        <v>214</v>
      </c>
      <c r="H465" s="116">
        <v>11.861907107687427</v>
      </c>
      <c r="I465" s="126">
        <v>2495</v>
      </c>
      <c r="J465" s="117">
        <v>21.466292382134284</v>
      </c>
    </row>
    <row r="466" spans="1:10" ht="16">
      <c r="A466" s="93" t="s">
        <v>1090</v>
      </c>
      <c r="B466" s="94" t="s">
        <v>1081</v>
      </c>
      <c r="C466" s="95" t="s">
        <v>76</v>
      </c>
      <c r="D466" s="96" t="s">
        <v>63</v>
      </c>
      <c r="E466" s="97">
        <v>18590</v>
      </c>
      <c r="F466" s="97">
        <v>819</v>
      </c>
      <c r="G466" s="97">
        <v>2231</v>
      </c>
      <c r="H466" s="114">
        <v>11.590440738232342</v>
      </c>
      <c r="I466" s="125">
        <v>1154</v>
      </c>
      <c r="J466" s="115">
        <v>14.239576130598545</v>
      </c>
    </row>
    <row r="467" spans="1:10" ht="16">
      <c r="A467" s="100" t="s">
        <v>358</v>
      </c>
      <c r="B467" s="101" t="s">
        <v>344</v>
      </c>
      <c r="C467" s="102" t="s">
        <v>76</v>
      </c>
      <c r="D467" s="103" t="s">
        <v>59</v>
      </c>
      <c r="E467" s="104">
        <v>59181</v>
      </c>
      <c r="F467" s="104">
        <v>3794</v>
      </c>
      <c r="G467" s="104">
        <v>592</v>
      </c>
      <c r="H467" s="116">
        <v>8.0707827161346586</v>
      </c>
      <c r="I467" s="126">
        <v>1814</v>
      </c>
      <c r="J467" s="117">
        <v>16.000449879167327</v>
      </c>
    </row>
    <row r="468" spans="1:10" ht="16">
      <c r="A468" s="93" t="s">
        <v>930</v>
      </c>
      <c r="B468" s="94" t="s">
        <v>919</v>
      </c>
      <c r="C468" s="95" t="s">
        <v>107</v>
      </c>
      <c r="D468" s="96" t="s">
        <v>92</v>
      </c>
      <c r="E468" s="97">
        <v>19965</v>
      </c>
      <c r="F468" s="97">
        <v>1174</v>
      </c>
      <c r="G468" s="97">
        <v>599</v>
      </c>
      <c r="H468" s="114">
        <v>10.134471156632717</v>
      </c>
      <c r="I468" s="125">
        <v>512</v>
      </c>
      <c r="J468" s="115">
        <v>15.651345518487858</v>
      </c>
    </row>
    <row r="469" spans="1:10" ht="16">
      <c r="A469" s="100" t="s">
        <v>1336</v>
      </c>
      <c r="B469" s="101" t="s">
        <v>1288</v>
      </c>
      <c r="C469" s="102" t="s">
        <v>76</v>
      </c>
      <c r="D469" s="103" t="s">
        <v>59</v>
      </c>
      <c r="E469" s="104">
        <v>26121</v>
      </c>
      <c r="F469" s="104">
        <v>1375</v>
      </c>
      <c r="G469" s="104">
        <v>784</v>
      </c>
      <c r="H469" s="116">
        <v>16.393258122900587</v>
      </c>
      <c r="I469" s="126">
        <v>7005</v>
      </c>
      <c r="J469" s="117">
        <v>22.285649644566849</v>
      </c>
    </row>
    <row r="470" spans="1:10" ht="16">
      <c r="A470" s="93" t="s">
        <v>1337</v>
      </c>
      <c r="B470" s="94" t="s">
        <v>1288</v>
      </c>
      <c r="C470" s="95" t="s">
        <v>107</v>
      </c>
      <c r="D470" s="96" t="s">
        <v>59</v>
      </c>
      <c r="E470" s="97">
        <v>8084</v>
      </c>
      <c r="F470" s="97">
        <v>364</v>
      </c>
      <c r="G470" s="97">
        <v>1132</v>
      </c>
      <c r="H470" s="114">
        <v>25.242275412873934</v>
      </c>
      <c r="I470" s="125">
        <v>14673</v>
      </c>
      <c r="J470" s="115">
        <v>24.562787914830828</v>
      </c>
    </row>
    <row r="471" spans="1:10" ht="16">
      <c r="A471" s="100" t="s">
        <v>813</v>
      </c>
      <c r="B471" s="101" t="s">
        <v>814</v>
      </c>
      <c r="C471" s="102" t="s">
        <v>76</v>
      </c>
      <c r="D471" s="103" t="s">
        <v>61</v>
      </c>
      <c r="E471" s="104">
        <v>81914</v>
      </c>
      <c r="F471" s="104">
        <v>2453</v>
      </c>
      <c r="G471" s="104">
        <v>4096</v>
      </c>
      <c r="H471" s="116">
        <v>10.803880594997063</v>
      </c>
      <c r="I471" s="126">
        <v>1668</v>
      </c>
      <c r="J471" s="117">
        <v>29.109873406506228</v>
      </c>
    </row>
    <row r="472" spans="1:10" ht="16">
      <c r="A472" s="93" t="s">
        <v>103</v>
      </c>
      <c r="B472" s="94" t="s">
        <v>89</v>
      </c>
      <c r="C472" s="95" t="s">
        <v>76</v>
      </c>
      <c r="D472" s="96" t="s">
        <v>80</v>
      </c>
      <c r="E472" s="97">
        <v>52989</v>
      </c>
      <c r="F472" s="97">
        <v>1563</v>
      </c>
      <c r="G472" s="97">
        <v>20666</v>
      </c>
      <c r="H472" s="114">
        <v>57.5338124435577</v>
      </c>
      <c r="I472" s="125">
        <v>47483</v>
      </c>
      <c r="J472" s="115">
        <v>47.483399684302199</v>
      </c>
    </row>
    <row r="473" spans="1:10" ht="16">
      <c r="A473" s="100" t="s">
        <v>1338</v>
      </c>
      <c r="B473" s="101" t="s">
        <v>1288</v>
      </c>
      <c r="C473" s="102" t="s">
        <v>107</v>
      </c>
      <c r="D473" s="103" t="s">
        <v>61</v>
      </c>
      <c r="E473" s="104">
        <v>14357</v>
      </c>
      <c r="F473" s="104">
        <v>740</v>
      </c>
      <c r="G473" s="104">
        <v>431</v>
      </c>
      <c r="H473" s="116">
        <v>19.878566564313399</v>
      </c>
      <c r="I473" s="126">
        <v>13143</v>
      </c>
      <c r="J473" s="117">
        <v>19.511504073357109</v>
      </c>
    </row>
    <row r="474" spans="1:10" ht="16">
      <c r="A474" s="93" t="s">
        <v>805</v>
      </c>
      <c r="B474" s="94" t="s">
        <v>798</v>
      </c>
      <c r="C474" s="95" t="s">
        <v>107</v>
      </c>
      <c r="D474" s="96" t="s">
        <v>130</v>
      </c>
      <c r="E474" s="97">
        <v>14343</v>
      </c>
      <c r="F474" s="97">
        <v>885</v>
      </c>
      <c r="G474" s="97">
        <v>1578</v>
      </c>
      <c r="H474" s="114">
        <v>18.379073190291667</v>
      </c>
      <c r="I474" s="125">
        <v>7656</v>
      </c>
      <c r="J474" s="115">
        <v>21.491758914513571</v>
      </c>
    </row>
    <row r="475" spans="1:10" ht="16">
      <c r="A475" s="100" t="s">
        <v>382</v>
      </c>
      <c r="B475" s="101" t="s">
        <v>377</v>
      </c>
      <c r="C475" s="102" t="s">
        <v>76</v>
      </c>
      <c r="D475" s="103" t="s">
        <v>60</v>
      </c>
      <c r="E475" s="104">
        <v>39405</v>
      </c>
      <c r="F475" s="104">
        <v>2021</v>
      </c>
      <c r="G475" s="104">
        <v>5911</v>
      </c>
      <c r="H475" s="116">
        <v>27.143474117846093</v>
      </c>
      <c r="I475" s="126">
        <v>18228</v>
      </c>
      <c r="J475" s="117">
        <v>37.227130410445149</v>
      </c>
    </row>
    <row r="476" spans="1:10" ht="16">
      <c r="A476" s="93" t="s">
        <v>931</v>
      </c>
      <c r="B476" s="94" t="s">
        <v>919</v>
      </c>
      <c r="C476" s="95" t="s">
        <v>107</v>
      </c>
      <c r="D476" s="96" t="s">
        <v>63</v>
      </c>
      <c r="E476" s="97">
        <v>15248</v>
      </c>
      <c r="F476" s="97">
        <v>1303</v>
      </c>
      <c r="G476" s="97">
        <v>1372</v>
      </c>
      <c r="H476" s="114">
        <v>12.591778301744966</v>
      </c>
      <c r="I476" s="125">
        <v>418</v>
      </c>
      <c r="J476" s="115">
        <v>24.665104480196984</v>
      </c>
    </row>
    <row r="477" spans="1:10" ht="16">
      <c r="A477" s="100" t="s">
        <v>932</v>
      </c>
      <c r="B477" s="101" t="s">
        <v>919</v>
      </c>
      <c r="C477" s="102" t="s">
        <v>107</v>
      </c>
      <c r="D477" s="103" t="s">
        <v>61</v>
      </c>
      <c r="E477" s="104">
        <v>5716</v>
      </c>
      <c r="F477" s="104">
        <v>510</v>
      </c>
      <c r="G477" s="104">
        <v>857</v>
      </c>
      <c r="H477" s="116">
        <v>45.97720018639459</v>
      </c>
      <c r="I477" s="126">
        <v>21582</v>
      </c>
      <c r="J477" s="117">
        <v>53.512085622681923</v>
      </c>
    </row>
    <row r="478" spans="1:10" ht="16">
      <c r="A478" s="93" t="s">
        <v>933</v>
      </c>
      <c r="B478" s="94" t="s">
        <v>919</v>
      </c>
      <c r="C478" s="95" t="s">
        <v>107</v>
      </c>
      <c r="D478" s="96" t="s">
        <v>63</v>
      </c>
      <c r="E478" s="97">
        <v>11422</v>
      </c>
      <c r="F478" s="97">
        <v>777</v>
      </c>
      <c r="G478" s="97">
        <v>1142</v>
      </c>
      <c r="H478" s="114">
        <v>11.313128064198905</v>
      </c>
      <c r="I478" s="125">
        <v>633</v>
      </c>
      <c r="J478" s="115">
        <v>19.539430883855509</v>
      </c>
    </row>
    <row r="479" spans="1:10" ht="16">
      <c r="A479" s="100" t="s">
        <v>781</v>
      </c>
      <c r="B479" s="101" t="s">
        <v>782</v>
      </c>
      <c r="C479" s="102" t="s">
        <v>107</v>
      </c>
      <c r="D479" s="103" t="s">
        <v>61</v>
      </c>
      <c r="E479" s="104">
        <v>11080</v>
      </c>
      <c r="F479" s="104">
        <v>833</v>
      </c>
      <c r="G479" s="104">
        <v>997</v>
      </c>
      <c r="H479" s="116">
        <v>10.45033193187126</v>
      </c>
      <c r="I479" s="126">
        <v>1194</v>
      </c>
      <c r="J479" s="117">
        <v>16.730301977593722</v>
      </c>
    </row>
    <row r="480" spans="1:10" ht="16">
      <c r="A480" s="93" t="s">
        <v>104</v>
      </c>
      <c r="B480" s="94" t="s">
        <v>89</v>
      </c>
      <c r="C480" s="95" t="s">
        <v>76</v>
      </c>
      <c r="D480" s="96" t="s">
        <v>82</v>
      </c>
      <c r="E480" s="97">
        <v>14905</v>
      </c>
      <c r="F480" s="97">
        <v>538</v>
      </c>
      <c r="G480" s="97">
        <v>5515</v>
      </c>
      <c r="H480" s="114">
        <v>24.902359783868647</v>
      </c>
      <c r="I480" s="125">
        <v>15466</v>
      </c>
      <c r="J480" s="115">
        <v>19.093488156935912</v>
      </c>
    </row>
    <row r="481" spans="1:10" ht="16">
      <c r="A481" s="100" t="s">
        <v>686</v>
      </c>
      <c r="B481" s="101" t="s">
        <v>642</v>
      </c>
      <c r="C481" s="102" t="s">
        <v>107</v>
      </c>
      <c r="D481" s="103" t="s">
        <v>130</v>
      </c>
      <c r="E481" s="104">
        <v>3365</v>
      </c>
      <c r="F481" s="104">
        <v>192</v>
      </c>
      <c r="G481" s="104">
        <v>135</v>
      </c>
      <c r="H481" s="116">
        <v>9.7463693246254888</v>
      </c>
      <c r="I481" s="126">
        <v>4054</v>
      </c>
      <c r="J481" s="117">
        <v>15.975943335309569</v>
      </c>
    </row>
    <row r="482" spans="1:10" ht="16">
      <c r="A482" s="93" t="s">
        <v>687</v>
      </c>
      <c r="B482" s="94" t="s">
        <v>642</v>
      </c>
      <c r="C482" s="95" t="s">
        <v>107</v>
      </c>
      <c r="D482" s="96" t="s">
        <v>61</v>
      </c>
      <c r="E482" s="97">
        <v>2300</v>
      </c>
      <c r="F482" s="97">
        <v>215</v>
      </c>
      <c r="G482" s="97">
        <v>276</v>
      </c>
      <c r="H482" s="114">
        <v>14.688719268208846</v>
      </c>
      <c r="I482" s="125">
        <v>1722</v>
      </c>
      <c r="J482" s="115">
        <v>25.636389289862983</v>
      </c>
    </row>
    <row r="483" spans="1:10" ht="16">
      <c r="A483" s="100" t="s">
        <v>688</v>
      </c>
      <c r="B483" s="101" t="s">
        <v>642</v>
      </c>
      <c r="C483" s="102" t="s">
        <v>107</v>
      </c>
      <c r="D483" s="103" t="s">
        <v>84</v>
      </c>
      <c r="E483" s="104">
        <v>9163</v>
      </c>
      <c r="F483" s="104">
        <v>1309</v>
      </c>
      <c r="G483" s="104">
        <v>367</v>
      </c>
      <c r="H483" s="116">
        <v>14.837214192744559</v>
      </c>
      <c r="I483" s="126">
        <v>3396</v>
      </c>
      <c r="J483" s="117">
        <v>26.368181737565159</v>
      </c>
    </row>
    <row r="484" spans="1:10" ht="16">
      <c r="A484" s="93" t="s">
        <v>689</v>
      </c>
      <c r="B484" s="94" t="s">
        <v>642</v>
      </c>
      <c r="C484" s="95" t="s">
        <v>76</v>
      </c>
      <c r="D484" s="96" t="s">
        <v>62</v>
      </c>
      <c r="E484" s="97">
        <v>4444</v>
      </c>
      <c r="F484" s="97">
        <v>585</v>
      </c>
      <c r="G484" s="97">
        <v>89</v>
      </c>
      <c r="H484" s="114">
        <v>14.714424418309232</v>
      </c>
      <c r="I484" s="125">
        <v>3951</v>
      </c>
      <c r="J484" s="115">
        <v>23.277638973364102</v>
      </c>
    </row>
    <row r="485" spans="1:10" ht="16">
      <c r="A485" s="100" t="s">
        <v>690</v>
      </c>
      <c r="B485" s="101" t="s">
        <v>642</v>
      </c>
      <c r="C485" s="102" t="s">
        <v>107</v>
      </c>
      <c r="D485" s="103" t="s">
        <v>130</v>
      </c>
      <c r="E485" s="104">
        <v>5661</v>
      </c>
      <c r="F485" s="104">
        <v>349</v>
      </c>
      <c r="G485" s="104">
        <v>226</v>
      </c>
      <c r="H485" s="116">
        <v>19.954916495582776</v>
      </c>
      <c r="I485" s="126">
        <v>2579</v>
      </c>
      <c r="J485" s="117">
        <v>19.699051015432183</v>
      </c>
    </row>
    <row r="486" spans="1:10" ht="16">
      <c r="A486" s="93" t="s">
        <v>691</v>
      </c>
      <c r="B486" s="94" t="s">
        <v>642</v>
      </c>
      <c r="C486" s="95" t="s">
        <v>107</v>
      </c>
      <c r="D486" s="96" t="s">
        <v>59</v>
      </c>
      <c r="E486" s="97">
        <v>15676</v>
      </c>
      <c r="F486" s="97">
        <v>1704</v>
      </c>
      <c r="G486" s="97">
        <v>1724</v>
      </c>
      <c r="H486" s="114">
        <v>48.453195146885022</v>
      </c>
      <c r="I486" s="125">
        <v>20856</v>
      </c>
      <c r="J486" s="115">
        <v>48.651773759852738</v>
      </c>
    </row>
    <row r="487" spans="1:10" ht="16">
      <c r="A487" s="100" t="s">
        <v>252</v>
      </c>
      <c r="B487" s="101" t="s">
        <v>223</v>
      </c>
      <c r="C487" s="102" t="s">
        <v>76</v>
      </c>
      <c r="D487" s="103" t="s">
        <v>92</v>
      </c>
      <c r="E487" s="104">
        <v>25963</v>
      </c>
      <c r="F487" s="104">
        <v>1633</v>
      </c>
      <c r="G487" s="104">
        <v>779</v>
      </c>
      <c r="H487" s="116">
        <v>17.384459807593853</v>
      </c>
      <c r="I487" s="126">
        <v>7446</v>
      </c>
      <c r="J487" s="117">
        <v>23.436017995957364</v>
      </c>
    </row>
    <row r="488" spans="1:10" ht="16">
      <c r="A488" s="93" t="s">
        <v>253</v>
      </c>
      <c r="B488" s="94" t="s">
        <v>223</v>
      </c>
      <c r="C488" s="95" t="s">
        <v>107</v>
      </c>
      <c r="D488" s="96" t="s">
        <v>62</v>
      </c>
      <c r="E488" s="97">
        <v>15420</v>
      </c>
      <c r="F488" s="97">
        <v>1713</v>
      </c>
      <c r="G488" s="97">
        <v>771</v>
      </c>
      <c r="H488" s="114">
        <v>25.933528452702671</v>
      </c>
      <c r="I488" s="125">
        <v>9399</v>
      </c>
      <c r="J488" s="115">
        <v>38.916716293600999</v>
      </c>
    </row>
    <row r="489" spans="1:10" ht="16">
      <c r="A489" s="100" t="s">
        <v>254</v>
      </c>
      <c r="B489" s="101" t="s">
        <v>223</v>
      </c>
      <c r="C489" s="102" t="s">
        <v>76</v>
      </c>
      <c r="D489" s="103" t="s">
        <v>130</v>
      </c>
      <c r="E489" s="104">
        <v>27490</v>
      </c>
      <c r="F489" s="104">
        <v>2083</v>
      </c>
      <c r="G489" s="104">
        <v>825</v>
      </c>
      <c r="H489" s="116">
        <v>13.098635353581125</v>
      </c>
      <c r="I489" s="126">
        <v>6652</v>
      </c>
      <c r="J489" s="117">
        <v>20.24074463276974</v>
      </c>
    </row>
    <row r="490" spans="1:10" ht="16">
      <c r="A490" s="93" t="s">
        <v>255</v>
      </c>
      <c r="B490" s="94" t="s">
        <v>223</v>
      </c>
      <c r="C490" s="95" t="s">
        <v>76</v>
      </c>
      <c r="D490" s="96" t="s">
        <v>61</v>
      </c>
      <c r="E490" s="97">
        <v>33175</v>
      </c>
      <c r="F490" s="97">
        <v>2387</v>
      </c>
      <c r="G490" s="97">
        <v>664</v>
      </c>
      <c r="H490" s="114">
        <v>12.272348493504717</v>
      </c>
      <c r="I490" s="125">
        <v>6541</v>
      </c>
      <c r="J490" s="115">
        <v>17.980242184683409</v>
      </c>
    </row>
    <row r="491" spans="1:10" ht="16">
      <c r="A491" s="100" t="s">
        <v>256</v>
      </c>
      <c r="B491" s="101" t="s">
        <v>223</v>
      </c>
      <c r="C491" s="102" t="s">
        <v>107</v>
      </c>
      <c r="D491" s="103" t="s">
        <v>77</v>
      </c>
      <c r="E491" s="104">
        <v>34569</v>
      </c>
      <c r="F491" s="104">
        <v>2230</v>
      </c>
      <c r="G491" s="104">
        <v>3457</v>
      </c>
      <c r="H491" s="116">
        <v>48.89293145151192</v>
      </c>
      <c r="I491" s="126">
        <v>34566</v>
      </c>
      <c r="J491" s="117">
        <v>50.98803939458076</v>
      </c>
    </row>
    <row r="492" spans="1:10" ht="16">
      <c r="A492" s="93" t="s">
        <v>257</v>
      </c>
      <c r="B492" s="94" t="s">
        <v>223</v>
      </c>
      <c r="C492" s="95" t="s">
        <v>107</v>
      </c>
      <c r="D492" s="96" t="s">
        <v>77</v>
      </c>
      <c r="E492" s="97">
        <v>29542</v>
      </c>
      <c r="F492" s="97">
        <v>1780</v>
      </c>
      <c r="G492" s="97">
        <v>886</v>
      </c>
      <c r="H492" s="114">
        <v>21.114995374172647</v>
      </c>
      <c r="I492" s="125">
        <v>4292</v>
      </c>
      <c r="J492" s="115">
        <v>21.279133146581877</v>
      </c>
    </row>
    <row r="493" spans="1:10" ht="16">
      <c r="A493" s="100" t="s">
        <v>258</v>
      </c>
      <c r="B493" s="101" t="s">
        <v>223</v>
      </c>
      <c r="C493" s="102" t="s">
        <v>107</v>
      </c>
      <c r="D493" s="103" t="s">
        <v>80</v>
      </c>
      <c r="E493" s="104">
        <v>21857</v>
      </c>
      <c r="F493" s="104">
        <v>1410</v>
      </c>
      <c r="G493" s="104">
        <v>656</v>
      </c>
      <c r="H493" s="116">
        <v>15.504371578233055</v>
      </c>
      <c r="I493" s="126">
        <v>10537</v>
      </c>
      <c r="J493" s="117">
        <v>17.505624534665273</v>
      </c>
    </row>
    <row r="494" spans="1:10" ht="16">
      <c r="A494" s="93" t="s">
        <v>259</v>
      </c>
      <c r="B494" s="94" t="s">
        <v>223</v>
      </c>
      <c r="C494" s="95" t="s">
        <v>76</v>
      </c>
      <c r="D494" s="96" t="s">
        <v>92</v>
      </c>
      <c r="E494" s="97">
        <v>28061</v>
      </c>
      <c r="F494" s="97">
        <v>2110</v>
      </c>
      <c r="G494" s="97">
        <v>1964</v>
      </c>
      <c r="H494" s="114">
        <v>22.642368890745146</v>
      </c>
      <c r="I494" s="125">
        <v>16624</v>
      </c>
      <c r="J494" s="115">
        <v>35.826714810170323</v>
      </c>
    </row>
    <row r="495" spans="1:10" ht="16">
      <c r="A495" s="100" t="s">
        <v>966</v>
      </c>
      <c r="B495" s="101" t="s">
        <v>967</v>
      </c>
      <c r="C495" s="102" t="s">
        <v>107</v>
      </c>
      <c r="D495" s="103" t="s">
        <v>63</v>
      </c>
      <c r="E495" s="104">
        <v>25088</v>
      </c>
      <c r="F495" s="104">
        <v>1578</v>
      </c>
      <c r="G495" s="104">
        <v>6774</v>
      </c>
      <c r="H495" s="116">
        <v>71.04105449412782</v>
      </c>
      <c r="I495" s="126">
        <v>59801</v>
      </c>
      <c r="J495" s="117">
        <v>58.443728296739586</v>
      </c>
    </row>
    <row r="496" spans="1:10" ht="16">
      <c r="A496" s="93" t="s">
        <v>692</v>
      </c>
      <c r="B496" s="94" t="s">
        <v>642</v>
      </c>
      <c r="C496" s="95" t="s">
        <v>107</v>
      </c>
      <c r="D496" s="96" t="s">
        <v>92</v>
      </c>
      <c r="E496" s="97">
        <v>1240</v>
      </c>
      <c r="F496" s="97">
        <v>376</v>
      </c>
      <c r="G496" s="97">
        <v>12</v>
      </c>
      <c r="H496" s="114">
        <v>11.249086642948559</v>
      </c>
      <c r="I496" s="125">
        <v>2359</v>
      </c>
      <c r="J496" s="115">
        <v>24.847078064185258</v>
      </c>
    </row>
    <row r="497" spans="1:10" ht="16">
      <c r="A497" s="100" t="s">
        <v>1128</v>
      </c>
      <c r="B497" s="101" t="s">
        <v>1120</v>
      </c>
      <c r="C497" s="102" t="s">
        <v>76</v>
      </c>
      <c r="D497" s="103" t="s">
        <v>63</v>
      </c>
      <c r="E497" s="104">
        <v>22863</v>
      </c>
      <c r="F497" s="104">
        <v>1466</v>
      </c>
      <c r="G497" s="104">
        <v>229</v>
      </c>
      <c r="H497" s="116">
        <v>8.572662110683348</v>
      </c>
      <c r="I497" s="126">
        <v>1018</v>
      </c>
      <c r="J497" s="117">
        <v>17.297433127177328</v>
      </c>
    </row>
    <row r="498" spans="1:10" ht="16">
      <c r="A498" s="93" t="s">
        <v>451</v>
      </c>
      <c r="B498" s="94" t="s">
        <v>448</v>
      </c>
      <c r="C498" s="95" t="s">
        <v>76</v>
      </c>
      <c r="D498" s="96" t="s">
        <v>130</v>
      </c>
      <c r="E498" s="97">
        <v>57697</v>
      </c>
      <c r="F498" s="97">
        <v>2032</v>
      </c>
      <c r="G498" s="97">
        <v>5770</v>
      </c>
      <c r="H498" s="114">
        <v>15.545497417639153</v>
      </c>
      <c r="I498" s="125">
        <v>11034</v>
      </c>
      <c r="J498" s="115">
        <v>22.214206632725581</v>
      </c>
    </row>
    <row r="499" spans="1:10" ht="16">
      <c r="A499" s="100" t="s">
        <v>806</v>
      </c>
      <c r="B499" s="101" t="s">
        <v>798</v>
      </c>
      <c r="C499" s="102" t="s">
        <v>76</v>
      </c>
      <c r="D499" s="103" t="s">
        <v>84</v>
      </c>
      <c r="E499" s="104">
        <v>161718</v>
      </c>
      <c r="F499" s="104">
        <v>9457</v>
      </c>
      <c r="G499" s="104">
        <v>12937</v>
      </c>
      <c r="H499" s="116">
        <v>30.945483158170106</v>
      </c>
      <c r="I499" s="126">
        <v>5817</v>
      </c>
      <c r="J499" s="117">
        <v>32.754807464202777</v>
      </c>
    </row>
    <row r="500" spans="1:10" ht="16">
      <c r="A500" s="93" t="s">
        <v>1091</v>
      </c>
      <c r="B500" s="94" t="s">
        <v>1081</v>
      </c>
      <c r="C500" s="95" t="s">
        <v>107</v>
      </c>
      <c r="D500" s="96" t="s">
        <v>63</v>
      </c>
      <c r="E500" s="97">
        <v>10838</v>
      </c>
      <c r="F500" s="97">
        <v>1153</v>
      </c>
      <c r="G500" s="97">
        <v>1084</v>
      </c>
      <c r="H500" s="114">
        <v>22.978592702672422</v>
      </c>
      <c r="I500" s="125">
        <v>5030</v>
      </c>
      <c r="J500" s="115">
        <v>25.955551514056296</v>
      </c>
    </row>
    <row r="501" spans="1:10" ht="16">
      <c r="A501" s="100" t="s">
        <v>1092</v>
      </c>
      <c r="B501" s="101" t="s">
        <v>1081</v>
      </c>
      <c r="C501" s="102" t="s">
        <v>76</v>
      </c>
      <c r="D501" s="103" t="s">
        <v>59</v>
      </c>
      <c r="E501" s="104">
        <v>8180</v>
      </c>
      <c r="F501" s="104">
        <v>375</v>
      </c>
      <c r="G501" s="104">
        <v>654</v>
      </c>
      <c r="H501" s="116">
        <v>18.671386793001979</v>
      </c>
      <c r="I501" s="126">
        <v>2328</v>
      </c>
      <c r="J501" s="117">
        <v>21.135361459538242</v>
      </c>
    </row>
    <row r="502" spans="1:10" ht="16">
      <c r="A502" s="93" t="s">
        <v>1093</v>
      </c>
      <c r="B502" s="94" t="s">
        <v>1081</v>
      </c>
      <c r="C502" s="95" t="s">
        <v>107</v>
      </c>
      <c r="D502" s="96" t="s">
        <v>84</v>
      </c>
      <c r="E502" s="97">
        <v>20663</v>
      </c>
      <c r="F502" s="97">
        <v>1508</v>
      </c>
      <c r="G502" s="97">
        <v>2686</v>
      </c>
      <c r="H502" s="114">
        <v>41.996232373117401</v>
      </c>
      <c r="I502" s="125">
        <v>9445</v>
      </c>
      <c r="J502" s="115">
        <v>33.691091013737761</v>
      </c>
    </row>
    <row r="503" spans="1:10" ht="16">
      <c r="A503" s="100" t="s">
        <v>1094</v>
      </c>
      <c r="B503" s="101" t="s">
        <v>1081</v>
      </c>
      <c r="C503" s="102" t="s">
        <v>76</v>
      </c>
      <c r="D503" s="103" t="s">
        <v>92</v>
      </c>
      <c r="E503" s="104">
        <v>13558</v>
      </c>
      <c r="F503" s="104">
        <v>869</v>
      </c>
      <c r="G503" s="104">
        <v>2169</v>
      </c>
      <c r="H503" s="116">
        <v>29.508090265808384</v>
      </c>
      <c r="I503" s="126">
        <v>3896</v>
      </c>
      <c r="J503" s="117">
        <v>23.45412642388014</v>
      </c>
    </row>
    <row r="504" spans="1:10" ht="16">
      <c r="A504" s="93" t="s">
        <v>1095</v>
      </c>
      <c r="B504" s="94" t="s">
        <v>1081</v>
      </c>
      <c r="C504" s="95" t="s">
        <v>107</v>
      </c>
      <c r="D504" s="96" t="s">
        <v>63</v>
      </c>
      <c r="E504" s="97">
        <v>12017</v>
      </c>
      <c r="F504" s="97">
        <v>720</v>
      </c>
      <c r="G504" s="97">
        <v>1442</v>
      </c>
      <c r="H504" s="114">
        <v>43.500866161904064</v>
      </c>
      <c r="I504" s="125">
        <v>11119</v>
      </c>
      <c r="J504" s="115">
        <v>36.36411473419939</v>
      </c>
    </row>
    <row r="505" spans="1:10" ht="16">
      <c r="A505" s="100" t="s">
        <v>1096</v>
      </c>
      <c r="B505" s="101" t="s">
        <v>1081</v>
      </c>
      <c r="C505" s="102" t="s">
        <v>107</v>
      </c>
      <c r="D505" s="103" t="s">
        <v>82</v>
      </c>
      <c r="E505" s="104">
        <v>12219</v>
      </c>
      <c r="F505" s="104">
        <v>465</v>
      </c>
      <c r="G505" s="104">
        <v>367</v>
      </c>
      <c r="H505" s="116">
        <v>12.759654631846722</v>
      </c>
      <c r="I505" s="126">
        <v>1015</v>
      </c>
      <c r="J505" s="117">
        <v>15.404351084482791</v>
      </c>
    </row>
    <row r="506" spans="1:10" ht="16">
      <c r="A506" s="93" t="s">
        <v>1097</v>
      </c>
      <c r="B506" s="94" t="s">
        <v>1081</v>
      </c>
      <c r="C506" s="95" t="s">
        <v>107</v>
      </c>
      <c r="D506" s="96" t="s">
        <v>80</v>
      </c>
      <c r="E506" s="97">
        <v>7158</v>
      </c>
      <c r="F506" s="97">
        <v>287</v>
      </c>
      <c r="G506" s="97">
        <v>286</v>
      </c>
      <c r="H506" s="114">
        <v>19.491992712805658</v>
      </c>
      <c r="I506" s="125">
        <v>857</v>
      </c>
      <c r="J506" s="115">
        <v>14.62204903285715</v>
      </c>
    </row>
    <row r="507" spans="1:10" ht="16">
      <c r="A507" s="100" t="s">
        <v>1098</v>
      </c>
      <c r="B507" s="101" t="s">
        <v>1081</v>
      </c>
      <c r="C507" s="102" t="s">
        <v>107</v>
      </c>
      <c r="D507" s="103" t="s">
        <v>92</v>
      </c>
      <c r="E507" s="104">
        <v>10161</v>
      </c>
      <c r="F507" s="104">
        <v>682</v>
      </c>
      <c r="G507" s="104">
        <v>508</v>
      </c>
      <c r="H507" s="116">
        <v>19.111474749527606</v>
      </c>
      <c r="I507" s="126">
        <v>2525</v>
      </c>
      <c r="J507" s="117">
        <v>19.944212494732156</v>
      </c>
    </row>
    <row r="508" spans="1:10" ht="16">
      <c r="A508" s="93" t="s">
        <v>1099</v>
      </c>
      <c r="B508" s="94" t="s">
        <v>1081</v>
      </c>
      <c r="C508" s="95" t="s">
        <v>107</v>
      </c>
      <c r="D508" s="96" t="s">
        <v>62</v>
      </c>
      <c r="E508" s="97">
        <v>15077</v>
      </c>
      <c r="F508" s="97">
        <v>1012</v>
      </c>
      <c r="G508" s="97">
        <v>754</v>
      </c>
      <c r="H508" s="114">
        <v>17.024637094148389</v>
      </c>
      <c r="I508" s="125">
        <v>3145</v>
      </c>
      <c r="J508" s="115">
        <v>21.716006841073181</v>
      </c>
    </row>
    <row r="509" spans="1:10" ht="16">
      <c r="A509" s="100" t="s">
        <v>1100</v>
      </c>
      <c r="B509" s="101" t="s">
        <v>1081</v>
      </c>
      <c r="C509" s="102" t="s">
        <v>76</v>
      </c>
      <c r="D509" s="103" t="s">
        <v>80</v>
      </c>
      <c r="E509" s="104">
        <v>10269</v>
      </c>
      <c r="F509" s="104">
        <v>567</v>
      </c>
      <c r="G509" s="104">
        <v>924</v>
      </c>
      <c r="H509" s="116">
        <v>25.315579702040402</v>
      </c>
      <c r="I509" s="126">
        <v>7168</v>
      </c>
      <c r="J509" s="117">
        <v>16.349394664572706</v>
      </c>
    </row>
    <row r="510" spans="1:10" ht="16">
      <c r="A510" s="93" t="s">
        <v>383</v>
      </c>
      <c r="B510" s="94" t="s">
        <v>377</v>
      </c>
      <c r="C510" s="95" t="s">
        <v>107</v>
      </c>
      <c r="D510" s="96" t="s">
        <v>84</v>
      </c>
      <c r="E510" s="97">
        <v>6173</v>
      </c>
      <c r="F510" s="97">
        <v>315</v>
      </c>
      <c r="G510" s="97">
        <v>1728</v>
      </c>
      <c r="H510" s="114">
        <v>25.807350091146134</v>
      </c>
      <c r="I510" s="125">
        <v>8642</v>
      </c>
      <c r="J510" s="115">
        <v>30.633150555678803</v>
      </c>
    </row>
    <row r="511" spans="1:10" ht="16">
      <c r="A511" s="100" t="s">
        <v>511</v>
      </c>
      <c r="B511" s="101" t="s">
        <v>474</v>
      </c>
      <c r="C511" s="102" t="s">
        <v>107</v>
      </c>
      <c r="D511" s="103" t="s">
        <v>63</v>
      </c>
      <c r="E511" s="104">
        <v>5851</v>
      </c>
      <c r="F511" s="104">
        <v>311</v>
      </c>
      <c r="G511" s="104">
        <v>234</v>
      </c>
      <c r="H511" s="116">
        <v>15.183679386383634</v>
      </c>
      <c r="I511" s="126">
        <v>6873</v>
      </c>
      <c r="J511" s="117">
        <v>27.074480249830742</v>
      </c>
    </row>
    <row r="512" spans="1:10" ht="16">
      <c r="A512" s="93" t="s">
        <v>512</v>
      </c>
      <c r="B512" s="94" t="s">
        <v>474</v>
      </c>
      <c r="C512" s="95" t="s">
        <v>107</v>
      </c>
      <c r="D512" s="96" t="s">
        <v>80</v>
      </c>
      <c r="E512" s="97">
        <v>6081</v>
      </c>
      <c r="F512" s="97">
        <v>318</v>
      </c>
      <c r="G512" s="97">
        <v>486</v>
      </c>
      <c r="H512" s="114">
        <v>18.141061020505205</v>
      </c>
      <c r="I512" s="125">
        <v>5775</v>
      </c>
      <c r="J512" s="115">
        <v>25.454326599149041</v>
      </c>
    </row>
    <row r="513" spans="1:10" ht="16">
      <c r="A513" s="100" t="s">
        <v>807</v>
      </c>
      <c r="B513" s="101" t="s">
        <v>798</v>
      </c>
      <c r="C513" s="102" t="s">
        <v>107</v>
      </c>
      <c r="D513" s="103" t="s">
        <v>63</v>
      </c>
      <c r="E513" s="104">
        <v>177983</v>
      </c>
      <c r="F513" s="104">
        <v>16480</v>
      </c>
      <c r="G513" s="104">
        <v>12385</v>
      </c>
      <c r="H513" s="116">
        <v>9.3839904645126069</v>
      </c>
      <c r="I513" s="126">
        <v>998</v>
      </c>
      <c r="J513" s="117">
        <v>17.663498178357369</v>
      </c>
    </row>
    <row r="514" spans="1:10" ht="16">
      <c r="A514" s="93" t="s">
        <v>934</v>
      </c>
      <c r="B514" s="94" t="s">
        <v>919</v>
      </c>
      <c r="C514" s="95" t="s">
        <v>107</v>
      </c>
      <c r="D514" s="96" t="s">
        <v>92</v>
      </c>
      <c r="E514" s="97">
        <v>6489</v>
      </c>
      <c r="F514" s="97">
        <v>601</v>
      </c>
      <c r="G514" s="97">
        <v>1557</v>
      </c>
      <c r="H514" s="114">
        <v>36.505946214406698</v>
      </c>
      <c r="I514" s="125">
        <v>12177</v>
      </c>
      <c r="J514" s="115">
        <v>38.316989663580685</v>
      </c>
    </row>
    <row r="515" spans="1:10" ht="16">
      <c r="A515" s="100" t="s">
        <v>935</v>
      </c>
      <c r="B515" s="101" t="s">
        <v>919</v>
      </c>
      <c r="C515" s="102" t="s">
        <v>76</v>
      </c>
      <c r="D515" s="103" t="s">
        <v>77</v>
      </c>
      <c r="E515" s="104">
        <v>9847</v>
      </c>
      <c r="F515" s="104">
        <v>1015</v>
      </c>
      <c r="G515" s="104">
        <v>689</v>
      </c>
      <c r="H515" s="116">
        <v>12.039716500689897</v>
      </c>
      <c r="I515" s="126">
        <v>3105</v>
      </c>
      <c r="J515" s="117">
        <v>20.82332566691559</v>
      </c>
    </row>
    <row r="516" spans="1:10" ht="16">
      <c r="A516" s="93" t="s">
        <v>1101</v>
      </c>
      <c r="B516" s="94" t="s">
        <v>1081</v>
      </c>
      <c r="C516" s="95" t="s">
        <v>107</v>
      </c>
      <c r="D516" s="96" t="s">
        <v>61</v>
      </c>
      <c r="E516" s="97">
        <v>9190</v>
      </c>
      <c r="F516" s="97">
        <v>696</v>
      </c>
      <c r="G516" s="97">
        <v>551</v>
      </c>
      <c r="H516" s="114">
        <v>28.855925267555687</v>
      </c>
      <c r="I516" s="125">
        <v>6220</v>
      </c>
      <c r="J516" s="115">
        <v>25.065933751260491</v>
      </c>
    </row>
    <row r="517" spans="1:10" ht="16">
      <c r="A517" s="100" t="s">
        <v>1102</v>
      </c>
      <c r="B517" s="101" t="s">
        <v>1081</v>
      </c>
      <c r="C517" s="102" t="s">
        <v>76</v>
      </c>
      <c r="D517" s="103" t="s">
        <v>84</v>
      </c>
      <c r="E517" s="104">
        <v>8645</v>
      </c>
      <c r="F517" s="104">
        <v>509</v>
      </c>
      <c r="G517" s="104">
        <v>346</v>
      </c>
      <c r="H517" s="116">
        <v>15.68015246606765</v>
      </c>
      <c r="I517" s="126">
        <v>3798</v>
      </c>
      <c r="J517" s="117">
        <v>20.290979783398587</v>
      </c>
    </row>
    <row r="518" spans="1:10" ht="16">
      <c r="A518" s="93" t="s">
        <v>1103</v>
      </c>
      <c r="B518" s="94" t="s">
        <v>1081</v>
      </c>
      <c r="C518" s="95" t="s">
        <v>107</v>
      </c>
      <c r="D518" s="96" t="s">
        <v>82</v>
      </c>
      <c r="E518" s="97">
        <v>9994</v>
      </c>
      <c r="F518" s="97">
        <v>629</v>
      </c>
      <c r="G518" s="97">
        <v>800</v>
      </c>
      <c r="H518" s="114">
        <v>20.542689014290868</v>
      </c>
      <c r="I518" s="125">
        <v>4624</v>
      </c>
      <c r="J518" s="115">
        <v>22.326089119477796</v>
      </c>
    </row>
    <row r="519" spans="1:10" ht="16">
      <c r="A519" s="100" t="s">
        <v>1104</v>
      </c>
      <c r="B519" s="101" t="s">
        <v>1081</v>
      </c>
      <c r="C519" s="102" t="s">
        <v>107</v>
      </c>
      <c r="D519" s="103" t="s">
        <v>130</v>
      </c>
      <c r="E519" s="104">
        <v>10789</v>
      </c>
      <c r="F519" s="104">
        <v>892</v>
      </c>
      <c r="G519" s="104">
        <v>2589</v>
      </c>
      <c r="H519" s="116">
        <v>37.649113587210998</v>
      </c>
      <c r="I519" s="126">
        <v>8550</v>
      </c>
      <c r="J519" s="117">
        <v>32.132013048713361</v>
      </c>
    </row>
    <row r="520" spans="1:10" ht="16">
      <c r="A520" s="93" t="s">
        <v>1105</v>
      </c>
      <c r="B520" s="94" t="s">
        <v>1081</v>
      </c>
      <c r="C520" s="95" t="s">
        <v>107</v>
      </c>
      <c r="D520" s="96" t="s">
        <v>84</v>
      </c>
      <c r="E520" s="97">
        <v>8652</v>
      </c>
      <c r="F520" s="97">
        <v>401</v>
      </c>
      <c r="G520" s="97">
        <v>779</v>
      </c>
      <c r="H520" s="114">
        <v>21.715808411827911</v>
      </c>
      <c r="I520" s="125">
        <v>3722</v>
      </c>
      <c r="J520" s="115">
        <v>18.685519149736741</v>
      </c>
    </row>
    <row r="521" spans="1:10" ht="16">
      <c r="A521" s="100" t="s">
        <v>1106</v>
      </c>
      <c r="B521" s="101" t="s">
        <v>1081</v>
      </c>
      <c r="C521" s="102" t="s">
        <v>107</v>
      </c>
      <c r="D521" s="103" t="s">
        <v>61</v>
      </c>
      <c r="E521" s="104">
        <v>27254</v>
      </c>
      <c r="F521" s="104">
        <v>2455</v>
      </c>
      <c r="G521" s="104">
        <v>2998</v>
      </c>
      <c r="H521" s="116">
        <v>62.942807436845392</v>
      </c>
      <c r="I521" s="126">
        <v>40258</v>
      </c>
      <c r="J521" s="117">
        <v>57.630339389928615</v>
      </c>
    </row>
    <row r="522" spans="1:10" ht="16">
      <c r="A522" s="93" t="s">
        <v>1107</v>
      </c>
      <c r="B522" s="94" t="s">
        <v>1081</v>
      </c>
      <c r="C522" s="95" t="s">
        <v>107</v>
      </c>
      <c r="D522" s="96" t="s">
        <v>60</v>
      </c>
      <c r="E522" s="97">
        <v>8340</v>
      </c>
      <c r="F522" s="97">
        <v>428</v>
      </c>
      <c r="G522" s="97">
        <v>1251</v>
      </c>
      <c r="H522" s="114">
        <v>42.259486453035933</v>
      </c>
      <c r="I522" s="125">
        <v>16535</v>
      </c>
      <c r="J522" s="115">
        <v>30.081211044656836</v>
      </c>
    </row>
    <row r="523" spans="1:10" ht="16">
      <c r="A523" s="100" t="s">
        <v>1180</v>
      </c>
      <c r="B523" s="101" t="s">
        <v>1178</v>
      </c>
      <c r="C523" s="102" t="s">
        <v>107</v>
      </c>
      <c r="D523" s="103" t="s">
        <v>59</v>
      </c>
      <c r="E523" s="104">
        <v>13411</v>
      </c>
      <c r="F523" s="104">
        <v>1597</v>
      </c>
      <c r="G523" s="104">
        <v>1207</v>
      </c>
      <c r="H523" s="116">
        <v>7.8413175251330927</v>
      </c>
      <c r="I523" s="126">
        <v>512</v>
      </c>
      <c r="J523" s="117">
        <v>19.717945643125876</v>
      </c>
    </row>
    <row r="524" spans="1:10" ht="16">
      <c r="A524" s="93" t="s">
        <v>452</v>
      </c>
      <c r="B524" s="94" t="s">
        <v>448</v>
      </c>
      <c r="C524" s="95" t="s">
        <v>107</v>
      </c>
      <c r="D524" s="96" t="s">
        <v>77</v>
      </c>
      <c r="E524" s="97">
        <v>14133</v>
      </c>
      <c r="F524" s="97">
        <v>686</v>
      </c>
      <c r="G524" s="97">
        <v>1131</v>
      </c>
      <c r="H524" s="114">
        <v>13.405414139212532</v>
      </c>
      <c r="I524" s="125">
        <v>5866</v>
      </c>
      <c r="J524" s="115">
        <v>23.568491807534659</v>
      </c>
    </row>
    <row r="525" spans="1:10" ht="16">
      <c r="A525" s="100" t="s">
        <v>1108</v>
      </c>
      <c r="B525" s="101" t="s">
        <v>1081</v>
      </c>
      <c r="C525" s="102" t="s">
        <v>107</v>
      </c>
      <c r="D525" s="103" t="s">
        <v>84</v>
      </c>
      <c r="E525" s="104">
        <v>14853</v>
      </c>
      <c r="F525" s="104">
        <v>825</v>
      </c>
      <c r="G525" s="104">
        <v>1485</v>
      </c>
      <c r="H525" s="116">
        <v>46.210814139792276</v>
      </c>
      <c r="I525" s="126">
        <v>23186</v>
      </c>
      <c r="J525" s="117">
        <v>36.27057075603922</v>
      </c>
    </row>
    <row r="526" spans="1:10" ht="16">
      <c r="A526" s="93" t="s">
        <v>306</v>
      </c>
      <c r="B526" s="94" t="s">
        <v>304</v>
      </c>
      <c r="C526" s="95" t="s">
        <v>107</v>
      </c>
      <c r="D526" s="96" t="s">
        <v>59</v>
      </c>
      <c r="E526" s="97">
        <v>52085</v>
      </c>
      <c r="F526" s="97">
        <v>2325</v>
      </c>
      <c r="G526" s="97">
        <v>521</v>
      </c>
      <c r="H526" s="114">
        <v>14.885607499341406</v>
      </c>
      <c r="I526" s="125">
        <v>3792</v>
      </c>
      <c r="J526" s="115">
        <v>19.209869605819591</v>
      </c>
    </row>
    <row r="527" spans="1:10" ht="16">
      <c r="A527" s="100" t="s">
        <v>85</v>
      </c>
      <c r="B527" s="101" t="s">
        <v>86</v>
      </c>
      <c r="C527" s="102" t="s">
        <v>76</v>
      </c>
      <c r="D527" s="103" t="s">
        <v>77</v>
      </c>
      <c r="E527" s="104">
        <v>46096</v>
      </c>
      <c r="F527" s="104">
        <v>4802</v>
      </c>
      <c r="G527" s="104">
        <v>922</v>
      </c>
      <c r="H527" s="116">
        <v>7.7459638656246925</v>
      </c>
      <c r="I527" s="126">
        <v>1887</v>
      </c>
      <c r="J527" s="117">
        <v>18.484438957202293</v>
      </c>
    </row>
    <row r="528" spans="1:10" ht="16">
      <c r="A528" s="93" t="s">
        <v>583</v>
      </c>
      <c r="B528" s="94" t="s">
        <v>581</v>
      </c>
      <c r="C528" s="95" t="s">
        <v>76</v>
      </c>
      <c r="D528" s="96" t="s">
        <v>130</v>
      </c>
      <c r="E528" s="97">
        <v>13911</v>
      </c>
      <c r="F528" s="97">
        <v>523</v>
      </c>
      <c r="G528" s="97">
        <v>2365</v>
      </c>
      <c r="H528" s="114">
        <v>30.834499374851681</v>
      </c>
      <c r="I528" s="125">
        <v>22912</v>
      </c>
      <c r="J528" s="115">
        <v>27.28002117742966</v>
      </c>
    </row>
    <row r="529" spans="1:10" ht="16">
      <c r="A529" s="100" t="s">
        <v>1109</v>
      </c>
      <c r="B529" s="101" t="s">
        <v>1081</v>
      </c>
      <c r="C529" s="102" t="s">
        <v>107</v>
      </c>
      <c r="D529" s="103" t="s">
        <v>59</v>
      </c>
      <c r="E529" s="104">
        <v>5550</v>
      </c>
      <c r="F529" s="104">
        <v>238</v>
      </c>
      <c r="G529" s="104">
        <v>222</v>
      </c>
      <c r="H529" s="116">
        <v>16.775845943201226</v>
      </c>
      <c r="I529" s="126">
        <v>998</v>
      </c>
      <c r="J529" s="117">
        <v>14.11087003410144</v>
      </c>
    </row>
    <row r="530" spans="1:10" ht="16">
      <c r="A530" s="93" t="s">
        <v>936</v>
      </c>
      <c r="B530" s="94" t="s">
        <v>919</v>
      </c>
      <c r="C530" s="95" t="s">
        <v>107</v>
      </c>
      <c r="D530" s="96" t="s">
        <v>61</v>
      </c>
      <c r="E530" s="97">
        <v>7090</v>
      </c>
      <c r="F530" s="97">
        <v>627</v>
      </c>
      <c r="G530" s="97">
        <v>1843</v>
      </c>
      <c r="H530" s="114">
        <v>24.333812457581796</v>
      </c>
      <c r="I530" s="125">
        <v>6924</v>
      </c>
      <c r="J530" s="115">
        <v>24.513413977979596</v>
      </c>
    </row>
    <row r="531" spans="1:10" ht="16">
      <c r="A531" s="100" t="s">
        <v>863</v>
      </c>
      <c r="B531" s="101" t="s">
        <v>858</v>
      </c>
      <c r="C531" s="102" t="s">
        <v>107</v>
      </c>
      <c r="D531" s="103" t="s">
        <v>61</v>
      </c>
      <c r="E531" s="104">
        <v>10645</v>
      </c>
      <c r="F531" s="104">
        <v>1314</v>
      </c>
      <c r="G531" s="104">
        <v>319</v>
      </c>
      <c r="H531" s="116">
        <v>12.251694753151577</v>
      </c>
      <c r="I531" s="126">
        <v>4194</v>
      </c>
      <c r="J531" s="117">
        <v>21.200271039085987</v>
      </c>
    </row>
    <row r="532" spans="1:10" ht="16">
      <c r="A532" s="93" t="s">
        <v>968</v>
      </c>
      <c r="B532" s="94" t="s">
        <v>967</v>
      </c>
      <c r="C532" s="95" t="s">
        <v>76</v>
      </c>
      <c r="D532" s="96" t="s">
        <v>77</v>
      </c>
      <c r="E532" s="97">
        <v>30869</v>
      </c>
      <c r="F532" s="97">
        <v>1725</v>
      </c>
      <c r="G532" s="97">
        <v>8643</v>
      </c>
      <c r="H532" s="114">
        <v>91.124892924033219</v>
      </c>
      <c r="I532" s="125">
        <v>69669</v>
      </c>
      <c r="J532" s="115">
        <v>77.188148512724936</v>
      </c>
    </row>
    <row r="533" spans="1:10" ht="16">
      <c r="A533" s="100" t="s">
        <v>87</v>
      </c>
      <c r="B533" s="101" t="s">
        <v>86</v>
      </c>
      <c r="C533" s="102" t="s">
        <v>76</v>
      </c>
      <c r="D533" s="103" t="s">
        <v>59</v>
      </c>
      <c r="E533" s="104">
        <v>20987</v>
      </c>
      <c r="F533" s="104">
        <v>1312</v>
      </c>
      <c r="G533" s="104">
        <v>2099</v>
      </c>
      <c r="H533" s="116">
        <v>8.1413110825202715</v>
      </c>
      <c r="I533" s="126">
        <v>616</v>
      </c>
      <c r="J533" s="117">
        <v>17.068534179248736</v>
      </c>
    </row>
    <row r="534" spans="1:10" ht="16">
      <c r="A534" s="93" t="s">
        <v>1110</v>
      </c>
      <c r="B534" s="94" t="s">
        <v>1081</v>
      </c>
      <c r="C534" s="95" t="s">
        <v>107</v>
      </c>
      <c r="D534" s="96" t="s">
        <v>77</v>
      </c>
      <c r="E534" s="97">
        <v>4258</v>
      </c>
      <c r="F534" s="97">
        <v>835</v>
      </c>
      <c r="G534" s="97">
        <v>85</v>
      </c>
      <c r="H534" s="114">
        <v>19.069121694761193</v>
      </c>
      <c r="I534" s="125">
        <v>11374</v>
      </c>
      <c r="J534" s="115">
        <v>39.300718269434512</v>
      </c>
    </row>
    <row r="535" spans="1:10" ht="16">
      <c r="A535" s="100" t="s">
        <v>1111</v>
      </c>
      <c r="B535" s="101" t="s">
        <v>1081</v>
      </c>
      <c r="C535" s="102" t="s">
        <v>107</v>
      </c>
      <c r="D535" s="103" t="s">
        <v>130</v>
      </c>
      <c r="E535" s="104">
        <v>9215</v>
      </c>
      <c r="F535" s="104">
        <v>370</v>
      </c>
      <c r="G535" s="104">
        <v>369</v>
      </c>
      <c r="H535" s="116">
        <v>26.93698733361828</v>
      </c>
      <c r="I535" s="126">
        <v>1986</v>
      </c>
      <c r="J535" s="117">
        <v>17.726548602427034</v>
      </c>
    </row>
    <row r="536" spans="1:10" ht="16">
      <c r="A536" s="93" t="s">
        <v>1339</v>
      </c>
      <c r="B536" s="94" t="s">
        <v>1288</v>
      </c>
      <c r="C536" s="95" t="s">
        <v>107</v>
      </c>
      <c r="D536" s="96" t="s">
        <v>92</v>
      </c>
      <c r="E536" s="97">
        <v>9279</v>
      </c>
      <c r="F536" s="97">
        <v>615</v>
      </c>
      <c r="G536" s="97">
        <v>1577</v>
      </c>
      <c r="H536" s="114">
        <v>19.878548219898658</v>
      </c>
      <c r="I536" s="125">
        <v>11283</v>
      </c>
      <c r="J536" s="115">
        <v>21.737094967464234</v>
      </c>
    </row>
    <row r="537" spans="1:10" ht="16">
      <c r="A537" s="100" t="s">
        <v>1340</v>
      </c>
      <c r="B537" s="101" t="s">
        <v>1288</v>
      </c>
      <c r="C537" s="102" t="s">
        <v>107</v>
      </c>
      <c r="D537" s="103" t="s">
        <v>62</v>
      </c>
      <c r="E537" s="104">
        <v>1809</v>
      </c>
      <c r="F537" s="104">
        <v>160</v>
      </c>
      <c r="G537" s="104">
        <v>145</v>
      </c>
      <c r="H537" s="116">
        <v>15.328250009444421</v>
      </c>
      <c r="I537" s="126">
        <v>10436</v>
      </c>
      <c r="J537" s="117">
        <v>23.007654409244466</v>
      </c>
    </row>
    <row r="538" spans="1:10" ht="16">
      <c r="A538" s="93" t="s">
        <v>1341</v>
      </c>
      <c r="B538" s="94" t="s">
        <v>1288</v>
      </c>
      <c r="C538" s="95" t="s">
        <v>76</v>
      </c>
      <c r="D538" s="96" t="s">
        <v>77</v>
      </c>
      <c r="E538" s="97">
        <v>12753</v>
      </c>
      <c r="F538" s="97">
        <v>773</v>
      </c>
      <c r="G538" s="97">
        <v>1020</v>
      </c>
      <c r="H538" s="114">
        <v>14.842284530333332</v>
      </c>
      <c r="I538" s="125">
        <v>8014</v>
      </c>
      <c r="J538" s="115">
        <v>21.625178580536495</v>
      </c>
    </row>
    <row r="539" spans="1:10" ht="16">
      <c r="A539" s="100" t="s">
        <v>1342</v>
      </c>
      <c r="B539" s="101" t="s">
        <v>1288</v>
      </c>
      <c r="C539" s="102" t="s">
        <v>76</v>
      </c>
      <c r="D539" s="103" t="s">
        <v>130</v>
      </c>
      <c r="E539" s="104">
        <v>44466</v>
      </c>
      <c r="F539" s="104">
        <v>4996</v>
      </c>
      <c r="G539" s="104">
        <v>14674</v>
      </c>
      <c r="H539" s="116">
        <v>77.534217921903576</v>
      </c>
      <c r="I539" s="126">
        <v>74879</v>
      </c>
      <c r="J539" s="117">
        <v>76.936791764393092</v>
      </c>
    </row>
    <row r="540" spans="1:10" ht="16">
      <c r="A540" s="93" t="s">
        <v>1222</v>
      </c>
      <c r="B540" s="94" t="s">
        <v>1190</v>
      </c>
      <c r="C540" s="95" t="s">
        <v>76</v>
      </c>
      <c r="D540" s="96" t="s">
        <v>92</v>
      </c>
      <c r="E540" s="97">
        <v>22691</v>
      </c>
      <c r="F540" s="97">
        <v>1609</v>
      </c>
      <c r="G540" s="97">
        <v>6127</v>
      </c>
      <c r="H540" s="114">
        <v>36.896134661212429</v>
      </c>
      <c r="I540" s="125">
        <v>31064</v>
      </c>
      <c r="J540" s="115">
        <v>31.79382745491181</v>
      </c>
    </row>
    <row r="541" spans="1:10" ht="16">
      <c r="A541" s="100" t="s">
        <v>884</v>
      </c>
      <c r="B541" s="101" t="s">
        <v>879</v>
      </c>
      <c r="C541" s="102" t="s">
        <v>76</v>
      </c>
      <c r="D541" s="103" t="s">
        <v>130</v>
      </c>
      <c r="E541" s="104">
        <v>22438</v>
      </c>
      <c r="F541" s="104">
        <v>2021</v>
      </c>
      <c r="G541" s="104">
        <v>449</v>
      </c>
      <c r="H541" s="116">
        <v>11.254795492901881</v>
      </c>
      <c r="I541" s="126">
        <v>2403</v>
      </c>
      <c r="J541" s="117">
        <v>18.836813524527411</v>
      </c>
    </row>
    <row r="542" spans="1:10" ht="16">
      <c r="A542" s="93" t="s">
        <v>693</v>
      </c>
      <c r="B542" s="94" t="s">
        <v>642</v>
      </c>
      <c r="C542" s="95" t="s">
        <v>107</v>
      </c>
      <c r="D542" s="96" t="s">
        <v>59</v>
      </c>
      <c r="E542" s="97">
        <v>12158</v>
      </c>
      <c r="F542" s="97">
        <v>1539</v>
      </c>
      <c r="G542" s="97">
        <v>243</v>
      </c>
      <c r="H542" s="114">
        <v>13.537031236446518</v>
      </c>
      <c r="I542" s="125">
        <v>5452</v>
      </c>
      <c r="J542" s="115">
        <v>24.579032420518079</v>
      </c>
    </row>
    <row r="543" spans="1:10" ht="16">
      <c r="A543" s="100" t="s">
        <v>694</v>
      </c>
      <c r="B543" s="101" t="s">
        <v>642</v>
      </c>
      <c r="C543" s="102" t="s">
        <v>107</v>
      </c>
      <c r="D543" s="103" t="s">
        <v>130</v>
      </c>
      <c r="E543" s="104">
        <v>850</v>
      </c>
      <c r="F543" s="104">
        <v>944</v>
      </c>
      <c r="G543" s="104">
        <v>59</v>
      </c>
      <c r="H543" s="116">
        <v>9.6402293449077732</v>
      </c>
      <c r="I543" s="126">
        <v>4940</v>
      </c>
      <c r="J543" s="117">
        <v>26.456223763010243</v>
      </c>
    </row>
    <row r="544" spans="1:10" ht="16">
      <c r="A544" s="93" t="s">
        <v>384</v>
      </c>
      <c r="B544" s="94" t="s">
        <v>377</v>
      </c>
      <c r="C544" s="95" t="s">
        <v>76</v>
      </c>
      <c r="D544" s="96" t="s">
        <v>92</v>
      </c>
      <c r="E544" s="97">
        <v>68013</v>
      </c>
      <c r="F544" s="97">
        <v>3350</v>
      </c>
      <c r="G544" s="97">
        <v>7481</v>
      </c>
      <c r="H544" s="114">
        <v>13.843558986183112</v>
      </c>
      <c r="I544" s="125">
        <v>5072</v>
      </c>
      <c r="J544" s="115">
        <v>17.408398432784438</v>
      </c>
    </row>
    <row r="545" spans="1:10" ht="16">
      <c r="A545" s="100" t="s">
        <v>1343</v>
      </c>
      <c r="B545" s="101" t="s">
        <v>1288</v>
      </c>
      <c r="C545" s="102" t="s">
        <v>107</v>
      </c>
      <c r="D545" s="103" t="s">
        <v>130</v>
      </c>
      <c r="E545" s="104">
        <v>30231</v>
      </c>
      <c r="F545" s="104">
        <v>2418</v>
      </c>
      <c r="G545" s="104">
        <v>4535</v>
      </c>
      <c r="H545" s="116">
        <v>35.660653270819076</v>
      </c>
      <c r="I545" s="126">
        <v>22967</v>
      </c>
      <c r="J545" s="117">
        <v>36.776354279320046</v>
      </c>
    </row>
    <row r="546" spans="1:10" ht="16">
      <c r="A546" s="93" t="s">
        <v>260</v>
      </c>
      <c r="B546" s="94" t="s">
        <v>223</v>
      </c>
      <c r="C546" s="95" t="s">
        <v>107</v>
      </c>
      <c r="D546" s="96" t="s">
        <v>84</v>
      </c>
      <c r="E546" s="97">
        <v>30733</v>
      </c>
      <c r="F546" s="97">
        <v>1851</v>
      </c>
      <c r="G546" s="97">
        <v>615</v>
      </c>
      <c r="H546" s="114">
        <v>12.122098375068742</v>
      </c>
      <c r="I546" s="125">
        <v>3432</v>
      </c>
      <c r="J546" s="115">
        <v>17.460717159672964</v>
      </c>
    </row>
    <row r="547" spans="1:10" ht="16">
      <c r="A547" s="100" t="s">
        <v>976</v>
      </c>
      <c r="B547" s="101" t="s">
        <v>977</v>
      </c>
      <c r="C547" s="102" t="s">
        <v>76</v>
      </c>
      <c r="D547" s="103" t="s">
        <v>59</v>
      </c>
      <c r="E547" s="104">
        <v>36749</v>
      </c>
      <c r="F547" s="104">
        <v>1229</v>
      </c>
      <c r="G547" s="104">
        <v>1470</v>
      </c>
      <c r="H547" s="116">
        <v>17.265269941592138</v>
      </c>
      <c r="I547" s="126">
        <v>12094</v>
      </c>
      <c r="J547" s="117">
        <v>20.169181203642228</v>
      </c>
    </row>
    <row r="548" spans="1:10" ht="16">
      <c r="A548" s="93" t="s">
        <v>261</v>
      </c>
      <c r="B548" s="94" t="s">
        <v>223</v>
      </c>
      <c r="C548" s="95" t="s">
        <v>76</v>
      </c>
      <c r="D548" s="96" t="s">
        <v>80</v>
      </c>
      <c r="E548" s="97">
        <v>25425</v>
      </c>
      <c r="F548" s="97">
        <v>1730</v>
      </c>
      <c r="G548" s="97">
        <v>509</v>
      </c>
      <c r="H548" s="114">
        <v>11.231297031894114</v>
      </c>
      <c r="I548" s="125">
        <v>5098</v>
      </c>
      <c r="J548" s="115">
        <v>24.468130209259542</v>
      </c>
    </row>
    <row r="549" spans="1:10" ht="16">
      <c r="A549" s="100" t="s">
        <v>262</v>
      </c>
      <c r="B549" s="101" t="s">
        <v>223</v>
      </c>
      <c r="C549" s="102" t="s">
        <v>76</v>
      </c>
      <c r="D549" s="103" t="s">
        <v>82</v>
      </c>
      <c r="E549" s="104">
        <v>36015</v>
      </c>
      <c r="F549" s="104">
        <v>2484</v>
      </c>
      <c r="G549" s="104">
        <v>1441</v>
      </c>
      <c r="H549" s="116">
        <v>22.254095365644368</v>
      </c>
      <c r="I549" s="126">
        <v>4356</v>
      </c>
      <c r="J549" s="117">
        <v>25.321750990079067</v>
      </c>
    </row>
    <row r="550" spans="1:10" ht="16">
      <c r="A550" s="93" t="s">
        <v>262</v>
      </c>
      <c r="B550" s="94" t="s">
        <v>1288</v>
      </c>
      <c r="C550" s="95" t="s">
        <v>107</v>
      </c>
      <c r="D550" s="96" t="s">
        <v>80</v>
      </c>
      <c r="E550" s="97">
        <v>19575</v>
      </c>
      <c r="F550" s="97">
        <v>1408</v>
      </c>
      <c r="G550" s="97">
        <v>6851</v>
      </c>
      <c r="H550" s="114">
        <v>28.727370279179933</v>
      </c>
      <c r="I550" s="125">
        <v>27261</v>
      </c>
      <c r="J550" s="115">
        <v>38.354449310971411</v>
      </c>
    </row>
    <row r="551" spans="1:10" ht="16">
      <c r="A551" s="100" t="s">
        <v>1344</v>
      </c>
      <c r="B551" s="101" t="s">
        <v>1288</v>
      </c>
      <c r="C551" s="102" t="s">
        <v>76</v>
      </c>
      <c r="D551" s="103" t="s">
        <v>80</v>
      </c>
      <c r="E551" s="104">
        <v>29684</v>
      </c>
      <c r="F551" s="104">
        <v>1056</v>
      </c>
      <c r="G551" s="104">
        <v>1484</v>
      </c>
      <c r="H551" s="116">
        <v>15.45949103029551</v>
      </c>
      <c r="I551" s="126">
        <v>12191</v>
      </c>
      <c r="J551" s="117">
        <v>21.040014434610729</v>
      </c>
    </row>
    <row r="552" spans="1:10" ht="16">
      <c r="A552" s="93" t="s">
        <v>1223</v>
      </c>
      <c r="B552" s="94" t="s">
        <v>1190</v>
      </c>
      <c r="C552" s="95" t="s">
        <v>76</v>
      </c>
      <c r="D552" s="96" t="s">
        <v>77</v>
      </c>
      <c r="E552" s="97">
        <v>21811</v>
      </c>
      <c r="F552" s="97">
        <v>1246</v>
      </c>
      <c r="G552" s="97">
        <v>3708</v>
      </c>
      <c r="H552" s="114">
        <v>18.923213526312239</v>
      </c>
      <c r="I552" s="125">
        <v>15538</v>
      </c>
      <c r="J552" s="115">
        <v>19.570068661793488</v>
      </c>
    </row>
    <row r="553" spans="1:10" ht="16">
      <c r="A553" s="100" t="s">
        <v>263</v>
      </c>
      <c r="B553" s="101" t="s">
        <v>223</v>
      </c>
      <c r="C553" s="102" t="s">
        <v>76</v>
      </c>
      <c r="D553" s="103" t="s">
        <v>61</v>
      </c>
      <c r="E553" s="104">
        <v>29327</v>
      </c>
      <c r="F553" s="104">
        <v>1917</v>
      </c>
      <c r="G553" s="104">
        <v>293</v>
      </c>
      <c r="H553" s="116">
        <v>13.641589549886625</v>
      </c>
      <c r="I553" s="126">
        <v>4977</v>
      </c>
      <c r="J553" s="117">
        <v>20.895891139800202</v>
      </c>
    </row>
    <row r="554" spans="1:10" ht="16">
      <c r="A554" s="93" t="s">
        <v>264</v>
      </c>
      <c r="B554" s="94" t="s">
        <v>223</v>
      </c>
      <c r="C554" s="95" t="s">
        <v>76</v>
      </c>
      <c r="D554" s="96" t="s">
        <v>77</v>
      </c>
      <c r="E554" s="97">
        <v>24237</v>
      </c>
      <c r="F554" s="97">
        <v>1638</v>
      </c>
      <c r="G554" s="97">
        <v>969</v>
      </c>
      <c r="H554" s="114">
        <v>12.763975289968883</v>
      </c>
      <c r="I554" s="125">
        <v>4824</v>
      </c>
      <c r="J554" s="115">
        <v>20.252885012600075</v>
      </c>
    </row>
    <row r="555" spans="1:10" ht="16">
      <c r="A555" s="100" t="s">
        <v>265</v>
      </c>
      <c r="B555" s="101" t="s">
        <v>223</v>
      </c>
      <c r="C555" s="102" t="s">
        <v>107</v>
      </c>
      <c r="D555" s="103" t="s">
        <v>130</v>
      </c>
      <c r="E555" s="104">
        <v>28432</v>
      </c>
      <c r="F555" s="104">
        <v>2045</v>
      </c>
      <c r="G555" s="104">
        <v>1137</v>
      </c>
      <c r="H555" s="116">
        <v>34.29901367856111</v>
      </c>
      <c r="I555" s="126">
        <v>13584</v>
      </c>
      <c r="J555" s="117">
        <v>26.541523673327838</v>
      </c>
    </row>
    <row r="556" spans="1:10" ht="16">
      <c r="A556" s="93" t="s">
        <v>1345</v>
      </c>
      <c r="B556" s="94" t="s">
        <v>1288</v>
      </c>
      <c r="C556" s="95" t="s">
        <v>107</v>
      </c>
      <c r="D556" s="96" t="s">
        <v>84</v>
      </c>
      <c r="E556" s="97">
        <v>17951</v>
      </c>
      <c r="F556" s="97">
        <v>1402</v>
      </c>
      <c r="G556" s="97">
        <v>3590</v>
      </c>
      <c r="H556" s="114">
        <v>84.454298386690382</v>
      </c>
      <c r="I556" s="125">
        <v>82111</v>
      </c>
      <c r="J556" s="115">
        <v>75.133008625491399</v>
      </c>
    </row>
    <row r="557" spans="1:10" ht="16">
      <c r="A557" s="100" t="s">
        <v>849</v>
      </c>
      <c r="B557" s="101" t="s">
        <v>850</v>
      </c>
      <c r="C557" s="102" t="s">
        <v>76</v>
      </c>
      <c r="D557" s="103" t="s">
        <v>59</v>
      </c>
      <c r="E557" s="104">
        <v>5790</v>
      </c>
      <c r="F557" s="104">
        <v>839</v>
      </c>
      <c r="G557" s="104">
        <v>1216</v>
      </c>
      <c r="H557" s="116">
        <v>10.970384549528989</v>
      </c>
      <c r="I557" s="126">
        <v>7060</v>
      </c>
      <c r="J557" s="117">
        <v>26.952878799488143</v>
      </c>
    </row>
    <row r="558" spans="1:10" ht="16">
      <c r="A558" s="93" t="s">
        <v>851</v>
      </c>
      <c r="B558" s="94" t="s">
        <v>850</v>
      </c>
      <c r="C558" s="95" t="s">
        <v>107</v>
      </c>
      <c r="D558" s="96" t="s">
        <v>84</v>
      </c>
      <c r="E558" s="97">
        <v>35181</v>
      </c>
      <c r="F558" s="97">
        <v>2227</v>
      </c>
      <c r="G558" s="97">
        <v>2814</v>
      </c>
      <c r="H558" s="114">
        <v>28.4746686014178</v>
      </c>
      <c r="I558" s="125">
        <v>18245</v>
      </c>
      <c r="J558" s="115">
        <v>27.171649975427457</v>
      </c>
    </row>
    <row r="559" spans="1:10" ht="16">
      <c r="A559" s="100" t="s">
        <v>1224</v>
      </c>
      <c r="B559" s="101" t="s">
        <v>1190</v>
      </c>
      <c r="C559" s="102" t="s">
        <v>76</v>
      </c>
      <c r="D559" s="103" t="s">
        <v>62</v>
      </c>
      <c r="E559" s="104">
        <v>24140</v>
      </c>
      <c r="F559" s="104">
        <v>1609</v>
      </c>
      <c r="G559" s="104">
        <v>4587</v>
      </c>
      <c r="H559" s="116">
        <v>13.147133701607713</v>
      </c>
      <c r="I559" s="126">
        <v>7727</v>
      </c>
      <c r="J559" s="117">
        <v>18.35064036237803</v>
      </c>
    </row>
    <row r="560" spans="1:10" ht="16">
      <c r="A560" s="93" t="s">
        <v>1346</v>
      </c>
      <c r="B560" s="94" t="s">
        <v>1288</v>
      </c>
      <c r="C560" s="95" t="s">
        <v>76</v>
      </c>
      <c r="D560" s="96" t="s">
        <v>63</v>
      </c>
      <c r="E560" s="97">
        <v>17785</v>
      </c>
      <c r="F560" s="97">
        <v>760</v>
      </c>
      <c r="G560" s="97">
        <v>1067</v>
      </c>
      <c r="H560" s="114">
        <v>10.510040033760413</v>
      </c>
      <c r="I560" s="125">
        <v>10330</v>
      </c>
      <c r="J560" s="115">
        <v>33.850441169781959</v>
      </c>
    </row>
    <row r="561" spans="1:10" ht="16">
      <c r="A561" s="100" t="s">
        <v>895</v>
      </c>
      <c r="B561" s="101" t="s">
        <v>893</v>
      </c>
      <c r="C561" s="102" t="s">
        <v>107</v>
      </c>
      <c r="D561" s="103" t="s">
        <v>82</v>
      </c>
      <c r="E561" s="104">
        <v>19694</v>
      </c>
      <c r="F561" s="104">
        <v>1088</v>
      </c>
      <c r="G561" s="104">
        <v>3348</v>
      </c>
      <c r="H561" s="116">
        <v>26.525444585720944</v>
      </c>
      <c r="I561" s="126">
        <v>12039</v>
      </c>
      <c r="J561" s="117">
        <v>25.038372359021263</v>
      </c>
    </row>
    <row r="562" spans="1:10" ht="16">
      <c r="A562" s="93" t="s">
        <v>937</v>
      </c>
      <c r="B562" s="94" t="s">
        <v>919</v>
      </c>
      <c r="C562" s="95" t="s">
        <v>107</v>
      </c>
      <c r="D562" s="96" t="s">
        <v>63</v>
      </c>
      <c r="E562" s="97">
        <v>11640</v>
      </c>
      <c r="F562" s="97">
        <v>1021</v>
      </c>
      <c r="G562" s="97">
        <v>2328</v>
      </c>
      <c r="H562" s="114">
        <v>13.406214508470203</v>
      </c>
      <c r="I562" s="125">
        <v>1943</v>
      </c>
      <c r="J562" s="115">
        <v>20.658601815947762</v>
      </c>
    </row>
    <row r="563" spans="1:10" ht="16">
      <c r="A563" s="100" t="s">
        <v>938</v>
      </c>
      <c r="B563" s="101" t="s">
        <v>919</v>
      </c>
      <c r="C563" s="102" t="s">
        <v>107</v>
      </c>
      <c r="D563" s="103" t="s">
        <v>80</v>
      </c>
      <c r="E563" s="104">
        <v>7123</v>
      </c>
      <c r="F563" s="104">
        <v>1149</v>
      </c>
      <c r="G563" s="104">
        <v>1425</v>
      </c>
      <c r="H563" s="116">
        <v>32.613393291246176</v>
      </c>
      <c r="I563" s="126">
        <v>9685</v>
      </c>
      <c r="J563" s="117">
        <v>43.468066401523416</v>
      </c>
    </row>
    <row r="564" spans="1:10" ht="16">
      <c r="A564" s="93" t="s">
        <v>1347</v>
      </c>
      <c r="B564" s="94" t="s">
        <v>1288</v>
      </c>
      <c r="C564" s="95" t="s">
        <v>76</v>
      </c>
      <c r="D564" s="96" t="s">
        <v>92</v>
      </c>
      <c r="E564" s="97">
        <v>15887</v>
      </c>
      <c r="F564" s="97">
        <v>841</v>
      </c>
      <c r="G564" s="97">
        <v>635</v>
      </c>
      <c r="H564" s="114">
        <v>13.179209238748188</v>
      </c>
      <c r="I564" s="125">
        <v>3132</v>
      </c>
      <c r="J564" s="115">
        <v>26.439417129801413</v>
      </c>
    </row>
    <row r="565" spans="1:10" ht="16">
      <c r="A565" s="100" t="s">
        <v>266</v>
      </c>
      <c r="B565" s="101" t="s">
        <v>223</v>
      </c>
      <c r="C565" s="102" t="s">
        <v>76</v>
      </c>
      <c r="D565" s="103" t="s">
        <v>130</v>
      </c>
      <c r="E565" s="104">
        <v>32059</v>
      </c>
      <c r="F565" s="104">
        <v>1832</v>
      </c>
      <c r="G565" s="104">
        <v>1282</v>
      </c>
      <c r="H565" s="116">
        <v>15.938818809881001</v>
      </c>
      <c r="I565" s="126">
        <v>4173</v>
      </c>
      <c r="J565" s="117">
        <v>20.402739886772089</v>
      </c>
    </row>
    <row r="566" spans="1:10" ht="16">
      <c r="A566" s="93" t="s">
        <v>695</v>
      </c>
      <c r="B566" s="94" t="s">
        <v>642</v>
      </c>
      <c r="C566" s="95" t="s">
        <v>107</v>
      </c>
      <c r="D566" s="96" t="s">
        <v>84</v>
      </c>
      <c r="E566" s="97">
        <v>2775</v>
      </c>
      <c r="F566" s="97">
        <v>188</v>
      </c>
      <c r="G566" s="97">
        <v>111</v>
      </c>
      <c r="H566" s="114">
        <v>12.711274735775273</v>
      </c>
      <c r="I566" s="125">
        <v>1720</v>
      </c>
      <c r="J566" s="115">
        <v>23.493383685151727</v>
      </c>
    </row>
    <row r="567" spans="1:10" ht="16">
      <c r="A567" s="100" t="s">
        <v>1348</v>
      </c>
      <c r="B567" s="101" t="s">
        <v>1288</v>
      </c>
      <c r="C567" s="102" t="s">
        <v>107</v>
      </c>
      <c r="D567" s="103" t="s">
        <v>62</v>
      </c>
      <c r="E567" s="104">
        <v>54372</v>
      </c>
      <c r="F567" s="104">
        <v>4350</v>
      </c>
      <c r="G567" s="104">
        <v>7068</v>
      </c>
      <c r="H567" s="116">
        <v>56.34013840631404</v>
      </c>
      <c r="I567" s="126">
        <v>49088</v>
      </c>
      <c r="J567" s="117">
        <v>58.120004432209804</v>
      </c>
    </row>
    <row r="568" spans="1:10" ht="16">
      <c r="A568" s="93" t="s">
        <v>1349</v>
      </c>
      <c r="B568" s="94" t="s">
        <v>1288</v>
      </c>
      <c r="C568" s="95" t="s">
        <v>76</v>
      </c>
      <c r="D568" s="96" t="s">
        <v>63</v>
      </c>
      <c r="E568" s="97">
        <v>25013</v>
      </c>
      <c r="F568" s="97">
        <v>1122</v>
      </c>
      <c r="G568" s="97">
        <v>1251</v>
      </c>
      <c r="H568" s="114">
        <v>18.156622878683486</v>
      </c>
      <c r="I568" s="125">
        <v>7635</v>
      </c>
      <c r="J568" s="115">
        <v>28.513724597023224</v>
      </c>
    </row>
    <row r="569" spans="1:10" ht="16">
      <c r="A569" s="100" t="s">
        <v>696</v>
      </c>
      <c r="B569" s="101" t="s">
        <v>642</v>
      </c>
      <c r="C569" s="102" t="s">
        <v>107</v>
      </c>
      <c r="D569" s="103" t="s">
        <v>84</v>
      </c>
      <c r="E569" s="104">
        <v>5693</v>
      </c>
      <c r="F569" s="104">
        <v>619</v>
      </c>
      <c r="G569" s="104">
        <v>57</v>
      </c>
      <c r="H569" s="116">
        <v>10.099966415189689</v>
      </c>
      <c r="I569" s="126">
        <v>1935</v>
      </c>
      <c r="J569" s="117">
        <v>19.983901319793073</v>
      </c>
    </row>
    <row r="570" spans="1:10" ht="16">
      <c r="A570" s="93" t="s">
        <v>697</v>
      </c>
      <c r="B570" s="94" t="s">
        <v>642</v>
      </c>
      <c r="C570" s="95" t="s">
        <v>107</v>
      </c>
      <c r="D570" s="96" t="s">
        <v>82</v>
      </c>
      <c r="E570" s="97">
        <v>13099</v>
      </c>
      <c r="F570" s="97">
        <v>1637</v>
      </c>
      <c r="G570" s="97">
        <v>1048</v>
      </c>
      <c r="H570" s="114">
        <v>17.435303612973748</v>
      </c>
      <c r="I570" s="125">
        <v>4547</v>
      </c>
      <c r="J570" s="115">
        <v>26.446987740962019</v>
      </c>
    </row>
    <row r="571" spans="1:10" ht="16">
      <c r="A571" s="100" t="s">
        <v>1350</v>
      </c>
      <c r="B571" s="101" t="s">
        <v>1288</v>
      </c>
      <c r="C571" s="102" t="s">
        <v>107</v>
      </c>
      <c r="D571" s="103" t="s">
        <v>82</v>
      </c>
      <c r="E571" s="104">
        <v>21494</v>
      </c>
      <c r="F571" s="104">
        <v>1360</v>
      </c>
      <c r="G571" s="104">
        <v>1505</v>
      </c>
      <c r="H571" s="116">
        <v>21.514874262194773</v>
      </c>
      <c r="I571" s="126">
        <v>15343</v>
      </c>
      <c r="J571" s="117">
        <v>24.314956929624501</v>
      </c>
    </row>
    <row r="572" spans="1:10" ht="16">
      <c r="A572" s="93" t="s">
        <v>1351</v>
      </c>
      <c r="B572" s="94" t="s">
        <v>1288</v>
      </c>
      <c r="C572" s="95" t="s">
        <v>76</v>
      </c>
      <c r="D572" s="96" t="s">
        <v>92</v>
      </c>
      <c r="E572" s="97">
        <v>18878</v>
      </c>
      <c r="F572" s="97">
        <v>1037</v>
      </c>
      <c r="G572" s="97">
        <v>566</v>
      </c>
      <c r="H572" s="114">
        <v>19.49383439118499</v>
      </c>
      <c r="I572" s="125">
        <v>10071</v>
      </c>
      <c r="J572" s="115">
        <v>23.519582814696268</v>
      </c>
    </row>
    <row r="573" spans="1:10" ht="16">
      <c r="A573" s="100" t="s">
        <v>1167</v>
      </c>
      <c r="B573" s="101" t="s">
        <v>1142</v>
      </c>
      <c r="C573" s="102" t="s">
        <v>76</v>
      </c>
      <c r="D573" s="103" t="s">
        <v>82</v>
      </c>
      <c r="E573" s="104">
        <v>36179</v>
      </c>
      <c r="F573" s="104">
        <v>1096</v>
      </c>
      <c r="G573" s="104">
        <v>2171</v>
      </c>
      <c r="H573" s="116">
        <v>9.2830854000704761</v>
      </c>
      <c r="I573" s="126">
        <v>610</v>
      </c>
      <c r="J573" s="117">
        <v>15.780735096933844</v>
      </c>
    </row>
    <row r="574" spans="1:10" ht="16">
      <c r="A574" s="93" t="s">
        <v>1025</v>
      </c>
      <c r="B574" s="94" t="s">
        <v>1020</v>
      </c>
      <c r="C574" s="95" t="s">
        <v>76</v>
      </c>
      <c r="D574" s="96" t="s">
        <v>80</v>
      </c>
      <c r="E574" s="97">
        <v>22962</v>
      </c>
      <c r="F574" s="97">
        <v>272</v>
      </c>
      <c r="G574" s="97">
        <v>459</v>
      </c>
      <c r="H574" s="114">
        <v>14.99006749679225</v>
      </c>
      <c r="I574" s="125">
        <v>10584</v>
      </c>
      <c r="J574" s="115">
        <v>17.148297931985621</v>
      </c>
    </row>
    <row r="575" spans="1:10" ht="16">
      <c r="A575" s="100" t="s">
        <v>1352</v>
      </c>
      <c r="B575" s="101" t="s">
        <v>1288</v>
      </c>
      <c r="C575" s="102" t="s">
        <v>76</v>
      </c>
      <c r="D575" s="103" t="s">
        <v>59</v>
      </c>
      <c r="E575" s="104">
        <v>2895</v>
      </c>
      <c r="F575" s="104">
        <v>2895</v>
      </c>
      <c r="G575" s="104">
        <v>87</v>
      </c>
      <c r="H575" s="116">
        <v>17.263493728692247</v>
      </c>
      <c r="I575" s="126">
        <v>16780</v>
      </c>
      <c r="J575" s="117">
        <v>36.33961525224354</v>
      </c>
    </row>
    <row r="576" spans="1:10" ht="16">
      <c r="A576" s="93" t="s">
        <v>1353</v>
      </c>
      <c r="B576" s="94" t="s">
        <v>1288</v>
      </c>
      <c r="C576" s="95" t="s">
        <v>107</v>
      </c>
      <c r="D576" s="96" t="s">
        <v>92</v>
      </c>
      <c r="E576" s="97">
        <v>24798</v>
      </c>
      <c r="F576" s="97">
        <v>1550</v>
      </c>
      <c r="G576" s="97">
        <v>2728</v>
      </c>
      <c r="H576" s="114">
        <v>30.71556617633858</v>
      </c>
      <c r="I576" s="125">
        <v>20300</v>
      </c>
      <c r="J576" s="115">
        <v>31.820611233186263</v>
      </c>
    </row>
    <row r="577" spans="1:10" ht="16">
      <c r="A577" s="100" t="s">
        <v>698</v>
      </c>
      <c r="B577" s="101" t="s">
        <v>642</v>
      </c>
      <c r="C577" s="102" t="s">
        <v>107</v>
      </c>
      <c r="D577" s="103" t="s">
        <v>62</v>
      </c>
      <c r="E577" s="104">
        <v>8279</v>
      </c>
      <c r="F577" s="104">
        <v>930</v>
      </c>
      <c r="G577" s="104">
        <v>331</v>
      </c>
      <c r="H577" s="116">
        <v>14.936231604293635</v>
      </c>
      <c r="I577" s="126">
        <v>3884</v>
      </c>
      <c r="J577" s="117">
        <v>25.723840167634645</v>
      </c>
    </row>
    <row r="578" spans="1:10" ht="16">
      <c r="A578" s="93" t="s">
        <v>699</v>
      </c>
      <c r="B578" s="94" t="s">
        <v>642</v>
      </c>
      <c r="C578" s="95" t="s">
        <v>107</v>
      </c>
      <c r="D578" s="96" t="s">
        <v>63</v>
      </c>
      <c r="E578" s="97">
        <v>1248</v>
      </c>
      <c r="F578" s="97">
        <v>462</v>
      </c>
      <c r="G578" s="97">
        <v>12</v>
      </c>
      <c r="H578" s="114">
        <v>11.109113228584944</v>
      </c>
      <c r="I578" s="125">
        <v>1381</v>
      </c>
      <c r="J578" s="115">
        <v>27.820317765138451</v>
      </c>
    </row>
    <row r="579" spans="1:10" ht="16">
      <c r="A579" s="100" t="s">
        <v>700</v>
      </c>
      <c r="B579" s="101" t="s">
        <v>642</v>
      </c>
      <c r="C579" s="102" t="s">
        <v>107</v>
      </c>
      <c r="D579" s="103" t="s">
        <v>63</v>
      </c>
      <c r="E579" s="104">
        <v>7746</v>
      </c>
      <c r="F579" s="104">
        <v>767</v>
      </c>
      <c r="G579" s="104">
        <v>310</v>
      </c>
      <c r="H579" s="116">
        <v>13.541175182139224</v>
      </c>
      <c r="I579" s="126">
        <v>2756</v>
      </c>
      <c r="J579" s="117">
        <v>22.726457838260771</v>
      </c>
    </row>
    <row r="580" spans="1:10" ht="16">
      <c r="A580" s="93" t="s">
        <v>701</v>
      </c>
      <c r="B580" s="94" t="s">
        <v>642</v>
      </c>
      <c r="C580" s="95" t="s">
        <v>107</v>
      </c>
      <c r="D580" s="96" t="s">
        <v>82</v>
      </c>
      <c r="E580" s="97">
        <v>22892</v>
      </c>
      <c r="F580" s="97">
        <v>3094</v>
      </c>
      <c r="G580" s="97">
        <v>2518</v>
      </c>
      <c r="H580" s="114">
        <v>49.857886670190204</v>
      </c>
      <c r="I580" s="125">
        <v>16960</v>
      </c>
      <c r="J580" s="115">
        <v>51.88388366109308</v>
      </c>
    </row>
    <row r="581" spans="1:10" ht="16">
      <c r="A581" s="100" t="s">
        <v>513</v>
      </c>
      <c r="B581" s="101" t="s">
        <v>474</v>
      </c>
      <c r="C581" s="102" t="s">
        <v>107</v>
      </c>
      <c r="D581" s="103" t="s">
        <v>77</v>
      </c>
      <c r="E581" s="104">
        <v>12454</v>
      </c>
      <c r="F581" s="104">
        <v>700</v>
      </c>
      <c r="G581" s="104">
        <v>249</v>
      </c>
      <c r="H581" s="116">
        <v>10.32254284694066</v>
      </c>
      <c r="I581" s="126">
        <v>3293</v>
      </c>
      <c r="J581" s="117">
        <v>36.949546333657779</v>
      </c>
    </row>
    <row r="582" spans="1:10" ht="16">
      <c r="A582" s="93" t="s">
        <v>1225</v>
      </c>
      <c r="B582" s="94" t="s">
        <v>1190</v>
      </c>
      <c r="C582" s="95" t="s">
        <v>76</v>
      </c>
      <c r="D582" s="96" t="s">
        <v>77</v>
      </c>
      <c r="E582" s="97">
        <v>13915</v>
      </c>
      <c r="F582" s="97">
        <v>859</v>
      </c>
      <c r="G582" s="97">
        <v>3896</v>
      </c>
      <c r="H582" s="114">
        <v>24.329144072979112</v>
      </c>
      <c r="I582" s="125">
        <v>9108</v>
      </c>
      <c r="J582" s="115">
        <v>29.129155612674968</v>
      </c>
    </row>
    <row r="583" spans="1:10" ht="16">
      <c r="A583" s="100" t="s">
        <v>1168</v>
      </c>
      <c r="B583" s="101" t="s">
        <v>1142</v>
      </c>
      <c r="C583" s="102" t="s">
        <v>76</v>
      </c>
      <c r="D583" s="103" t="s">
        <v>80</v>
      </c>
      <c r="E583" s="104">
        <v>47035</v>
      </c>
      <c r="F583" s="104">
        <v>2138</v>
      </c>
      <c r="G583" s="104">
        <v>1881</v>
      </c>
      <c r="H583" s="116">
        <v>13.942443115369889</v>
      </c>
      <c r="I583" s="126">
        <v>9353</v>
      </c>
      <c r="J583" s="117">
        <v>28.628587986202188</v>
      </c>
    </row>
    <row r="584" spans="1:10" ht="16">
      <c r="A584" s="93" t="s">
        <v>1169</v>
      </c>
      <c r="B584" s="94" t="s">
        <v>1142</v>
      </c>
      <c r="C584" s="95" t="s">
        <v>107</v>
      </c>
      <c r="D584" s="96" t="s">
        <v>62</v>
      </c>
      <c r="E584" s="97">
        <v>46705</v>
      </c>
      <c r="F584" s="97">
        <v>1698</v>
      </c>
      <c r="G584" s="97">
        <v>1401</v>
      </c>
      <c r="H584" s="114">
        <v>8.7431416047571098</v>
      </c>
      <c r="I584" s="125">
        <v>993</v>
      </c>
      <c r="J584" s="115">
        <v>12.161267179529151</v>
      </c>
    </row>
    <row r="585" spans="1:10" ht="16">
      <c r="A585" s="100" t="s">
        <v>1026</v>
      </c>
      <c r="B585" s="101" t="s">
        <v>1020</v>
      </c>
      <c r="C585" s="102" t="s">
        <v>76</v>
      </c>
      <c r="D585" s="103" t="s">
        <v>92</v>
      </c>
      <c r="E585" s="104">
        <v>12113</v>
      </c>
      <c r="F585" s="104">
        <v>841</v>
      </c>
      <c r="G585" s="104">
        <v>2180</v>
      </c>
      <c r="H585" s="116">
        <v>14.291085782597902</v>
      </c>
      <c r="I585" s="126">
        <v>6016</v>
      </c>
      <c r="J585" s="117">
        <v>22.409909128905454</v>
      </c>
    </row>
    <row r="586" spans="1:10" ht="16">
      <c r="A586" s="93" t="s">
        <v>514</v>
      </c>
      <c r="B586" s="94" t="s">
        <v>474</v>
      </c>
      <c r="C586" s="95" t="s">
        <v>107</v>
      </c>
      <c r="D586" s="96" t="s">
        <v>63</v>
      </c>
      <c r="E586" s="97">
        <v>19912</v>
      </c>
      <c r="F586" s="97">
        <v>851</v>
      </c>
      <c r="G586" s="97">
        <v>199</v>
      </c>
      <c r="H586" s="114">
        <v>15.198630967367357</v>
      </c>
      <c r="I586" s="125">
        <v>8237</v>
      </c>
      <c r="J586" s="115">
        <v>27.836142893541432</v>
      </c>
    </row>
    <row r="587" spans="1:10" ht="16">
      <c r="A587" s="100" t="s">
        <v>385</v>
      </c>
      <c r="B587" s="101" t="s">
        <v>377</v>
      </c>
      <c r="C587" s="102" t="s">
        <v>76</v>
      </c>
      <c r="D587" s="103" t="s">
        <v>63</v>
      </c>
      <c r="E587" s="104">
        <v>33434</v>
      </c>
      <c r="F587" s="104">
        <v>921</v>
      </c>
      <c r="G587" s="104">
        <v>5684</v>
      </c>
      <c r="H587" s="116">
        <v>17.519160905468254</v>
      </c>
      <c r="I587" s="126">
        <v>2398</v>
      </c>
      <c r="J587" s="117">
        <v>24.200941396964382</v>
      </c>
    </row>
    <row r="588" spans="1:10" ht="16">
      <c r="A588" s="93" t="s">
        <v>386</v>
      </c>
      <c r="B588" s="94" t="s">
        <v>377</v>
      </c>
      <c r="C588" s="95" t="s">
        <v>76</v>
      </c>
      <c r="D588" s="96" t="s">
        <v>80</v>
      </c>
      <c r="E588" s="97">
        <v>28726</v>
      </c>
      <c r="F588" s="97">
        <v>1981</v>
      </c>
      <c r="G588" s="97">
        <v>4883</v>
      </c>
      <c r="H588" s="114">
        <v>33.204989410402689</v>
      </c>
      <c r="I588" s="125">
        <v>27831</v>
      </c>
      <c r="J588" s="115">
        <v>34.607169580285131</v>
      </c>
    </row>
    <row r="589" spans="1:10" ht="16">
      <c r="A589" s="100" t="s">
        <v>267</v>
      </c>
      <c r="B589" s="101" t="s">
        <v>223</v>
      </c>
      <c r="C589" s="102" t="s">
        <v>107</v>
      </c>
      <c r="D589" s="103" t="s">
        <v>84</v>
      </c>
      <c r="E589" s="104">
        <v>39575</v>
      </c>
      <c r="F589" s="104">
        <v>3441</v>
      </c>
      <c r="G589" s="104">
        <v>5936</v>
      </c>
      <c r="H589" s="116">
        <v>90.956420369713413</v>
      </c>
      <c r="I589" s="126">
        <v>65932</v>
      </c>
      <c r="J589" s="117">
        <v>89.270708018427527</v>
      </c>
    </row>
    <row r="590" spans="1:10" ht="16">
      <c r="A590" s="93" t="s">
        <v>1354</v>
      </c>
      <c r="B590" s="94" t="s">
        <v>1288</v>
      </c>
      <c r="C590" s="95" t="s">
        <v>107</v>
      </c>
      <c r="D590" s="96" t="s">
        <v>77</v>
      </c>
      <c r="E590" s="97">
        <v>46204</v>
      </c>
      <c r="F590" s="97">
        <v>3020</v>
      </c>
      <c r="G590" s="97">
        <v>7393</v>
      </c>
      <c r="H590" s="114">
        <v>68.037841464356561</v>
      </c>
      <c r="I590" s="125">
        <v>50902</v>
      </c>
      <c r="J590" s="115">
        <v>55.23379891075917</v>
      </c>
    </row>
    <row r="591" spans="1:10" ht="16">
      <c r="A591" s="100" t="s">
        <v>939</v>
      </c>
      <c r="B591" s="101" t="s">
        <v>919</v>
      </c>
      <c r="C591" s="102" t="s">
        <v>107</v>
      </c>
      <c r="D591" s="103" t="s">
        <v>63</v>
      </c>
      <c r="E591" s="104">
        <v>8922</v>
      </c>
      <c r="F591" s="104">
        <v>991</v>
      </c>
      <c r="G591" s="104">
        <v>625</v>
      </c>
      <c r="H591" s="116">
        <v>11.182380959496712</v>
      </c>
      <c r="I591" s="126">
        <v>239</v>
      </c>
      <c r="J591" s="117">
        <v>19.480964741964502</v>
      </c>
    </row>
    <row r="592" spans="1:10" ht="16">
      <c r="A592" s="93" t="s">
        <v>940</v>
      </c>
      <c r="B592" s="94" t="s">
        <v>919</v>
      </c>
      <c r="C592" s="95" t="s">
        <v>76</v>
      </c>
      <c r="D592" s="96" t="s">
        <v>77</v>
      </c>
      <c r="E592" s="97">
        <v>9252</v>
      </c>
      <c r="F592" s="97">
        <v>881</v>
      </c>
      <c r="G592" s="97">
        <v>93</v>
      </c>
      <c r="H592" s="114">
        <v>10.576719764837817</v>
      </c>
      <c r="I592" s="125">
        <v>412</v>
      </c>
      <c r="J592" s="115">
        <v>18.817012399530608</v>
      </c>
    </row>
    <row r="593" spans="1:10" ht="16">
      <c r="A593" s="100" t="s">
        <v>941</v>
      </c>
      <c r="B593" s="101" t="s">
        <v>919</v>
      </c>
      <c r="C593" s="102" t="s">
        <v>107</v>
      </c>
      <c r="D593" s="103" t="s">
        <v>61</v>
      </c>
      <c r="E593" s="104">
        <v>18251</v>
      </c>
      <c r="F593" s="104">
        <v>2028</v>
      </c>
      <c r="G593" s="104">
        <v>5110</v>
      </c>
      <c r="H593" s="116">
        <v>16.524908479510394</v>
      </c>
      <c r="I593" s="126">
        <v>9924</v>
      </c>
      <c r="J593" s="117">
        <v>26.610312244876809</v>
      </c>
    </row>
    <row r="594" spans="1:10" ht="16">
      <c r="A594" s="93" t="s">
        <v>942</v>
      </c>
      <c r="B594" s="94" t="s">
        <v>919</v>
      </c>
      <c r="C594" s="95" t="s">
        <v>76</v>
      </c>
      <c r="D594" s="96" t="s">
        <v>84</v>
      </c>
      <c r="E594" s="97">
        <v>8078</v>
      </c>
      <c r="F594" s="97">
        <v>1282</v>
      </c>
      <c r="G594" s="97">
        <v>485</v>
      </c>
      <c r="H594" s="114">
        <v>10.256764303905863</v>
      </c>
      <c r="I594" s="125">
        <v>334</v>
      </c>
      <c r="J594" s="115">
        <v>23.77005640539705</v>
      </c>
    </row>
    <row r="595" spans="1:10" ht="16">
      <c r="A595" s="100" t="s">
        <v>864</v>
      </c>
      <c r="B595" s="101" t="s">
        <v>858</v>
      </c>
      <c r="C595" s="102" t="s">
        <v>107</v>
      </c>
      <c r="D595" s="103" t="s">
        <v>82</v>
      </c>
      <c r="E595" s="104">
        <v>12452</v>
      </c>
      <c r="F595" s="104">
        <v>239</v>
      </c>
      <c r="G595" s="104">
        <v>197</v>
      </c>
      <c r="H595" s="116">
        <v>9.3685044013845431</v>
      </c>
      <c r="I595" s="126">
        <v>1704</v>
      </c>
      <c r="J595" s="117">
        <v>13.959987022964148</v>
      </c>
    </row>
    <row r="596" spans="1:10" ht="16">
      <c r="A596" s="93" t="s">
        <v>1006</v>
      </c>
      <c r="B596" s="94" t="s">
        <v>988</v>
      </c>
      <c r="C596" s="95" t="s">
        <v>107</v>
      </c>
      <c r="D596" s="96" t="s">
        <v>84</v>
      </c>
      <c r="E596" s="97">
        <v>3215</v>
      </c>
      <c r="F596" s="97">
        <v>312</v>
      </c>
      <c r="G596" s="97">
        <v>96</v>
      </c>
      <c r="H596" s="114">
        <v>51.72460916395876</v>
      </c>
      <c r="I596" s="125">
        <v>36839</v>
      </c>
      <c r="J596" s="115">
        <v>52.45645043092081</v>
      </c>
    </row>
    <row r="597" spans="1:10" ht="16">
      <c r="A597" s="100" t="s">
        <v>896</v>
      </c>
      <c r="B597" s="101" t="s">
        <v>893</v>
      </c>
      <c r="C597" s="102" t="s">
        <v>107</v>
      </c>
      <c r="D597" s="103" t="s">
        <v>60</v>
      </c>
      <c r="E597" s="104">
        <v>18511</v>
      </c>
      <c r="F597" s="104">
        <v>1083</v>
      </c>
      <c r="G597" s="104">
        <v>1111</v>
      </c>
      <c r="H597" s="116">
        <v>9.6416592115678004</v>
      </c>
      <c r="I597" s="126">
        <v>4342</v>
      </c>
      <c r="J597" s="117">
        <v>14.38069174350894</v>
      </c>
    </row>
    <row r="598" spans="1:10" ht="16">
      <c r="A598" s="93" t="s">
        <v>602</v>
      </c>
      <c r="B598" s="94" t="s">
        <v>598</v>
      </c>
      <c r="C598" s="95" t="s">
        <v>107</v>
      </c>
      <c r="D598" s="96" t="s">
        <v>59</v>
      </c>
      <c r="E598" s="97">
        <v>6122</v>
      </c>
      <c r="F598" s="97">
        <v>251</v>
      </c>
      <c r="G598" s="97">
        <v>61</v>
      </c>
      <c r="H598" s="114">
        <v>22.102879293779658</v>
      </c>
      <c r="I598" s="125">
        <v>18673</v>
      </c>
      <c r="J598" s="115">
        <v>17.888536091672584</v>
      </c>
    </row>
    <row r="599" spans="1:10" ht="16">
      <c r="A599" s="100" t="s">
        <v>913</v>
      </c>
      <c r="B599" s="101" t="s">
        <v>909</v>
      </c>
      <c r="C599" s="102" t="s">
        <v>107</v>
      </c>
      <c r="D599" s="103" t="s">
        <v>82</v>
      </c>
      <c r="E599" s="104">
        <v>29437</v>
      </c>
      <c r="F599" s="104">
        <v>2181</v>
      </c>
      <c r="G599" s="104">
        <v>883</v>
      </c>
      <c r="H599" s="116">
        <v>10.157575545709362</v>
      </c>
      <c r="I599" s="126">
        <v>1387</v>
      </c>
      <c r="J599" s="117">
        <v>17.781943524705461</v>
      </c>
    </row>
    <row r="600" spans="1:10" ht="16">
      <c r="A600" s="93" t="s">
        <v>1027</v>
      </c>
      <c r="B600" s="94" t="s">
        <v>1020</v>
      </c>
      <c r="C600" s="95" t="s">
        <v>107</v>
      </c>
      <c r="D600" s="96" t="s">
        <v>130</v>
      </c>
      <c r="E600" s="97">
        <v>4749</v>
      </c>
      <c r="F600" s="97">
        <v>448</v>
      </c>
      <c r="G600" s="97">
        <v>285</v>
      </c>
      <c r="H600" s="114">
        <v>12.099973093601353</v>
      </c>
      <c r="I600" s="125">
        <v>2657</v>
      </c>
      <c r="J600" s="115">
        <v>22.765352910605753</v>
      </c>
    </row>
    <row r="601" spans="1:10" ht="16">
      <c r="A601" s="100" t="s">
        <v>1028</v>
      </c>
      <c r="B601" s="101" t="s">
        <v>1020</v>
      </c>
      <c r="C601" s="102" t="s">
        <v>107</v>
      </c>
      <c r="D601" s="103" t="s">
        <v>60</v>
      </c>
      <c r="E601" s="104">
        <v>25484</v>
      </c>
      <c r="F601" s="104">
        <v>2404</v>
      </c>
      <c r="G601" s="104">
        <v>4077</v>
      </c>
      <c r="H601" s="116">
        <v>17.921222656248165</v>
      </c>
      <c r="I601" s="126">
        <v>9871</v>
      </c>
      <c r="J601" s="117">
        <v>24.671547760619205</v>
      </c>
    </row>
    <row r="602" spans="1:10" ht="16">
      <c r="A602" s="93" t="s">
        <v>603</v>
      </c>
      <c r="B602" s="94" t="s">
        <v>598</v>
      </c>
      <c r="C602" s="95" t="s">
        <v>107</v>
      </c>
      <c r="D602" s="96" t="s">
        <v>62</v>
      </c>
      <c r="E602" s="97">
        <v>35184</v>
      </c>
      <c r="F602" s="97">
        <v>1407</v>
      </c>
      <c r="G602" s="97">
        <v>5981</v>
      </c>
      <c r="H602" s="114">
        <v>35.672377550465519</v>
      </c>
      <c r="I602" s="125">
        <v>21081</v>
      </c>
      <c r="J602" s="115">
        <v>33.986318226006475</v>
      </c>
    </row>
    <row r="603" spans="1:10" ht="16">
      <c r="A603" s="100" t="s">
        <v>914</v>
      </c>
      <c r="B603" s="101" t="s">
        <v>909</v>
      </c>
      <c r="C603" s="102" t="s">
        <v>107</v>
      </c>
      <c r="D603" s="103" t="s">
        <v>59</v>
      </c>
      <c r="E603" s="104">
        <v>12646</v>
      </c>
      <c r="F603" s="104">
        <v>620</v>
      </c>
      <c r="G603" s="104">
        <v>379</v>
      </c>
      <c r="H603" s="116">
        <v>8.7434235228152914</v>
      </c>
      <c r="I603" s="126">
        <v>1430</v>
      </c>
      <c r="J603" s="117">
        <v>14.787942965669387</v>
      </c>
    </row>
    <row r="604" spans="1:10" ht="16">
      <c r="A604" s="93" t="s">
        <v>604</v>
      </c>
      <c r="B604" s="94" t="s">
        <v>598</v>
      </c>
      <c r="C604" s="95" t="s">
        <v>107</v>
      </c>
      <c r="D604" s="96" t="s">
        <v>60</v>
      </c>
      <c r="E604" s="97">
        <v>31425</v>
      </c>
      <c r="F604" s="97">
        <v>878</v>
      </c>
      <c r="G604" s="97">
        <v>4085</v>
      </c>
      <c r="H604" s="114">
        <v>26.354629053762864</v>
      </c>
      <c r="I604" s="125">
        <v>14146</v>
      </c>
      <c r="J604" s="115">
        <v>26.428661347257492</v>
      </c>
    </row>
    <row r="605" spans="1:10" ht="16">
      <c r="A605" s="100" t="s">
        <v>1029</v>
      </c>
      <c r="B605" s="101" t="s">
        <v>1020</v>
      </c>
      <c r="C605" s="102" t="s">
        <v>107</v>
      </c>
      <c r="D605" s="103" t="s">
        <v>80</v>
      </c>
      <c r="E605" s="104">
        <v>21119</v>
      </c>
      <c r="F605" s="104">
        <v>2112</v>
      </c>
      <c r="G605" s="104">
        <v>2957</v>
      </c>
      <c r="H605" s="116">
        <v>12.519410623991844</v>
      </c>
      <c r="I605" s="126">
        <v>4968</v>
      </c>
      <c r="J605" s="117">
        <v>22.349307768026478</v>
      </c>
    </row>
    <row r="606" spans="1:10" ht="16">
      <c r="A606" s="93" t="s">
        <v>1030</v>
      </c>
      <c r="B606" s="94" t="s">
        <v>1020</v>
      </c>
      <c r="C606" s="95" t="s">
        <v>76</v>
      </c>
      <c r="D606" s="96" t="s">
        <v>61</v>
      </c>
      <c r="E606" s="97">
        <v>11636</v>
      </c>
      <c r="F606" s="97">
        <v>539</v>
      </c>
      <c r="G606" s="97">
        <v>1513</v>
      </c>
      <c r="H606" s="114">
        <v>40.354172994101368</v>
      </c>
      <c r="I606" s="125">
        <v>37977</v>
      </c>
      <c r="J606" s="115">
        <v>37.950049615827396</v>
      </c>
    </row>
    <row r="607" spans="1:10" ht="16">
      <c r="A607" s="100" t="s">
        <v>515</v>
      </c>
      <c r="B607" s="101" t="s">
        <v>474</v>
      </c>
      <c r="C607" s="102" t="s">
        <v>107</v>
      </c>
      <c r="D607" s="103" t="s">
        <v>82</v>
      </c>
      <c r="E607" s="104">
        <v>6107</v>
      </c>
      <c r="F607" s="104">
        <v>355</v>
      </c>
      <c r="G607" s="104">
        <v>61</v>
      </c>
      <c r="H607" s="116">
        <v>19.957235262143449</v>
      </c>
      <c r="I607" s="126">
        <v>3550</v>
      </c>
      <c r="J607" s="117">
        <v>36.862538679262613</v>
      </c>
    </row>
    <row r="608" spans="1:10" ht="16">
      <c r="A608" s="93" t="s">
        <v>215</v>
      </c>
      <c r="B608" s="94" t="s">
        <v>212</v>
      </c>
      <c r="C608" s="95" t="s">
        <v>76</v>
      </c>
      <c r="D608" s="96" t="s">
        <v>61</v>
      </c>
      <c r="E608" s="97">
        <v>28541</v>
      </c>
      <c r="F608" s="97">
        <v>1903</v>
      </c>
      <c r="G608" s="97">
        <v>1998</v>
      </c>
      <c r="H608" s="114">
        <v>29.114067516853375</v>
      </c>
      <c r="I608" s="125">
        <v>13859</v>
      </c>
      <c r="J608" s="115">
        <v>24.473696516451561</v>
      </c>
    </row>
    <row r="609" spans="1:10" ht="16">
      <c r="A609" s="100" t="s">
        <v>168</v>
      </c>
      <c r="B609" s="101" t="s">
        <v>150</v>
      </c>
      <c r="C609" s="102" t="s">
        <v>76</v>
      </c>
      <c r="D609" s="103" t="s">
        <v>62</v>
      </c>
      <c r="E609" s="104">
        <v>34101</v>
      </c>
      <c r="F609" s="104">
        <v>1601</v>
      </c>
      <c r="G609" s="104">
        <v>1705</v>
      </c>
      <c r="H609" s="116">
        <v>8.3519130885114414</v>
      </c>
      <c r="I609" s="126">
        <v>542</v>
      </c>
      <c r="J609" s="117">
        <v>15.989020622168333</v>
      </c>
    </row>
    <row r="610" spans="1:10" ht="16">
      <c r="A610" s="93" t="s">
        <v>872</v>
      </c>
      <c r="B610" s="94" t="s">
        <v>873</v>
      </c>
      <c r="C610" s="95" t="s">
        <v>107</v>
      </c>
      <c r="D610" s="96" t="s">
        <v>62</v>
      </c>
      <c r="E610" s="97">
        <v>24984</v>
      </c>
      <c r="F610" s="97">
        <v>3331</v>
      </c>
      <c r="G610" s="97">
        <v>750</v>
      </c>
      <c r="H610" s="114">
        <v>9.5527492619682626</v>
      </c>
      <c r="I610" s="125">
        <v>3007</v>
      </c>
      <c r="J610" s="115">
        <v>19.96683237464655</v>
      </c>
    </row>
    <row r="611" spans="1:10" ht="16">
      <c r="A611" s="100" t="s">
        <v>169</v>
      </c>
      <c r="B611" s="101" t="s">
        <v>150</v>
      </c>
      <c r="C611" s="102" t="s">
        <v>76</v>
      </c>
      <c r="D611" s="103" t="s">
        <v>60</v>
      </c>
      <c r="E611" s="104">
        <v>15581</v>
      </c>
      <c r="F611" s="104">
        <v>711</v>
      </c>
      <c r="G611" s="104">
        <v>779</v>
      </c>
      <c r="H611" s="116">
        <v>26.318156516492685</v>
      </c>
      <c r="I611" s="126">
        <v>7260</v>
      </c>
      <c r="J611" s="117">
        <v>27.70475297620662</v>
      </c>
    </row>
    <row r="612" spans="1:10" ht="16">
      <c r="A612" s="93" t="s">
        <v>170</v>
      </c>
      <c r="B612" s="94" t="s">
        <v>150</v>
      </c>
      <c r="C612" s="95" t="s">
        <v>107</v>
      </c>
      <c r="D612" s="96" t="s">
        <v>60</v>
      </c>
      <c r="E612" s="97">
        <v>16750</v>
      </c>
      <c r="F612" s="97">
        <v>735</v>
      </c>
      <c r="G612" s="97">
        <v>1153</v>
      </c>
      <c r="H612" s="114">
        <v>14.103833774698701</v>
      </c>
      <c r="I612" s="125">
        <v>5617</v>
      </c>
      <c r="J612" s="115">
        <v>19.018190853231271</v>
      </c>
    </row>
    <row r="613" spans="1:10" ht="16">
      <c r="A613" s="100" t="s">
        <v>307</v>
      </c>
      <c r="B613" s="101" t="s">
        <v>304</v>
      </c>
      <c r="C613" s="102" t="s">
        <v>76</v>
      </c>
      <c r="D613" s="103" t="s">
        <v>84</v>
      </c>
      <c r="E613" s="104">
        <v>30048</v>
      </c>
      <c r="F613" s="104">
        <v>1951</v>
      </c>
      <c r="G613" s="104">
        <v>300</v>
      </c>
      <c r="H613" s="116">
        <v>9.3227497849631025</v>
      </c>
      <c r="I613" s="126">
        <v>8962</v>
      </c>
      <c r="J613" s="117">
        <v>15.669281953893352</v>
      </c>
    </row>
    <row r="614" spans="1:10" ht="16">
      <c r="A614" s="93" t="s">
        <v>1355</v>
      </c>
      <c r="B614" s="94" t="s">
        <v>1288</v>
      </c>
      <c r="C614" s="95" t="s">
        <v>76</v>
      </c>
      <c r="D614" s="96" t="s">
        <v>80</v>
      </c>
      <c r="E614" s="97">
        <v>20219</v>
      </c>
      <c r="F614" s="97">
        <v>1099</v>
      </c>
      <c r="G614" s="97">
        <v>1820</v>
      </c>
      <c r="H614" s="114">
        <v>19.044641883453505</v>
      </c>
      <c r="I614" s="125">
        <v>8247</v>
      </c>
      <c r="J614" s="115">
        <v>21.89132788739515</v>
      </c>
    </row>
    <row r="615" spans="1:10" ht="16">
      <c r="A615" s="100" t="s">
        <v>1129</v>
      </c>
      <c r="B615" s="101" t="s">
        <v>1120</v>
      </c>
      <c r="C615" s="102" t="s">
        <v>76</v>
      </c>
      <c r="D615" s="103" t="s">
        <v>80</v>
      </c>
      <c r="E615" s="104">
        <v>39257</v>
      </c>
      <c r="F615" s="104">
        <v>2485</v>
      </c>
      <c r="G615" s="104">
        <v>785</v>
      </c>
      <c r="H615" s="116">
        <v>10.468774758901269</v>
      </c>
      <c r="I615" s="126">
        <v>1882</v>
      </c>
      <c r="J615" s="117">
        <v>18.614990410330773</v>
      </c>
    </row>
    <row r="616" spans="1:10" ht="16">
      <c r="A616" s="93" t="s">
        <v>1356</v>
      </c>
      <c r="B616" s="94" t="s">
        <v>1288</v>
      </c>
      <c r="C616" s="95" t="s">
        <v>107</v>
      </c>
      <c r="D616" s="96" t="s">
        <v>80</v>
      </c>
      <c r="E616" s="97">
        <v>7983</v>
      </c>
      <c r="F616" s="97">
        <v>986</v>
      </c>
      <c r="G616" s="97">
        <v>1996</v>
      </c>
      <c r="H616" s="114">
        <v>96.603713796341495</v>
      </c>
      <c r="I616" s="125">
        <v>95238</v>
      </c>
      <c r="J616" s="115">
        <v>91.138437765082813</v>
      </c>
    </row>
    <row r="617" spans="1:10" ht="16">
      <c r="A617" s="100" t="s">
        <v>516</v>
      </c>
      <c r="B617" s="101" t="s">
        <v>474</v>
      </c>
      <c r="C617" s="102" t="s">
        <v>107</v>
      </c>
      <c r="D617" s="103" t="s">
        <v>59</v>
      </c>
      <c r="E617" s="104">
        <v>8325</v>
      </c>
      <c r="F617" s="104">
        <v>570</v>
      </c>
      <c r="G617" s="104">
        <v>186</v>
      </c>
      <c r="H617" s="116">
        <v>10.464468279131578</v>
      </c>
      <c r="I617" s="126">
        <v>1287</v>
      </c>
      <c r="J617" s="117">
        <v>20.5558198987734</v>
      </c>
    </row>
    <row r="618" spans="1:10" ht="16">
      <c r="A618" s="93" t="s">
        <v>1357</v>
      </c>
      <c r="B618" s="94" t="s">
        <v>1288</v>
      </c>
      <c r="C618" s="95" t="s">
        <v>107</v>
      </c>
      <c r="D618" s="96" t="s">
        <v>84</v>
      </c>
      <c r="E618" s="97">
        <v>40451</v>
      </c>
      <c r="F618" s="97">
        <v>2576</v>
      </c>
      <c r="G618" s="97">
        <v>9304</v>
      </c>
      <c r="H618" s="114">
        <v>66.636777996035335</v>
      </c>
      <c r="I618" s="125">
        <v>41971</v>
      </c>
      <c r="J618" s="115">
        <v>58.047626637853725</v>
      </c>
    </row>
    <row r="619" spans="1:10" ht="16">
      <c r="A619" s="100" t="s">
        <v>1007</v>
      </c>
      <c r="B619" s="101" t="s">
        <v>988</v>
      </c>
      <c r="C619" s="102" t="s">
        <v>107</v>
      </c>
      <c r="D619" s="103" t="s">
        <v>62</v>
      </c>
      <c r="E619" s="104">
        <v>24331</v>
      </c>
      <c r="F619" s="104">
        <v>1330</v>
      </c>
      <c r="G619" s="104">
        <v>2676</v>
      </c>
      <c r="H619" s="116">
        <v>30.483081960446373</v>
      </c>
      <c r="I619" s="126">
        <v>7522</v>
      </c>
      <c r="J619" s="117">
        <v>27.221330032390586</v>
      </c>
    </row>
    <row r="620" spans="1:10" ht="16">
      <c r="A620" s="93" t="s">
        <v>906</v>
      </c>
      <c r="B620" s="94" t="s">
        <v>907</v>
      </c>
      <c r="C620" s="95" t="s">
        <v>76</v>
      </c>
      <c r="D620" s="96" t="s">
        <v>82</v>
      </c>
      <c r="E620" s="97">
        <v>15585</v>
      </c>
      <c r="F620" s="97">
        <v>901</v>
      </c>
      <c r="G620" s="97">
        <v>5922</v>
      </c>
      <c r="H620" s="114">
        <v>27.218502861317219</v>
      </c>
      <c r="I620" s="125">
        <v>17695</v>
      </c>
      <c r="J620" s="115">
        <v>20.284053371183298</v>
      </c>
    </row>
    <row r="621" spans="1:10" ht="16">
      <c r="A621" s="100" t="s">
        <v>865</v>
      </c>
      <c r="B621" s="101" t="s">
        <v>858</v>
      </c>
      <c r="C621" s="102" t="s">
        <v>76</v>
      </c>
      <c r="D621" s="103" t="s">
        <v>82</v>
      </c>
      <c r="E621" s="104">
        <v>14694</v>
      </c>
      <c r="F621" s="104">
        <v>593</v>
      </c>
      <c r="G621" s="104">
        <v>147</v>
      </c>
      <c r="H621" s="116">
        <v>19.063543814413013</v>
      </c>
      <c r="I621" s="126">
        <v>15294</v>
      </c>
      <c r="J621" s="117">
        <v>21.085243777275835</v>
      </c>
    </row>
    <row r="622" spans="1:10" ht="16">
      <c r="A622" s="93" t="s">
        <v>1226</v>
      </c>
      <c r="B622" s="94" t="s">
        <v>1190</v>
      </c>
      <c r="C622" s="95" t="s">
        <v>76</v>
      </c>
      <c r="D622" s="96" t="s">
        <v>62</v>
      </c>
      <c r="E622" s="97">
        <v>17799</v>
      </c>
      <c r="F622" s="97">
        <v>1262</v>
      </c>
      <c r="G622" s="97">
        <v>7654</v>
      </c>
      <c r="H622" s="114">
        <v>43.458262845678611</v>
      </c>
      <c r="I622" s="125">
        <v>42326</v>
      </c>
      <c r="J622" s="115">
        <v>35.827962195657925</v>
      </c>
    </row>
    <row r="623" spans="1:10" ht="16">
      <c r="A623" s="100" t="s">
        <v>105</v>
      </c>
      <c r="B623" s="101" t="s">
        <v>89</v>
      </c>
      <c r="C623" s="102" t="s">
        <v>76</v>
      </c>
      <c r="D623" s="103" t="s">
        <v>92</v>
      </c>
      <c r="E623" s="104">
        <v>34871</v>
      </c>
      <c r="F623" s="104">
        <v>913</v>
      </c>
      <c r="G623" s="104">
        <v>5579</v>
      </c>
      <c r="H623" s="116">
        <v>40.624434600780383</v>
      </c>
      <c r="I623" s="126">
        <v>34967</v>
      </c>
      <c r="J623" s="117">
        <v>32.673627740970261</v>
      </c>
    </row>
    <row r="624" spans="1:10" ht="16">
      <c r="A624" s="93" t="s">
        <v>825</v>
      </c>
      <c r="B624" s="94" t="s">
        <v>820</v>
      </c>
      <c r="C624" s="95" t="s">
        <v>76</v>
      </c>
      <c r="D624" s="96" t="s">
        <v>130</v>
      </c>
      <c r="E624" s="97">
        <v>20024</v>
      </c>
      <c r="F624" s="97">
        <v>1144</v>
      </c>
      <c r="G624" s="97">
        <v>2803</v>
      </c>
      <c r="H624" s="114">
        <v>50.210440224950815</v>
      </c>
      <c r="I624" s="125">
        <v>44129</v>
      </c>
      <c r="J624" s="115">
        <v>36.679066728480528</v>
      </c>
    </row>
    <row r="625" spans="1:10" ht="16">
      <c r="A625" s="100" t="s">
        <v>268</v>
      </c>
      <c r="B625" s="101" t="s">
        <v>223</v>
      </c>
      <c r="C625" s="102" t="s">
        <v>76</v>
      </c>
      <c r="D625" s="103" t="s">
        <v>63</v>
      </c>
      <c r="E625" s="104">
        <v>25590</v>
      </c>
      <c r="F625" s="104">
        <v>2047</v>
      </c>
      <c r="G625" s="104">
        <v>1535</v>
      </c>
      <c r="H625" s="116">
        <v>21.638118181905703</v>
      </c>
      <c r="I625" s="126">
        <v>10117</v>
      </c>
      <c r="J625" s="117">
        <v>43.006846173647212</v>
      </c>
    </row>
    <row r="626" spans="1:10" ht="16">
      <c r="A626" s="93" t="s">
        <v>1358</v>
      </c>
      <c r="B626" s="94" t="s">
        <v>1288</v>
      </c>
      <c r="C626" s="95" t="s">
        <v>107</v>
      </c>
      <c r="D626" s="96" t="s">
        <v>130</v>
      </c>
      <c r="E626" s="97">
        <v>7798</v>
      </c>
      <c r="F626" s="97">
        <v>500</v>
      </c>
      <c r="G626" s="97">
        <v>1560</v>
      </c>
      <c r="H626" s="114">
        <v>29.539828216510948</v>
      </c>
      <c r="I626" s="125">
        <v>16967</v>
      </c>
      <c r="J626" s="115">
        <v>30.022929061814374</v>
      </c>
    </row>
    <row r="627" spans="1:10" ht="16">
      <c r="A627" s="100" t="s">
        <v>1359</v>
      </c>
      <c r="B627" s="101" t="s">
        <v>1288</v>
      </c>
      <c r="C627" s="102" t="s">
        <v>107</v>
      </c>
      <c r="D627" s="103" t="s">
        <v>82</v>
      </c>
      <c r="E627" s="104">
        <v>6667</v>
      </c>
      <c r="F627" s="104">
        <v>749</v>
      </c>
      <c r="G627" s="104">
        <v>1867</v>
      </c>
      <c r="H627" s="116">
        <v>39.766853236420381</v>
      </c>
      <c r="I627" s="126">
        <v>37287</v>
      </c>
      <c r="J627" s="117">
        <v>49.475734339415396</v>
      </c>
    </row>
    <row r="628" spans="1:10" ht="16">
      <c r="A628" s="93" t="s">
        <v>767</v>
      </c>
      <c r="B628" s="94" t="s">
        <v>766</v>
      </c>
      <c r="C628" s="95" t="s">
        <v>107</v>
      </c>
      <c r="D628" s="96" t="s">
        <v>77</v>
      </c>
      <c r="E628" s="97">
        <v>10805</v>
      </c>
      <c r="F628" s="97">
        <v>363</v>
      </c>
      <c r="G628" s="97">
        <v>1189</v>
      </c>
      <c r="H628" s="114">
        <v>18.285668041393677</v>
      </c>
      <c r="I628" s="125">
        <v>3620</v>
      </c>
      <c r="J628" s="115">
        <v>19.589803341867604</v>
      </c>
    </row>
    <row r="629" spans="1:10" ht="16">
      <c r="A629" s="100" t="s">
        <v>702</v>
      </c>
      <c r="B629" s="101" t="s">
        <v>642</v>
      </c>
      <c r="C629" s="102" t="s">
        <v>76</v>
      </c>
      <c r="D629" s="103" t="s">
        <v>60</v>
      </c>
      <c r="E629" s="104">
        <v>20183</v>
      </c>
      <c r="F629" s="104">
        <v>1431</v>
      </c>
      <c r="G629" s="104">
        <v>807</v>
      </c>
      <c r="H629" s="116">
        <v>9.3757455532086915</v>
      </c>
      <c r="I629" s="126">
        <v>4308</v>
      </c>
      <c r="J629" s="117">
        <v>17.146660188945908</v>
      </c>
    </row>
    <row r="630" spans="1:10" ht="16">
      <c r="A630" s="93" t="s">
        <v>171</v>
      </c>
      <c r="B630" s="94" t="s">
        <v>150</v>
      </c>
      <c r="C630" s="95" t="s">
        <v>76</v>
      </c>
      <c r="D630" s="96" t="s">
        <v>80</v>
      </c>
      <c r="E630" s="97">
        <v>22879</v>
      </c>
      <c r="F630" s="97">
        <v>2571</v>
      </c>
      <c r="G630" s="97">
        <v>1144</v>
      </c>
      <c r="H630" s="114">
        <v>11.534690711038724</v>
      </c>
      <c r="I630" s="125">
        <v>1673</v>
      </c>
      <c r="J630" s="115">
        <v>24.296970259476851</v>
      </c>
    </row>
    <row r="631" spans="1:10" ht="16">
      <c r="A631" s="100" t="s">
        <v>703</v>
      </c>
      <c r="B631" s="101" t="s">
        <v>642</v>
      </c>
      <c r="C631" s="102" t="s">
        <v>107</v>
      </c>
      <c r="D631" s="103" t="s">
        <v>59</v>
      </c>
      <c r="E631" s="104">
        <v>34413</v>
      </c>
      <c r="F631" s="104">
        <v>1880</v>
      </c>
      <c r="G631" s="104">
        <v>2065</v>
      </c>
      <c r="H631" s="116">
        <v>14.18310484049409</v>
      </c>
      <c r="I631" s="126">
        <v>2258</v>
      </c>
      <c r="J631" s="117">
        <v>19.966107361612792</v>
      </c>
    </row>
    <row r="632" spans="1:10" ht="16">
      <c r="A632" s="93" t="s">
        <v>106</v>
      </c>
      <c r="B632" s="94" t="s">
        <v>89</v>
      </c>
      <c r="C632" s="95" t="s">
        <v>107</v>
      </c>
      <c r="D632" s="96" t="s">
        <v>61</v>
      </c>
      <c r="E632" s="97">
        <v>33848</v>
      </c>
      <c r="F632" s="97">
        <v>1511</v>
      </c>
      <c r="G632" s="97">
        <v>10154</v>
      </c>
      <c r="H632" s="114">
        <v>26.76212287886279</v>
      </c>
      <c r="I632" s="125">
        <v>16939</v>
      </c>
      <c r="J632" s="115">
        <v>26.12123730522131</v>
      </c>
    </row>
    <row r="633" spans="1:10" ht="16">
      <c r="A633" s="100" t="s">
        <v>1227</v>
      </c>
      <c r="B633" s="101" t="s">
        <v>1190</v>
      </c>
      <c r="C633" s="102" t="s">
        <v>76</v>
      </c>
      <c r="D633" s="103" t="s">
        <v>130</v>
      </c>
      <c r="E633" s="104">
        <v>9489</v>
      </c>
      <c r="F633" s="104">
        <v>465</v>
      </c>
      <c r="G633" s="104">
        <v>2088</v>
      </c>
      <c r="H633" s="116">
        <v>11.318733408672999</v>
      </c>
      <c r="I633" s="126">
        <v>2696</v>
      </c>
      <c r="J633" s="117">
        <v>17.173644591434584</v>
      </c>
    </row>
    <row r="634" spans="1:10" ht="16">
      <c r="A634" s="93" t="s">
        <v>1360</v>
      </c>
      <c r="B634" s="94" t="s">
        <v>1288</v>
      </c>
      <c r="C634" s="95" t="s">
        <v>107</v>
      </c>
      <c r="D634" s="96" t="s">
        <v>82</v>
      </c>
      <c r="E634" s="97">
        <v>13996</v>
      </c>
      <c r="F634" s="97">
        <v>891</v>
      </c>
      <c r="G634" s="97">
        <v>2519</v>
      </c>
      <c r="H634" s="114">
        <v>18.464854166363985</v>
      </c>
      <c r="I634" s="125">
        <v>7117</v>
      </c>
      <c r="J634" s="115">
        <v>20.263876241128436</v>
      </c>
    </row>
    <row r="635" spans="1:10" ht="16">
      <c r="A635" s="100" t="s">
        <v>339</v>
      </c>
      <c r="B635" s="101" t="s">
        <v>336</v>
      </c>
      <c r="C635" s="102" t="s">
        <v>76</v>
      </c>
      <c r="D635" s="103" t="s">
        <v>62</v>
      </c>
      <c r="E635" s="104">
        <v>6382</v>
      </c>
      <c r="F635" s="104">
        <v>355</v>
      </c>
      <c r="G635" s="104">
        <v>766</v>
      </c>
      <c r="H635" s="116">
        <v>33.525031337543801</v>
      </c>
      <c r="I635" s="126">
        <v>12408</v>
      </c>
      <c r="J635" s="117">
        <v>21.806620560329804</v>
      </c>
    </row>
    <row r="636" spans="1:10" ht="16">
      <c r="A636" s="93" t="s">
        <v>584</v>
      </c>
      <c r="B636" s="94" t="s">
        <v>581</v>
      </c>
      <c r="C636" s="95" t="s">
        <v>76</v>
      </c>
      <c r="D636" s="96" t="s">
        <v>62</v>
      </c>
      <c r="E636" s="97">
        <v>2265</v>
      </c>
      <c r="F636" s="97">
        <v>107</v>
      </c>
      <c r="G636" s="97">
        <v>1472</v>
      </c>
      <c r="H636" s="114">
        <v>27.099480632260484</v>
      </c>
      <c r="I636" s="125">
        <v>24266</v>
      </c>
      <c r="J636" s="115">
        <v>30.350341765393598</v>
      </c>
    </row>
    <row r="637" spans="1:10" ht="16">
      <c r="A637" s="100" t="s">
        <v>1228</v>
      </c>
      <c r="B637" s="101" t="s">
        <v>1190</v>
      </c>
      <c r="C637" s="102" t="s">
        <v>76</v>
      </c>
      <c r="D637" s="103" t="s">
        <v>61</v>
      </c>
      <c r="E637" s="104">
        <v>9503</v>
      </c>
      <c r="F637" s="104">
        <v>625</v>
      </c>
      <c r="G637" s="104">
        <v>3421</v>
      </c>
      <c r="H637" s="116">
        <v>30.828997888769489</v>
      </c>
      <c r="I637" s="126">
        <v>22253</v>
      </c>
      <c r="J637" s="117">
        <v>31.596128101093193</v>
      </c>
    </row>
    <row r="638" spans="1:10" ht="16">
      <c r="A638" s="93" t="s">
        <v>1229</v>
      </c>
      <c r="B638" s="94" t="s">
        <v>1190</v>
      </c>
      <c r="C638" s="95" t="s">
        <v>76</v>
      </c>
      <c r="D638" s="96" t="s">
        <v>80</v>
      </c>
      <c r="E638" s="97">
        <v>2067</v>
      </c>
      <c r="F638" s="97">
        <v>190</v>
      </c>
      <c r="G638" s="97">
        <v>393</v>
      </c>
      <c r="H638" s="114">
        <v>18.841180281122814</v>
      </c>
      <c r="I638" s="125">
        <v>12744</v>
      </c>
      <c r="J638" s="115">
        <v>27.820052002434814</v>
      </c>
    </row>
    <row r="639" spans="1:10" ht="16">
      <c r="A639" s="100" t="s">
        <v>943</v>
      </c>
      <c r="B639" s="101" t="s">
        <v>919</v>
      </c>
      <c r="C639" s="102" t="s">
        <v>76</v>
      </c>
      <c r="D639" s="103" t="s">
        <v>84</v>
      </c>
      <c r="E639" s="104">
        <v>19803</v>
      </c>
      <c r="F639" s="104">
        <v>1707</v>
      </c>
      <c r="G639" s="104">
        <v>5743</v>
      </c>
      <c r="H639" s="116">
        <v>11.415037383347483</v>
      </c>
      <c r="I639" s="126">
        <v>2938</v>
      </c>
      <c r="J639" s="117">
        <v>36.368152482631601</v>
      </c>
    </row>
    <row r="640" spans="1:10" ht="16">
      <c r="A640" s="93" t="s">
        <v>416</v>
      </c>
      <c r="B640" s="94" t="s">
        <v>402</v>
      </c>
      <c r="C640" s="95" t="s">
        <v>107</v>
      </c>
      <c r="D640" s="96" t="s">
        <v>59</v>
      </c>
      <c r="E640" s="97">
        <v>43015</v>
      </c>
      <c r="F640" s="97">
        <v>711</v>
      </c>
      <c r="G640" s="97">
        <v>6022</v>
      </c>
      <c r="H640" s="114">
        <v>45.312740614494615</v>
      </c>
      <c r="I640" s="125">
        <v>26191</v>
      </c>
      <c r="J640" s="115">
        <v>40.144735215588291</v>
      </c>
    </row>
    <row r="641" spans="1:10" ht="16">
      <c r="A641" s="100" t="s">
        <v>1361</v>
      </c>
      <c r="B641" s="101" t="s">
        <v>1288</v>
      </c>
      <c r="C641" s="102" t="s">
        <v>76</v>
      </c>
      <c r="D641" s="103" t="s">
        <v>63</v>
      </c>
      <c r="E641" s="104">
        <v>2425</v>
      </c>
      <c r="F641" s="104">
        <v>1213</v>
      </c>
      <c r="G641" s="104">
        <v>24</v>
      </c>
      <c r="H641" s="116">
        <v>13.382882883642537</v>
      </c>
      <c r="I641" s="126">
        <v>11947</v>
      </c>
      <c r="J641" s="117">
        <v>38.022216609092808</v>
      </c>
    </row>
    <row r="642" spans="1:10" ht="16">
      <c r="A642" s="93" t="s">
        <v>1362</v>
      </c>
      <c r="B642" s="94" t="s">
        <v>1288</v>
      </c>
      <c r="C642" s="95" t="s">
        <v>76</v>
      </c>
      <c r="D642" s="96" t="s">
        <v>63</v>
      </c>
      <c r="E642" s="97">
        <v>44801</v>
      </c>
      <c r="F642" s="97">
        <v>4000</v>
      </c>
      <c r="G642" s="97">
        <v>7616</v>
      </c>
      <c r="H642" s="114">
        <v>48.568440699183654</v>
      </c>
      <c r="I642" s="125">
        <v>35940</v>
      </c>
      <c r="J642" s="115">
        <v>48.372058801440794</v>
      </c>
    </row>
    <row r="643" spans="1:10" ht="16">
      <c r="A643" s="100" t="s">
        <v>417</v>
      </c>
      <c r="B643" s="101" t="s">
        <v>402</v>
      </c>
      <c r="C643" s="102" t="s">
        <v>107</v>
      </c>
      <c r="D643" s="103" t="s">
        <v>61</v>
      </c>
      <c r="E643" s="104">
        <v>45377</v>
      </c>
      <c r="F643" s="104">
        <v>743</v>
      </c>
      <c r="G643" s="104">
        <v>9529</v>
      </c>
      <c r="H643" s="116">
        <v>61.671078990821414</v>
      </c>
      <c r="I643" s="126">
        <v>41464</v>
      </c>
      <c r="J643" s="117">
        <v>56.061796657639825</v>
      </c>
    </row>
    <row r="644" spans="1:10" ht="16">
      <c r="A644" s="93" t="s">
        <v>192</v>
      </c>
      <c r="B644" s="94" t="s">
        <v>184</v>
      </c>
      <c r="C644" s="95" t="s">
        <v>76</v>
      </c>
      <c r="D644" s="96" t="s">
        <v>84</v>
      </c>
      <c r="E644" s="97">
        <v>33694</v>
      </c>
      <c r="F644" s="97">
        <v>782</v>
      </c>
      <c r="G644" s="97">
        <v>1348</v>
      </c>
      <c r="H644" s="114">
        <v>26.798748124947103</v>
      </c>
      <c r="I644" s="125">
        <v>10155</v>
      </c>
      <c r="J644" s="115">
        <v>19.682943702449862</v>
      </c>
    </row>
    <row r="645" spans="1:10" ht="16">
      <c r="A645" s="100" t="s">
        <v>1170</v>
      </c>
      <c r="B645" s="101" t="s">
        <v>1142</v>
      </c>
      <c r="C645" s="102" t="s">
        <v>107</v>
      </c>
      <c r="D645" s="103" t="s">
        <v>59</v>
      </c>
      <c r="E645" s="104">
        <v>3605</v>
      </c>
      <c r="F645" s="104">
        <v>168</v>
      </c>
      <c r="G645" s="104">
        <v>324</v>
      </c>
      <c r="H645" s="116">
        <v>35.809778327507352</v>
      </c>
      <c r="I645" s="126">
        <v>19813</v>
      </c>
      <c r="J645" s="117">
        <v>28.32788817597859</v>
      </c>
    </row>
    <row r="646" spans="1:10" ht="16">
      <c r="A646" s="93" t="s">
        <v>704</v>
      </c>
      <c r="B646" s="94" t="s">
        <v>642</v>
      </c>
      <c r="C646" s="95" t="s">
        <v>107</v>
      </c>
      <c r="D646" s="96" t="s">
        <v>63</v>
      </c>
      <c r="E646" s="97">
        <v>6799</v>
      </c>
      <c r="F646" s="97">
        <v>708</v>
      </c>
      <c r="G646" s="97">
        <v>136</v>
      </c>
      <c r="H646" s="114">
        <v>13.353018571319401</v>
      </c>
      <c r="I646" s="125">
        <v>2429</v>
      </c>
      <c r="J646" s="115">
        <v>22.397366672742507</v>
      </c>
    </row>
    <row r="647" spans="1:10" ht="16">
      <c r="A647" s="100" t="s">
        <v>944</v>
      </c>
      <c r="B647" s="101" t="s">
        <v>919</v>
      </c>
      <c r="C647" s="102" t="s">
        <v>76</v>
      </c>
      <c r="D647" s="103" t="s">
        <v>62</v>
      </c>
      <c r="E647" s="104">
        <v>21489</v>
      </c>
      <c r="F647" s="104">
        <v>2904</v>
      </c>
      <c r="G647" s="104">
        <v>2579</v>
      </c>
      <c r="H647" s="116">
        <v>31.092627305574293</v>
      </c>
      <c r="I647" s="126">
        <v>6129</v>
      </c>
      <c r="J647" s="117">
        <v>46.574581499767447</v>
      </c>
    </row>
    <row r="648" spans="1:10" ht="16">
      <c r="A648" s="93" t="s">
        <v>945</v>
      </c>
      <c r="B648" s="94" t="s">
        <v>919</v>
      </c>
      <c r="C648" s="95" t="s">
        <v>107</v>
      </c>
      <c r="D648" s="96" t="s">
        <v>92</v>
      </c>
      <c r="E648" s="97">
        <v>7298</v>
      </c>
      <c r="F648" s="97">
        <v>657</v>
      </c>
      <c r="G648" s="97">
        <v>803</v>
      </c>
      <c r="H648" s="114">
        <v>10.365492259402657</v>
      </c>
      <c r="I648" s="125">
        <v>5181</v>
      </c>
      <c r="J648" s="115">
        <v>21.070027243043832</v>
      </c>
    </row>
    <row r="649" spans="1:10" ht="16">
      <c r="A649" s="100" t="s">
        <v>705</v>
      </c>
      <c r="B649" s="101" t="s">
        <v>642</v>
      </c>
      <c r="C649" s="102" t="s">
        <v>107</v>
      </c>
      <c r="D649" s="103" t="s">
        <v>92</v>
      </c>
      <c r="E649" s="104">
        <v>1909</v>
      </c>
      <c r="F649" s="104">
        <v>1273</v>
      </c>
      <c r="G649" s="104">
        <v>133</v>
      </c>
      <c r="H649" s="116">
        <v>10.217414160286586</v>
      </c>
      <c r="I649" s="126">
        <v>2753</v>
      </c>
      <c r="J649" s="117">
        <v>23.615167890132881</v>
      </c>
    </row>
    <row r="650" spans="1:10" ht="16">
      <c r="A650" s="93" t="s">
        <v>706</v>
      </c>
      <c r="B650" s="94" t="s">
        <v>642</v>
      </c>
      <c r="C650" s="95" t="s">
        <v>107</v>
      </c>
      <c r="D650" s="96" t="s">
        <v>82</v>
      </c>
      <c r="E650" s="97">
        <v>8579</v>
      </c>
      <c r="F650" s="97">
        <v>600</v>
      </c>
      <c r="G650" s="97">
        <v>429</v>
      </c>
      <c r="H650" s="114">
        <v>13.204471626203894</v>
      </c>
      <c r="I650" s="125">
        <v>2972</v>
      </c>
      <c r="J650" s="115">
        <v>19.462884396134378</v>
      </c>
    </row>
    <row r="651" spans="1:10" ht="16">
      <c r="A651" s="100" t="s">
        <v>946</v>
      </c>
      <c r="B651" s="101" t="s">
        <v>919</v>
      </c>
      <c r="C651" s="102" t="s">
        <v>76</v>
      </c>
      <c r="D651" s="103" t="s">
        <v>82</v>
      </c>
      <c r="E651" s="104">
        <v>9660</v>
      </c>
      <c r="F651" s="104">
        <v>911</v>
      </c>
      <c r="G651" s="104">
        <v>1063</v>
      </c>
      <c r="H651" s="116">
        <v>12.95951923972563</v>
      </c>
      <c r="I651" s="126">
        <v>3929</v>
      </c>
      <c r="J651" s="117">
        <v>18.685276047439245</v>
      </c>
    </row>
    <row r="652" spans="1:10" ht="16">
      <c r="A652" s="93" t="s">
        <v>1363</v>
      </c>
      <c r="B652" s="94" t="s">
        <v>1288</v>
      </c>
      <c r="C652" s="95" t="s">
        <v>76</v>
      </c>
      <c r="D652" s="96" t="s">
        <v>61</v>
      </c>
      <c r="E652" s="97">
        <v>30799</v>
      </c>
      <c r="F652" s="97">
        <v>1010</v>
      </c>
      <c r="G652" s="97">
        <v>2464</v>
      </c>
      <c r="H652" s="114">
        <v>24.841793162931122</v>
      </c>
      <c r="I652" s="125">
        <v>15193</v>
      </c>
      <c r="J652" s="115">
        <v>23.746333173836923</v>
      </c>
    </row>
    <row r="653" spans="1:10" ht="16">
      <c r="A653" s="100" t="s">
        <v>172</v>
      </c>
      <c r="B653" s="101" t="s">
        <v>150</v>
      </c>
      <c r="C653" s="102" t="s">
        <v>76</v>
      </c>
      <c r="D653" s="103" t="s">
        <v>62</v>
      </c>
      <c r="E653" s="104">
        <v>12922</v>
      </c>
      <c r="F653" s="104">
        <v>1086</v>
      </c>
      <c r="G653" s="104">
        <v>129</v>
      </c>
      <c r="H653" s="116">
        <v>9.890306242063895</v>
      </c>
      <c r="I653" s="126">
        <v>1889</v>
      </c>
      <c r="J653" s="117">
        <v>18.987992891404708</v>
      </c>
    </row>
    <row r="654" spans="1:10" ht="16">
      <c r="A654" s="93" t="s">
        <v>605</v>
      </c>
      <c r="B654" s="94" t="s">
        <v>598</v>
      </c>
      <c r="C654" s="95" t="s">
        <v>76</v>
      </c>
      <c r="D654" s="96" t="s">
        <v>92</v>
      </c>
      <c r="E654" s="97">
        <v>71318</v>
      </c>
      <c r="F654" s="97">
        <v>3348</v>
      </c>
      <c r="G654" s="97">
        <v>4279</v>
      </c>
      <c r="H654" s="114">
        <v>40.039745986899668</v>
      </c>
      <c r="I654" s="125">
        <v>28002</v>
      </c>
      <c r="J654" s="115">
        <v>40.783145562816777</v>
      </c>
    </row>
    <row r="655" spans="1:10" ht="16">
      <c r="A655" s="100" t="s">
        <v>707</v>
      </c>
      <c r="B655" s="101" t="s">
        <v>642</v>
      </c>
      <c r="C655" s="102" t="s">
        <v>107</v>
      </c>
      <c r="D655" s="103" t="s">
        <v>60</v>
      </c>
      <c r="E655" s="104">
        <v>1336</v>
      </c>
      <c r="F655" s="104">
        <v>382</v>
      </c>
      <c r="G655" s="104">
        <v>93</v>
      </c>
      <c r="H655" s="116">
        <v>12.155802744609186</v>
      </c>
      <c r="I655" s="126">
        <v>3825</v>
      </c>
      <c r="J655" s="117">
        <v>29.7945987253506</v>
      </c>
    </row>
    <row r="656" spans="1:10" ht="16">
      <c r="A656" s="93" t="s">
        <v>517</v>
      </c>
      <c r="B656" s="94" t="s">
        <v>474</v>
      </c>
      <c r="C656" s="95" t="s">
        <v>76</v>
      </c>
      <c r="D656" s="96" t="s">
        <v>82</v>
      </c>
      <c r="E656" s="97">
        <v>12234</v>
      </c>
      <c r="F656" s="97">
        <v>844</v>
      </c>
      <c r="G656" s="97">
        <v>274</v>
      </c>
      <c r="H656" s="114">
        <v>12.749988359107411</v>
      </c>
      <c r="I656" s="125">
        <v>3811</v>
      </c>
      <c r="J656" s="115">
        <v>17.755259633698053</v>
      </c>
    </row>
    <row r="657" spans="1:10" ht="16">
      <c r="A657" s="100" t="s">
        <v>518</v>
      </c>
      <c r="B657" s="101" t="s">
        <v>474</v>
      </c>
      <c r="C657" s="102" t="s">
        <v>107</v>
      </c>
      <c r="D657" s="103" t="s">
        <v>92</v>
      </c>
      <c r="E657" s="104">
        <v>14381</v>
      </c>
      <c r="F657" s="104">
        <v>851</v>
      </c>
      <c r="G657" s="104">
        <v>144</v>
      </c>
      <c r="H657" s="116">
        <v>9.4104200090571055</v>
      </c>
      <c r="I657" s="126">
        <v>923</v>
      </c>
      <c r="J657" s="117">
        <v>19.131948944315894</v>
      </c>
    </row>
    <row r="658" spans="1:10" ht="16">
      <c r="A658" s="93" t="s">
        <v>519</v>
      </c>
      <c r="B658" s="94" t="s">
        <v>474</v>
      </c>
      <c r="C658" s="95" t="s">
        <v>76</v>
      </c>
      <c r="D658" s="96" t="s">
        <v>61</v>
      </c>
      <c r="E658" s="97">
        <v>6056</v>
      </c>
      <c r="F658" s="97">
        <v>477</v>
      </c>
      <c r="G658" s="97">
        <v>121</v>
      </c>
      <c r="H658" s="114">
        <v>19.048660785209535</v>
      </c>
      <c r="I658" s="125">
        <v>8723</v>
      </c>
      <c r="J658" s="115">
        <v>39.270156835066416</v>
      </c>
    </row>
    <row r="659" spans="1:10" ht="16">
      <c r="A659" s="100" t="s">
        <v>387</v>
      </c>
      <c r="B659" s="101" t="s">
        <v>377</v>
      </c>
      <c r="C659" s="102" t="s">
        <v>76</v>
      </c>
      <c r="D659" s="103" t="s">
        <v>130</v>
      </c>
      <c r="E659" s="104">
        <v>11915</v>
      </c>
      <c r="F659" s="104">
        <v>264</v>
      </c>
      <c r="G659" s="104">
        <v>4051</v>
      </c>
      <c r="H659" s="116">
        <v>27.453030043131122</v>
      </c>
      <c r="I659" s="126">
        <v>15423</v>
      </c>
      <c r="J659" s="117">
        <v>29.988221447024912</v>
      </c>
    </row>
    <row r="660" spans="1:10" ht="16">
      <c r="A660" s="93" t="s">
        <v>606</v>
      </c>
      <c r="B660" s="94" t="s">
        <v>598</v>
      </c>
      <c r="C660" s="95" t="s">
        <v>107</v>
      </c>
      <c r="D660" s="96" t="s">
        <v>130</v>
      </c>
      <c r="E660" s="97">
        <v>558</v>
      </c>
      <c r="F660" s="97">
        <v>82</v>
      </c>
      <c r="G660" s="97">
        <v>61</v>
      </c>
      <c r="H660" s="114">
        <v>38.759405406040941</v>
      </c>
      <c r="I660" s="125">
        <v>30273</v>
      </c>
      <c r="J660" s="115">
        <v>57.725080126395973</v>
      </c>
    </row>
    <row r="661" spans="1:10" ht="16">
      <c r="A661" s="100" t="s">
        <v>947</v>
      </c>
      <c r="B661" s="101" t="s">
        <v>919</v>
      </c>
      <c r="C661" s="102" t="s">
        <v>76</v>
      </c>
      <c r="D661" s="103" t="s">
        <v>77</v>
      </c>
      <c r="E661" s="104">
        <v>15354</v>
      </c>
      <c r="F661" s="104">
        <v>1872</v>
      </c>
      <c r="G661" s="104">
        <v>2457</v>
      </c>
      <c r="H661" s="116">
        <v>10.407744488072117</v>
      </c>
      <c r="I661" s="126">
        <v>292</v>
      </c>
      <c r="J661" s="117">
        <v>24.600743746064602</v>
      </c>
    </row>
    <row r="662" spans="1:10" ht="16">
      <c r="A662" s="93" t="s">
        <v>1008</v>
      </c>
      <c r="B662" s="94" t="s">
        <v>988</v>
      </c>
      <c r="C662" s="95" t="s">
        <v>107</v>
      </c>
      <c r="D662" s="96" t="s">
        <v>61</v>
      </c>
      <c r="E662" s="97">
        <v>12119</v>
      </c>
      <c r="F662" s="97">
        <v>713</v>
      </c>
      <c r="G662" s="97">
        <v>1212</v>
      </c>
      <c r="H662" s="114">
        <v>20.846851522592786</v>
      </c>
      <c r="I662" s="125">
        <v>15788</v>
      </c>
      <c r="J662" s="115">
        <v>24.006078081647289</v>
      </c>
    </row>
    <row r="663" spans="1:10" ht="16">
      <c r="A663" s="100" t="s">
        <v>468</v>
      </c>
      <c r="B663" s="101" t="s">
        <v>466</v>
      </c>
      <c r="C663" s="102" t="s">
        <v>76</v>
      </c>
      <c r="D663" s="103" t="s">
        <v>82</v>
      </c>
      <c r="E663" s="104">
        <v>10996</v>
      </c>
      <c r="F663" s="104">
        <v>1122</v>
      </c>
      <c r="G663" s="104">
        <v>3409</v>
      </c>
      <c r="H663" s="116">
        <v>12.995259422846857</v>
      </c>
      <c r="I663" s="126">
        <v>9131</v>
      </c>
      <c r="J663" s="117">
        <v>27.190384225220683</v>
      </c>
    </row>
    <row r="664" spans="1:10" ht="16">
      <c r="A664" s="93" t="s">
        <v>551</v>
      </c>
      <c r="B664" s="94" t="s">
        <v>537</v>
      </c>
      <c r="C664" s="95" t="s">
        <v>107</v>
      </c>
      <c r="D664" s="96" t="s">
        <v>84</v>
      </c>
      <c r="E664" s="97">
        <v>12496</v>
      </c>
      <c r="F664" s="97">
        <v>811</v>
      </c>
      <c r="G664" s="97">
        <v>125</v>
      </c>
      <c r="H664" s="114">
        <v>10.892630812520844</v>
      </c>
      <c r="I664" s="125">
        <v>4003</v>
      </c>
      <c r="J664" s="115">
        <v>16.968605010419235</v>
      </c>
    </row>
    <row r="665" spans="1:10" ht="16">
      <c r="A665" s="100" t="s">
        <v>1009</v>
      </c>
      <c r="B665" s="101" t="s">
        <v>988</v>
      </c>
      <c r="C665" s="102" t="s">
        <v>107</v>
      </c>
      <c r="D665" s="103" t="s">
        <v>77</v>
      </c>
      <c r="E665" s="104">
        <v>26182</v>
      </c>
      <c r="F665" s="104">
        <v>2111</v>
      </c>
      <c r="G665" s="104">
        <v>3142</v>
      </c>
      <c r="H665" s="116">
        <v>71.740072668325809</v>
      </c>
      <c r="I665" s="126">
        <v>47741</v>
      </c>
      <c r="J665" s="117">
        <v>73.188158479298679</v>
      </c>
    </row>
    <row r="666" spans="1:10" ht="16">
      <c r="A666" s="93" t="s">
        <v>1010</v>
      </c>
      <c r="B666" s="94" t="s">
        <v>988</v>
      </c>
      <c r="C666" s="95" t="s">
        <v>107</v>
      </c>
      <c r="D666" s="96" t="s">
        <v>59</v>
      </c>
      <c r="E666" s="97">
        <v>11912</v>
      </c>
      <c r="F666" s="97">
        <v>693</v>
      </c>
      <c r="G666" s="97">
        <v>476</v>
      </c>
      <c r="H666" s="114">
        <v>13.540044821025614</v>
      </c>
      <c r="I666" s="125">
        <v>2206</v>
      </c>
      <c r="J666" s="115">
        <v>17.726279547715318</v>
      </c>
    </row>
    <row r="667" spans="1:10" ht="16">
      <c r="A667" s="100" t="s">
        <v>532</v>
      </c>
      <c r="B667" s="101" t="s">
        <v>530</v>
      </c>
      <c r="C667" s="102" t="s">
        <v>107</v>
      </c>
      <c r="D667" s="103" t="s">
        <v>60</v>
      </c>
      <c r="E667" s="104">
        <v>14624</v>
      </c>
      <c r="F667" s="104">
        <v>1380</v>
      </c>
      <c r="G667" s="104">
        <v>585</v>
      </c>
      <c r="H667" s="116">
        <v>11.779587905136886</v>
      </c>
      <c r="I667" s="126">
        <v>2625</v>
      </c>
      <c r="J667" s="117">
        <v>19.902664365271686</v>
      </c>
    </row>
    <row r="668" spans="1:10" ht="16">
      <c r="A668" s="93" t="s">
        <v>552</v>
      </c>
      <c r="B668" s="94" t="s">
        <v>537</v>
      </c>
      <c r="C668" s="95" t="s">
        <v>76</v>
      </c>
      <c r="D668" s="96" t="s">
        <v>130</v>
      </c>
      <c r="E668" s="97">
        <v>6350</v>
      </c>
      <c r="F668" s="97">
        <v>327</v>
      </c>
      <c r="G668" s="97">
        <v>292</v>
      </c>
      <c r="H668" s="114">
        <v>12.334294388023922</v>
      </c>
      <c r="I668" s="125">
        <v>1248</v>
      </c>
      <c r="J668" s="115">
        <v>20.196418786473131</v>
      </c>
    </row>
    <row r="669" spans="1:10" ht="16">
      <c r="A669" s="100" t="s">
        <v>553</v>
      </c>
      <c r="B669" s="101" t="s">
        <v>537</v>
      </c>
      <c r="C669" s="102" t="s">
        <v>76</v>
      </c>
      <c r="D669" s="103" t="s">
        <v>84</v>
      </c>
      <c r="E669" s="104">
        <v>14998</v>
      </c>
      <c r="F669" s="104">
        <v>638</v>
      </c>
      <c r="G669" s="104">
        <v>689</v>
      </c>
      <c r="H669" s="116">
        <v>14.059129463572464</v>
      </c>
      <c r="I669" s="126">
        <v>2090</v>
      </c>
      <c r="J669" s="117">
        <v>18.484551740047273</v>
      </c>
    </row>
    <row r="670" spans="1:10" ht="16">
      <c r="A670" s="93" t="s">
        <v>554</v>
      </c>
      <c r="B670" s="94" t="s">
        <v>537</v>
      </c>
      <c r="C670" s="95" t="s">
        <v>76</v>
      </c>
      <c r="D670" s="96" t="s">
        <v>59</v>
      </c>
      <c r="E670" s="97">
        <v>18403</v>
      </c>
      <c r="F670" s="97">
        <v>860</v>
      </c>
      <c r="G670" s="97">
        <v>368</v>
      </c>
      <c r="H670" s="114">
        <v>19.046937017156846</v>
      </c>
      <c r="I670" s="125">
        <v>7343</v>
      </c>
      <c r="J670" s="115">
        <v>22.353971937215629</v>
      </c>
    </row>
    <row r="671" spans="1:10" ht="16">
      <c r="A671" s="100" t="s">
        <v>555</v>
      </c>
      <c r="B671" s="101" t="s">
        <v>537</v>
      </c>
      <c r="C671" s="102" t="s">
        <v>76</v>
      </c>
      <c r="D671" s="103" t="s">
        <v>77</v>
      </c>
      <c r="E671" s="104">
        <v>12713</v>
      </c>
      <c r="F671" s="104">
        <v>1397</v>
      </c>
      <c r="G671" s="104">
        <v>254</v>
      </c>
      <c r="H671" s="116">
        <v>15.21162362061629</v>
      </c>
      <c r="I671" s="126">
        <v>5535</v>
      </c>
      <c r="J671" s="117">
        <v>43.844293577020451</v>
      </c>
    </row>
    <row r="672" spans="1:10" ht="16">
      <c r="A672" s="93" t="s">
        <v>556</v>
      </c>
      <c r="B672" s="94" t="s">
        <v>537</v>
      </c>
      <c r="C672" s="95" t="s">
        <v>76</v>
      </c>
      <c r="D672" s="96" t="s">
        <v>59</v>
      </c>
      <c r="E672" s="97">
        <v>12309</v>
      </c>
      <c r="F672" s="97">
        <v>583</v>
      </c>
      <c r="G672" s="97">
        <v>246</v>
      </c>
      <c r="H672" s="114">
        <v>18.989103771952063</v>
      </c>
      <c r="I672" s="125">
        <v>3085</v>
      </c>
      <c r="J672" s="115">
        <v>27.219177779449353</v>
      </c>
    </row>
    <row r="673" spans="1:10" ht="16">
      <c r="A673" s="100" t="s">
        <v>557</v>
      </c>
      <c r="B673" s="101" t="s">
        <v>537</v>
      </c>
      <c r="C673" s="102" t="s">
        <v>76</v>
      </c>
      <c r="D673" s="103" t="s">
        <v>62</v>
      </c>
      <c r="E673" s="104">
        <v>7378</v>
      </c>
      <c r="F673" s="104">
        <v>324</v>
      </c>
      <c r="G673" s="104">
        <v>339</v>
      </c>
      <c r="H673" s="116">
        <v>12.076995582717787</v>
      </c>
      <c r="I673" s="126">
        <v>4051</v>
      </c>
      <c r="J673" s="117">
        <v>16.567167155474717</v>
      </c>
    </row>
    <row r="674" spans="1:10" ht="16">
      <c r="A674" s="93" t="s">
        <v>558</v>
      </c>
      <c r="B674" s="94" t="s">
        <v>537</v>
      </c>
      <c r="C674" s="95" t="s">
        <v>107</v>
      </c>
      <c r="D674" s="96" t="s">
        <v>92</v>
      </c>
      <c r="E674" s="97">
        <v>8448</v>
      </c>
      <c r="F674" s="97">
        <v>343</v>
      </c>
      <c r="G674" s="97">
        <v>588</v>
      </c>
      <c r="H674" s="114">
        <v>14.067872879273777</v>
      </c>
      <c r="I674" s="125">
        <v>3902</v>
      </c>
      <c r="J674" s="115">
        <v>17.930021447955973</v>
      </c>
    </row>
    <row r="675" spans="1:10" ht="16">
      <c r="A675" s="100" t="s">
        <v>269</v>
      </c>
      <c r="B675" s="101" t="s">
        <v>223</v>
      </c>
      <c r="C675" s="102" t="s">
        <v>107</v>
      </c>
      <c r="D675" s="103" t="s">
        <v>84</v>
      </c>
      <c r="E675" s="104">
        <v>45767</v>
      </c>
      <c r="F675" s="104">
        <v>3135</v>
      </c>
      <c r="G675" s="104">
        <v>3204</v>
      </c>
      <c r="H675" s="116">
        <v>29.788520688821997</v>
      </c>
      <c r="I675" s="126">
        <v>10414</v>
      </c>
      <c r="J675" s="117">
        <v>33.191025844784157</v>
      </c>
    </row>
    <row r="676" spans="1:10" ht="16">
      <c r="A676" s="93" t="s">
        <v>270</v>
      </c>
      <c r="B676" s="94" t="s">
        <v>223</v>
      </c>
      <c r="C676" s="95" t="s">
        <v>107</v>
      </c>
      <c r="D676" s="96" t="s">
        <v>82</v>
      </c>
      <c r="E676" s="97">
        <v>38853</v>
      </c>
      <c r="F676" s="97">
        <v>3500</v>
      </c>
      <c r="G676" s="97">
        <v>5051</v>
      </c>
      <c r="H676" s="114">
        <v>63.959736779358863</v>
      </c>
      <c r="I676" s="125">
        <v>30283</v>
      </c>
      <c r="J676" s="115">
        <v>58.383843944360443</v>
      </c>
    </row>
    <row r="677" spans="1:10" ht="16">
      <c r="A677" s="100" t="s">
        <v>271</v>
      </c>
      <c r="B677" s="101" t="s">
        <v>223</v>
      </c>
      <c r="C677" s="102" t="s">
        <v>107</v>
      </c>
      <c r="D677" s="103" t="s">
        <v>92</v>
      </c>
      <c r="E677" s="104">
        <v>23789</v>
      </c>
      <c r="F677" s="104">
        <v>1329</v>
      </c>
      <c r="G677" s="104">
        <v>714</v>
      </c>
      <c r="H677" s="116">
        <v>10.391180227848604</v>
      </c>
      <c r="I677" s="126">
        <v>3990</v>
      </c>
      <c r="J677" s="117">
        <v>15.289911095249328</v>
      </c>
    </row>
    <row r="678" spans="1:10" ht="16">
      <c r="A678" s="93" t="s">
        <v>272</v>
      </c>
      <c r="B678" s="94" t="s">
        <v>223</v>
      </c>
      <c r="C678" s="95" t="s">
        <v>107</v>
      </c>
      <c r="D678" s="96" t="s">
        <v>77</v>
      </c>
      <c r="E678" s="97">
        <v>36637</v>
      </c>
      <c r="F678" s="97">
        <v>3242</v>
      </c>
      <c r="G678" s="97">
        <v>2198</v>
      </c>
      <c r="H678" s="114">
        <v>25.6670260589549</v>
      </c>
      <c r="I678" s="125">
        <v>7378</v>
      </c>
      <c r="J678" s="115">
        <v>21.20942118078467</v>
      </c>
    </row>
    <row r="679" spans="1:10" ht="16">
      <c r="A679" s="100" t="s">
        <v>273</v>
      </c>
      <c r="B679" s="101" t="s">
        <v>223</v>
      </c>
      <c r="C679" s="102" t="s">
        <v>76</v>
      </c>
      <c r="D679" s="103" t="s">
        <v>130</v>
      </c>
      <c r="E679" s="104">
        <v>15130</v>
      </c>
      <c r="F679" s="104">
        <v>1043</v>
      </c>
      <c r="G679" s="104">
        <v>757</v>
      </c>
      <c r="H679" s="116">
        <v>14.50621017903474</v>
      </c>
      <c r="I679" s="126">
        <v>4699</v>
      </c>
      <c r="J679" s="117">
        <v>28.229503767429296</v>
      </c>
    </row>
    <row r="680" spans="1:10" ht="16">
      <c r="A680" s="93" t="s">
        <v>274</v>
      </c>
      <c r="B680" s="94" t="s">
        <v>223</v>
      </c>
      <c r="C680" s="95" t="s">
        <v>107</v>
      </c>
      <c r="D680" s="96" t="s">
        <v>60</v>
      </c>
      <c r="E680" s="97">
        <v>10305</v>
      </c>
      <c r="F680" s="97">
        <v>881</v>
      </c>
      <c r="G680" s="97">
        <v>103</v>
      </c>
      <c r="H680" s="114">
        <v>14.899816213444003</v>
      </c>
      <c r="I680" s="125">
        <v>5662</v>
      </c>
      <c r="J680" s="115">
        <v>22.818582137288022</v>
      </c>
    </row>
    <row r="681" spans="1:10" ht="16">
      <c r="A681" s="100" t="s">
        <v>559</v>
      </c>
      <c r="B681" s="101" t="s">
        <v>537</v>
      </c>
      <c r="C681" s="102" t="s">
        <v>107</v>
      </c>
      <c r="D681" s="103" t="s">
        <v>61</v>
      </c>
      <c r="E681" s="104">
        <v>9260</v>
      </c>
      <c r="F681" s="104">
        <v>468</v>
      </c>
      <c r="G681" s="104">
        <v>185</v>
      </c>
      <c r="H681" s="116">
        <v>37.184828179075645</v>
      </c>
      <c r="I681" s="126">
        <v>15076</v>
      </c>
      <c r="J681" s="117">
        <v>29.582691792977904</v>
      </c>
    </row>
    <row r="682" spans="1:10" ht="16">
      <c r="A682" s="93" t="s">
        <v>1230</v>
      </c>
      <c r="B682" s="94" t="s">
        <v>1190</v>
      </c>
      <c r="C682" s="95" t="s">
        <v>76</v>
      </c>
      <c r="D682" s="96" t="s">
        <v>77</v>
      </c>
      <c r="E682" s="97">
        <v>25119</v>
      </c>
      <c r="F682" s="97">
        <v>1478</v>
      </c>
      <c r="G682" s="97">
        <v>3265</v>
      </c>
      <c r="H682" s="114">
        <v>13.253786542218428</v>
      </c>
      <c r="I682" s="125">
        <v>5556</v>
      </c>
      <c r="J682" s="115">
        <v>17.811268504880822</v>
      </c>
    </row>
    <row r="683" spans="1:10" ht="16">
      <c r="A683" s="100" t="s">
        <v>275</v>
      </c>
      <c r="B683" s="101" t="s">
        <v>223</v>
      </c>
      <c r="C683" s="102" t="s">
        <v>107</v>
      </c>
      <c r="D683" s="103" t="s">
        <v>60</v>
      </c>
      <c r="E683" s="104">
        <v>35171</v>
      </c>
      <c r="F683" s="104">
        <v>2269</v>
      </c>
      <c r="G683" s="104">
        <v>352</v>
      </c>
      <c r="H683" s="116">
        <v>23.021883976837653</v>
      </c>
      <c r="I683" s="126">
        <v>16093</v>
      </c>
      <c r="J683" s="117">
        <v>22.603031352340984</v>
      </c>
    </row>
    <row r="684" spans="1:10" ht="16">
      <c r="A684" s="93" t="s">
        <v>708</v>
      </c>
      <c r="B684" s="94" t="s">
        <v>642</v>
      </c>
      <c r="C684" s="95" t="s">
        <v>107</v>
      </c>
      <c r="D684" s="96" t="s">
        <v>59</v>
      </c>
      <c r="E684" s="97">
        <v>7886</v>
      </c>
      <c r="F684" s="97">
        <v>329</v>
      </c>
      <c r="G684" s="97">
        <v>1262</v>
      </c>
      <c r="H684" s="114">
        <v>12.701943596146444</v>
      </c>
      <c r="I684" s="125">
        <v>1330</v>
      </c>
      <c r="J684" s="115">
        <v>17.015759217445044</v>
      </c>
    </row>
    <row r="685" spans="1:10" ht="16">
      <c r="A685" s="100" t="s">
        <v>709</v>
      </c>
      <c r="B685" s="101" t="s">
        <v>642</v>
      </c>
      <c r="C685" s="102" t="s">
        <v>107</v>
      </c>
      <c r="D685" s="103" t="s">
        <v>59</v>
      </c>
      <c r="E685" s="104">
        <v>1164</v>
      </c>
      <c r="F685" s="104">
        <v>375</v>
      </c>
      <c r="G685" s="104">
        <v>23</v>
      </c>
      <c r="H685" s="116">
        <v>10.475855204736636</v>
      </c>
      <c r="I685" s="126">
        <v>2889</v>
      </c>
      <c r="J685" s="117">
        <v>26.44516455451727</v>
      </c>
    </row>
    <row r="686" spans="1:10" ht="16">
      <c r="A686" s="93" t="s">
        <v>710</v>
      </c>
      <c r="B686" s="94" t="s">
        <v>642</v>
      </c>
      <c r="C686" s="95" t="s">
        <v>107</v>
      </c>
      <c r="D686" s="96" t="s">
        <v>61</v>
      </c>
      <c r="E686" s="97">
        <v>6086</v>
      </c>
      <c r="F686" s="97">
        <v>801</v>
      </c>
      <c r="G686" s="97">
        <v>122</v>
      </c>
      <c r="H686" s="114">
        <v>11.217363466309692</v>
      </c>
      <c r="I686" s="125">
        <v>1720</v>
      </c>
      <c r="J686" s="115">
        <v>21.502398754323757</v>
      </c>
    </row>
    <row r="687" spans="1:10" ht="16">
      <c r="A687" s="100" t="s">
        <v>711</v>
      </c>
      <c r="B687" s="101" t="s">
        <v>642</v>
      </c>
      <c r="C687" s="102" t="s">
        <v>107</v>
      </c>
      <c r="D687" s="103" t="s">
        <v>84</v>
      </c>
      <c r="E687" s="104">
        <v>10812</v>
      </c>
      <c r="F687" s="104">
        <v>1050</v>
      </c>
      <c r="G687" s="104">
        <v>324</v>
      </c>
      <c r="H687" s="116">
        <v>15.135581587224076</v>
      </c>
      <c r="I687" s="126">
        <v>4089</v>
      </c>
      <c r="J687" s="117">
        <v>22.112854550347468</v>
      </c>
    </row>
    <row r="688" spans="1:10" ht="16">
      <c r="A688" s="93" t="s">
        <v>560</v>
      </c>
      <c r="B688" s="94" t="s">
        <v>537</v>
      </c>
      <c r="C688" s="95" t="s">
        <v>107</v>
      </c>
      <c r="D688" s="96" t="s">
        <v>130</v>
      </c>
      <c r="E688" s="97">
        <v>14286</v>
      </c>
      <c r="F688" s="97">
        <v>693</v>
      </c>
      <c r="G688" s="97">
        <v>657</v>
      </c>
      <c r="H688" s="114">
        <v>25.52914104579915</v>
      </c>
      <c r="I688" s="125">
        <v>6847</v>
      </c>
      <c r="J688" s="115">
        <v>25.382690203364515</v>
      </c>
    </row>
    <row r="689" spans="1:10" ht="16">
      <c r="A689" s="100" t="s">
        <v>561</v>
      </c>
      <c r="B689" s="101" t="s">
        <v>537</v>
      </c>
      <c r="C689" s="102" t="s">
        <v>76</v>
      </c>
      <c r="D689" s="103" t="s">
        <v>130</v>
      </c>
      <c r="E689" s="104">
        <v>10465</v>
      </c>
      <c r="F689" s="104">
        <v>960</v>
      </c>
      <c r="G689" s="104">
        <v>209</v>
      </c>
      <c r="H689" s="116">
        <v>11.548595960976916</v>
      </c>
      <c r="I689" s="126">
        <v>2237</v>
      </c>
      <c r="J689" s="117">
        <v>16.74723922908489</v>
      </c>
    </row>
    <row r="690" spans="1:10" ht="16">
      <c r="A690" s="93" t="s">
        <v>562</v>
      </c>
      <c r="B690" s="94" t="s">
        <v>537</v>
      </c>
      <c r="C690" s="95" t="s">
        <v>107</v>
      </c>
      <c r="D690" s="96" t="s">
        <v>130</v>
      </c>
      <c r="E690" s="97">
        <v>1602</v>
      </c>
      <c r="F690" s="97">
        <v>101</v>
      </c>
      <c r="G690" s="97">
        <v>111</v>
      </c>
      <c r="H690" s="114">
        <v>20.909779839477917</v>
      </c>
      <c r="I690" s="125">
        <v>9484</v>
      </c>
      <c r="J690" s="115">
        <v>24.192849499274832</v>
      </c>
    </row>
    <row r="691" spans="1:10" ht="16">
      <c r="A691" s="100" t="s">
        <v>712</v>
      </c>
      <c r="B691" s="101" t="s">
        <v>642</v>
      </c>
      <c r="C691" s="102" t="s">
        <v>107</v>
      </c>
      <c r="D691" s="103" t="s">
        <v>84</v>
      </c>
      <c r="E691" s="104">
        <v>9956</v>
      </c>
      <c r="F691" s="104">
        <v>732</v>
      </c>
      <c r="G691" s="104">
        <v>299</v>
      </c>
      <c r="H691" s="116">
        <v>14.367467074472277</v>
      </c>
      <c r="I691" s="126">
        <v>2033</v>
      </c>
      <c r="J691" s="117">
        <v>18.377270889208056</v>
      </c>
    </row>
    <row r="692" spans="1:10" ht="16">
      <c r="A692" s="93" t="s">
        <v>713</v>
      </c>
      <c r="B692" s="94" t="s">
        <v>642</v>
      </c>
      <c r="C692" s="95" t="s">
        <v>76</v>
      </c>
      <c r="D692" s="96" t="s">
        <v>82</v>
      </c>
      <c r="E692" s="97">
        <v>3659</v>
      </c>
      <c r="F692" s="97">
        <v>1742</v>
      </c>
      <c r="G692" s="97">
        <v>37</v>
      </c>
      <c r="H692" s="114">
        <v>9.3827266817423762</v>
      </c>
      <c r="I692" s="125">
        <v>1780</v>
      </c>
      <c r="J692" s="115">
        <v>30.880825665333674</v>
      </c>
    </row>
    <row r="693" spans="1:10" ht="16">
      <c r="A693" s="100" t="s">
        <v>948</v>
      </c>
      <c r="B693" s="101" t="s">
        <v>919</v>
      </c>
      <c r="C693" s="102" t="s">
        <v>107</v>
      </c>
      <c r="D693" s="103" t="s">
        <v>92</v>
      </c>
      <c r="E693" s="104">
        <v>23800</v>
      </c>
      <c r="F693" s="104">
        <v>1425</v>
      </c>
      <c r="G693" s="104">
        <v>952</v>
      </c>
      <c r="H693" s="116">
        <v>13.436991866481705</v>
      </c>
      <c r="I693" s="126">
        <v>923</v>
      </c>
      <c r="J693" s="117">
        <v>18.554389076910475</v>
      </c>
    </row>
    <row r="694" spans="1:10" ht="16">
      <c r="A694" s="93" t="s">
        <v>276</v>
      </c>
      <c r="B694" s="94" t="s">
        <v>223</v>
      </c>
      <c r="C694" s="95" t="s">
        <v>107</v>
      </c>
      <c r="D694" s="96" t="s">
        <v>61</v>
      </c>
      <c r="E694" s="97">
        <v>64648</v>
      </c>
      <c r="F694" s="97">
        <v>4685</v>
      </c>
      <c r="G694" s="97">
        <v>2586</v>
      </c>
      <c r="H694" s="114">
        <v>25.547324833664923</v>
      </c>
      <c r="I694" s="125">
        <v>9575</v>
      </c>
      <c r="J694" s="115">
        <v>31.089455180513689</v>
      </c>
    </row>
    <row r="695" spans="1:10" ht="16">
      <c r="A695" s="100" t="s">
        <v>815</v>
      </c>
      <c r="B695" s="101" t="s">
        <v>814</v>
      </c>
      <c r="C695" s="102" t="s">
        <v>107</v>
      </c>
      <c r="D695" s="103" t="s">
        <v>80</v>
      </c>
      <c r="E695" s="104">
        <v>90736</v>
      </c>
      <c r="F695" s="104">
        <v>1589</v>
      </c>
      <c r="G695" s="104">
        <v>1815</v>
      </c>
      <c r="H695" s="116">
        <v>8.0484254601117016</v>
      </c>
      <c r="I695" s="126">
        <v>4158</v>
      </c>
      <c r="J695" s="117">
        <v>25.732910705625081</v>
      </c>
    </row>
    <row r="696" spans="1:10" ht="16">
      <c r="A696" s="93" t="s">
        <v>885</v>
      </c>
      <c r="B696" s="94" t="s">
        <v>879</v>
      </c>
      <c r="C696" s="95" t="s">
        <v>107</v>
      </c>
      <c r="D696" s="96" t="s">
        <v>59</v>
      </c>
      <c r="E696" s="97">
        <v>20646</v>
      </c>
      <c r="F696" s="97">
        <v>1639</v>
      </c>
      <c r="G696" s="97">
        <v>206</v>
      </c>
      <c r="H696" s="114">
        <v>10.116789722649818</v>
      </c>
      <c r="I696" s="125">
        <v>3018</v>
      </c>
      <c r="J696" s="115">
        <v>17.015641299719299</v>
      </c>
    </row>
    <row r="697" spans="1:10" ht="16">
      <c r="A697" s="100" t="s">
        <v>1130</v>
      </c>
      <c r="B697" s="101" t="s">
        <v>1120</v>
      </c>
      <c r="C697" s="102" t="s">
        <v>76</v>
      </c>
      <c r="D697" s="103" t="s">
        <v>59</v>
      </c>
      <c r="E697" s="104">
        <v>24542</v>
      </c>
      <c r="F697" s="104">
        <v>1239</v>
      </c>
      <c r="G697" s="104">
        <v>736</v>
      </c>
      <c r="H697" s="116">
        <v>8.6202252130900447</v>
      </c>
      <c r="I697" s="126">
        <v>1146</v>
      </c>
      <c r="J697" s="117">
        <v>16.093968374107906</v>
      </c>
    </row>
    <row r="698" spans="1:10" ht="16">
      <c r="A698" s="93" t="s">
        <v>193</v>
      </c>
      <c r="B698" s="94" t="s">
        <v>184</v>
      </c>
      <c r="C698" s="95" t="s">
        <v>76</v>
      </c>
      <c r="D698" s="96" t="s">
        <v>62</v>
      </c>
      <c r="E698" s="97">
        <v>26521</v>
      </c>
      <c r="F698" s="97">
        <v>971</v>
      </c>
      <c r="G698" s="97">
        <v>7956</v>
      </c>
      <c r="H698" s="114">
        <v>35.572117296736103</v>
      </c>
      <c r="I698" s="125">
        <v>26768</v>
      </c>
      <c r="J698" s="115">
        <v>24.115650833390411</v>
      </c>
    </row>
    <row r="699" spans="1:10" ht="16">
      <c r="A699" s="100" t="s">
        <v>971</v>
      </c>
      <c r="B699" s="101" t="s">
        <v>970</v>
      </c>
      <c r="C699" s="102" t="s">
        <v>76</v>
      </c>
      <c r="D699" s="103" t="s">
        <v>62</v>
      </c>
      <c r="E699" s="104">
        <v>6570</v>
      </c>
      <c r="F699" s="104">
        <v>466</v>
      </c>
      <c r="G699" s="104">
        <v>131</v>
      </c>
      <c r="H699" s="116">
        <v>8.7080623483519037</v>
      </c>
      <c r="I699" s="126">
        <v>905</v>
      </c>
      <c r="J699" s="117">
        <v>18.201586914674071</v>
      </c>
    </row>
    <row r="700" spans="1:10" ht="16">
      <c r="A700" s="93" t="s">
        <v>972</v>
      </c>
      <c r="B700" s="94" t="s">
        <v>970</v>
      </c>
      <c r="C700" s="95" t="s">
        <v>107</v>
      </c>
      <c r="D700" s="96" t="s">
        <v>82</v>
      </c>
      <c r="E700" s="97">
        <v>13108</v>
      </c>
      <c r="F700" s="97">
        <v>986</v>
      </c>
      <c r="G700" s="97">
        <v>393</v>
      </c>
      <c r="H700" s="114">
        <v>12.981409210300036</v>
      </c>
      <c r="I700" s="125">
        <v>1253</v>
      </c>
      <c r="J700" s="115">
        <v>22.606145021353797</v>
      </c>
    </row>
    <row r="701" spans="1:10" ht="16">
      <c r="A701" s="100" t="s">
        <v>1231</v>
      </c>
      <c r="B701" s="101" t="s">
        <v>1190</v>
      </c>
      <c r="C701" s="102" t="s">
        <v>76</v>
      </c>
      <c r="D701" s="103" t="s">
        <v>92</v>
      </c>
      <c r="E701" s="104">
        <v>5194</v>
      </c>
      <c r="F701" s="104">
        <v>429</v>
      </c>
      <c r="G701" s="104">
        <v>2753</v>
      </c>
      <c r="H701" s="116">
        <v>38.647986338921591</v>
      </c>
      <c r="I701" s="126">
        <v>11833</v>
      </c>
      <c r="J701" s="117">
        <v>42.482659924133664</v>
      </c>
    </row>
    <row r="702" spans="1:10" ht="16">
      <c r="A702" s="93" t="s">
        <v>181</v>
      </c>
      <c r="B702" s="94" t="s">
        <v>182</v>
      </c>
      <c r="C702" s="95" t="s">
        <v>76</v>
      </c>
      <c r="D702" s="96" t="s">
        <v>62</v>
      </c>
      <c r="E702" s="97">
        <v>21988</v>
      </c>
      <c r="F702" s="97">
        <v>2364</v>
      </c>
      <c r="G702" s="97">
        <v>1319</v>
      </c>
      <c r="H702" s="114">
        <v>10.368813153902122</v>
      </c>
      <c r="I702" s="125">
        <v>1437</v>
      </c>
      <c r="J702" s="115">
        <v>21.321101757647359</v>
      </c>
    </row>
    <row r="703" spans="1:10" ht="16">
      <c r="A703" s="100" t="s">
        <v>1011</v>
      </c>
      <c r="B703" s="101" t="s">
        <v>988</v>
      </c>
      <c r="C703" s="102" t="s">
        <v>107</v>
      </c>
      <c r="D703" s="103" t="s">
        <v>63</v>
      </c>
      <c r="E703" s="104">
        <v>9559</v>
      </c>
      <c r="F703" s="104">
        <v>417</v>
      </c>
      <c r="G703" s="104">
        <v>1051</v>
      </c>
      <c r="H703" s="116">
        <v>29.053377108646789</v>
      </c>
      <c r="I703" s="126">
        <v>6695</v>
      </c>
      <c r="J703" s="117">
        <v>24.627853043627919</v>
      </c>
    </row>
    <row r="704" spans="1:10" ht="16">
      <c r="A704" s="93" t="s">
        <v>359</v>
      </c>
      <c r="B704" s="94" t="s">
        <v>344</v>
      </c>
      <c r="C704" s="95" t="s">
        <v>76</v>
      </c>
      <c r="D704" s="96" t="s">
        <v>77</v>
      </c>
      <c r="E704" s="97">
        <v>52056</v>
      </c>
      <c r="F704" s="97">
        <v>1808</v>
      </c>
      <c r="G704" s="97">
        <v>1165</v>
      </c>
      <c r="H704" s="114">
        <v>8.3902584211147904</v>
      </c>
      <c r="I704" s="125">
        <v>2680</v>
      </c>
      <c r="J704" s="115">
        <v>13.827896563800405</v>
      </c>
    </row>
    <row r="705" spans="1:10" ht="16">
      <c r="A705" s="100" t="s">
        <v>277</v>
      </c>
      <c r="B705" s="101" t="s">
        <v>223</v>
      </c>
      <c r="C705" s="102" t="s">
        <v>76</v>
      </c>
      <c r="D705" s="103" t="s">
        <v>60</v>
      </c>
      <c r="E705" s="104">
        <v>44835</v>
      </c>
      <c r="F705" s="104">
        <v>2734</v>
      </c>
      <c r="G705" s="104">
        <v>3138</v>
      </c>
      <c r="H705" s="116">
        <v>21.735362714631531</v>
      </c>
      <c r="I705" s="126">
        <v>14244</v>
      </c>
      <c r="J705" s="117">
        <v>23.677669260777229</v>
      </c>
    </row>
    <row r="706" spans="1:10" ht="16">
      <c r="A706" s="93" t="s">
        <v>1012</v>
      </c>
      <c r="B706" s="94" t="s">
        <v>988</v>
      </c>
      <c r="C706" s="95" t="s">
        <v>107</v>
      </c>
      <c r="D706" s="96" t="s">
        <v>59</v>
      </c>
      <c r="E706" s="97">
        <v>15516</v>
      </c>
      <c r="F706" s="97">
        <v>848</v>
      </c>
      <c r="G706" s="97">
        <v>931</v>
      </c>
      <c r="H706" s="114">
        <v>11.227709620092071</v>
      </c>
      <c r="I706" s="125">
        <v>1717</v>
      </c>
      <c r="J706" s="115">
        <v>21.241368172339754</v>
      </c>
    </row>
    <row r="707" spans="1:10" ht="16">
      <c r="A707" s="100" t="s">
        <v>714</v>
      </c>
      <c r="B707" s="101" t="s">
        <v>642</v>
      </c>
      <c r="C707" s="102" t="s">
        <v>76</v>
      </c>
      <c r="D707" s="103" t="s">
        <v>77</v>
      </c>
      <c r="E707" s="104">
        <v>13369</v>
      </c>
      <c r="F707" s="104">
        <v>552</v>
      </c>
      <c r="G707" s="104">
        <v>1203</v>
      </c>
      <c r="H707" s="116">
        <v>11.878628472302626</v>
      </c>
      <c r="I707" s="126">
        <v>1726</v>
      </c>
      <c r="J707" s="117">
        <v>22.150915672899604</v>
      </c>
    </row>
    <row r="708" spans="1:10" ht="16">
      <c r="A708" s="93" t="s">
        <v>388</v>
      </c>
      <c r="B708" s="94" t="s">
        <v>377</v>
      </c>
      <c r="C708" s="95" t="s">
        <v>76</v>
      </c>
      <c r="D708" s="96" t="s">
        <v>59</v>
      </c>
      <c r="E708" s="97">
        <v>43076</v>
      </c>
      <c r="F708" s="97">
        <v>3191</v>
      </c>
      <c r="G708" s="97">
        <v>8184</v>
      </c>
      <c r="H708" s="114">
        <v>50.935258814045667</v>
      </c>
      <c r="I708" s="125">
        <v>40594</v>
      </c>
      <c r="J708" s="115">
        <v>62.505806500478236</v>
      </c>
    </row>
    <row r="709" spans="1:10" ht="16">
      <c r="A709" s="100" t="s">
        <v>278</v>
      </c>
      <c r="B709" s="101" t="s">
        <v>223</v>
      </c>
      <c r="C709" s="102" t="s">
        <v>107</v>
      </c>
      <c r="D709" s="103" t="s">
        <v>62</v>
      </c>
      <c r="E709" s="104">
        <v>41139</v>
      </c>
      <c r="F709" s="104">
        <v>2960</v>
      </c>
      <c r="G709" s="104">
        <v>2057</v>
      </c>
      <c r="H709" s="116">
        <v>29.273084538868293</v>
      </c>
      <c r="I709" s="126">
        <v>17858</v>
      </c>
      <c r="J709" s="117">
        <v>24.639818297425457</v>
      </c>
    </row>
    <row r="710" spans="1:10" ht="16">
      <c r="A710" s="93" t="s">
        <v>949</v>
      </c>
      <c r="B710" s="94" t="s">
        <v>919</v>
      </c>
      <c r="C710" s="95" t="s">
        <v>107</v>
      </c>
      <c r="D710" s="96" t="s">
        <v>63</v>
      </c>
      <c r="E710" s="97">
        <v>28840</v>
      </c>
      <c r="F710" s="97">
        <v>1687</v>
      </c>
      <c r="G710" s="97">
        <v>1442</v>
      </c>
      <c r="H710" s="114">
        <v>10.844213604869704</v>
      </c>
      <c r="I710" s="125">
        <v>2229</v>
      </c>
      <c r="J710" s="115">
        <v>16.440786659951698</v>
      </c>
    </row>
    <row r="711" spans="1:10" ht="16">
      <c r="A711" s="100" t="s">
        <v>360</v>
      </c>
      <c r="B711" s="101" t="s">
        <v>344</v>
      </c>
      <c r="C711" s="102" t="s">
        <v>76</v>
      </c>
      <c r="D711" s="103" t="s">
        <v>62</v>
      </c>
      <c r="E711" s="104">
        <v>47488</v>
      </c>
      <c r="F711" s="104">
        <v>991</v>
      </c>
      <c r="G711" s="104">
        <v>950</v>
      </c>
      <c r="H711" s="116">
        <v>8.834953845932306</v>
      </c>
      <c r="I711" s="126">
        <v>3086</v>
      </c>
      <c r="J711" s="117">
        <v>13.636313074289205</v>
      </c>
    </row>
    <row r="712" spans="1:10" ht="16">
      <c r="A712" s="93" t="s">
        <v>279</v>
      </c>
      <c r="B712" s="94" t="s">
        <v>223</v>
      </c>
      <c r="C712" s="95" t="s">
        <v>107</v>
      </c>
      <c r="D712" s="96" t="s">
        <v>80</v>
      </c>
      <c r="E712" s="97">
        <v>32951</v>
      </c>
      <c r="F712" s="97">
        <v>2841</v>
      </c>
      <c r="G712" s="97">
        <v>1648</v>
      </c>
      <c r="H712" s="114">
        <v>33.912894114257611</v>
      </c>
      <c r="I712" s="125">
        <v>14342</v>
      </c>
      <c r="J712" s="115">
        <v>30.53735518570258</v>
      </c>
    </row>
    <row r="713" spans="1:10" ht="16">
      <c r="A713" s="100" t="s">
        <v>108</v>
      </c>
      <c r="B713" s="101" t="s">
        <v>89</v>
      </c>
      <c r="C713" s="102" t="s">
        <v>76</v>
      </c>
      <c r="D713" s="103" t="s">
        <v>77</v>
      </c>
      <c r="E713" s="104">
        <v>9064</v>
      </c>
      <c r="F713" s="104">
        <v>363</v>
      </c>
      <c r="G713" s="104">
        <v>2266</v>
      </c>
      <c r="H713" s="116">
        <v>21.650394393142626</v>
      </c>
      <c r="I713" s="126">
        <v>10799</v>
      </c>
      <c r="J713" s="117">
        <v>18.641673122313687</v>
      </c>
    </row>
    <row r="714" spans="1:10" ht="16">
      <c r="A714" s="93" t="s">
        <v>950</v>
      </c>
      <c r="B714" s="94" t="s">
        <v>919</v>
      </c>
      <c r="C714" s="95" t="s">
        <v>76</v>
      </c>
      <c r="D714" s="96" t="s">
        <v>59</v>
      </c>
      <c r="E714" s="97">
        <v>19038</v>
      </c>
      <c r="F714" s="97">
        <v>2092</v>
      </c>
      <c r="G714" s="97">
        <v>1713</v>
      </c>
      <c r="H714" s="114">
        <v>10.212035586839058</v>
      </c>
      <c r="I714" s="125">
        <v>2146</v>
      </c>
      <c r="J714" s="115">
        <v>20.81265598601388</v>
      </c>
    </row>
    <row r="715" spans="1:10" ht="16">
      <c r="A715" s="100" t="s">
        <v>280</v>
      </c>
      <c r="B715" s="101" t="s">
        <v>223</v>
      </c>
      <c r="C715" s="102" t="s">
        <v>76</v>
      </c>
      <c r="D715" s="103" t="s">
        <v>62</v>
      </c>
      <c r="E715" s="104">
        <v>19306</v>
      </c>
      <c r="F715" s="104">
        <v>2925</v>
      </c>
      <c r="G715" s="104">
        <v>1351</v>
      </c>
      <c r="H715" s="116">
        <v>12.544746288987996</v>
      </c>
      <c r="I715" s="126">
        <v>3071</v>
      </c>
      <c r="J715" s="117">
        <v>27.874875416362297</v>
      </c>
    </row>
    <row r="716" spans="1:10" ht="16">
      <c r="A716" s="93" t="s">
        <v>281</v>
      </c>
      <c r="B716" s="94" t="s">
        <v>223</v>
      </c>
      <c r="C716" s="95" t="s">
        <v>107</v>
      </c>
      <c r="D716" s="96" t="s">
        <v>77</v>
      </c>
      <c r="E716" s="97">
        <v>3198</v>
      </c>
      <c r="F716" s="97">
        <v>337</v>
      </c>
      <c r="G716" s="97">
        <v>220</v>
      </c>
      <c r="H716" s="114">
        <v>24.382605564839615</v>
      </c>
      <c r="I716" s="125">
        <v>20120</v>
      </c>
      <c r="J716" s="115">
        <v>24.377986931346896</v>
      </c>
    </row>
    <row r="717" spans="1:10" ht="16">
      <c r="A717" s="100" t="s">
        <v>282</v>
      </c>
      <c r="B717" s="101" t="s">
        <v>223</v>
      </c>
      <c r="C717" s="102" t="s">
        <v>107</v>
      </c>
      <c r="D717" s="103" t="s">
        <v>59</v>
      </c>
      <c r="E717" s="104">
        <v>38059</v>
      </c>
      <c r="F717" s="104">
        <v>2394</v>
      </c>
      <c r="G717" s="104">
        <v>761</v>
      </c>
      <c r="H717" s="116">
        <v>17.397765045742261</v>
      </c>
      <c r="I717" s="126">
        <v>3473</v>
      </c>
      <c r="J717" s="117">
        <v>17.977153898687749</v>
      </c>
    </row>
    <row r="718" spans="1:10" ht="16">
      <c r="A718" s="93" t="s">
        <v>283</v>
      </c>
      <c r="B718" s="94" t="s">
        <v>223</v>
      </c>
      <c r="C718" s="95" t="s">
        <v>76</v>
      </c>
      <c r="D718" s="96" t="s">
        <v>77</v>
      </c>
      <c r="E718" s="97">
        <v>22283</v>
      </c>
      <c r="F718" s="97">
        <v>1401</v>
      </c>
      <c r="G718" s="97">
        <v>446</v>
      </c>
      <c r="H718" s="114">
        <v>12.158853653650922</v>
      </c>
      <c r="I718" s="125">
        <v>5699</v>
      </c>
      <c r="J718" s="115">
        <v>18.117929104624139</v>
      </c>
    </row>
    <row r="719" spans="1:10" ht="16">
      <c r="A719" s="100" t="s">
        <v>520</v>
      </c>
      <c r="B719" s="101" t="s">
        <v>474</v>
      </c>
      <c r="C719" s="102" t="s">
        <v>107</v>
      </c>
      <c r="D719" s="103" t="s">
        <v>59</v>
      </c>
      <c r="E719" s="104">
        <v>7832</v>
      </c>
      <c r="F719" s="104">
        <v>505</v>
      </c>
      <c r="G719" s="104">
        <v>175</v>
      </c>
      <c r="H719" s="116">
        <v>10.626372620686992</v>
      </c>
      <c r="I719" s="126">
        <v>3314</v>
      </c>
      <c r="J719" s="117">
        <v>37.985090538163583</v>
      </c>
    </row>
    <row r="720" spans="1:10" ht="16">
      <c r="A720" s="93" t="s">
        <v>1131</v>
      </c>
      <c r="B720" s="94" t="s">
        <v>1120</v>
      </c>
      <c r="C720" s="95" t="s">
        <v>76</v>
      </c>
      <c r="D720" s="96" t="s">
        <v>82</v>
      </c>
      <c r="E720" s="97">
        <v>22247</v>
      </c>
      <c r="F720" s="97">
        <v>1279</v>
      </c>
      <c r="G720" s="97">
        <v>2112</v>
      </c>
      <c r="H720" s="114">
        <v>8.918685809505094</v>
      </c>
      <c r="I720" s="125">
        <v>1144</v>
      </c>
      <c r="J720" s="115">
        <v>20.827746552823026</v>
      </c>
    </row>
    <row r="721" spans="1:10" ht="16">
      <c r="A721" s="100" t="s">
        <v>521</v>
      </c>
      <c r="B721" s="101" t="s">
        <v>474</v>
      </c>
      <c r="C721" s="102" t="s">
        <v>107</v>
      </c>
      <c r="D721" s="103" t="s">
        <v>130</v>
      </c>
      <c r="E721" s="104">
        <v>51031</v>
      </c>
      <c r="F721" s="104">
        <v>3271</v>
      </c>
      <c r="G721" s="104">
        <v>1021</v>
      </c>
      <c r="H721" s="116">
        <v>9.1102816701356986</v>
      </c>
      <c r="I721" s="126">
        <v>1583</v>
      </c>
      <c r="J721" s="117">
        <v>16.981120299003784</v>
      </c>
    </row>
    <row r="722" spans="1:10" ht="16">
      <c r="A722" s="93" t="s">
        <v>715</v>
      </c>
      <c r="B722" s="94" t="s">
        <v>642</v>
      </c>
      <c r="C722" s="95" t="s">
        <v>107</v>
      </c>
      <c r="D722" s="96" t="s">
        <v>61</v>
      </c>
      <c r="E722" s="97">
        <v>846</v>
      </c>
      <c r="F722" s="97">
        <v>846</v>
      </c>
      <c r="G722" s="97">
        <v>8</v>
      </c>
      <c r="H722" s="114">
        <v>8.3976765927786765</v>
      </c>
      <c r="I722" s="125">
        <v>3021</v>
      </c>
      <c r="J722" s="115">
        <v>27.545020461650779</v>
      </c>
    </row>
    <row r="723" spans="1:10" ht="16">
      <c r="A723" s="100" t="s">
        <v>951</v>
      </c>
      <c r="B723" s="101" t="s">
        <v>919</v>
      </c>
      <c r="C723" s="102" t="s">
        <v>107</v>
      </c>
      <c r="D723" s="103" t="s">
        <v>130</v>
      </c>
      <c r="E723" s="104">
        <v>8021</v>
      </c>
      <c r="F723" s="104">
        <v>642</v>
      </c>
      <c r="G723" s="104">
        <v>1444</v>
      </c>
      <c r="H723" s="116">
        <v>13.246526672055703</v>
      </c>
      <c r="I723" s="126">
        <v>2695</v>
      </c>
      <c r="J723" s="117">
        <v>20.674217544818312</v>
      </c>
    </row>
    <row r="724" spans="1:10" ht="16">
      <c r="A724" s="93" t="s">
        <v>1232</v>
      </c>
      <c r="B724" s="94" t="s">
        <v>1190</v>
      </c>
      <c r="C724" s="95" t="s">
        <v>107</v>
      </c>
      <c r="D724" s="96" t="s">
        <v>62</v>
      </c>
      <c r="E724" s="97">
        <v>8558</v>
      </c>
      <c r="F724" s="97">
        <v>578</v>
      </c>
      <c r="G724" s="97">
        <v>1027</v>
      </c>
      <c r="H724" s="114">
        <v>10.334013427260738</v>
      </c>
      <c r="I724" s="125">
        <v>4246</v>
      </c>
      <c r="J724" s="115">
        <v>17.454600628358087</v>
      </c>
    </row>
    <row r="725" spans="1:10" ht="16">
      <c r="A725" s="100" t="s">
        <v>1364</v>
      </c>
      <c r="B725" s="101" t="s">
        <v>1288</v>
      </c>
      <c r="C725" s="102" t="s">
        <v>107</v>
      </c>
      <c r="D725" s="103" t="s">
        <v>82</v>
      </c>
      <c r="E725" s="104">
        <v>16135</v>
      </c>
      <c r="F725" s="104">
        <v>2210</v>
      </c>
      <c r="G725" s="104">
        <v>3711</v>
      </c>
      <c r="H725" s="116">
        <v>96.981127424959823</v>
      </c>
      <c r="I725" s="126">
        <v>96397</v>
      </c>
      <c r="J725" s="117">
        <v>93.226920513344268</v>
      </c>
    </row>
    <row r="726" spans="1:10" ht="16">
      <c r="A726" s="93" t="s">
        <v>1365</v>
      </c>
      <c r="B726" s="94" t="s">
        <v>1288</v>
      </c>
      <c r="C726" s="95" t="s">
        <v>76</v>
      </c>
      <c r="D726" s="96" t="s">
        <v>82</v>
      </c>
      <c r="E726" s="97">
        <v>15947</v>
      </c>
      <c r="F726" s="97">
        <v>961</v>
      </c>
      <c r="G726" s="97">
        <v>1595</v>
      </c>
      <c r="H726" s="114">
        <v>35.97810077706572</v>
      </c>
      <c r="I726" s="125">
        <v>25848</v>
      </c>
      <c r="J726" s="115">
        <v>24.333275714716205</v>
      </c>
    </row>
    <row r="727" spans="1:10" ht="16">
      <c r="A727" s="100" t="s">
        <v>173</v>
      </c>
      <c r="B727" s="101" t="s">
        <v>150</v>
      </c>
      <c r="C727" s="102" t="s">
        <v>76</v>
      </c>
      <c r="D727" s="103" t="s">
        <v>61</v>
      </c>
      <c r="E727" s="104">
        <v>11911</v>
      </c>
      <c r="F727" s="104">
        <v>953</v>
      </c>
      <c r="G727" s="104">
        <v>820</v>
      </c>
      <c r="H727" s="116">
        <v>9.1420125163856216</v>
      </c>
      <c r="I727" s="126">
        <v>2345</v>
      </c>
      <c r="J727" s="117">
        <v>18.553383407151369</v>
      </c>
    </row>
    <row r="728" spans="1:10" ht="16">
      <c r="A728" s="93" t="s">
        <v>174</v>
      </c>
      <c r="B728" s="94" t="s">
        <v>150</v>
      </c>
      <c r="C728" s="95" t="s">
        <v>76</v>
      </c>
      <c r="D728" s="96" t="s">
        <v>92</v>
      </c>
      <c r="E728" s="97">
        <v>3954</v>
      </c>
      <c r="F728" s="97">
        <v>841</v>
      </c>
      <c r="G728" s="97">
        <v>272</v>
      </c>
      <c r="H728" s="114">
        <v>7.6334975589890739</v>
      </c>
      <c r="I728" s="125">
        <v>701</v>
      </c>
      <c r="J728" s="115">
        <v>27.702587704471171</v>
      </c>
    </row>
    <row r="729" spans="1:10" ht="16">
      <c r="A729" s="100" t="s">
        <v>978</v>
      </c>
      <c r="B729" s="101" t="s">
        <v>977</v>
      </c>
      <c r="C729" s="102" t="s">
        <v>76</v>
      </c>
      <c r="D729" s="103" t="s">
        <v>80</v>
      </c>
      <c r="E729" s="104">
        <v>24308</v>
      </c>
      <c r="F729" s="104">
        <v>931</v>
      </c>
      <c r="G729" s="104">
        <v>1945</v>
      </c>
      <c r="H729" s="116">
        <v>35.541707523587007</v>
      </c>
      <c r="I729" s="126">
        <v>25887</v>
      </c>
      <c r="J729" s="117">
        <v>30.421433125470173</v>
      </c>
    </row>
    <row r="730" spans="1:10" ht="16">
      <c r="A730" s="93" t="s">
        <v>1366</v>
      </c>
      <c r="B730" s="94" t="s">
        <v>1288</v>
      </c>
      <c r="C730" s="95" t="s">
        <v>107</v>
      </c>
      <c r="D730" s="96" t="s">
        <v>59</v>
      </c>
      <c r="E730" s="97">
        <v>5943</v>
      </c>
      <c r="F730" s="97">
        <v>356</v>
      </c>
      <c r="G730" s="97">
        <v>2258</v>
      </c>
      <c r="H730" s="114">
        <v>15.978365364628822</v>
      </c>
      <c r="I730" s="125">
        <v>9296</v>
      </c>
      <c r="J730" s="115">
        <v>23.132750161748401</v>
      </c>
    </row>
    <row r="731" spans="1:10" ht="16">
      <c r="A731" s="100" t="s">
        <v>1067</v>
      </c>
      <c r="B731" s="101" t="s">
        <v>1062</v>
      </c>
      <c r="C731" s="102" t="s">
        <v>107</v>
      </c>
      <c r="D731" s="103" t="s">
        <v>59</v>
      </c>
      <c r="E731" s="104">
        <v>27185</v>
      </c>
      <c r="F731" s="104">
        <v>1394</v>
      </c>
      <c r="G731" s="104">
        <v>3806</v>
      </c>
      <c r="H731" s="116">
        <v>46.818370813751017</v>
      </c>
      <c r="I731" s="126">
        <v>39533</v>
      </c>
      <c r="J731" s="117">
        <v>30.648948041356736</v>
      </c>
    </row>
    <row r="732" spans="1:10" ht="16">
      <c r="A732" s="93" t="s">
        <v>1367</v>
      </c>
      <c r="B732" s="94" t="s">
        <v>1288</v>
      </c>
      <c r="C732" s="95" t="s">
        <v>107</v>
      </c>
      <c r="D732" s="96" t="s">
        <v>92</v>
      </c>
      <c r="E732" s="97">
        <v>24201</v>
      </c>
      <c r="F732" s="97">
        <v>2305</v>
      </c>
      <c r="G732" s="97">
        <v>5566</v>
      </c>
      <c r="H732" s="114">
        <v>24.484116656513898</v>
      </c>
      <c r="I732" s="125">
        <v>18213</v>
      </c>
      <c r="J732" s="115">
        <v>34.981628655483739</v>
      </c>
    </row>
    <row r="733" spans="1:10" ht="16">
      <c r="A733" s="100" t="s">
        <v>361</v>
      </c>
      <c r="B733" s="101" t="s">
        <v>344</v>
      </c>
      <c r="C733" s="102" t="s">
        <v>76</v>
      </c>
      <c r="D733" s="103" t="s">
        <v>61</v>
      </c>
      <c r="E733" s="104">
        <v>35363</v>
      </c>
      <c r="F733" s="104">
        <v>3274</v>
      </c>
      <c r="G733" s="104">
        <v>354</v>
      </c>
      <c r="H733" s="116">
        <v>9.1858994872366679</v>
      </c>
      <c r="I733" s="126">
        <v>7302</v>
      </c>
      <c r="J733" s="117">
        <v>20.598147166696275</v>
      </c>
    </row>
    <row r="734" spans="1:10" ht="16">
      <c r="A734" s="93" t="s">
        <v>855</v>
      </c>
      <c r="B734" s="94" t="s">
        <v>856</v>
      </c>
      <c r="C734" s="95" t="s">
        <v>107</v>
      </c>
      <c r="D734" s="96" t="s">
        <v>84</v>
      </c>
      <c r="E734" s="97">
        <v>6823</v>
      </c>
      <c r="F734" s="97">
        <v>922</v>
      </c>
      <c r="G734" s="97">
        <v>273</v>
      </c>
      <c r="H734" s="114">
        <v>10.719996475816751</v>
      </c>
      <c r="I734" s="125">
        <v>2028</v>
      </c>
      <c r="J734" s="115">
        <v>23.945569917969028</v>
      </c>
    </row>
    <row r="735" spans="1:10" ht="16">
      <c r="A735" s="100" t="s">
        <v>1181</v>
      </c>
      <c r="B735" s="101" t="s">
        <v>1178</v>
      </c>
      <c r="C735" s="102" t="s">
        <v>107</v>
      </c>
      <c r="D735" s="103" t="s">
        <v>59</v>
      </c>
      <c r="E735" s="104">
        <v>9293</v>
      </c>
      <c r="F735" s="104">
        <v>894</v>
      </c>
      <c r="G735" s="104">
        <v>1208</v>
      </c>
      <c r="H735" s="116">
        <v>10.299579088837159</v>
      </c>
      <c r="I735" s="126">
        <v>1424</v>
      </c>
      <c r="J735" s="117">
        <v>19.972322175119416</v>
      </c>
    </row>
    <row r="736" spans="1:10" ht="16">
      <c r="A736" s="93" t="s">
        <v>284</v>
      </c>
      <c r="B736" s="94" t="s">
        <v>223</v>
      </c>
      <c r="C736" s="95" t="s">
        <v>76</v>
      </c>
      <c r="D736" s="96" t="s">
        <v>82</v>
      </c>
      <c r="E736" s="97">
        <v>53603</v>
      </c>
      <c r="F736" s="97">
        <v>3229</v>
      </c>
      <c r="G736" s="97">
        <v>4824</v>
      </c>
      <c r="H736" s="114">
        <v>36.049444509749492</v>
      </c>
      <c r="I736" s="125">
        <v>22810</v>
      </c>
      <c r="J736" s="115">
        <v>43.855599920942652</v>
      </c>
    </row>
    <row r="737" spans="1:10" ht="16">
      <c r="A737" s="100" t="s">
        <v>1013</v>
      </c>
      <c r="B737" s="101" t="s">
        <v>988</v>
      </c>
      <c r="C737" s="102" t="s">
        <v>107</v>
      </c>
      <c r="D737" s="103" t="s">
        <v>82</v>
      </c>
      <c r="E737" s="104">
        <v>23342</v>
      </c>
      <c r="F737" s="104">
        <v>1197</v>
      </c>
      <c r="G737" s="104">
        <v>3501</v>
      </c>
      <c r="H737" s="116">
        <v>61.341278895734497</v>
      </c>
      <c r="I737" s="126">
        <v>43096</v>
      </c>
      <c r="J737" s="117">
        <v>58.418160182931857</v>
      </c>
    </row>
    <row r="738" spans="1:10" ht="16">
      <c r="A738" s="93" t="s">
        <v>1132</v>
      </c>
      <c r="B738" s="94" t="s">
        <v>1120</v>
      </c>
      <c r="C738" s="95" t="s">
        <v>76</v>
      </c>
      <c r="D738" s="96" t="s">
        <v>82</v>
      </c>
      <c r="E738" s="97">
        <v>15901</v>
      </c>
      <c r="F738" s="97">
        <v>466</v>
      </c>
      <c r="G738" s="97">
        <v>159</v>
      </c>
      <c r="H738" s="114">
        <v>13.020303793166157</v>
      </c>
      <c r="I738" s="125">
        <v>3436</v>
      </c>
      <c r="J738" s="115">
        <v>20.467749331427918</v>
      </c>
    </row>
    <row r="739" spans="1:10" ht="16">
      <c r="A739" s="100" t="s">
        <v>1233</v>
      </c>
      <c r="B739" s="101" t="s">
        <v>1190</v>
      </c>
      <c r="C739" s="102" t="s">
        <v>107</v>
      </c>
      <c r="D739" s="103" t="s">
        <v>84</v>
      </c>
      <c r="E739" s="104">
        <v>16445</v>
      </c>
      <c r="F739" s="104">
        <v>985</v>
      </c>
      <c r="G739" s="104">
        <v>3782</v>
      </c>
      <c r="H739" s="116">
        <v>24.713942772970288</v>
      </c>
      <c r="I739" s="126">
        <v>22592</v>
      </c>
      <c r="J739" s="117">
        <v>22.095863109820741</v>
      </c>
    </row>
    <row r="740" spans="1:10" ht="16">
      <c r="A740" s="93" t="s">
        <v>1068</v>
      </c>
      <c r="B740" s="94" t="s">
        <v>1062</v>
      </c>
      <c r="C740" s="95" t="s">
        <v>76</v>
      </c>
      <c r="D740" s="96" t="s">
        <v>63</v>
      </c>
      <c r="E740" s="97">
        <v>3737</v>
      </c>
      <c r="F740" s="97">
        <v>830</v>
      </c>
      <c r="G740" s="97">
        <v>149</v>
      </c>
      <c r="H740" s="114">
        <v>30.177459832138577</v>
      </c>
      <c r="I740" s="125">
        <v>21739</v>
      </c>
      <c r="J740" s="115">
        <v>31.160231205814515</v>
      </c>
    </row>
    <row r="741" spans="1:10" ht="16">
      <c r="A741" s="100" t="s">
        <v>109</v>
      </c>
      <c r="B741" s="101" t="s">
        <v>89</v>
      </c>
      <c r="C741" s="102" t="s">
        <v>107</v>
      </c>
      <c r="D741" s="103" t="s">
        <v>84</v>
      </c>
      <c r="E741" s="104">
        <v>14379</v>
      </c>
      <c r="F741" s="104">
        <v>515</v>
      </c>
      <c r="G741" s="104">
        <v>3882</v>
      </c>
      <c r="H741" s="116">
        <v>29.154219883131329</v>
      </c>
      <c r="I741" s="126">
        <v>19274</v>
      </c>
      <c r="J741" s="117">
        <v>25.463722548112198</v>
      </c>
    </row>
    <row r="742" spans="1:10" ht="16">
      <c r="A742" s="93" t="s">
        <v>886</v>
      </c>
      <c r="B742" s="94" t="s">
        <v>879</v>
      </c>
      <c r="C742" s="95" t="s">
        <v>76</v>
      </c>
      <c r="D742" s="96" t="s">
        <v>82</v>
      </c>
      <c r="E742" s="97">
        <v>13561</v>
      </c>
      <c r="F742" s="97">
        <v>384</v>
      </c>
      <c r="G742" s="97">
        <v>1220</v>
      </c>
      <c r="H742" s="114">
        <v>13.169573031061596</v>
      </c>
      <c r="I742" s="125">
        <v>2658</v>
      </c>
      <c r="J742" s="115">
        <v>15.804360016052456</v>
      </c>
    </row>
    <row r="743" spans="1:10" ht="16">
      <c r="A743" s="100" t="s">
        <v>1368</v>
      </c>
      <c r="B743" s="101" t="s">
        <v>1288</v>
      </c>
      <c r="C743" s="102" t="s">
        <v>76</v>
      </c>
      <c r="D743" s="103" t="s">
        <v>82</v>
      </c>
      <c r="E743" s="104">
        <v>20236</v>
      </c>
      <c r="F743" s="104">
        <v>1289</v>
      </c>
      <c r="G743" s="104">
        <v>4047</v>
      </c>
      <c r="H743" s="116">
        <v>29.689127490261811</v>
      </c>
      <c r="I743" s="126">
        <v>23191</v>
      </c>
      <c r="J743" s="117">
        <v>35.96401959970207</v>
      </c>
    </row>
    <row r="744" spans="1:10" ht="16">
      <c r="A744" s="93" t="s">
        <v>563</v>
      </c>
      <c r="B744" s="94" t="s">
        <v>537</v>
      </c>
      <c r="C744" s="95" t="s">
        <v>107</v>
      </c>
      <c r="D744" s="96" t="s">
        <v>62</v>
      </c>
      <c r="E744" s="97">
        <v>8047</v>
      </c>
      <c r="F744" s="97">
        <v>847</v>
      </c>
      <c r="G744" s="97">
        <v>370</v>
      </c>
      <c r="H744" s="114">
        <v>12.192006569851824</v>
      </c>
      <c r="I744" s="125">
        <v>4467</v>
      </c>
      <c r="J744" s="115">
        <v>45.514988455145719</v>
      </c>
    </row>
    <row r="745" spans="1:10" ht="16">
      <c r="A745" s="100" t="s">
        <v>1112</v>
      </c>
      <c r="B745" s="101" t="s">
        <v>1081</v>
      </c>
      <c r="C745" s="102" t="s">
        <v>76</v>
      </c>
      <c r="D745" s="103" t="s">
        <v>77</v>
      </c>
      <c r="E745" s="104">
        <v>5973</v>
      </c>
      <c r="F745" s="104">
        <v>586</v>
      </c>
      <c r="G745" s="104">
        <v>597</v>
      </c>
      <c r="H745" s="116">
        <v>31.86940854743273</v>
      </c>
      <c r="I745" s="126">
        <v>21611</v>
      </c>
      <c r="J745" s="117">
        <v>29.405520350318561</v>
      </c>
    </row>
    <row r="746" spans="1:10" ht="16">
      <c r="A746" s="93" t="s">
        <v>364</v>
      </c>
      <c r="B746" s="94" t="s">
        <v>365</v>
      </c>
      <c r="C746" s="95" t="s">
        <v>76</v>
      </c>
      <c r="D746" s="96" t="s">
        <v>60</v>
      </c>
      <c r="E746" s="97">
        <v>7681</v>
      </c>
      <c r="F746" s="97">
        <v>282</v>
      </c>
      <c r="G746" s="97">
        <v>922</v>
      </c>
      <c r="H746" s="114">
        <v>20.359110078882111</v>
      </c>
      <c r="I746" s="125">
        <v>5937</v>
      </c>
      <c r="J746" s="115">
        <v>17.21686207613195</v>
      </c>
    </row>
    <row r="747" spans="1:10" ht="16">
      <c r="A747" s="100" t="s">
        <v>366</v>
      </c>
      <c r="B747" s="101" t="s">
        <v>365</v>
      </c>
      <c r="C747" s="102" t="s">
        <v>107</v>
      </c>
      <c r="D747" s="103" t="s">
        <v>82</v>
      </c>
      <c r="E747" s="104">
        <v>9895</v>
      </c>
      <c r="F747" s="104">
        <v>454</v>
      </c>
      <c r="G747" s="104">
        <v>1385</v>
      </c>
      <c r="H747" s="116">
        <v>13.943605636611043</v>
      </c>
      <c r="I747" s="126">
        <v>3767</v>
      </c>
      <c r="J747" s="117">
        <v>17.740898577878976</v>
      </c>
    </row>
    <row r="748" spans="1:10" ht="16">
      <c r="A748" s="93" t="s">
        <v>522</v>
      </c>
      <c r="B748" s="94" t="s">
        <v>474</v>
      </c>
      <c r="C748" s="95" t="s">
        <v>76</v>
      </c>
      <c r="D748" s="96" t="s">
        <v>63</v>
      </c>
      <c r="E748" s="97">
        <v>6279</v>
      </c>
      <c r="F748" s="97">
        <v>826</v>
      </c>
      <c r="G748" s="97">
        <v>141</v>
      </c>
      <c r="H748" s="114">
        <v>9.8318299041717694</v>
      </c>
      <c r="I748" s="125">
        <v>340</v>
      </c>
      <c r="J748" s="115">
        <v>24.017507554400414</v>
      </c>
    </row>
    <row r="749" spans="1:10" ht="16">
      <c r="A749" s="100" t="s">
        <v>1113</v>
      </c>
      <c r="B749" s="101" t="s">
        <v>1081</v>
      </c>
      <c r="C749" s="102" t="s">
        <v>107</v>
      </c>
      <c r="D749" s="103" t="s">
        <v>82</v>
      </c>
      <c r="E749" s="104">
        <v>26032</v>
      </c>
      <c r="F749" s="104">
        <v>1054</v>
      </c>
      <c r="G749" s="104">
        <v>2083</v>
      </c>
      <c r="H749" s="116">
        <v>13.804006173635244</v>
      </c>
      <c r="I749" s="126">
        <v>1712</v>
      </c>
      <c r="J749" s="117">
        <v>16.739425339967212</v>
      </c>
    </row>
    <row r="750" spans="1:10" ht="16">
      <c r="A750" s="93" t="s">
        <v>371</v>
      </c>
      <c r="B750" s="94" t="s">
        <v>369</v>
      </c>
      <c r="C750" s="95" t="s">
        <v>76</v>
      </c>
      <c r="D750" s="96" t="s">
        <v>63</v>
      </c>
      <c r="E750" s="97">
        <v>15149</v>
      </c>
      <c r="F750" s="97">
        <v>695</v>
      </c>
      <c r="G750" s="97">
        <v>909</v>
      </c>
      <c r="H750" s="114">
        <v>35.104264128766779</v>
      </c>
      <c r="I750" s="125">
        <v>28474</v>
      </c>
      <c r="J750" s="115">
        <v>27.170956827708522</v>
      </c>
    </row>
    <row r="751" spans="1:10" ht="16">
      <c r="A751" s="100" t="s">
        <v>362</v>
      </c>
      <c r="B751" s="101" t="s">
        <v>344</v>
      </c>
      <c r="C751" s="102" t="s">
        <v>76</v>
      </c>
      <c r="D751" s="103" t="s">
        <v>82</v>
      </c>
      <c r="E751" s="104">
        <v>128995</v>
      </c>
      <c r="F751" s="104">
        <v>5466</v>
      </c>
      <c r="G751" s="104">
        <v>1290</v>
      </c>
      <c r="H751" s="116">
        <v>8.2799719108970073</v>
      </c>
      <c r="I751" s="126">
        <v>2647</v>
      </c>
      <c r="J751" s="117">
        <v>21.226601241320402</v>
      </c>
    </row>
    <row r="752" spans="1:10" ht="16">
      <c r="A752" s="93" t="s">
        <v>1182</v>
      </c>
      <c r="B752" s="94" t="s">
        <v>1178</v>
      </c>
      <c r="C752" s="95" t="s">
        <v>76</v>
      </c>
      <c r="D752" s="96" t="s">
        <v>60</v>
      </c>
      <c r="E752" s="97">
        <v>23229</v>
      </c>
      <c r="F752" s="97">
        <v>2640</v>
      </c>
      <c r="G752" s="97">
        <v>697</v>
      </c>
      <c r="H752" s="114">
        <v>10.210257941266896</v>
      </c>
      <c r="I752" s="125">
        <v>897</v>
      </c>
      <c r="J752" s="115">
        <v>24.070943157665031</v>
      </c>
    </row>
    <row r="753" spans="1:10" ht="16">
      <c r="A753" s="100" t="s">
        <v>418</v>
      </c>
      <c r="B753" s="101" t="s">
        <v>402</v>
      </c>
      <c r="C753" s="102" t="s">
        <v>107</v>
      </c>
      <c r="D753" s="103" t="s">
        <v>82</v>
      </c>
      <c r="E753" s="104">
        <v>22622</v>
      </c>
      <c r="F753" s="104">
        <v>373</v>
      </c>
      <c r="G753" s="104">
        <v>5429</v>
      </c>
      <c r="H753" s="116">
        <v>54.828762775459232</v>
      </c>
      <c r="I753" s="126">
        <v>33673</v>
      </c>
      <c r="J753" s="117">
        <v>51.034988279257128</v>
      </c>
    </row>
    <row r="754" spans="1:10" ht="16">
      <c r="A754" s="93" t="s">
        <v>915</v>
      </c>
      <c r="B754" s="94" t="s">
        <v>909</v>
      </c>
      <c r="C754" s="95" t="s">
        <v>107</v>
      </c>
      <c r="D754" s="96" t="s">
        <v>59</v>
      </c>
      <c r="E754" s="97">
        <v>19745</v>
      </c>
      <c r="F754" s="97">
        <v>1103</v>
      </c>
      <c r="G754" s="97">
        <v>197</v>
      </c>
      <c r="H754" s="114">
        <v>9.9100772949956379</v>
      </c>
      <c r="I754" s="125">
        <v>1681</v>
      </c>
      <c r="J754" s="115">
        <v>15.589594302580249</v>
      </c>
    </row>
    <row r="755" spans="1:10" ht="16">
      <c r="A755" s="100" t="s">
        <v>419</v>
      </c>
      <c r="B755" s="101" t="s">
        <v>402</v>
      </c>
      <c r="C755" s="102" t="s">
        <v>107</v>
      </c>
      <c r="D755" s="103" t="s">
        <v>61</v>
      </c>
      <c r="E755" s="104">
        <v>18166</v>
      </c>
      <c r="F755" s="104">
        <v>445</v>
      </c>
      <c r="G755" s="104">
        <v>3088</v>
      </c>
      <c r="H755" s="116">
        <v>44.598478735349765</v>
      </c>
      <c r="I755" s="126">
        <v>22316</v>
      </c>
      <c r="J755" s="117">
        <v>43.212520905461005</v>
      </c>
    </row>
    <row r="756" spans="1:10" ht="16">
      <c r="A756" s="93" t="s">
        <v>340</v>
      </c>
      <c r="B756" s="94" t="s">
        <v>336</v>
      </c>
      <c r="C756" s="95" t="s">
        <v>107</v>
      </c>
      <c r="D756" s="96" t="s">
        <v>82</v>
      </c>
      <c r="E756" s="97">
        <v>9265</v>
      </c>
      <c r="F756" s="97">
        <v>1404</v>
      </c>
      <c r="G756" s="97">
        <v>2316</v>
      </c>
      <c r="H756" s="114">
        <v>40.49590139509845</v>
      </c>
      <c r="I756" s="125">
        <v>29771</v>
      </c>
      <c r="J756" s="115">
        <v>40.308605161934267</v>
      </c>
    </row>
    <row r="757" spans="1:10" ht="16">
      <c r="A757" s="100" t="s">
        <v>328</v>
      </c>
      <c r="B757" s="101" t="s">
        <v>322</v>
      </c>
      <c r="C757" s="102" t="s">
        <v>76</v>
      </c>
      <c r="D757" s="103" t="s">
        <v>84</v>
      </c>
      <c r="E757" s="104">
        <v>5321</v>
      </c>
      <c r="F757" s="104">
        <v>560</v>
      </c>
      <c r="G757" s="104">
        <v>639</v>
      </c>
      <c r="H757" s="116">
        <v>11.944801476803935</v>
      </c>
      <c r="I757" s="126">
        <v>705</v>
      </c>
      <c r="J757" s="117">
        <v>20.605141657607611</v>
      </c>
    </row>
    <row r="758" spans="1:10" ht="16">
      <c r="A758" s="93" t="s">
        <v>1031</v>
      </c>
      <c r="B758" s="94" t="s">
        <v>1020</v>
      </c>
      <c r="C758" s="95" t="s">
        <v>107</v>
      </c>
      <c r="D758" s="96" t="s">
        <v>84</v>
      </c>
      <c r="E758" s="97">
        <v>40592</v>
      </c>
      <c r="F758" s="97">
        <v>2899</v>
      </c>
      <c r="G758" s="97">
        <v>5277</v>
      </c>
      <c r="H758" s="114">
        <v>15.657062693150019</v>
      </c>
      <c r="I758" s="125">
        <v>5712</v>
      </c>
      <c r="J758" s="115">
        <v>22.785759637618842</v>
      </c>
    </row>
    <row r="759" spans="1:10" ht="16">
      <c r="A759" s="100" t="s">
        <v>420</v>
      </c>
      <c r="B759" s="101" t="s">
        <v>402</v>
      </c>
      <c r="C759" s="102" t="s">
        <v>107</v>
      </c>
      <c r="D759" s="103" t="s">
        <v>82</v>
      </c>
      <c r="E759" s="104">
        <v>40472</v>
      </c>
      <c r="F759" s="104">
        <v>847</v>
      </c>
      <c r="G759" s="104">
        <v>10927</v>
      </c>
      <c r="H759" s="116">
        <v>70.46591781372004</v>
      </c>
      <c r="I759" s="126">
        <v>60289</v>
      </c>
      <c r="J759" s="117">
        <v>65.28285010166563</v>
      </c>
    </row>
    <row r="760" spans="1:10" ht="16">
      <c r="A760" s="93" t="s">
        <v>594</v>
      </c>
      <c r="B760" s="94" t="s">
        <v>591</v>
      </c>
      <c r="C760" s="95" t="s">
        <v>107</v>
      </c>
      <c r="D760" s="96" t="s">
        <v>84</v>
      </c>
      <c r="E760" s="97">
        <v>14703</v>
      </c>
      <c r="F760" s="97">
        <v>674</v>
      </c>
      <c r="G760" s="97">
        <v>735</v>
      </c>
      <c r="H760" s="114">
        <v>32.036202461076634</v>
      </c>
      <c r="I760" s="125">
        <v>17953</v>
      </c>
      <c r="J760" s="115">
        <v>32.980728880647909</v>
      </c>
    </row>
    <row r="761" spans="1:10" ht="16">
      <c r="A761" s="100" t="s">
        <v>585</v>
      </c>
      <c r="B761" s="101" t="s">
        <v>581</v>
      </c>
      <c r="C761" s="102" t="s">
        <v>107</v>
      </c>
      <c r="D761" s="103" t="s">
        <v>130</v>
      </c>
      <c r="E761" s="104">
        <v>14904</v>
      </c>
      <c r="F761" s="104">
        <v>745</v>
      </c>
      <c r="G761" s="104">
        <v>2981</v>
      </c>
      <c r="H761" s="116">
        <v>14.20251779841014</v>
      </c>
      <c r="I761" s="126">
        <v>4393</v>
      </c>
      <c r="J761" s="117">
        <v>16.560177740197688</v>
      </c>
    </row>
    <row r="762" spans="1:10" ht="16">
      <c r="A762" s="93" t="s">
        <v>1234</v>
      </c>
      <c r="B762" s="94" t="s">
        <v>1190</v>
      </c>
      <c r="C762" s="95" t="s">
        <v>76</v>
      </c>
      <c r="D762" s="96" t="s">
        <v>61</v>
      </c>
      <c r="E762" s="97">
        <v>11919</v>
      </c>
      <c r="F762" s="97">
        <v>651</v>
      </c>
      <c r="G762" s="97">
        <v>1311</v>
      </c>
      <c r="H762" s="114">
        <v>10.667218675330394</v>
      </c>
      <c r="I762" s="125">
        <v>4681</v>
      </c>
      <c r="J762" s="115">
        <v>15.808348925125959</v>
      </c>
    </row>
    <row r="763" spans="1:10" ht="16">
      <c r="A763" s="100" t="s">
        <v>564</v>
      </c>
      <c r="B763" s="101" t="s">
        <v>537</v>
      </c>
      <c r="C763" s="102" t="s">
        <v>76</v>
      </c>
      <c r="D763" s="103" t="s">
        <v>82</v>
      </c>
      <c r="E763" s="104">
        <v>12511</v>
      </c>
      <c r="F763" s="104">
        <v>1813</v>
      </c>
      <c r="G763" s="104">
        <v>876</v>
      </c>
      <c r="H763" s="116">
        <v>16.618571172818516</v>
      </c>
      <c r="I763" s="126">
        <v>7815</v>
      </c>
      <c r="J763" s="117">
        <v>45.07545733190544</v>
      </c>
    </row>
    <row r="764" spans="1:10" ht="16">
      <c r="A764" s="93" t="s">
        <v>716</v>
      </c>
      <c r="B764" s="94" t="s">
        <v>642</v>
      </c>
      <c r="C764" s="95" t="s">
        <v>107</v>
      </c>
      <c r="D764" s="96" t="s">
        <v>82</v>
      </c>
      <c r="E764" s="97">
        <v>22873</v>
      </c>
      <c r="F764" s="97">
        <v>1370</v>
      </c>
      <c r="G764" s="97">
        <v>457</v>
      </c>
      <c r="H764" s="114">
        <v>11.000871000582023</v>
      </c>
      <c r="I764" s="125">
        <v>10507</v>
      </c>
      <c r="J764" s="115">
        <v>15.016235365914289</v>
      </c>
    </row>
    <row r="765" spans="1:10" ht="16">
      <c r="A765" s="100" t="s">
        <v>595</v>
      </c>
      <c r="B765" s="101" t="s">
        <v>591</v>
      </c>
      <c r="C765" s="102" t="s">
        <v>76</v>
      </c>
      <c r="D765" s="103" t="s">
        <v>63</v>
      </c>
      <c r="E765" s="104">
        <v>22414</v>
      </c>
      <c r="F765" s="104">
        <v>1005</v>
      </c>
      <c r="G765" s="104">
        <v>1569</v>
      </c>
      <c r="H765" s="116">
        <v>51.759279116960883</v>
      </c>
      <c r="I765" s="126">
        <v>36644</v>
      </c>
      <c r="J765" s="117">
        <v>42.279593752462944</v>
      </c>
    </row>
    <row r="766" spans="1:10" ht="16">
      <c r="A766" s="93" t="s">
        <v>1369</v>
      </c>
      <c r="B766" s="94" t="s">
        <v>1288</v>
      </c>
      <c r="C766" s="95" t="s">
        <v>76</v>
      </c>
      <c r="D766" s="96" t="s">
        <v>82</v>
      </c>
      <c r="E766" s="97">
        <v>35814</v>
      </c>
      <c r="F766" s="97">
        <v>2755</v>
      </c>
      <c r="G766" s="97">
        <v>3223</v>
      </c>
      <c r="H766" s="114">
        <v>24.346666911344315</v>
      </c>
      <c r="I766" s="125">
        <v>18735</v>
      </c>
      <c r="J766" s="115">
        <v>39.989371720091484</v>
      </c>
    </row>
    <row r="767" spans="1:10" ht="16">
      <c r="A767" s="100" t="s">
        <v>1370</v>
      </c>
      <c r="B767" s="101" t="s">
        <v>1288</v>
      </c>
      <c r="C767" s="102" t="s">
        <v>107</v>
      </c>
      <c r="D767" s="103" t="s">
        <v>84</v>
      </c>
      <c r="E767" s="104">
        <v>60818</v>
      </c>
      <c r="F767" s="104">
        <v>2452</v>
      </c>
      <c r="G767" s="104">
        <v>4865</v>
      </c>
      <c r="H767" s="116">
        <v>54.847323748206335</v>
      </c>
      <c r="I767" s="126">
        <v>34513</v>
      </c>
      <c r="J767" s="117">
        <v>50.280084557905397</v>
      </c>
    </row>
    <row r="768" spans="1:10" ht="16">
      <c r="A768" s="93" t="s">
        <v>1371</v>
      </c>
      <c r="B768" s="94" t="s">
        <v>1288</v>
      </c>
      <c r="C768" s="95" t="s">
        <v>76</v>
      </c>
      <c r="D768" s="96" t="s">
        <v>82</v>
      </c>
      <c r="E768" s="97">
        <v>31893</v>
      </c>
      <c r="F768" s="97">
        <v>1670</v>
      </c>
      <c r="G768" s="97">
        <v>319</v>
      </c>
      <c r="H768" s="114">
        <v>14.331369026239868</v>
      </c>
      <c r="I768" s="125">
        <v>3916</v>
      </c>
      <c r="J768" s="115">
        <v>17.439161718130254</v>
      </c>
    </row>
    <row r="769" spans="1:10" ht="16">
      <c r="A769" s="100" t="s">
        <v>1372</v>
      </c>
      <c r="B769" s="101" t="s">
        <v>1288</v>
      </c>
      <c r="C769" s="102" t="s">
        <v>107</v>
      </c>
      <c r="D769" s="103" t="s">
        <v>59</v>
      </c>
      <c r="E769" s="104">
        <v>33015</v>
      </c>
      <c r="F769" s="104">
        <v>1603</v>
      </c>
      <c r="G769" s="104">
        <v>2971</v>
      </c>
      <c r="H769" s="116">
        <v>21.350060345264726</v>
      </c>
      <c r="I769" s="126">
        <v>9821</v>
      </c>
      <c r="J769" s="117">
        <v>31.618328319721478</v>
      </c>
    </row>
    <row r="770" spans="1:10" ht="16">
      <c r="A770" s="93" t="s">
        <v>523</v>
      </c>
      <c r="B770" s="94" t="s">
        <v>474</v>
      </c>
      <c r="C770" s="95" t="s">
        <v>107</v>
      </c>
      <c r="D770" s="96" t="s">
        <v>61</v>
      </c>
      <c r="E770" s="97">
        <v>3904</v>
      </c>
      <c r="F770" s="97">
        <v>279</v>
      </c>
      <c r="G770" s="97">
        <v>39</v>
      </c>
      <c r="H770" s="114">
        <v>13.384249918398329</v>
      </c>
      <c r="I770" s="125">
        <v>3708</v>
      </c>
      <c r="J770" s="115">
        <v>27.063152791639688</v>
      </c>
    </row>
    <row r="771" spans="1:10" ht="16">
      <c r="A771" s="100" t="s">
        <v>1133</v>
      </c>
      <c r="B771" s="101" t="s">
        <v>1120</v>
      </c>
      <c r="C771" s="102" t="s">
        <v>76</v>
      </c>
      <c r="D771" s="103" t="s">
        <v>60</v>
      </c>
      <c r="E771" s="104">
        <v>33506</v>
      </c>
      <c r="F771" s="104">
        <v>2769</v>
      </c>
      <c r="G771" s="104">
        <v>335</v>
      </c>
      <c r="H771" s="116">
        <v>12.499335177738955</v>
      </c>
      <c r="I771" s="126">
        <v>1424</v>
      </c>
      <c r="J771" s="117">
        <v>19.425809869017787</v>
      </c>
    </row>
    <row r="772" spans="1:10" ht="16">
      <c r="A772" s="93" t="s">
        <v>524</v>
      </c>
      <c r="B772" s="94" t="s">
        <v>474</v>
      </c>
      <c r="C772" s="95" t="s">
        <v>107</v>
      </c>
      <c r="D772" s="96" t="s">
        <v>80</v>
      </c>
      <c r="E772" s="97">
        <v>7752</v>
      </c>
      <c r="F772" s="97">
        <v>524</v>
      </c>
      <c r="G772" s="97">
        <v>78</v>
      </c>
      <c r="H772" s="114">
        <v>10.674673712332799</v>
      </c>
      <c r="I772" s="125">
        <v>6491</v>
      </c>
      <c r="J772" s="115">
        <v>20.008960281741217</v>
      </c>
    </row>
    <row r="773" spans="1:10" ht="16">
      <c r="A773" s="100" t="s">
        <v>463</v>
      </c>
      <c r="B773" s="101" t="s">
        <v>459</v>
      </c>
      <c r="C773" s="102" t="s">
        <v>107</v>
      </c>
      <c r="D773" s="103" t="s">
        <v>82</v>
      </c>
      <c r="E773" s="104">
        <v>10125</v>
      </c>
      <c r="F773" s="104">
        <v>454</v>
      </c>
      <c r="G773" s="104">
        <v>3139</v>
      </c>
      <c r="H773" s="116">
        <v>67.099059988378272</v>
      </c>
      <c r="I773" s="126">
        <v>59433</v>
      </c>
      <c r="J773" s="117">
        <v>57.592364223334641</v>
      </c>
    </row>
    <row r="774" spans="1:10" ht="16">
      <c r="A774" s="93" t="s">
        <v>1373</v>
      </c>
      <c r="B774" s="94" t="s">
        <v>1288</v>
      </c>
      <c r="C774" s="95" t="s">
        <v>76</v>
      </c>
      <c r="D774" s="96" t="s">
        <v>60</v>
      </c>
      <c r="E774" s="97">
        <v>10434</v>
      </c>
      <c r="F774" s="97">
        <v>1110</v>
      </c>
      <c r="G774" s="97">
        <v>3652</v>
      </c>
      <c r="H774" s="114">
        <v>15.894865451063255</v>
      </c>
      <c r="I774" s="125">
        <v>4693</v>
      </c>
      <c r="J774" s="115">
        <v>23.923945020778987</v>
      </c>
    </row>
    <row r="775" spans="1:10" ht="16">
      <c r="A775" s="100" t="s">
        <v>1235</v>
      </c>
      <c r="B775" s="101" t="s">
        <v>1190</v>
      </c>
      <c r="C775" s="102" t="s">
        <v>76</v>
      </c>
      <c r="D775" s="103" t="s">
        <v>82</v>
      </c>
      <c r="E775" s="104">
        <v>61915</v>
      </c>
      <c r="F775" s="104">
        <v>1917</v>
      </c>
      <c r="G775" s="104">
        <v>4953</v>
      </c>
      <c r="H775" s="116">
        <v>16.618945290256967</v>
      </c>
      <c r="I775" s="126">
        <v>10750</v>
      </c>
      <c r="J775" s="117">
        <v>18.31620033692073</v>
      </c>
    </row>
    <row r="776" spans="1:10" ht="16">
      <c r="A776" s="93" t="s">
        <v>717</v>
      </c>
      <c r="B776" s="94" t="s">
        <v>642</v>
      </c>
      <c r="C776" s="95" t="s">
        <v>107</v>
      </c>
      <c r="D776" s="96" t="s">
        <v>130</v>
      </c>
      <c r="E776" s="97">
        <v>1165</v>
      </c>
      <c r="F776" s="97">
        <v>108</v>
      </c>
      <c r="G776" s="97">
        <v>58</v>
      </c>
      <c r="H776" s="114">
        <v>13.487437324111511</v>
      </c>
      <c r="I776" s="125">
        <v>5306</v>
      </c>
      <c r="J776" s="115">
        <v>21.600336832408242</v>
      </c>
    </row>
    <row r="777" spans="1:10" ht="16">
      <c r="A777" s="100" t="s">
        <v>718</v>
      </c>
      <c r="B777" s="101" t="s">
        <v>642</v>
      </c>
      <c r="C777" s="102" t="s">
        <v>107</v>
      </c>
      <c r="D777" s="103" t="s">
        <v>92</v>
      </c>
      <c r="E777" s="104">
        <v>4813</v>
      </c>
      <c r="F777" s="104">
        <v>319</v>
      </c>
      <c r="G777" s="104">
        <v>241</v>
      </c>
      <c r="H777" s="116">
        <v>19.351349130983266</v>
      </c>
      <c r="I777" s="126">
        <v>2638</v>
      </c>
      <c r="J777" s="117">
        <v>20.04331322264408</v>
      </c>
    </row>
    <row r="778" spans="1:10" ht="16">
      <c r="A778" s="93" t="s">
        <v>1374</v>
      </c>
      <c r="B778" s="94" t="s">
        <v>1288</v>
      </c>
      <c r="C778" s="95" t="s">
        <v>76</v>
      </c>
      <c r="D778" s="96" t="s">
        <v>63</v>
      </c>
      <c r="E778" s="97">
        <v>25907</v>
      </c>
      <c r="F778" s="97">
        <v>1542</v>
      </c>
      <c r="G778" s="97">
        <v>1295</v>
      </c>
      <c r="H778" s="114">
        <v>23.476418259864001</v>
      </c>
      <c r="I778" s="125">
        <v>18908</v>
      </c>
      <c r="J778" s="115">
        <v>33.013171603512141</v>
      </c>
    </row>
    <row r="779" spans="1:10" ht="16">
      <c r="A779" s="100" t="s">
        <v>639</v>
      </c>
      <c r="B779" s="101" t="s">
        <v>640</v>
      </c>
      <c r="C779" s="102" t="s">
        <v>76</v>
      </c>
      <c r="D779" s="103" t="s">
        <v>92</v>
      </c>
      <c r="E779" s="104">
        <v>23305</v>
      </c>
      <c r="F779" s="104">
        <v>1050</v>
      </c>
      <c r="G779" s="104">
        <v>233</v>
      </c>
      <c r="H779" s="116">
        <v>11.126543790448995</v>
      </c>
      <c r="I779" s="126">
        <v>8237</v>
      </c>
      <c r="J779" s="117">
        <v>18.735865599132701</v>
      </c>
    </row>
    <row r="780" spans="1:10" ht="16">
      <c r="A780" s="93" t="s">
        <v>719</v>
      </c>
      <c r="B780" s="94" t="s">
        <v>642</v>
      </c>
      <c r="C780" s="95" t="s">
        <v>107</v>
      </c>
      <c r="D780" s="96" t="s">
        <v>63</v>
      </c>
      <c r="E780" s="97">
        <v>25913</v>
      </c>
      <c r="F780" s="97">
        <v>2445</v>
      </c>
      <c r="G780" s="97">
        <v>3110</v>
      </c>
      <c r="H780" s="114">
        <v>89.708570607762056</v>
      </c>
      <c r="I780" s="125">
        <v>54521</v>
      </c>
      <c r="J780" s="115">
        <v>86.306807158326265</v>
      </c>
    </row>
    <row r="781" spans="1:10" ht="16">
      <c r="A781" s="100" t="s">
        <v>285</v>
      </c>
      <c r="B781" s="101" t="s">
        <v>223</v>
      </c>
      <c r="C781" s="102" t="s">
        <v>76</v>
      </c>
      <c r="D781" s="103" t="s">
        <v>82</v>
      </c>
      <c r="E781" s="104">
        <v>34780</v>
      </c>
      <c r="F781" s="104">
        <v>2484</v>
      </c>
      <c r="G781" s="104">
        <v>2087</v>
      </c>
      <c r="H781" s="116">
        <v>36.046886008105488</v>
      </c>
      <c r="I781" s="126">
        <v>13988</v>
      </c>
      <c r="J781" s="117">
        <v>33.331595248809798</v>
      </c>
    </row>
    <row r="782" spans="1:10" ht="16">
      <c r="A782" s="93" t="s">
        <v>826</v>
      </c>
      <c r="B782" s="94" t="s">
        <v>820</v>
      </c>
      <c r="C782" s="95" t="s">
        <v>107</v>
      </c>
      <c r="D782" s="96" t="s">
        <v>60</v>
      </c>
      <c r="E782" s="97">
        <v>8033</v>
      </c>
      <c r="F782" s="97">
        <v>375</v>
      </c>
      <c r="G782" s="97">
        <v>1205</v>
      </c>
      <c r="H782" s="114">
        <v>49.73236144231997</v>
      </c>
      <c r="I782" s="125">
        <v>30339</v>
      </c>
      <c r="J782" s="115">
        <v>37.353326932141741</v>
      </c>
    </row>
    <row r="783" spans="1:10" ht="16">
      <c r="A783" s="100" t="s">
        <v>1171</v>
      </c>
      <c r="B783" s="101" t="s">
        <v>1142</v>
      </c>
      <c r="C783" s="102" t="s">
        <v>107</v>
      </c>
      <c r="D783" s="103" t="s">
        <v>60</v>
      </c>
      <c r="E783" s="104">
        <v>5836</v>
      </c>
      <c r="F783" s="104">
        <v>347</v>
      </c>
      <c r="G783" s="104">
        <v>58</v>
      </c>
      <c r="H783" s="116">
        <v>11.437344041463405</v>
      </c>
      <c r="I783" s="126">
        <v>2693</v>
      </c>
      <c r="J783" s="117">
        <v>16.424419259361468</v>
      </c>
    </row>
    <row r="784" spans="1:10" ht="16">
      <c r="A784" s="93" t="s">
        <v>720</v>
      </c>
      <c r="B784" s="94" t="s">
        <v>642</v>
      </c>
      <c r="C784" s="95" t="s">
        <v>107</v>
      </c>
      <c r="D784" s="96" t="s">
        <v>92</v>
      </c>
      <c r="E784" s="97">
        <v>5204</v>
      </c>
      <c r="F784" s="97">
        <v>394</v>
      </c>
      <c r="G784" s="97">
        <v>52</v>
      </c>
      <c r="H784" s="114">
        <v>14.492008707694836</v>
      </c>
      <c r="I784" s="125">
        <v>3553</v>
      </c>
      <c r="J784" s="115">
        <v>22.145726834787155</v>
      </c>
    </row>
    <row r="785" spans="1:10" ht="16">
      <c r="A785" s="100" t="s">
        <v>721</v>
      </c>
      <c r="B785" s="101" t="s">
        <v>642</v>
      </c>
      <c r="C785" s="102" t="s">
        <v>107</v>
      </c>
      <c r="D785" s="103" t="s">
        <v>130</v>
      </c>
      <c r="E785" s="104">
        <v>17735</v>
      </c>
      <c r="F785" s="104">
        <v>2163</v>
      </c>
      <c r="G785" s="104">
        <v>2128</v>
      </c>
      <c r="H785" s="116">
        <v>54.494971288555817</v>
      </c>
      <c r="I785" s="126">
        <v>21750</v>
      </c>
      <c r="J785" s="117">
        <v>53.655876183777451</v>
      </c>
    </row>
    <row r="786" spans="1:10" ht="16">
      <c r="A786" s="93" t="s">
        <v>722</v>
      </c>
      <c r="B786" s="94" t="s">
        <v>642</v>
      </c>
      <c r="C786" s="95" t="s">
        <v>107</v>
      </c>
      <c r="D786" s="96" t="s">
        <v>84</v>
      </c>
      <c r="E786" s="97">
        <v>29848</v>
      </c>
      <c r="F786" s="97">
        <v>2296</v>
      </c>
      <c r="G786" s="97">
        <v>597</v>
      </c>
      <c r="H786" s="114">
        <v>10.235417962237323</v>
      </c>
      <c r="I786" s="125">
        <v>2122</v>
      </c>
      <c r="J786" s="115">
        <v>19.743676363304218</v>
      </c>
    </row>
    <row r="787" spans="1:10" ht="16">
      <c r="A787" s="100" t="s">
        <v>1172</v>
      </c>
      <c r="B787" s="101" t="s">
        <v>1142</v>
      </c>
      <c r="C787" s="102" t="s">
        <v>107</v>
      </c>
      <c r="D787" s="103" t="s">
        <v>59</v>
      </c>
      <c r="E787" s="104">
        <v>23679</v>
      </c>
      <c r="F787" s="104">
        <v>1133</v>
      </c>
      <c r="G787" s="104">
        <v>474</v>
      </c>
      <c r="H787" s="116">
        <v>8.6050098403031097</v>
      </c>
      <c r="I787" s="126">
        <v>1401</v>
      </c>
      <c r="J787" s="117">
        <v>13.665320464173334</v>
      </c>
    </row>
    <row r="788" spans="1:10" ht="16">
      <c r="A788" s="93" t="s">
        <v>723</v>
      </c>
      <c r="B788" s="94" t="s">
        <v>642</v>
      </c>
      <c r="C788" s="95" t="s">
        <v>107</v>
      </c>
      <c r="D788" s="96" t="s">
        <v>62</v>
      </c>
      <c r="E788" s="97">
        <v>7553</v>
      </c>
      <c r="F788" s="97">
        <v>868</v>
      </c>
      <c r="G788" s="97">
        <v>227</v>
      </c>
      <c r="H788" s="114">
        <v>19.229871276678931</v>
      </c>
      <c r="I788" s="125">
        <v>2945</v>
      </c>
      <c r="J788" s="115">
        <v>26.76453904352087</v>
      </c>
    </row>
    <row r="789" spans="1:10" ht="16">
      <c r="A789" s="100" t="s">
        <v>724</v>
      </c>
      <c r="B789" s="101" t="s">
        <v>642</v>
      </c>
      <c r="C789" s="102" t="s">
        <v>107</v>
      </c>
      <c r="D789" s="103" t="s">
        <v>63</v>
      </c>
      <c r="E789" s="104">
        <v>7481</v>
      </c>
      <c r="F789" s="104">
        <v>502</v>
      </c>
      <c r="G789" s="104">
        <v>75</v>
      </c>
      <c r="H789" s="116">
        <v>10.770297247877906</v>
      </c>
      <c r="I789" s="126">
        <v>785</v>
      </c>
      <c r="J789" s="117">
        <v>16.92540783315869</v>
      </c>
    </row>
    <row r="790" spans="1:10" ht="16">
      <c r="A790" s="93" t="s">
        <v>725</v>
      </c>
      <c r="B790" s="94" t="s">
        <v>642</v>
      </c>
      <c r="C790" s="95" t="s">
        <v>107</v>
      </c>
      <c r="D790" s="96" t="s">
        <v>60</v>
      </c>
      <c r="E790" s="97">
        <v>9285</v>
      </c>
      <c r="F790" s="97">
        <v>363</v>
      </c>
      <c r="G790" s="97">
        <v>186</v>
      </c>
      <c r="H790" s="114">
        <v>9.5723648177975988</v>
      </c>
      <c r="I790" s="125">
        <v>358</v>
      </c>
      <c r="J790" s="115">
        <v>16.052102096036336</v>
      </c>
    </row>
    <row r="791" spans="1:10" ht="16">
      <c r="A791" s="100" t="s">
        <v>726</v>
      </c>
      <c r="B791" s="101" t="s">
        <v>642</v>
      </c>
      <c r="C791" s="102" t="s">
        <v>107</v>
      </c>
      <c r="D791" s="103" t="s">
        <v>77</v>
      </c>
      <c r="E791" s="104">
        <v>9752</v>
      </c>
      <c r="F791" s="104">
        <v>1266</v>
      </c>
      <c r="G791" s="104">
        <v>1268</v>
      </c>
      <c r="H791" s="116">
        <v>52.332390883146978</v>
      </c>
      <c r="I791" s="126">
        <v>19484</v>
      </c>
      <c r="J791" s="117">
        <v>51.778199097397462</v>
      </c>
    </row>
    <row r="792" spans="1:10" ht="16">
      <c r="A792" s="93" t="s">
        <v>727</v>
      </c>
      <c r="B792" s="94" t="s">
        <v>642</v>
      </c>
      <c r="C792" s="95" t="s">
        <v>107</v>
      </c>
      <c r="D792" s="96" t="s">
        <v>84</v>
      </c>
      <c r="E792" s="97">
        <v>2999</v>
      </c>
      <c r="F792" s="97">
        <v>909</v>
      </c>
      <c r="G792" s="97">
        <v>270</v>
      </c>
      <c r="H792" s="114">
        <v>24.491373307948379</v>
      </c>
      <c r="I792" s="125">
        <v>14166</v>
      </c>
      <c r="J792" s="115">
        <v>46.105097673556585</v>
      </c>
    </row>
    <row r="793" spans="1:10" ht="16">
      <c r="A793" s="100" t="s">
        <v>728</v>
      </c>
      <c r="B793" s="101" t="s">
        <v>642</v>
      </c>
      <c r="C793" s="102" t="s">
        <v>76</v>
      </c>
      <c r="D793" s="103" t="s">
        <v>61</v>
      </c>
      <c r="E793" s="104">
        <v>1350</v>
      </c>
      <c r="F793" s="104">
        <v>844</v>
      </c>
      <c r="G793" s="104">
        <v>14</v>
      </c>
      <c r="H793" s="116">
        <v>11.0970620160638</v>
      </c>
      <c r="I793" s="126">
        <v>3861</v>
      </c>
      <c r="J793" s="117">
        <v>30.312822747624363</v>
      </c>
    </row>
    <row r="794" spans="1:10" ht="16">
      <c r="A794" s="93" t="s">
        <v>729</v>
      </c>
      <c r="B794" s="94" t="s">
        <v>642</v>
      </c>
      <c r="C794" s="95" t="s">
        <v>107</v>
      </c>
      <c r="D794" s="96" t="s">
        <v>80</v>
      </c>
      <c r="E794" s="97">
        <v>9160</v>
      </c>
      <c r="F794" s="97">
        <v>674</v>
      </c>
      <c r="G794" s="97">
        <v>458</v>
      </c>
      <c r="H794" s="114">
        <v>17.510218584105512</v>
      </c>
      <c r="I794" s="125">
        <v>9492</v>
      </c>
      <c r="J794" s="115">
        <v>25.894725061521292</v>
      </c>
    </row>
    <row r="795" spans="1:10" ht="16">
      <c r="A795" s="100" t="s">
        <v>730</v>
      </c>
      <c r="B795" s="101" t="s">
        <v>642</v>
      </c>
      <c r="C795" s="102" t="s">
        <v>107</v>
      </c>
      <c r="D795" s="103" t="s">
        <v>62</v>
      </c>
      <c r="E795" s="104">
        <v>12221</v>
      </c>
      <c r="F795" s="104">
        <v>361</v>
      </c>
      <c r="G795" s="104">
        <v>244</v>
      </c>
      <c r="H795" s="116">
        <v>9.8250952856998968</v>
      </c>
      <c r="I795" s="126">
        <v>1058</v>
      </c>
      <c r="J795" s="117">
        <v>16.603906042993437</v>
      </c>
    </row>
    <row r="796" spans="1:10" ht="16">
      <c r="A796" s="93" t="s">
        <v>731</v>
      </c>
      <c r="B796" s="94" t="s">
        <v>642</v>
      </c>
      <c r="C796" s="95" t="s">
        <v>107</v>
      </c>
      <c r="D796" s="96" t="s">
        <v>60</v>
      </c>
      <c r="E796" s="97">
        <v>5766</v>
      </c>
      <c r="F796" s="97">
        <v>390</v>
      </c>
      <c r="G796" s="97">
        <v>346</v>
      </c>
      <c r="H796" s="114">
        <v>23.467953270305056</v>
      </c>
      <c r="I796" s="125">
        <v>4288</v>
      </c>
      <c r="J796" s="115">
        <v>24.869791810722724</v>
      </c>
    </row>
    <row r="797" spans="1:10" ht="16">
      <c r="A797" s="100" t="s">
        <v>732</v>
      </c>
      <c r="B797" s="101" t="s">
        <v>642</v>
      </c>
      <c r="C797" s="102" t="s">
        <v>107</v>
      </c>
      <c r="D797" s="103" t="s">
        <v>84</v>
      </c>
      <c r="E797" s="104">
        <v>2654</v>
      </c>
      <c r="F797" s="104">
        <v>248</v>
      </c>
      <c r="G797" s="104">
        <v>186</v>
      </c>
      <c r="H797" s="116">
        <v>14.79152131771948</v>
      </c>
      <c r="I797" s="126">
        <v>1527</v>
      </c>
      <c r="J797" s="117">
        <v>25.091969976317216</v>
      </c>
    </row>
    <row r="798" spans="1:10" ht="16">
      <c r="A798" s="93" t="s">
        <v>733</v>
      </c>
      <c r="B798" s="94" t="s">
        <v>642</v>
      </c>
      <c r="C798" s="95" t="s">
        <v>107</v>
      </c>
      <c r="D798" s="96" t="s">
        <v>80</v>
      </c>
      <c r="E798" s="97">
        <v>18490</v>
      </c>
      <c r="F798" s="97">
        <v>758</v>
      </c>
      <c r="G798" s="97">
        <v>370</v>
      </c>
      <c r="H798" s="114">
        <v>24.324881888322441</v>
      </c>
      <c r="I798" s="125">
        <v>4670</v>
      </c>
      <c r="J798" s="115">
        <v>21.957755425697322</v>
      </c>
    </row>
    <row r="799" spans="1:10" ht="16">
      <c r="A799" s="100" t="s">
        <v>952</v>
      </c>
      <c r="B799" s="101" t="s">
        <v>919</v>
      </c>
      <c r="C799" s="102" t="s">
        <v>107</v>
      </c>
      <c r="D799" s="103" t="s">
        <v>59</v>
      </c>
      <c r="E799" s="104">
        <v>9121</v>
      </c>
      <c r="F799" s="104">
        <v>1048</v>
      </c>
      <c r="G799" s="104">
        <v>2554</v>
      </c>
      <c r="H799" s="116">
        <v>20.665138108696567</v>
      </c>
      <c r="I799" s="126">
        <v>7397</v>
      </c>
      <c r="J799" s="117">
        <v>27.231928604379636</v>
      </c>
    </row>
    <row r="800" spans="1:10" ht="16">
      <c r="A800" s="93" t="s">
        <v>953</v>
      </c>
      <c r="B800" s="94" t="s">
        <v>919</v>
      </c>
      <c r="C800" s="95" t="s">
        <v>107</v>
      </c>
      <c r="D800" s="96" t="s">
        <v>61</v>
      </c>
      <c r="E800" s="97">
        <v>7655</v>
      </c>
      <c r="F800" s="97">
        <v>643</v>
      </c>
      <c r="G800" s="97">
        <v>2220</v>
      </c>
      <c r="H800" s="114">
        <v>34.057930806170212</v>
      </c>
      <c r="I800" s="125">
        <v>7970</v>
      </c>
      <c r="J800" s="115">
        <v>41.611136131265667</v>
      </c>
    </row>
    <row r="801" spans="1:10" ht="16">
      <c r="A801" s="100" t="s">
        <v>286</v>
      </c>
      <c r="B801" s="101" t="s">
        <v>223</v>
      </c>
      <c r="C801" s="102" t="s">
        <v>107</v>
      </c>
      <c r="D801" s="103" t="s">
        <v>60</v>
      </c>
      <c r="E801" s="104">
        <v>35690</v>
      </c>
      <c r="F801" s="104">
        <v>2724</v>
      </c>
      <c r="G801" s="104">
        <v>4640</v>
      </c>
      <c r="H801" s="116">
        <v>44.521429250733007</v>
      </c>
      <c r="I801" s="126">
        <v>15166</v>
      </c>
      <c r="J801" s="117">
        <v>35.988330537475406</v>
      </c>
    </row>
    <row r="802" spans="1:10" ht="16">
      <c r="A802" s="93" t="s">
        <v>734</v>
      </c>
      <c r="B802" s="94" t="s">
        <v>642</v>
      </c>
      <c r="C802" s="95" t="s">
        <v>107</v>
      </c>
      <c r="D802" s="96" t="s">
        <v>92</v>
      </c>
      <c r="E802" s="97">
        <v>6096</v>
      </c>
      <c r="F802" s="97">
        <v>813</v>
      </c>
      <c r="G802" s="97">
        <v>122</v>
      </c>
      <c r="H802" s="114">
        <v>11.393452179564926</v>
      </c>
      <c r="I802" s="125">
        <v>1386</v>
      </c>
      <c r="J802" s="115">
        <v>22.203329206027309</v>
      </c>
    </row>
    <row r="803" spans="1:10" ht="16">
      <c r="A803" s="100" t="s">
        <v>735</v>
      </c>
      <c r="B803" s="101" t="s">
        <v>642</v>
      </c>
      <c r="C803" s="102" t="s">
        <v>107</v>
      </c>
      <c r="D803" s="103" t="s">
        <v>82</v>
      </c>
      <c r="E803" s="104">
        <v>32404</v>
      </c>
      <c r="F803" s="104">
        <v>1062</v>
      </c>
      <c r="G803" s="104">
        <v>1620</v>
      </c>
      <c r="H803" s="116">
        <v>9.2697506435586821</v>
      </c>
      <c r="I803" s="126">
        <v>656</v>
      </c>
      <c r="J803" s="117">
        <v>15.433967357966567</v>
      </c>
    </row>
    <row r="804" spans="1:10" ht="16">
      <c r="A804" s="93" t="s">
        <v>736</v>
      </c>
      <c r="B804" s="94" t="s">
        <v>642</v>
      </c>
      <c r="C804" s="95" t="s">
        <v>107</v>
      </c>
      <c r="D804" s="96" t="s">
        <v>77</v>
      </c>
      <c r="E804" s="97">
        <v>2135</v>
      </c>
      <c r="F804" s="97">
        <v>243</v>
      </c>
      <c r="G804" s="97">
        <v>149</v>
      </c>
      <c r="H804" s="114">
        <v>17.163532423226084</v>
      </c>
      <c r="I804" s="125">
        <v>2775</v>
      </c>
      <c r="J804" s="115">
        <v>22.162376066792802</v>
      </c>
    </row>
    <row r="805" spans="1:10" ht="16">
      <c r="A805" s="100" t="s">
        <v>817</v>
      </c>
      <c r="B805" s="101" t="s">
        <v>818</v>
      </c>
      <c r="C805" s="102" t="s">
        <v>107</v>
      </c>
      <c r="D805" s="103" t="s">
        <v>82</v>
      </c>
      <c r="E805" s="104">
        <v>418053</v>
      </c>
      <c r="F805" s="104">
        <v>11613</v>
      </c>
      <c r="G805" s="104">
        <v>29090</v>
      </c>
      <c r="H805" s="116">
        <v>7.4779057457305065</v>
      </c>
      <c r="I805" s="126">
        <v>2217</v>
      </c>
      <c r="J805" s="117">
        <v>11.777241046658586</v>
      </c>
    </row>
    <row r="806" spans="1:10" ht="16">
      <c r="A806" s="93" t="s">
        <v>586</v>
      </c>
      <c r="B806" s="94" t="s">
        <v>581</v>
      </c>
      <c r="C806" s="95" t="s">
        <v>76</v>
      </c>
      <c r="D806" s="96" t="s">
        <v>82</v>
      </c>
      <c r="E806" s="97">
        <v>16853</v>
      </c>
      <c r="F806" s="97">
        <v>770</v>
      </c>
      <c r="G806" s="97">
        <v>5056</v>
      </c>
      <c r="H806" s="114">
        <v>44.133484736387096</v>
      </c>
      <c r="I806" s="125">
        <v>33173</v>
      </c>
      <c r="J806" s="115">
        <v>41.847689899205101</v>
      </c>
    </row>
    <row r="807" spans="1:10" ht="16">
      <c r="A807" s="100" t="s">
        <v>979</v>
      </c>
      <c r="B807" s="101" t="s">
        <v>977</v>
      </c>
      <c r="C807" s="102" t="s">
        <v>76</v>
      </c>
      <c r="D807" s="103" t="s">
        <v>80</v>
      </c>
      <c r="E807" s="104">
        <v>45992</v>
      </c>
      <c r="F807" s="104">
        <v>1167</v>
      </c>
      <c r="G807" s="104">
        <v>920</v>
      </c>
      <c r="H807" s="116">
        <v>7.4138795479163342</v>
      </c>
      <c r="I807" s="126">
        <v>3111</v>
      </c>
      <c r="J807" s="117">
        <v>14.643152351733658</v>
      </c>
    </row>
    <row r="808" spans="1:10" ht="16">
      <c r="A808" s="93" t="s">
        <v>287</v>
      </c>
      <c r="B808" s="94" t="s">
        <v>223</v>
      </c>
      <c r="C808" s="95" t="s">
        <v>107</v>
      </c>
      <c r="D808" s="96" t="s">
        <v>92</v>
      </c>
      <c r="E808" s="97">
        <v>38783</v>
      </c>
      <c r="F808" s="97">
        <v>3232</v>
      </c>
      <c r="G808" s="97">
        <v>4266</v>
      </c>
      <c r="H808" s="114">
        <v>94.738110865792009</v>
      </c>
      <c r="I808" s="125">
        <v>70166</v>
      </c>
      <c r="J808" s="115">
        <v>87.117064834156963</v>
      </c>
    </row>
    <row r="809" spans="1:10" ht="16">
      <c r="A809" s="100" t="s">
        <v>421</v>
      </c>
      <c r="B809" s="101" t="s">
        <v>402</v>
      </c>
      <c r="C809" s="102" t="s">
        <v>107</v>
      </c>
      <c r="D809" s="103" t="s">
        <v>82</v>
      </c>
      <c r="E809" s="104">
        <v>20020</v>
      </c>
      <c r="F809" s="104">
        <v>1925</v>
      </c>
      <c r="G809" s="104">
        <v>2803</v>
      </c>
      <c r="H809" s="116">
        <v>16.39245939666683</v>
      </c>
      <c r="I809" s="126">
        <v>7916</v>
      </c>
      <c r="J809" s="117">
        <v>25.990822787315185</v>
      </c>
    </row>
    <row r="810" spans="1:10" ht="16">
      <c r="A810" s="93" t="s">
        <v>422</v>
      </c>
      <c r="B810" s="94" t="s">
        <v>402</v>
      </c>
      <c r="C810" s="95" t="s">
        <v>107</v>
      </c>
      <c r="D810" s="96" t="s">
        <v>62</v>
      </c>
      <c r="E810" s="97">
        <v>34267</v>
      </c>
      <c r="F810" s="97">
        <v>315</v>
      </c>
      <c r="G810" s="97">
        <v>3427</v>
      </c>
      <c r="H810" s="114">
        <v>42.201795082242953</v>
      </c>
      <c r="I810" s="125">
        <v>22475</v>
      </c>
      <c r="J810" s="115">
        <v>37.916866125242464</v>
      </c>
    </row>
    <row r="811" spans="1:10" ht="16">
      <c r="A811" s="100" t="s">
        <v>423</v>
      </c>
      <c r="B811" s="101" t="s">
        <v>402</v>
      </c>
      <c r="C811" s="102" t="s">
        <v>107</v>
      </c>
      <c r="D811" s="103" t="s">
        <v>59</v>
      </c>
      <c r="E811" s="104">
        <v>32309</v>
      </c>
      <c r="F811" s="104">
        <v>945</v>
      </c>
      <c r="G811" s="104">
        <v>4523</v>
      </c>
      <c r="H811" s="116">
        <v>49.470191675041647</v>
      </c>
      <c r="I811" s="126">
        <v>35499</v>
      </c>
      <c r="J811" s="117">
        <v>46.857488682126203</v>
      </c>
    </row>
    <row r="812" spans="1:10" ht="16">
      <c r="A812" s="93" t="s">
        <v>1375</v>
      </c>
      <c r="B812" s="94" t="s">
        <v>1288</v>
      </c>
      <c r="C812" s="95" t="s">
        <v>76</v>
      </c>
      <c r="D812" s="96" t="s">
        <v>92</v>
      </c>
      <c r="E812" s="97">
        <v>11017</v>
      </c>
      <c r="F812" s="97">
        <v>1124</v>
      </c>
      <c r="G812" s="97">
        <v>1763</v>
      </c>
      <c r="H812" s="114">
        <v>34.307926910011744</v>
      </c>
      <c r="I812" s="125">
        <v>32363</v>
      </c>
      <c r="J812" s="115">
        <v>49.90072502635666</v>
      </c>
    </row>
    <row r="813" spans="1:10" ht="16">
      <c r="A813" s="100" t="s">
        <v>1376</v>
      </c>
      <c r="B813" s="101" t="s">
        <v>1288</v>
      </c>
      <c r="C813" s="102" t="s">
        <v>76</v>
      </c>
      <c r="D813" s="103" t="s">
        <v>61</v>
      </c>
      <c r="E813" s="104">
        <v>11185</v>
      </c>
      <c r="F813" s="104">
        <v>1141</v>
      </c>
      <c r="G813" s="104">
        <v>1230</v>
      </c>
      <c r="H813" s="116">
        <v>24.761680032891583</v>
      </c>
      <c r="I813" s="126">
        <v>17614</v>
      </c>
      <c r="J813" s="117">
        <v>42.446783380146421</v>
      </c>
    </row>
    <row r="814" spans="1:10" ht="16">
      <c r="A814" s="93" t="s">
        <v>1114</v>
      </c>
      <c r="B814" s="94" t="s">
        <v>1081</v>
      </c>
      <c r="C814" s="95" t="s">
        <v>76</v>
      </c>
      <c r="D814" s="96" t="s">
        <v>60</v>
      </c>
      <c r="E814" s="97">
        <v>15704</v>
      </c>
      <c r="F814" s="97">
        <v>586</v>
      </c>
      <c r="G814" s="97">
        <v>1570</v>
      </c>
      <c r="H814" s="114">
        <v>13.358157840608476</v>
      </c>
      <c r="I814" s="125">
        <v>1368</v>
      </c>
      <c r="J814" s="115">
        <v>15.966666502409121</v>
      </c>
    </row>
    <row r="815" spans="1:10" ht="16">
      <c r="A815" s="100" t="s">
        <v>1115</v>
      </c>
      <c r="B815" s="101" t="s">
        <v>1081</v>
      </c>
      <c r="C815" s="102" t="s">
        <v>76</v>
      </c>
      <c r="D815" s="103" t="s">
        <v>82</v>
      </c>
      <c r="E815" s="104">
        <v>3492</v>
      </c>
      <c r="F815" s="104">
        <v>346</v>
      </c>
      <c r="G815" s="104">
        <v>175</v>
      </c>
      <c r="H815" s="116">
        <v>15.027302375459426</v>
      </c>
      <c r="I815" s="126">
        <v>2159</v>
      </c>
      <c r="J815" s="117">
        <v>20.430112088108562</v>
      </c>
    </row>
    <row r="816" spans="1:10" ht="16">
      <c r="A816" s="93" t="s">
        <v>1236</v>
      </c>
      <c r="B816" s="94" t="s">
        <v>1190</v>
      </c>
      <c r="C816" s="95" t="s">
        <v>76</v>
      </c>
      <c r="D816" s="96" t="s">
        <v>77</v>
      </c>
      <c r="E816" s="97">
        <v>32665</v>
      </c>
      <c r="F816" s="97">
        <v>3082</v>
      </c>
      <c r="G816" s="97">
        <v>16986</v>
      </c>
      <c r="H816" s="114">
        <v>88.908482723402543</v>
      </c>
      <c r="I816" s="125">
        <v>85318</v>
      </c>
      <c r="J816" s="115">
        <v>78.096268941168091</v>
      </c>
    </row>
    <row r="817" spans="1:10" ht="16">
      <c r="A817" s="100" t="s">
        <v>954</v>
      </c>
      <c r="B817" s="101" t="s">
        <v>919</v>
      </c>
      <c r="C817" s="102" t="s">
        <v>107</v>
      </c>
      <c r="D817" s="103" t="s">
        <v>82</v>
      </c>
      <c r="E817" s="104">
        <v>14111</v>
      </c>
      <c r="F817" s="104">
        <v>2520</v>
      </c>
      <c r="G817" s="104">
        <v>141</v>
      </c>
      <c r="H817" s="116">
        <v>8.3644381646291635</v>
      </c>
      <c r="I817" s="126">
        <v>858</v>
      </c>
      <c r="J817" s="117">
        <v>21.344187262236726</v>
      </c>
    </row>
    <row r="818" spans="1:10" ht="16">
      <c r="A818" s="93" t="s">
        <v>852</v>
      </c>
      <c r="B818" s="94" t="s">
        <v>850</v>
      </c>
      <c r="C818" s="95" t="s">
        <v>76</v>
      </c>
      <c r="D818" s="96" t="s">
        <v>84</v>
      </c>
      <c r="E818" s="97">
        <v>16475</v>
      </c>
      <c r="F818" s="97">
        <v>1267</v>
      </c>
      <c r="G818" s="97">
        <v>1648</v>
      </c>
      <c r="H818" s="114">
        <v>18.690086478273258</v>
      </c>
      <c r="I818" s="125">
        <v>14507</v>
      </c>
      <c r="J818" s="115">
        <v>22.402075376953483</v>
      </c>
    </row>
    <row r="819" spans="1:10" ht="16">
      <c r="A819" s="100" t="s">
        <v>424</v>
      </c>
      <c r="B819" s="101" t="s">
        <v>402</v>
      </c>
      <c r="C819" s="102" t="s">
        <v>107</v>
      </c>
      <c r="D819" s="103" t="s">
        <v>92</v>
      </c>
      <c r="E819" s="104">
        <v>10629</v>
      </c>
      <c r="F819" s="104">
        <v>384</v>
      </c>
      <c r="G819" s="104">
        <v>1382</v>
      </c>
      <c r="H819" s="116">
        <v>37.282091885746567</v>
      </c>
      <c r="I819" s="126">
        <v>34845</v>
      </c>
      <c r="J819" s="117">
        <v>40.820035498533372</v>
      </c>
    </row>
    <row r="820" spans="1:10" ht="16">
      <c r="A820" s="93" t="s">
        <v>1014</v>
      </c>
      <c r="B820" s="94" t="s">
        <v>988</v>
      </c>
      <c r="C820" s="95" t="s">
        <v>107</v>
      </c>
      <c r="D820" s="96" t="s">
        <v>82</v>
      </c>
      <c r="E820" s="97">
        <v>4127</v>
      </c>
      <c r="F820" s="97">
        <v>297</v>
      </c>
      <c r="G820" s="97">
        <v>330</v>
      </c>
      <c r="H820" s="114">
        <v>38.807046513897482</v>
      </c>
      <c r="I820" s="125">
        <v>35281</v>
      </c>
      <c r="J820" s="115">
        <v>28.702953095341584</v>
      </c>
    </row>
    <row r="821" spans="1:10" ht="16">
      <c r="A821" s="100" t="s">
        <v>1237</v>
      </c>
      <c r="B821" s="101" t="s">
        <v>1190</v>
      </c>
      <c r="C821" s="102" t="s">
        <v>76</v>
      </c>
      <c r="D821" s="103" t="s">
        <v>84</v>
      </c>
      <c r="E821" s="104">
        <v>17817</v>
      </c>
      <c r="F821" s="104">
        <v>1042</v>
      </c>
      <c r="G821" s="104">
        <v>1425</v>
      </c>
      <c r="H821" s="116">
        <v>18.684842034618608</v>
      </c>
      <c r="I821" s="126">
        <v>7477</v>
      </c>
      <c r="J821" s="117">
        <v>21.963960288239509</v>
      </c>
    </row>
    <row r="822" spans="1:10" ht="16">
      <c r="A822" s="93" t="s">
        <v>1187</v>
      </c>
      <c r="B822" s="94" t="s">
        <v>1185</v>
      </c>
      <c r="C822" s="95" t="s">
        <v>76</v>
      </c>
      <c r="D822" s="96" t="s">
        <v>130</v>
      </c>
      <c r="E822" s="97">
        <v>7523</v>
      </c>
      <c r="F822" s="97">
        <v>818</v>
      </c>
      <c r="G822" s="97">
        <v>1580</v>
      </c>
      <c r="H822" s="114">
        <v>19.681415815856131</v>
      </c>
      <c r="I822" s="125">
        <v>16251</v>
      </c>
      <c r="J822" s="115">
        <v>24.303662556115146</v>
      </c>
    </row>
    <row r="823" spans="1:10" ht="16">
      <c r="A823" s="100" t="s">
        <v>874</v>
      </c>
      <c r="B823" s="101" t="s">
        <v>873</v>
      </c>
      <c r="C823" s="102" t="s">
        <v>76</v>
      </c>
      <c r="D823" s="103" t="s">
        <v>92</v>
      </c>
      <c r="E823" s="104">
        <v>6236</v>
      </c>
      <c r="F823" s="104">
        <v>588</v>
      </c>
      <c r="G823" s="104">
        <v>99</v>
      </c>
      <c r="H823" s="116">
        <v>11.621139884772862</v>
      </c>
      <c r="I823" s="126">
        <v>9467</v>
      </c>
      <c r="J823" s="117">
        <v>17.342454618999152</v>
      </c>
    </row>
    <row r="824" spans="1:10" ht="16">
      <c r="A824" s="93" t="s">
        <v>533</v>
      </c>
      <c r="B824" s="94" t="s">
        <v>530</v>
      </c>
      <c r="C824" s="95" t="s">
        <v>76</v>
      </c>
      <c r="D824" s="96" t="s">
        <v>92</v>
      </c>
      <c r="E824" s="97">
        <v>38310</v>
      </c>
      <c r="F824" s="97">
        <v>4455</v>
      </c>
      <c r="G824" s="97">
        <v>766</v>
      </c>
      <c r="H824" s="114">
        <v>11.875324010673143</v>
      </c>
      <c r="I824" s="125">
        <v>1761</v>
      </c>
      <c r="J824" s="115">
        <v>23.536007161470277</v>
      </c>
    </row>
    <row r="825" spans="1:10" ht="16">
      <c r="A825" s="100" t="s">
        <v>179</v>
      </c>
      <c r="B825" s="101" t="s">
        <v>180</v>
      </c>
      <c r="C825" s="102" t="s">
        <v>76</v>
      </c>
      <c r="D825" s="103" t="s">
        <v>130</v>
      </c>
      <c r="E825" s="104">
        <v>3830</v>
      </c>
      <c r="F825" s="104">
        <v>351</v>
      </c>
      <c r="G825" s="104">
        <v>575</v>
      </c>
      <c r="H825" s="116">
        <v>19.919117406675234</v>
      </c>
      <c r="I825" s="126">
        <v>14402</v>
      </c>
      <c r="J825" s="117">
        <v>23.989746372236478</v>
      </c>
    </row>
    <row r="826" spans="1:10" ht="16">
      <c r="A826" s="93" t="s">
        <v>783</v>
      </c>
      <c r="B826" s="94" t="s">
        <v>782</v>
      </c>
      <c r="C826" s="95" t="s">
        <v>76</v>
      </c>
      <c r="D826" s="96" t="s">
        <v>63</v>
      </c>
      <c r="E826" s="97">
        <v>17180</v>
      </c>
      <c r="F826" s="97">
        <v>1701</v>
      </c>
      <c r="G826" s="97">
        <v>2577</v>
      </c>
      <c r="H826" s="114">
        <v>19.801418307150815</v>
      </c>
      <c r="I826" s="125">
        <v>6378</v>
      </c>
      <c r="J826" s="115">
        <v>34.527516980006681</v>
      </c>
    </row>
    <row r="827" spans="1:10" ht="16">
      <c r="A827" s="100" t="s">
        <v>784</v>
      </c>
      <c r="B827" s="101" t="s">
        <v>782</v>
      </c>
      <c r="C827" s="102" t="s">
        <v>107</v>
      </c>
      <c r="D827" s="103" t="s">
        <v>92</v>
      </c>
      <c r="E827" s="104">
        <v>12154</v>
      </c>
      <c r="F827" s="104">
        <v>711</v>
      </c>
      <c r="G827" s="104">
        <v>608</v>
      </c>
      <c r="H827" s="116">
        <v>12.755143300710277</v>
      </c>
      <c r="I827" s="126">
        <v>7584</v>
      </c>
      <c r="J827" s="117">
        <v>16.854357889601211</v>
      </c>
    </row>
    <row r="828" spans="1:10" ht="16">
      <c r="A828" s="93" t="s">
        <v>785</v>
      </c>
      <c r="B828" s="94" t="s">
        <v>782</v>
      </c>
      <c r="C828" s="95" t="s">
        <v>76</v>
      </c>
      <c r="D828" s="96" t="s">
        <v>84</v>
      </c>
      <c r="E828" s="97">
        <v>15973</v>
      </c>
      <c r="F828" s="97">
        <v>850</v>
      </c>
      <c r="G828" s="97">
        <v>958</v>
      </c>
      <c r="H828" s="114">
        <v>8.7180928729573601</v>
      </c>
      <c r="I828" s="125">
        <v>906</v>
      </c>
      <c r="J828" s="115">
        <v>18.159487398681538</v>
      </c>
    </row>
    <row r="829" spans="1:10" ht="16">
      <c r="A829" s="100" t="s">
        <v>786</v>
      </c>
      <c r="B829" s="101" t="s">
        <v>782</v>
      </c>
      <c r="C829" s="102" t="s">
        <v>76</v>
      </c>
      <c r="D829" s="103" t="s">
        <v>80</v>
      </c>
      <c r="E829" s="104">
        <v>20018</v>
      </c>
      <c r="F829" s="104">
        <v>1654</v>
      </c>
      <c r="G829" s="104">
        <v>4604</v>
      </c>
      <c r="H829" s="116">
        <v>31.481232127627749</v>
      </c>
      <c r="I829" s="126">
        <v>6037</v>
      </c>
      <c r="J829" s="117">
        <v>32.289396035497965</v>
      </c>
    </row>
    <row r="830" spans="1:10" ht="16">
      <c r="A830" s="93" t="s">
        <v>787</v>
      </c>
      <c r="B830" s="94" t="s">
        <v>782</v>
      </c>
      <c r="C830" s="95" t="s">
        <v>76</v>
      </c>
      <c r="D830" s="96" t="s">
        <v>82</v>
      </c>
      <c r="E830" s="97">
        <v>20908</v>
      </c>
      <c r="F830" s="97">
        <v>1954</v>
      </c>
      <c r="G830" s="97">
        <v>3136</v>
      </c>
      <c r="H830" s="114">
        <v>23.251527332881121</v>
      </c>
      <c r="I830" s="125">
        <v>6130</v>
      </c>
      <c r="J830" s="115">
        <v>36.371774510621485</v>
      </c>
    </row>
    <row r="831" spans="1:10" ht="16">
      <c r="A831" s="100" t="s">
        <v>788</v>
      </c>
      <c r="B831" s="101" t="s">
        <v>782</v>
      </c>
      <c r="C831" s="102" t="s">
        <v>76</v>
      </c>
      <c r="D831" s="103" t="s">
        <v>62</v>
      </c>
      <c r="E831" s="104">
        <v>19087</v>
      </c>
      <c r="F831" s="104">
        <v>1704</v>
      </c>
      <c r="G831" s="104">
        <v>2672</v>
      </c>
      <c r="H831" s="116">
        <v>25.339655530138494</v>
      </c>
      <c r="I831" s="126">
        <v>7456</v>
      </c>
      <c r="J831" s="117">
        <v>36.951400555510489</v>
      </c>
    </row>
    <row r="832" spans="1:10" ht="16">
      <c r="A832" s="93" t="s">
        <v>789</v>
      </c>
      <c r="B832" s="94" t="s">
        <v>782</v>
      </c>
      <c r="C832" s="95" t="s">
        <v>76</v>
      </c>
      <c r="D832" s="96" t="s">
        <v>61</v>
      </c>
      <c r="E832" s="97">
        <v>54483</v>
      </c>
      <c r="F832" s="97">
        <v>3186</v>
      </c>
      <c r="G832" s="97">
        <v>3791</v>
      </c>
      <c r="H832" s="114">
        <v>13.064428703820427</v>
      </c>
      <c r="I832" s="125">
        <v>1407</v>
      </c>
      <c r="J832" s="115">
        <v>18.153390386161021</v>
      </c>
    </row>
    <row r="833" spans="1:10" ht="16">
      <c r="A833" s="100" t="s">
        <v>790</v>
      </c>
      <c r="B833" s="101" t="s">
        <v>782</v>
      </c>
      <c r="C833" s="102" t="s">
        <v>107</v>
      </c>
      <c r="D833" s="103" t="s">
        <v>130</v>
      </c>
      <c r="E833" s="104">
        <v>6212</v>
      </c>
      <c r="F833" s="104">
        <v>391</v>
      </c>
      <c r="G833" s="104">
        <v>1056</v>
      </c>
      <c r="H833" s="116">
        <v>30.22628800063892</v>
      </c>
      <c r="I833" s="126">
        <v>8134</v>
      </c>
      <c r="J833" s="117">
        <v>27.494707394280187</v>
      </c>
    </row>
    <row r="834" spans="1:10" ht="16">
      <c r="A834" s="93" t="s">
        <v>791</v>
      </c>
      <c r="B834" s="94" t="s">
        <v>782</v>
      </c>
      <c r="C834" s="95" t="s">
        <v>107</v>
      </c>
      <c r="D834" s="96" t="s">
        <v>63</v>
      </c>
      <c r="E834" s="97">
        <v>6780</v>
      </c>
      <c r="F834" s="97">
        <v>421</v>
      </c>
      <c r="G834" s="97">
        <v>407</v>
      </c>
      <c r="H834" s="114">
        <v>14.521070616726496</v>
      </c>
      <c r="I834" s="125">
        <v>4783</v>
      </c>
      <c r="J834" s="115">
        <v>18.260151822872938</v>
      </c>
    </row>
    <row r="835" spans="1:10" ht="16">
      <c r="A835" s="100" t="s">
        <v>792</v>
      </c>
      <c r="B835" s="101" t="s">
        <v>782</v>
      </c>
      <c r="C835" s="102" t="s">
        <v>76</v>
      </c>
      <c r="D835" s="103" t="s">
        <v>80</v>
      </c>
      <c r="E835" s="104">
        <v>18763</v>
      </c>
      <c r="F835" s="104">
        <v>1165</v>
      </c>
      <c r="G835" s="104">
        <v>375</v>
      </c>
      <c r="H835" s="116">
        <v>12.900612575167512</v>
      </c>
      <c r="I835" s="126">
        <v>10044</v>
      </c>
      <c r="J835" s="117">
        <v>15.298933876353995</v>
      </c>
    </row>
    <row r="836" spans="1:10" ht="16">
      <c r="A836" s="93" t="s">
        <v>793</v>
      </c>
      <c r="B836" s="94" t="s">
        <v>782</v>
      </c>
      <c r="C836" s="95" t="s">
        <v>76</v>
      </c>
      <c r="D836" s="96" t="s">
        <v>59</v>
      </c>
      <c r="E836" s="97">
        <v>12871</v>
      </c>
      <c r="F836" s="97">
        <v>1100</v>
      </c>
      <c r="G836" s="97">
        <v>3218</v>
      </c>
      <c r="H836" s="114">
        <v>21.686787718858806</v>
      </c>
      <c r="I836" s="125">
        <v>1982</v>
      </c>
      <c r="J836" s="115">
        <v>31.605187133104863</v>
      </c>
    </row>
    <row r="837" spans="1:10" ht="16">
      <c r="A837" s="100" t="s">
        <v>1377</v>
      </c>
      <c r="B837" s="101" t="s">
        <v>1288</v>
      </c>
      <c r="C837" s="102" t="s">
        <v>107</v>
      </c>
      <c r="D837" s="103" t="s">
        <v>84</v>
      </c>
      <c r="E837" s="104">
        <v>25849</v>
      </c>
      <c r="F837" s="104">
        <v>1486</v>
      </c>
      <c r="G837" s="104">
        <v>4394</v>
      </c>
      <c r="H837" s="116">
        <v>33.40899933475356</v>
      </c>
      <c r="I837" s="126">
        <v>24188</v>
      </c>
      <c r="J837" s="117">
        <v>37.480986884412602</v>
      </c>
    </row>
    <row r="838" spans="1:10" ht="16">
      <c r="A838" s="93" t="s">
        <v>587</v>
      </c>
      <c r="B838" s="94" t="s">
        <v>581</v>
      </c>
      <c r="C838" s="95" t="s">
        <v>76</v>
      </c>
      <c r="D838" s="96" t="s">
        <v>60</v>
      </c>
      <c r="E838" s="97">
        <v>16861</v>
      </c>
      <c r="F838" s="97">
        <v>937</v>
      </c>
      <c r="G838" s="97">
        <v>3035</v>
      </c>
      <c r="H838" s="114">
        <v>23.401317477125218</v>
      </c>
      <c r="I838" s="125">
        <v>17968</v>
      </c>
      <c r="J838" s="115">
        <v>24.967334246093646</v>
      </c>
    </row>
    <row r="839" spans="1:10" ht="16">
      <c r="A839" s="100" t="s">
        <v>588</v>
      </c>
      <c r="B839" s="101" t="s">
        <v>581</v>
      </c>
      <c r="C839" s="102" t="s">
        <v>76</v>
      </c>
      <c r="D839" s="103" t="s">
        <v>63</v>
      </c>
      <c r="E839" s="104">
        <v>22541</v>
      </c>
      <c r="F839" s="104">
        <v>976</v>
      </c>
      <c r="G839" s="104">
        <v>6537</v>
      </c>
      <c r="H839" s="116">
        <v>37.239875543246782</v>
      </c>
      <c r="I839" s="126">
        <v>26958</v>
      </c>
      <c r="J839" s="117">
        <v>31.509812364350022</v>
      </c>
    </row>
    <row r="840" spans="1:10" ht="16">
      <c r="A840" s="93" t="s">
        <v>1238</v>
      </c>
      <c r="B840" s="94" t="s">
        <v>1190</v>
      </c>
      <c r="C840" s="95" t="s">
        <v>76</v>
      </c>
      <c r="D840" s="96" t="s">
        <v>84</v>
      </c>
      <c r="E840" s="97">
        <v>12399</v>
      </c>
      <c r="F840" s="97">
        <v>790</v>
      </c>
      <c r="G840" s="97">
        <v>4836</v>
      </c>
      <c r="H840" s="114">
        <v>34.10399022232594</v>
      </c>
      <c r="I840" s="125">
        <v>31856</v>
      </c>
      <c r="J840" s="115">
        <v>30.820830885192485</v>
      </c>
    </row>
    <row r="841" spans="1:10" ht="16">
      <c r="A841" s="100" t="s">
        <v>110</v>
      </c>
      <c r="B841" s="101" t="s">
        <v>89</v>
      </c>
      <c r="C841" s="102" t="s">
        <v>107</v>
      </c>
      <c r="D841" s="103" t="s">
        <v>63</v>
      </c>
      <c r="E841" s="104">
        <v>21093</v>
      </c>
      <c r="F841" s="104">
        <v>705</v>
      </c>
      <c r="G841" s="104">
        <v>6117</v>
      </c>
      <c r="H841" s="116">
        <v>42.418189127163664</v>
      </c>
      <c r="I841" s="126">
        <v>39796</v>
      </c>
      <c r="J841" s="117">
        <v>34.740828480762495</v>
      </c>
    </row>
    <row r="842" spans="1:10" ht="16">
      <c r="A842" s="93" t="s">
        <v>866</v>
      </c>
      <c r="B842" s="94" t="s">
        <v>858</v>
      </c>
      <c r="C842" s="95" t="s">
        <v>107</v>
      </c>
      <c r="D842" s="96" t="s">
        <v>60</v>
      </c>
      <c r="E842" s="97">
        <v>24440</v>
      </c>
      <c r="F842" s="97">
        <v>690</v>
      </c>
      <c r="G842" s="97">
        <v>1701</v>
      </c>
      <c r="H842" s="114">
        <v>17.080161135050272</v>
      </c>
      <c r="I842" s="125">
        <v>4728</v>
      </c>
      <c r="J842" s="115">
        <v>18.431809271220263</v>
      </c>
    </row>
    <row r="843" spans="1:10" ht="16">
      <c r="A843" s="100" t="s">
        <v>1378</v>
      </c>
      <c r="B843" s="101" t="s">
        <v>1288</v>
      </c>
      <c r="C843" s="102" t="s">
        <v>76</v>
      </c>
      <c r="D843" s="103" t="s">
        <v>63</v>
      </c>
      <c r="E843" s="104">
        <v>35120</v>
      </c>
      <c r="F843" s="104">
        <v>1561</v>
      </c>
      <c r="G843" s="104">
        <v>1405</v>
      </c>
      <c r="H843" s="116">
        <v>23.097324193056046</v>
      </c>
      <c r="I843" s="126">
        <v>17393</v>
      </c>
      <c r="J843" s="117">
        <v>27.720684281450215</v>
      </c>
    </row>
    <row r="844" spans="1:10" ht="16">
      <c r="A844" s="93" t="s">
        <v>1379</v>
      </c>
      <c r="B844" s="94" t="s">
        <v>1288</v>
      </c>
      <c r="C844" s="95" t="s">
        <v>76</v>
      </c>
      <c r="D844" s="96" t="s">
        <v>63</v>
      </c>
      <c r="E844" s="97">
        <v>16927</v>
      </c>
      <c r="F844" s="97">
        <v>1014</v>
      </c>
      <c r="G844" s="97">
        <v>1016</v>
      </c>
      <c r="H844" s="114">
        <v>34.401314630781627</v>
      </c>
      <c r="I844" s="125">
        <v>32867</v>
      </c>
      <c r="J844" s="115">
        <v>40.049216272092593</v>
      </c>
    </row>
    <row r="845" spans="1:10" ht="16">
      <c r="A845" s="100" t="s">
        <v>1380</v>
      </c>
      <c r="B845" s="101" t="s">
        <v>1288</v>
      </c>
      <c r="C845" s="102" t="s">
        <v>107</v>
      </c>
      <c r="D845" s="103" t="s">
        <v>82</v>
      </c>
      <c r="E845" s="104">
        <v>6729</v>
      </c>
      <c r="F845" s="104">
        <v>413</v>
      </c>
      <c r="G845" s="104">
        <v>538</v>
      </c>
      <c r="H845" s="116">
        <v>22.612615674250382</v>
      </c>
      <c r="I845" s="126">
        <v>13051</v>
      </c>
      <c r="J845" s="117">
        <v>22.293193937414848</v>
      </c>
    </row>
    <row r="846" spans="1:10" ht="16">
      <c r="A846" s="93" t="s">
        <v>1381</v>
      </c>
      <c r="B846" s="94" t="s">
        <v>1288</v>
      </c>
      <c r="C846" s="95" t="s">
        <v>76</v>
      </c>
      <c r="D846" s="96" t="s">
        <v>130</v>
      </c>
      <c r="E846" s="97">
        <v>3593</v>
      </c>
      <c r="F846" s="97">
        <v>413</v>
      </c>
      <c r="G846" s="97">
        <v>180</v>
      </c>
      <c r="H846" s="114">
        <v>25.02240859259847</v>
      </c>
      <c r="I846" s="125">
        <v>18212</v>
      </c>
      <c r="J846" s="115">
        <v>28.33379180510132</v>
      </c>
    </row>
    <row r="847" spans="1:10" ht="16">
      <c r="A847" s="100" t="s">
        <v>194</v>
      </c>
      <c r="B847" s="101" t="s">
        <v>184</v>
      </c>
      <c r="C847" s="102" t="s">
        <v>76</v>
      </c>
      <c r="D847" s="103" t="s">
        <v>61</v>
      </c>
      <c r="E847" s="104">
        <v>31919</v>
      </c>
      <c r="F847" s="104">
        <v>1520</v>
      </c>
      <c r="G847" s="104">
        <v>8299</v>
      </c>
      <c r="H847" s="116">
        <v>48.874377983838336</v>
      </c>
      <c r="I847" s="126">
        <v>34347</v>
      </c>
      <c r="J847" s="117">
        <v>48.150263354081993</v>
      </c>
    </row>
    <row r="848" spans="1:10" ht="16">
      <c r="A848" s="93" t="s">
        <v>897</v>
      </c>
      <c r="B848" s="94" t="s">
        <v>893</v>
      </c>
      <c r="C848" s="95" t="s">
        <v>76</v>
      </c>
      <c r="D848" s="96" t="s">
        <v>59</v>
      </c>
      <c r="E848" s="97">
        <v>7780</v>
      </c>
      <c r="F848" s="97">
        <v>603</v>
      </c>
      <c r="G848" s="97">
        <v>1245</v>
      </c>
      <c r="H848" s="114">
        <v>14.032105139143436</v>
      </c>
      <c r="I848" s="125">
        <v>5534</v>
      </c>
      <c r="J848" s="115">
        <v>17.66022871526776</v>
      </c>
    </row>
    <row r="849" spans="1:10" ht="16">
      <c r="A849" s="100" t="s">
        <v>1032</v>
      </c>
      <c r="B849" s="101" t="s">
        <v>1020</v>
      </c>
      <c r="C849" s="102" t="s">
        <v>76</v>
      </c>
      <c r="D849" s="103" t="s">
        <v>130</v>
      </c>
      <c r="E849" s="104">
        <v>27207</v>
      </c>
      <c r="F849" s="104">
        <v>1479</v>
      </c>
      <c r="G849" s="104">
        <v>2449</v>
      </c>
      <c r="H849" s="116">
        <v>15.086846738460423</v>
      </c>
      <c r="I849" s="126">
        <v>4329</v>
      </c>
      <c r="J849" s="117">
        <v>20.480969219176526</v>
      </c>
    </row>
    <row r="850" spans="1:10" ht="16">
      <c r="A850" s="93" t="s">
        <v>827</v>
      </c>
      <c r="B850" s="94" t="s">
        <v>820</v>
      </c>
      <c r="C850" s="95" t="s">
        <v>76</v>
      </c>
      <c r="D850" s="96" t="s">
        <v>61</v>
      </c>
      <c r="E850" s="97">
        <v>26723</v>
      </c>
      <c r="F850" s="97">
        <v>1979</v>
      </c>
      <c r="G850" s="97">
        <v>4810</v>
      </c>
      <c r="H850" s="114">
        <v>63.460065534553628</v>
      </c>
      <c r="I850" s="125">
        <v>57901</v>
      </c>
      <c r="J850" s="115">
        <v>48.788136256314338</v>
      </c>
    </row>
    <row r="851" spans="1:10" ht="16">
      <c r="A851" s="100" t="s">
        <v>308</v>
      </c>
      <c r="B851" s="101" t="s">
        <v>304</v>
      </c>
      <c r="C851" s="102" t="s">
        <v>76</v>
      </c>
      <c r="D851" s="103" t="s">
        <v>63</v>
      </c>
      <c r="E851" s="104">
        <v>41389</v>
      </c>
      <c r="F851" s="104">
        <v>1725</v>
      </c>
      <c r="G851" s="104">
        <v>2850</v>
      </c>
      <c r="H851" s="116">
        <v>17.507318680966893</v>
      </c>
      <c r="I851" s="126">
        <v>2992</v>
      </c>
      <c r="J851" s="117">
        <v>17.513111849778596</v>
      </c>
    </row>
    <row r="852" spans="1:10" ht="16">
      <c r="A852" s="93" t="s">
        <v>147</v>
      </c>
      <c r="B852" s="94" t="s">
        <v>144</v>
      </c>
      <c r="C852" s="95" t="s">
        <v>76</v>
      </c>
      <c r="D852" s="96" t="s">
        <v>130</v>
      </c>
      <c r="E852" s="97">
        <v>15166</v>
      </c>
      <c r="F852" s="97">
        <v>518</v>
      </c>
      <c r="G852" s="97">
        <v>2578</v>
      </c>
      <c r="H852" s="114">
        <v>45.382966722958642</v>
      </c>
      <c r="I852" s="125">
        <v>33830</v>
      </c>
      <c r="J852" s="115">
        <v>36.400129009183544</v>
      </c>
    </row>
    <row r="853" spans="1:10" ht="16">
      <c r="A853" s="100" t="s">
        <v>1382</v>
      </c>
      <c r="B853" s="101" t="s">
        <v>1288</v>
      </c>
      <c r="C853" s="102" t="s">
        <v>76</v>
      </c>
      <c r="D853" s="103" t="s">
        <v>82</v>
      </c>
      <c r="E853" s="104">
        <v>39124</v>
      </c>
      <c r="F853" s="104">
        <v>2126</v>
      </c>
      <c r="G853" s="104">
        <v>3912</v>
      </c>
      <c r="H853" s="116">
        <v>53.94640398634872</v>
      </c>
      <c r="I853" s="126">
        <v>45899</v>
      </c>
      <c r="J853" s="117">
        <v>53.5521387608201</v>
      </c>
    </row>
    <row r="854" spans="1:10" ht="16">
      <c r="A854" s="93" t="s">
        <v>1383</v>
      </c>
      <c r="B854" s="94" t="s">
        <v>1288</v>
      </c>
      <c r="C854" s="95" t="s">
        <v>76</v>
      </c>
      <c r="D854" s="96" t="s">
        <v>92</v>
      </c>
      <c r="E854" s="97">
        <v>24754</v>
      </c>
      <c r="F854" s="97">
        <v>1250</v>
      </c>
      <c r="G854" s="97">
        <v>1238</v>
      </c>
      <c r="H854" s="114">
        <v>23.512656494168308</v>
      </c>
      <c r="I854" s="125">
        <v>8586</v>
      </c>
      <c r="J854" s="115">
        <v>27.429801674091646</v>
      </c>
    </row>
    <row r="855" spans="1:10" ht="16">
      <c r="A855" s="100" t="s">
        <v>837</v>
      </c>
      <c r="B855" s="101" t="s">
        <v>834</v>
      </c>
      <c r="C855" s="102" t="s">
        <v>76</v>
      </c>
      <c r="D855" s="103" t="s">
        <v>130</v>
      </c>
      <c r="E855" s="104">
        <v>32821</v>
      </c>
      <c r="F855" s="104">
        <v>1485</v>
      </c>
      <c r="G855" s="104">
        <v>10503</v>
      </c>
      <c r="H855" s="116">
        <v>44.08485450880216</v>
      </c>
      <c r="I855" s="126">
        <v>35292</v>
      </c>
      <c r="J855" s="117">
        <v>31.86370159429282</v>
      </c>
    </row>
    <row r="856" spans="1:10" ht="16">
      <c r="A856" s="93" t="s">
        <v>898</v>
      </c>
      <c r="B856" s="94" t="s">
        <v>893</v>
      </c>
      <c r="C856" s="95" t="s">
        <v>76</v>
      </c>
      <c r="D856" s="96" t="s">
        <v>62</v>
      </c>
      <c r="E856" s="97">
        <v>9774</v>
      </c>
      <c r="F856" s="97">
        <v>592</v>
      </c>
      <c r="G856" s="97">
        <v>1173</v>
      </c>
      <c r="H856" s="114">
        <v>25.648550644060585</v>
      </c>
      <c r="I856" s="125">
        <v>10392</v>
      </c>
      <c r="J856" s="115">
        <v>25.660496836682814</v>
      </c>
    </row>
    <row r="857" spans="1:10" ht="16">
      <c r="A857" s="100" t="s">
        <v>577</v>
      </c>
      <c r="B857" s="101" t="s">
        <v>578</v>
      </c>
      <c r="C857" s="102" t="s">
        <v>76</v>
      </c>
      <c r="D857" s="103" t="s">
        <v>63</v>
      </c>
      <c r="E857" s="104">
        <v>66399</v>
      </c>
      <c r="F857" s="104">
        <v>6385</v>
      </c>
      <c r="G857" s="104">
        <v>4620</v>
      </c>
      <c r="H857" s="116">
        <v>8.3113376231156781</v>
      </c>
      <c r="I857" s="126">
        <v>3482</v>
      </c>
      <c r="J857" s="117">
        <v>20.177668112955416</v>
      </c>
    </row>
    <row r="858" spans="1:10" ht="16">
      <c r="A858" s="93" t="s">
        <v>1033</v>
      </c>
      <c r="B858" s="94" t="s">
        <v>1020</v>
      </c>
      <c r="C858" s="95" t="s">
        <v>76</v>
      </c>
      <c r="D858" s="96" t="s">
        <v>80</v>
      </c>
      <c r="E858" s="97">
        <v>46214</v>
      </c>
      <c r="F858" s="97">
        <v>3916</v>
      </c>
      <c r="G858" s="97">
        <v>4621</v>
      </c>
      <c r="H858" s="114">
        <v>32.766732018916343</v>
      </c>
      <c r="I858" s="125">
        <v>28520</v>
      </c>
      <c r="J858" s="115">
        <v>37.364434524443737</v>
      </c>
    </row>
    <row r="859" spans="1:10" ht="16">
      <c r="A859" s="100" t="s">
        <v>607</v>
      </c>
      <c r="B859" s="101" t="s">
        <v>598</v>
      </c>
      <c r="C859" s="102" t="s">
        <v>76</v>
      </c>
      <c r="D859" s="103" t="s">
        <v>60</v>
      </c>
      <c r="E859" s="104">
        <v>29564</v>
      </c>
      <c r="F859" s="104">
        <v>1442</v>
      </c>
      <c r="G859" s="104">
        <v>296</v>
      </c>
      <c r="H859" s="116">
        <v>17.731488354236287</v>
      </c>
      <c r="I859" s="126">
        <v>14992</v>
      </c>
      <c r="J859" s="117">
        <v>16.841409328051419</v>
      </c>
    </row>
    <row r="860" spans="1:10" ht="16">
      <c r="A860" s="93" t="s">
        <v>1073</v>
      </c>
      <c r="B860" s="94" t="s">
        <v>1072</v>
      </c>
      <c r="C860" s="95" t="s">
        <v>76</v>
      </c>
      <c r="D860" s="96" t="s">
        <v>60</v>
      </c>
      <c r="E860" s="97">
        <v>11518</v>
      </c>
      <c r="F860" s="97">
        <v>729</v>
      </c>
      <c r="G860" s="97">
        <v>3110</v>
      </c>
      <c r="H860" s="114">
        <v>41.327842750664033</v>
      </c>
      <c r="I860" s="125">
        <v>37752</v>
      </c>
      <c r="J860" s="115">
        <v>43.772140795299457</v>
      </c>
    </row>
    <row r="861" spans="1:10" ht="16">
      <c r="A861" s="100" t="s">
        <v>1239</v>
      </c>
      <c r="B861" s="101" t="s">
        <v>1190</v>
      </c>
      <c r="C861" s="102" t="s">
        <v>107</v>
      </c>
      <c r="D861" s="103" t="s">
        <v>63</v>
      </c>
      <c r="E861" s="104">
        <v>13825</v>
      </c>
      <c r="F861" s="104">
        <v>843</v>
      </c>
      <c r="G861" s="104">
        <v>4424</v>
      </c>
      <c r="H861" s="116">
        <v>31.50847846622149</v>
      </c>
      <c r="I861" s="126">
        <v>23678</v>
      </c>
      <c r="J861" s="117">
        <v>29.463373990396825</v>
      </c>
    </row>
    <row r="862" spans="1:10" ht="16">
      <c r="A862" s="93" t="s">
        <v>425</v>
      </c>
      <c r="B862" s="94" t="s">
        <v>402</v>
      </c>
      <c r="C862" s="95" t="s">
        <v>107</v>
      </c>
      <c r="D862" s="96" t="s">
        <v>63</v>
      </c>
      <c r="E862" s="97">
        <v>9255</v>
      </c>
      <c r="F862" s="97">
        <v>312</v>
      </c>
      <c r="G862" s="97">
        <v>926</v>
      </c>
      <c r="H862" s="114">
        <v>34.879245357067099</v>
      </c>
      <c r="I862" s="125">
        <v>19299</v>
      </c>
      <c r="J862" s="115">
        <v>35.215891485721897</v>
      </c>
    </row>
    <row r="863" spans="1:10" ht="16">
      <c r="A863" s="100" t="s">
        <v>1240</v>
      </c>
      <c r="B863" s="101" t="s">
        <v>1190</v>
      </c>
      <c r="C863" s="102" t="s">
        <v>76</v>
      </c>
      <c r="D863" s="103" t="s">
        <v>63</v>
      </c>
      <c r="E863" s="104">
        <v>10808</v>
      </c>
      <c r="F863" s="104">
        <v>540</v>
      </c>
      <c r="G863" s="104">
        <v>3675</v>
      </c>
      <c r="H863" s="116">
        <v>14.475673660028646</v>
      </c>
      <c r="I863" s="126">
        <v>4018</v>
      </c>
      <c r="J863" s="117">
        <v>17.465872277115608</v>
      </c>
    </row>
    <row r="864" spans="1:10" ht="16">
      <c r="A864" s="93" t="s">
        <v>899</v>
      </c>
      <c r="B864" s="94" t="s">
        <v>893</v>
      </c>
      <c r="C864" s="95" t="s">
        <v>76</v>
      </c>
      <c r="D864" s="96" t="s">
        <v>60</v>
      </c>
      <c r="E864" s="97">
        <v>7022</v>
      </c>
      <c r="F864" s="97">
        <v>447</v>
      </c>
      <c r="G864" s="97">
        <v>983</v>
      </c>
      <c r="H864" s="114">
        <v>17.277416865091823</v>
      </c>
      <c r="I864" s="125">
        <v>8129</v>
      </c>
      <c r="J864" s="115">
        <v>18.218802417472244</v>
      </c>
    </row>
    <row r="865" spans="1:10" ht="16">
      <c r="A865" s="100" t="s">
        <v>608</v>
      </c>
      <c r="B865" s="101" t="s">
        <v>598</v>
      </c>
      <c r="C865" s="102" t="s">
        <v>76</v>
      </c>
      <c r="D865" s="103" t="s">
        <v>63</v>
      </c>
      <c r="E865" s="104">
        <v>19022</v>
      </c>
      <c r="F865" s="104">
        <v>334</v>
      </c>
      <c r="G865" s="104">
        <v>1332</v>
      </c>
      <c r="H865" s="116">
        <v>21.674694003927019</v>
      </c>
      <c r="I865" s="126">
        <v>12518</v>
      </c>
      <c r="J865" s="117">
        <v>19.62535964210457</v>
      </c>
    </row>
    <row r="866" spans="1:10" ht="16">
      <c r="A866" s="93" t="s">
        <v>853</v>
      </c>
      <c r="B866" s="94" t="s">
        <v>850</v>
      </c>
      <c r="C866" s="95" t="s">
        <v>76</v>
      </c>
      <c r="D866" s="96" t="s">
        <v>82</v>
      </c>
      <c r="E866" s="97">
        <v>14007</v>
      </c>
      <c r="F866" s="97">
        <v>1121</v>
      </c>
      <c r="G866" s="97">
        <v>1961</v>
      </c>
      <c r="H866" s="114">
        <v>29.562561783628418</v>
      </c>
      <c r="I866" s="125">
        <v>27707</v>
      </c>
      <c r="J866" s="115">
        <v>29.823790938454309</v>
      </c>
    </row>
    <row r="867" spans="1:10" ht="16">
      <c r="A867" s="100" t="s">
        <v>1074</v>
      </c>
      <c r="B867" s="101" t="s">
        <v>1072</v>
      </c>
      <c r="C867" s="102" t="s">
        <v>76</v>
      </c>
      <c r="D867" s="103" t="s">
        <v>77</v>
      </c>
      <c r="E867" s="104">
        <v>11090</v>
      </c>
      <c r="F867" s="104">
        <v>672</v>
      </c>
      <c r="G867" s="104">
        <v>1774</v>
      </c>
      <c r="H867" s="116">
        <v>41.938855650369248</v>
      </c>
      <c r="I867" s="126">
        <v>35752</v>
      </c>
      <c r="J867" s="117">
        <v>44.799776528171016</v>
      </c>
    </row>
    <row r="868" spans="1:10" ht="16">
      <c r="A868" s="93" t="s">
        <v>565</v>
      </c>
      <c r="B868" s="94" t="s">
        <v>537</v>
      </c>
      <c r="C868" s="95" t="s">
        <v>76</v>
      </c>
      <c r="D868" s="96" t="s">
        <v>59</v>
      </c>
      <c r="E868" s="97">
        <v>11000</v>
      </c>
      <c r="F868" s="97">
        <v>451</v>
      </c>
      <c r="G868" s="97">
        <v>110</v>
      </c>
      <c r="H868" s="114">
        <v>8.5740174771204973</v>
      </c>
      <c r="I868" s="125">
        <v>755</v>
      </c>
      <c r="J868" s="115">
        <v>16.771172611285063</v>
      </c>
    </row>
    <row r="869" spans="1:10" ht="16">
      <c r="A869" s="100" t="s">
        <v>1241</v>
      </c>
      <c r="B869" s="101" t="s">
        <v>1190</v>
      </c>
      <c r="C869" s="102" t="s">
        <v>76</v>
      </c>
      <c r="D869" s="103" t="s">
        <v>59</v>
      </c>
      <c r="E869" s="104">
        <v>29542</v>
      </c>
      <c r="F869" s="104">
        <v>1906</v>
      </c>
      <c r="G869" s="104">
        <v>8567</v>
      </c>
      <c r="H869" s="116">
        <v>45.657705227905936</v>
      </c>
      <c r="I869" s="126">
        <v>42106</v>
      </c>
      <c r="J869" s="117">
        <v>39.612745522011743</v>
      </c>
    </row>
    <row r="870" spans="1:10" ht="16">
      <c r="A870" s="93" t="s">
        <v>74</v>
      </c>
      <c r="B870" s="94" t="s">
        <v>75</v>
      </c>
      <c r="C870" s="95" t="s">
        <v>76</v>
      </c>
      <c r="D870" s="96" t="s">
        <v>77</v>
      </c>
      <c r="E870" s="97">
        <v>34037</v>
      </c>
      <c r="F870" s="97">
        <v>1389</v>
      </c>
      <c r="G870" s="97">
        <v>340</v>
      </c>
      <c r="H870" s="114">
        <v>7.7404428125747264</v>
      </c>
      <c r="I870" s="125">
        <v>1035</v>
      </c>
      <c r="J870" s="115">
        <v>16.660871446298707</v>
      </c>
    </row>
    <row r="871" spans="1:10" ht="16">
      <c r="A871" s="100" t="s">
        <v>609</v>
      </c>
      <c r="B871" s="101" t="s">
        <v>598</v>
      </c>
      <c r="C871" s="102" t="s">
        <v>76</v>
      </c>
      <c r="D871" s="103" t="s">
        <v>82</v>
      </c>
      <c r="E871" s="104">
        <v>65819</v>
      </c>
      <c r="F871" s="104">
        <v>2742</v>
      </c>
      <c r="G871" s="104">
        <v>7898</v>
      </c>
      <c r="H871" s="116">
        <v>35.325810952614709</v>
      </c>
      <c r="I871" s="126">
        <v>29227</v>
      </c>
      <c r="J871" s="117">
        <v>51.941031819794155</v>
      </c>
    </row>
    <row r="872" spans="1:10" ht="16">
      <c r="A872" s="93" t="s">
        <v>426</v>
      </c>
      <c r="B872" s="94" t="s">
        <v>402</v>
      </c>
      <c r="C872" s="95" t="s">
        <v>76</v>
      </c>
      <c r="D872" s="96" t="s">
        <v>82</v>
      </c>
      <c r="E872" s="97">
        <v>36352</v>
      </c>
      <c r="F872" s="97">
        <v>537</v>
      </c>
      <c r="G872" s="97">
        <v>4726</v>
      </c>
      <c r="H872" s="114">
        <v>47.219547883396906</v>
      </c>
      <c r="I872" s="125">
        <v>41482</v>
      </c>
      <c r="J872" s="115">
        <v>47.708172688560936</v>
      </c>
    </row>
    <row r="873" spans="1:10" ht="16">
      <c r="A873" s="100" t="s">
        <v>389</v>
      </c>
      <c r="B873" s="101" t="s">
        <v>377</v>
      </c>
      <c r="C873" s="102" t="s">
        <v>76</v>
      </c>
      <c r="D873" s="103" t="s">
        <v>84</v>
      </c>
      <c r="E873" s="104">
        <v>54965</v>
      </c>
      <c r="F873" s="104">
        <v>2545</v>
      </c>
      <c r="G873" s="104">
        <v>7145</v>
      </c>
      <c r="H873" s="116">
        <v>23.531387718130194</v>
      </c>
      <c r="I873" s="126">
        <v>15266</v>
      </c>
      <c r="J873" s="117">
        <v>30.971458929859971</v>
      </c>
    </row>
    <row r="874" spans="1:10" ht="16">
      <c r="A874" s="93" t="s">
        <v>1242</v>
      </c>
      <c r="B874" s="94" t="s">
        <v>1190</v>
      </c>
      <c r="C874" s="95" t="s">
        <v>76</v>
      </c>
      <c r="D874" s="96" t="s">
        <v>80</v>
      </c>
      <c r="E874" s="97">
        <v>8917</v>
      </c>
      <c r="F874" s="97">
        <v>504</v>
      </c>
      <c r="G874" s="97">
        <v>2497</v>
      </c>
      <c r="H874" s="114">
        <v>16.617552795091665</v>
      </c>
      <c r="I874" s="125">
        <v>5508</v>
      </c>
      <c r="J874" s="115">
        <v>19.826325932171486</v>
      </c>
    </row>
    <row r="875" spans="1:10" ht="16">
      <c r="A875" s="100" t="s">
        <v>534</v>
      </c>
      <c r="B875" s="101" t="s">
        <v>530</v>
      </c>
      <c r="C875" s="102" t="s">
        <v>76</v>
      </c>
      <c r="D875" s="103" t="s">
        <v>61</v>
      </c>
      <c r="E875" s="104">
        <v>52975</v>
      </c>
      <c r="F875" s="104">
        <v>2803</v>
      </c>
      <c r="G875" s="104">
        <v>530</v>
      </c>
      <c r="H875" s="116">
        <v>8.7601242610006498</v>
      </c>
      <c r="I875" s="126">
        <v>763</v>
      </c>
      <c r="J875" s="117">
        <v>16.375205691511397</v>
      </c>
    </row>
    <row r="876" spans="1:10" ht="16">
      <c r="A876" s="93" t="s">
        <v>427</v>
      </c>
      <c r="B876" s="94" t="s">
        <v>402</v>
      </c>
      <c r="C876" s="95" t="s">
        <v>76</v>
      </c>
      <c r="D876" s="96" t="s">
        <v>130</v>
      </c>
      <c r="E876" s="97">
        <v>18915</v>
      </c>
      <c r="F876" s="97">
        <v>593</v>
      </c>
      <c r="G876" s="97">
        <v>2270</v>
      </c>
      <c r="H876" s="114">
        <v>36.204218184108868</v>
      </c>
      <c r="I876" s="125">
        <v>20282</v>
      </c>
      <c r="J876" s="115">
        <v>37.780445802324621</v>
      </c>
    </row>
    <row r="877" spans="1:10" ht="16">
      <c r="A877" s="100" t="s">
        <v>610</v>
      </c>
      <c r="B877" s="101" t="s">
        <v>598</v>
      </c>
      <c r="C877" s="102" t="s">
        <v>107</v>
      </c>
      <c r="D877" s="103" t="s">
        <v>82</v>
      </c>
      <c r="E877" s="104">
        <v>14206</v>
      </c>
      <c r="F877" s="104">
        <v>522</v>
      </c>
      <c r="G877" s="104">
        <v>994</v>
      </c>
      <c r="H877" s="116">
        <v>17.720727886216803</v>
      </c>
      <c r="I877" s="126">
        <v>12240</v>
      </c>
      <c r="J877" s="117">
        <v>15.888189474343786</v>
      </c>
    </row>
    <row r="878" spans="1:10" ht="16">
      <c r="A878" s="93" t="s">
        <v>1243</v>
      </c>
      <c r="B878" s="94" t="s">
        <v>1190</v>
      </c>
      <c r="C878" s="95" t="s">
        <v>76</v>
      </c>
      <c r="D878" s="96" t="s">
        <v>84</v>
      </c>
      <c r="E878" s="97">
        <v>17155</v>
      </c>
      <c r="F878" s="97">
        <v>953</v>
      </c>
      <c r="G878" s="97">
        <v>3603</v>
      </c>
      <c r="H878" s="114">
        <v>14.653048934005755</v>
      </c>
      <c r="I878" s="125">
        <v>6288</v>
      </c>
      <c r="J878" s="115">
        <v>17.895533071479715</v>
      </c>
    </row>
    <row r="879" spans="1:10" ht="16">
      <c r="A879" s="100" t="s">
        <v>1244</v>
      </c>
      <c r="B879" s="101" t="s">
        <v>1190</v>
      </c>
      <c r="C879" s="102" t="s">
        <v>76</v>
      </c>
      <c r="D879" s="103" t="s">
        <v>60</v>
      </c>
      <c r="E879" s="104">
        <v>21783</v>
      </c>
      <c r="F879" s="104">
        <v>1602</v>
      </c>
      <c r="G879" s="104">
        <v>5881</v>
      </c>
      <c r="H879" s="116">
        <v>48.898821289517777</v>
      </c>
      <c r="I879" s="126">
        <v>46373</v>
      </c>
      <c r="J879" s="117">
        <v>42.05548601772233</v>
      </c>
    </row>
    <row r="880" spans="1:10" ht="16">
      <c r="A880" s="93" t="s">
        <v>195</v>
      </c>
      <c r="B880" s="94" t="s">
        <v>184</v>
      </c>
      <c r="C880" s="95" t="s">
        <v>76</v>
      </c>
      <c r="D880" s="96" t="s">
        <v>84</v>
      </c>
      <c r="E880" s="97">
        <v>52108</v>
      </c>
      <c r="F880" s="97">
        <v>2879</v>
      </c>
      <c r="G880" s="97">
        <v>16675</v>
      </c>
      <c r="H880" s="114">
        <v>74.017064460518512</v>
      </c>
      <c r="I880" s="125">
        <v>67814</v>
      </c>
      <c r="J880" s="115">
        <v>62.165802075723477</v>
      </c>
    </row>
    <row r="881" spans="1:10" ht="16">
      <c r="A881" s="100" t="s">
        <v>916</v>
      </c>
      <c r="B881" s="101" t="s">
        <v>909</v>
      </c>
      <c r="C881" s="102" t="s">
        <v>76</v>
      </c>
      <c r="D881" s="103" t="s">
        <v>60</v>
      </c>
      <c r="E881" s="104">
        <v>30192</v>
      </c>
      <c r="F881" s="104">
        <v>1725</v>
      </c>
      <c r="G881" s="104">
        <v>604</v>
      </c>
      <c r="H881" s="116">
        <v>10.895038727699417</v>
      </c>
      <c r="I881" s="126">
        <v>1674</v>
      </c>
      <c r="J881" s="117">
        <v>18.494994188285396</v>
      </c>
    </row>
    <row r="882" spans="1:10" ht="16">
      <c r="A882" s="93" t="s">
        <v>1034</v>
      </c>
      <c r="B882" s="94" t="s">
        <v>1020</v>
      </c>
      <c r="C882" s="95" t="s">
        <v>76</v>
      </c>
      <c r="D882" s="96" t="s">
        <v>62</v>
      </c>
      <c r="E882" s="97">
        <v>7369</v>
      </c>
      <c r="F882" s="97">
        <v>550</v>
      </c>
      <c r="G882" s="97">
        <v>221</v>
      </c>
      <c r="H882" s="114">
        <v>12.254614476279487</v>
      </c>
      <c r="I882" s="125">
        <v>3201</v>
      </c>
      <c r="J882" s="115">
        <v>21.465477947358213</v>
      </c>
    </row>
    <row r="883" spans="1:10" ht="16">
      <c r="A883" s="100" t="s">
        <v>1035</v>
      </c>
      <c r="B883" s="101" t="s">
        <v>1020</v>
      </c>
      <c r="C883" s="102" t="s">
        <v>76</v>
      </c>
      <c r="D883" s="103" t="s">
        <v>130</v>
      </c>
      <c r="E883" s="104">
        <v>19288</v>
      </c>
      <c r="F883" s="104">
        <v>1010</v>
      </c>
      <c r="G883" s="104">
        <v>1543</v>
      </c>
      <c r="H883" s="116">
        <v>14.846872290605834</v>
      </c>
      <c r="I883" s="126">
        <v>4295</v>
      </c>
      <c r="J883" s="117">
        <v>27.335477808490626</v>
      </c>
    </row>
    <row r="884" spans="1:10" ht="16">
      <c r="A884" s="93" t="s">
        <v>611</v>
      </c>
      <c r="B884" s="94" t="s">
        <v>598</v>
      </c>
      <c r="C884" s="95" t="s">
        <v>76</v>
      </c>
      <c r="D884" s="96" t="s">
        <v>130</v>
      </c>
      <c r="E884" s="97">
        <v>27403</v>
      </c>
      <c r="F884" s="97">
        <v>830</v>
      </c>
      <c r="G884" s="97">
        <v>548</v>
      </c>
      <c r="H884" s="114">
        <v>18.211732078711446</v>
      </c>
      <c r="I884" s="125">
        <v>10533</v>
      </c>
      <c r="J884" s="115">
        <v>18.408395557575997</v>
      </c>
    </row>
    <row r="885" spans="1:10" ht="16">
      <c r="A885" s="100" t="s">
        <v>196</v>
      </c>
      <c r="B885" s="101" t="s">
        <v>184</v>
      </c>
      <c r="C885" s="102" t="s">
        <v>76</v>
      </c>
      <c r="D885" s="103" t="s">
        <v>59</v>
      </c>
      <c r="E885" s="104">
        <v>28560</v>
      </c>
      <c r="F885" s="104">
        <v>1785</v>
      </c>
      <c r="G885" s="104">
        <v>5426</v>
      </c>
      <c r="H885" s="116">
        <v>35.017876168663918</v>
      </c>
      <c r="I885" s="126">
        <v>29048</v>
      </c>
      <c r="J885" s="117">
        <v>33.936242236409832</v>
      </c>
    </row>
    <row r="886" spans="1:10" ht="16">
      <c r="A886" s="93" t="s">
        <v>1384</v>
      </c>
      <c r="B886" s="94" t="s">
        <v>1288</v>
      </c>
      <c r="C886" s="95" t="s">
        <v>107</v>
      </c>
      <c r="D886" s="96" t="s">
        <v>63</v>
      </c>
      <c r="E886" s="97">
        <v>41081</v>
      </c>
      <c r="F886" s="97">
        <v>2999</v>
      </c>
      <c r="G886" s="97">
        <v>6984</v>
      </c>
      <c r="H886" s="114">
        <v>91.571787055024231</v>
      </c>
      <c r="I886" s="125">
        <v>90040</v>
      </c>
      <c r="J886" s="115">
        <v>83.322173717138071</v>
      </c>
    </row>
    <row r="887" spans="1:10" ht="16">
      <c r="A887" s="100" t="s">
        <v>1385</v>
      </c>
      <c r="B887" s="101" t="s">
        <v>1288</v>
      </c>
      <c r="C887" s="102" t="s">
        <v>76</v>
      </c>
      <c r="D887" s="103" t="s">
        <v>62</v>
      </c>
      <c r="E887" s="104">
        <v>39164</v>
      </c>
      <c r="F887" s="104">
        <v>3264</v>
      </c>
      <c r="G887" s="104">
        <v>5483</v>
      </c>
      <c r="H887" s="116">
        <v>67.10396214896322</v>
      </c>
      <c r="I887" s="126">
        <v>55702</v>
      </c>
      <c r="J887" s="117">
        <v>63.314010171186212</v>
      </c>
    </row>
    <row r="888" spans="1:10" ht="16">
      <c r="A888" s="93" t="s">
        <v>1386</v>
      </c>
      <c r="B888" s="94" t="s">
        <v>1288</v>
      </c>
      <c r="C888" s="95" t="s">
        <v>76</v>
      </c>
      <c r="D888" s="96" t="s">
        <v>80</v>
      </c>
      <c r="E888" s="97">
        <v>32706</v>
      </c>
      <c r="F888" s="97">
        <v>1982</v>
      </c>
      <c r="G888" s="97">
        <v>8504</v>
      </c>
      <c r="H888" s="114">
        <v>46.978362569451264</v>
      </c>
      <c r="I888" s="125">
        <v>44246</v>
      </c>
      <c r="J888" s="115">
        <v>43.839844592814821</v>
      </c>
    </row>
    <row r="889" spans="1:10" ht="16">
      <c r="A889" s="100" t="s">
        <v>1387</v>
      </c>
      <c r="B889" s="101" t="s">
        <v>1288</v>
      </c>
      <c r="C889" s="102" t="s">
        <v>76</v>
      </c>
      <c r="D889" s="103" t="s">
        <v>82</v>
      </c>
      <c r="E889" s="104">
        <v>41066</v>
      </c>
      <c r="F889" s="104">
        <v>4369</v>
      </c>
      <c r="G889" s="104">
        <v>6981</v>
      </c>
      <c r="H889" s="116">
        <v>89.328227423878275</v>
      </c>
      <c r="I889" s="126">
        <v>86378</v>
      </c>
      <c r="J889" s="117">
        <v>83.964964245673414</v>
      </c>
    </row>
    <row r="890" spans="1:10" ht="16">
      <c r="A890" s="93" t="s">
        <v>1388</v>
      </c>
      <c r="B890" s="94" t="s">
        <v>1288</v>
      </c>
      <c r="C890" s="95" t="s">
        <v>76</v>
      </c>
      <c r="D890" s="96" t="s">
        <v>59</v>
      </c>
      <c r="E890" s="97">
        <v>7324</v>
      </c>
      <c r="F890" s="97">
        <v>350</v>
      </c>
      <c r="G890" s="97">
        <v>586</v>
      </c>
      <c r="H890" s="114">
        <v>22.41598102545084</v>
      </c>
      <c r="I890" s="125">
        <v>20721</v>
      </c>
      <c r="J890" s="115">
        <v>17.667590952882879</v>
      </c>
    </row>
    <row r="891" spans="1:10" ht="16">
      <c r="A891" s="100" t="s">
        <v>1389</v>
      </c>
      <c r="B891" s="101" t="s">
        <v>1288</v>
      </c>
      <c r="C891" s="102" t="s">
        <v>76</v>
      </c>
      <c r="D891" s="103" t="s">
        <v>60</v>
      </c>
      <c r="E891" s="104">
        <v>22272</v>
      </c>
      <c r="F891" s="104">
        <v>1237</v>
      </c>
      <c r="G891" s="104">
        <v>3118</v>
      </c>
      <c r="H891" s="116">
        <v>30.473184575286087</v>
      </c>
      <c r="I891" s="126">
        <v>26116</v>
      </c>
      <c r="J891" s="117">
        <v>31.540280273878562</v>
      </c>
    </row>
    <row r="892" spans="1:10" ht="16">
      <c r="A892" s="93" t="s">
        <v>1390</v>
      </c>
      <c r="B892" s="94" t="s">
        <v>1288</v>
      </c>
      <c r="C892" s="95" t="s">
        <v>107</v>
      </c>
      <c r="D892" s="96" t="s">
        <v>60</v>
      </c>
      <c r="E892" s="97">
        <v>33579</v>
      </c>
      <c r="F892" s="97">
        <v>2583</v>
      </c>
      <c r="G892" s="97">
        <v>7723</v>
      </c>
      <c r="H892" s="114">
        <v>79.352463653566744</v>
      </c>
      <c r="I892" s="125">
        <v>77235</v>
      </c>
      <c r="J892" s="115">
        <v>63.300862960041698</v>
      </c>
    </row>
    <row r="893" spans="1:10" ht="16">
      <c r="A893" s="100" t="s">
        <v>1391</v>
      </c>
      <c r="B893" s="101" t="s">
        <v>1288</v>
      </c>
      <c r="C893" s="102" t="s">
        <v>76</v>
      </c>
      <c r="D893" s="103" t="s">
        <v>82</v>
      </c>
      <c r="E893" s="104">
        <v>24089</v>
      </c>
      <c r="F893" s="104">
        <v>873</v>
      </c>
      <c r="G893" s="104">
        <v>3854</v>
      </c>
      <c r="H893" s="116">
        <v>64.274293768086849</v>
      </c>
      <c r="I893" s="126">
        <v>61430</v>
      </c>
      <c r="J893" s="117">
        <v>48.823312548643642</v>
      </c>
    </row>
    <row r="894" spans="1:10" ht="16">
      <c r="A894" s="93" t="s">
        <v>1392</v>
      </c>
      <c r="B894" s="94" t="s">
        <v>1288</v>
      </c>
      <c r="C894" s="95" t="s">
        <v>107</v>
      </c>
      <c r="D894" s="96" t="s">
        <v>62</v>
      </c>
      <c r="E894" s="97">
        <v>18783</v>
      </c>
      <c r="F894" s="97">
        <v>817</v>
      </c>
      <c r="G894" s="97">
        <v>1878</v>
      </c>
      <c r="H894" s="114">
        <v>35.423308683513682</v>
      </c>
      <c r="I894" s="125">
        <v>34169</v>
      </c>
      <c r="J894" s="115">
        <v>33.202896579226902</v>
      </c>
    </row>
    <row r="895" spans="1:10" ht="16">
      <c r="A895" s="100" t="s">
        <v>1245</v>
      </c>
      <c r="B895" s="101" t="s">
        <v>1190</v>
      </c>
      <c r="C895" s="102" t="s">
        <v>107</v>
      </c>
      <c r="D895" s="103" t="s">
        <v>130</v>
      </c>
      <c r="E895" s="104">
        <v>18978</v>
      </c>
      <c r="F895" s="104">
        <v>1741</v>
      </c>
      <c r="G895" s="104">
        <v>7022</v>
      </c>
      <c r="H895" s="116">
        <v>99.597593468736505</v>
      </c>
      <c r="I895" s="126">
        <v>94666</v>
      </c>
      <c r="J895" s="117">
        <v>92.048274250135108</v>
      </c>
    </row>
    <row r="896" spans="1:10" ht="16">
      <c r="A896" s="93" t="s">
        <v>175</v>
      </c>
      <c r="B896" s="94" t="s">
        <v>150</v>
      </c>
      <c r="C896" s="95" t="s">
        <v>107</v>
      </c>
      <c r="D896" s="96" t="s">
        <v>82</v>
      </c>
      <c r="E896" s="97">
        <v>28795</v>
      </c>
      <c r="F896" s="97">
        <v>1907</v>
      </c>
      <c r="G896" s="97">
        <v>864</v>
      </c>
      <c r="H896" s="114">
        <v>38.040398575180468</v>
      </c>
      <c r="I896" s="125">
        <v>13322</v>
      </c>
      <c r="J896" s="115">
        <v>45.301107112590138</v>
      </c>
    </row>
    <row r="897" spans="1:10" ht="16">
      <c r="A897" s="100" t="s">
        <v>111</v>
      </c>
      <c r="B897" s="101" t="s">
        <v>89</v>
      </c>
      <c r="C897" s="102" t="s">
        <v>76</v>
      </c>
      <c r="D897" s="103" t="s">
        <v>62</v>
      </c>
      <c r="E897" s="104">
        <v>10823</v>
      </c>
      <c r="F897" s="104">
        <v>299</v>
      </c>
      <c r="G897" s="104">
        <v>3463</v>
      </c>
      <c r="H897" s="116">
        <v>31.968271735405537</v>
      </c>
      <c r="I897" s="126">
        <v>31003</v>
      </c>
      <c r="J897" s="117">
        <v>25.553155634084657</v>
      </c>
    </row>
    <row r="898" spans="1:10" ht="16">
      <c r="A898" s="93" t="s">
        <v>838</v>
      </c>
      <c r="B898" s="94" t="s">
        <v>834</v>
      </c>
      <c r="C898" s="95" t="s">
        <v>107</v>
      </c>
      <c r="D898" s="96" t="s">
        <v>84</v>
      </c>
      <c r="E898" s="97">
        <v>13089</v>
      </c>
      <c r="F898" s="97">
        <v>727</v>
      </c>
      <c r="G898" s="97">
        <v>3141</v>
      </c>
      <c r="H898" s="114">
        <v>27.896825938896956</v>
      </c>
      <c r="I898" s="125">
        <v>19803</v>
      </c>
      <c r="J898" s="115">
        <v>24.908334999446268</v>
      </c>
    </row>
    <row r="899" spans="1:10" ht="16">
      <c r="A899" s="100" t="s">
        <v>980</v>
      </c>
      <c r="B899" s="101" t="s">
        <v>977</v>
      </c>
      <c r="C899" s="102" t="s">
        <v>76</v>
      </c>
      <c r="D899" s="103" t="s">
        <v>63</v>
      </c>
      <c r="E899" s="104">
        <v>21812</v>
      </c>
      <c r="F899" s="104">
        <v>1833</v>
      </c>
      <c r="G899" s="104">
        <v>3708</v>
      </c>
      <c r="H899" s="116">
        <v>43.792584815907126</v>
      </c>
      <c r="I899" s="126">
        <v>38746</v>
      </c>
      <c r="J899" s="117">
        <v>33.586286519390711</v>
      </c>
    </row>
    <row r="900" spans="1:10" ht="16">
      <c r="A900" s="93" t="s">
        <v>1134</v>
      </c>
      <c r="B900" s="94" t="s">
        <v>1135</v>
      </c>
      <c r="C900" s="95" t="s">
        <v>76</v>
      </c>
      <c r="D900" s="96" t="s">
        <v>130</v>
      </c>
      <c r="E900" s="97">
        <v>32088</v>
      </c>
      <c r="F900" s="97">
        <v>3177</v>
      </c>
      <c r="G900" s="97">
        <v>321</v>
      </c>
      <c r="H900" s="114">
        <v>8.5080626305267426</v>
      </c>
      <c r="I900" s="125">
        <v>1668</v>
      </c>
      <c r="J900" s="115">
        <v>19.988067563582884</v>
      </c>
    </row>
    <row r="901" spans="1:10" ht="16">
      <c r="A901" s="100" t="s">
        <v>1036</v>
      </c>
      <c r="B901" s="101" t="s">
        <v>1020</v>
      </c>
      <c r="C901" s="102" t="s">
        <v>76</v>
      </c>
      <c r="D901" s="103" t="s">
        <v>130</v>
      </c>
      <c r="E901" s="104">
        <v>23530</v>
      </c>
      <c r="F901" s="104">
        <v>1705</v>
      </c>
      <c r="G901" s="104">
        <v>1412</v>
      </c>
      <c r="H901" s="116">
        <v>12.739684363530721</v>
      </c>
      <c r="I901" s="126">
        <v>4153</v>
      </c>
      <c r="J901" s="117">
        <v>17.256734217728379</v>
      </c>
    </row>
    <row r="902" spans="1:10" ht="16">
      <c r="A902" s="93" t="s">
        <v>612</v>
      </c>
      <c r="B902" s="94" t="s">
        <v>598</v>
      </c>
      <c r="C902" s="95" t="s">
        <v>76</v>
      </c>
      <c r="D902" s="96" t="s">
        <v>130</v>
      </c>
      <c r="E902" s="97">
        <v>25392</v>
      </c>
      <c r="F902" s="97">
        <v>1245</v>
      </c>
      <c r="G902" s="97">
        <v>508</v>
      </c>
      <c r="H902" s="114">
        <v>18.505822648500136</v>
      </c>
      <c r="I902" s="125">
        <v>12051</v>
      </c>
      <c r="J902" s="115">
        <v>33.892108330563318</v>
      </c>
    </row>
    <row r="903" spans="1:10" ht="16">
      <c r="A903" s="100" t="s">
        <v>176</v>
      </c>
      <c r="B903" s="101" t="s">
        <v>150</v>
      </c>
      <c r="C903" s="102" t="s">
        <v>76</v>
      </c>
      <c r="D903" s="103" t="s">
        <v>59</v>
      </c>
      <c r="E903" s="104">
        <v>17101</v>
      </c>
      <c r="F903" s="104">
        <v>687</v>
      </c>
      <c r="G903" s="104">
        <v>855</v>
      </c>
      <c r="H903" s="116">
        <v>8.47500463502762</v>
      </c>
      <c r="I903" s="126">
        <v>678</v>
      </c>
      <c r="J903" s="117">
        <v>14.246076335817875</v>
      </c>
    </row>
    <row r="904" spans="1:10" ht="16">
      <c r="A904" s="93" t="s">
        <v>1393</v>
      </c>
      <c r="B904" s="94" t="s">
        <v>1288</v>
      </c>
      <c r="C904" s="95" t="s">
        <v>76</v>
      </c>
      <c r="D904" s="96" t="s">
        <v>80</v>
      </c>
      <c r="E904" s="97">
        <v>56228</v>
      </c>
      <c r="F904" s="97">
        <v>1593</v>
      </c>
      <c r="G904" s="97">
        <v>2249</v>
      </c>
      <c r="H904" s="114">
        <v>29.218828003193174</v>
      </c>
      <c r="I904" s="125">
        <v>14355</v>
      </c>
      <c r="J904" s="115">
        <v>27.173083621953619</v>
      </c>
    </row>
    <row r="905" spans="1:10" ht="16">
      <c r="A905" s="100" t="s">
        <v>1246</v>
      </c>
      <c r="B905" s="101" t="s">
        <v>1190</v>
      </c>
      <c r="C905" s="102" t="s">
        <v>76</v>
      </c>
      <c r="D905" s="103" t="s">
        <v>77</v>
      </c>
      <c r="E905" s="104">
        <v>18824</v>
      </c>
      <c r="F905" s="104">
        <v>1141</v>
      </c>
      <c r="G905" s="104">
        <v>3388</v>
      </c>
      <c r="H905" s="116">
        <v>13.655150838892327</v>
      </c>
      <c r="I905" s="126">
        <v>5100</v>
      </c>
      <c r="J905" s="117">
        <v>15.972111518542613</v>
      </c>
    </row>
    <row r="906" spans="1:10" ht="16">
      <c r="A906" s="93" t="s">
        <v>390</v>
      </c>
      <c r="B906" s="94" t="s">
        <v>377</v>
      </c>
      <c r="C906" s="95" t="s">
        <v>76</v>
      </c>
      <c r="D906" s="96" t="s">
        <v>92</v>
      </c>
      <c r="E906" s="97">
        <v>14867</v>
      </c>
      <c r="F906" s="97">
        <v>912</v>
      </c>
      <c r="G906" s="97">
        <v>2379</v>
      </c>
      <c r="H906" s="114">
        <v>13.716263817787539</v>
      </c>
      <c r="I906" s="125">
        <v>3233</v>
      </c>
      <c r="J906" s="115">
        <v>16.320965798431764</v>
      </c>
    </row>
    <row r="907" spans="1:10" ht="16">
      <c r="A907" s="100" t="s">
        <v>329</v>
      </c>
      <c r="B907" s="101" t="s">
        <v>322</v>
      </c>
      <c r="C907" s="102" t="s">
        <v>76</v>
      </c>
      <c r="D907" s="103" t="s">
        <v>59</v>
      </c>
      <c r="E907" s="104">
        <v>4285</v>
      </c>
      <c r="F907" s="104">
        <v>437</v>
      </c>
      <c r="G907" s="104">
        <v>857</v>
      </c>
      <c r="H907" s="116">
        <v>15.063670301962798</v>
      </c>
      <c r="I907" s="126">
        <v>2612</v>
      </c>
      <c r="J907" s="117">
        <v>25.18711480819298</v>
      </c>
    </row>
    <row r="908" spans="1:10" ht="16">
      <c r="A908" s="93" t="s">
        <v>1247</v>
      </c>
      <c r="B908" s="94" t="s">
        <v>1190</v>
      </c>
      <c r="C908" s="95" t="s">
        <v>76</v>
      </c>
      <c r="D908" s="96" t="s">
        <v>60</v>
      </c>
      <c r="E908" s="97">
        <v>10915</v>
      </c>
      <c r="F908" s="97">
        <v>560</v>
      </c>
      <c r="G908" s="97">
        <v>1201</v>
      </c>
      <c r="H908" s="114">
        <v>13.067994730180001</v>
      </c>
      <c r="I908" s="125">
        <v>3239</v>
      </c>
      <c r="J908" s="115">
        <v>16.509551631467328</v>
      </c>
    </row>
    <row r="909" spans="1:10" ht="16">
      <c r="A909" s="100" t="s">
        <v>1394</v>
      </c>
      <c r="B909" s="101" t="s">
        <v>1288</v>
      </c>
      <c r="C909" s="102" t="s">
        <v>107</v>
      </c>
      <c r="D909" s="103" t="s">
        <v>60</v>
      </c>
      <c r="E909" s="104">
        <v>13833</v>
      </c>
      <c r="F909" s="104">
        <v>2427</v>
      </c>
      <c r="G909" s="104">
        <v>3873</v>
      </c>
      <c r="H909" s="116">
        <v>92.11910892566884</v>
      </c>
      <c r="I909" s="126">
        <v>88453</v>
      </c>
      <c r="J909" s="117">
        <v>89.637753938104424</v>
      </c>
    </row>
    <row r="910" spans="1:10" ht="16">
      <c r="A910" s="93" t="s">
        <v>216</v>
      </c>
      <c r="B910" s="94" t="s">
        <v>212</v>
      </c>
      <c r="C910" s="95" t="s">
        <v>107</v>
      </c>
      <c r="D910" s="96" t="s">
        <v>60</v>
      </c>
      <c r="E910" s="97">
        <v>35447</v>
      </c>
      <c r="F910" s="97">
        <v>2363</v>
      </c>
      <c r="G910" s="97">
        <v>2127</v>
      </c>
      <c r="H910" s="114">
        <v>17.381995300428251</v>
      </c>
      <c r="I910" s="125">
        <v>5864</v>
      </c>
      <c r="J910" s="115">
        <v>23.646269089007223</v>
      </c>
    </row>
    <row r="911" spans="1:10" ht="16">
      <c r="A911" s="100" t="s">
        <v>1395</v>
      </c>
      <c r="B911" s="101" t="s">
        <v>1288</v>
      </c>
      <c r="C911" s="102" t="s">
        <v>76</v>
      </c>
      <c r="D911" s="103" t="s">
        <v>61</v>
      </c>
      <c r="E911" s="104">
        <v>28434</v>
      </c>
      <c r="F911" s="104">
        <v>1394</v>
      </c>
      <c r="G911" s="104">
        <v>2559</v>
      </c>
      <c r="H911" s="116">
        <v>31.40023946516834</v>
      </c>
      <c r="I911" s="126">
        <v>25951</v>
      </c>
      <c r="J911" s="117">
        <v>35.887797017677286</v>
      </c>
    </row>
    <row r="912" spans="1:10" ht="16">
      <c r="A912" s="93" t="s">
        <v>391</v>
      </c>
      <c r="B912" s="94" t="s">
        <v>377</v>
      </c>
      <c r="C912" s="95" t="s">
        <v>76</v>
      </c>
      <c r="D912" s="96" t="s">
        <v>84</v>
      </c>
      <c r="E912" s="97">
        <v>34644</v>
      </c>
      <c r="F912" s="97">
        <v>1843</v>
      </c>
      <c r="G912" s="97">
        <v>4504</v>
      </c>
      <c r="H912" s="114">
        <v>10.405118485180674</v>
      </c>
      <c r="I912" s="125">
        <v>5787</v>
      </c>
      <c r="J912" s="115">
        <v>20.143537396661873</v>
      </c>
    </row>
    <row r="913" spans="1:10" ht="16">
      <c r="A913" s="100" t="s">
        <v>900</v>
      </c>
      <c r="B913" s="101" t="s">
        <v>893</v>
      </c>
      <c r="C913" s="102" t="s">
        <v>76</v>
      </c>
      <c r="D913" s="103" t="s">
        <v>80</v>
      </c>
      <c r="E913" s="104">
        <v>21404</v>
      </c>
      <c r="F913" s="104">
        <v>1216</v>
      </c>
      <c r="G913" s="104">
        <v>4067</v>
      </c>
      <c r="H913" s="116">
        <v>28.447755755407961</v>
      </c>
      <c r="I913" s="126">
        <v>13410</v>
      </c>
      <c r="J913" s="117">
        <v>23.996438541368587</v>
      </c>
    </row>
    <row r="914" spans="1:10" ht="16">
      <c r="A914" s="93" t="s">
        <v>428</v>
      </c>
      <c r="B914" s="94" t="s">
        <v>402</v>
      </c>
      <c r="C914" s="95" t="s">
        <v>76</v>
      </c>
      <c r="D914" s="96" t="s">
        <v>77</v>
      </c>
      <c r="E914" s="97">
        <v>36965</v>
      </c>
      <c r="F914" s="97">
        <v>1013</v>
      </c>
      <c r="G914" s="97">
        <v>5914</v>
      </c>
      <c r="H914" s="114">
        <v>43.635906282903584</v>
      </c>
      <c r="I914" s="125">
        <v>35008</v>
      </c>
      <c r="J914" s="115">
        <v>44.137406615495273</v>
      </c>
    </row>
    <row r="915" spans="1:10" ht="16">
      <c r="A915" s="100" t="s">
        <v>1058</v>
      </c>
      <c r="B915" s="101" t="s">
        <v>1059</v>
      </c>
      <c r="C915" s="102" t="s">
        <v>76</v>
      </c>
      <c r="D915" s="103" t="s">
        <v>60</v>
      </c>
      <c r="E915" s="104">
        <v>22322</v>
      </c>
      <c r="F915" s="104">
        <v>754</v>
      </c>
      <c r="G915" s="104">
        <v>223</v>
      </c>
      <c r="H915" s="116">
        <v>8.7558434050451925</v>
      </c>
      <c r="I915" s="126">
        <v>1138</v>
      </c>
      <c r="J915" s="117">
        <v>14.282397003439113</v>
      </c>
    </row>
    <row r="916" spans="1:10" ht="16">
      <c r="A916" s="93" t="s">
        <v>1396</v>
      </c>
      <c r="B916" s="94" t="s">
        <v>1288</v>
      </c>
      <c r="C916" s="95" t="s">
        <v>107</v>
      </c>
      <c r="D916" s="96" t="s">
        <v>61</v>
      </c>
      <c r="E916" s="97">
        <v>33186</v>
      </c>
      <c r="F916" s="97">
        <v>2036</v>
      </c>
      <c r="G916" s="97">
        <v>3650</v>
      </c>
      <c r="H916" s="114">
        <v>46.515870418004013</v>
      </c>
      <c r="I916" s="125">
        <v>42553</v>
      </c>
      <c r="J916" s="115">
        <v>45.489755499334898</v>
      </c>
    </row>
    <row r="917" spans="1:10" ht="16">
      <c r="A917" s="100" t="s">
        <v>1397</v>
      </c>
      <c r="B917" s="101" t="s">
        <v>1288</v>
      </c>
      <c r="C917" s="102" t="s">
        <v>76</v>
      </c>
      <c r="D917" s="103" t="s">
        <v>92</v>
      </c>
      <c r="E917" s="104">
        <v>32446</v>
      </c>
      <c r="F917" s="104">
        <v>2135</v>
      </c>
      <c r="G917" s="104">
        <v>2920</v>
      </c>
      <c r="H917" s="116">
        <v>29.815384661901678</v>
      </c>
      <c r="I917" s="126">
        <v>18102</v>
      </c>
      <c r="J917" s="117">
        <v>37.340003483306049</v>
      </c>
    </row>
    <row r="918" spans="1:10" ht="16">
      <c r="A918" s="93" t="s">
        <v>78</v>
      </c>
      <c r="B918" s="94" t="s">
        <v>75</v>
      </c>
      <c r="C918" s="95" t="s">
        <v>76</v>
      </c>
      <c r="D918" s="96" t="s">
        <v>62</v>
      </c>
      <c r="E918" s="97">
        <v>35382</v>
      </c>
      <c r="F918" s="97">
        <v>1726</v>
      </c>
      <c r="G918" s="97">
        <v>1769</v>
      </c>
      <c r="H918" s="114">
        <v>7.5098579968893313</v>
      </c>
      <c r="I918" s="125">
        <v>622</v>
      </c>
      <c r="J918" s="115">
        <v>20.374503304580948</v>
      </c>
    </row>
    <row r="919" spans="1:10" ht="16">
      <c r="A919" s="100" t="s">
        <v>341</v>
      </c>
      <c r="B919" s="101" t="s">
        <v>336</v>
      </c>
      <c r="C919" s="102" t="s">
        <v>76</v>
      </c>
      <c r="D919" s="103" t="s">
        <v>63</v>
      </c>
      <c r="E919" s="104">
        <v>31219</v>
      </c>
      <c r="F919" s="104">
        <v>7260</v>
      </c>
      <c r="G919" s="104">
        <v>5307</v>
      </c>
      <c r="H919" s="116">
        <v>44.25245214150555</v>
      </c>
      <c r="I919" s="126">
        <v>39615</v>
      </c>
      <c r="J919" s="117">
        <v>48.685858417271504</v>
      </c>
    </row>
    <row r="920" spans="1:10" ht="16">
      <c r="A920" s="93" t="s">
        <v>311</v>
      </c>
      <c r="B920" s="94" t="s">
        <v>312</v>
      </c>
      <c r="C920" s="95" t="s">
        <v>76</v>
      </c>
      <c r="D920" s="96" t="s">
        <v>77</v>
      </c>
      <c r="E920" s="97">
        <v>33900</v>
      </c>
      <c r="F920" s="97">
        <v>2245</v>
      </c>
      <c r="G920" s="97">
        <v>678</v>
      </c>
      <c r="H920" s="114">
        <v>8.4331698695264823</v>
      </c>
      <c r="I920" s="125">
        <v>6138</v>
      </c>
      <c r="J920" s="115">
        <v>16.783297839916631</v>
      </c>
    </row>
    <row r="921" spans="1:10" ht="16">
      <c r="A921" s="100" t="s">
        <v>453</v>
      </c>
      <c r="B921" s="101" t="s">
        <v>448</v>
      </c>
      <c r="C921" s="102" t="s">
        <v>76</v>
      </c>
      <c r="D921" s="103" t="s">
        <v>92</v>
      </c>
      <c r="E921" s="104">
        <v>13321</v>
      </c>
      <c r="F921" s="104">
        <v>569</v>
      </c>
      <c r="G921" s="104">
        <v>533</v>
      </c>
      <c r="H921" s="116">
        <v>21.047736480379562</v>
      </c>
      <c r="I921" s="126">
        <v>18377</v>
      </c>
      <c r="J921" s="117">
        <v>18.022405901356599</v>
      </c>
    </row>
    <row r="922" spans="1:10" ht="16">
      <c r="A922" s="93" t="s">
        <v>320</v>
      </c>
      <c r="B922" s="94" t="s">
        <v>319</v>
      </c>
      <c r="C922" s="95" t="s">
        <v>76</v>
      </c>
      <c r="D922" s="96" t="s">
        <v>92</v>
      </c>
      <c r="E922" s="97">
        <v>6635</v>
      </c>
      <c r="F922" s="97">
        <v>302</v>
      </c>
      <c r="G922" s="97">
        <v>730</v>
      </c>
      <c r="H922" s="114">
        <v>25.572925141924905</v>
      </c>
      <c r="I922" s="125">
        <v>15381</v>
      </c>
      <c r="J922" s="115">
        <v>24.412910439942983</v>
      </c>
    </row>
    <row r="923" spans="1:10" ht="16">
      <c r="A923" s="100" t="s">
        <v>1117</v>
      </c>
      <c r="B923" s="101" t="s">
        <v>1118</v>
      </c>
      <c r="C923" s="102" t="s">
        <v>107</v>
      </c>
      <c r="D923" s="103" t="s">
        <v>63</v>
      </c>
      <c r="E923" s="104">
        <v>30139</v>
      </c>
      <c r="F923" s="104">
        <v>1578</v>
      </c>
      <c r="G923" s="104">
        <v>478</v>
      </c>
      <c r="H923" s="116">
        <v>8.0791251167513991</v>
      </c>
      <c r="I923" s="126">
        <v>1552</v>
      </c>
      <c r="J923" s="117">
        <v>14.44681463392738</v>
      </c>
    </row>
    <row r="924" spans="1:10" ht="16">
      <c r="A924" s="93" t="s">
        <v>469</v>
      </c>
      <c r="B924" s="94" t="s">
        <v>466</v>
      </c>
      <c r="C924" s="95" t="s">
        <v>76</v>
      </c>
      <c r="D924" s="96" t="s">
        <v>130</v>
      </c>
      <c r="E924" s="97">
        <v>26771</v>
      </c>
      <c r="F924" s="97">
        <v>2250</v>
      </c>
      <c r="G924" s="97">
        <v>4819</v>
      </c>
      <c r="H924" s="114">
        <v>11.20439598259941</v>
      </c>
      <c r="I924" s="125">
        <v>3009</v>
      </c>
      <c r="J924" s="115">
        <v>20.803034115362752</v>
      </c>
    </row>
    <row r="925" spans="1:10" ht="16">
      <c r="A925" s="100" t="s">
        <v>1398</v>
      </c>
      <c r="B925" s="101" t="s">
        <v>1288</v>
      </c>
      <c r="C925" s="102" t="s">
        <v>76</v>
      </c>
      <c r="D925" s="103" t="s">
        <v>60</v>
      </c>
      <c r="E925" s="104">
        <v>20566</v>
      </c>
      <c r="F925" s="104">
        <v>1210</v>
      </c>
      <c r="G925" s="104">
        <v>2057</v>
      </c>
      <c r="H925" s="116">
        <v>39.134597161296263</v>
      </c>
      <c r="I925" s="126">
        <v>27388</v>
      </c>
      <c r="J925" s="117">
        <v>29.363129937328385</v>
      </c>
    </row>
    <row r="926" spans="1:10" ht="16">
      <c r="A926" s="93" t="s">
        <v>525</v>
      </c>
      <c r="B926" s="94" t="s">
        <v>474</v>
      </c>
      <c r="C926" s="95" t="s">
        <v>107</v>
      </c>
      <c r="D926" s="96" t="s">
        <v>82</v>
      </c>
      <c r="E926" s="97">
        <v>24547</v>
      </c>
      <c r="F926" s="97">
        <v>1067</v>
      </c>
      <c r="G926" s="97">
        <v>245</v>
      </c>
      <c r="H926" s="114">
        <v>18.596562524245467</v>
      </c>
      <c r="I926" s="125">
        <v>7654</v>
      </c>
      <c r="J926" s="115">
        <v>38.174210640644425</v>
      </c>
    </row>
    <row r="927" spans="1:10" ht="16">
      <c r="A927" s="100" t="s">
        <v>1399</v>
      </c>
      <c r="B927" s="101" t="s">
        <v>1288</v>
      </c>
      <c r="C927" s="102" t="s">
        <v>76</v>
      </c>
      <c r="D927" s="103" t="s">
        <v>60</v>
      </c>
      <c r="E927" s="104">
        <v>9535</v>
      </c>
      <c r="F927" s="104">
        <v>733</v>
      </c>
      <c r="G927" s="104">
        <v>858</v>
      </c>
      <c r="H927" s="116">
        <v>23.188956015112502</v>
      </c>
      <c r="I927" s="126">
        <v>16912</v>
      </c>
      <c r="J927" s="117">
        <v>40.631833278112055</v>
      </c>
    </row>
    <row r="928" spans="1:10" ht="16">
      <c r="A928" s="93" t="s">
        <v>1248</v>
      </c>
      <c r="B928" s="94" t="s">
        <v>1190</v>
      </c>
      <c r="C928" s="95" t="s">
        <v>76</v>
      </c>
      <c r="D928" s="96" t="s">
        <v>82</v>
      </c>
      <c r="E928" s="97">
        <v>13502</v>
      </c>
      <c r="F928" s="97">
        <v>888</v>
      </c>
      <c r="G928" s="97">
        <v>1755</v>
      </c>
      <c r="H928" s="114">
        <v>11.054831543450408</v>
      </c>
      <c r="I928" s="125">
        <v>3350</v>
      </c>
      <c r="J928" s="115">
        <v>16.919996361287634</v>
      </c>
    </row>
    <row r="929" spans="1:10" ht="16">
      <c r="A929" s="100" t="s">
        <v>217</v>
      </c>
      <c r="B929" s="101" t="s">
        <v>212</v>
      </c>
      <c r="C929" s="102" t="s">
        <v>76</v>
      </c>
      <c r="D929" s="103" t="s">
        <v>63</v>
      </c>
      <c r="E929" s="104">
        <v>15384</v>
      </c>
      <c r="F929" s="104">
        <v>810</v>
      </c>
      <c r="G929" s="104">
        <v>615</v>
      </c>
      <c r="H929" s="116">
        <v>9.7236633321362138</v>
      </c>
      <c r="I929" s="126">
        <v>8805</v>
      </c>
      <c r="J929" s="117">
        <v>13.735818785283723</v>
      </c>
    </row>
    <row r="930" spans="1:10" ht="16">
      <c r="A930" s="93" t="s">
        <v>1037</v>
      </c>
      <c r="B930" s="94" t="s">
        <v>1020</v>
      </c>
      <c r="C930" s="95" t="s">
        <v>76</v>
      </c>
      <c r="D930" s="96" t="s">
        <v>59</v>
      </c>
      <c r="E930" s="97">
        <v>9209</v>
      </c>
      <c r="F930" s="97">
        <v>422</v>
      </c>
      <c r="G930" s="97">
        <v>1013</v>
      </c>
      <c r="H930" s="114">
        <v>18.170788159186912</v>
      </c>
      <c r="I930" s="125">
        <v>7073</v>
      </c>
      <c r="J930" s="115">
        <v>21.544289468256981</v>
      </c>
    </row>
    <row r="931" spans="1:10" ht="16">
      <c r="A931" s="100" t="s">
        <v>139</v>
      </c>
      <c r="B931" s="101" t="s">
        <v>140</v>
      </c>
      <c r="C931" s="102" t="s">
        <v>107</v>
      </c>
      <c r="D931" s="103" t="s">
        <v>80</v>
      </c>
      <c r="E931" s="104">
        <v>34108</v>
      </c>
      <c r="F931" s="104">
        <v>2186</v>
      </c>
      <c r="G931" s="104">
        <v>1705</v>
      </c>
      <c r="H931" s="116">
        <v>8.9217119204519442</v>
      </c>
      <c r="I931" s="126">
        <v>1548</v>
      </c>
      <c r="J931" s="117">
        <v>16.183697065788415</v>
      </c>
    </row>
    <row r="932" spans="1:10" ht="16">
      <c r="A932" s="93" t="s">
        <v>429</v>
      </c>
      <c r="B932" s="94" t="s">
        <v>402</v>
      </c>
      <c r="C932" s="95" t="s">
        <v>107</v>
      </c>
      <c r="D932" s="96" t="s">
        <v>77</v>
      </c>
      <c r="E932" s="97">
        <v>42698</v>
      </c>
      <c r="F932" s="97">
        <v>806</v>
      </c>
      <c r="G932" s="97">
        <v>8113</v>
      </c>
      <c r="H932" s="114">
        <v>33.795770267008471</v>
      </c>
      <c r="I932" s="125">
        <v>30217</v>
      </c>
      <c r="J932" s="115">
        <v>35.136175499529777</v>
      </c>
    </row>
    <row r="933" spans="1:10" ht="16">
      <c r="A933" s="100" t="s">
        <v>1249</v>
      </c>
      <c r="B933" s="101" t="s">
        <v>1190</v>
      </c>
      <c r="C933" s="102" t="s">
        <v>76</v>
      </c>
      <c r="D933" s="103" t="s">
        <v>92</v>
      </c>
      <c r="E933" s="104">
        <v>12122</v>
      </c>
      <c r="F933" s="104">
        <v>689</v>
      </c>
      <c r="G933" s="104">
        <v>2667</v>
      </c>
      <c r="H933" s="116">
        <v>31.469560782936444</v>
      </c>
      <c r="I933" s="126">
        <v>28361</v>
      </c>
      <c r="J933" s="117">
        <v>24.803726516330276</v>
      </c>
    </row>
    <row r="934" spans="1:10" ht="16">
      <c r="A934" s="93" t="s">
        <v>1250</v>
      </c>
      <c r="B934" s="94" t="s">
        <v>1190</v>
      </c>
      <c r="C934" s="95" t="s">
        <v>76</v>
      </c>
      <c r="D934" s="96" t="s">
        <v>62</v>
      </c>
      <c r="E934" s="97">
        <v>15195</v>
      </c>
      <c r="F934" s="97">
        <v>1093</v>
      </c>
      <c r="G934" s="97">
        <v>4255</v>
      </c>
      <c r="H934" s="114">
        <v>30.145760800842123</v>
      </c>
      <c r="I934" s="125">
        <v>29367</v>
      </c>
      <c r="J934" s="115">
        <v>28.772465184124091</v>
      </c>
    </row>
    <row r="935" spans="1:10" ht="16">
      <c r="A935" s="100" t="s">
        <v>1251</v>
      </c>
      <c r="B935" s="101" t="s">
        <v>1190</v>
      </c>
      <c r="C935" s="102" t="s">
        <v>76</v>
      </c>
      <c r="D935" s="103" t="s">
        <v>62</v>
      </c>
      <c r="E935" s="104">
        <v>10302</v>
      </c>
      <c r="F935" s="104">
        <v>599</v>
      </c>
      <c r="G935" s="104">
        <v>3091</v>
      </c>
      <c r="H935" s="116">
        <v>14.932270441735989</v>
      </c>
      <c r="I935" s="126">
        <v>4829</v>
      </c>
      <c r="J935" s="117">
        <v>20.842702867073687</v>
      </c>
    </row>
    <row r="936" spans="1:10" ht="16">
      <c r="A936" s="93" t="s">
        <v>372</v>
      </c>
      <c r="B936" s="94" t="s">
        <v>369</v>
      </c>
      <c r="C936" s="95" t="s">
        <v>76</v>
      </c>
      <c r="D936" s="96" t="s">
        <v>130</v>
      </c>
      <c r="E936" s="97">
        <v>11630</v>
      </c>
      <c r="F936" s="97">
        <v>629</v>
      </c>
      <c r="G936" s="97">
        <v>698</v>
      </c>
      <c r="H936" s="114">
        <v>28.55342183430232</v>
      </c>
      <c r="I936" s="125">
        <v>19804</v>
      </c>
      <c r="J936" s="115">
        <v>24.959967688374135</v>
      </c>
    </row>
    <row r="937" spans="1:10" ht="16">
      <c r="A937" s="100" t="s">
        <v>330</v>
      </c>
      <c r="B937" s="101" t="s">
        <v>322</v>
      </c>
      <c r="C937" s="102" t="s">
        <v>76</v>
      </c>
      <c r="D937" s="103" t="s">
        <v>130</v>
      </c>
      <c r="E937" s="104">
        <v>14011</v>
      </c>
      <c r="F937" s="104">
        <v>499</v>
      </c>
      <c r="G937" s="104">
        <v>3223</v>
      </c>
      <c r="H937" s="116">
        <v>13.613179437449194</v>
      </c>
      <c r="I937" s="126">
        <v>799</v>
      </c>
      <c r="J937" s="117">
        <v>19.631153664538409</v>
      </c>
    </row>
    <row r="938" spans="1:10" ht="16">
      <c r="A938" s="93" t="s">
        <v>1252</v>
      </c>
      <c r="B938" s="94" t="s">
        <v>1190</v>
      </c>
      <c r="C938" s="95" t="s">
        <v>76</v>
      </c>
      <c r="D938" s="96" t="s">
        <v>60</v>
      </c>
      <c r="E938" s="97">
        <v>29433</v>
      </c>
      <c r="F938" s="97">
        <v>2299</v>
      </c>
      <c r="G938" s="97">
        <v>12068</v>
      </c>
      <c r="H938" s="114">
        <v>74.555309917340665</v>
      </c>
      <c r="I938" s="125">
        <v>71551</v>
      </c>
      <c r="J938" s="115">
        <v>67.941246261526217</v>
      </c>
    </row>
    <row r="939" spans="1:10" ht="16">
      <c r="A939" s="100" t="s">
        <v>288</v>
      </c>
      <c r="B939" s="101" t="s">
        <v>223</v>
      </c>
      <c r="C939" s="102" t="s">
        <v>107</v>
      </c>
      <c r="D939" s="103" t="s">
        <v>84</v>
      </c>
      <c r="E939" s="104">
        <v>33242</v>
      </c>
      <c r="F939" s="104">
        <v>2027</v>
      </c>
      <c r="G939" s="104">
        <v>1330</v>
      </c>
      <c r="H939" s="116">
        <v>22.371061233670449</v>
      </c>
      <c r="I939" s="126">
        <v>12281</v>
      </c>
      <c r="J939" s="117">
        <v>24.21834502704095</v>
      </c>
    </row>
    <row r="940" spans="1:10" ht="16">
      <c r="A940" s="93" t="s">
        <v>867</v>
      </c>
      <c r="B940" s="94" t="s">
        <v>858</v>
      </c>
      <c r="C940" s="95" t="s">
        <v>107</v>
      </c>
      <c r="D940" s="96" t="s">
        <v>84</v>
      </c>
      <c r="E940" s="97">
        <v>14654</v>
      </c>
      <c r="F940" s="97">
        <v>1011</v>
      </c>
      <c r="G940" s="97">
        <v>293</v>
      </c>
      <c r="H940" s="114">
        <v>9.8056154571138112</v>
      </c>
      <c r="I940" s="125">
        <v>1839</v>
      </c>
      <c r="J940" s="115">
        <v>15.552586031521159</v>
      </c>
    </row>
    <row r="941" spans="1:10" ht="16">
      <c r="A941" s="100" t="s">
        <v>430</v>
      </c>
      <c r="B941" s="101" t="s">
        <v>402</v>
      </c>
      <c r="C941" s="102" t="s">
        <v>107</v>
      </c>
      <c r="D941" s="103" t="s">
        <v>62</v>
      </c>
      <c r="E941" s="104">
        <v>38111</v>
      </c>
      <c r="F941" s="104">
        <v>669</v>
      </c>
      <c r="G941" s="104">
        <v>4573</v>
      </c>
      <c r="H941" s="116">
        <v>46.785131199947372</v>
      </c>
      <c r="I941" s="126">
        <v>34531</v>
      </c>
      <c r="J941" s="117">
        <v>41.523545753957748</v>
      </c>
    </row>
    <row r="942" spans="1:10" ht="16">
      <c r="A942" s="93" t="s">
        <v>1253</v>
      </c>
      <c r="B942" s="94" t="s">
        <v>1190</v>
      </c>
      <c r="C942" s="95" t="s">
        <v>76</v>
      </c>
      <c r="D942" s="96" t="s">
        <v>61</v>
      </c>
      <c r="E942" s="97">
        <v>11923</v>
      </c>
      <c r="F942" s="97">
        <v>741</v>
      </c>
      <c r="G942" s="97">
        <v>4650</v>
      </c>
      <c r="H942" s="114">
        <v>34.977462926758498</v>
      </c>
      <c r="I942" s="125">
        <v>23638</v>
      </c>
      <c r="J942" s="115">
        <v>31.695735709448101</v>
      </c>
    </row>
    <row r="943" spans="1:10" ht="16">
      <c r="A943" s="100" t="s">
        <v>1254</v>
      </c>
      <c r="B943" s="101" t="s">
        <v>1190</v>
      </c>
      <c r="C943" s="102" t="s">
        <v>76</v>
      </c>
      <c r="D943" s="103" t="s">
        <v>130</v>
      </c>
      <c r="E943" s="104">
        <v>21451</v>
      </c>
      <c r="F943" s="104">
        <v>1219</v>
      </c>
      <c r="G943" s="104">
        <v>6006</v>
      </c>
      <c r="H943" s="116">
        <v>39.253871967851744</v>
      </c>
      <c r="I943" s="126">
        <v>36029</v>
      </c>
      <c r="J943" s="117">
        <v>34.5271807774064</v>
      </c>
    </row>
    <row r="944" spans="1:10" ht="16">
      <c r="A944" s="93" t="s">
        <v>613</v>
      </c>
      <c r="B944" s="94" t="s">
        <v>598</v>
      </c>
      <c r="C944" s="95" t="s">
        <v>76</v>
      </c>
      <c r="D944" s="96" t="s">
        <v>130</v>
      </c>
      <c r="E944" s="97">
        <v>14644</v>
      </c>
      <c r="F944" s="97">
        <v>581</v>
      </c>
      <c r="G944" s="97">
        <v>1025</v>
      </c>
      <c r="H944" s="114">
        <v>20.46216021249473</v>
      </c>
      <c r="I944" s="125">
        <v>15180</v>
      </c>
      <c r="J944" s="115">
        <v>21.506519950479284</v>
      </c>
    </row>
    <row r="945" spans="1:10" ht="16">
      <c r="A945" s="100" t="s">
        <v>614</v>
      </c>
      <c r="B945" s="101" t="s">
        <v>598</v>
      </c>
      <c r="C945" s="102" t="s">
        <v>76</v>
      </c>
      <c r="D945" s="103" t="s">
        <v>80</v>
      </c>
      <c r="E945" s="104">
        <v>34686</v>
      </c>
      <c r="F945" s="104">
        <v>1700</v>
      </c>
      <c r="G945" s="104">
        <v>3815</v>
      </c>
      <c r="H945" s="116">
        <v>26.052325746870519</v>
      </c>
      <c r="I945" s="126">
        <v>16595</v>
      </c>
      <c r="J945" s="117">
        <v>38.368268539276713</v>
      </c>
    </row>
    <row r="946" spans="1:10" ht="16">
      <c r="A946" s="93" t="s">
        <v>1400</v>
      </c>
      <c r="B946" s="94" t="s">
        <v>1288</v>
      </c>
      <c r="C946" s="95" t="s">
        <v>76</v>
      </c>
      <c r="D946" s="96" t="s">
        <v>59</v>
      </c>
      <c r="E946" s="97">
        <v>46642</v>
      </c>
      <c r="F946" s="97">
        <v>2776</v>
      </c>
      <c r="G946" s="97">
        <v>4664</v>
      </c>
      <c r="H946" s="114">
        <v>54.300151386868492</v>
      </c>
      <c r="I946" s="125">
        <v>33382</v>
      </c>
      <c r="J946" s="115">
        <v>54.930983922483975</v>
      </c>
    </row>
    <row r="947" spans="1:10" ht="16">
      <c r="A947" s="100" t="s">
        <v>177</v>
      </c>
      <c r="B947" s="101" t="s">
        <v>150</v>
      </c>
      <c r="C947" s="102" t="s">
        <v>107</v>
      </c>
      <c r="D947" s="103" t="s">
        <v>62</v>
      </c>
      <c r="E947" s="104">
        <v>23923</v>
      </c>
      <c r="F947" s="104">
        <v>1574</v>
      </c>
      <c r="G947" s="104">
        <v>1647</v>
      </c>
      <c r="H947" s="116">
        <v>7.366423969324071</v>
      </c>
      <c r="I947" s="126">
        <v>3083</v>
      </c>
      <c r="J947" s="117">
        <v>15.335544883721543</v>
      </c>
    </row>
    <row r="948" spans="1:10" ht="16">
      <c r="A948" s="93" t="s">
        <v>431</v>
      </c>
      <c r="B948" s="94" t="s">
        <v>402</v>
      </c>
      <c r="C948" s="95" t="s">
        <v>76</v>
      </c>
      <c r="D948" s="96" t="s">
        <v>63</v>
      </c>
      <c r="E948" s="97">
        <v>21475</v>
      </c>
      <c r="F948" s="97">
        <v>502</v>
      </c>
      <c r="G948" s="97">
        <v>4939</v>
      </c>
      <c r="H948" s="114">
        <v>52.425433513302735</v>
      </c>
      <c r="I948" s="125">
        <v>43026</v>
      </c>
      <c r="J948" s="115">
        <v>50.083292990127177</v>
      </c>
    </row>
    <row r="949" spans="1:10" ht="16">
      <c r="A949" s="100" t="s">
        <v>1075</v>
      </c>
      <c r="B949" s="101" t="s">
        <v>1072</v>
      </c>
      <c r="C949" s="102" t="s">
        <v>76</v>
      </c>
      <c r="D949" s="103" t="s">
        <v>92</v>
      </c>
      <c r="E949" s="104">
        <v>10887</v>
      </c>
      <c r="F949" s="104">
        <v>337</v>
      </c>
      <c r="G949" s="104">
        <v>1960</v>
      </c>
      <c r="H949" s="116">
        <v>32.945690567704929</v>
      </c>
      <c r="I949" s="126">
        <v>21034</v>
      </c>
      <c r="J949" s="117">
        <v>32.157538355608054</v>
      </c>
    </row>
    <row r="950" spans="1:10" ht="16">
      <c r="A950" s="93" t="s">
        <v>737</v>
      </c>
      <c r="B950" s="94" t="s">
        <v>642</v>
      </c>
      <c r="C950" s="95" t="s">
        <v>107</v>
      </c>
      <c r="D950" s="96" t="s">
        <v>82</v>
      </c>
      <c r="E950" s="97">
        <v>5020</v>
      </c>
      <c r="F950" s="97">
        <v>540</v>
      </c>
      <c r="G950" s="97">
        <v>201</v>
      </c>
      <c r="H950" s="114">
        <v>10.868357682127849</v>
      </c>
      <c r="I950" s="125">
        <v>1121</v>
      </c>
      <c r="J950" s="115">
        <v>20.650600904212453</v>
      </c>
    </row>
    <row r="951" spans="1:10" ht="16">
      <c r="A951" s="100" t="s">
        <v>887</v>
      </c>
      <c r="B951" s="101" t="s">
        <v>879</v>
      </c>
      <c r="C951" s="102" t="s">
        <v>76</v>
      </c>
      <c r="D951" s="103" t="s">
        <v>130</v>
      </c>
      <c r="E951" s="104">
        <v>27859</v>
      </c>
      <c r="F951" s="104">
        <v>1629</v>
      </c>
      <c r="G951" s="104">
        <v>557</v>
      </c>
      <c r="H951" s="116">
        <v>11.327608206409904</v>
      </c>
      <c r="I951" s="126">
        <v>2153</v>
      </c>
      <c r="J951" s="117">
        <v>15.75946136262643</v>
      </c>
    </row>
    <row r="952" spans="1:10" ht="16">
      <c r="A952" s="93" t="s">
        <v>1076</v>
      </c>
      <c r="B952" s="94" t="s">
        <v>1072</v>
      </c>
      <c r="C952" s="95" t="s">
        <v>76</v>
      </c>
      <c r="D952" s="96" t="s">
        <v>63</v>
      </c>
      <c r="E952" s="97">
        <v>16935</v>
      </c>
      <c r="F952" s="97">
        <v>1086</v>
      </c>
      <c r="G952" s="97">
        <v>6605</v>
      </c>
      <c r="H952" s="114">
        <v>43.884144577020557</v>
      </c>
      <c r="I952" s="125">
        <v>35291</v>
      </c>
      <c r="J952" s="115">
        <v>38.203219252699817</v>
      </c>
    </row>
    <row r="953" spans="1:10" ht="16">
      <c r="A953" s="100" t="s">
        <v>615</v>
      </c>
      <c r="B953" s="101" t="s">
        <v>598</v>
      </c>
      <c r="C953" s="102" t="s">
        <v>76</v>
      </c>
      <c r="D953" s="103" t="s">
        <v>80</v>
      </c>
      <c r="E953" s="104">
        <v>23977</v>
      </c>
      <c r="F953" s="104">
        <v>1230</v>
      </c>
      <c r="G953" s="104">
        <v>2158</v>
      </c>
      <c r="H953" s="116">
        <v>23.450844601663711</v>
      </c>
      <c r="I953" s="126">
        <v>14821</v>
      </c>
      <c r="J953" s="117">
        <v>32.808362531191399</v>
      </c>
    </row>
    <row r="954" spans="1:10" ht="16">
      <c r="A954" s="93" t="s">
        <v>1401</v>
      </c>
      <c r="B954" s="94" t="s">
        <v>1288</v>
      </c>
      <c r="C954" s="95" t="s">
        <v>76</v>
      </c>
      <c r="D954" s="96" t="s">
        <v>62</v>
      </c>
      <c r="E954" s="97">
        <v>35164</v>
      </c>
      <c r="F954" s="97">
        <v>2157</v>
      </c>
      <c r="G954" s="97">
        <v>2461</v>
      </c>
      <c r="H954" s="114">
        <v>36.133809844746303</v>
      </c>
      <c r="I954" s="125">
        <v>20013</v>
      </c>
      <c r="J954" s="115">
        <v>35.833073717176639</v>
      </c>
    </row>
    <row r="955" spans="1:10" ht="16">
      <c r="A955" s="100" t="s">
        <v>445</v>
      </c>
      <c r="B955" s="101" t="s">
        <v>446</v>
      </c>
      <c r="C955" s="102" t="s">
        <v>107</v>
      </c>
      <c r="D955" s="103" t="s">
        <v>77</v>
      </c>
      <c r="E955" s="104">
        <v>36819</v>
      </c>
      <c r="F955" s="104">
        <v>1283</v>
      </c>
      <c r="G955" s="104">
        <v>368</v>
      </c>
      <c r="H955" s="116">
        <v>15.692818902375574</v>
      </c>
      <c r="I955" s="126">
        <v>4421</v>
      </c>
      <c r="J955" s="117">
        <v>16.400977617601278</v>
      </c>
    </row>
    <row r="956" spans="1:10" ht="16">
      <c r="A956" s="93" t="s">
        <v>1038</v>
      </c>
      <c r="B956" s="94" t="s">
        <v>1020</v>
      </c>
      <c r="C956" s="95" t="s">
        <v>76</v>
      </c>
      <c r="D956" s="96" t="s">
        <v>130</v>
      </c>
      <c r="E956" s="97">
        <v>13906</v>
      </c>
      <c r="F956" s="97">
        <v>732</v>
      </c>
      <c r="G956" s="97">
        <v>1947</v>
      </c>
      <c r="H956" s="114">
        <v>18.847703197162598</v>
      </c>
      <c r="I956" s="125">
        <v>10527</v>
      </c>
      <c r="J956" s="115">
        <v>18.948715905032721</v>
      </c>
    </row>
    <row r="957" spans="1:10" ht="16">
      <c r="A957" s="100" t="s">
        <v>1255</v>
      </c>
      <c r="B957" s="101" t="s">
        <v>1190</v>
      </c>
      <c r="C957" s="102" t="s">
        <v>76</v>
      </c>
      <c r="D957" s="103" t="s">
        <v>92</v>
      </c>
      <c r="E957" s="104">
        <v>25357</v>
      </c>
      <c r="F957" s="104">
        <v>1647</v>
      </c>
      <c r="G957" s="104">
        <v>9382</v>
      </c>
      <c r="H957" s="116">
        <v>48.500453388616023</v>
      </c>
      <c r="I957" s="126">
        <v>44035</v>
      </c>
      <c r="J957" s="117">
        <v>41.69054143448367</v>
      </c>
    </row>
    <row r="958" spans="1:10" ht="16">
      <c r="A958" s="93" t="s">
        <v>1069</v>
      </c>
      <c r="B958" s="94" t="s">
        <v>1062</v>
      </c>
      <c r="C958" s="95" t="s">
        <v>107</v>
      </c>
      <c r="D958" s="96" t="s">
        <v>63</v>
      </c>
      <c r="E958" s="97">
        <v>19677</v>
      </c>
      <c r="F958" s="97">
        <v>1929</v>
      </c>
      <c r="G958" s="97">
        <v>2558</v>
      </c>
      <c r="H958" s="114">
        <v>41.576231324762226</v>
      </c>
      <c r="I958" s="125">
        <v>38887</v>
      </c>
      <c r="J958" s="115">
        <v>27.512916702640876</v>
      </c>
    </row>
    <row r="959" spans="1:10" ht="16">
      <c r="A959" s="100" t="s">
        <v>1039</v>
      </c>
      <c r="B959" s="101" t="s">
        <v>1020</v>
      </c>
      <c r="C959" s="102" t="s">
        <v>76</v>
      </c>
      <c r="D959" s="103" t="s">
        <v>63</v>
      </c>
      <c r="E959" s="104">
        <v>56044</v>
      </c>
      <c r="F959" s="104">
        <v>3639</v>
      </c>
      <c r="G959" s="104">
        <v>5604</v>
      </c>
      <c r="H959" s="116">
        <v>21.197350688499881</v>
      </c>
      <c r="I959" s="126">
        <v>10979</v>
      </c>
      <c r="J959" s="117">
        <v>20.053668551699054</v>
      </c>
    </row>
    <row r="960" spans="1:10" ht="16">
      <c r="A960" s="93" t="s">
        <v>133</v>
      </c>
      <c r="B960" s="94" t="s">
        <v>127</v>
      </c>
      <c r="C960" s="95" t="s">
        <v>76</v>
      </c>
      <c r="D960" s="96" t="s">
        <v>62</v>
      </c>
      <c r="E960" s="97">
        <v>20312</v>
      </c>
      <c r="F960" s="97">
        <v>927</v>
      </c>
      <c r="G960" s="97">
        <v>2641</v>
      </c>
      <c r="H960" s="114">
        <v>18.943162118223267</v>
      </c>
      <c r="I960" s="125">
        <v>10292</v>
      </c>
      <c r="J960" s="115">
        <v>22.957253017061834</v>
      </c>
    </row>
    <row r="961" spans="1:10" ht="16">
      <c r="A961" s="100" t="s">
        <v>1256</v>
      </c>
      <c r="B961" s="101" t="s">
        <v>1190</v>
      </c>
      <c r="C961" s="102" t="s">
        <v>76</v>
      </c>
      <c r="D961" s="103" t="s">
        <v>63</v>
      </c>
      <c r="E961" s="104">
        <v>14477</v>
      </c>
      <c r="F961" s="104">
        <v>804</v>
      </c>
      <c r="G961" s="104">
        <v>5212</v>
      </c>
      <c r="H961" s="116">
        <v>15.571083710575371</v>
      </c>
      <c r="I961" s="126">
        <v>6106</v>
      </c>
      <c r="J961" s="117">
        <v>17.767170610764538</v>
      </c>
    </row>
    <row r="962" spans="1:10" ht="16">
      <c r="A962" s="93" t="s">
        <v>432</v>
      </c>
      <c r="B962" s="94" t="s">
        <v>402</v>
      </c>
      <c r="C962" s="95" t="s">
        <v>76</v>
      </c>
      <c r="D962" s="96" t="s">
        <v>82</v>
      </c>
      <c r="E962" s="97">
        <v>10247</v>
      </c>
      <c r="F962" s="97">
        <v>486</v>
      </c>
      <c r="G962" s="97">
        <v>717</v>
      </c>
      <c r="H962" s="114">
        <v>23.058026889840487</v>
      </c>
      <c r="I962" s="125">
        <v>13593</v>
      </c>
      <c r="J962" s="115">
        <v>30.996698780301355</v>
      </c>
    </row>
    <row r="963" spans="1:10" ht="16">
      <c r="A963" s="100" t="s">
        <v>828</v>
      </c>
      <c r="B963" s="101" t="s">
        <v>820</v>
      </c>
      <c r="C963" s="102" t="s">
        <v>76</v>
      </c>
      <c r="D963" s="103" t="s">
        <v>60</v>
      </c>
      <c r="E963" s="104">
        <v>27228</v>
      </c>
      <c r="F963" s="104">
        <v>1144</v>
      </c>
      <c r="G963" s="104">
        <v>5718</v>
      </c>
      <c r="H963" s="116">
        <v>56.246463585202783</v>
      </c>
      <c r="I963" s="126">
        <v>50936</v>
      </c>
      <c r="J963" s="117">
        <v>42.581616642645407</v>
      </c>
    </row>
    <row r="964" spans="1:10" ht="16">
      <c r="A964" s="93" t="s">
        <v>808</v>
      </c>
      <c r="B964" s="94" t="s">
        <v>798</v>
      </c>
      <c r="C964" s="95" t="s">
        <v>76</v>
      </c>
      <c r="D964" s="96" t="s">
        <v>82</v>
      </c>
      <c r="E964" s="97">
        <v>123932</v>
      </c>
      <c r="F964" s="97">
        <v>2229</v>
      </c>
      <c r="G964" s="97">
        <v>8624</v>
      </c>
      <c r="H964" s="114">
        <v>8.2013036282488994</v>
      </c>
      <c r="I964" s="125">
        <v>796</v>
      </c>
      <c r="J964" s="115">
        <v>16.067627496156959</v>
      </c>
    </row>
    <row r="965" spans="1:10" ht="16">
      <c r="A965" s="100" t="s">
        <v>809</v>
      </c>
      <c r="B965" s="101" t="s">
        <v>798</v>
      </c>
      <c r="C965" s="102" t="s">
        <v>76</v>
      </c>
      <c r="D965" s="103" t="s">
        <v>60</v>
      </c>
      <c r="E965" s="104">
        <v>26034</v>
      </c>
      <c r="F965" s="104">
        <v>1315</v>
      </c>
      <c r="G965" s="104">
        <v>781</v>
      </c>
      <c r="H965" s="116">
        <v>9.1963374056031046</v>
      </c>
      <c r="I965" s="126">
        <v>1220</v>
      </c>
      <c r="J965" s="117">
        <v>17.076417455398467</v>
      </c>
    </row>
    <row r="966" spans="1:10" ht="16">
      <c r="A966" s="93" t="s">
        <v>197</v>
      </c>
      <c r="B966" s="94" t="s">
        <v>184</v>
      </c>
      <c r="C966" s="95" t="s">
        <v>76</v>
      </c>
      <c r="D966" s="96" t="s">
        <v>63</v>
      </c>
      <c r="E966" s="97">
        <v>22165</v>
      </c>
      <c r="F966" s="97">
        <v>762</v>
      </c>
      <c r="G966" s="97">
        <v>1995</v>
      </c>
      <c r="H966" s="114">
        <v>30.388039213102765</v>
      </c>
      <c r="I966" s="125">
        <v>14012</v>
      </c>
      <c r="J966" s="115">
        <v>26.883228232781345</v>
      </c>
    </row>
    <row r="967" spans="1:10" ht="16">
      <c r="A967" s="100" t="s">
        <v>566</v>
      </c>
      <c r="B967" s="101" t="s">
        <v>537</v>
      </c>
      <c r="C967" s="102" t="s">
        <v>76</v>
      </c>
      <c r="D967" s="103" t="s">
        <v>61</v>
      </c>
      <c r="E967" s="104">
        <v>16240</v>
      </c>
      <c r="F967" s="104">
        <v>576</v>
      </c>
      <c r="G967" s="104">
        <v>746</v>
      </c>
      <c r="H967" s="116">
        <v>14.563261434857347</v>
      </c>
      <c r="I967" s="126">
        <v>4054</v>
      </c>
      <c r="J967" s="117">
        <v>21.144030922681033</v>
      </c>
    </row>
    <row r="968" spans="1:10" ht="16">
      <c r="A968" s="93" t="s">
        <v>596</v>
      </c>
      <c r="B968" s="94" t="s">
        <v>591</v>
      </c>
      <c r="C968" s="95" t="s">
        <v>76</v>
      </c>
      <c r="D968" s="96" t="s">
        <v>61</v>
      </c>
      <c r="E968" s="97">
        <v>16164</v>
      </c>
      <c r="F968" s="97">
        <v>770</v>
      </c>
      <c r="G968" s="97">
        <v>323</v>
      </c>
      <c r="H968" s="114">
        <v>32.417473331376982</v>
      </c>
      <c r="I968" s="125">
        <v>16934</v>
      </c>
      <c r="J968" s="115">
        <v>27.382633239152746</v>
      </c>
    </row>
    <row r="969" spans="1:10" ht="16">
      <c r="A969" s="100" t="s">
        <v>433</v>
      </c>
      <c r="B969" s="101" t="s">
        <v>402</v>
      </c>
      <c r="C969" s="102" t="s">
        <v>76</v>
      </c>
      <c r="D969" s="103" t="s">
        <v>80</v>
      </c>
      <c r="E969" s="104">
        <v>30375</v>
      </c>
      <c r="F969" s="104">
        <v>512</v>
      </c>
      <c r="G969" s="104">
        <v>3645</v>
      </c>
      <c r="H969" s="116">
        <v>49.932966144261989</v>
      </c>
      <c r="I969" s="126">
        <v>36886</v>
      </c>
      <c r="J969" s="117">
        <v>45.019663108672916</v>
      </c>
    </row>
    <row r="970" spans="1:10" ht="16">
      <c r="A970" s="93" t="s">
        <v>316</v>
      </c>
      <c r="B970" s="94" t="s">
        <v>317</v>
      </c>
      <c r="C970" s="95" t="s">
        <v>76</v>
      </c>
      <c r="D970" s="96" t="s">
        <v>62</v>
      </c>
      <c r="E970" s="97">
        <v>14856</v>
      </c>
      <c r="F970" s="97">
        <v>1516</v>
      </c>
      <c r="G970" s="97">
        <v>1040</v>
      </c>
      <c r="H970" s="114">
        <v>9.6280866219378485</v>
      </c>
      <c r="I970" s="125">
        <v>886</v>
      </c>
      <c r="J970" s="115">
        <v>21.9614350178169</v>
      </c>
    </row>
    <row r="971" spans="1:10" ht="16">
      <c r="A971" s="100" t="s">
        <v>373</v>
      </c>
      <c r="B971" s="101" t="s">
        <v>369</v>
      </c>
      <c r="C971" s="102" t="s">
        <v>76</v>
      </c>
      <c r="D971" s="103" t="s">
        <v>61</v>
      </c>
      <c r="E971" s="104">
        <v>22072</v>
      </c>
      <c r="F971" s="104">
        <v>1330</v>
      </c>
      <c r="G971" s="104">
        <v>1104</v>
      </c>
      <c r="H971" s="116">
        <v>59.808507803636516</v>
      </c>
      <c r="I971" s="126">
        <v>52359</v>
      </c>
      <c r="J971" s="117">
        <v>44.168563214316393</v>
      </c>
    </row>
    <row r="972" spans="1:10" ht="16">
      <c r="A972" s="93" t="s">
        <v>1257</v>
      </c>
      <c r="B972" s="94" t="s">
        <v>1190</v>
      </c>
      <c r="C972" s="95" t="s">
        <v>76</v>
      </c>
      <c r="D972" s="96" t="s">
        <v>60</v>
      </c>
      <c r="E972" s="97">
        <v>17584</v>
      </c>
      <c r="F972" s="97">
        <v>1005</v>
      </c>
      <c r="G972" s="97">
        <v>4924</v>
      </c>
      <c r="H972" s="114">
        <v>13.636041353082183</v>
      </c>
      <c r="I972" s="125">
        <v>5572</v>
      </c>
      <c r="J972" s="115">
        <v>18.348652247317503</v>
      </c>
    </row>
    <row r="973" spans="1:10" ht="16">
      <c r="A973" s="100" t="s">
        <v>434</v>
      </c>
      <c r="B973" s="101" t="s">
        <v>402</v>
      </c>
      <c r="C973" s="102" t="s">
        <v>76</v>
      </c>
      <c r="D973" s="103" t="s">
        <v>61</v>
      </c>
      <c r="E973" s="104">
        <v>9234</v>
      </c>
      <c r="F973" s="104">
        <v>244</v>
      </c>
      <c r="G973" s="104">
        <v>1385</v>
      </c>
      <c r="H973" s="116">
        <v>31.032323575045027</v>
      </c>
      <c r="I973" s="126">
        <v>28685</v>
      </c>
      <c r="J973" s="117">
        <v>35.375280706602283</v>
      </c>
    </row>
    <row r="974" spans="1:10" ht="16">
      <c r="A974" s="93" t="s">
        <v>464</v>
      </c>
      <c r="B974" s="94" t="s">
        <v>459</v>
      </c>
      <c r="C974" s="95" t="s">
        <v>76</v>
      </c>
      <c r="D974" s="96" t="s">
        <v>60</v>
      </c>
      <c r="E974" s="97">
        <v>18260</v>
      </c>
      <c r="F974" s="97">
        <v>1003</v>
      </c>
      <c r="G974" s="97">
        <v>8034</v>
      </c>
      <c r="H974" s="114">
        <v>77.887149553002246</v>
      </c>
      <c r="I974" s="125">
        <v>59191</v>
      </c>
      <c r="J974" s="115">
        <v>69.938805164349006</v>
      </c>
    </row>
    <row r="975" spans="1:10" ht="16">
      <c r="A975" s="100" t="s">
        <v>1402</v>
      </c>
      <c r="B975" s="101" t="s">
        <v>1288</v>
      </c>
      <c r="C975" s="102" t="s">
        <v>107</v>
      </c>
      <c r="D975" s="103" t="s">
        <v>61</v>
      </c>
      <c r="E975" s="104">
        <v>44128</v>
      </c>
      <c r="F975" s="104">
        <v>1717</v>
      </c>
      <c r="G975" s="104">
        <v>3972</v>
      </c>
      <c r="H975" s="116">
        <v>26.709978947477705</v>
      </c>
      <c r="I975" s="126">
        <v>15068</v>
      </c>
      <c r="J975" s="117">
        <v>34.012890889070171</v>
      </c>
    </row>
    <row r="976" spans="1:10" ht="16">
      <c r="A976" s="93" t="s">
        <v>1258</v>
      </c>
      <c r="B976" s="94" t="s">
        <v>1190</v>
      </c>
      <c r="C976" s="95" t="s">
        <v>76</v>
      </c>
      <c r="D976" s="96" t="s">
        <v>63</v>
      </c>
      <c r="E976" s="97">
        <v>14483</v>
      </c>
      <c r="F976" s="97">
        <v>700</v>
      </c>
      <c r="G976" s="97">
        <v>3476</v>
      </c>
      <c r="H976" s="114">
        <v>20.804094441186749</v>
      </c>
      <c r="I976" s="125">
        <v>9076</v>
      </c>
      <c r="J976" s="115">
        <v>22.807717189081732</v>
      </c>
    </row>
    <row r="977" spans="1:10" ht="16">
      <c r="A977" s="100" t="s">
        <v>1259</v>
      </c>
      <c r="B977" s="101" t="s">
        <v>1190</v>
      </c>
      <c r="C977" s="102" t="s">
        <v>76</v>
      </c>
      <c r="D977" s="103" t="s">
        <v>63</v>
      </c>
      <c r="E977" s="104">
        <v>14047</v>
      </c>
      <c r="F977" s="104">
        <v>772</v>
      </c>
      <c r="G977" s="104">
        <v>2669</v>
      </c>
      <c r="H977" s="116">
        <v>23.474763254359651</v>
      </c>
      <c r="I977" s="126">
        <v>13001</v>
      </c>
      <c r="J977" s="117">
        <v>22.362594492062229</v>
      </c>
    </row>
    <row r="978" spans="1:10" ht="16">
      <c r="A978" s="93" t="s">
        <v>738</v>
      </c>
      <c r="B978" s="94" t="s">
        <v>642</v>
      </c>
      <c r="C978" s="95" t="s">
        <v>107</v>
      </c>
      <c r="D978" s="96" t="s">
        <v>61</v>
      </c>
      <c r="E978" s="97">
        <v>6566</v>
      </c>
      <c r="F978" s="97">
        <v>513</v>
      </c>
      <c r="G978" s="97">
        <v>197</v>
      </c>
      <c r="H978" s="114">
        <v>12.289217042858349</v>
      </c>
      <c r="I978" s="125">
        <v>1290</v>
      </c>
      <c r="J978" s="115">
        <v>17.10447047566829</v>
      </c>
    </row>
    <row r="979" spans="1:10" ht="16">
      <c r="A979" s="100" t="s">
        <v>844</v>
      </c>
      <c r="B979" s="101" t="s">
        <v>843</v>
      </c>
      <c r="C979" s="102" t="s">
        <v>107</v>
      </c>
      <c r="D979" s="103" t="s">
        <v>80</v>
      </c>
      <c r="E979" s="104">
        <v>26648</v>
      </c>
      <c r="F979" s="104">
        <v>1625</v>
      </c>
      <c r="G979" s="104">
        <v>266</v>
      </c>
      <c r="H979" s="116">
        <v>12.997670209455121</v>
      </c>
      <c r="I979" s="126">
        <v>9505</v>
      </c>
      <c r="J979" s="117">
        <v>24.181346693998332</v>
      </c>
    </row>
    <row r="980" spans="1:10" ht="16">
      <c r="A980" s="93" t="s">
        <v>471</v>
      </c>
      <c r="B980" s="94" t="s">
        <v>472</v>
      </c>
      <c r="C980" s="95" t="s">
        <v>76</v>
      </c>
      <c r="D980" s="96" t="s">
        <v>60</v>
      </c>
      <c r="E980" s="97">
        <v>8135</v>
      </c>
      <c r="F980" s="97">
        <v>585</v>
      </c>
      <c r="G980" s="97">
        <v>976</v>
      </c>
      <c r="H980" s="114">
        <v>30.414547999455891</v>
      </c>
      <c r="I980" s="125">
        <v>22621</v>
      </c>
      <c r="J980" s="115">
        <v>20.190306152531758</v>
      </c>
    </row>
    <row r="981" spans="1:10" ht="16">
      <c r="A981" s="100" t="s">
        <v>1403</v>
      </c>
      <c r="B981" s="101" t="s">
        <v>1288</v>
      </c>
      <c r="C981" s="102" t="s">
        <v>107</v>
      </c>
      <c r="D981" s="103" t="s">
        <v>63</v>
      </c>
      <c r="E981" s="104">
        <v>9694</v>
      </c>
      <c r="F981" s="104">
        <v>570</v>
      </c>
      <c r="G981" s="104">
        <v>776</v>
      </c>
      <c r="H981" s="116">
        <v>21.136901637725625</v>
      </c>
      <c r="I981" s="126">
        <v>11277</v>
      </c>
      <c r="J981" s="117">
        <v>33.631619252377092</v>
      </c>
    </row>
    <row r="982" spans="1:10" ht="16">
      <c r="A982" s="93" t="s">
        <v>1404</v>
      </c>
      <c r="B982" s="94" t="s">
        <v>1288</v>
      </c>
      <c r="C982" s="95" t="s">
        <v>76</v>
      </c>
      <c r="D982" s="96" t="s">
        <v>92</v>
      </c>
      <c r="E982" s="97">
        <v>27031</v>
      </c>
      <c r="F982" s="97">
        <v>2351</v>
      </c>
      <c r="G982" s="97">
        <v>5406</v>
      </c>
      <c r="H982" s="114">
        <v>33.645559344730465</v>
      </c>
      <c r="I982" s="125">
        <v>23367</v>
      </c>
      <c r="J982" s="115">
        <v>45.830695897866846</v>
      </c>
    </row>
    <row r="983" spans="1:10" ht="16">
      <c r="A983" s="100" t="s">
        <v>1405</v>
      </c>
      <c r="B983" s="101" t="s">
        <v>1288</v>
      </c>
      <c r="C983" s="102" t="s">
        <v>107</v>
      </c>
      <c r="D983" s="103" t="s">
        <v>59</v>
      </c>
      <c r="E983" s="104">
        <v>44916</v>
      </c>
      <c r="F983" s="104">
        <v>2509</v>
      </c>
      <c r="G983" s="104">
        <v>10780</v>
      </c>
      <c r="H983" s="116">
        <v>78.906942316046184</v>
      </c>
      <c r="I983" s="126">
        <v>65916</v>
      </c>
      <c r="J983" s="117">
        <v>63.493396883992624</v>
      </c>
    </row>
    <row r="984" spans="1:10" ht="16">
      <c r="A984" s="93" t="s">
        <v>535</v>
      </c>
      <c r="B984" s="94" t="s">
        <v>530</v>
      </c>
      <c r="C984" s="95" t="s">
        <v>76</v>
      </c>
      <c r="D984" s="96" t="s">
        <v>92</v>
      </c>
      <c r="E984" s="97">
        <v>41170</v>
      </c>
      <c r="F984" s="97">
        <v>4159</v>
      </c>
      <c r="G984" s="97">
        <v>4529</v>
      </c>
      <c r="H984" s="114">
        <v>19.212869527073028</v>
      </c>
      <c r="I984" s="125">
        <v>3292</v>
      </c>
      <c r="J984" s="115">
        <v>38.751791121405901</v>
      </c>
    </row>
    <row r="985" spans="1:10" ht="16">
      <c r="A985" s="100" t="s">
        <v>134</v>
      </c>
      <c r="B985" s="101" t="s">
        <v>127</v>
      </c>
      <c r="C985" s="102" t="s">
        <v>76</v>
      </c>
      <c r="D985" s="103" t="s">
        <v>60</v>
      </c>
      <c r="E985" s="104">
        <v>14128</v>
      </c>
      <c r="F985" s="104">
        <v>1121</v>
      </c>
      <c r="G985" s="104">
        <v>5651</v>
      </c>
      <c r="H985" s="116">
        <v>21.917938267352731</v>
      </c>
      <c r="I985" s="126">
        <v>13571</v>
      </c>
      <c r="J985" s="117">
        <v>27.864935759590551</v>
      </c>
    </row>
    <row r="986" spans="1:10" ht="16">
      <c r="A986" s="93" t="s">
        <v>616</v>
      </c>
      <c r="B986" s="94" t="s">
        <v>598</v>
      </c>
      <c r="C986" s="95" t="s">
        <v>76</v>
      </c>
      <c r="D986" s="96" t="s">
        <v>130</v>
      </c>
      <c r="E986" s="97">
        <v>7646</v>
      </c>
      <c r="F986" s="97">
        <v>346</v>
      </c>
      <c r="G986" s="97">
        <v>459</v>
      </c>
      <c r="H986" s="114">
        <v>19.868516268183473</v>
      </c>
      <c r="I986" s="125">
        <v>14107</v>
      </c>
      <c r="J986" s="115">
        <v>19.04925354187602</v>
      </c>
    </row>
    <row r="987" spans="1:10" ht="16">
      <c r="A987" s="100" t="s">
        <v>289</v>
      </c>
      <c r="B987" s="101" t="s">
        <v>223</v>
      </c>
      <c r="C987" s="102" t="s">
        <v>76</v>
      </c>
      <c r="D987" s="103" t="s">
        <v>59</v>
      </c>
      <c r="E987" s="104">
        <v>15775</v>
      </c>
      <c r="F987" s="104">
        <v>907</v>
      </c>
      <c r="G987" s="104">
        <v>2840</v>
      </c>
      <c r="H987" s="116">
        <v>16.91098334334837</v>
      </c>
      <c r="I987" s="126">
        <v>5711</v>
      </c>
      <c r="J987" s="117">
        <v>25.56766297500975</v>
      </c>
    </row>
    <row r="988" spans="1:10" ht="16">
      <c r="A988" s="93" t="s">
        <v>454</v>
      </c>
      <c r="B988" s="94" t="s">
        <v>448</v>
      </c>
      <c r="C988" s="95" t="s">
        <v>107</v>
      </c>
      <c r="D988" s="96" t="s">
        <v>92</v>
      </c>
      <c r="E988" s="97">
        <v>21902</v>
      </c>
      <c r="F988" s="97">
        <v>494</v>
      </c>
      <c r="G988" s="97">
        <v>657</v>
      </c>
      <c r="H988" s="114">
        <v>14.841445757991332</v>
      </c>
      <c r="I988" s="125">
        <v>8886</v>
      </c>
      <c r="J988" s="115">
        <v>17.418834335561371</v>
      </c>
    </row>
    <row r="989" spans="1:10" ht="16">
      <c r="A989" s="100" t="s">
        <v>1406</v>
      </c>
      <c r="B989" s="101" t="s">
        <v>1288</v>
      </c>
      <c r="C989" s="102" t="s">
        <v>76</v>
      </c>
      <c r="D989" s="103" t="s">
        <v>62</v>
      </c>
      <c r="E989" s="104">
        <v>28945</v>
      </c>
      <c r="F989" s="104">
        <v>2495</v>
      </c>
      <c r="G989" s="104">
        <v>3473</v>
      </c>
      <c r="H989" s="116">
        <v>29.813644847479491</v>
      </c>
      <c r="I989" s="126">
        <v>24414</v>
      </c>
      <c r="J989" s="117">
        <v>43.637284846224745</v>
      </c>
    </row>
    <row r="990" spans="1:10" ht="16">
      <c r="A990" s="93" t="s">
        <v>567</v>
      </c>
      <c r="B990" s="94" t="s">
        <v>537</v>
      </c>
      <c r="C990" s="95" t="s">
        <v>76</v>
      </c>
      <c r="D990" s="96" t="s">
        <v>92</v>
      </c>
      <c r="E990" s="97">
        <v>13782</v>
      </c>
      <c r="F990" s="97">
        <v>659</v>
      </c>
      <c r="G990" s="97">
        <v>138</v>
      </c>
      <c r="H990" s="114">
        <v>23.195892592746876</v>
      </c>
      <c r="I990" s="125">
        <v>3115</v>
      </c>
      <c r="J990" s="115">
        <v>31.680411633508395</v>
      </c>
    </row>
    <row r="991" spans="1:10" ht="16">
      <c r="A991" s="100" t="s">
        <v>981</v>
      </c>
      <c r="B991" s="101" t="s">
        <v>977</v>
      </c>
      <c r="C991" s="102" t="s">
        <v>76</v>
      </c>
      <c r="D991" s="103" t="s">
        <v>63</v>
      </c>
      <c r="E991" s="104">
        <v>26445</v>
      </c>
      <c r="F991" s="104">
        <v>1106</v>
      </c>
      <c r="G991" s="104">
        <v>3967</v>
      </c>
      <c r="H991" s="116">
        <v>26.339003610575745</v>
      </c>
      <c r="I991" s="126">
        <v>11028</v>
      </c>
      <c r="J991" s="117">
        <v>20.108787805245711</v>
      </c>
    </row>
    <row r="992" spans="1:10" ht="16">
      <c r="A992" s="93" t="s">
        <v>756</v>
      </c>
      <c r="B992" s="94" t="s">
        <v>753</v>
      </c>
      <c r="C992" s="95" t="s">
        <v>76</v>
      </c>
      <c r="D992" s="96" t="s">
        <v>60</v>
      </c>
      <c r="E992" s="97">
        <v>30495</v>
      </c>
      <c r="F992" s="97">
        <v>1804</v>
      </c>
      <c r="G992" s="97">
        <v>4879</v>
      </c>
      <c r="H992" s="114">
        <v>10.310476728973319</v>
      </c>
      <c r="I992" s="125">
        <v>3052</v>
      </c>
      <c r="J992" s="115">
        <v>25.584640563424333</v>
      </c>
    </row>
    <row r="993" spans="1:10" ht="16">
      <c r="A993" s="100" t="s">
        <v>435</v>
      </c>
      <c r="B993" s="101" t="s">
        <v>402</v>
      </c>
      <c r="C993" s="102" t="s">
        <v>107</v>
      </c>
      <c r="D993" s="103" t="s">
        <v>77</v>
      </c>
      <c r="E993" s="104">
        <v>14869</v>
      </c>
      <c r="F993" s="104">
        <v>288</v>
      </c>
      <c r="G993" s="104">
        <v>2676</v>
      </c>
      <c r="H993" s="116">
        <v>24.40753841525191</v>
      </c>
      <c r="I993" s="126">
        <v>10018</v>
      </c>
      <c r="J993" s="117">
        <v>33.959715025478168</v>
      </c>
    </row>
    <row r="994" spans="1:10" ht="16">
      <c r="A994" s="93" t="s">
        <v>1407</v>
      </c>
      <c r="B994" s="94" t="s">
        <v>1288</v>
      </c>
      <c r="C994" s="95" t="s">
        <v>76</v>
      </c>
      <c r="D994" s="96" t="s">
        <v>80</v>
      </c>
      <c r="E994" s="97">
        <v>24526</v>
      </c>
      <c r="F994" s="97">
        <v>2477</v>
      </c>
      <c r="G994" s="97">
        <v>2207</v>
      </c>
      <c r="H994" s="114">
        <v>22.732682542188087</v>
      </c>
      <c r="I994" s="125">
        <v>15517</v>
      </c>
      <c r="J994" s="115">
        <v>37.735259137787594</v>
      </c>
    </row>
    <row r="995" spans="1:10" ht="16">
      <c r="A995" s="100" t="s">
        <v>568</v>
      </c>
      <c r="B995" s="101" t="s">
        <v>537</v>
      </c>
      <c r="C995" s="102" t="s">
        <v>76</v>
      </c>
      <c r="D995" s="103" t="s">
        <v>62</v>
      </c>
      <c r="E995" s="104">
        <v>8438</v>
      </c>
      <c r="F995" s="104">
        <v>308</v>
      </c>
      <c r="G995" s="104">
        <v>253</v>
      </c>
      <c r="H995" s="116">
        <v>19.065912695759074</v>
      </c>
      <c r="I995" s="126">
        <v>13845</v>
      </c>
      <c r="J995" s="117">
        <v>20.069889288055265</v>
      </c>
    </row>
    <row r="996" spans="1:10" ht="16">
      <c r="A996" s="93" t="s">
        <v>1260</v>
      </c>
      <c r="B996" s="94" t="s">
        <v>1190</v>
      </c>
      <c r="C996" s="95" t="s">
        <v>76</v>
      </c>
      <c r="D996" s="96" t="s">
        <v>84</v>
      </c>
      <c r="E996" s="97">
        <v>17754</v>
      </c>
      <c r="F996" s="97">
        <v>888</v>
      </c>
      <c r="G996" s="97">
        <v>5504</v>
      </c>
      <c r="H996" s="114">
        <v>28.863220848978699</v>
      </c>
      <c r="I996" s="125">
        <v>19350</v>
      </c>
      <c r="J996" s="115">
        <v>24.161337467030773</v>
      </c>
    </row>
    <row r="997" spans="1:10" ht="16">
      <c r="A997" s="100" t="s">
        <v>1408</v>
      </c>
      <c r="B997" s="101" t="s">
        <v>1288</v>
      </c>
      <c r="C997" s="102" t="s">
        <v>76</v>
      </c>
      <c r="D997" s="103" t="s">
        <v>130</v>
      </c>
      <c r="E997" s="104">
        <v>27078</v>
      </c>
      <c r="F997" s="104">
        <v>2184</v>
      </c>
      <c r="G997" s="104">
        <v>1083</v>
      </c>
      <c r="H997" s="116">
        <v>25.636166615904894</v>
      </c>
      <c r="I997" s="126">
        <v>13932</v>
      </c>
      <c r="J997" s="117">
        <v>37.921553744226564</v>
      </c>
    </row>
    <row r="998" spans="1:10" ht="16">
      <c r="A998" s="93" t="s">
        <v>436</v>
      </c>
      <c r="B998" s="94" t="s">
        <v>402</v>
      </c>
      <c r="C998" s="95" t="s">
        <v>76</v>
      </c>
      <c r="D998" s="96" t="s">
        <v>130</v>
      </c>
      <c r="E998" s="97">
        <v>26412</v>
      </c>
      <c r="F998" s="97">
        <v>1190</v>
      </c>
      <c r="G998" s="97">
        <v>2113</v>
      </c>
      <c r="H998" s="114">
        <v>27.977274600620742</v>
      </c>
      <c r="I998" s="125">
        <v>24046</v>
      </c>
      <c r="J998" s="115">
        <v>31.285834911147326</v>
      </c>
    </row>
    <row r="999" spans="1:10" ht="16">
      <c r="A999" s="100" t="s">
        <v>135</v>
      </c>
      <c r="B999" s="101" t="s">
        <v>127</v>
      </c>
      <c r="C999" s="102" t="s">
        <v>76</v>
      </c>
      <c r="D999" s="103" t="s">
        <v>80</v>
      </c>
      <c r="E999" s="104">
        <v>3639</v>
      </c>
      <c r="F999" s="104">
        <v>337</v>
      </c>
      <c r="G999" s="104">
        <v>801</v>
      </c>
      <c r="H999" s="116">
        <v>16.51835309178459</v>
      </c>
      <c r="I999" s="126">
        <v>14349</v>
      </c>
      <c r="J999" s="117">
        <v>26.059234083902702</v>
      </c>
    </row>
    <row r="1000" spans="1:10" ht="16">
      <c r="A1000" s="93" t="s">
        <v>437</v>
      </c>
      <c r="B1000" s="94" t="s">
        <v>402</v>
      </c>
      <c r="C1000" s="95" t="s">
        <v>76</v>
      </c>
      <c r="D1000" s="96" t="s">
        <v>84</v>
      </c>
      <c r="E1000" s="97">
        <v>11387</v>
      </c>
      <c r="F1000" s="97">
        <v>203</v>
      </c>
      <c r="G1000" s="97">
        <v>1480</v>
      </c>
      <c r="H1000" s="114">
        <v>45.010564439293844</v>
      </c>
      <c r="I1000" s="125">
        <v>29399</v>
      </c>
      <c r="J1000" s="115">
        <v>39.116200010272166</v>
      </c>
    </row>
    <row r="1001" spans="1:10" ht="16">
      <c r="A1001" s="100" t="s">
        <v>569</v>
      </c>
      <c r="B1001" s="101" t="s">
        <v>537</v>
      </c>
      <c r="C1001" s="102" t="s">
        <v>76</v>
      </c>
      <c r="D1001" s="103" t="s">
        <v>82</v>
      </c>
      <c r="E1001" s="104">
        <v>9441</v>
      </c>
      <c r="F1001" s="104">
        <v>327</v>
      </c>
      <c r="G1001" s="104">
        <v>94</v>
      </c>
      <c r="H1001" s="116">
        <v>13.169118637641114</v>
      </c>
      <c r="I1001" s="126">
        <v>6159</v>
      </c>
      <c r="J1001" s="117">
        <v>14.888897586911794</v>
      </c>
    </row>
    <row r="1002" spans="1:10" ht="16">
      <c r="A1002" s="93" t="s">
        <v>982</v>
      </c>
      <c r="B1002" s="94" t="s">
        <v>977</v>
      </c>
      <c r="C1002" s="95" t="s">
        <v>76</v>
      </c>
      <c r="D1002" s="96" t="s">
        <v>63</v>
      </c>
      <c r="E1002" s="97">
        <v>36660</v>
      </c>
      <c r="F1002" s="97">
        <v>1255</v>
      </c>
      <c r="G1002" s="97">
        <v>1466</v>
      </c>
      <c r="H1002" s="114">
        <v>29.583136529418066</v>
      </c>
      <c r="I1002" s="125">
        <v>20250</v>
      </c>
      <c r="J1002" s="115">
        <v>26.008693293606619</v>
      </c>
    </row>
    <row r="1003" spans="1:10" ht="16">
      <c r="A1003" s="100" t="s">
        <v>218</v>
      </c>
      <c r="B1003" s="101" t="s">
        <v>212</v>
      </c>
      <c r="C1003" s="102" t="s">
        <v>107</v>
      </c>
      <c r="D1003" s="103" t="s">
        <v>59</v>
      </c>
      <c r="E1003" s="104">
        <v>10437</v>
      </c>
      <c r="F1003" s="104">
        <v>424</v>
      </c>
      <c r="G1003" s="104">
        <v>104</v>
      </c>
      <c r="H1003" s="116">
        <v>16.457898964064594</v>
      </c>
      <c r="I1003" s="126">
        <v>5471</v>
      </c>
      <c r="J1003" s="117">
        <v>15.262285843228419</v>
      </c>
    </row>
    <row r="1004" spans="1:10" ht="16">
      <c r="A1004" s="93" t="s">
        <v>1040</v>
      </c>
      <c r="B1004" s="94" t="s">
        <v>1020</v>
      </c>
      <c r="C1004" s="95" t="s">
        <v>76</v>
      </c>
      <c r="D1004" s="96" t="s">
        <v>82</v>
      </c>
      <c r="E1004" s="97">
        <v>18336</v>
      </c>
      <c r="F1004" s="97">
        <v>1421</v>
      </c>
      <c r="G1004" s="97">
        <v>733</v>
      </c>
      <c r="H1004" s="114">
        <v>12.452734070681164</v>
      </c>
      <c r="I1004" s="125">
        <v>7936</v>
      </c>
      <c r="J1004" s="115">
        <v>20.041333916957729</v>
      </c>
    </row>
    <row r="1005" spans="1:10" ht="16">
      <c r="A1005" s="100" t="s">
        <v>845</v>
      </c>
      <c r="B1005" s="101" t="s">
        <v>843</v>
      </c>
      <c r="C1005" s="102" t="s">
        <v>107</v>
      </c>
      <c r="D1005" s="103" t="s">
        <v>82</v>
      </c>
      <c r="E1005" s="104">
        <v>34056</v>
      </c>
      <c r="F1005" s="104">
        <v>1678</v>
      </c>
      <c r="G1005" s="104">
        <v>2370</v>
      </c>
      <c r="H1005" s="116">
        <v>9.1675722760911</v>
      </c>
      <c r="I1005" s="126">
        <v>5324</v>
      </c>
      <c r="J1005" s="117">
        <v>16.364442415408064</v>
      </c>
    </row>
    <row r="1006" spans="1:10" ht="16">
      <c r="A1006" s="93" t="s">
        <v>1041</v>
      </c>
      <c r="B1006" s="94" t="s">
        <v>1020</v>
      </c>
      <c r="C1006" s="95" t="s">
        <v>76</v>
      </c>
      <c r="D1006" s="96" t="s">
        <v>61</v>
      </c>
      <c r="E1006" s="97">
        <v>18714</v>
      </c>
      <c r="F1006" s="97">
        <v>1094</v>
      </c>
      <c r="G1006" s="97">
        <v>1310</v>
      </c>
      <c r="H1006" s="114">
        <v>11.918839049602651</v>
      </c>
      <c r="I1006" s="125">
        <v>5361</v>
      </c>
      <c r="J1006" s="115">
        <v>18.262429609897641</v>
      </c>
    </row>
    <row r="1007" spans="1:10" ht="16">
      <c r="A1007" s="100" t="s">
        <v>768</v>
      </c>
      <c r="B1007" s="101" t="s">
        <v>766</v>
      </c>
      <c r="C1007" s="102" t="s">
        <v>76</v>
      </c>
      <c r="D1007" s="103" t="s">
        <v>80</v>
      </c>
      <c r="E1007" s="104">
        <v>12367</v>
      </c>
      <c r="F1007" s="104">
        <v>374</v>
      </c>
      <c r="G1007" s="104">
        <v>742</v>
      </c>
      <c r="H1007" s="116">
        <v>20.08420973065105</v>
      </c>
      <c r="I1007" s="126">
        <v>4772</v>
      </c>
      <c r="J1007" s="117">
        <v>17.806502407758146</v>
      </c>
    </row>
    <row r="1008" spans="1:10" ht="16">
      <c r="A1008" s="93" t="s">
        <v>1077</v>
      </c>
      <c r="B1008" s="94" t="s">
        <v>1072</v>
      </c>
      <c r="C1008" s="95" t="s">
        <v>76</v>
      </c>
      <c r="D1008" s="96" t="s">
        <v>62</v>
      </c>
      <c r="E1008" s="97">
        <v>12197</v>
      </c>
      <c r="F1008" s="97">
        <v>1271</v>
      </c>
      <c r="G1008" s="97">
        <v>2927</v>
      </c>
      <c r="H1008" s="114">
        <v>45.178054908665878</v>
      </c>
      <c r="I1008" s="125">
        <v>32523</v>
      </c>
      <c r="J1008" s="115">
        <v>33.255487022820333</v>
      </c>
    </row>
    <row r="1009" spans="1:10" ht="16">
      <c r="A1009" s="100" t="s">
        <v>1261</v>
      </c>
      <c r="B1009" s="101" t="s">
        <v>1190</v>
      </c>
      <c r="C1009" s="102" t="s">
        <v>76</v>
      </c>
      <c r="D1009" s="103" t="s">
        <v>77</v>
      </c>
      <c r="E1009" s="104">
        <v>30236</v>
      </c>
      <c r="F1009" s="104">
        <v>2129</v>
      </c>
      <c r="G1009" s="104">
        <v>8768</v>
      </c>
      <c r="H1009" s="116">
        <v>46.566377710182309</v>
      </c>
      <c r="I1009" s="126">
        <v>35966</v>
      </c>
      <c r="J1009" s="117">
        <v>41.251382903169151</v>
      </c>
    </row>
    <row r="1010" spans="1:10" ht="16">
      <c r="A1010" s="93" t="s">
        <v>1262</v>
      </c>
      <c r="B1010" s="94" t="s">
        <v>1190</v>
      </c>
      <c r="C1010" s="95" t="s">
        <v>76</v>
      </c>
      <c r="D1010" s="96" t="s">
        <v>61</v>
      </c>
      <c r="E1010" s="97">
        <v>14645</v>
      </c>
      <c r="F1010" s="97">
        <v>1024</v>
      </c>
      <c r="G1010" s="97">
        <v>4686</v>
      </c>
      <c r="H1010" s="114">
        <v>34.831281358802137</v>
      </c>
      <c r="I1010" s="125">
        <v>33542</v>
      </c>
      <c r="J1010" s="115">
        <v>30.246714869573253</v>
      </c>
    </row>
    <row r="1011" spans="1:10" ht="16">
      <c r="A1011" s="100" t="s">
        <v>136</v>
      </c>
      <c r="B1011" s="101" t="s">
        <v>127</v>
      </c>
      <c r="C1011" s="102" t="s">
        <v>107</v>
      </c>
      <c r="D1011" s="103" t="s">
        <v>62</v>
      </c>
      <c r="E1011" s="104">
        <v>3074</v>
      </c>
      <c r="F1011" s="104">
        <v>521</v>
      </c>
      <c r="G1011" s="104">
        <v>461</v>
      </c>
      <c r="H1011" s="116">
        <v>11.745082113438714</v>
      </c>
      <c r="I1011" s="126">
        <v>4028</v>
      </c>
      <c r="J1011" s="117">
        <v>29.022247371660683</v>
      </c>
    </row>
    <row r="1012" spans="1:10" ht="16">
      <c r="A1012" s="93" t="s">
        <v>198</v>
      </c>
      <c r="B1012" s="94" t="s">
        <v>184</v>
      </c>
      <c r="C1012" s="95" t="s">
        <v>76</v>
      </c>
      <c r="D1012" s="96" t="s">
        <v>84</v>
      </c>
      <c r="E1012" s="97">
        <v>6996</v>
      </c>
      <c r="F1012" s="97">
        <v>542</v>
      </c>
      <c r="G1012" s="97">
        <v>840</v>
      </c>
      <c r="H1012" s="114">
        <v>13.231434816170063</v>
      </c>
      <c r="I1012" s="125">
        <v>2795</v>
      </c>
      <c r="J1012" s="115">
        <v>17.227212118088445</v>
      </c>
    </row>
    <row r="1013" spans="1:10" ht="16">
      <c r="A1013" s="100" t="s">
        <v>392</v>
      </c>
      <c r="B1013" s="101" t="s">
        <v>377</v>
      </c>
      <c r="C1013" s="102" t="s">
        <v>76</v>
      </c>
      <c r="D1013" s="103" t="s">
        <v>77</v>
      </c>
      <c r="E1013" s="104">
        <v>69287</v>
      </c>
      <c r="F1013" s="104">
        <v>2389</v>
      </c>
      <c r="G1013" s="104">
        <v>9007</v>
      </c>
      <c r="H1013" s="116">
        <v>17.512644214002737</v>
      </c>
      <c r="I1013" s="126">
        <v>9230</v>
      </c>
      <c r="J1013" s="117">
        <v>20.419922796501439</v>
      </c>
    </row>
    <row r="1014" spans="1:10" ht="16">
      <c r="A1014" s="93" t="s">
        <v>589</v>
      </c>
      <c r="B1014" s="94" t="s">
        <v>581</v>
      </c>
      <c r="C1014" s="95" t="s">
        <v>107</v>
      </c>
      <c r="D1014" s="96" t="s">
        <v>84</v>
      </c>
      <c r="E1014" s="97">
        <v>14221</v>
      </c>
      <c r="F1014" s="97">
        <v>655</v>
      </c>
      <c r="G1014" s="97">
        <v>2418</v>
      </c>
      <c r="H1014" s="114">
        <v>24.017475362424481</v>
      </c>
      <c r="I1014" s="125">
        <v>12925</v>
      </c>
      <c r="J1014" s="115">
        <v>20.182407124586817</v>
      </c>
    </row>
    <row r="1015" spans="1:10" ht="16">
      <c r="A1015" s="100" t="s">
        <v>1263</v>
      </c>
      <c r="B1015" s="101" t="s">
        <v>1190</v>
      </c>
      <c r="C1015" s="102" t="s">
        <v>76</v>
      </c>
      <c r="D1015" s="103" t="s">
        <v>77</v>
      </c>
      <c r="E1015" s="104">
        <v>12060</v>
      </c>
      <c r="F1015" s="104">
        <v>799</v>
      </c>
      <c r="G1015" s="104">
        <v>1568</v>
      </c>
      <c r="H1015" s="116">
        <v>14.683321327527873</v>
      </c>
      <c r="I1015" s="126">
        <v>9147</v>
      </c>
      <c r="J1015" s="117">
        <v>17.167373123033197</v>
      </c>
    </row>
    <row r="1016" spans="1:10" ht="16">
      <c r="A1016" s="93" t="s">
        <v>901</v>
      </c>
      <c r="B1016" s="94" t="s">
        <v>893</v>
      </c>
      <c r="C1016" s="95" t="s">
        <v>76</v>
      </c>
      <c r="D1016" s="96" t="s">
        <v>92</v>
      </c>
      <c r="E1016" s="97">
        <v>47886</v>
      </c>
      <c r="F1016" s="97">
        <v>2705</v>
      </c>
      <c r="G1016" s="97">
        <v>5746</v>
      </c>
      <c r="H1016" s="114">
        <v>30.742681058521217</v>
      </c>
      <c r="I1016" s="125">
        <v>15778</v>
      </c>
      <c r="J1016" s="115">
        <v>26.001599951752969</v>
      </c>
    </row>
    <row r="1017" spans="1:10" ht="16">
      <c r="A1017" s="100" t="s">
        <v>1264</v>
      </c>
      <c r="B1017" s="101" t="s">
        <v>1190</v>
      </c>
      <c r="C1017" s="102" t="s">
        <v>76</v>
      </c>
      <c r="D1017" s="103" t="s">
        <v>84</v>
      </c>
      <c r="E1017" s="104">
        <v>23057</v>
      </c>
      <c r="F1017" s="104">
        <v>1671</v>
      </c>
      <c r="G1017" s="104">
        <v>7609</v>
      </c>
      <c r="H1017" s="116">
        <v>37.849835297458789</v>
      </c>
      <c r="I1017" s="126">
        <v>33424</v>
      </c>
      <c r="J1017" s="117">
        <v>35.417922225882471</v>
      </c>
    </row>
    <row r="1018" spans="1:10" ht="16">
      <c r="A1018" s="93" t="s">
        <v>973</v>
      </c>
      <c r="B1018" s="94" t="s">
        <v>974</v>
      </c>
      <c r="C1018" s="95" t="s">
        <v>76</v>
      </c>
      <c r="D1018" s="96" t="s">
        <v>84</v>
      </c>
      <c r="E1018" s="97">
        <v>40110</v>
      </c>
      <c r="F1018" s="97">
        <v>2729</v>
      </c>
      <c r="G1018" s="97">
        <v>2407</v>
      </c>
      <c r="H1018" s="114">
        <v>19.115734865638217</v>
      </c>
      <c r="I1018" s="125">
        <v>8485</v>
      </c>
      <c r="J1018" s="115">
        <v>21.82613529921699</v>
      </c>
    </row>
    <row r="1019" spans="1:10" ht="16">
      <c r="A1019" s="100" t="s">
        <v>1042</v>
      </c>
      <c r="B1019" s="101" t="s">
        <v>1020</v>
      </c>
      <c r="C1019" s="102" t="s">
        <v>76</v>
      </c>
      <c r="D1019" s="103" t="s">
        <v>77</v>
      </c>
      <c r="E1019" s="104">
        <v>8595</v>
      </c>
      <c r="F1019" s="104">
        <v>585</v>
      </c>
      <c r="G1019" s="104">
        <v>688</v>
      </c>
      <c r="H1019" s="116">
        <v>15.895319110471558</v>
      </c>
      <c r="I1019" s="126">
        <v>7462</v>
      </c>
      <c r="J1019" s="117">
        <v>23.750797273414186</v>
      </c>
    </row>
    <row r="1020" spans="1:10" ht="16">
      <c r="A1020" s="93" t="s">
        <v>393</v>
      </c>
      <c r="B1020" s="94" t="s">
        <v>377</v>
      </c>
      <c r="C1020" s="95" t="s">
        <v>76</v>
      </c>
      <c r="D1020" s="96" t="s">
        <v>80</v>
      </c>
      <c r="E1020" s="97">
        <v>58678</v>
      </c>
      <c r="F1020" s="97">
        <v>3056</v>
      </c>
      <c r="G1020" s="97">
        <v>9388</v>
      </c>
      <c r="H1020" s="114">
        <v>13.937057746279381</v>
      </c>
      <c r="I1020" s="125">
        <v>8390</v>
      </c>
      <c r="J1020" s="115">
        <v>21.828888483814371</v>
      </c>
    </row>
    <row r="1021" spans="1:10" ht="16">
      <c r="A1021" s="100" t="s">
        <v>776</v>
      </c>
      <c r="B1021" s="101" t="s">
        <v>777</v>
      </c>
      <c r="C1021" s="102" t="s">
        <v>76</v>
      </c>
      <c r="D1021" s="103" t="s">
        <v>63</v>
      </c>
      <c r="E1021" s="104">
        <v>4654</v>
      </c>
      <c r="F1021" s="104">
        <v>249</v>
      </c>
      <c r="G1021" s="104">
        <v>2280</v>
      </c>
      <c r="H1021" s="116">
        <v>36.58634393444737</v>
      </c>
      <c r="I1021" s="126">
        <v>27787</v>
      </c>
      <c r="J1021" s="117">
        <v>38.281642821656511</v>
      </c>
    </row>
    <row r="1022" spans="1:10" ht="16">
      <c r="A1022" s="93" t="s">
        <v>780</v>
      </c>
      <c r="B1022" s="94" t="s">
        <v>779</v>
      </c>
      <c r="C1022" s="95" t="s">
        <v>76</v>
      </c>
      <c r="D1022" s="96" t="s">
        <v>60</v>
      </c>
      <c r="E1022" s="97">
        <v>9340</v>
      </c>
      <c r="F1022" s="97">
        <v>649</v>
      </c>
      <c r="G1022" s="97">
        <v>3456</v>
      </c>
      <c r="H1022" s="114">
        <v>32.86992224559836</v>
      </c>
      <c r="I1022" s="125">
        <v>20276</v>
      </c>
      <c r="J1022" s="115">
        <v>32.644800963379424</v>
      </c>
    </row>
    <row r="1023" spans="1:10" ht="16">
      <c r="A1023" s="100" t="s">
        <v>1043</v>
      </c>
      <c r="B1023" s="101" t="s">
        <v>1020</v>
      </c>
      <c r="C1023" s="102" t="s">
        <v>76</v>
      </c>
      <c r="D1023" s="103" t="s">
        <v>84</v>
      </c>
      <c r="E1023" s="104">
        <v>35654</v>
      </c>
      <c r="F1023" s="104">
        <v>2764</v>
      </c>
      <c r="G1023" s="104">
        <v>3209</v>
      </c>
      <c r="H1023" s="116">
        <v>12.053113459213815</v>
      </c>
      <c r="I1023" s="126">
        <v>3874</v>
      </c>
      <c r="J1023" s="117">
        <v>20.594130785125287</v>
      </c>
    </row>
    <row r="1024" spans="1:10" ht="16">
      <c r="A1024" s="93" t="s">
        <v>794</v>
      </c>
      <c r="B1024" s="94" t="s">
        <v>782</v>
      </c>
      <c r="C1024" s="95" t="s">
        <v>76</v>
      </c>
      <c r="D1024" s="96" t="s">
        <v>63</v>
      </c>
      <c r="E1024" s="97">
        <v>15140</v>
      </c>
      <c r="F1024" s="97">
        <v>1893</v>
      </c>
      <c r="G1024" s="97">
        <v>3028</v>
      </c>
      <c r="H1024" s="114">
        <v>30.734481703752184</v>
      </c>
      <c r="I1024" s="125">
        <v>17327</v>
      </c>
      <c r="J1024" s="115">
        <v>41.655551574343193</v>
      </c>
    </row>
    <row r="1025" spans="1:10" ht="16">
      <c r="A1025" s="100" t="s">
        <v>795</v>
      </c>
      <c r="B1025" s="101" t="s">
        <v>796</v>
      </c>
      <c r="C1025" s="102" t="s">
        <v>76</v>
      </c>
      <c r="D1025" s="103" t="s">
        <v>80</v>
      </c>
      <c r="E1025" s="104">
        <v>11772</v>
      </c>
      <c r="F1025" s="104">
        <v>906</v>
      </c>
      <c r="G1025" s="104">
        <v>1059</v>
      </c>
      <c r="H1025" s="116">
        <v>14.21933813280925</v>
      </c>
      <c r="I1025" s="126">
        <v>6675</v>
      </c>
      <c r="J1025" s="117">
        <v>17.00087549638971</v>
      </c>
    </row>
    <row r="1026" spans="1:10" ht="16">
      <c r="A1026" s="93" t="s">
        <v>1265</v>
      </c>
      <c r="B1026" s="94" t="s">
        <v>1190</v>
      </c>
      <c r="C1026" s="95" t="s">
        <v>76</v>
      </c>
      <c r="D1026" s="96" t="s">
        <v>80</v>
      </c>
      <c r="E1026" s="97">
        <v>37038</v>
      </c>
      <c r="F1026" s="97">
        <v>2572</v>
      </c>
      <c r="G1026" s="97">
        <v>14815</v>
      </c>
      <c r="H1026" s="114">
        <v>64.354684364993076</v>
      </c>
      <c r="I1026" s="125">
        <v>54447</v>
      </c>
      <c r="J1026" s="115">
        <v>57.448797550994797</v>
      </c>
    </row>
    <row r="1027" spans="1:10" ht="16">
      <c r="A1027" s="100" t="s">
        <v>199</v>
      </c>
      <c r="B1027" s="101" t="s">
        <v>184</v>
      </c>
      <c r="C1027" s="102" t="s">
        <v>76</v>
      </c>
      <c r="D1027" s="103" t="s">
        <v>59</v>
      </c>
      <c r="E1027" s="104">
        <v>29311</v>
      </c>
      <c r="F1027" s="104">
        <v>997</v>
      </c>
      <c r="G1027" s="104">
        <v>4983</v>
      </c>
      <c r="H1027" s="116">
        <v>31.546695263053756</v>
      </c>
      <c r="I1027" s="126">
        <v>21608</v>
      </c>
      <c r="J1027" s="117">
        <v>28.418844359098816</v>
      </c>
    </row>
    <row r="1028" spans="1:10" ht="16">
      <c r="A1028" s="93" t="s">
        <v>438</v>
      </c>
      <c r="B1028" s="94" t="s">
        <v>402</v>
      </c>
      <c r="C1028" s="95" t="s">
        <v>76</v>
      </c>
      <c r="D1028" s="96" t="s">
        <v>82</v>
      </c>
      <c r="E1028" s="97">
        <v>10730</v>
      </c>
      <c r="F1028" s="97">
        <v>134</v>
      </c>
      <c r="G1028" s="97">
        <v>1931</v>
      </c>
      <c r="H1028" s="114">
        <v>50.554430145795202</v>
      </c>
      <c r="I1028" s="125">
        <v>39180</v>
      </c>
      <c r="J1028" s="115">
        <v>42.812984229436644</v>
      </c>
    </row>
    <row r="1029" spans="1:10" ht="16">
      <c r="A1029" s="100" t="s">
        <v>1136</v>
      </c>
      <c r="B1029" s="101" t="s">
        <v>1135</v>
      </c>
      <c r="C1029" s="102" t="s">
        <v>76</v>
      </c>
      <c r="D1029" s="103" t="s">
        <v>77</v>
      </c>
      <c r="E1029" s="104">
        <v>18361</v>
      </c>
      <c r="F1029" s="104">
        <v>1360</v>
      </c>
      <c r="G1029" s="104">
        <v>184</v>
      </c>
      <c r="H1029" s="116">
        <v>8.4808431057604672</v>
      </c>
      <c r="I1029" s="126">
        <v>1990</v>
      </c>
      <c r="J1029" s="117">
        <v>19.6348153164741</v>
      </c>
    </row>
    <row r="1030" spans="1:10" ht="16">
      <c r="A1030" s="93" t="s">
        <v>439</v>
      </c>
      <c r="B1030" s="94" t="s">
        <v>402</v>
      </c>
      <c r="C1030" s="95" t="s">
        <v>76</v>
      </c>
      <c r="D1030" s="96" t="s">
        <v>82</v>
      </c>
      <c r="E1030" s="97">
        <v>25541</v>
      </c>
      <c r="F1030" s="97">
        <v>736</v>
      </c>
      <c r="G1030" s="97">
        <v>3065</v>
      </c>
      <c r="H1030" s="114">
        <v>29.576532497118222</v>
      </c>
      <c r="I1030" s="125">
        <v>21417</v>
      </c>
      <c r="J1030" s="115">
        <v>34.552551916380004</v>
      </c>
    </row>
    <row r="1031" spans="1:10" ht="16">
      <c r="A1031" s="100" t="s">
        <v>975</v>
      </c>
      <c r="B1031" s="101" t="s">
        <v>974</v>
      </c>
      <c r="C1031" s="102" t="s">
        <v>76</v>
      </c>
      <c r="D1031" s="103" t="s">
        <v>60</v>
      </c>
      <c r="E1031" s="104">
        <v>12124</v>
      </c>
      <c r="F1031" s="104">
        <v>891</v>
      </c>
      <c r="G1031" s="104">
        <v>606</v>
      </c>
      <c r="H1031" s="116">
        <v>15.976971847824279</v>
      </c>
      <c r="I1031" s="126">
        <v>4949</v>
      </c>
      <c r="J1031" s="117">
        <v>17.903183606149817</v>
      </c>
    </row>
    <row r="1032" spans="1:10" ht="16">
      <c r="A1032" s="93" t="s">
        <v>816</v>
      </c>
      <c r="B1032" s="94" t="s">
        <v>814</v>
      </c>
      <c r="C1032" s="95" t="s">
        <v>76</v>
      </c>
      <c r="D1032" s="96" t="s">
        <v>82</v>
      </c>
      <c r="E1032" s="97">
        <v>102000</v>
      </c>
      <c r="F1032" s="97">
        <v>1553</v>
      </c>
      <c r="G1032" s="97">
        <v>1020</v>
      </c>
      <c r="H1032" s="114">
        <v>8.7882801946446918</v>
      </c>
      <c r="I1032" s="125">
        <v>2036</v>
      </c>
      <c r="J1032" s="115">
        <v>18.855749135335923</v>
      </c>
    </row>
    <row r="1033" spans="1:10" ht="16">
      <c r="A1033" s="100" t="s">
        <v>1409</v>
      </c>
      <c r="B1033" s="101" t="s">
        <v>1288</v>
      </c>
      <c r="C1033" s="102" t="s">
        <v>107</v>
      </c>
      <c r="D1033" s="103" t="s">
        <v>77</v>
      </c>
      <c r="E1033" s="104">
        <v>11667</v>
      </c>
      <c r="F1033" s="104">
        <v>645</v>
      </c>
      <c r="G1033" s="104">
        <v>933</v>
      </c>
      <c r="H1033" s="116">
        <v>17.898032242848515</v>
      </c>
      <c r="I1033" s="126">
        <v>10154</v>
      </c>
      <c r="J1033" s="117">
        <v>23.424151956767854</v>
      </c>
    </row>
    <row r="1034" spans="1:10" ht="16">
      <c r="A1034" s="93" t="s">
        <v>1410</v>
      </c>
      <c r="B1034" s="94" t="s">
        <v>1288</v>
      </c>
      <c r="C1034" s="95" t="s">
        <v>107</v>
      </c>
      <c r="D1034" s="96" t="s">
        <v>80</v>
      </c>
      <c r="E1034" s="97">
        <v>33108</v>
      </c>
      <c r="F1034" s="97">
        <v>1994</v>
      </c>
      <c r="G1034" s="97">
        <v>3642</v>
      </c>
      <c r="H1034" s="114">
        <v>59.253433490679605</v>
      </c>
      <c r="I1034" s="125">
        <v>53068</v>
      </c>
      <c r="J1034" s="115">
        <v>47.022856891684903</v>
      </c>
    </row>
    <row r="1035" spans="1:10" ht="16">
      <c r="A1035" s="100" t="s">
        <v>1411</v>
      </c>
      <c r="B1035" s="101" t="s">
        <v>1288</v>
      </c>
      <c r="C1035" s="102" t="s">
        <v>107</v>
      </c>
      <c r="D1035" s="103" t="s">
        <v>130</v>
      </c>
      <c r="E1035" s="104">
        <v>61204</v>
      </c>
      <c r="F1035" s="104">
        <v>4708</v>
      </c>
      <c r="G1035" s="104">
        <v>9181</v>
      </c>
      <c r="H1035" s="116">
        <v>31.562744188124132</v>
      </c>
      <c r="I1035" s="126">
        <v>27189</v>
      </c>
      <c r="J1035" s="117">
        <v>38.664090566096611</v>
      </c>
    </row>
    <row r="1036" spans="1:10" ht="16">
      <c r="A1036" s="93" t="s">
        <v>570</v>
      </c>
      <c r="B1036" s="94" t="s">
        <v>537</v>
      </c>
      <c r="C1036" s="95" t="s">
        <v>76</v>
      </c>
      <c r="D1036" s="96" t="s">
        <v>84</v>
      </c>
      <c r="E1036" s="97">
        <v>12942</v>
      </c>
      <c r="F1036" s="97">
        <v>384</v>
      </c>
      <c r="G1036" s="97">
        <v>259</v>
      </c>
      <c r="H1036" s="114">
        <v>12.306834216638842</v>
      </c>
      <c r="I1036" s="125">
        <v>3861</v>
      </c>
      <c r="J1036" s="115">
        <v>28.807466539625906</v>
      </c>
    </row>
    <row r="1037" spans="1:10" ht="16">
      <c r="A1037" s="100" t="s">
        <v>112</v>
      </c>
      <c r="B1037" s="101" t="s">
        <v>89</v>
      </c>
      <c r="C1037" s="102" t="s">
        <v>76</v>
      </c>
      <c r="D1037" s="103" t="s">
        <v>77</v>
      </c>
      <c r="E1037" s="104">
        <v>47385</v>
      </c>
      <c r="F1037" s="104">
        <v>1802</v>
      </c>
      <c r="G1037" s="104">
        <v>21797</v>
      </c>
      <c r="H1037" s="116">
        <v>75.02926865940465</v>
      </c>
      <c r="I1037" s="126">
        <v>66642</v>
      </c>
      <c r="J1037" s="117">
        <v>66.23099758739427</v>
      </c>
    </row>
    <row r="1038" spans="1:10" ht="16">
      <c r="A1038" s="93" t="s">
        <v>1412</v>
      </c>
      <c r="B1038" s="94" t="s">
        <v>1288</v>
      </c>
      <c r="C1038" s="95" t="s">
        <v>76</v>
      </c>
      <c r="D1038" s="96" t="s">
        <v>84</v>
      </c>
      <c r="E1038" s="97">
        <v>15971</v>
      </c>
      <c r="F1038" s="97">
        <v>2535</v>
      </c>
      <c r="G1038" s="97">
        <v>2555</v>
      </c>
      <c r="H1038" s="114">
        <v>25.57615392421798</v>
      </c>
      <c r="I1038" s="125">
        <v>21064</v>
      </c>
      <c r="J1038" s="115">
        <v>44.68577222995529</v>
      </c>
    </row>
    <row r="1039" spans="1:10" ht="16">
      <c r="A1039" s="100" t="s">
        <v>1413</v>
      </c>
      <c r="B1039" s="101" t="s">
        <v>1288</v>
      </c>
      <c r="C1039" s="102" t="s">
        <v>107</v>
      </c>
      <c r="D1039" s="103" t="s">
        <v>59</v>
      </c>
      <c r="E1039" s="104">
        <v>42982</v>
      </c>
      <c r="F1039" s="104">
        <v>5179</v>
      </c>
      <c r="G1039" s="104">
        <v>7307</v>
      </c>
      <c r="H1039" s="116">
        <v>86.869523145434627</v>
      </c>
      <c r="I1039" s="126">
        <v>81820</v>
      </c>
      <c r="J1039" s="117">
        <v>79.994156419389043</v>
      </c>
    </row>
    <row r="1040" spans="1:10" ht="16">
      <c r="A1040" s="93" t="s">
        <v>617</v>
      </c>
      <c r="B1040" s="94" t="s">
        <v>598</v>
      </c>
      <c r="C1040" s="95" t="s">
        <v>76</v>
      </c>
      <c r="D1040" s="96" t="s">
        <v>84</v>
      </c>
      <c r="E1040" s="97">
        <v>45451</v>
      </c>
      <c r="F1040" s="97">
        <v>2124</v>
      </c>
      <c r="G1040" s="97">
        <v>2727</v>
      </c>
      <c r="H1040" s="114">
        <v>29.370905296582109</v>
      </c>
      <c r="I1040" s="125">
        <v>20941</v>
      </c>
      <c r="J1040" s="115">
        <v>36.664671653095695</v>
      </c>
    </row>
    <row r="1041" spans="1:10" ht="16">
      <c r="A1041" s="100" t="s">
        <v>618</v>
      </c>
      <c r="B1041" s="101" t="s">
        <v>598</v>
      </c>
      <c r="C1041" s="102" t="s">
        <v>76</v>
      </c>
      <c r="D1041" s="103" t="s">
        <v>63</v>
      </c>
      <c r="E1041" s="104">
        <v>26509</v>
      </c>
      <c r="F1041" s="104">
        <v>917</v>
      </c>
      <c r="G1041" s="104">
        <v>1591</v>
      </c>
      <c r="H1041" s="116">
        <v>21.037803504072876</v>
      </c>
      <c r="I1041" s="126">
        <v>16384</v>
      </c>
      <c r="J1041" s="117">
        <v>24.34390115699253</v>
      </c>
    </row>
    <row r="1042" spans="1:10" ht="16">
      <c r="A1042" s="93" t="s">
        <v>902</v>
      </c>
      <c r="B1042" s="94" t="s">
        <v>893</v>
      </c>
      <c r="C1042" s="95" t="s">
        <v>76</v>
      </c>
      <c r="D1042" s="96" t="s">
        <v>59</v>
      </c>
      <c r="E1042" s="97">
        <v>18066</v>
      </c>
      <c r="F1042" s="97">
        <v>1009</v>
      </c>
      <c r="G1042" s="97">
        <v>1807</v>
      </c>
      <c r="H1042" s="114">
        <v>19.925439258291842</v>
      </c>
      <c r="I1042" s="125">
        <v>6749</v>
      </c>
      <c r="J1042" s="115">
        <v>22.641687985487835</v>
      </c>
    </row>
    <row r="1043" spans="1:10" ht="16">
      <c r="A1043" s="100" t="s">
        <v>1414</v>
      </c>
      <c r="B1043" s="101" t="s">
        <v>1288</v>
      </c>
      <c r="C1043" s="102" t="s">
        <v>76</v>
      </c>
      <c r="D1043" s="103" t="s">
        <v>130</v>
      </c>
      <c r="E1043" s="104">
        <v>61120</v>
      </c>
      <c r="F1043" s="104">
        <v>4929</v>
      </c>
      <c r="G1043" s="104">
        <v>6723</v>
      </c>
      <c r="H1043" s="116">
        <v>59.665063594529819</v>
      </c>
      <c r="I1043" s="126">
        <v>49099</v>
      </c>
      <c r="J1043" s="117">
        <v>56.096514667919784</v>
      </c>
    </row>
    <row r="1044" spans="1:10" ht="16">
      <c r="A1044" s="93" t="s">
        <v>1415</v>
      </c>
      <c r="B1044" s="94" t="s">
        <v>1288</v>
      </c>
      <c r="C1044" s="95" t="s">
        <v>76</v>
      </c>
      <c r="D1044" s="96" t="s">
        <v>61</v>
      </c>
      <c r="E1044" s="97">
        <v>28513</v>
      </c>
      <c r="F1044" s="97">
        <v>2144</v>
      </c>
      <c r="G1044" s="97">
        <v>1711</v>
      </c>
      <c r="H1044" s="114">
        <v>24.714550567537071</v>
      </c>
      <c r="I1044" s="125">
        <v>15958</v>
      </c>
      <c r="J1044" s="115">
        <v>35.20078771026364</v>
      </c>
    </row>
    <row r="1045" spans="1:10" ht="16">
      <c r="A1045" s="100" t="s">
        <v>1416</v>
      </c>
      <c r="B1045" s="101" t="s">
        <v>1288</v>
      </c>
      <c r="C1045" s="102" t="s">
        <v>76</v>
      </c>
      <c r="D1045" s="103" t="s">
        <v>82</v>
      </c>
      <c r="E1045" s="104">
        <v>7019</v>
      </c>
      <c r="F1045" s="104">
        <v>439</v>
      </c>
      <c r="G1045" s="104">
        <v>421</v>
      </c>
      <c r="H1045" s="116">
        <v>24.884000289430009</v>
      </c>
      <c r="I1045" s="126">
        <v>17489</v>
      </c>
      <c r="J1045" s="117">
        <v>30.975045916633366</v>
      </c>
    </row>
    <row r="1046" spans="1:10" ht="16">
      <c r="A1046" s="93" t="s">
        <v>739</v>
      </c>
      <c r="B1046" s="94" t="s">
        <v>642</v>
      </c>
      <c r="C1046" s="95" t="s">
        <v>107</v>
      </c>
      <c r="D1046" s="96" t="s">
        <v>80</v>
      </c>
      <c r="E1046" s="97">
        <v>5488</v>
      </c>
      <c r="F1046" s="97">
        <v>695</v>
      </c>
      <c r="G1046" s="97">
        <v>165</v>
      </c>
      <c r="H1046" s="114">
        <v>10.403261574256829</v>
      </c>
      <c r="I1046" s="125">
        <v>2205</v>
      </c>
      <c r="J1046" s="115">
        <v>21.066848395077976</v>
      </c>
    </row>
    <row r="1047" spans="1:10" ht="16">
      <c r="A1047" s="100" t="s">
        <v>619</v>
      </c>
      <c r="B1047" s="101" t="s">
        <v>598</v>
      </c>
      <c r="C1047" s="102" t="s">
        <v>76</v>
      </c>
      <c r="D1047" s="103" t="s">
        <v>62</v>
      </c>
      <c r="E1047" s="104">
        <v>17432</v>
      </c>
      <c r="F1047" s="104">
        <v>703</v>
      </c>
      <c r="G1047" s="104">
        <v>1046</v>
      </c>
      <c r="H1047" s="116">
        <v>19.701786827618527</v>
      </c>
      <c r="I1047" s="126">
        <v>13736</v>
      </c>
      <c r="J1047" s="117">
        <v>32.539173480237949</v>
      </c>
    </row>
    <row r="1048" spans="1:10" ht="16">
      <c r="A1048" s="93" t="s">
        <v>1137</v>
      </c>
      <c r="B1048" s="94" t="s">
        <v>1135</v>
      </c>
      <c r="C1048" s="95" t="s">
        <v>76</v>
      </c>
      <c r="D1048" s="96" t="s">
        <v>80</v>
      </c>
      <c r="E1048" s="97">
        <v>19973</v>
      </c>
      <c r="F1048" s="97">
        <v>2059</v>
      </c>
      <c r="G1048" s="97">
        <v>200</v>
      </c>
      <c r="H1048" s="114">
        <v>9.6138334699248151</v>
      </c>
      <c r="I1048" s="125">
        <v>1189</v>
      </c>
      <c r="J1048" s="115">
        <v>20.916551367841347</v>
      </c>
    </row>
    <row r="1049" spans="1:10" ht="16">
      <c r="A1049" s="100" t="s">
        <v>811</v>
      </c>
      <c r="B1049" s="101" t="s">
        <v>812</v>
      </c>
      <c r="C1049" s="102" t="s">
        <v>76</v>
      </c>
      <c r="D1049" s="103" t="s">
        <v>130</v>
      </c>
      <c r="E1049" s="104">
        <v>19171</v>
      </c>
      <c r="F1049" s="104">
        <v>702</v>
      </c>
      <c r="G1049" s="104">
        <v>383</v>
      </c>
      <c r="H1049" s="116">
        <v>10.664669498702306</v>
      </c>
      <c r="I1049" s="126">
        <v>1507</v>
      </c>
      <c r="J1049" s="117">
        <v>13.422079299613893</v>
      </c>
    </row>
    <row r="1050" spans="1:10" ht="16">
      <c r="A1050" s="93" t="s">
        <v>200</v>
      </c>
      <c r="B1050" s="94" t="s">
        <v>184</v>
      </c>
      <c r="C1050" s="95" t="s">
        <v>107</v>
      </c>
      <c r="D1050" s="96" t="s">
        <v>92</v>
      </c>
      <c r="E1050" s="97">
        <v>36794</v>
      </c>
      <c r="F1050" s="97">
        <v>1821</v>
      </c>
      <c r="G1050" s="97">
        <v>8095</v>
      </c>
      <c r="H1050" s="114">
        <v>49.926812749503341</v>
      </c>
      <c r="I1050" s="125">
        <v>43060</v>
      </c>
      <c r="J1050" s="115">
        <v>48.752704464958803</v>
      </c>
    </row>
    <row r="1051" spans="1:10" ht="16">
      <c r="A1051" s="100" t="s">
        <v>526</v>
      </c>
      <c r="B1051" s="101" t="s">
        <v>474</v>
      </c>
      <c r="C1051" s="102" t="s">
        <v>107</v>
      </c>
      <c r="D1051" s="103" t="s">
        <v>63</v>
      </c>
      <c r="E1051" s="104">
        <v>7874</v>
      </c>
      <c r="F1051" s="104">
        <v>435</v>
      </c>
      <c r="G1051" s="104">
        <v>176</v>
      </c>
      <c r="H1051" s="116">
        <v>10.911584151622252</v>
      </c>
      <c r="I1051" s="126">
        <v>1861</v>
      </c>
      <c r="J1051" s="117">
        <v>31.729750182631829</v>
      </c>
    </row>
    <row r="1052" spans="1:10" ht="16">
      <c r="A1052" s="93" t="s">
        <v>1044</v>
      </c>
      <c r="B1052" s="94" t="s">
        <v>1020</v>
      </c>
      <c r="C1052" s="95" t="s">
        <v>76</v>
      </c>
      <c r="D1052" s="96" t="s">
        <v>60</v>
      </c>
      <c r="E1052" s="97">
        <v>27662</v>
      </c>
      <c r="F1052" s="97">
        <v>1697</v>
      </c>
      <c r="G1052" s="97">
        <v>1936</v>
      </c>
      <c r="H1052" s="114">
        <v>13.986879377719223</v>
      </c>
      <c r="I1052" s="125">
        <v>4602</v>
      </c>
      <c r="J1052" s="115">
        <v>22.570089827107161</v>
      </c>
    </row>
    <row r="1053" spans="1:10" ht="16">
      <c r="A1053" s="100" t="s">
        <v>527</v>
      </c>
      <c r="B1053" s="101" t="s">
        <v>474</v>
      </c>
      <c r="C1053" s="102" t="s">
        <v>107</v>
      </c>
      <c r="D1053" s="103" t="s">
        <v>63</v>
      </c>
      <c r="E1053" s="104">
        <v>7810</v>
      </c>
      <c r="F1053" s="104">
        <v>367</v>
      </c>
      <c r="G1053" s="104">
        <v>781</v>
      </c>
      <c r="H1053" s="116">
        <v>8.6052422880475756</v>
      </c>
      <c r="I1053" s="126">
        <v>763</v>
      </c>
      <c r="J1053" s="117">
        <v>32.077165282657518</v>
      </c>
    </row>
    <row r="1054" spans="1:10" ht="16">
      <c r="A1054" s="93" t="s">
        <v>761</v>
      </c>
      <c r="B1054" s="94" t="s">
        <v>762</v>
      </c>
      <c r="C1054" s="95" t="s">
        <v>107</v>
      </c>
      <c r="D1054" s="96" t="s">
        <v>60</v>
      </c>
      <c r="E1054" s="97">
        <v>69456</v>
      </c>
      <c r="F1054" s="97">
        <v>1767</v>
      </c>
      <c r="G1054" s="97">
        <v>695</v>
      </c>
      <c r="H1054" s="114">
        <v>10.33347579918744</v>
      </c>
      <c r="I1054" s="125">
        <v>4999</v>
      </c>
      <c r="J1054" s="115">
        <v>15.341349917768879</v>
      </c>
    </row>
    <row r="1055" spans="1:10" ht="16">
      <c r="A1055" s="100" t="s">
        <v>394</v>
      </c>
      <c r="B1055" s="101" t="s">
        <v>377</v>
      </c>
      <c r="C1055" s="102" t="s">
        <v>76</v>
      </c>
      <c r="D1055" s="103" t="s">
        <v>92</v>
      </c>
      <c r="E1055" s="104">
        <v>37078</v>
      </c>
      <c r="F1055" s="104">
        <v>1501</v>
      </c>
      <c r="G1055" s="104">
        <v>4079</v>
      </c>
      <c r="H1055" s="116">
        <v>21.780363646735175</v>
      </c>
      <c r="I1055" s="126">
        <v>12103</v>
      </c>
      <c r="J1055" s="117">
        <v>20.100941996443474</v>
      </c>
    </row>
    <row r="1056" spans="1:10" ht="16">
      <c r="A1056" s="93" t="s">
        <v>620</v>
      </c>
      <c r="B1056" s="94" t="s">
        <v>598</v>
      </c>
      <c r="C1056" s="95" t="s">
        <v>76</v>
      </c>
      <c r="D1056" s="96" t="s">
        <v>92</v>
      </c>
      <c r="E1056" s="97">
        <v>49604</v>
      </c>
      <c r="F1056" s="97">
        <v>2531</v>
      </c>
      <c r="G1056" s="97">
        <v>992</v>
      </c>
      <c r="H1056" s="114">
        <v>24.266722435856749</v>
      </c>
      <c r="I1056" s="125">
        <v>16918</v>
      </c>
      <c r="J1056" s="115">
        <v>35.798253970009291</v>
      </c>
    </row>
    <row r="1057" spans="1:10" ht="16">
      <c r="A1057" s="100" t="s">
        <v>1045</v>
      </c>
      <c r="B1057" s="101" t="s">
        <v>1020</v>
      </c>
      <c r="C1057" s="102" t="s">
        <v>76</v>
      </c>
      <c r="D1057" s="103" t="s">
        <v>61</v>
      </c>
      <c r="E1057" s="104">
        <v>10833</v>
      </c>
      <c r="F1057" s="104">
        <v>833</v>
      </c>
      <c r="G1057" s="104">
        <v>2383</v>
      </c>
      <c r="H1057" s="116">
        <v>28.700396112981451</v>
      </c>
      <c r="I1057" s="126">
        <v>22448</v>
      </c>
      <c r="J1057" s="117">
        <v>30.848843227722973</v>
      </c>
    </row>
    <row r="1058" spans="1:10" ht="16">
      <c r="A1058" s="93" t="s">
        <v>1417</v>
      </c>
      <c r="B1058" s="94" t="s">
        <v>1288</v>
      </c>
      <c r="C1058" s="95" t="s">
        <v>76</v>
      </c>
      <c r="D1058" s="96" t="s">
        <v>62</v>
      </c>
      <c r="E1058" s="97">
        <v>3041</v>
      </c>
      <c r="F1058" s="97">
        <v>1322</v>
      </c>
      <c r="G1058" s="97">
        <v>213</v>
      </c>
      <c r="H1058" s="114">
        <v>12.593080491482679</v>
      </c>
      <c r="I1058" s="125">
        <v>7042</v>
      </c>
      <c r="J1058" s="115">
        <v>36.562382367071088</v>
      </c>
    </row>
    <row r="1059" spans="1:10" ht="16">
      <c r="A1059" s="100" t="s">
        <v>1418</v>
      </c>
      <c r="B1059" s="101" t="s">
        <v>1288</v>
      </c>
      <c r="C1059" s="102" t="s">
        <v>107</v>
      </c>
      <c r="D1059" s="103" t="s">
        <v>61</v>
      </c>
      <c r="E1059" s="104">
        <v>24610</v>
      </c>
      <c r="F1059" s="104">
        <v>1431</v>
      </c>
      <c r="G1059" s="104">
        <v>2707</v>
      </c>
      <c r="H1059" s="116">
        <v>28.604014458422569</v>
      </c>
      <c r="I1059" s="126">
        <v>17793</v>
      </c>
      <c r="J1059" s="117">
        <v>30.508173289966273</v>
      </c>
    </row>
    <row r="1060" spans="1:10" ht="16">
      <c r="A1060" s="93" t="s">
        <v>1419</v>
      </c>
      <c r="B1060" s="94" t="s">
        <v>1288</v>
      </c>
      <c r="C1060" s="95" t="s">
        <v>76</v>
      </c>
      <c r="D1060" s="96" t="s">
        <v>80</v>
      </c>
      <c r="E1060" s="97">
        <v>24982</v>
      </c>
      <c r="F1060" s="97">
        <v>1101</v>
      </c>
      <c r="G1060" s="97">
        <v>1249</v>
      </c>
      <c r="H1060" s="114">
        <v>22.901386368182397</v>
      </c>
      <c r="I1060" s="125">
        <v>9433</v>
      </c>
      <c r="J1060" s="115">
        <v>28.757816514218412</v>
      </c>
    </row>
    <row r="1061" spans="1:10" ht="16">
      <c r="A1061" s="100" t="s">
        <v>1420</v>
      </c>
      <c r="B1061" s="101" t="s">
        <v>1288</v>
      </c>
      <c r="C1061" s="102" t="s">
        <v>76</v>
      </c>
      <c r="D1061" s="103" t="s">
        <v>92</v>
      </c>
      <c r="E1061" s="104">
        <v>19382</v>
      </c>
      <c r="F1061" s="104">
        <v>1133</v>
      </c>
      <c r="G1061" s="104">
        <v>969</v>
      </c>
      <c r="H1061" s="116">
        <v>32.40890284189728</v>
      </c>
      <c r="I1061" s="126">
        <v>26695</v>
      </c>
      <c r="J1061" s="117">
        <v>29.35424840733414</v>
      </c>
    </row>
    <row r="1062" spans="1:10" ht="16">
      <c r="A1062" s="93" t="s">
        <v>113</v>
      </c>
      <c r="B1062" s="94" t="s">
        <v>89</v>
      </c>
      <c r="C1062" s="95" t="s">
        <v>76</v>
      </c>
      <c r="D1062" s="96" t="s">
        <v>77</v>
      </c>
      <c r="E1062" s="97">
        <v>22100</v>
      </c>
      <c r="F1062" s="97">
        <v>1068</v>
      </c>
      <c r="G1062" s="97">
        <v>3978</v>
      </c>
      <c r="H1062" s="114">
        <v>28.621145282518142</v>
      </c>
      <c r="I1062" s="125">
        <v>21771</v>
      </c>
      <c r="J1062" s="115">
        <v>25.469185964867645</v>
      </c>
    </row>
    <row r="1063" spans="1:10" ht="16">
      <c r="A1063" s="100" t="s">
        <v>846</v>
      </c>
      <c r="B1063" s="101" t="s">
        <v>843</v>
      </c>
      <c r="C1063" s="102" t="s">
        <v>76</v>
      </c>
      <c r="D1063" s="103" t="s">
        <v>92</v>
      </c>
      <c r="E1063" s="104">
        <v>34227</v>
      </c>
      <c r="F1063" s="104">
        <v>2593</v>
      </c>
      <c r="G1063" s="104">
        <v>342</v>
      </c>
      <c r="H1063" s="116">
        <v>9.2543864811372387</v>
      </c>
      <c r="I1063" s="126">
        <v>1632</v>
      </c>
      <c r="J1063" s="117">
        <v>23.639353674618935</v>
      </c>
    </row>
    <row r="1064" spans="1:10" ht="16">
      <c r="A1064" s="93" t="s">
        <v>1421</v>
      </c>
      <c r="B1064" s="94" t="s">
        <v>1288</v>
      </c>
      <c r="C1064" s="95" t="s">
        <v>76</v>
      </c>
      <c r="D1064" s="96" t="s">
        <v>61</v>
      </c>
      <c r="E1064" s="97">
        <v>35419</v>
      </c>
      <c r="F1064" s="97">
        <v>3768</v>
      </c>
      <c r="G1064" s="97">
        <v>2834</v>
      </c>
      <c r="H1064" s="114">
        <v>63.941768435361787</v>
      </c>
      <c r="I1064" s="125">
        <v>61378</v>
      </c>
      <c r="J1064" s="115">
        <v>60.480073710897742</v>
      </c>
    </row>
    <row r="1065" spans="1:10" ht="16">
      <c r="A1065" s="100" t="s">
        <v>1422</v>
      </c>
      <c r="B1065" s="101" t="s">
        <v>1288</v>
      </c>
      <c r="C1065" s="102" t="s">
        <v>76</v>
      </c>
      <c r="D1065" s="103" t="s">
        <v>61</v>
      </c>
      <c r="E1065" s="104">
        <v>18999</v>
      </c>
      <c r="F1065" s="104">
        <v>856</v>
      </c>
      <c r="G1065" s="104">
        <v>760</v>
      </c>
      <c r="H1065" s="116">
        <v>19.505645723354395</v>
      </c>
      <c r="I1065" s="126">
        <v>9760</v>
      </c>
      <c r="J1065" s="117">
        <v>21.103131670656158</v>
      </c>
    </row>
    <row r="1066" spans="1:10" ht="16">
      <c r="A1066" s="93" t="s">
        <v>1423</v>
      </c>
      <c r="B1066" s="94" t="s">
        <v>1288</v>
      </c>
      <c r="C1066" s="95" t="s">
        <v>76</v>
      </c>
      <c r="D1066" s="96" t="s">
        <v>59</v>
      </c>
      <c r="E1066" s="97">
        <v>14791</v>
      </c>
      <c r="F1066" s="97">
        <v>755</v>
      </c>
      <c r="G1066" s="97">
        <v>296</v>
      </c>
      <c r="H1066" s="114">
        <v>7.7054792362314188</v>
      </c>
      <c r="I1066" s="125">
        <v>1824</v>
      </c>
      <c r="J1066" s="115">
        <v>16.263953563719785</v>
      </c>
    </row>
    <row r="1067" spans="1:10" ht="16">
      <c r="A1067" s="100" t="s">
        <v>1424</v>
      </c>
      <c r="B1067" s="101" t="s">
        <v>1288</v>
      </c>
      <c r="C1067" s="102" t="s">
        <v>76</v>
      </c>
      <c r="D1067" s="103" t="s">
        <v>61</v>
      </c>
      <c r="E1067" s="104">
        <v>12132</v>
      </c>
      <c r="F1067" s="104">
        <v>685</v>
      </c>
      <c r="G1067" s="104">
        <v>243</v>
      </c>
      <c r="H1067" s="116">
        <v>11.324060658394711</v>
      </c>
      <c r="I1067" s="126">
        <v>2734</v>
      </c>
      <c r="J1067" s="117">
        <v>25.733862573263838</v>
      </c>
    </row>
    <row r="1068" spans="1:10" ht="16">
      <c r="A1068" s="93" t="s">
        <v>201</v>
      </c>
      <c r="B1068" s="94" t="s">
        <v>184</v>
      </c>
      <c r="C1068" s="95" t="s">
        <v>76</v>
      </c>
      <c r="D1068" s="96" t="s">
        <v>82</v>
      </c>
      <c r="E1068" s="97">
        <v>2733</v>
      </c>
      <c r="F1068" s="97">
        <v>195</v>
      </c>
      <c r="G1068" s="97">
        <v>219</v>
      </c>
      <c r="H1068" s="114">
        <v>19.330053596231185</v>
      </c>
      <c r="I1068" s="125">
        <v>7878</v>
      </c>
      <c r="J1068" s="115">
        <v>19.370001121839312</v>
      </c>
    </row>
    <row r="1069" spans="1:10" ht="16">
      <c r="A1069" s="100" t="s">
        <v>1425</v>
      </c>
      <c r="B1069" s="101" t="s">
        <v>1288</v>
      </c>
      <c r="C1069" s="102" t="s">
        <v>107</v>
      </c>
      <c r="D1069" s="103" t="s">
        <v>60</v>
      </c>
      <c r="E1069" s="104">
        <v>12104</v>
      </c>
      <c r="F1069" s="104">
        <v>884</v>
      </c>
      <c r="G1069" s="104">
        <v>1452</v>
      </c>
      <c r="H1069" s="116">
        <v>46.615855447659072</v>
      </c>
      <c r="I1069" s="126">
        <v>34018</v>
      </c>
      <c r="J1069" s="117">
        <v>53.372611198793813</v>
      </c>
    </row>
    <row r="1070" spans="1:10" ht="16">
      <c r="A1070" s="93" t="s">
        <v>1266</v>
      </c>
      <c r="B1070" s="94" t="s">
        <v>1190</v>
      </c>
      <c r="C1070" s="95" t="s">
        <v>76</v>
      </c>
      <c r="D1070" s="96" t="s">
        <v>84</v>
      </c>
      <c r="E1070" s="97">
        <v>29699</v>
      </c>
      <c r="F1070" s="97">
        <v>2034</v>
      </c>
      <c r="G1070" s="97">
        <v>8613</v>
      </c>
      <c r="H1070" s="114">
        <v>42.688662927956166</v>
      </c>
      <c r="I1070" s="125">
        <v>34345</v>
      </c>
      <c r="J1070" s="115">
        <v>43.28714440538463</v>
      </c>
    </row>
    <row r="1071" spans="1:10" ht="16">
      <c r="A1071" s="100" t="s">
        <v>740</v>
      </c>
      <c r="B1071" s="101" t="s">
        <v>642</v>
      </c>
      <c r="C1071" s="102" t="s">
        <v>76</v>
      </c>
      <c r="D1071" s="103" t="s">
        <v>80</v>
      </c>
      <c r="E1071" s="104">
        <v>1142</v>
      </c>
      <c r="F1071" s="104">
        <v>439</v>
      </c>
      <c r="G1071" s="104">
        <v>11</v>
      </c>
      <c r="H1071" s="116">
        <v>10.475645300482144</v>
      </c>
      <c r="I1071" s="126">
        <v>9737</v>
      </c>
      <c r="J1071" s="117">
        <v>27.281922141540971</v>
      </c>
    </row>
    <row r="1072" spans="1:10" ht="16">
      <c r="A1072" s="93" t="s">
        <v>1426</v>
      </c>
      <c r="B1072" s="94" t="s">
        <v>1288</v>
      </c>
      <c r="C1072" s="95" t="s">
        <v>76</v>
      </c>
      <c r="D1072" s="96" t="s">
        <v>84</v>
      </c>
      <c r="E1072" s="97">
        <v>22143</v>
      </c>
      <c r="F1072" s="97">
        <v>2050</v>
      </c>
      <c r="G1072" s="97">
        <v>2657</v>
      </c>
      <c r="H1072" s="114">
        <v>29.344996385574596</v>
      </c>
      <c r="I1072" s="125">
        <v>24672</v>
      </c>
      <c r="J1072" s="115">
        <v>34.210009362017061</v>
      </c>
    </row>
    <row r="1073" spans="1:10" ht="16">
      <c r="A1073" s="100" t="s">
        <v>854</v>
      </c>
      <c r="B1073" s="101" t="s">
        <v>850</v>
      </c>
      <c r="C1073" s="102" t="s">
        <v>76</v>
      </c>
      <c r="D1073" s="103" t="s">
        <v>62</v>
      </c>
      <c r="E1073" s="104">
        <v>20783</v>
      </c>
      <c r="F1073" s="104">
        <v>1649</v>
      </c>
      <c r="G1073" s="104">
        <v>3533</v>
      </c>
      <c r="H1073" s="116">
        <v>44.432563011130341</v>
      </c>
      <c r="I1073" s="126">
        <v>39572</v>
      </c>
      <c r="J1073" s="117">
        <v>40.323299558339869</v>
      </c>
    </row>
    <row r="1074" spans="1:10" ht="16">
      <c r="A1074" s="93" t="s">
        <v>331</v>
      </c>
      <c r="B1074" s="94" t="s">
        <v>322</v>
      </c>
      <c r="C1074" s="95" t="s">
        <v>76</v>
      </c>
      <c r="D1074" s="96" t="s">
        <v>59</v>
      </c>
      <c r="E1074" s="97">
        <v>8872</v>
      </c>
      <c r="F1074" s="97">
        <v>485</v>
      </c>
      <c r="G1074" s="97">
        <v>798</v>
      </c>
      <c r="H1074" s="114">
        <v>14.057014227188166</v>
      </c>
      <c r="I1074" s="125">
        <v>4052</v>
      </c>
      <c r="J1074" s="115">
        <v>17.424685686282274</v>
      </c>
    </row>
    <row r="1075" spans="1:10" ht="16">
      <c r="A1075" s="100" t="s">
        <v>839</v>
      </c>
      <c r="B1075" s="101" t="s">
        <v>834</v>
      </c>
      <c r="C1075" s="102" t="s">
        <v>76</v>
      </c>
      <c r="D1075" s="103" t="s">
        <v>84</v>
      </c>
      <c r="E1075" s="104">
        <v>18196</v>
      </c>
      <c r="F1075" s="104">
        <v>910</v>
      </c>
      <c r="G1075" s="104">
        <v>3821</v>
      </c>
      <c r="H1075" s="116">
        <v>32.133588736002309</v>
      </c>
      <c r="I1075" s="126">
        <v>27224</v>
      </c>
      <c r="J1075" s="117">
        <v>30.897061534399725</v>
      </c>
    </row>
    <row r="1076" spans="1:10" ht="16">
      <c r="A1076" s="93" t="s">
        <v>202</v>
      </c>
      <c r="B1076" s="94" t="s">
        <v>184</v>
      </c>
      <c r="C1076" s="95" t="s">
        <v>76</v>
      </c>
      <c r="D1076" s="96" t="s">
        <v>61</v>
      </c>
      <c r="E1076" s="97">
        <v>35365</v>
      </c>
      <c r="F1076" s="97">
        <v>1432</v>
      </c>
      <c r="G1076" s="97">
        <v>6719</v>
      </c>
      <c r="H1076" s="114">
        <v>42.372729201216764</v>
      </c>
      <c r="I1076" s="125">
        <v>36334</v>
      </c>
      <c r="J1076" s="115">
        <v>42.0762004594757</v>
      </c>
    </row>
    <row r="1077" spans="1:10" ht="16">
      <c r="A1077" s="100" t="s">
        <v>374</v>
      </c>
      <c r="B1077" s="101" t="s">
        <v>369</v>
      </c>
      <c r="C1077" s="102" t="s">
        <v>76</v>
      </c>
      <c r="D1077" s="103" t="s">
        <v>59</v>
      </c>
      <c r="E1077" s="104">
        <v>10086</v>
      </c>
      <c r="F1077" s="104">
        <v>336</v>
      </c>
      <c r="G1077" s="104">
        <v>605</v>
      </c>
      <c r="H1077" s="116">
        <v>34.732375254141282</v>
      </c>
      <c r="I1077" s="126">
        <v>26353</v>
      </c>
      <c r="J1077" s="117">
        <v>30.771248574635226</v>
      </c>
    </row>
    <row r="1078" spans="1:10" ht="16">
      <c r="A1078" s="93" t="s">
        <v>1046</v>
      </c>
      <c r="B1078" s="94" t="s">
        <v>1020</v>
      </c>
      <c r="C1078" s="95" t="s">
        <v>76</v>
      </c>
      <c r="D1078" s="96" t="s">
        <v>59</v>
      </c>
      <c r="E1078" s="97">
        <v>21663</v>
      </c>
      <c r="F1078" s="97">
        <v>1706</v>
      </c>
      <c r="G1078" s="97">
        <v>650</v>
      </c>
      <c r="H1078" s="114">
        <v>15.287703660097531</v>
      </c>
      <c r="I1078" s="125">
        <v>8464</v>
      </c>
      <c r="J1078" s="115">
        <v>17.510153388086056</v>
      </c>
    </row>
    <row r="1079" spans="1:10" ht="16">
      <c r="A1079" s="100" t="s">
        <v>1267</v>
      </c>
      <c r="B1079" s="101" t="s">
        <v>1190</v>
      </c>
      <c r="C1079" s="102" t="s">
        <v>107</v>
      </c>
      <c r="D1079" s="103" t="s">
        <v>59</v>
      </c>
      <c r="E1079" s="104">
        <v>20664</v>
      </c>
      <c r="F1079" s="104">
        <v>1845</v>
      </c>
      <c r="G1079" s="104">
        <v>8472</v>
      </c>
      <c r="H1079" s="116">
        <v>100.40442258718376</v>
      </c>
      <c r="I1079" s="126">
        <v>98166</v>
      </c>
      <c r="J1079" s="117">
        <v>91.053855274356224</v>
      </c>
    </row>
    <row r="1080" spans="1:10" ht="16">
      <c r="A1080" s="93" t="s">
        <v>621</v>
      </c>
      <c r="B1080" s="94" t="s">
        <v>598</v>
      </c>
      <c r="C1080" s="95" t="s">
        <v>76</v>
      </c>
      <c r="D1080" s="96" t="s">
        <v>63</v>
      </c>
      <c r="E1080" s="97">
        <v>45169</v>
      </c>
      <c r="F1080" s="97">
        <v>2121</v>
      </c>
      <c r="G1080" s="97">
        <v>1807</v>
      </c>
      <c r="H1080" s="114">
        <v>31.827784091683814</v>
      </c>
      <c r="I1080" s="125">
        <v>24903</v>
      </c>
      <c r="J1080" s="115">
        <v>43.342783261347513</v>
      </c>
    </row>
    <row r="1081" spans="1:10" ht="16">
      <c r="A1081" s="100" t="s">
        <v>622</v>
      </c>
      <c r="B1081" s="101" t="s">
        <v>598</v>
      </c>
      <c r="C1081" s="102" t="s">
        <v>76</v>
      </c>
      <c r="D1081" s="103" t="s">
        <v>77</v>
      </c>
      <c r="E1081" s="104">
        <v>29437</v>
      </c>
      <c r="F1081" s="104">
        <v>1436</v>
      </c>
      <c r="G1081" s="104">
        <v>294</v>
      </c>
      <c r="H1081" s="116">
        <v>18.493121474450092</v>
      </c>
      <c r="I1081" s="126">
        <v>11407</v>
      </c>
      <c r="J1081" s="117">
        <v>21.62630224999269</v>
      </c>
    </row>
    <row r="1082" spans="1:10" ht="16">
      <c r="A1082" s="93" t="s">
        <v>332</v>
      </c>
      <c r="B1082" s="94" t="s">
        <v>322</v>
      </c>
      <c r="C1082" s="95" t="s">
        <v>76</v>
      </c>
      <c r="D1082" s="96" t="s">
        <v>130</v>
      </c>
      <c r="E1082" s="97">
        <v>7266</v>
      </c>
      <c r="F1082" s="97">
        <v>530</v>
      </c>
      <c r="G1082" s="97">
        <v>509</v>
      </c>
      <c r="H1082" s="114">
        <v>16.383172417402076</v>
      </c>
      <c r="I1082" s="125">
        <v>1637</v>
      </c>
      <c r="J1082" s="115">
        <v>18.038253769077606</v>
      </c>
    </row>
    <row r="1083" spans="1:10" ht="16">
      <c r="A1083" s="100" t="s">
        <v>395</v>
      </c>
      <c r="B1083" s="101" t="s">
        <v>377</v>
      </c>
      <c r="C1083" s="102" t="s">
        <v>76</v>
      </c>
      <c r="D1083" s="103" t="s">
        <v>61</v>
      </c>
      <c r="E1083" s="104">
        <v>61390</v>
      </c>
      <c r="F1083" s="104">
        <v>3961</v>
      </c>
      <c r="G1083" s="104">
        <v>10436</v>
      </c>
      <c r="H1083" s="116">
        <v>36.664831534518001</v>
      </c>
      <c r="I1083" s="126">
        <v>32037</v>
      </c>
      <c r="J1083" s="117">
        <v>52.303853380192272</v>
      </c>
    </row>
    <row r="1084" spans="1:10" ht="16">
      <c r="A1084" s="93" t="s">
        <v>623</v>
      </c>
      <c r="B1084" s="94" t="s">
        <v>598</v>
      </c>
      <c r="C1084" s="95" t="s">
        <v>76</v>
      </c>
      <c r="D1084" s="96" t="s">
        <v>62</v>
      </c>
      <c r="E1084" s="97">
        <v>25140</v>
      </c>
      <c r="F1084" s="97">
        <v>918</v>
      </c>
      <c r="G1084" s="97">
        <v>1508</v>
      </c>
      <c r="H1084" s="114">
        <v>19.760119965822884</v>
      </c>
      <c r="I1084" s="125">
        <v>12481</v>
      </c>
      <c r="J1084" s="115">
        <v>18.469975163518662</v>
      </c>
    </row>
    <row r="1085" spans="1:10" ht="16">
      <c r="A1085" s="100" t="s">
        <v>440</v>
      </c>
      <c r="B1085" s="101" t="s">
        <v>402</v>
      </c>
      <c r="C1085" s="102" t="s">
        <v>76</v>
      </c>
      <c r="D1085" s="103" t="s">
        <v>77</v>
      </c>
      <c r="E1085" s="104">
        <v>11387</v>
      </c>
      <c r="F1085" s="104">
        <v>131</v>
      </c>
      <c r="G1085" s="104">
        <v>1366</v>
      </c>
      <c r="H1085" s="116">
        <v>39.567618189480555</v>
      </c>
      <c r="I1085" s="126">
        <v>29752</v>
      </c>
      <c r="J1085" s="117">
        <v>33.019632873792752</v>
      </c>
    </row>
    <row r="1086" spans="1:10" ht="16">
      <c r="A1086" s="93" t="s">
        <v>455</v>
      </c>
      <c r="B1086" s="94" t="s">
        <v>448</v>
      </c>
      <c r="C1086" s="95" t="s">
        <v>107</v>
      </c>
      <c r="D1086" s="96" t="s">
        <v>77</v>
      </c>
      <c r="E1086" s="97">
        <v>25580</v>
      </c>
      <c r="F1086" s="97">
        <v>927</v>
      </c>
      <c r="G1086" s="97">
        <v>1279</v>
      </c>
      <c r="H1086" s="114">
        <v>11.652368525472465</v>
      </c>
      <c r="I1086" s="125">
        <v>4654</v>
      </c>
      <c r="J1086" s="115">
        <v>17.047542186025257</v>
      </c>
    </row>
    <row r="1087" spans="1:10" ht="16">
      <c r="A1087" s="100" t="s">
        <v>624</v>
      </c>
      <c r="B1087" s="101" t="s">
        <v>598</v>
      </c>
      <c r="C1087" s="102" t="s">
        <v>76</v>
      </c>
      <c r="D1087" s="103" t="s">
        <v>60</v>
      </c>
      <c r="E1087" s="104">
        <v>24623</v>
      </c>
      <c r="F1087" s="104">
        <v>593</v>
      </c>
      <c r="G1087" s="104">
        <v>1970</v>
      </c>
      <c r="H1087" s="116">
        <v>25.790906836808745</v>
      </c>
      <c r="I1087" s="126">
        <v>16853</v>
      </c>
      <c r="J1087" s="117">
        <v>25.230263993542522</v>
      </c>
    </row>
    <row r="1088" spans="1:10" ht="16">
      <c r="A1088" s="93" t="s">
        <v>1427</v>
      </c>
      <c r="B1088" s="94" t="s">
        <v>1288</v>
      </c>
      <c r="C1088" s="95" t="s">
        <v>76</v>
      </c>
      <c r="D1088" s="96" t="s">
        <v>84</v>
      </c>
      <c r="E1088" s="97">
        <v>20578</v>
      </c>
      <c r="F1088" s="97">
        <v>3166</v>
      </c>
      <c r="G1088" s="97">
        <v>4321</v>
      </c>
      <c r="H1088" s="114">
        <v>91.208574321505097</v>
      </c>
      <c r="I1088" s="125">
        <v>88934</v>
      </c>
      <c r="J1088" s="115">
        <v>88.172249758400909</v>
      </c>
    </row>
    <row r="1089" spans="1:10" ht="16">
      <c r="A1089" s="100" t="s">
        <v>1060</v>
      </c>
      <c r="B1089" s="101" t="s">
        <v>1059</v>
      </c>
      <c r="C1089" s="102" t="s">
        <v>76</v>
      </c>
      <c r="D1089" s="103" t="s">
        <v>63</v>
      </c>
      <c r="E1089" s="104">
        <v>17482</v>
      </c>
      <c r="F1089" s="104">
        <v>1619</v>
      </c>
      <c r="G1089" s="104">
        <v>175</v>
      </c>
      <c r="H1089" s="116">
        <v>8.0020252897064292</v>
      </c>
      <c r="I1089" s="126">
        <v>7636</v>
      </c>
      <c r="J1089" s="117">
        <v>16.863913559718746</v>
      </c>
    </row>
    <row r="1090" spans="1:10" ht="16">
      <c r="A1090" s="93" t="s">
        <v>625</v>
      </c>
      <c r="B1090" s="94" t="s">
        <v>598</v>
      </c>
      <c r="C1090" s="95" t="s">
        <v>76</v>
      </c>
      <c r="D1090" s="96" t="s">
        <v>92</v>
      </c>
      <c r="E1090" s="97">
        <v>24830</v>
      </c>
      <c r="F1090" s="97">
        <v>769</v>
      </c>
      <c r="G1090" s="97">
        <v>1490</v>
      </c>
      <c r="H1090" s="114">
        <v>22.927561088537121</v>
      </c>
      <c r="I1090" s="125">
        <v>20077</v>
      </c>
      <c r="J1090" s="115">
        <v>18.74432810563664</v>
      </c>
    </row>
    <row r="1091" spans="1:10" ht="16">
      <c r="A1091" s="100" t="s">
        <v>868</v>
      </c>
      <c r="B1091" s="101" t="s">
        <v>858</v>
      </c>
      <c r="C1091" s="102" t="s">
        <v>107</v>
      </c>
      <c r="D1091" s="103" t="s">
        <v>60</v>
      </c>
      <c r="E1091" s="104">
        <v>5647</v>
      </c>
      <c r="F1091" s="104">
        <v>528</v>
      </c>
      <c r="G1091" s="104">
        <v>113</v>
      </c>
      <c r="H1091" s="116">
        <v>11.570562231556991</v>
      </c>
      <c r="I1091" s="126">
        <v>1612</v>
      </c>
      <c r="J1091" s="117">
        <v>26.03297768121605</v>
      </c>
    </row>
    <row r="1092" spans="1:10" ht="16">
      <c r="A1092" s="93" t="s">
        <v>626</v>
      </c>
      <c r="B1092" s="94" t="s">
        <v>598</v>
      </c>
      <c r="C1092" s="95" t="s">
        <v>76</v>
      </c>
      <c r="D1092" s="96" t="s">
        <v>77</v>
      </c>
      <c r="E1092" s="97">
        <v>33726</v>
      </c>
      <c r="F1092" s="97">
        <v>1506</v>
      </c>
      <c r="G1092" s="97">
        <v>2024</v>
      </c>
      <c r="H1092" s="114">
        <v>27.439060653504519</v>
      </c>
      <c r="I1092" s="125">
        <v>19822</v>
      </c>
      <c r="J1092" s="115">
        <v>32.140108300332081</v>
      </c>
    </row>
    <row r="1093" spans="1:10" ht="16">
      <c r="A1093" s="100" t="s">
        <v>1428</v>
      </c>
      <c r="B1093" s="101" t="s">
        <v>1288</v>
      </c>
      <c r="C1093" s="102" t="s">
        <v>76</v>
      </c>
      <c r="D1093" s="103" t="s">
        <v>59</v>
      </c>
      <c r="E1093" s="104">
        <v>26652</v>
      </c>
      <c r="F1093" s="104">
        <v>4595</v>
      </c>
      <c r="G1093" s="104">
        <v>2932</v>
      </c>
      <c r="H1093" s="116">
        <v>45.926047566030427</v>
      </c>
      <c r="I1093" s="126">
        <v>43378</v>
      </c>
      <c r="J1093" s="117">
        <v>48.173893078303273</v>
      </c>
    </row>
    <row r="1094" spans="1:10" ht="16">
      <c r="A1094" s="93" t="s">
        <v>1268</v>
      </c>
      <c r="B1094" s="94" t="s">
        <v>1190</v>
      </c>
      <c r="C1094" s="95" t="s">
        <v>76</v>
      </c>
      <c r="D1094" s="96" t="s">
        <v>82</v>
      </c>
      <c r="E1094" s="97">
        <v>17667</v>
      </c>
      <c r="F1094" s="97">
        <v>1027</v>
      </c>
      <c r="G1094" s="97">
        <v>2650</v>
      </c>
      <c r="H1094" s="114">
        <v>19.53899171747797</v>
      </c>
      <c r="I1094" s="125">
        <v>13055</v>
      </c>
      <c r="J1094" s="115">
        <v>21.272309140470519</v>
      </c>
    </row>
    <row r="1095" spans="1:10" ht="16">
      <c r="A1095" s="100" t="s">
        <v>903</v>
      </c>
      <c r="B1095" s="101" t="s">
        <v>893</v>
      </c>
      <c r="C1095" s="102" t="s">
        <v>76</v>
      </c>
      <c r="D1095" s="103" t="s">
        <v>62</v>
      </c>
      <c r="E1095" s="104">
        <v>32020</v>
      </c>
      <c r="F1095" s="104">
        <v>1712</v>
      </c>
      <c r="G1095" s="104">
        <v>4803</v>
      </c>
      <c r="H1095" s="116">
        <v>28.620642254977998</v>
      </c>
      <c r="I1095" s="126">
        <v>17452</v>
      </c>
      <c r="J1095" s="117">
        <v>27.993793306175071</v>
      </c>
    </row>
    <row r="1096" spans="1:10" ht="16">
      <c r="A1096" s="93" t="s">
        <v>1269</v>
      </c>
      <c r="B1096" s="94" t="s">
        <v>1190</v>
      </c>
      <c r="C1096" s="95" t="s">
        <v>107</v>
      </c>
      <c r="D1096" s="96" t="s">
        <v>92</v>
      </c>
      <c r="E1096" s="97">
        <v>20186</v>
      </c>
      <c r="F1096" s="97">
        <v>1311</v>
      </c>
      <c r="G1096" s="97">
        <v>5248</v>
      </c>
      <c r="H1096" s="114">
        <v>16.722304562994104</v>
      </c>
      <c r="I1096" s="125">
        <v>11568</v>
      </c>
      <c r="J1096" s="115">
        <v>18.362289063599196</v>
      </c>
    </row>
    <row r="1097" spans="1:10" ht="16">
      <c r="A1097" s="100" t="s">
        <v>441</v>
      </c>
      <c r="B1097" s="101" t="s">
        <v>402</v>
      </c>
      <c r="C1097" s="102" t="s">
        <v>76</v>
      </c>
      <c r="D1097" s="103" t="s">
        <v>130</v>
      </c>
      <c r="E1097" s="104">
        <v>20063</v>
      </c>
      <c r="F1097" s="104">
        <v>372</v>
      </c>
      <c r="G1097" s="104">
        <v>2207</v>
      </c>
      <c r="H1097" s="116">
        <v>41.485570361857448</v>
      </c>
      <c r="I1097" s="126">
        <v>26703</v>
      </c>
      <c r="J1097" s="117">
        <v>37.585365819303242</v>
      </c>
    </row>
    <row r="1098" spans="1:10" ht="16">
      <c r="A1098" s="93" t="s">
        <v>983</v>
      </c>
      <c r="B1098" s="94" t="s">
        <v>977</v>
      </c>
      <c r="C1098" s="95" t="s">
        <v>76</v>
      </c>
      <c r="D1098" s="96" t="s">
        <v>92</v>
      </c>
      <c r="E1098" s="97">
        <v>35086</v>
      </c>
      <c r="F1098" s="97">
        <v>1595</v>
      </c>
      <c r="G1098" s="97">
        <v>2807</v>
      </c>
      <c r="H1098" s="114">
        <v>30.826812143309553</v>
      </c>
      <c r="I1098" s="125">
        <v>10000</v>
      </c>
      <c r="J1098" s="115">
        <v>25.853562833553578</v>
      </c>
    </row>
    <row r="1099" spans="1:10" ht="16">
      <c r="A1099" s="100" t="s">
        <v>904</v>
      </c>
      <c r="B1099" s="101" t="s">
        <v>905</v>
      </c>
      <c r="C1099" s="102" t="s">
        <v>76</v>
      </c>
      <c r="D1099" s="103" t="s">
        <v>61</v>
      </c>
      <c r="E1099" s="104">
        <v>49713</v>
      </c>
      <c r="F1099" s="104">
        <v>3576</v>
      </c>
      <c r="G1099" s="104">
        <v>497</v>
      </c>
      <c r="H1099" s="116">
        <v>9.3947163545299173</v>
      </c>
      <c r="I1099" s="126">
        <v>3764</v>
      </c>
      <c r="J1099" s="117">
        <v>18.119512813897952</v>
      </c>
    </row>
    <row r="1100" spans="1:10" ht="16">
      <c r="A1100" s="93" t="s">
        <v>114</v>
      </c>
      <c r="B1100" s="94" t="s">
        <v>89</v>
      </c>
      <c r="C1100" s="95" t="s">
        <v>76</v>
      </c>
      <c r="D1100" s="96" t="s">
        <v>82</v>
      </c>
      <c r="E1100" s="97">
        <v>39144</v>
      </c>
      <c r="F1100" s="97">
        <v>1096</v>
      </c>
      <c r="G1100" s="97">
        <v>13309</v>
      </c>
      <c r="H1100" s="114">
        <v>58.982662133942164</v>
      </c>
      <c r="I1100" s="125">
        <v>51037</v>
      </c>
      <c r="J1100" s="115">
        <v>49.488936515535762</v>
      </c>
    </row>
    <row r="1101" spans="1:10" ht="16">
      <c r="A1101" s="100" t="s">
        <v>1270</v>
      </c>
      <c r="B1101" s="101" t="s">
        <v>1190</v>
      </c>
      <c r="C1101" s="102" t="s">
        <v>76</v>
      </c>
      <c r="D1101" s="103" t="s">
        <v>59</v>
      </c>
      <c r="E1101" s="104">
        <v>14107</v>
      </c>
      <c r="F1101" s="104">
        <v>947</v>
      </c>
      <c r="G1101" s="104">
        <v>4373</v>
      </c>
      <c r="H1101" s="116">
        <v>36.031434269457534</v>
      </c>
      <c r="I1101" s="126">
        <v>27168</v>
      </c>
      <c r="J1101" s="117">
        <v>32.492473490634239</v>
      </c>
    </row>
    <row r="1102" spans="1:10" ht="16">
      <c r="A1102" s="93" t="s">
        <v>203</v>
      </c>
      <c r="B1102" s="94" t="s">
        <v>184</v>
      </c>
      <c r="C1102" s="95" t="s">
        <v>76</v>
      </c>
      <c r="D1102" s="96" t="s">
        <v>61</v>
      </c>
      <c r="E1102" s="97">
        <v>12935</v>
      </c>
      <c r="F1102" s="97">
        <v>553</v>
      </c>
      <c r="G1102" s="97">
        <v>2846</v>
      </c>
      <c r="H1102" s="114">
        <v>16.107905971779505</v>
      </c>
      <c r="I1102" s="125">
        <v>7114</v>
      </c>
      <c r="J1102" s="115">
        <v>16.802982815724906</v>
      </c>
    </row>
    <row r="1103" spans="1:10" ht="16">
      <c r="A1103" s="100" t="s">
        <v>396</v>
      </c>
      <c r="B1103" s="101" t="s">
        <v>377</v>
      </c>
      <c r="C1103" s="102" t="s">
        <v>76</v>
      </c>
      <c r="D1103" s="103" t="s">
        <v>61</v>
      </c>
      <c r="E1103" s="104">
        <v>28351</v>
      </c>
      <c r="F1103" s="104">
        <v>1575</v>
      </c>
      <c r="G1103" s="104">
        <v>3402</v>
      </c>
      <c r="H1103" s="116">
        <v>15.830054690647572</v>
      </c>
      <c r="I1103" s="126">
        <v>7977</v>
      </c>
      <c r="J1103" s="117">
        <v>21.369148552091257</v>
      </c>
    </row>
    <row r="1104" spans="1:10" ht="16">
      <c r="A1104" s="93" t="s">
        <v>1429</v>
      </c>
      <c r="B1104" s="94" t="s">
        <v>1288</v>
      </c>
      <c r="C1104" s="95" t="s">
        <v>76</v>
      </c>
      <c r="D1104" s="96" t="s">
        <v>130</v>
      </c>
      <c r="E1104" s="97">
        <v>16569</v>
      </c>
      <c r="F1104" s="97">
        <v>858</v>
      </c>
      <c r="G1104" s="97">
        <v>497</v>
      </c>
      <c r="H1104" s="114">
        <v>18.440868464228998</v>
      </c>
      <c r="I1104" s="125">
        <v>11769</v>
      </c>
      <c r="J1104" s="115">
        <v>24.568816464404271</v>
      </c>
    </row>
    <row r="1105" spans="1:10" ht="16">
      <c r="A1105" s="100" t="s">
        <v>1430</v>
      </c>
      <c r="B1105" s="101" t="s">
        <v>1288</v>
      </c>
      <c r="C1105" s="102" t="s">
        <v>107</v>
      </c>
      <c r="D1105" s="103" t="s">
        <v>80</v>
      </c>
      <c r="E1105" s="104">
        <v>9824</v>
      </c>
      <c r="F1105" s="104">
        <v>2339</v>
      </c>
      <c r="G1105" s="104">
        <v>3045</v>
      </c>
      <c r="H1105" s="116">
        <v>30.819803784959358</v>
      </c>
      <c r="I1105" s="126">
        <v>27818</v>
      </c>
      <c r="J1105" s="117">
        <v>44.139895103586134</v>
      </c>
    </row>
    <row r="1106" spans="1:10" ht="16">
      <c r="A1106" s="93" t="s">
        <v>1271</v>
      </c>
      <c r="B1106" s="94" t="s">
        <v>1190</v>
      </c>
      <c r="C1106" s="95" t="s">
        <v>76</v>
      </c>
      <c r="D1106" s="96" t="s">
        <v>92</v>
      </c>
      <c r="E1106" s="97">
        <v>7665</v>
      </c>
      <c r="F1106" s="97">
        <v>470</v>
      </c>
      <c r="G1106" s="97">
        <v>2146</v>
      </c>
      <c r="H1106" s="114">
        <v>20.661449683390273</v>
      </c>
      <c r="I1106" s="125">
        <v>6294</v>
      </c>
      <c r="J1106" s="115">
        <v>19.678334556073711</v>
      </c>
    </row>
    <row r="1107" spans="1:10" ht="16">
      <c r="A1107" s="100" t="s">
        <v>627</v>
      </c>
      <c r="B1107" s="101" t="s">
        <v>598</v>
      </c>
      <c r="C1107" s="102" t="s">
        <v>76</v>
      </c>
      <c r="D1107" s="103" t="s">
        <v>63</v>
      </c>
      <c r="E1107" s="104">
        <v>31696</v>
      </c>
      <c r="F1107" s="104">
        <v>633</v>
      </c>
      <c r="G1107" s="104">
        <v>1585</v>
      </c>
      <c r="H1107" s="116">
        <v>22.993594041676381</v>
      </c>
      <c r="I1107" s="126">
        <v>14007</v>
      </c>
      <c r="J1107" s="117">
        <v>24.31398548560858</v>
      </c>
    </row>
    <row r="1108" spans="1:10" ht="16">
      <c r="A1108" s="93" t="s">
        <v>1047</v>
      </c>
      <c r="B1108" s="94" t="s">
        <v>1020</v>
      </c>
      <c r="C1108" s="95" t="s">
        <v>76</v>
      </c>
      <c r="D1108" s="96" t="s">
        <v>62</v>
      </c>
      <c r="E1108" s="97">
        <v>12411</v>
      </c>
      <c r="F1108" s="97">
        <v>1009</v>
      </c>
      <c r="G1108" s="97">
        <v>1365</v>
      </c>
      <c r="H1108" s="114">
        <v>21.11416903155407</v>
      </c>
      <c r="I1108" s="125">
        <v>14308</v>
      </c>
      <c r="J1108" s="115">
        <v>24.277836534930895</v>
      </c>
    </row>
    <row r="1109" spans="1:10" ht="16">
      <c r="A1109" s="100" t="s">
        <v>1048</v>
      </c>
      <c r="B1109" s="101" t="s">
        <v>1020</v>
      </c>
      <c r="C1109" s="102" t="s">
        <v>76</v>
      </c>
      <c r="D1109" s="103" t="s">
        <v>82</v>
      </c>
      <c r="E1109" s="104">
        <v>28673</v>
      </c>
      <c r="F1109" s="104">
        <v>1629</v>
      </c>
      <c r="G1109" s="104">
        <v>4588</v>
      </c>
      <c r="H1109" s="116">
        <v>18.491161317167265</v>
      </c>
      <c r="I1109" s="126">
        <v>6679</v>
      </c>
      <c r="J1109" s="117">
        <v>26.677964106160932</v>
      </c>
    </row>
    <row r="1110" spans="1:10" ht="16">
      <c r="A1110" s="93" t="s">
        <v>628</v>
      </c>
      <c r="B1110" s="94" t="s">
        <v>598</v>
      </c>
      <c r="C1110" s="95" t="s">
        <v>76</v>
      </c>
      <c r="D1110" s="96" t="s">
        <v>77</v>
      </c>
      <c r="E1110" s="97">
        <v>12040</v>
      </c>
      <c r="F1110" s="97">
        <v>405</v>
      </c>
      <c r="G1110" s="97">
        <v>120</v>
      </c>
      <c r="H1110" s="114">
        <v>21.081840858076767</v>
      </c>
      <c r="I1110" s="125">
        <v>11911</v>
      </c>
      <c r="J1110" s="115">
        <v>28.126266296145666</v>
      </c>
    </row>
    <row r="1111" spans="1:10" ht="16">
      <c r="A1111" s="100" t="s">
        <v>629</v>
      </c>
      <c r="B1111" s="101" t="s">
        <v>598</v>
      </c>
      <c r="C1111" s="102" t="s">
        <v>76</v>
      </c>
      <c r="D1111" s="103" t="s">
        <v>84</v>
      </c>
      <c r="E1111" s="104">
        <v>24290</v>
      </c>
      <c r="F1111" s="104">
        <v>941</v>
      </c>
      <c r="G1111" s="104">
        <v>486</v>
      </c>
      <c r="H1111" s="116">
        <v>19.570873566441406</v>
      </c>
      <c r="I1111" s="126">
        <v>18371</v>
      </c>
      <c r="J1111" s="117">
        <v>20.27890157240418</v>
      </c>
    </row>
    <row r="1112" spans="1:10" ht="16">
      <c r="A1112" s="93" t="s">
        <v>1272</v>
      </c>
      <c r="B1112" s="94" t="s">
        <v>1190</v>
      </c>
      <c r="C1112" s="95" t="s">
        <v>76</v>
      </c>
      <c r="D1112" s="96" t="s">
        <v>82</v>
      </c>
      <c r="E1112" s="97">
        <v>15356</v>
      </c>
      <c r="F1112" s="97">
        <v>903</v>
      </c>
      <c r="G1112" s="97">
        <v>3378</v>
      </c>
      <c r="H1112" s="114">
        <v>15.113916123740324</v>
      </c>
      <c r="I1112" s="125">
        <v>5759</v>
      </c>
      <c r="J1112" s="115">
        <v>18.790304015757563</v>
      </c>
    </row>
    <row r="1113" spans="1:10" ht="16">
      <c r="A1113" s="100" t="s">
        <v>1049</v>
      </c>
      <c r="B1113" s="101" t="s">
        <v>1020</v>
      </c>
      <c r="C1113" s="102" t="s">
        <v>76</v>
      </c>
      <c r="D1113" s="103" t="s">
        <v>62</v>
      </c>
      <c r="E1113" s="104">
        <v>25455</v>
      </c>
      <c r="F1113" s="104">
        <v>1675</v>
      </c>
      <c r="G1113" s="104">
        <v>2036</v>
      </c>
      <c r="H1113" s="116">
        <v>17.15568961739308</v>
      </c>
      <c r="I1113" s="126">
        <v>7865</v>
      </c>
      <c r="J1113" s="117">
        <v>22.332688546746134</v>
      </c>
    </row>
    <row r="1114" spans="1:10" ht="16">
      <c r="A1114" s="93" t="s">
        <v>219</v>
      </c>
      <c r="B1114" s="94" t="s">
        <v>212</v>
      </c>
      <c r="C1114" s="95" t="s">
        <v>107</v>
      </c>
      <c r="D1114" s="96" t="s">
        <v>82</v>
      </c>
      <c r="E1114" s="97">
        <v>22818</v>
      </c>
      <c r="F1114" s="97">
        <v>939</v>
      </c>
      <c r="G1114" s="97">
        <v>456</v>
      </c>
      <c r="H1114" s="114">
        <v>14.518121615607168</v>
      </c>
      <c r="I1114" s="125">
        <v>1743</v>
      </c>
      <c r="J1114" s="115">
        <v>16.976231605664008</v>
      </c>
    </row>
    <row r="1115" spans="1:10" ht="16">
      <c r="A1115" s="100" t="s">
        <v>869</v>
      </c>
      <c r="B1115" s="101" t="s">
        <v>858</v>
      </c>
      <c r="C1115" s="102" t="s">
        <v>76</v>
      </c>
      <c r="D1115" s="103" t="s">
        <v>82</v>
      </c>
      <c r="E1115" s="104">
        <v>26206</v>
      </c>
      <c r="F1115" s="104">
        <v>771</v>
      </c>
      <c r="G1115" s="104">
        <v>1824</v>
      </c>
      <c r="H1115" s="116">
        <v>9.1671809759957732</v>
      </c>
      <c r="I1115" s="126">
        <v>877</v>
      </c>
      <c r="J1115" s="117">
        <v>11.805437146596823</v>
      </c>
    </row>
    <row r="1116" spans="1:10" ht="16">
      <c r="A1116" s="93" t="s">
        <v>204</v>
      </c>
      <c r="B1116" s="94" t="s">
        <v>184</v>
      </c>
      <c r="C1116" s="95" t="s">
        <v>76</v>
      </c>
      <c r="D1116" s="96" t="s">
        <v>62</v>
      </c>
      <c r="E1116" s="97">
        <v>17194</v>
      </c>
      <c r="F1116" s="97">
        <v>971</v>
      </c>
      <c r="G1116" s="97">
        <v>3439</v>
      </c>
      <c r="H1116" s="114">
        <v>27.571065464916089</v>
      </c>
      <c r="I1116" s="125">
        <v>13055</v>
      </c>
      <c r="J1116" s="115">
        <v>36.401690500744991</v>
      </c>
    </row>
    <row r="1117" spans="1:10" ht="16">
      <c r="A1117" s="100" t="s">
        <v>630</v>
      </c>
      <c r="B1117" s="101" t="s">
        <v>598</v>
      </c>
      <c r="C1117" s="102" t="s">
        <v>76</v>
      </c>
      <c r="D1117" s="103" t="s">
        <v>62</v>
      </c>
      <c r="E1117" s="104">
        <v>12993</v>
      </c>
      <c r="F1117" s="104">
        <v>539</v>
      </c>
      <c r="G1117" s="104">
        <v>260</v>
      </c>
      <c r="H1117" s="116">
        <v>17.815622977645699</v>
      </c>
      <c r="I1117" s="126">
        <v>8284</v>
      </c>
      <c r="J1117" s="117">
        <v>22.733058338733855</v>
      </c>
    </row>
    <row r="1118" spans="1:10" ht="16">
      <c r="A1118" s="93" t="s">
        <v>290</v>
      </c>
      <c r="B1118" s="94" t="s">
        <v>223</v>
      </c>
      <c r="C1118" s="95" t="s">
        <v>107</v>
      </c>
      <c r="D1118" s="96" t="s">
        <v>63</v>
      </c>
      <c r="E1118" s="97">
        <v>24232</v>
      </c>
      <c r="F1118" s="97">
        <v>1648</v>
      </c>
      <c r="G1118" s="97">
        <v>969</v>
      </c>
      <c r="H1118" s="114">
        <v>25.367809628278614</v>
      </c>
      <c r="I1118" s="125">
        <v>7465</v>
      </c>
      <c r="J1118" s="115">
        <v>27.497716012832921</v>
      </c>
    </row>
    <row r="1119" spans="1:10" ht="16">
      <c r="A1119" s="100" t="s">
        <v>291</v>
      </c>
      <c r="B1119" s="101" t="s">
        <v>223</v>
      </c>
      <c r="C1119" s="102" t="s">
        <v>107</v>
      </c>
      <c r="D1119" s="103" t="s">
        <v>92</v>
      </c>
      <c r="E1119" s="104">
        <v>16245</v>
      </c>
      <c r="F1119" s="104">
        <v>2110</v>
      </c>
      <c r="G1119" s="104">
        <v>650</v>
      </c>
      <c r="H1119" s="116">
        <v>59.763027144939372</v>
      </c>
      <c r="I1119" s="126">
        <v>44515</v>
      </c>
      <c r="J1119" s="117">
        <v>64.922810686517607</v>
      </c>
    </row>
    <row r="1120" spans="1:10" ht="16">
      <c r="A1120" s="93" t="s">
        <v>79</v>
      </c>
      <c r="B1120" s="94" t="s">
        <v>75</v>
      </c>
      <c r="C1120" s="95" t="s">
        <v>76</v>
      </c>
      <c r="D1120" s="96" t="s">
        <v>80</v>
      </c>
      <c r="E1120" s="97">
        <v>22049</v>
      </c>
      <c r="F1120" s="97">
        <v>1885</v>
      </c>
      <c r="G1120" s="97">
        <v>441</v>
      </c>
      <c r="H1120" s="114">
        <v>7.3511050703012462</v>
      </c>
      <c r="I1120" s="125">
        <v>591</v>
      </c>
      <c r="J1120" s="115">
        <v>19.507406503244926</v>
      </c>
    </row>
    <row r="1121" spans="1:10" ht="16">
      <c r="A1121" s="100" t="s">
        <v>81</v>
      </c>
      <c r="B1121" s="101" t="s">
        <v>75</v>
      </c>
      <c r="C1121" s="102" t="s">
        <v>76</v>
      </c>
      <c r="D1121" s="103" t="s">
        <v>82</v>
      </c>
      <c r="E1121" s="104">
        <v>41865</v>
      </c>
      <c r="F1121" s="104">
        <v>1861</v>
      </c>
      <c r="G1121" s="104">
        <v>419</v>
      </c>
      <c r="H1121" s="116">
        <v>7.8062439640206192</v>
      </c>
      <c r="I1121" s="126">
        <v>707</v>
      </c>
      <c r="J1121" s="117">
        <v>16.604621918849467</v>
      </c>
    </row>
    <row r="1122" spans="1:10" ht="16">
      <c r="A1122" s="93" t="s">
        <v>1015</v>
      </c>
      <c r="B1122" s="94" t="s">
        <v>988</v>
      </c>
      <c r="C1122" s="95" t="s">
        <v>76</v>
      </c>
      <c r="D1122" s="96" t="s">
        <v>61</v>
      </c>
      <c r="E1122" s="97">
        <v>8807</v>
      </c>
      <c r="F1122" s="97">
        <v>531</v>
      </c>
      <c r="G1122" s="97">
        <v>440</v>
      </c>
      <c r="H1122" s="114">
        <v>18.362533864451198</v>
      </c>
      <c r="I1122" s="125">
        <v>4579</v>
      </c>
      <c r="J1122" s="115">
        <v>22.609332585045724</v>
      </c>
    </row>
    <row r="1123" spans="1:10" ht="16">
      <c r="A1123" s="100" t="s">
        <v>1050</v>
      </c>
      <c r="B1123" s="101" t="s">
        <v>1020</v>
      </c>
      <c r="C1123" s="102" t="s">
        <v>76</v>
      </c>
      <c r="D1123" s="103" t="s">
        <v>82</v>
      </c>
      <c r="E1123" s="104">
        <v>62811</v>
      </c>
      <c r="F1123" s="104">
        <v>3049</v>
      </c>
      <c r="G1123" s="104">
        <v>3769</v>
      </c>
      <c r="H1123" s="116">
        <v>18.793050134555209</v>
      </c>
      <c r="I1123" s="126">
        <v>6890</v>
      </c>
      <c r="J1123" s="117">
        <v>26.280239058511299</v>
      </c>
    </row>
    <row r="1124" spans="1:10" ht="16">
      <c r="A1124" s="93" t="s">
        <v>1138</v>
      </c>
      <c r="B1124" s="94" t="s">
        <v>1135</v>
      </c>
      <c r="C1124" s="95" t="s">
        <v>76</v>
      </c>
      <c r="D1124" s="96" t="s">
        <v>130</v>
      </c>
      <c r="E1124" s="97">
        <v>32178</v>
      </c>
      <c r="F1124" s="97">
        <v>2384</v>
      </c>
      <c r="G1124" s="97">
        <v>322</v>
      </c>
      <c r="H1124" s="114">
        <v>10.88069256552156</v>
      </c>
      <c r="I1124" s="125">
        <v>1896</v>
      </c>
      <c r="J1124" s="115">
        <v>29.720889736063103</v>
      </c>
    </row>
    <row r="1125" spans="1:10" ht="16">
      <c r="A1125" s="100" t="s">
        <v>1188</v>
      </c>
      <c r="B1125" s="101" t="s">
        <v>1185</v>
      </c>
      <c r="C1125" s="102" t="s">
        <v>76</v>
      </c>
      <c r="D1125" s="103" t="s">
        <v>82</v>
      </c>
      <c r="E1125" s="104">
        <v>14286</v>
      </c>
      <c r="F1125" s="104">
        <v>687</v>
      </c>
      <c r="G1125" s="104">
        <v>8572</v>
      </c>
      <c r="H1125" s="116">
        <v>11.990804997845393</v>
      </c>
      <c r="I1125" s="126">
        <v>4675</v>
      </c>
      <c r="J1125" s="117">
        <v>19.616742188042718</v>
      </c>
    </row>
    <row r="1126" spans="1:10" ht="16">
      <c r="A1126" s="93" t="s">
        <v>1273</v>
      </c>
      <c r="B1126" s="94" t="s">
        <v>1190</v>
      </c>
      <c r="C1126" s="95" t="s">
        <v>107</v>
      </c>
      <c r="D1126" s="96" t="s">
        <v>63</v>
      </c>
      <c r="E1126" s="97">
        <v>26218</v>
      </c>
      <c r="F1126" s="97">
        <v>1748</v>
      </c>
      <c r="G1126" s="97">
        <v>8914</v>
      </c>
      <c r="H1126" s="114">
        <v>46.685667201332812</v>
      </c>
      <c r="I1126" s="125">
        <v>38595</v>
      </c>
      <c r="J1126" s="115">
        <v>45.880961965290524</v>
      </c>
    </row>
    <row r="1127" spans="1:10" ht="16">
      <c r="A1127" s="100" t="s">
        <v>741</v>
      </c>
      <c r="B1127" s="101" t="s">
        <v>642</v>
      </c>
      <c r="C1127" s="102" t="s">
        <v>76</v>
      </c>
      <c r="D1127" s="103" t="s">
        <v>84</v>
      </c>
      <c r="E1127" s="104">
        <v>3002</v>
      </c>
      <c r="F1127" s="104">
        <v>259</v>
      </c>
      <c r="G1127" s="104">
        <v>90</v>
      </c>
      <c r="H1127" s="116">
        <v>12.049813109690446</v>
      </c>
      <c r="I1127" s="126">
        <v>1621</v>
      </c>
      <c r="J1127" s="117">
        <v>21.762012103221668</v>
      </c>
    </row>
    <row r="1128" spans="1:10" ht="16">
      <c r="A1128" s="93" t="s">
        <v>442</v>
      </c>
      <c r="B1128" s="94" t="s">
        <v>402</v>
      </c>
      <c r="C1128" s="95" t="s">
        <v>107</v>
      </c>
      <c r="D1128" s="96" t="s">
        <v>82</v>
      </c>
      <c r="E1128" s="97">
        <v>19268</v>
      </c>
      <c r="F1128" s="97">
        <v>456</v>
      </c>
      <c r="G1128" s="97">
        <v>2312</v>
      </c>
      <c r="H1128" s="114">
        <v>25.696504641808218</v>
      </c>
      <c r="I1128" s="125">
        <v>14497</v>
      </c>
      <c r="J1128" s="115">
        <v>21.767992401142717</v>
      </c>
    </row>
    <row r="1129" spans="1:10" ht="16">
      <c r="A1129" s="100" t="s">
        <v>631</v>
      </c>
      <c r="B1129" s="101" t="s">
        <v>598</v>
      </c>
      <c r="C1129" s="102" t="s">
        <v>76</v>
      </c>
      <c r="D1129" s="103" t="s">
        <v>82</v>
      </c>
      <c r="E1129" s="104">
        <v>12636</v>
      </c>
      <c r="F1129" s="104">
        <v>854</v>
      </c>
      <c r="G1129" s="104">
        <v>1011</v>
      </c>
      <c r="H1129" s="116">
        <v>21.862972236846325</v>
      </c>
      <c r="I1129" s="126">
        <v>14677</v>
      </c>
      <c r="J1129" s="117">
        <v>38.777336929860418</v>
      </c>
    </row>
    <row r="1130" spans="1:10" ht="16">
      <c r="A1130" s="93" t="s">
        <v>888</v>
      </c>
      <c r="B1130" s="94" t="s">
        <v>879</v>
      </c>
      <c r="C1130" s="95" t="s">
        <v>76</v>
      </c>
      <c r="D1130" s="96" t="s">
        <v>62</v>
      </c>
      <c r="E1130" s="97">
        <v>24174</v>
      </c>
      <c r="F1130" s="97">
        <v>1889</v>
      </c>
      <c r="G1130" s="97">
        <v>725</v>
      </c>
      <c r="H1130" s="114">
        <v>9.3822128485960299</v>
      </c>
      <c r="I1130" s="125">
        <v>1767</v>
      </c>
      <c r="J1130" s="115">
        <v>18.211813213164959</v>
      </c>
    </row>
    <row r="1131" spans="1:10" ht="16">
      <c r="A1131" s="100" t="s">
        <v>810</v>
      </c>
      <c r="B1131" s="101" t="s">
        <v>798</v>
      </c>
      <c r="C1131" s="102" t="s">
        <v>76</v>
      </c>
      <c r="D1131" s="103" t="s">
        <v>84</v>
      </c>
      <c r="E1131" s="104">
        <v>29921</v>
      </c>
      <c r="F1131" s="104">
        <v>1432</v>
      </c>
      <c r="G1131" s="104">
        <v>299</v>
      </c>
      <c r="H1131" s="116">
        <v>7.525037118922695</v>
      </c>
      <c r="I1131" s="126">
        <v>774</v>
      </c>
      <c r="J1131" s="117">
        <v>14.466179793119188</v>
      </c>
    </row>
    <row r="1132" spans="1:10" ht="16">
      <c r="A1132" s="93" t="s">
        <v>1139</v>
      </c>
      <c r="B1132" s="94" t="s">
        <v>1135</v>
      </c>
      <c r="C1132" s="95" t="s">
        <v>76</v>
      </c>
      <c r="D1132" s="96" t="s">
        <v>84</v>
      </c>
      <c r="E1132" s="97">
        <v>25335</v>
      </c>
      <c r="F1132" s="97">
        <v>2282</v>
      </c>
      <c r="G1132" s="97">
        <v>253</v>
      </c>
      <c r="H1132" s="114">
        <v>8.7839635250207149</v>
      </c>
      <c r="I1132" s="125">
        <v>1141</v>
      </c>
      <c r="J1132" s="115">
        <v>23.224567951152423</v>
      </c>
    </row>
    <row r="1133" spans="1:10" ht="16">
      <c r="A1133" s="100" t="s">
        <v>984</v>
      </c>
      <c r="B1133" s="101" t="s">
        <v>977</v>
      </c>
      <c r="C1133" s="102" t="s">
        <v>76</v>
      </c>
      <c r="D1133" s="103" t="s">
        <v>61</v>
      </c>
      <c r="E1133" s="104">
        <v>193874</v>
      </c>
      <c r="F1133" s="104">
        <v>1249</v>
      </c>
      <c r="G1133" s="104">
        <v>13571</v>
      </c>
      <c r="H1133" s="116">
        <v>19.949071218124125</v>
      </c>
      <c r="I1133" s="126">
        <v>2869</v>
      </c>
      <c r="J1133" s="117">
        <v>22.684777930457933</v>
      </c>
    </row>
    <row r="1134" spans="1:10" ht="16">
      <c r="A1134" s="93" t="s">
        <v>115</v>
      </c>
      <c r="B1134" s="94" t="s">
        <v>89</v>
      </c>
      <c r="C1134" s="95" t="s">
        <v>76</v>
      </c>
      <c r="D1134" s="96" t="s">
        <v>60</v>
      </c>
      <c r="E1134" s="97">
        <v>20268</v>
      </c>
      <c r="F1134" s="97">
        <v>665</v>
      </c>
      <c r="G1134" s="97">
        <v>5067</v>
      </c>
      <c r="H1134" s="114">
        <v>40.028997696838353</v>
      </c>
      <c r="I1134" s="125">
        <v>26019</v>
      </c>
      <c r="J1134" s="115">
        <v>32.045070162332216</v>
      </c>
    </row>
    <row r="1135" spans="1:10" ht="16">
      <c r="A1135" s="100" t="s">
        <v>1431</v>
      </c>
      <c r="B1135" s="101" t="s">
        <v>1288</v>
      </c>
      <c r="C1135" s="102" t="s">
        <v>76</v>
      </c>
      <c r="D1135" s="103" t="s">
        <v>61</v>
      </c>
      <c r="E1135" s="104">
        <v>32291</v>
      </c>
      <c r="F1135" s="104">
        <v>1993</v>
      </c>
      <c r="G1135" s="104">
        <v>1615</v>
      </c>
      <c r="H1135" s="116">
        <v>26.00881096929918</v>
      </c>
      <c r="I1135" s="126">
        <v>16334</v>
      </c>
      <c r="J1135" s="117">
        <v>33.22090603967343</v>
      </c>
    </row>
    <row r="1136" spans="1:10" ht="16">
      <c r="A1136" s="93" t="s">
        <v>292</v>
      </c>
      <c r="B1136" s="94" t="s">
        <v>223</v>
      </c>
      <c r="C1136" s="95" t="s">
        <v>76</v>
      </c>
      <c r="D1136" s="96" t="s">
        <v>84</v>
      </c>
      <c r="E1136" s="97">
        <v>21401</v>
      </c>
      <c r="F1136" s="97">
        <v>2140</v>
      </c>
      <c r="G1136" s="97">
        <v>1473</v>
      </c>
      <c r="H1136" s="114">
        <v>10.560630981295175</v>
      </c>
      <c r="I1136" s="125">
        <v>1134</v>
      </c>
      <c r="J1136" s="115">
        <v>20.130168103124973</v>
      </c>
    </row>
    <row r="1137" spans="1:10" ht="16">
      <c r="A1137" s="100" t="s">
        <v>1432</v>
      </c>
      <c r="B1137" s="101" t="s">
        <v>1288</v>
      </c>
      <c r="C1137" s="102" t="s">
        <v>76</v>
      </c>
      <c r="D1137" s="103" t="s">
        <v>84</v>
      </c>
      <c r="E1137" s="104">
        <v>14542</v>
      </c>
      <c r="F1137" s="104">
        <v>414</v>
      </c>
      <c r="G1137" s="104">
        <v>436</v>
      </c>
      <c r="H1137" s="116">
        <v>15.752699748825195</v>
      </c>
      <c r="I1137" s="126">
        <v>7385</v>
      </c>
      <c r="J1137" s="117">
        <v>31.508886410769176</v>
      </c>
    </row>
    <row r="1138" spans="1:10" ht="16">
      <c r="A1138" s="93" t="s">
        <v>1433</v>
      </c>
      <c r="B1138" s="94" t="s">
        <v>1288</v>
      </c>
      <c r="C1138" s="95" t="s">
        <v>76</v>
      </c>
      <c r="D1138" s="96" t="s">
        <v>62</v>
      </c>
      <c r="E1138" s="97">
        <v>33885</v>
      </c>
      <c r="F1138" s="97">
        <v>1793</v>
      </c>
      <c r="G1138" s="97">
        <v>4744</v>
      </c>
      <c r="H1138" s="114">
        <v>34.278085198634805</v>
      </c>
      <c r="I1138" s="125">
        <v>29988</v>
      </c>
      <c r="J1138" s="115">
        <v>30.611513420383012</v>
      </c>
    </row>
    <row r="1139" spans="1:10" ht="16">
      <c r="A1139" s="100" t="s">
        <v>1274</v>
      </c>
      <c r="B1139" s="101" t="s">
        <v>1190</v>
      </c>
      <c r="C1139" s="102" t="s">
        <v>76</v>
      </c>
      <c r="D1139" s="103" t="s">
        <v>80</v>
      </c>
      <c r="E1139" s="104">
        <v>15664</v>
      </c>
      <c r="F1139" s="104">
        <v>1058</v>
      </c>
      <c r="G1139" s="104">
        <v>2976</v>
      </c>
      <c r="H1139" s="116">
        <v>10.152782816167171</v>
      </c>
      <c r="I1139" s="126">
        <v>2614</v>
      </c>
      <c r="J1139" s="117">
        <v>16.549939313991651</v>
      </c>
    </row>
    <row r="1140" spans="1:10" ht="16">
      <c r="A1140" s="93" t="s">
        <v>1275</v>
      </c>
      <c r="B1140" s="94" t="s">
        <v>1190</v>
      </c>
      <c r="C1140" s="95" t="s">
        <v>76</v>
      </c>
      <c r="D1140" s="96" t="s">
        <v>60</v>
      </c>
      <c r="E1140" s="97">
        <v>23863</v>
      </c>
      <c r="F1140" s="97">
        <v>1742</v>
      </c>
      <c r="G1140" s="97">
        <v>8113</v>
      </c>
      <c r="H1140" s="114">
        <v>44.400867584557631</v>
      </c>
      <c r="I1140" s="125">
        <v>39071</v>
      </c>
      <c r="J1140" s="115">
        <v>40.780392125090046</v>
      </c>
    </row>
    <row r="1141" spans="1:10" ht="16">
      <c r="A1141" s="100" t="s">
        <v>1434</v>
      </c>
      <c r="B1141" s="101" t="s">
        <v>1288</v>
      </c>
      <c r="C1141" s="102" t="s">
        <v>76</v>
      </c>
      <c r="D1141" s="103" t="s">
        <v>82</v>
      </c>
      <c r="E1141" s="104">
        <v>36929</v>
      </c>
      <c r="F1141" s="104">
        <v>3156</v>
      </c>
      <c r="G1141" s="104">
        <v>9232</v>
      </c>
      <c r="H1141" s="116">
        <v>59.465876649409466</v>
      </c>
      <c r="I1141" s="126">
        <v>55215</v>
      </c>
      <c r="J1141" s="117">
        <v>55.308672746896086</v>
      </c>
    </row>
    <row r="1142" spans="1:10" ht="16">
      <c r="A1142" s="93" t="s">
        <v>342</v>
      </c>
      <c r="B1142" s="94" t="s">
        <v>336</v>
      </c>
      <c r="C1142" s="95" t="s">
        <v>76</v>
      </c>
      <c r="D1142" s="96" t="s">
        <v>63</v>
      </c>
      <c r="E1142" s="97">
        <v>21281</v>
      </c>
      <c r="F1142" s="97">
        <v>1759</v>
      </c>
      <c r="G1142" s="97">
        <v>3618</v>
      </c>
      <c r="H1142" s="114">
        <v>28.44656093899901</v>
      </c>
      <c r="I1142" s="125">
        <v>24070</v>
      </c>
      <c r="J1142" s="115">
        <v>21.502717875102086</v>
      </c>
    </row>
    <row r="1143" spans="1:10" ht="16">
      <c r="A1143" s="100" t="s">
        <v>116</v>
      </c>
      <c r="B1143" s="101" t="s">
        <v>89</v>
      </c>
      <c r="C1143" s="102" t="s">
        <v>76</v>
      </c>
      <c r="D1143" s="103" t="s">
        <v>63</v>
      </c>
      <c r="E1143" s="104">
        <v>12405</v>
      </c>
      <c r="F1143" s="104">
        <v>481</v>
      </c>
      <c r="G1143" s="104">
        <v>1861</v>
      </c>
      <c r="H1143" s="116">
        <v>20.71581250676569</v>
      </c>
      <c r="I1143" s="126">
        <v>10982</v>
      </c>
      <c r="J1143" s="117">
        <v>19.485380517875345</v>
      </c>
    </row>
    <row r="1144" spans="1:10" ht="16">
      <c r="A1144" s="93" t="s">
        <v>313</v>
      </c>
      <c r="B1144" s="94" t="s">
        <v>314</v>
      </c>
      <c r="C1144" s="95" t="s">
        <v>107</v>
      </c>
      <c r="D1144" s="96" t="s">
        <v>60</v>
      </c>
      <c r="E1144" s="97">
        <v>20043</v>
      </c>
      <c r="F1144" s="97">
        <v>891</v>
      </c>
      <c r="G1144" s="97">
        <v>401</v>
      </c>
      <c r="H1144" s="114">
        <v>12.808662074394705</v>
      </c>
      <c r="I1144" s="125">
        <v>7089</v>
      </c>
      <c r="J1144" s="115">
        <v>16.14227728845913</v>
      </c>
    </row>
    <row r="1145" spans="1:10" ht="16">
      <c r="A1145" s="100" t="s">
        <v>1276</v>
      </c>
      <c r="B1145" s="101" t="s">
        <v>1190</v>
      </c>
      <c r="C1145" s="102" t="s">
        <v>76</v>
      </c>
      <c r="D1145" s="103" t="s">
        <v>82</v>
      </c>
      <c r="E1145" s="104">
        <v>9213</v>
      </c>
      <c r="F1145" s="104">
        <v>725</v>
      </c>
      <c r="G1145" s="104">
        <v>4238</v>
      </c>
      <c r="H1145" s="116">
        <v>41.836230752636965</v>
      </c>
      <c r="I1145" s="126">
        <v>28430</v>
      </c>
      <c r="J1145" s="117">
        <v>42.348638286017909</v>
      </c>
    </row>
    <row r="1146" spans="1:10" ht="16">
      <c r="A1146" s="93" t="s">
        <v>1078</v>
      </c>
      <c r="B1146" s="94" t="s">
        <v>1072</v>
      </c>
      <c r="C1146" s="95" t="s">
        <v>107</v>
      </c>
      <c r="D1146" s="96" t="s">
        <v>130</v>
      </c>
      <c r="E1146" s="97">
        <v>7579</v>
      </c>
      <c r="F1146" s="97">
        <v>642</v>
      </c>
      <c r="G1146" s="97">
        <v>2577</v>
      </c>
      <c r="H1146" s="114">
        <v>19.90342631316156</v>
      </c>
      <c r="I1146" s="125">
        <v>11654</v>
      </c>
      <c r="J1146" s="115">
        <v>31.093008424321592</v>
      </c>
    </row>
    <row r="1147" spans="1:10" ht="16">
      <c r="A1147" s="100" t="s">
        <v>1277</v>
      </c>
      <c r="B1147" s="101" t="s">
        <v>1190</v>
      </c>
      <c r="C1147" s="102" t="s">
        <v>76</v>
      </c>
      <c r="D1147" s="103" t="s">
        <v>62</v>
      </c>
      <c r="E1147" s="104">
        <v>9250</v>
      </c>
      <c r="F1147" s="104">
        <v>585</v>
      </c>
      <c r="G1147" s="104">
        <v>2128</v>
      </c>
      <c r="H1147" s="116">
        <v>26.191495958007735</v>
      </c>
      <c r="I1147" s="126">
        <v>19176</v>
      </c>
      <c r="J1147" s="117">
        <v>24.563504445212999</v>
      </c>
    </row>
    <row r="1148" spans="1:10" ht="16">
      <c r="A1148" s="93" t="s">
        <v>397</v>
      </c>
      <c r="B1148" s="94" t="s">
        <v>377</v>
      </c>
      <c r="C1148" s="95" t="s">
        <v>76</v>
      </c>
      <c r="D1148" s="96" t="s">
        <v>80</v>
      </c>
      <c r="E1148" s="97">
        <v>46898</v>
      </c>
      <c r="F1148" s="97">
        <v>2495</v>
      </c>
      <c r="G1148" s="97">
        <v>9380</v>
      </c>
      <c r="H1148" s="114">
        <v>21.31047234492533</v>
      </c>
      <c r="I1148" s="125">
        <v>13172</v>
      </c>
      <c r="J1148" s="115">
        <v>28.966555009099491</v>
      </c>
    </row>
    <row r="1149" spans="1:10" ht="16">
      <c r="A1149" s="100" t="s">
        <v>1278</v>
      </c>
      <c r="B1149" s="101" t="s">
        <v>1190</v>
      </c>
      <c r="C1149" s="102" t="s">
        <v>107</v>
      </c>
      <c r="D1149" s="103" t="s">
        <v>80</v>
      </c>
      <c r="E1149" s="104">
        <v>18517</v>
      </c>
      <c r="F1149" s="104">
        <v>975</v>
      </c>
      <c r="G1149" s="104">
        <v>5000</v>
      </c>
      <c r="H1149" s="116">
        <v>32.039255426378979</v>
      </c>
      <c r="I1149" s="126">
        <v>16481</v>
      </c>
      <c r="J1149" s="117">
        <v>28.479655988739331</v>
      </c>
    </row>
    <row r="1150" spans="1:10" ht="16">
      <c r="A1150" s="93" t="s">
        <v>443</v>
      </c>
      <c r="B1150" s="94" t="s">
        <v>402</v>
      </c>
      <c r="C1150" s="95" t="s">
        <v>107</v>
      </c>
      <c r="D1150" s="96" t="s">
        <v>77</v>
      </c>
      <c r="E1150" s="97">
        <v>26004</v>
      </c>
      <c r="F1150" s="97">
        <v>568</v>
      </c>
      <c r="G1150" s="97">
        <v>5201</v>
      </c>
      <c r="H1150" s="114">
        <v>46.122341761031308</v>
      </c>
      <c r="I1150" s="125">
        <v>23847</v>
      </c>
      <c r="J1150" s="115">
        <v>42.297025554076747</v>
      </c>
    </row>
    <row r="1151" spans="1:10" ht="16">
      <c r="A1151" s="100" t="s">
        <v>1279</v>
      </c>
      <c r="B1151" s="101" t="s">
        <v>1190</v>
      </c>
      <c r="C1151" s="102" t="s">
        <v>76</v>
      </c>
      <c r="D1151" s="103" t="s">
        <v>77</v>
      </c>
      <c r="E1151" s="104">
        <v>13125</v>
      </c>
      <c r="F1151" s="104">
        <v>820</v>
      </c>
      <c r="G1151" s="104">
        <v>4856</v>
      </c>
      <c r="H1151" s="116">
        <v>34.513748856855003</v>
      </c>
      <c r="I1151" s="126">
        <v>24754</v>
      </c>
      <c r="J1151" s="117">
        <v>30.6510215427665</v>
      </c>
    </row>
    <row r="1152" spans="1:10" ht="16">
      <c r="A1152" s="93" t="s">
        <v>1280</v>
      </c>
      <c r="B1152" s="94" t="s">
        <v>1190</v>
      </c>
      <c r="C1152" s="95" t="s">
        <v>76</v>
      </c>
      <c r="D1152" s="96" t="s">
        <v>63</v>
      </c>
      <c r="E1152" s="97">
        <v>14978</v>
      </c>
      <c r="F1152" s="97">
        <v>930</v>
      </c>
      <c r="G1152" s="97">
        <v>5841</v>
      </c>
      <c r="H1152" s="114">
        <v>38.754845617617349</v>
      </c>
      <c r="I1152" s="125">
        <v>34811</v>
      </c>
      <c r="J1152" s="115">
        <v>36.131966346911149</v>
      </c>
    </row>
    <row r="1153" spans="1:10" ht="16">
      <c r="A1153" s="100" t="s">
        <v>117</v>
      </c>
      <c r="B1153" s="101" t="s">
        <v>89</v>
      </c>
      <c r="C1153" s="102" t="s">
        <v>76</v>
      </c>
      <c r="D1153" s="103" t="s">
        <v>61</v>
      </c>
      <c r="E1153" s="104">
        <v>45111</v>
      </c>
      <c r="F1153" s="104">
        <v>2244</v>
      </c>
      <c r="G1153" s="104">
        <v>17593</v>
      </c>
      <c r="H1153" s="116">
        <v>62.116882469216492</v>
      </c>
      <c r="I1153" s="126">
        <v>55852</v>
      </c>
      <c r="J1153" s="117">
        <v>51.898505468339884</v>
      </c>
    </row>
    <row r="1154" spans="1:10" ht="16">
      <c r="A1154" s="93" t="s">
        <v>470</v>
      </c>
      <c r="B1154" s="94" t="s">
        <v>466</v>
      </c>
      <c r="C1154" s="95" t="s">
        <v>76</v>
      </c>
      <c r="D1154" s="96" t="s">
        <v>80</v>
      </c>
      <c r="E1154" s="97">
        <v>19700</v>
      </c>
      <c r="F1154" s="97">
        <v>1576</v>
      </c>
      <c r="G1154" s="97">
        <v>3152</v>
      </c>
      <c r="H1154" s="114">
        <v>12.895937013038624</v>
      </c>
      <c r="I1154" s="125">
        <v>4569</v>
      </c>
      <c r="J1154" s="115">
        <v>22.788323762000203</v>
      </c>
    </row>
    <row r="1155" spans="1:10" ht="16">
      <c r="A1155" s="100" t="s">
        <v>571</v>
      </c>
      <c r="B1155" s="101" t="s">
        <v>537</v>
      </c>
      <c r="C1155" s="102" t="s">
        <v>107</v>
      </c>
      <c r="D1155" s="103" t="s">
        <v>84</v>
      </c>
      <c r="E1155" s="104">
        <v>20360</v>
      </c>
      <c r="F1155" s="104">
        <v>771</v>
      </c>
      <c r="G1155" s="104">
        <v>936</v>
      </c>
      <c r="H1155" s="116">
        <v>20.245287830477213</v>
      </c>
      <c r="I1155" s="126">
        <v>8424</v>
      </c>
      <c r="J1155" s="117">
        <v>28.755523350848229</v>
      </c>
    </row>
    <row r="1156" spans="1:10" ht="16">
      <c r="A1156" s="93" t="s">
        <v>220</v>
      </c>
      <c r="B1156" s="94" t="s">
        <v>212</v>
      </c>
      <c r="C1156" s="95" t="s">
        <v>107</v>
      </c>
      <c r="D1156" s="96" t="s">
        <v>77</v>
      </c>
      <c r="E1156" s="97">
        <v>10795</v>
      </c>
      <c r="F1156" s="97">
        <v>670</v>
      </c>
      <c r="G1156" s="97">
        <v>108</v>
      </c>
      <c r="H1156" s="114">
        <v>11.537174748206677</v>
      </c>
      <c r="I1156" s="125">
        <v>3132</v>
      </c>
      <c r="J1156" s="115">
        <v>15.755170109475143</v>
      </c>
    </row>
    <row r="1157" spans="1:10" ht="16">
      <c r="A1157" s="100" t="s">
        <v>367</v>
      </c>
      <c r="B1157" s="101" t="s">
        <v>365</v>
      </c>
      <c r="C1157" s="102" t="s">
        <v>76</v>
      </c>
      <c r="D1157" s="103" t="s">
        <v>130</v>
      </c>
      <c r="E1157" s="104">
        <v>8532</v>
      </c>
      <c r="F1157" s="104">
        <v>736</v>
      </c>
      <c r="G1157" s="104">
        <v>683</v>
      </c>
      <c r="H1157" s="116">
        <v>27.90586147939711</v>
      </c>
      <c r="I1157" s="126">
        <v>22505</v>
      </c>
      <c r="J1157" s="117">
        <v>27.517187890803669</v>
      </c>
    </row>
    <row r="1158" spans="1:10" ht="16">
      <c r="A1158" s="93" t="s">
        <v>118</v>
      </c>
      <c r="B1158" s="94" t="s">
        <v>89</v>
      </c>
      <c r="C1158" s="95" t="s">
        <v>76</v>
      </c>
      <c r="D1158" s="96" t="s">
        <v>62</v>
      </c>
      <c r="E1158" s="97">
        <v>18219</v>
      </c>
      <c r="F1158" s="97">
        <v>732</v>
      </c>
      <c r="G1158" s="97">
        <v>5466</v>
      </c>
      <c r="H1158" s="114">
        <v>34.265045577091541</v>
      </c>
      <c r="I1158" s="125">
        <v>21328</v>
      </c>
      <c r="J1158" s="115">
        <v>26.941906344230052</v>
      </c>
    </row>
    <row r="1159" spans="1:10" ht="16">
      <c r="A1159" s="100" t="s">
        <v>119</v>
      </c>
      <c r="B1159" s="101" t="s">
        <v>89</v>
      </c>
      <c r="C1159" s="102" t="s">
        <v>76</v>
      </c>
      <c r="D1159" s="103" t="s">
        <v>59</v>
      </c>
      <c r="E1159" s="104">
        <v>26385</v>
      </c>
      <c r="F1159" s="104">
        <v>608</v>
      </c>
      <c r="G1159" s="104">
        <v>8971</v>
      </c>
      <c r="H1159" s="116">
        <v>42.916317179302901</v>
      </c>
      <c r="I1159" s="126">
        <v>32400</v>
      </c>
      <c r="J1159" s="117">
        <v>34.084689068164998</v>
      </c>
    </row>
    <row r="1160" spans="1:10" ht="16">
      <c r="A1160" s="93" t="s">
        <v>579</v>
      </c>
      <c r="B1160" s="94" t="s">
        <v>578</v>
      </c>
      <c r="C1160" s="95" t="s">
        <v>76</v>
      </c>
      <c r="D1160" s="96" t="s">
        <v>60</v>
      </c>
      <c r="E1160" s="97">
        <v>10450</v>
      </c>
      <c r="F1160" s="97">
        <v>1659</v>
      </c>
      <c r="G1160" s="97">
        <v>727</v>
      </c>
      <c r="H1160" s="114">
        <v>7.4358467628039913</v>
      </c>
      <c r="I1160" s="125">
        <v>1514</v>
      </c>
      <c r="J1160" s="115">
        <v>20.826724988810341</v>
      </c>
    </row>
    <row r="1161" spans="1:10" ht="16">
      <c r="A1161" s="100" t="s">
        <v>572</v>
      </c>
      <c r="B1161" s="101" t="s">
        <v>537</v>
      </c>
      <c r="C1161" s="102" t="s">
        <v>107</v>
      </c>
      <c r="D1161" s="103" t="s">
        <v>82</v>
      </c>
      <c r="E1161" s="104">
        <v>53614</v>
      </c>
      <c r="F1161" s="104">
        <v>2188</v>
      </c>
      <c r="G1161" s="104">
        <v>1072</v>
      </c>
      <c r="H1161" s="116">
        <v>24.272128644069806</v>
      </c>
      <c r="I1161" s="126">
        <v>9124</v>
      </c>
      <c r="J1161" s="117">
        <v>36.855103692245045</v>
      </c>
    </row>
    <row r="1162" spans="1:10" ht="16">
      <c r="A1162" s="93" t="s">
        <v>1435</v>
      </c>
      <c r="B1162" s="94" t="s">
        <v>1288</v>
      </c>
      <c r="C1162" s="95" t="s">
        <v>76</v>
      </c>
      <c r="D1162" s="96" t="s">
        <v>82</v>
      </c>
      <c r="E1162" s="97">
        <v>28835</v>
      </c>
      <c r="F1162" s="97">
        <v>1144</v>
      </c>
      <c r="G1162" s="97">
        <v>4325</v>
      </c>
      <c r="H1162" s="114">
        <v>18.334230550557724</v>
      </c>
      <c r="I1162" s="125">
        <v>9276</v>
      </c>
      <c r="J1162" s="115">
        <v>21.558780798758288</v>
      </c>
    </row>
    <row r="1163" spans="1:10" ht="16">
      <c r="A1163" s="100" t="s">
        <v>1436</v>
      </c>
      <c r="B1163" s="101" t="s">
        <v>1288</v>
      </c>
      <c r="C1163" s="102" t="s">
        <v>76</v>
      </c>
      <c r="D1163" s="103" t="s">
        <v>61</v>
      </c>
      <c r="E1163" s="104">
        <v>49165</v>
      </c>
      <c r="F1163" s="104">
        <v>2858</v>
      </c>
      <c r="G1163" s="104">
        <v>4917</v>
      </c>
      <c r="H1163" s="116">
        <v>76.472910607979543</v>
      </c>
      <c r="I1163" s="126">
        <v>71139</v>
      </c>
      <c r="J1163" s="117">
        <v>68.958510770528633</v>
      </c>
    </row>
    <row r="1164" spans="1:10" ht="16">
      <c r="A1164" s="93" t="s">
        <v>1437</v>
      </c>
      <c r="B1164" s="94" t="s">
        <v>1288</v>
      </c>
      <c r="C1164" s="95" t="s">
        <v>107</v>
      </c>
      <c r="D1164" s="96" t="s">
        <v>92</v>
      </c>
      <c r="E1164" s="97">
        <v>22757</v>
      </c>
      <c r="F1164" s="97">
        <v>1054</v>
      </c>
      <c r="G1164" s="97">
        <v>5689</v>
      </c>
      <c r="H1164" s="114">
        <v>29.622025914420103</v>
      </c>
      <c r="I1164" s="125">
        <v>24163</v>
      </c>
      <c r="J1164" s="115">
        <v>24.607706058262455</v>
      </c>
    </row>
    <row r="1165" spans="1:10" ht="16">
      <c r="A1165" s="100" t="s">
        <v>1438</v>
      </c>
      <c r="B1165" s="101" t="s">
        <v>1288</v>
      </c>
      <c r="C1165" s="102" t="s">
        <v>76</v>
      </c>
      <c r="D1165" s="103" t="s">
        <v>77</v>
      </c>
      <c r="E1165" s="104">
        <v>17089</v>
      </c>
      <c r="F1165" s="104">
        <v>737</v>
      </c>
      <c r="G1165" s="104">
        <v>1367</v>
      </c>
      <c r="H1165" s="116">
        <v>23.195605001854489</v>
      </c>
      <c r="I1165" s="126">
        <v>8347</v>
      </c>
      <c r="J1165" s="117">
        <v>21.628837739284013</v>
      </c>
    </row>
    <row r="1166" spans="1:10" ht="16">
      <c r="A1166" s="93" t="s">
        <v>1439</v>
      </c>
      <c r="B1166" s="94" t="s">
        <v>1288</v>
      </c>
      <c r="C1166" s="95" t="s">
        <v>76</v>
      </c>
      <c r="D1166" s="96" t="s">
        <v>80</v>
      </c>
      <c r="E1166" s="97">
        <v>24435</v>
      </c>
      <c r="F1166" s="97">
        <v>997</v>
      </c>
      <c r="G1166" s="97">
        <v>977</v>
      </c>
      <c r="H1166" s="114">
        <v>21.866036153998532</v>
      </c>
      <c r="I1166" s="125">
        <v>16580</v>
      </c>
      <c r="J1166" s="115">
        <v>19.029895534930308</v>
      </c>
    </row>
    <row r="1167" spans="1:10" ht="16">
      <c r="A1167" s="100" t="s">
        <v>456</v>
      </c>
      <c r="B1167" s="101" t="s">
        <v>448</v>
      </c>
      <c r="C1167" s="102" t="s">
        <v>76</v>
      </c>
      <c r="D1167" s="103" t="s">
        <v>130</v>
      </c>
      <c r="E1167" s="104">
        <v>13040</v>
      </c>
      <c r="F1167" s="104">
        <v>316</v>
      </c>
      <c r="G1167" s="104">
        <v>130</v>
      </c>
      <c r="H1167" s="116">
        <v>17.804867402351018</v>
      </c>
      <c r="I1167" s="126">
        <v>7910</v>
      </c>
      <c r="J1167" s="117">
        <v>18.975282360840204</v>
      </c>
    </row>
    <row r="1168" spans="1:10" ht="16">
      <c r="A1168" s="93" t="s">
        <v>221</v>
      </c>
      <c r="B1168" s="94" t="s">
        <v>212</v>
      </c>
      <c r="C1168" s="95" t="s">
        <v>76</v>
      </c>
      <c r="D1168" s="96" t="s">
        <v>82</v>
      </c>
      <c r="E1168" s="97">
        <v>8402</v>
      </c>
      <c r="F1168" s="97">
        <v>583</v>
      </c>
      <c r="G1168" s="97">
        <v>168</v>
      </c>
      <c r="H1168" s="114">
        <v>10.619487011675702</v>
      </c>
      <c r="I1168" s="125">
        <v>1721</v>
      </c>
      <c r="J1168" s="115">
        <v>16.738820238924291</v>
      </c>
    </row>
    <row r="1169" spans="1:10" ht="16">
      <c r="A1169" s="100" t="s">
        <v>309</v>
      </c>
      <c r="B1169" s="101" t="s">
        <v>304</v>
      </c>
      <c r="C1169" s="102" t="s">
        <v>107</v>
      </c>
      <c r="D1169" s="103" t="s">
        <v>61</v>
      </c>
      <c r="E1169" s="104">
        <v>15521</v>
      </c>
      <c r="F1169" s="104">
        <v>1176</v>
      </c>
      <c r="G1169" s="104">
        <v>310</v>
      </c>
      <c r="H1169" s="116">
        <v>16.066978091787462</v>
      </c>
      <c r="I1169" s="126">
        <v>7241</v>
      </c>
      <c r="J1169" s="117">
        <v>21.355135458754308</v>
      </c>
    </row>
    <row r="1170" spans="1:10" ht="16">
      <c r="A1170" s="93" t="s">
        <v>1458</v>
      </c>
      <c r="B1170" s="94" t="s">
        <v>1459</v>
      </c>
      <c r="C1170" s="95" t="s">
        <v>76</v>
      </c>
      <c r="D1170" s="96" t="s">
        <v>84</v>
      </c>
      <c r="E1170" s="97">
        <v>42198</v>
      </c>
      <c r="F1170" s="97">
        <v>2512</v>
      </c>
      <c r="G1170" s="97">
        <v>4007</v>
      </c>
      <c r="H1170" s="114">
        <v>8.380391665347144</v>
      </c>
      <c r="I1170" s="125">
        <v>769</v>
      </c>
      <c r="J1170" s="115">
        <v>15.076359718175427</v>
      </c>
    </row>
    <row r="1171" spans="1:10" ht="16">
      <c r="A1171" s="100" t="s">
        <v>1051</v>
      </c>
      <c r="B1171" s="101" t="s">
        <v>1020</v>
      </c>
      <c r="C1171" s="102" t="s">
        <v>76</v>
      </c>
      <c r="D1171" s="103" t="s">
        <v>61</v>
      </c>
      <c r="E1171" s="104">
        <v>11277</v>
      </c>
      <c r="F1171" s="104">
        <v>881</v>
      </c>
      <c r="G1171" s="104">
        <v>789</v>
      </c>
      <c r="H1171" s="116">
        <v>14.477585414831122</v>
      </c>
      <c r="I1171" s="126">
        <v>8077</v>
      </c>
      <c r="J1171" s="117">
        <v>20.825658476477045</v>
      </c>
    </row>
    <row r="1172" spans="1:10" ht="16">
      <c r="A1172" s="93" t="s">
        <v>1052</v>
      </c>
      <c r="B1172" s="94" t="s">
        <v>1020</v>
      </c>
      <c r="C1172" s="95" t="s">
        <v>76</v>
      </c>
      <c r="D1172" s="96" t="s">
        <v>82</v>
      </c>
      <c r="E1172" s="97">
        <v>42485</v>
      </c>
      <c r="F1172" s="97">
        <v>2871</v>
      </c>
      <c r="G1172" s="97">
        <v>1699</v>
      </c>
      <c r="H1172" s="114">
        <v>17.267363132449631</v>
      </c>
      <c r="I1172" s="125">
        <v>8202</v>
      </c>
      <c r="J1172" s="115">
        <v>22.18304631162507</v>
      </c>
    </row>
    <row r="1173" spans="1:10" ht="16">
      <c r="A1173" s="100" t="s">
        <v>310</v>
      </c>
      <c r="B1173" s="101" t="s">
        <v>304</v>
      </c>
      <c r="C1173" s="102" t="s">
        <v>76</v>
      </c>
      <c r="D1173" s="103" t="s">
        <v>63</v>
      </c>
      <c r="E1173" s="104">
        <v>14228</v>
      </c>
      <c r="F1173" s="104">
        <v>694</v>
      </c>
      <c r="G1173" s="104">
        <v>427</v>
      </c>
      <c r="H1173" s="116">
        <v>11.726196197484443</v>
      </c>
      <c r="I1173" s="126">
        <v>1271</v>
      </c>
      <c r="J1173" s="117">
        <v>15.506824603484905</v>
      </c>
    </row>
    <row r="1174" spans="1:10" ht="16">
      <c r="A1174" s="93" t="s">
        <v>877</v>
      </c>
      <c r="B1174" s="94" t="s">
        <v>876</v>
      </c>
      <c r="C1174" s="95" t="s">
        <v>76</v>
      </c>
      <c r="D1174" s="96" t="s">
        <v>62</v>
      </c>
      <c r="E1174" s="97">
        <v>39877</v>
      </c>
      <c r="F1174" s="97">
        <v>4747</v>
      </c>
      <c r="G1174" s="97">
        <v>399</v>
      </c>
      <c r="H1174" s="114">
        <v>18.013760098708005</v>
      </c>
      <c r="I1174" s="125">
        <v>15043</v>
      </c>
      <c r="J1174" s="115">
        <v>24.458875171554993</v>
      </c>
    </row>
    <row r="1175" spans="1:10" ht="16">
      <c r="A1175" s="100" t="s">
        <v>870</v>
      </c>
      <c r="B1175" s="101" t="s">
        <v>858</v>
      </c>
      <c r="C1175" s="102" t="s">
        <v>76</v>
      </c>
      <c r="D1175" s="103" t="s">
        <v>82</v>
      </c>
      <c r="E1175" s="104">
        <v>27907</v>
      </c>
      <c r="F1175" s="104">
        <v>1037</v>
      </c>
      <c r="G1175" s="104">
        <v>1942</v>
      </c>
      <c r="H1175" s="116">
        <v>11.384363668450183</v>
      </c>
      <c r="I1175" s="126">
        <v>3570</v>
      </c>
      <c r="J1175" s="117">
        <v>20.341381375442015</v>
      </c>
    </row>
    <row r="1176" spans="1:10" ht="16">
      <c r="A1176" s="93" t="s">
        <v>742</v>
      </c>
      <c r="B1176" s="94" t="s">
        <v>642</v>
      </c>
      <c r="C1176" s="95" t="s">
        <v>107</v>
      </c>
      <c r="D1176" s="96" t="s">
        <v>60</v>
      </c>
      <c r="E1176" s="97">
        <v>8222</v>
      </c>
      <c r="F1176" s="97">
        <v>754</v>
      </c>
      <c r="G1176" s="97">
        <v>164</v>
      </c>
      <c r="H1176" s="114">
        <v>11.839334345816207</v>
      </c>
      <c r="I1176" s="125">
        <v>1868</v>
      </c>
      <c r="J1176" s="115">
        <v>19.667864817492053</v>
      </c>
    </row>
    <row r="1177" spans="1:10" ht="16">
      <c r="A1177" s="100" t="s">
        <v>178</v>
      </c>
      <c r="B1177" s="101" t="s">
        <v>150</v>
      </c>
      <c r="C1177" s="102" t="s">
        <v>76</v>
      </c>
      <c r="D1177" s="103" t="s">
        <v>130</v>
      </c>
      <c r="E1177" s="104">
        <v>21715</v>
      </c>
      <c r="F1177" s="104">
        <v>916</v>
      </c>
      <c r="G1177" s="104">
        <v>1495</v>
      </c>
      <c r="H1177" s="116">
        <v>10.990310061311801</v>
      </c>
      <c r="I1177" s="126">
        <v>2159</v>
      </c>
      <c r="J1177" s="117">
        <v>18.631573685561452</v>
      </c>
    </row>
    <row r="1178" spans="1:10" ht="16">
      <c r="A1178" s="93" t="s">
        <v>120</v>
      </c>
      <c r="B1178" s="94" t="s">
        <v>89</v>
      </c>
      <c r="C1178" s="95" t="s">
        <v>76</v>
      </c>
      <c r="D1178" s="96" t="s">
        <v>84</v>
      </c>
      <c r="E1178" s="97">
        <v>9720</v>
      </c>
      <c r="F1178" s="97">
        <v>311</v>
      </c>
      <c r="G1178" s="97">
        <v>1652</v>
      </c>
      <c r="H1178" s="114">
        <v>24.423414203398377</v>
      </c>
      <c r="I1178" s="125">
        <v>10885</v>
      </c>
      <c r="J1178" s="115">
        <v>17.544897911497898</v>
      </c>
    </row>
    <row r="1179" spans="1:10" ht="16">
      <c r="A1179" s="100" t="s">
        <v>1281</v>
      </c>
      <c r="B1179" s="101" t="s">
        <v>1190</v>
      </c>
      <c r="C1179" s="102" t="s">
        <v>76</v>
      </c>
      <c r="D1179" s="103" t="s">
        <v>84</v>
      </c>
      <c r="E1179" s="104">
        <v>21737</v>
      </c>
      <c r="F1179" s="104">
        <v>1188</v>
      </c>
      <c r="G1179" s="104">
        <v>4565</v>
      </c>
      <c r="H1179" s="116">
        <v>15.504768697477777</v>
      </c>
      <c r="I1179" s="126">
        <v>7497</v>
      </c>
      <c r="J1179" s="117">
        <v>17.847854578506002</v>
      </c>
    </row>
    <row r="1180" spans="1:10" ht="16">
      <c r="A1180" s="93" t="s">
        <v>1282</v>
      </c>
      <c r="B1180" s="94" t="s">
        <v>1190</v>
      </c>
      <c r="C1180" s="95" t="s">
        <v>76</v>
      </c>
      <c r="D1180" s="96" t="s">
        <v>80</v>
      </c>
      <c r="E1180" s="97">
        <v>11730</v>
      </c>
      <c r="F1180" s="97">
        <v>524</v>
      </c>
      <c r="G1180" s="97">
        <v>2463</v>
      </c>
      <c r="H1180" s="114">
        <v>14.272284107806483</v>
      </c>
      <c r="I1180" s="125">
        <v>10730</v>
      </c>
      <c r="J1180" s="115">
        <v>14.235193490397906</v>
      </c>
    </row>
    <row r="1181" spans="1:10" ht="16">
      <c r="A1181" s="100" t="s">
        <v>985</v>
      </c>
      <c r="B1181" s="101" t="s">
        <v>977</v>
      </c>
      <c r="C1181" s="102" t="s">
        <v>76</v>
      </c>
      <c r="D1181" s="103" t="s">
        <v>80</v>
      </c>
      <c r="E1181" s="104">
        <v>21999</v>
      </c>
      <c r="F1181" s="104">
        <v>721</v>
      </c>
      <c r="G1181" s="104">
        <v>1760</v>
      </c>
      <c r="H1181" s="116">
        <v>20.864674029168629</v>
      </c>
      <c r="I1181" s="126">
        <v>12083</v>
      </c>
      <c r="J1181" s="117">
        <v>19.137050365101206</v>
      </c>
    </row>
    <row r="1182" spans="1:10" ht="16">
      <c r="A1182" s="93" t="s">
        <v>986</v>
      </c>
      <c r="B1182" s="94" t="s">
        <v>977</v>
      </c>
      <c r="C1182" s="95" t="s">
        <v>76</v>
      </c>
      <c r="D1182" s="96" t="s">
        <v>59</v>
      </c>
      <c r="E1182" s="97">
        <v>28521</v>
      </c>
      <c r="F1182" s="97">
        <v>1084</v>
      </c>
      <c r="G1182" s="97">
        <v>2282</v>
      </c>
      <c r="H1182" s="114">
        <v>43.750051077040581</v>
      </c>
      <c r="I1182" s="125">
        <v>34100</v>
      </c>
      <c r="J1182" s="115">
        <v>31.862089232638631</v>
      </c>
    </row>
    <row r="1183" spans="1:10" ht="16">
      <c r="A1183" s="100" t="s">
        <v>457</v>
      </c>
      <c r="B1183" s="101" t="s">
        <v>448</v>
      </c>
      <c r="C1183" s="102" t="s">
        <v>76</v>
      </c>
      <c r="D1183" s="103" t="s">
        <v>59</v>
      </c>
      <c r="E1183" s="104">
        <v>17004</v>
      </c>
      <c r="F1183" s="104">
        <v>437</v>
      </c>
      <c r="G1183" s="104">
        <v>680</v>
      </c>
      <c r="H1183" s="116">
        <v>20.41225258207292</v>
      </c>
      <c r="I1183" s="126">
        <v>9907</v>
      </c>
      <c r="J1183" s="117">
        <v>15.780478975557564</v>
      </c>
    </row>
    <row r="1184" spans="1:10" ht="16">
      <c r="A1184" s="93" t="s">
        <v>83</v>
      </c>
      <c r="B1184" s="94" t="s">
        <v>75</v>
      </c>
      <c r="C1184" s="95" t="s">
        <v>76</v>
      </c>
      <c r="D1184" s="96" t="s">
        <v>84</v>
      </c>
      <c r="E1184" s="97">
        <v>43446</v>
      </c>
      <c r="F1184" s="97">
        <v>1773</v>
      </c>
      <c r="G1184" s="97">
        <v>434</v>
      </c>
      <c r="H1184" s="114">
        <v>9.2592947608457106</v>
      </c>
      <c r="I1184" s="125">
        <v>582</v>
      </c>
      <c r="J1184" s="115">
        <v>29.967466511877845</v>
      </c>
    </row>
    <row r="1185" spans="1:10" ht="16">
      <c r="A1185" s="100" t="s">
        <v>1440</v>
      </c>
      <c r="B1185" s="101" t="s">
        <v>1288</v>
      </c>
      <c r="C1185" s="102" t="s">
        <v>76</v>
      </c>
      <c r="D1185" s="103" t="s">
        <v>61</v>
      </c>
      <c r="E1185" s="104">
        <v>18587</v>
      </c>
      <c r="F1185" s="104">
        <v>1199</v>
      </c>
      <c r="G1185" s="104">
        <v>2045</v>
      </c>
      <c r="H1185" s="116">
        <v>14.074556973434861</v>
      </c>
      <c r="I1185" s="126">
        <v>6841</v>
      </c>
      <c r="J1185" s="117">
        <v>34.052943761878744</v>
      </c>
    </row>
    <row r="1186" spans="1:10" ht="16">
      <c r="A1186" s="93" t="s">
        <v>205</v>
      </c>
      <c r="B1186" s="94" t="s">
        <v>184</v>
      </c>
      <c r="C1186" s="95" t="s">
        <v>76</v>
      </c>
      <c r="D1186" s="96" t="s">
        <v>62</v>
      </c>
      <c r="E1186" s="97">
        <v>73370</v>
      </c>
      <c r="F1186" s="97">
        <v>3650</v>
      </c>
      <c r="G1186" s="97">
        <v>15408</v>
      </c>
      <c r="H1186" s="114">
        <v>90.326383481366761</v>
      </c>
      <c r="I1186" s="125">
        <v>83846</v>
      </c>
      <c r="J1186" s="115">
        <v>76.96701093240253</v>
      </c>
    </row>
    <row r="1187" spans="1:10" ht="16">
      <c r="A1187" s="100" t="s">
        <v>398</v>
      </c>
      <c r="B1187" s="101" t="s">
        <v>377</v>
      </c>
      <c r="C1187" s="102" t="s">
        <v>76</v>
      </c>
      <c r="D1187" s="103" t="s">
        <v>59</v>
      </c>
      <c r="E1187" s="104">
        <v>27285</v>
      </c>
      <c r="F1187" s="104">
        <v>1287</v>
      </c>
      <c r="G1187" s="104">
        <v>3001</v>
      </c>
      <c r="H1187" s="116">
        <v>13.418586488279136</v>
      </c>
      <c r="I1187" s="126">
        <v>6168</v>
      </c>
      <c r="J1187" s="117">
        <v>30.968075776038177</v>
      </c>
    </row>
    <row r="1188" spans="1:10" ht="16">
      <c r="A1188" s="93" t="s">
        <v>743</v>
      </c>
      <c r="B1188" s="94" t="s">
        <v>642</v>
      </c>
      <c r="C1188" s="95" t="s">
        <v>107</v>
      </c>
      <c r="D1188" s="96" t="s">
        <v>60</v>
      </c>
      <c r="E1188" s="97">
        <v>9133</v>
      </c>
      <c r="F1188" s="97">
        <v>761</v>
      </c>
      <c r="G1188" s="97">
        <v>274</v>
      </c>
      <c r="H1188" s="114">
        <v>13.326395264283223</v>
      </c>
      <c r="I1188" s="125">
        <v>2666</v>
      </c>
      <c r="J1188" s="115">
        <v>21.254912921782058</v>
      </c>
    </row>
    <row r="1189" spans="1:10" ht="16">
      <c r="A1189" s="100" t="s">
        <v>632</v>
      </c>
      <c r="B1189" s="101" t="s">
        <v>598</v>
      </c>
      <c r="C1189" s="102" t="s">
        <v>76</v>
      </c>
      <c r="D1189" s="103" t="s">
        <v>60</v>
      </c>
      <c r="E1189" s="104">
        <v>12920</v>
      </c>
      <c r="F1189" s="104">
        <v>663</v>
      </c>
      <c r="G1189" s="104">
        <v>904</v>
      </c>
      <c r="H1189" s="116">
        <v>31.849281674461864</v>
      </c>
      <c r="I1189" s="126">
        <v>24791</v>
      </c>
      <c r="J1189" s="117">
        <v>27.713753387175981</v>
      </c>
    </row>
    <row r="1190" spans="1:10" ht="16">
      <c r="A1190" s="93" t="s">
        <v>633</v>
      </c>
      <c r="B1190" s="94" t="s">
        <v>598</v>
      </c>
      <c r="C1190" s="95" t="s">
        <v>76</v>
      </c>
      <c r="D1190" s="96" t="s">
        <v>60</v>
      </c>
      <c r="E1190" s="97">
        <v>15933</v>
      </c>
      <c r="F1190" s="97">
        <v>678</v>
      </c>
      <c r="G1190" s="97">
        <v>1275</v>
      </c>
      <c r="H1190" s="114">
        <v>22.762834058662698</v>
      </c>
      <c r="I1190" s="125">
        <v>15215</v>
      </c>
      <c r="J1190" s="115">
        <v>30.713098015559474</v>
      </c>
    </row>
    <row r="1191" spans="1:10" ht="16">
      <c r="A1191" s="100" t="s">
        <v>744</v>
      </c>
      <c r="B1191" s="101" t="s">
        <v>642</v>
      </c>
      <c r="C1191" s="102" t="s">
        <v>107</v>
      </c>
      <c r="D1191" s="103" t="s">
        <v>130</v>
      </c>
      <c r="E1191" s="104">
        <v>16844</v>
      </c>
      <c r="F1191" s="104">
        <v>1239</v>
      </c>
      <c r="G1191" s="104">
        <v>3537</v>
      </c>
      <c r="H1191" s="116">
        <v>37.320134054685006</v>
      </c>
      <c r="I1191" s="126">
        <v>12889</v>
      </c>
      <c r="J1191" s="117">
        <v>43.606175456539454</v>
      </c>
    </row>
    <row r="1192" spans="1:10" ht="16">
      <c r="A1192" s="93" t="s">
        <v>1441</v>
      </c>
      <c r="B1192" s="94" t="s">
        <v>1288</v>
      </c>
      <c r="C1192" s="95" t="s">
        <v>107</v>
      </c>
      <c r="D1192" s="96" t="s">
        <v>60</v>
      </c>
      <c r="E1192" s="97">
        <v>5067</v>
      </c>
      <c r="F1192" s="97">
        <v>409</v>
      </c>
      <c r="G1192" s="97">
        <v>811</v>
      </c>
      <c r="H1192" s="114">
        <v>17.086169606850966</v>
      </c>
      <c r="I1192" s="125">
        <v>11215</v>
      </c>
      <c r="J1192" s="115">
        <v>34.160574847253521</v>
      </c>
    </row>
    <row r="1193" spans="1:10" ht="16">
      <c r="A1193" s="100" t="s">
        <v>1140</v>
      </c>
      <c r="B1193" s="101" t="s">
        <v>1135</v>
      </c>
      <c r="C1193" s="102" t="s">
        <v>76</v>
      </c>
      <c r="D1193" s="103" t="s">
        <v>77</v>
      </c>
      <c r="E1193" s="104">
        <v>33923</v>
      </c>
      <c r="F1193" s="104">
        <v>3359</v>
      </c>
      <c r="G1193" s="104">
        <v>339</v>
      </c>
      <c r="H1193" s="116">
        <v>10.862341651506435</v>
      </c>
      <c r="I1193" s="126">
        <v>1912</v>
      </c>
      <c r="J1193" s="117">
        <v>26.435856622523829</v>
      </c>
    </row>
    <row r="1194" spans="1:10" ht="16">
      <c r="A1194" s="93" t="s">
        <v>634</v>
      </c>
      <c r="B1194" s="94" t="s">
        <v>598</v>
      </c>
      <c r="C1194" s="95" t="s">
        <v>76</v>
      </c>
      <c r="D1194" s="96" t="s">
        <v>84</v>
      </c>
      <c r="E1194" s="97">
        <v>55957</v>
      </c>
      <c r="F1194" s="97">
        <v>1890</v>
      </c>
      <c r="G1194" s="97">
        <v>4477</v>
      </c>
      <c r="H1194" s="114">
        <v>28.231671131604607</v>
      </c>
      <c r="I1194" s="125">
        <v>20601</v>
      </c>
      <c r="J1194" s="115">
        <v>23.520114012837219</v>
      </c>
    </row>
    <row r="1195" spans="1:10" ht="16">
      <c r="A1195" s="100" t="s">
        <v>375</v>
      </c>
      <c r="B1195" s="101" t="s">
        <v>369</v>
      </c>
      <c r="C1195" s="102" t="s">
        <v>76</v>
      </c>
      <c r="D1195" s="103" t="s">
        <v>84</v>
      </c>
      <c r="E1195" s="104">
        <v>12785</v>
      </c>
      <c r="F1195" s="104">
        <v>784</v>
      </c>
      <c r="G1195" s="104">
        <v>767</v>
      </c>
      <c r="H1195" s="116">
        <v>31.027965287941168</v>
      </c>
      <c r="I1195" s="126">
        <v>22748</v>
      </c>
      <c r="J1195" s="117">
        <v>27.947208047382297</v>
      </c>
    </row>
    <row r="1196" spans="1:10" ht="16">
      <c r="A1196" s="93" t="s">
        <v>829</v>
      </c>
      <c r="B1196" s="94" t="s">
        <v>820</v>
      </c>
      <c r="C1196" s="95" t="s">
        <v>107</v>
      </c>
      <c r="D1196" s="96" t="s">
        <v>59</v>
      </c>
      <c r="E1196" s="97">
        <v>7584</v>
      </c>
      <c r="F1196" s="97">
        <v>546</v>
      </c>
      <c r="G1196" s="97">
        <v>2427</v>
      </c>
      <c r="H1196" s="114">
        <v>47.751744630719088</v>
      </c>
      <c r="I1196" s="125">
        <v>26124</v>
      </c>
      <c r="J1196" s="115">
        <v>35.244898844453886</v>
      </c>
    </row>
    <row r="1197" spans="1:10" ht="16">
      <c r="A1197" s="100" t="s">
        <v>635</v>
      </c>
      <c r="B1197" s="101" t="s">
        <v>598</v>
      </c>
      <c r="C1197" s="102" t="s">
        <v>76</v>
      </c>
      <c r="D1197" s="103" t="s">
        <v>63</v>
      </c>
      <c r="E1197" s="104">
        <v>11793</v>
      </c>
      <c r="F1197" s="104">
        <v>663</v>
      </c>
      <c r="G1197" s="104">
        <v>826</v>
      </c>
      <c r="H1197" s="116">
        <v>16.814073103988385</v>
      </c>
      <c r="I1197" s="126">
        <v>11132</v>
      </c>
      <c r="J1197" s="117">
        <v>26.840227901665585</v>
      </c>
    </row>
    <row r="1198" spans="1:10" ht="16">
      <c r="A1198" s="93" t="s">
        <v>1016</v>
      </c>
      <c r="B1198" s="94" t="s">
        <v>988</v>
      </c>
      <c r="C1198" s="95" t="s">
        <v>107</v>
      </c>
      <c r="D1198" s="96" t="s">
        <v>61</v>
      </c>
      <c r="E1198" s="97">
        <v>12730</v>
      </c>
      <c r="F1198" s="97">
        <v>1107</v>
      </c>
      <c r="G1198" s="97">
        <v>382</v>
      </c>
      <c r="H1198" s="114">
        <v>24.074016171622969</v>
      </c>
      <c r="I1198" s="125">
        <v>14476</v>
      </c>
      <c r="J1198" s="115">
        <v>21.254496596831601</v>
      </c>
    </row>
    <row r="1199" spans="1:10" ht="16">
      <c r="A1199" s="100" t="s">
        <v>636</v>
      </c>
      <c r="B1199" s="101" t="s">
        <v>598</v>
      </c>
      <c r="C1199" s="102" t="s">
        <v>76</v>
      </c>
      <c r="D1199" s="103" t="s">
        <v>62</v>
      </c>
      <c r="E1199" s="104">
        <v>14278</v>
      </c>
      <c r="F1199" s="104">
        <v>361</v>
      </c>
      <c r="G1199" s="104">
        <v>857</v>
      </c>
      <c r="H1199" s="116">
        <v>15.333801952595074</v>
      </c>
      <c r="I1199" s="126">
        <v>13028</v>
      </c>
      <c r="J1199" s="117">
        <v>17.347335410400131</v>
      </c>
    </row>
    <row r="1200" spans="1:10" ht="16">
      <c r="A1200" s="93" t="s">
        <v>1442</v>
      </c>
      <c r="B1200" s="94" t="s">
        <v>1288</v>
      </c>
      <c r="C1200" s="95" t="s">
        <v>107</v>
      </c>
      <c r="D1200" s="96" t="s">
        <v>63</v>
      </c>
      <c r="E1200" s="97">
        <v>30365</v>
      </c>
      <c r="F1200" s="97">
        <v>2138</v>
      </c>
      <c r="G1200" s="97">
        <v>2429</v>
      </c>
      <c r="H1200" s="114">
        <v>35.14763184602328</v>
      </c>
      <c r="I1200" s="125">
        <v>30061</v>
      </c>
      <c r="J1200" s="115">
        <v>39.074958917213024</v>
      </c>
    </row>
    <row r="1201" spans="1:10" ht="16">
      <c r="A1201" s="100" t="s">
        <v>1053</v>
      </c>
      <c r="B1201" s="101" t="s">
        <v>1020</v>
      </c>
      <c r="C1201" s="102" t="s">
        <v>76</v>
      </c>
      <c r="D1201" s="103" t="s">
        <v>61</v>
      </c>
      <c r="E1201" s="104">
        <v>50311</v>
      </c>
      <c r="F1201" s="104">
        <v>3377</v>
      </c>
      <c r="G1201" s="104">
        <v>6037</v>
      </c>
      <c r="H1201" s="116">
        <v>21.315455264077269</v>
      </c>
      <c r="I1201" s="126">
        <v>14781</v>
      </c>
      <c r="J1201" s="117">
        <v>25.118143418936846</v>
      </c>
    </row>
    <row r="1202" spans="1:10" ht="16">
      <c r="A1202" s="93" t="s">
        <v>1054</v>
      </c>
      <c r="B1202" s="94" t="s">
        <v>1020</v>
      </c>
      <c r="C1202" s="95" t="s">
        <v>76</v>
      </c>
      <c r="D1202" s="96" t="s">
        <v>80</v>
      </c>
      <c r="E1202" s="97">
        <v>23232</v>
      </c>
      <c r="F1202" s="97">
        <v>1889</v>
      </c>
      <c r="G1202" s="97">
        <v>1394</v>
      </c>
      <c r="H1202" s="114">
        <v>12.549528438133338</v>
      </c>
      <c r="I1202" s="125">
        <v>2804</v>
      </c>
      <c r="J1202" s="115">
        <v>22.272919844216247</v>
      </c>
    </row>
    <row r="1203" spans="1:10" ht="16">
      <c r="A1203" s="100" t="s">
        <v>871</v>
      </c>
      <c r="B1203" s="101" t="s">
        <v>858</v>
      </c>
      <c r="C1203" s="102" t="s">
        <v>107</v>
      </c>
      <c r="D1203" s="103" t="s">
        <v>92</v>
      </c>
      <c r="E1203" s="104">
        <v>5794</v>
      </c>
      <c r="F1203" s="104">
        <v>203</v>
      </c>
      <c r="G1203" s="104">
        <v>58</v>
      </c>
      <c r="H1203" s="116">
        <v>10.585576264110221</v>
      </c>
      <c r="I1203" s="126">
        <v>982</v>
      </c>
      <c r="J1203" s="117">
        <v>15.370046572657058</v>
      </c>
    </row>
    <row r="1204" spans="1:10" ht="16">
      <c r="A1204" s="93" t="s">
        <v>206</v>
      </c>
      <c r="B1204" s="94" t="s">
        <v>184</v>
      </c>
      <c r="C1204" s="95" t="s">
        <v>76</v>
      </c>
      <c r="D1204" s="96" t="s">
        <v>63</v>
      </c>
      <c r="E1204" s="97">
        <v>21169</v>
      </c>
      <c r="F1204" s="97">
        <v>824</v>
      </c>
      <c r="G1204" s="97">
        <v>4234</v>
      </c>
      <c r="H1204" s="114">
        <v>16.460311067309441</v>
      </c>
      <c r="I1204" s="125">
        <v>11281</v>
      </c>
      <c r="J1204" s="115">
        <v>24.046080132877414</v>
      </c>
    </row>
    <row r="1205" spans="1:10" ht="16">
      <c r="A1205" s="100" t="s">
        <v>137</v>
      </c>
      <c r="B1205" s="101" t="s">
        <v>127</v>
      </c>
      <c r="C1205" s="102" t="s">
        <v>76</v>
      </c>
      <c r="D1205" s="103" t="s">
        <v>77</v>
      </c>
      <c r="E1205" s="104">
        <v>33547</v>
      </c>
      <c r="F1205" s="104">
        <v>835</v>
      </c>
      <c r="G1205" s="104">
        <v>9058</v>
      </c>
      <c r="H1205" s="116">
        <v>55.326528831317717</v>
      </c>
      <c r="I1205" s="126">
        <v>35746</v>
      </c>
      <c r="J1205" s="117">
        <v>48.722045778860405</v>
      </c>
    </row>
    <row r="1206" spans="1:10" ht="16">
      <c r="A1206" s="93" t="s">
        <v>1055</v>
      </c>
      <c r="B1206" s="94" t="s">
        <v>1020</v>
      </c>
      <c r="C1206" s="95" t="s">
        <v>107</v>
      </c>
      <c r="D1206" s="96" t="s">
        <v>77</v>
      </c>
      <c r="E1206" s="97">
        <v>18652</v>
      </c>
      <c r="F1206" s="97">
        <v>1137</v>
      </c>
      <c r="G1206" s="97">
        <v>933</v>
      </c>
      <c r="H1206" s="114">
        <v>14.900531942726369</v>
      </c>
      <c r="I1206" s="125">
        <v>5838</v>
      </c>
      <c r="J1206" s="115">
        <v>18.627066241771153</v>
      </c>
    </row>
    <row r="1207" spans="1:10" ht="16">
      <c r="A1207" s="100" t="s">
        <v>1443</v>
      </c>
      <c r="B1207" s="101" t="s">
        <v>1288</v>
      </c>
      <c r="C1207" s="102" t="s">
        <v>76</v>
      </c>
      <c r="D1207" s="103" t="s">
        <v>130</v>
      </c>
      <c r="E1207" s="104">
        <v>23116</v>
      </c>
      <c r="F1207" s="104">
        <v>2688</v>
      </c>
      <c r="G1207" s="104">
        <v>2774</v>
      </c>
      <c r="H1207" s="116">
        <v>44.026874506590538</v>
      </c>
      <c r="I1207" s="126">
        <v>39875</v>
      </c>
      <c r="J1207" s="117">
        <v>55.360696838134324</v>
      </c>
    </row>
    <row r="1208" spans="1:10" ht="16">
      <c r="A1208" s="93" t="s">
        <v>840</v>
      </c>
      <c r="B1208" s="94" t="s">
        <v>834</v>
      </c>
      <c r="C1208" s="95" t="s">
        <v>76</v>
      </c>
      <c r="D1208" s="96" t="s">
        <v>130</v>
      </c>
      <c r="E1208" s="97">
        <v>9892</v>
      </c>
      <c r="F1208" s="97">
        <v>547</v>
      </c>
      <c r="G1208" s="97">
        <v>1879</v>
      </c>
      <c r="H1208" s="114">
        <v>26.844894634080177</v>
      </c>
      <c r="I1208" s="125">
        <v>12943</v>
      </c>
      <c r="J1208" s="115">
        <v>20.876793018655579</v>
      </c>
    </row>
    <row r="1209" spans="1:10" ht="16">
      <c r="A1209" s="100" t="s">
        <v>889</v>
      </c>
      <c r="B1209" s="101" t="s">
        <v>879</v>
      </c>
      <c r="C1209" s="102" t="s">
        <v>76</v>
      </c>
      <c r="D1209" s="103" t="s">
        <v>84</v>
      </c>
      <c r="E1209" s="104">
        <v>50484</v>
      </c>
      <c r="F1209" s="104">
        <v>3606</v>
      </c>
      <c r="G1209" s="104">
        <v>5048</v>
      </c>
      <c r="H1209" s="116">
        <v>22.454978396306924</v>
      </c>
      <c r="I1209" s="126">
        <v>8920</v>
      </c>
      <c r="J1209" s="117">
        <v>25.879721751273362</v>
      </c>
    </row>
    <row r="1210" spans="1:10" ht="16">
      <c r="A1210" s="93" t="s">
        <v>1283</v>
      </c>
      <c r="B1210" s="94" t="s">
        <v>1190</v>
      </c>
      <c r="C1210" s="95" t="s">
        <v>107</v>
      </c>
      <c r="D1210" s="96" t="s">
        <v>82</v>
      </c>
      <c r="E1210" s="97">
        <v>20599</v>
      </c>
      <c r="F1210" s="97">
        <v>1561</v>
      </c>
      <c r="G1210" s="97">
        <v>8446</v>
      </c>
      <c r="H1210" s="114">
        <v>52.792041460903732</v>
      </c>
      <c r="I1210" s="125">
        <v>46945</v>
      </c>
      <c r="J1210" s="115">
        <v>47.256028025090444</v>
      </c>
    </row>
    <row r="1211" spans="1:10" ht="16">
      <c r="A1211" s="100" t="s">
        <v>1444</v>
      </c>
      <c r="B1211" s="101" t="s">
        <v>1288</v>
      </c>
      <c r="C1211" s="102" t="s">
        <v>76</v>
      </c>
      <c r="D1211" s="103" t="s">
        <v>61</v>
      </c>
      <c r="E1211" s="104">
        <v>45692</v>
      </c>
      <c r="F1211" s="104">
        <v>4116</v>
      </c>
      <c r="G1211" s="104">
        <v>7311</v>
      </c>
      <c r="H1211" s="116">
        <v>82.871200140001164</v>
      </c>
      <c r="I1211" s="126">
        <v>81096</v>
      </c>
      <c r="J1211" s="117">
        <v>72.428135883547256</v>
      </c>
    </row>
    <row r="1212" spans="1:10" ht="16">
      <c r="A1212" s="93" t="s">
        <v>207</v>
      </c>
      <c r="B1212" s="94" t="s">
        <v>184</v>
      </c>
      <c r="C1212" s="95" t="s">
        <v>107</v>
      </c>
      <c r="D1212" s="96" t="s">
        <v>82</v>
      </c>
      <c r="E1212" s="97">
        <v>33519</v>
      </c>
      <c r="F1212" s="97">
        <v>1420</v>
      </c>
      <c r="G1212" s="97">
        <v>6704</v>
      </c>
      <c r="H1212" s="114">
        <v>42.91061261073073</v>
      </c>
      <c r="I1212" s="125">
        <v>27998</v>
      </c>
      <c r="J1212" s="115">
        <v>35.614815517764413</v>
      </c>
    </row>
    <row r="1213" spans="1:10" ht="16">
      <c r="A1213" s="100" t="s">
        <v>333</v>
      </c>
      <c r="B1213" s="101" t="s">
        <v>322</v>
      </c>
      <c r="C1213" s="102" t="s">
        <v>76</v>
      </c>
      <c r="D1213" s="103" t="s">
        <v>61</v>
      </c>
      <c r="E1213" s="104">
        <v>10540</v>
      </c>
      <c r="F1213" s="104">
        <v>693</v>
      </c>
      <c r="G1213" s="104">
        <v>527</v>
      </c>
      <c r="H1213" s="116">
        <v>16.19100620793105</v>
      </c>
      <c r="I1213" s="126">
        <v>2706</v>
      </c>
      <c r="J1213" s="117">
        <v>18.579796555303108</v>
      </c>
    </row>
    <row r="1214" spans="1:10" ht="16">
      <c r="A1214" s="93" t="s">
        <v>121</v>
      </c>
      <c r="B1214" s="94" t="s">
        <v>89</v>
      </c>
      <c r="C1214" s="95" t="s">
        <v>107</v>
      </c>
      <c r="D1214" s="96" t="s">
        <v>60</v>
      </c>
      <c r="E1214" s="97">
        <v>18400</v>
      </c>
      <c r="F1214" s="97">
        <v>793</v>
      </c>
      <c r="G1214" s="97">
        <v>5336</v>
      </c>
      <c r="H1214" s="114">
        <v>44.713226241114796</v>
      </c>
      <c r="I1214" s="125">
        <v>40109</v>
      </c>
      <c r="J1214" s="115">
        <v>32.707539769097821</v>
      </c>
    </row>
    <row r="1215" spans="1:10" ht="16">
      <c r="A1215" s="100" t="s">
        <v>1284</v>
      </c>
      <c r="B1215" s="101" t="s">
        <v>1190</v>
      </c>
      <c r="C1215" s="102" t="s">
        <v>76</v>
      </c>
      <c r="D1215" s="103" t="s">
        <v>59</v>
      </c>
      <c r="E1215" s="104">
        <v>16401</v>
      </c>
      <c r="F1215" s="104">
        <v>943</v>
      </c>
      <c r="G1215" s="104">
        <v>7544</v>
      </c>
      <c r="H1215" s="116">
        <v>16.339760651645324</v>
      </c>
      <c r="I1215" s="126">
        <v>5990</v>
      </c>
      <c r="J1215" s="117">
        <v>18.458912249193837</v>
      </c>
    </row>
    <row r="1216" spans="1:10" ht="16">
      <c r="A1216" s="93" t="s">
        <v>208</v>
      </c>
      <c r="B1216" s="94" t="s">
        <v>184</v>
      </c>
      <c r="C1216" s="95" t="s">
        <v>76</v>
      </c>
      <c r="D1216" s="96" t="s">
        <v>80</v>
      </c>
      <c r="E1216" s="97">
        <v>13140</v>
      </c>
      <c r="F1216" s="97">
        <v>453</v>
      </c>
      <c r="G1216" s="97">
        <v>3022</v>
      </c>
      <c r="H1216" s="114">
        <v>27.219993383050792</v>
      </c>
      <c r="I1216" s="125">
        <v>9031</v>
      </c>
      <c r="J1216" s="115">
        <v>34.104562258881359</v>
      </c>
    </row>
    <row r="1217" spans="1:10" ht="16">
      <c r="A1217" s="100" t="s">
        <v>1445</v>
      </c>
      <c r="B1217" s="101" t="s">
        <v>1288</v>
      </c>
      <c r="C1217" s="102" t="s">
        <v>107</v>
      </c>
      <c r="D1217" s="103" t="s">
        <v>92</v>
      </c>
      <c r="E1217" s="104">
        <v>39154</v>
      </c>
      <c r="F1217" s="104">
        <v>3915</v>
      </c>
      <c r="G1217" s="104">
        <v>5090</v>
      </c>
      <c r="H1217" s="116">
        <v>70.431681163034611</v>
      </c>
      <c r="I1217" s="126">
        <v>60080</v>
      </c>
      <c r="J1217" s="117">
        <v>69.058473139018872</v>
      </c>
    </row>
    <row r="1218" spans="1:10" ht="16">
      <c r="A1218" s="93" t="s">
        <v>1446</v>
      </c>
      <c r="B1218" s="94" t="s">
        <v>1288</v>
      </c>
      <c r="C1218" s="95" t="s">
        <v>76</v>
      </c>
      <c r="D1218" s="96" t="s">
        <v>77</v>
      </c>
      <c r="E1218" s="97">
        <v>20874</v>
      </c>
      <c r="F1218" s="97">
        <v>1082</v>
      </c>
      <c r="G1218" s="97">
        <v>1252</v>
      </c>
      <c r="H1218" s="114">
        <v>23.348966417183682</v>
      </c>
      <c r="I1218" s="125">
        <v>15299</v>
      </c>
      <c r="J1218" s="115">
        <v>22.650501707087816</v>
      </c>
    </row>
    <row r="1219" spans="1:10" ht="16">
      <c r="A1219" s="100" t="s">
        <v>122</v>
      </c>
      <c r="B1219" s="101" t="s">
        <v>89</v>
      </c>
      <c r="C1219" s="102" t="s">
        <v>76</v>
      </c>
      <c r="D1219" s="103" t="s">
        <v>63</v>
      </c>
      <c r="E1219" s="104">
        <v>18642</v>
      </c>
      <c r="F1219" s="104">
        <v>592</v>
      </c>
      <c r="G1219" s="104">
        <v>5406</v>
      </c>
      <c r="H1219" s="116">
        <v>35.888824082518688</v>
      </c>
      <c r="I1219" s="126">
        <v>26567</v>
      </c>
      <c r="J1219" s="117">
        <v>30.834202609881583</v>
      </c>
    </row>
    <row r="1220" spans="1:10" ht="16">
      <c r="A1220" s="93" t="s">
        <v>1285</v>
      </c>
      <c r="B1220" s="94" t="s">
        <v>1190</v>
      </c>
      <c r="C1220" s="95" t="s">
        <v>76</v>
      </c>
      <c r="D1220" s="96" t="s">
        <v>130</v>
      </c>
      <c r="E1220" s="97">
        <v>15687</v>
      </c>
      <c r="F1220" s="97">
        <v>769</v>
      </c>
      <c r="G1220" s="97">
        <v>3294</v>
      </c>
      <c r="H1220" s="114">
        <v>14.176098552121328</v>
      </c>
      <c r="I1220" s="125">
        <v>4685</v>
      </c>
      <c r="J1220" s="115">
        <v>15.834698640182262</v>
      </c>
    </row>
    <row r="1221" spans="1:10" ht="16">
      <c r="A1221" s="100" t="s">
        <v>444</v>
      </c>
      <c r="B1221" s="101" t="s">
        <v>402</v>
      </c>
      <c r="C1221" s="102" t="s">
        <v>76</v>
      </c>
      <c r="D1221" s="103" t="s">
        <v>61</v>
      </c>
      <c r="E1221" s="104">
        <v>23343</v>
      </c>
      <c r="F1221" s="104">
        <v>418</v>
      </c>
      <c r="G1221" s="104">
        <v>2568</v>
      </c>
      <c r="H1221" s="116">
        <v>18.177697832682519</v>
      </c>
      <c r="I1221" s="126">
        <v>10854</v>
      </c>
      <c r="J1221" s="117">
        <v>25.626792621542474</v>
      </c>
    </row>
    <row r="1222" spans="1:10" ht="16">
      <c r="A1222" s="93" t="s">
        <v>745</v>
      </c>
      <c r="B1222" s="94" t="s">
        <v>642</v>
      </c>
      <c r="C1222" s="95" t="s">
        <v>107</v>
      </c>
      <c r="D1222" s="96" t="s">
        <v>60</v>
      </c>
      <c r="E1222" s="97">
        <v>4659</v>
      </c>
      <c r="F1222" s="97">
        <v>740</v>
      </c>
      <c r="G1222" s="97">
        <v>186</v>
      </c>
      <c r="H1222" s="114">
        <v>11.415602755711669</v>
      </c>
      <c r="I1222" s="125">
        <v>2848</v>
      </c>
      <c r="J1222" s="115">
        <v>24.31748321199969</v>
      </c>
    </row>
    <row r="1223" spans="1:10" ht="16">
      <c r="A1223" s="100" t="s">
        <v>1286</v>
      </c>
      <c r="B1223" s="101" t="s">
        <v>1190</v>
      </c>
      <c r="C1223" s="102" t="s">
        <v>76</v>
      </c>
      <c r="D1223" s="103" t="s">
        <v>63</v>
      </c>
      <c r="E1223" s="104">
        <v>16058</v>
      </c>
      <c r="F1223" s="104">
        <v>1078</v>
      </c>
      <c r="G1223" s="104">
        <v>3854</v>
      </c>
      <c r="H1223" s="116">
        <v>46.88314515799587</v>
      </c>
      <c r="I1223" s="126">
        <v>39672</v>
      </c>
      <c r="J1223" s="117">
        <v>40.715384767468741</v>
      </c>
    </row>
    <row r="1224" spans="1:10" ht="16">
      <c r="A1224" s="93" t="s">
        <v>315</v>
      </c>
      <c r="B1224" s="94" t="s">
        <v>314</v>
      </c>
      <c r="C1224" s="95" t="s">
        <v>76</v>
      </c>
      <c r="D1224" s="96" t="s">
        <v>63</v>
      </c>
      <c r="E1224" s="97">
        <v>68216</v>
      </c>
      <c r="F1224" s="97">
        <v>3609</v>
      </c>
      <c r="G1224" s="97">
        <v>2046</v>
      </c>
      <c r="H1224" s="114">
        <v>13.553569939608199</v>
      </c>
      <c r="I1224" s="125">
        <v>3304</v>
      </c>
      <c r="J1224" s="115">
        <v>18.198923539176167</v>
      </c>
    </row>
    <row r="1225" spans="1:10" ht="16">
      <c r="A1225" s="100" t="s">
        <v>573</v>
      </c>
      <c r="B1225" s="101" t="s">
        <v>537</v>
      </c>
      <c r="C1225" s="102" t="s">
        <v>76</v>
      </c>
      <c r="D1225" s="103" t="s">
        <v>61</v>
      </c>
      <c r="E1225" s="104">
        <v>9980</v>
      </c>
      <c r="F1225" s="104">
        <v>398</v>
      </c>
      <c r="G1225" s="104">
        <v>459</v>
      </c>
      <c r="H1225" s="116">
        <v>12.544056046439877</v>
      </c>
      <c r="I1225" s="126">
        <v>3559</v>
      </c>
      <c r="J1225" s="117">
        <v>17.087696923010622</v>
      </c>
    </row>
    <row r="1226" spans="1:10" ht="16">
      <c r="A1226" s="93" t="s">
        <v>1056</v>
      </c>
      <c r="B1226" s="94" t="s">
        <v>1020</v>
      </c>
      <c r="C1226" s="95" t="s">
        <v>76</v>
      </c>
      <c r="D1226" s="96" t="s">
        <v>59</v>
      </c>
      <c r="E1226" s="97">
        <v>28211</v>
      </c>
      <c r="F1226" s="97">
        <v>2739</v>
      </c>
      <c r="G1226" s="97">
        <v>1693</v>
      </c>
      <c r="H1226" s="114">
        <v>13.467050290392075</v>
      </c>
      <c r="I1226" s="125">
        <v>5916</v>
      </c>
      <c r="J1226" s="115">
        <v>22.20795473797552</v>
      </c>
    </row>
    <row r="1227" spans="1:10" ht="16">
      <c r="A1227" s="100" t="s">
        <v>1079</v>
      </c>
      <c r="B1227" s="101" t="s">
        <v>1072</v>
      </c>
      <c r="C1227" s="102" t="s">
        <v>76</v>
      </c>
      <c r="D1227" s="103" t="s">
        <v>59</v>
      </c>
      <c r="E1227" s="104">
        <v>22609</v>
      </c>
      <c r="F1227" s="104">
        <v>1838</v>
      </c>
      <c r="G1227" s="104">
        <v>4748</v>
      </c>
      <c r="H1227" s="116">
        <v>47.296403264681594</v>
      </c>
      <c r="I1227" s="126">
        <v>41281</v>
      </c>
      <c r="J1227" s="117">
        <v>47.476031369798633</v>
      </c>
    </row>
    <row r="1228" spans="1:10" ht="16">
      <c r="A1228" s="93" t="s">
        <v>1057</v>
      </c>
      <c r="B1228" s="94" t="s">
        <v>1020</v>
      </c>
      <c r="C1228" s="95" t="s">
        <v>76</v>
      </c>
      <c r="D1228" s="96" t="s">
        <v>61</v>
      </c>
      <c r="E1228" s="97">
        <v>42079</v>
      </c>
      <c r="F1228" s="97">
        <v>1670</v>
      </c>
      <c r="G1228" s="97">
        <v>4629</v>
      </c>
      <c r="H1228" s="114">
        <v>11.498697073933227</v>
      </c>
      <c r="I1228" s="125">
        <v>4506</v>
      </c>
      <c r="J1228" s="115">
        <v>19.598734561040459</v>
      </c>
    </row>
    <row r="1229" spans="1:10" ht="16">
      <c r="A1229" s="100" t="s">
        <v>123</v>
      </c>
      <c r="B1229" s="101" t="s">
        <v>89</v>
      </c>
      <c r="C1229" s="102" t="s">
        <v>107</v>
      </c>
      <c r="D1229" s="103" t="s">
        <v>80</v>
      </c>
      <c r="E1229" s="104">
        <v>44336</v>
      </c>
      <c r="F1229" s="104">
        <v>1242</v>
      </c>
      <c r="G1229" s="104">
        <v>18178</v>
      </c>
      <c r="H1229" s="116">
        <v>58.215454345098237</v>
      </c>
      <c r="I1229" s="126">
        <v>48292</v>
      </c>
      <c r="J1229" s="117">
        <v>50.861733151154418</v>
      </c>
    </row>
    <row r="1230" spans="1:10" ht="16">
      <c r="A1230" s="93" t="s">
        <v>1070</v>
      </c>
      <c r="B1230" s="94" t="s">
        <v>1062</v>
      </c>
      <c r="C1230" s="95" t="s">
        <v>76</v>
      </c>
      <c r="D1230" s="96" t="s">
        <v>92</v>
      </c>
      <c r="E1230" s="97">
        <v>25438</v>
      </c>
      <c r="F1230" s="97">
        <v>1523</v>
      </c>
      <c r="G1230" s="97">
        <v>3816</v>
      </c>
      <c r="H1230" s="114">
        <v>56.624095977560366</v>
      </c>
      <c r="I1230" s="125">
        <v>48021</v>
      </c>
      <c r="J1230" s="115">
        <v>42.066019568967342</v>
      </c>
    </row>
    <row r="1231" spans="1:10" ht="16">
      <c r="A1231" s="100" t="s">
        <v>955</v>
      </c>
      <c r="B1231" s="101" t="s">
        <v>919</v>
      </c>
      <c r="C1231" s="102" t="s">
        <v>107</v>
      </c>
      <c r="D1231" s="103" t="s">
        <v>82</v>
      </c>
      <c r="E1231" s="104">
        <v>25000</v>
      </c>
      <c r="F1231" s="104">
        <v>2155</v>
      </c>
      <c r="G1231" s="104">
        <v>2750</v>
      </c>
      <c r="H1231" s="116">
        <v>17.115641227185442</v>
      </c>
      <c r="I1231" s="126">
        <v>2208</v>
      </c>
      <c r="J1231" s="117">
        <v>24.205821747044002</v>
      </c>
    </row>
    <row r="1232" spans="1:10" ht="16">
      <c r="A1232" s="93" t="s">
        <v>574</v>
      </c>
      <c r="B1232" s="94" t="s">
        <v>537</v>
      </c>
      <c r="C1232" s="95" t="s">
        <v>107</v>
      </c>
      <c r="D1232" s="96" t="s">
        <v>62</v>
      </c>
      <c r="E1232" s="97">
        <v>13500</v>
      </c>
      <c r="F1232" s="97">
        <v>472</v>
      </c>
      <c r="G1232" s="97">
        <v>620</v>
      </c>
      <c r="H1232" s="114">
        <v>13.799867972337214</v>
      </c>
      <c r="I1232" s="125">
        <v>2373</v>
      </c>
      <c r="J1232" s="115">
        <v>20.511692960169121</v>
      </c>
    </row>
    <row r="1233" spans="1:10" ht="16">
      <c r="A1233" s="100" t="s">
        <v>830</v>
      </c>
      <c r="B1233" s="101" t="s">
        <v>820</v>
      </c>
      <c r="C1233" s="102" t="s">
        <v>76</v>
      </c>
      <c r="D1233" s="103" t="s">
        <v>77</v>
      </c>
      <c r="E1233" s="104">
        <v>31833</v>
      </c>
      <c r="F1233" s="104">
        <v>2242</v>
      </c>
      <c r="G1233" s="104">
        <v>2865</v>
      </c>
      <c r="H1233" s="116">
        <v>62.062603811051673</v>
      </c>
      <c r="I1233" s="126">
        <v>54159</v>
      </c>
      <c r="J1233" s="117">
        <v>44.302990762039634</v>
      </c>
    </row>
    <row r="1234" spans="1:10" ht="16">
      <c r="A1234" s="93" t="s">
        <v>746</v>
      </c>
      <c r="B1234" s="94" t="s">
        <v>642</v>
      </c>
      <c r="C1234" s="95" t="s">
        <v>107</v>
      </c>
      <c r="D1234" s="96" t="s">
        <v>77</v>
      </c>
      <c r="E1234" s="97">
        <v>4872</v>
      </c>
      <c r="F1234" s="97">
        <v>364</v>
      </c>
      <c r="G1234" s="97">
        <v>195</v>
      </c>
      <c r="H1234" s="114">
        <v>10.893719448577114</v>
      </c>
      <c r="I1234" s="125">
        <v>639</v>
      </c>
      <c r="J1234" s="115">
        <v>18.666621116171697</v>
      </c>
    </row>
    <row r="1235" spans="1:10" ht="16">
      <c r="A1235" s="100" t="s">
        <v>1183</v>
      </c>
      <c r="B1235" s="101" t="s">
        <v>1178</v>
      </c>
      <c r="C1235" s="102" t="s">
        <v>107</v>
      </c>
      <c r="D1235" s="103" t="s">
        <v>80</v>
      </c>
      <c r="E1235" s="104">
        <v>17109</v>
      </c>
      <c r="F1235" s="104">
        <v>1880</v>
      </c>
      <c r="G1235" s="104">
        <v>4277</v>
      </c>
      <c r="H1235" s="116">
        <v>9.3246579577472204</v>
      </c>
      <c r="I1235" s="126">
        <v>922</v>
      </c>
      <c r="J1235" s="117">
        <v>21.463774041991119</v>
      </c>
    </row>
    <row r="1236" spans="1:10" ht="16">
      <c r="A1236" s="93" t="s">
        <v>1447</v>
      </c>
      <c r="B1236" s="94" t="s">
        <v>1288</v>
      </c>
      <c r="C1236" s="95" t="s">
        <v>76</v>
      </c>
      <c r="D1236" s="96" t="s">
        <v>61</v>
      </c>
      <c r="E1236" s="97">
        <v>12006</v>
      </c>
      <c r="F1236" s="97">
        <v>4002</v>
      </c>
      <c r="G1236" s="97">
        <v>1681</v>
      </c>
      <c r="H1236" s="114">
        <v>42.412864161419179</v>
      </c>
      <c r="I1236" s="125">
        <v>40261</v>
      </c>
      <c r="J1236" s="115">
        <v>49.083758245400723</v>
      </c>
    </row>
    <row r="1237" spans="1:10" ht="16">
      <c r="A1237" s="100" t="s">
        <v>637</v>
      </c>
      <c r="B1237" s="101" t="s">
        <v>598</v>
      </c>
      <c r="C1237" s="102" t="s">
        <v>76</v>
      </c>
      <c r="D1237" s="103" t="s">
        <v>59</v>
      </c>
      <c r="E1237" s="104">
        <v>19873</v>
      </c>
      <c r="F1237" s="104">
        <v>723</v>
      </c>
      <c r="G1237" s="104">
        <v>994</v>
      </c>
      <c r="H1237" s="116">
        <v>21.203478754092728</v>
      </c>
      <c r="I1237" s="126">
        <v>13035</v>
      </c>
      <c r="J1237" s="117">
        <v>32.411869857652654</v>
      </c>
    </row>
    <row r="1238" spans="1:10" ht="16">
      <c r="A1238" s="93" t="s">
        <v>124</v>
      </c>
      <c r="B1238" s="94" t="s">
        <v>89</v>
      </c>
      <c r="C1238" s="95" t="s">
        <v>76</v>
      </c>
      <c r="D1238" s="96" t="s">
        <v>59</v>
      </c>
      <c r="E1238" s="97">
        <v>14815</v>
      </c>
      <c r="F1238" s="97">
        <v>460</v>
      </c>
      <c r="G1238" s="97">
        <v>3407</v>
      </c>
      <c r="H1238" s="114">
        <v>26.067389576876785</v>
      </c>
      <c r="I1238" s="125">
        <v>19622</v>
      </c>
      <c r="J1238" s="115">
        <v>24.647320682784507</v>
      </c>
    </row>
    <row r="1239" spans="1:10" ht="16">
      <c r="A1239" s="100" t="s">
        <v>841</v>
      </c>
      <c r="B1239" s="101" t="s">
        <v>834</v>
      </c>
      <c r="C1239" s="102" t="s">
        <v>76</v>
      </c>
      <c r="D1239" s="103" t="s">
        <v>80</v>
      </c>
      <c r="E1239" s="104">
        <v>17442</v>
      </c>
      <c r="F1239" s="104">
        <v>923</v>
      </c>
      <c r="G1239" s="104">
        <v>3663</v>
      </c>
      <c r="H1239" s="116">
        <v>32.415151142156937</v>
      </c>
      <c r="I1239" s="126">
        <v>14598</v>
      </c>
      <c r="J1239" s="117">
        <v>23.483839859082831</v>
      </c>
    </row>
    <row r="1240" spans="1:10" ht="16">
      <c r="A1240" s="93" t="s">
        <v>138</v>
      </c>
      <c r="B1240" s="94" t="s">
        <v>127</v>
      </c>
      <c r="C1240" s="95" t="s">
        <v>107</v>
      </c>
      <c r="D1240" s="96" t="s">
        <v>59</v>
      </c>
      <c r="E1240" s="97">
        <v>10464</v>
      </c>
      <c r="F1240" s="97">
        <v>526</v>
      </c>
      <c r="G1240" s="97">
        <v>3035</v>
      </c>
      <c r="H1240" s="114">
        <v>37.090693954881928</v>
      </c>
      <c r="I1240" s="125">
        <v>16839</v>
      </c>
      <c r="J1240" s="115">
        <v>39.289727401561173</v>
      </c>
    </row>
    <row r="1241" spans="1:10" ht="16">
      <c r="A1241" s="100" t="s">
        <v>1462</v>
      </c>
      <c r="B1241" s="101" t="s">
        <v>1461</v>
      </c>
      <c r="C1241" s="102" t="s">
        <v>76</v>
      </c>
      <c r="D1241" s="103" t="s">
        <v>84</v>
      </c>
      <c r="E1241" s="104">
        <v>63479</v>
      </c>
      <c r="F1241" s="104">
        <v>2925</v>
      </c>
      <c r="G1241" s="104">
        <v>635</v>
      </c>
      <c r="H1241" s="116">
        <v>9.1606919838750009</v>
      </c>
      <c r="I1241" s="126">
        <v>1439</v>
      </c>
      <c r="J1241" s="117">
        <v>14.237519160576861</v>
      </c>
    </row>
    <row r="1242" spans="1:10" ht="16">
      <c r="A1242" s="93" t="s">
        <v>1463</v>
      </c>
      <c r="B1242" s="94" t="s">
        <v>1461</v>
      </c>
      <c r="C1242" s="95" t="s">
        <v>76</v>
      </c>
      <c r="D1242" s="96" t="s">
        <v>77</v>
      </c>
      <c r="E1242" s="97">
        <v>32944</v>
      </c>
      <c r="F1242" s="97">
        <v>2459</v>
      </c>
      <c r="G1242" s="97">
        <v>329</v>
      </c>
      <c r="H1242" s="114">
        <v>9.9101493513306966</v>
      </c>
      <c r="I1242" s="125">
        <v>3557</v>
      </c>
      <c r="J1242" s="115">
        <v>22.272126091759972</v>
      </c>
    </row>
    <row r="1243" spans="1:10" ht="16">
      <c r="A1243" s="100" t="s">
        <v>774</v>
      </c>
      <c r="B1243" s="101" t="s">
        <v>773</v>
      </c>
      <c r="C1243" s="102" t="s">
        <v>107</v>
      </c>
      <c r="D1243" s="103" t="s">
        <v>92</v>
      </c>
      <c r="E1243" s="104">
        <v>9551</v>
      </c>
      <c r="F1243" s="104">
        <v>677</v>
      </c>
      <c r="G1243" s="104">
        <v>955</v>
      </c>
      <c r="H1243" s="116">
        <v>13.116599780270464</v>
      </c>
      <c r="I1243" s="126">
        <v>3992</v>
      </c>
      <c r="J1243" s="117">
        <v>17.094879461291974</v>
      </c>
    </row>
    <row r="1244" spans="1:10" ht="16">
      <c r="A1244" s="93" t="s">
        <v>775</v>
      </c>
      <c r="B1244" s="94" t="s">
        <v>773</v>
      </c>
      <c r="C1244" s="95" t="s">
        <v>76</v>
      </c>
      <c r="D1244" s="96" t="s">
        <v>60</v>
      </c>
      <c r="E1244" s="97">
        <v>16216</v>
      </c>
      <c r="F1244" s="97">
        <v>1501</v>
      </c>
      <c r="G1244" s="97">
        <v>1459</v>
      </c>
      <c r="H1244" s="114">
        <v>15.18176062705502</v>
      </c>
      <c r="I1244" s="125">
        <v>5400</v>
      </c>
      <c r="J1244" s="115">
        <v>19.955286364117121</v>
      </c>
    </row>
    <row r="1245" spans="1:10" ht="16">
      <c r="A1245" s="100" t="s">
        <v>1448</v>
      </c>
      <c r="B1245" s="101" t="s">
        <v>1288</v>
      </c>
      <c r="C1245" s="102" t="s">
        <v>107</v>
      </c>
      <c r="D1245" s="103" t="s">
        <v>59</v>
      </c>
      <c r="E1245" s="104">
        <v>32838</v>
      </c>
      <c r="F1245" s="104">
        <v>1794</v>
      </c>
      <c r="G1245" s="104">
        <v>4597</v>
      </c>
      <c r="H1245" s="116">
        <v>42.360293898158659</v>
      </c>
      <c r="I1245" s="126">
        <v>30092</v>
      </c>
      <c r="J1245" s="117">
        <v>37.513839363706772</v>
      </c>
    </row>
    <row r="1246" spans="1:10" ht="16">
      <c r="A1246" s="93" t="s">
        <v>528</v>
      </c>
      <c r="B1246" s="94" t="s">
        <v>474</v>
      </c>
      <c r="C1246" s="95" t="s">
        <v>107</v>
      </c>
      <c r="D1246" s="96" t="s">
        <v>59</v>
      </c>
      <c r="E1246" s="97">
        <v>33380</v>
      </c>
      <c r="F1246" s="97">
        <v>1677</v>
      </c>
      <c r="G1246" s="97">
        <v>334</v>
      </c>
      <c r="H1246" s="114">
        <v>12.939965622098892</v>
      </c>
      <c r="I1246" s="125">
        <v>5655</v>
      </c>
      <c r="J1246" s="115">
        <v>20.800167184185234</v>
      </c>
    </row>
    <row r="1247" spans="1:10" ht="16">
      <c r="A1247" s="100" t="s">
        <v>638</v>
      </c>
      <c r="B1247" s="101" t="s">
        <v>598</v>
      </c>
      <c r="C1247" s="102" t="s">
        <v>76</v>
      </c>
      <c r="D1247" s="103" t="s">
        <v>80</v>
      </c>
      <c r="E1247" s="104">
        <v>2610</v>
      </c>
      <c r="F1247" s="104">
        <v>244</v>
      </c>
      <c r="G1247" s="104">
        <v>78</v>
      </c>
      <c r="H1247" s="116">
        <v>23.006270146558656</v>
      </c>
      <c r="I1247" s="126">
        <v>21935</v>
      </c>
      <c r="J1247" s="117">
        <v>38.929621748575258</v>
      </c>
    </row>
    <row r="1248" spans="1:10" ht="16">
      <c r="A1248" s="93" t="s">
        <v>956</v>
      </c>
      <c r="B1248" s="94" t="s">
        <v>919</v>
      </c>
      <c r="C1248" s="95" t="s">
        <v>107</v>
      </c>
      <c r="D1248" s="96" t="s">
        <v>77</v>
      </c>
      <c r="E1248" s="97">
        <v>14764</v>
      </c>
      <c r="F1248" s="97">
        <v>984</v>
      </c>
      <c r="G1248" s="97">
        <v>1033</v>
      </c>
      <c r="H1248" s="114">
        <v>10.163807695817107</v>
      </c>
      <c r="I1248" s="125">
        <v>2040</v>
      </c>
      <c r="J1248" s="115">
        <v>15.724676477504497</v>
      </c>
    </row>
    <row r="1249" spans="1:10" ht="16">
      <c r="A1249" s="100" t="s">
        <v>957</v>
      </c>
      <c r="B1249" s="101" t="s">
        <v>919</v>
      </c>
      <c r="C1249" s="102" t="s">
        <v>76</v>
      </c>
      <c r="D1249" s="103" t="s">
        <v>77</v>
      </c>
      <c r="E1249" s="104">
        <v>15246</v>
      </c>
      <c r="F1249" s="104">
        <v>1386</v>
      </c>
      <c r="G1249" s="104">
        <v>1525</v>
      </c>
      <c r="H1249" s="116">
        <v>9.0664947648346406</v>
      </c>
      <c r="I1249" s="126">
        <v>371</v>
      </c>
      <c r="J1249" s="117">
        <v>21.559038263249995</v>
      </c>
    </row>
    <row r="1250" spans="1:10" ht="16">
      <c r="A1250" s="93" t="s">
        <v>831</v>
      </c>
      <c r="B1250" s="94" t="s">
        <v>820</v>
      </c>
      <c r="C1250" s="95" t="s">
        <v>76</v>
      </c>
      <c r="D1250" s="96" t="s">
        <v>63</v>
      </c>
      <c r="E1250" s="97">
        <v>23025</v>
      </c>
      <c r="F1250" s="97">
        <v>1395</v>
      </c>
      <c r="G1250" s="97">
        <v>2303</v>
      </c>
      <c r="H1250" s="114">
        <v>48.523201892410377</v>
      </c>
      <c r="I1250" s="125">
        <v>42596</v>
      </c>
      <c r="J1250" s="115">
        <v>36.105517447313098</v>
      </c>
    </row>
    <row r="1251" spans="1:10" ht="16">
      <c r="A1251" s="100" t="s">
        <v>148</v>
      </c>
      <c r="B1251" s="101" t="s">
        <v>144</v>
      </c>
      <c r="C1251" s="102" t="s">
        <v>76</v>
      </c>
      <c r="D1251" s="103" t="s">
        <v>130</v>
      </c>
      <c r="E1251" s="104">
        <v>11371</v>
      </c>
      <c r="F1251" s="104">
        <v>400</v>
      </c>
      <c r="G1251" s="104">
        <v>2502</v>
      </c>
      <c r="H1251" s="116">
        <v>42.643255617401834</v>
      </c>
      <c r="I1251" s="126">
        <v>26545</v>
      </c>
      <c r="J1251" s="117">
        <v>38.326609628269132</v>
      </c>
    </row>
    <row r="1252" spans="1:10" ht="16">
      <c r="A1252" s="93" t="s">
        <v>334</v>
      </c>
      <c r="B1252" s="94" t="s">
        <v>322</v>
      </c>
      <c r="C1252" s="95" t="s">
        <v>107</v>
      </c>
      <c r="D1252" s="96" t="s">
        <v>60</v>
      </c>
      <c r="E1252" s="97">
        <v>13381</v>
      </c>
      <c r="F1252" s="97">
        <v>910</v>
      </c>
      <c r="G1252" s="97">
        <v>1740</v>
      </c>
      <c r="H1252" s="114">
        <v>13.290339155033283</v>
      </c>
      <c r="I1252" s="125">
        <v>1415</v>
      </c>
      <c r="J1252" s="115">
        <v>19.30444962792507</v>
      </c>
    </row>
    <row r="1253" spans="1:10" ht="16">
      <c r="A1253" s="100" t="s">
        <v>832</v>
      </c>
      <c r="B1253" s="101" t="s">
        <v>820</v>
      </c>
      <c r="C1253" s="102" t="s">
        <v>76</v>
      </c>
      <c r="D1253" s="103" t="s">
        <v>80</v>
      </c>
      <c r="E1253" s="104">
        <v>13914</v>
      </c>
      <c r="F1253" s="104">
        <v>653</v>
      </c>
      <c r="G1253" s="104">
        <v>3757</v>
      </c>
      <c r="H1253" s="116">
        <v>57.990972486704145</v>
      </c>
      <c r="I1253" s="126">
        <v>54911</v>
      </c>
      <c r="J1253" s="117">
        <v>49.659202702313202</v>
      </c>
    </row>
    <row r="1254" spans="1:10" ht="16">
      <c r="A1254" s="93" t="s">
        <v>1449</v>
      </c>
      <c r="B1254" s="94" t="s">
        <v>1288</v>
      </c>
      <c r="C1254" s="95" t="s">
        <v>76</v>
      </c>
      <c r="D1254" s="96" t="s">
        <v>63</v>
      </c>
      <c r="E1254" s="97">
        <v>7675</v>
      </c>
      <c r="F1254" s="97">
        <v>1919</v>
      </c>
      <c r="G1254" s="97">
        <v>691</v>
      </c>
      <c r="H1254" s="114">
        <v>19.628118927489414</v>
      </c>
      <c r="I1254" s="125">
        <v>17715</v>
      </c>
      <c r="J1254" s="115">
        <v>43.290893434910636</v>
      </c>
    </row>
    <row r="1255" spans="1:10" ht="16">
      <c r="A1255" s="100" t="s">
        <v>890</v>
      </c>
      <c r="B1255" s="101" t="s">
        <v>879</v>
      </c>
      <c r="C1255" s="102" t="s">
        <v>107</v>
      </c>
      <c r="D1255" s="103" t="s">
        <v>62</v>
      </c>
      <c r="E1255" s="104">
        <v>29709</v>
      </c>
      <c r="F1255" s="104">
        <v>2303</v>
      </c>
      <c r="G1255" s="104">
        <v>1783</v>
      </c>
      <c r="H1255" s="116">
        <v>11.982689949918345</v>
      </c>
      <c r="I1255" s="126">
        <v>3692</v>
      </c>
      <c r="J1255" s="117">
        <v>20.039376795484841</v>
      </c>
    </row>
    <row r="1256" spans="1:10" ht="16">
      <c r="A1256" s="93" t="s">
        <v>747</v>
      </c>
      <c r="B1256" s="94" t="s">
        <v>642</v>
      </c>
      <c r="C1256" s="95" t="s">
        <v>107</v>
      </c>
      <c r="D1256" s="96" t="s">
        <v>82</v>
      </c>
      <c r="E1256" s="97">
        <v>48839</v>
      </c>
      <c r="F1256" s="97">
        <v>3464</v>
      </c>
      <c r="G1256" s="97">
        <v>4884</v>
      </c>
      <c r="H1256" s="114">
        <v>23.667176786013407</v>
      </c>
      <c r="I1256" s="125">
        <v>6478</v>
      </c>
      <c r="J1256" s="115">
        <v>31.4556219041277</v>
      </c>
    </row>
    <row r="1257" spans="1:10" ht="16">
      <c r="A1257" s="100" t="s">
        <v>1450</v>
      </c>
      <c r="B1257" s="101" t="s">
        <v>1288</v>
      </c>
      <c r="C1257" s="102" t="s">
        <v>76</v>
      </c>
      <c r="D1257" s="103" t="s">
        <v>82</v>
      </c>
      <c r="E1257" s="104">
        <v>27957</v>
      </c>
      <c r="F1257" s="104">
        <v>1545</v>
      </c>
      <c r="G1257" s="104">
        <v>1957</v>
      </c>
      <c r="H1257" s="116">
        <v>29.547626860314086</v>
      </c>
      <c r="I1257" s="126">
        <v>20590</v>
      </c>
      <c r="J1257" s="117">
        <v>30.951086136346508</v>
      </c>
    </row>
    <row r="1258" spans="1:10" ht="16">
      <c r="A1258" s="93" t="s">
        <v>1451</v>
      </c>
      <c r="B1258" s="94" t="s">
        <v>1288</v>
      </c>
      <c r="C1258" s="95" t="s">
        <v>107</v>
      </c>
      <c r="D1258" s="96" t="s">
        <v>59</v>
      </c>
      <c r="E1258" s="97">
        <v>13401</v>
      </c>
      <c r="F1258" s="97">
        <v>1787</v>
      </c>
      <c r="G1258" s="97">
        <v>2680</v>
      </c>
      <c r="H1258" s="114">
        <v>57.52550897095368</v>
      </c>
      <c r="I1258" s="125">
        <v>56945</v>
      </c>
      <c r="J1258" s="115">
        <v>64.389019387886918</v>
      </c>
    </row>
    <row r="1259" spans="1:10" ht="16">
      <c r="A1259" s="100" t="s">
        <v>1452</v>
      </c>
      <c r="B1259" s="101" t="s">
        <v>1288</v>
      </c>
      <c r="C1259" s="102" t="s">
        <v>76</v>
      </c>
      <c r="D1259" s="103" t="s">
        <v>92</v>
      </c>
      <c r="E1259" s="104">
        <v>22295</v>
      </c>
      <c r="F1259" s="104">
        <v>1973</v>
      </c>
      <c r="G1259" s="104">
        <v>2007</v>
      </c>
      <c r="H1259" s="116">
        <v>18.53686007391121</v>
      </c>
      <c r="I1259" s="126">
        <v>15154</v>
      </c>
      <c r="J1259" s="117">
        <v>34.092410573027486</v>
      </c>
    </row>
    <row r="1260" spans="1:10" ht="16">
      <c r="A1260" s="93" t="s">
        <v>293</v>
      </c>
      <c r="B1260" s="94" t="s">
        <v>223</v>
      </c>
      <c r="C1260" s="95" t="s">
        <v>76</v>
      </c>
      <c r="D1260" s="96" t="s">
        <v>82</v>
      </c>
      <c r="E1260" s="97">
        <v>15971</v>
      </c>
      <c r="F1260" s="97">
        <v>1365</v>
      </c>
      <c r="G1260" s="97">
        <v>799</v>
      </c>
      <c r="H1260" s="114">
        <v>12.881258107677052</v>
      </c>
      <c r="I1260" s="125">
        <v>3631</v>
      </c>
      <c r="J1260" s="115">
        <v>17.204374346325942</v>
      </c>
    </row>
    <row r="1261" spans="1:10" ht="16">
      <c r="A1261" s="100" t="s">
        <v>917</v>
      </c>
      <c r="B1261" s="101" t="s">
        <v>909</v>
      </c>
      <c r="C1261" s="102" t="s">
        <v>76</v>
      </c>
      <c r="D1261" s="103" t="s">
        <v>60</v>
      </c>
      <c r="E1261" s="104">
        <v>13550</v>
      </c>
      <c r="F1261" s="104">
        <v>753</v>
      </c>
      <c r="G1261" s="104">
        <v>542</v>
      </c>
      <c r="H1261" s="116">
        <v>10.127270699116147</v>
      </c>
      <c r="I1261" s="126">
        <v>1153</v>
      </c>
      <c r="J1261" s="117">
        <v>18.059013023573947</v>
      </c>
    </row>
    <row r="1262" spans="1:10" ht="16">
      <c r="A1262" s="93" t="s">
        <v>1453</v>
      </c>
      <c r="B1262" s="94" t="s">
        <v>1288</v>
      </c>
      <c r="C1262" s="95" t="s">
        <v>107</v>
      </c>
      <c r="D1262" s="96" t="s">
        <v>59</v>
      </c>
      <c r="E1262" s="97">
        <v>25966</v>
      </c>
      <c r="F1262" s="97">
        <v>1404</v>
      </c>
      <c r="G1262" s="97">
        <v>2077</v>
      </c>
      <c r="H1262" s="114">
        <v>17.653126120076958</v>
      </c>
      <c r="I1262" s="125">
        <v>10158</v>
      </c>
      <c r="J1262" s="115">
        <v>28.24500606045229</v>
      </c>
    </row>
    <row r="1263" spans="1:10" ht="16">
      <c r="A1263" s="100" t="s">
        <v>125</v>
      </c>
      <c r="B1263" s="101" t="s">
        <v>89</v>
      </c>
      <c r="C1263" s="102" t="s">
        <v>76</v>
      </c>
      <c r="D1263" s="103" t="s">
        <v>63</v>
      </c>
      <c r="E1263" s="104">
        <v>32259</v>
      </c>
      <c r="F1263" s="104">
        <v>904</v>
      </c>
      <c r="G1263" s="104">
        <v>5484</v>
      </c>
      <c r="H1263" s="116">
        <v>30.016332275485492</v>
      </c>
      <c r="I1263" s="126">
        <v>24156</v>
      </c>
      <c r="J1263" s="117">
        <v>24.141431365394538</v>
      </c>
    </row>
    <row r="1264" spans="1:10" ht="16">
      <c r="A1264" s="93" t="s">
        <v>209</v>
      </c>
      <c r="B1264" s="94" t="s">
        <v>184</v>
      </c>
      <c r="C1264" s="95" t="s">
        <v>76</v>
      </c>
      <c r="D1264" s="96" t="s">
        <v>62</v>
      </c>
      <c r="E1264" s="97">
        <v>29865</v>
      </c>
      <c r="F1264" s="97">
        <v>1293</v>
      </c>
      <c r="G1264" s="97">
        <v>5376</v>
      </c>
      <c r="H1264" s="114">
        <v>35.903626296226442</v>
      </c>
      <c r="I1264" s="125">
        <v>27298</v>
      </c>
      <c r="J1264" s="115">
        <v>40.348413847824617</v>
      </c>
    </row>
    <row r="1265" spans="1:10" ht="16">
      <c r="A1265" s="100" t="s">
        <v>1454</v>
      </c>
      <c r="B1265" s="101" t="s">
        <v>1288</v>
      </c>
      <c r="C1265" s="102" t="s">
        <v>76</v>
      </c>
      <c r="D1265" s="103" t="s">
        <v>61</v>
      </c>
      <c r="E1265" s="104">
        <v>13726</v>
      </c>
      <c r="F1265" s="104">
        <v>775</v>
      </c>
      <c r="G1265" s="104">
        <v>137</v>
      </c>
      <c r="H1265" s="116">
        <v>11.578022948551208</v>
      </c>
      <c r="I1265" s="126">
        <v>6697</v>
      </c>
      <c r="J1265" s="117">
        <v>16.545491128934767</v>
      </c>
    </row>
    <row r="1266" spans="1:10" ht="16">
      <c r="A1266" s="93" t="s">
        <v>1455</v>
      </c>
      <c r="B1266" s="94" t="s">
        <v>1288</v>
      </c>
      <c r="C1266" s="95" t="s">
        <v>76</v>
      </c>
      <c r="D1266" s="96" t="s">
        <v>82</v>
      </c>
      <c r="E1266" s="97">
        <v>8235</v>
      </c>
      <c r="F1266" s="97">
        <v>722</v>
      </c>
      <c r="G1266" s="97">
        <v>741</v>
      </c>
      <c r="H1266" s="114">
        <v>21.836526218859134</v>
      </c>
      <c r="I1266" s="125">
        <v>18530</v>
      </c>
      <c r="J1266" s="115">
        <v>48.246351754889446</v>
      </c>
    </row>
    <row r="1267" spans="1:10" ht="16">
      <c r="A1267" s="100" t="s">
        <v>1456</v>
      </c>
      <c r="B1267" s="101" t="s">
        <v>1288</v>
      </c>
      <c r="C1267" s="102" t="s">
        <v>107</v>
      </c>
      <c r="D1267" s="103" t="s">
        <v>82</v>
      </c>
      <c r="E1267" s="104">
        <v>5733</v>
      </c>
      <c r="F1267" s="104">
        <v>451</v>
      </c>
      <c r="G1267" s="104">
        <v>1261</v>
      </c>
      <c r="H1267" s="116">
        <v>18.465972672048135</v>
      </c>
      <c r="I1267" s="126">
        <v>10569</v>
      </c>
      <c r="J1267" s="117">
        <v>20.344295995356333</v>
      </c>
    </row>
    <row r="1268" spans="1:10" ht="16">
      <c r="A1268" s="93" t="s">
        <v>891</v>
      </c>
      <c r="B1268" s="94" t="s">
        <v>879</v>
      </c>
      <c r="C1268" s="95" t="s">
        <v>107</v>
      </c>
      <c r="D1268" s="96" t="s">
        <v>62</v>
      </c>
      <c r="E1268" s="97">
        <v>28329</v>
      </c>
      <c r="F1268" s="97">
        <v>1914</v>
      </c>
      <c r="G1268" s="97">
        <v>850</v>
      </c>
      <c r="H1268" s="114">
        <v>11.70068825531675</v>
      </c>
      <c r="I1268" s="125">
        <v>2401</v>
      </c>
      <c r="J1268" s="115">
        <v>16.823685669364256</v>
      </c>
    </row>
    <row r="1269" spans="1:10" ht="16">
      <c r="A1269" s="100" t="s">
        <v>294</v>
      </c>
      <c r="B1269" s="101" t="s">
        <v>223</v>
      </c>
      <c r="C1269" s="102" t="s">
        <v>76</v>
      </c>
      <c r="D1269" s="103" t="s">
        <v>84</v>
      </c>
      <c r="E1269" s="104">
        <v>52502</v>
      </c>
      <c r="F1269" s="104">
        <v>3596</v>
      </c>
      <c r="G1269" s="104">
        <v>3675</v>
      </c>
      <c r="H1269" s="116">
        <v>34.104725954199353</v>
      </c>
      <c r="I1269" s="126">
        <v>17920</v>
      </c>
      <c r="J1269" s="117">
        <v>44.594895427858859</v>
      </c>
    </row>
    <row r="1270" spans="1:10" ht="16">
      <c r="A1270" s="93" t="s">
        <v>295</v>
      </c>
      <c r="B1270" s="94" t="s">
        <v>223</v>
      </c>
      <c r="C1270" s="95" t="s">
        <v>107</v>
      </c>
      <c r="D1270" s="96" t="s">
        <v>59</v>
      </c>
      <c r="E1270" s="97">
        <v>51684</v>
      </c>
      <c r="F1270" s="97">
        <v>3692</v>
      </c>
      <c r="G1270" s="97">
        <v>1551</v>
      </c>
      <c r="H1270" s="114">
        <v>13.955662361785864</v>
      </c>
      <c r="I1270" s="125">
        <v>5583</v>
      </c>
      <c r="J1270" s="115">
        <v>19.003806938379089</v>
      </c>
    </row>
    <row r="1271" spans="1:10" ht="16">
      <c r="A1271" s="100" t="s">
        <v>296</v>
      </c>
      <c r="B1271" s="101" t="s">
        <v>223</v>
      </c>
      <c r="C1271" s="102" t="s">
        <v>107</v>
      </c>
      <c r="D1271" s="103" t="s">
        <v>80</v>
      </c>
      <c r="E1271" s="104">
        <v>40841</v>
      </c>
      <c r="F1271" s="104">
        <v>2797</v>
      </c>
      <c r="G1271" s="104">
        <v>1634</v>
      </c>
      <c r="H1271" s="116">
        <v>23.861396616223185</v>
      </c>
      <c r="I1271" s="126">
        <v>13180</v>
      </c>
      <c r="J1271" s="117">
        <v>27.766722937950917</v>
      </c>
    </row>
    <row r="1272" spans="1:10" ht="16">
      <c r="A1272" s="93" t="s">
        <v>297</v>
      </c>
      <c r="B1272" s="94" t="s">
        <v>223</v>
      </c>
      <c r="C1272" s="95" t="s">
        <v>76</v>
      </c>
      <c r="D1272" s="96" t="s">
        <v>92</v>
      </c>
      <c r="E1272" s="97">
        <v>31340</v>
      </c>
      <c r="F1272" s="97">
        <v>1478</v>
      </c>
      <c r="G1272" s="97">
        <v>313</v>
      </c>
      <c r="H1272" s="114">
        <v>12.307132245628974</v>
      </c>
      <c r="I1272" s="125">
        <v>5616</v>
      </c>
      <c r="J1272" s="115">
        <v>14.955258530684654</v>
      </c>
    </row>
    <row r="1273" spans="1:10" ht="16">
      <c r="A1273" s="100" t="s">
        <v>298</v>
      </c>
      <c r="B1273" s="101" t="s">
        <v>223</v>
      </c>
      <c r="C1273" s="102" t="s">
        <v>107</v>
      </c>
      <c r="D1273" s="103" t="s">
        <v>82</v>
      </c>
      <c r="E1273" s="104">
        <v>34140</v>
      </c>
      <c r="F1273" s="104">
        <v>1996</v>
      </c>
      <c r="G1273" s="104">
        <v>1024</v>
      </c>
      <c r="H1273" s="116">
        <v>17.996829916275459</v>
      </c>
      <c r="I1273" s="126">
        <v>5730</v>
      </c>
      <c r="J1273" s="117">
        <v>21.858420406090517</v>
      </c>
    </row>
    <row r="1274" spans="1:10" ht="16">
      <c r="A1274" s="93" t="s">
        <v>1457</v>
      </c>
      <c r="B1274" s="94" t="s">
        <v>1288</v>
      </c>
      <c r="C1274" s="95" t="s">
        <v>107</v>
      </c>
      <c r="D1274" s="96" t="s">
        <v>80</v>
      </c>
      <c r="E1274" s="97">
        <v>12402</v>
      </c>
      <c r="F1274" s="97">
        <v>2297</v>
      </c>
      <c r="G1274" s="97">
        <v>2480</v>
      </c>
      <c r="H1274" s="114">
        <v>95.753802794669014</v>
      </c>
      <c r="I1274" s="125">
        <v>92346</v>
      </c>
      <c r="J1274" s="115">
        <v>92.335516306691872</v>
      </c>
    </row>
    <row r="1275" spans="1:10" ht="16">
      <c r="A1275" s="100" t="s">
        <v>748</v>
      </c>
      <c r="B1275" s="101" t="s">
        <v>642</v>
      </c>
      <c r="C1275" s="102" t="s">
        <v>107</v>
      </c>
      <c r="D1275" s="103" t="s">
        <v>60</v>
      </c>
      <c r="E1275" s="104">
        <v>8913</v>
      </c>
      <c r="F1275" s="104">
        <v>1024</v>
      </c>
      <c r="G1275" s="104">
        <v>178</v>
      </c>
      <c r="H1275" s="116">
        <v>13.017027651410972</v>
      </c>
      <c r="I1275" s="126">
        <v>2168</v>
      </c>
      <c r="J1275" s="117">
        <v>22.146360022711704</v>
      </c>
    </row>
    <row r="1276" spans="1:10" ht="16">
      <c r="A1276" s="93" t="s">
        <v>749</v>
      </c>
      <c r="B1276" s="94" t="s">
        <v>642</v>
      </c>
      <c r="C1276" s="95" t="s">
        <v>107</v>
      </c>
      <c r="D1276" s="96" t="s">
        <v>59</v>
      </c>
      <c r="E1276" s="97">
        <v>10580</v>
      </c>
      <c r="F1276" s="97">
        <v>980</v>
      </c>
      <c r="G1276" s="97">
        <v>529</v>
      </c>
      <c r="H1276" s="114">
        <v>13.221317604282762</v>
      </c>
      <c r="I1276" s="125">
        <v>1910</v>
      </c>
      <c r="J1276" s="115">
        <v>21.319600754042881</v>
      </c>
    </row>
    <row r="1277" spans="1:10" ht="16">
      <c r="A1277" s="100" t="s">
        <v>299</v>
      </c>
      <c r="B1277" s="101" t="s">
        <v>223</v>
      </c>
      <c r="C1277" s="102" t="s">
        <v>76</v>
      </c>
      <c r="D1277" s="103" t="s">
        <v>130</v>
      </c>
      <c r="E1277" s="104">
        <v>36880</v>
      </c>
      <c r="F1277" s="104">
        <v>2442</v>
      </c>
      <c r="G1277" s="104">
        <v>1106</v>
      </c>
      <c r="H1277" s="116">
        <v>10.867089727047858</v>
      </c>
      <c r="I1277" s="126">
        <v>4490</v>
      </c>
      <c r="J1277" s="117">
        <v>15.374382011241819</v>
      </c>
    </row>
    <row r="1278" spans="1:10" ht="16">
      <c r="A1278" s="93" t="s">
        <v>300</v>
      </c>
      <c r="B1278" s="94" t="s">
        <v>223</v>
      </c>
      <c r="C1278" s="95" t="s">
        <v>107</v>
      </c>
      <c r="D1278" s="96" t="s">
        <v>61</v>
      </c>
      <c r="E1278" s="97">
        <v>32748</v>
      </c>
      <c r="F1278" s="97">
        <v>2140</v>
      </c>
      <c r="G1278" s="97">
        <v>327</v>
      </c>
      <c r="H1278" s="114">
        <v>11.920881054217027</v>
      </c>
      <c r="I1278" s="125">
        <v>1749</v>
      </c>
      <c r="J1278" s="115">
        <v>18.098877058173908</v>
      </c>
    </row>
    <row r="1279" spans="1:10" ht="16">
      <c r="A1279" s="100" t="s">
        <v>757</v>
      </c>
      <c r="B1279" s="101" t="s">
        <v>753</v>
      </c>
      <c r="C1279" s="102" t="s">
        <v>76</v>
      </c>
      <c r="D1279" s="103" t="s">
        <v>130</v>
      </c>
      <c r="E1279" s="104">
        <v>35353</v>
      </c>
      <c r="F1279" s="104">
        <v>1163</v>
      </c>
      <c r="G1279" s="104">
        <v>3182</v>
      </c>
      <c r="H1279" s="116">
        <v>8.4522770150986961</v>
      </c>
      <c r="I1279" s="126">
        <v>661</v>
      </c>
      <c r="J1279" s="117">
        <v>20.041170810801013</v>
      </c>
    </row>
    <row r="1280" spans="1:10" ht="16">
      <c r="A1280" s="93" t="s">
        <v>575</v>
      </c>
      <c r="B1280" s="94" t="s">
        <v>537</v>
      </c>
      <c r="C1280" s="95" t="s">
        <v>107</v>
      </c>
      <c r="D1280" s="96" t="s">
        <v>82</v>
      </c>
      <c r="E1280" s="97">
        <v>6332</v>
      </c>
      <c r="F1280" s="97">
        <v>230</v>
      </c>
      <c r="G1280" s="97">
        <v>441</v>
      </c>
      <c r="H1280" s="114">
        <v>15.577158707973823</v>
      </c>
      <c r="I1280" s="125">
        <v>14244</v>
      </c>
      <c r="J1280" s="115">
        <v>16.023496533608199</v>
      </c>
    </row>
    <row r="1281" spans="1:10" ht="16">
      <c r="A1281" s="100" t="s">
        <v>576</v>
      </c>
      <c r="B1281" s="101" t="s">
        <v>537</v>
      </c>
      <c r="C1281" s="102" t="s">
        <v>76</v>
      </c>
      <c r="D1281" s="103" t="s">
        <v>77</v>
      </c>
      <c r="E1281" s="104">
        <v>13745</v>
      </c>
      <c r="F1281" s="104">
        <v>455</v>
      </c>
      <c r="G1281" s="104">
        <v>137</v>
      </c>
      <c r="H1281" s="116">
        <v>14.508745921706616</v>
      </c>
      <c r="I1281" s="126">
        <v>2391</v>
      </c>
      <c r="J1281" s="117">
        <v>17.073060438599079</v>
      </c>
    </row>
    <row r="1282" spans="1:10" ht="16">
      <c r="A1282" s="93" t="s">
        <v>1173</v>
      </c>
      <c r="B1282" s="94" t="s">
        <v>1142</v>
      </c>
      <c r="C1282" s="95" t="s">
        <v>76</v>
      </c>
      <c r="D1282" s="96" t="s">
        <v>130</v>
      </c>
      <c r="E1282" s="97">
        <v>19508</v>
      </c>
      <c r="F1282" s="97">
        <v>522</v>
      </c>
      <c r="G1282" s="97">
        <v>390</v>
      </c>
      <c r="H1282" s="114">
        <v>12.525286096617732</v>
      </c>
      <c r="I1282" s="125">
        <v>1483</v>
      </c>
      <c r="J1282" s="115">
        <v>19.254613271619721</v>
      </c>
    </row>
    <row r="1283" spans="1:10" ht="16">
      <c r="A1283" s="100" t="s">
        <v>1017</v>
      </c>
      <c r="B1283" s="101" t="s">
        <v>988</v>
      </c>
      <c r="C1283" s="102" t="s">
        <v>107</v>
      </c>
      <c r="D1283" s="103" t="s">
        <v>82</v>
      </c>
      <c r="E1283" s="104">
        <v>20135</v>
      </c>
      <c r="F1283" s="104">
        <v>1360</v>
      </c>
      <c r="G1283" s="104">
        <v>1007</v>
      </c>
      <c r="H1283" s="116">
        <v>12.93907148870365</v>
      </c>
      <c r="I1283" s="126">
        <v>5950</v>
      </c>
      <c r="J1283" s="117">
        <v>19.280561044185763</v>
      </c>
    </row>
    <row r="1284" spans="1:10" ht="16">
      <c r="A1284" s="93" t="s">
        <v>1174</v>
      </c>
      <c r="B1284" s="94" t="s">
        <v>1142</v>
      </c>
      <c r="C1284" s="95" t="s">
        <v>107</v>
      </c>
      <c r="D1284" s="96" t="s">
        <v>80</v>
      </c>
      <c r="E1284" s="97">
        <v>36946</v>
      </c>
      <c r="F1284" s="97">
        <v>1103</v>
      </c>
      <c r="G1284" s="97">
        <v>1478</v>
      </c>
      <c r="H1284" s="114">
        <v>13.631813302193626</v>
      </c>
      <c r="I1284" s="125">
        <v>3014</v>
      </c>
      <c r="J1284" s="115">
        <v>16.106570347245185</v>
      </c>
    </row>
    <row r="1285" spans="1:10" ht="16">
      <c r="A1285" s="100" t="s">
        <v>750</v>
      </c>
      <c r="B1285" s="101" t="s">
        <v>642</v>
      </c>
      <c r="C1285" s="102" t="s">
        <v>76</v>
      </c>
      <c r="D1285" s="103" t="s">
        <v>130</v>
      </c>
      <c r="E1285" s="104">
        <v>4910</v>
      </c>
      <c r="F1285" s="104">
        <v>1091</v>
      </c>
      <c r="G1285" s="104">
        <v>98</v>
      </c>
      <c r="H1285" s="116">
        <v>9.3943264707398395</v>
      </c>
      <c r="I1285" s="126">
        <v>7458</v>
      </c>
      <c r="J1285" s="117">
        <v>26.156927430269818</v>
      </c>
    </row>
    <row r="1286" spans="1:10" ht="16">
      <c r="A1286" s="93" t="s">
        <v>751</v>
      </c>
      <c r="B1286" s="94" t="s">
        <v>642</v>
      </c>
      <c r="C1286" s="95" t="s">
        <v>107</v>
      </c>
      <c r="D1286" s="96" t="s">
        <v>61</v>
      </c>
      <c r="E1286" s="97">
        <v>9889</v>
      </c>
      <c r="F1286" s="97">
        <v>791</v>
      </c>
      <c r="G1286" s="97">
        <v>692</v>
      </c>
      <c r="H1286" s="114">
        <v>16.506945846770257</v>
      </c>
      <c r="I1286" s="125">
        <v>2726</v>
      </c>
      <c r="J1286" s="115">
        <v>23.038530568736356</v>
      </c>
    </row>
    <row r="1287" spans="1:10" ht="16">
      <c r="A1287" s="100" t="s">
        <v>1018</v>
      </c>
      <c r="B1287" s="101" t="s">
        <v>988</v>
      </c>
      <c r="C1287" s="102" t="s">
        <v>107</v>
      </c>
      <c r="D1287" s="103" t="s">
        <v>84</v>
      </c>
      <c r="E1287" s="104">
        <v>17744</v>
      </c>
      <c r="F1287" s="104">
        <v>1215</v>
      </c>
      <c r="G1287" s="104">
        <v>3904</v>
      </c>
      <c r="H1287" s="116">
        <v>53.209920088465964</v>
      </c>
      <c r="I1287" s="126">
        <v>27935</v>
      </c>
      <c r="J1287" s="117">
        <v>51.31523782399794</v>
      </c>
    </row>
    <row r="1288" spans="1:10" ht="16">
      <c r="A1288" s="93" t="s">
        <v>210</v>
      </c>
      <c r="B1288" s="94" t="s">
        <v>184</v>
      </c>
      <c r="C1288" s="95" t="s">
        <v>76</v>
      </c>
      <c r="D1288" s="96" t="s">
        <v>84</v>
      </c>
      <c r="E1288" s="97">
        <v>46683</v>
      </c>
      <c r="F1288" s="97">
        <v>1319</v>
      </c>
      <c r="G1288" s="97">
        <v>11204</v>
      </c>
      <c r="H1288" s="114">
        <v>37.808355605500282</v>
      </c>
      <c r="I1288" s="125">
        <v>19097</v>
      </c>
      <c r="J1288" s="115">
        <v>28.369759113717265</v>
      </c>
    </row>
    <row r="1289" spans="1:10" ht="16">
      <c r="A1289" s="100" t="s">
        <v>1116</v>
      </c>
      <c r="B1289" s="101" t="s">
        <v>1081</v>
      </c>
      <c r="C1289" s="102" t="s">
        <v>107</v>
      </c>
      <c r="D1289" s="103" t="s">
        <v>77</v>
      </c>
      <c r="E1289" s="104">
        <v>8356</v>
      </c>
      <c r="F1289" s="104">
        <v>429</v>
      </c>
      <c r="G1289" s="104">
        <v>668</v>
      </c>
      <c r="H1289" s="116">
        <v>14.086116561508694</v>
      </c>
      <c r="I1289" s="126">
        <v>2252</v>
      </c>
      <c r="J1289" s="117">
        <v>17.755745144699183</v>
      </c>
    </row>
    <row r="1290" spans="1:10" ht="16">
      <c r="A1290" s="93" t="s">
        <v>363</v>
      </c>
      <c r="B1290" s="94" t="s">
        <v>344</v>
      </c>
      <c r="C1290" s="95" t="s">
        <v>76</v>
      </c>
      <c r="D1290" s="96" t="s">
        <v>77</v>
      </c>
      <c r="E1290" s="97">
        <v>156419</v>
      </c>
      <c r="F1290" s="97">
        <v>6517</v>
      </c>
      <c r="G1290" s="97">
        <v>1564</v>
      </c>
      <c r="H1290" s="114">
        <v>8.3893119404066372</v>
      </c>
      <c r="I1290" s="125">
        <v>2357</v>
      </c>
      <c r="J1290" s="115">
        <v>14.107500986081657</v>
      </c>
    </row>
    <row r="1291" spans="1:10" ht="16">
      <c r="A1291" s="100" t="s">
        <v>301</v>
      </c>
      <c r="B1291" s="101" t="s">
        <v>223</v>
      </c>
      <c r="C1291" s="102" t="s">
        <v>107</v>
      </c>
      <c r="D1291" s="103" t="s">
        <v>82</v>
      </c>
      <c r="E1291" s="104">
        <v>33427</v>
      </c>
      <c r="F1291" s="104">
        <v>3124</v>
      </c>
      <c r="G1291" s="104">
        <v>7354</v>
      </c>
      <c r="H1291" s="116">
        <v>65.033414368918471</v>
      </c>
      <c r="I1291" s="126">
        <v>32772</v>
      </c>
      <c r="J1291" s="117">
        <v>66.610976478846254</v>
      </c>
    </row>
    <row r="1292" spans="1:10" ht="16">
      <c r="A1292" s="107" t="s">
        <v>302</v>
      </c>
      <c r="B1292" s="108" t="s">
        <v>223</v>
      </c>
      <c r="C1292" s="109" t="s">
        <v>76</v>
      </c>
      <c r="D1292" s="110" t="s">
        <v>63</v>
      </c>
      <c r="E1292" s="111">
        <v>31228</v>
      </c>
      <c r="F1292" s="111">
        <v>2124</v>
      </c>
      <c r="G1292" s="111">
        <v>2498</v>
      </c>
      <c r="H1292" s="118">
        <v>14.896891655304398</v>
      </c>
      <c r="I1292" s="127">
        <v>4662</v>
      </c>
      <c r="J1292" s="119">
        <v>17.2438474483512</v>
      </c>
    </row>
  </sheetData>
  <phoneticPr fontId="4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AB100"/>
  <sheetViews>
    <sheetView zoomScaleNormal="100" zoomScalePageLayoutView="85" workbookViewId="0">
      <selection activeCell="D29" sqref="D29"/>
    </sheetView>
  </sheetViews>
  <sheetFormatPr baseColWidth="10" defaultColWidth="8.83203125" defaultRowHeight="15"/>
  <cols>
    <col min="1" max="1" width="11" bestFit="1" customWidth="1"/>
    <col min="2" max="2" width="11.33203125" customWidth="1"/>
    <col min="3" max="4" width="16.5" customWidth="1"/>
    <col min="5" max="5" width="13.6640625" customWidth="1"/>
    <col min="6" max="6" width="8.83203125" customWidth="1"/>
    <col min="7" max="7" width="10" customWidth="1"/>
    <col min="8" max="10" width="8.83203125" customWidth="1"/>
    <col min="11" max="11" width="12.1640625" bestFit="1" customWidth="1"/>
    <col min="12" max="12" width="12.33203125" bestFit="1" customWidth="1"/>
    <col min="13" max="13" width="28.33203125" bestFit="1" customWidth="1"/>
    <col min="14" max="14" width="8.5" bestFit="1" customWidth="1"/>
    <col min="15" max="15" width="14.33203125" bestFit="1" customWidth="1"/>
    <col min="16" max="16" width="10" bestFit="1" customWidth="1"/>
    <col min="17" max="17" width="8.5" bestFit="1" customWidth="1"/>
    <col min="18" max="18" width="25.6640625" bestFit="1" customWidth="1"/>
    <col min="19" max="19" width="10.83203125" bestFit="1" customWidth="1"/>
    <col min="20" max="251" width="8.83203125" customWidth="1"/>
  </cols>
  <sheetData>
    <row r="2" spans="2:19">
      <c r="B2" s="2"/>
      <c r="C2" s="2"/>
      <c r="D2" s="11"/>
      <c r="E2" s="2"/>
      <c r="F2" s="2"/>
      <c r="G2" s="28" t="s">
        <v>29</v>
      </c>
      <c r="H2" s="28" t="s">
        <v>4</v>
      </c>
      <c r="I2" s="24"/>
      <c r="J2" s="24"/>
    </row>
    <row r="3" spans="2:19">
      <c r="B3" s="2" t="s">
        <v>17</v>
      </c>
      <c r="C3" s="2">
        <f>C6</f>
        <v>0</v>
      </c>
      <c r="D3" s="2"/>
      <c r="E3" s="2"/>
      <c r="F3" s="2"/>
      <c r="G3" s="2" t="s">
        <v>6</v>
      </c>
      <c r="H3" s="2">
        <f>Answers!F4</f>
        <v>0</v>
      </c>
      <c r="I3" s="2" t="str">
        <f>CLEAN(H3)</f>
        <v>0</v>
      </c>
      <c r="J3" s="24"/>
    </row>
    <row r="4" spans="2:19">
      <c r="B4" s="2" t="s">
        <v>54</v>
      </c>
      <c r="C4" s="76" t="s">
        <v>1465</v>
      </c>
      <c r="D4" s="82">
        <f>VALUE(RIGHT(C4,LEN(C4)-1))</f>
        <v>1</v>
      </c>
      <c r="E4" s="2"/>
      <c r="F4" s="2"/>
      <c r="G4" s="2" t="s">
        <v>3</v>
      </c>
      <c r="H4" s="2">
        <f>Answers!F5</f>
        <v>0</v>
      </c>
      <c r="I4" s="2" t="str">
        <f t="shared" ref="I4:I20" si="0">CLEAN(H4)</f>
        <v>0</v>
      </c>
      <c r="J4" s="24"/>
    </row>
    <row r="5" spans="2:19">
      <c r="B5" s="2" t="s">
        <v>7</v>
      </c>
      <c r="C5" s="9">
        <v>2020</v>
      </c>
      <c r="D5" s="9" t="s">
        <v>53</v>
      </c>
      <c r="E5" s="2"/>
      <c r="F5" s="2"/>
      <c r="G5" s="2" t="s">
        <v>2</v>
      </c>
      <c r="H5" s="2">
        <f>Answers!F6</f>
        <v>0</v>
      </c>
      <c r="I5" s="2" t="str">
        <f t="shared" si="0"/>
        <v>0</v>
      </c>
      <c r="J5" s="24"/>
    </row>
    <row r="6" spans="2:19">
      <c r="B6" s="2" t="s">
        <v>1482</v>
      </c>
      <c r="C6" s="2">
        <v>0</v>
      </c>
      <c r="D6" s="2"/>
      <c r="E6" s="9"/>
      <c r="F6" s="2"/>
      <c r="G6" s="2" t="s">
        <v>33</v>
      </c>
      <c r="H6" s="2">
        <f>Answers!F7</f>
        <v>0</v>
      </c>
      <c r="I6" s="2" t="str">
        <f t="shared" si="0"/>
        <v>0</v>
      </c>
      <c r="J6" s="24"/>
    </row>
    <row r="7" spans="2:19">
      <c r="B7" s="2"/>
      <c r="C7" s="10"/>
      <c r="D7" s="2"/>
      <c r="E7" s="9"/>
      <c r="F7" s="2"/>
      <c r="G7" s="2" t="s">
        <v>34</v>
      </c>
      <c r="H7" s="2">
        <f>Answers!F8</f>
        <v>0</v>
      </c>
      <c r="I7" s="2" t="str">
        <f t="shared" si="0"/>
        <v>0</v>
      </c>
      <c r="J7" s="24"/>
      <c r="K7" s="26"/>
      <c r="L7" s="26"/>
      <c r="M7" s="26"/>
      <c r="N7" s="26"/>
      <c r="O7" s="26"/>
      <c r="P7" s="26"/>
    </row>
    <row r="8" spans="2:19">
      <c r="B8" s="2"/>
      <c r="C8" s="2"/>
      <c r="D8" s="2"/>
      <c r="E8" s="2"/>
      <c r="F8" s="2"/>
      <c r="G8" s="2" t="s">
        <v>9</v>
      </c>
      <c r="H8" s="2" t="str">
        <f>Answers!F10</f>
        <v>$$DV_KEY!N17:N22</v>
      </c>
      <c r="I8" s="2" t="str">
        <f t="shared" si="0"/>
        <v>$$DV_KEY!N17:N22</v>
      </c>
      <c r="J8" s="24"/>
    </row>
    <row r="9" spans="2:19">
      <c r="B9" s="2"/>
      <c r="C9" s="7"/>
      <c r="D9" s="7"/>
      <c r="E9" s="2"/>
      <c r="F9" s="2"/>
      <c r="G9" s="2" t="s">
        <v>10</v>
      </c>
      <c r="H9" s="2">
        <f>Answers!F11</f>
        <v>0</v>
      </c>
      <c r="I9" s="2" t="str">
        <f t="shared" si="0"/>
        <v>0</v>
      </c>
      <c r="J9" s="24"/>
    </row>
    <row r="10" spans="2:19" ht="16">
      <c r="B10" s="2"/>
      <c r="C10" s="7"/>
      <c r="D10" s="2"/>
      <c r="E10" s="2"/>
      <c r="F10" s="2"/>
      <c r="G10" s="2" t="s">
        <v>11</v>
      </c>
      <c r="H10" s="2">
        <f>Answers!F12</f>
        <v>0</v>
      </c>
      <c r="I10" s="2" t="str">
        <f t="shared" si="0"/>
        <v>0</v>
      </c>
      <c r="J10" s="24"/>
      <c r="M10" s="83"/>
    </row>
    <row r="11" spans="2:19">
      <c r="B11" s="2" t="s">
        <v>40</v>
      </c>
      <c r="C11" s="7">
        <f>M32</f>
        <v>0</v>
      </c>
      <c r="D11" s="2"/>
      <c r="E11" s="2"/>
      <c r="F11" s="2"/>
      <c r="G11" s="2" t="s">
        <v>35</v>
      </c>
      <c r="H11" s="2">
        <f>Answers!F13</f>
        <v>0</v>
      </c>
      <c r="I11" s="2" t="str">
        <f t="shared" si="0"/>
        <v>0</v>
      </c>
      <c r="J11" s="24"/>
    </row>
    <row r="12" spans="2:19" s="26" customFormat="1">
      <c r="B12" s="2"/>
      <c r="C12" s="7"/>
      <c r="D12" s="2"/>
      <c r="E12" s="2"/>
      <c r="F12" s="2"/>
      <c r="G12" s="22" t="s">
        <v>36</v>
      </c>
      <c r="H12" s="2" t="str">
        <f>Answers!F14</f>
        <v>$$DV_KEY!Q17:Q19</v>
      </c>
      <c r="I12" s="2" t="str">
        <f t="shared" si="0"/>
        <v>$$DV_KEY!Q17:Q19</v>
      </c>
      <c r="J12" s="24"/>
      <c r="K12"/>
      <c r="L12"/>
      <c r="M12"/>
      <c r="N12"/>
      <c r="O12"/>
      <c r="P12"/>
    </row>
    <row r="13" spans="2:19" ht="16">
      <c r="B13" s="169" t="s">
        <v>1464</v>
      </c>
      <c r="C13" s="169"/>
      <c r="D13" s="2"/>
      <c r="E13" s="2"/>
      <c r="F13" s="2"/>
      <c r="G13" s="2" t="s">
        <v>14</v>
      </c>
      <c r="H13" s="26">
        <f>Answers!F16</f>
        <v>0</v>
      </c>
      <c r="I13" s="2" t="str">
        <f t="shared" si="0"/>
        <v>0</v>
      </c>
      <c r="J13" s="24"/>
      <c r="K13" s="24"/>
      <c r="L13" s="24"/>
      <c r="M13" s="24"/>
      <c r="N13" s="24"/>
      <c r="O13" s="24"/>
      <c r="P13" s="24"/>
      <c r="R13" s="83"/>
    </row>
    <row r="14" spans="2:19">
      <c r="B14" s="26" t="s">
        <v>10</v>
      </c>
      <c r="C14" s="2">
        <f>M33</f>
        <v>72</v>
      </c>
      <c r="D14" s="2"/>
      <c r="E14" s="2"/>
      <c r="F14" s="2"/>
      <c r="G14" s="2" t="s">
        <v>15</v>
      </c>
      <c r="H14" s="26">
        <f>Answers!F17</f>
        <v>0</v>
      </c>
      <c r="I14" s="2" t="str">
        <f t="shared" si="0"/>
        <v>0</v>
      </c>
      <c r="J14" s="24"/>
      <c r="K14" s="24"/>
      <c r="L14" s="24"/>
      <c r="M14" s="24"/>
      <c r="N14" s="24"/>
      <c r="O14" s="24"/>
      <c r="P14" s="24"/>
    </row>
    <row r="15" spans="2:19" ht="16">
      <c r="B15" s="26" t="s">
        <v>11</v>
      </c>
      <c r="C15" s="2">
        <f t="shared" ref="C15:C20" si="1">M34</f>
        <v>49</v>
      </c>
      <c r="D15" s="2"/>
      <c r="E15" s="2"/>
      <c r="F15" s="2"/>
      <c r="G15" s="2" t="s">
        <v>27</v>
      </c>
      <c r="H15" s="26">
        <f>Answers!F18</f>
        <v>0</v>
      </c>
      <c r="I15" s="2" t="str">
        <f t="shared" si="0"/>
        <v>0</v>
      </c>
      <c r="J15" s="24"/>
      <c r="K15" s="24"/>
      <c r="L15" s="24"/>
      <c r="M15" s="24"/>
      <c r="N15" s="24"/>
      <c r="O15" s="24"/>
      <c r="P15" s="24"/>
      <c r="S15" s="83"/>
    </row>
    <row r="16" spans="2:19" ht="16">
      <c r="B16" s="52" t="s">
        <v>35</v>
      </c>
      <c r="C16" s="2">
        <f t="shared" si="1"/>
        <v>9968</v>
      </c>
      <c r="D16" s="2"/>
      <c r="E16" s="8"/>
      <c r="F16" s="2"/>
      <c r="G16" s="7" t="s">
        <v>12</v>
      </c>
      <c r="H16" s="26">
        <f>Answers!F20</f>
        <v>0</v>
      </c>
      <c r="I16" s="2" t="str">
        <f t="shared" si="0"/>
        <v>0</v>
      </c>
      <c r="J16" s="24"/>
      <c r="K16" s="170" t="s">
        <v>28</v>
      </c>
      <c r="L16" s="170"/>
      <c r="M16" s="170"/>
      <c r="N16" s="170"/>
      <c r="O16" s="170"/>
      <c r="P16" s="170"/>
      <c r="Q16" s="170"/>
      <c r="R16" s="170"/>
      <c r="S16" s="170"/>
    </row>
    <row r="17" spans="1:28" ht="16">
      <c r="B17" s="34">
        <v>3</v>
      </c>
      <c r="C17" s="2" t="str">
        <f t="shared" si="1"/>
        <v>China</v>
      </c>
      <c r="D17" s="2"/>
      <c r="E17" s="2"/>
      <c r="F17" s="2"/>
      <c r="G17" s="2" t="s">
        <v>13</v>
      </c>
      <c r="H17" s="26">
        <f>Answers!F21</f>
        <v>0</v>
      </c>
      <c r="I17" s="2" t="str">
        <f t="shared" si="0"/>
        <v>0</v>
      </c>
      <c r="J17" s="24"/>
      <c r="K17" s="31">
        <v>1</v>
      </c>
      <c r="L17" s="53" t="s">
        <v>18</v>
      </c>
      <c r="M17" s="31" t="s">
        <v>18</v>
      </c>
      <c r="N17" s="31" t="s">
        <v>18</v>
      </c>
      <c r="O17" s="31" t="s">
        <v>18</v>
      </c>
      <c r="P17" s="31" t="s">
        <v>18</v>
      </c>
      <c r="Q17" s="31" t="s">
        <v>18</v>
      </c>
      <c r="R17" s="31" t="s">
        <v>18</v>
      </c>
      <c r="S17" s="31" t="s">
        <v>18</v>
      </c>
    </row>
    <row r="18" spans="1:28" ht="16">
      <c r="B18" s="26" t="s">
        <v>14</v>
      </c>
      <c r="C18" s="2">
        <f t="shared" si="1"/>
        <v>1209</v>
      </c>
      <c r="D18" s="2"/>
      <c r="E18" s="2"/>
      <c r="F18" s="2"/>
      <c r="G18" s="2" t="s">
        <v>45</v>
      </c>
      <c r="H18" s="26">
        <f>Answers!F22</f>
        <v>0</v>
      </c>
      <c r="I18" s="2" t="str">
        <f t="shared" si="0"/>
        <v>0</v>
      </c>
      <c r="J18" s="24"/>
      <c r="K18" s="31">
        <v>2</v>
      </c>
      <c r="L18" s="78" t="s">
        <v>223</v>
      </c>
      <c r="M18" s="84" t="s">
        <v>1313</v>
      </c>
      <c r="N18" s="84" t="s">
        <v>1468</v>
      </c>
      <c r="O18" s="122" t="s">
        <v>1488</v>
      </c>
      <c r="P18" s="34" t="s">
        <v>1142</v>
      </c>
      <c r="Q18" s="122" t="s">
        <v>1472</v>
      </c>
      <c r="R18" s="122" t="s">
        <v>1364</v>
      </c>
      <c r="S18" s="85" t="s">
        <v>1334</v>
      </c>
    </row>
    <row r="19" spans="1:28" ht="16">
      <c r="B19" s="50" t="s">
        <v>15</v>
      </c>
      <c r="C19" s="2">
        <f t="shared" si="1"/>
        <v>14</v>
      </c>
      <c r="D19" s="2"/>
      <c r="E19" s="2"/>
      <c r="F19" s="2"/>
      <c r="G19" s="22" t="s">
        <v>46</v>
      </c>
      <c r="H19" s="26">
        <f>Answers!F23</f>
        <v>0</v>
      </c>
      <c r="I19" s="2" t="str">
        <f t="shared" si="0"/>
        <v>0</v>
      </c>
      <c r="J19" s="24"/>
      <c r="K19" s="31">
        <v>3</v>
      </c>
      <c r="L19" s="78" t="s">
        <v>184</v>
      </c>
      <c r="M19" s="84" t="s">
        <v>1466</v>
      </c>
      <c r="N19" s="121" t="s">
        <v>1469</v>
      </c>
      <c r="O19" s="122" t="s">
        <v>1490</v>
      </c>
      <c r="P19" s="34" t="s">
        <v>184</v>
      </c>
      <c r="Q19" s="122" t="s">
        <v>1471</v>
      </c>
      <c r="R19" s="122" t="s">
        <v>1457</v>
      </c>
      <c r="S19" s="85" t="s">
        <v>1267</v>
      </c>
    </row>
    <row r="20" spans="1:28" ht="16">
      <c r="B20" s="50" t="s">
        <v>13</v>
      </c>
      <c r="C20" s="2">
        <f t="shared" si="1"/>
        <v>76</v>
      </c>
      <c r="D20" s="2"/>
      <c r="E20" s="2"/>
      <c r="F20" s="2"/>
      <c r="G20" s="22" t="s">
        <v>47</v>
      </c>
      <c r="H20" s="26" t="str">
        <f>Answers!F24</f>
        <v>$$DV_KEY!O17:O21</v>
      </c>
      <c r="I20" s="2" t="str">
        <f t="shared" si="0"/>
        <v>$$DV_KEY!O17:O21</v>
      </c>
      <c r="J20" s="24"/>
      <c r="K20" s="31">
        <v>4</v>
      </c>
      <c r="L20" s="78" t="s">
        <v>1288</v>
      </c>
      <c r="M20" s="84" t="s">
        <v>1467</v>
      </c>
      <c r="N20" s="84" t="s">
        <v>1470</v>
      </c>
      <c r="O20" s="122" t="s">
        <v>1489</v>
      </c>
      <c r="P20" s="34" t="s">
        <v>1072</v>
      </c>
      <c r="R20" s="26" t="s">
        <v>1356</v>
      </c>
      <c r="S20" s="85" t="s">
        <v>1071</v>
      </c>
    </row>
    <row r="21" spans="1:28" ht="16">
      <c r="B21" s="50"/>
      <c r="C21" s="2"/>
      <c r="D21" s="2"/>
      <c r="E21" s="2"/>
      <c r="F21" s="2"/>
      <c r="G21" s="22" t="s">
        <v>20</v>
      </c>
      <c r="H21" s="22" t="str">
        <f>Answers!F26</f>
        <v>$$DV_KEY!R17:R22</v>
      </c>
      <c r="I21" s="2" t="str">
        <f t="shared" ref="I21:I28" si="2">CLEAN(H21)</f>
        <v>$$DV_KEY!R17:R22</v>
      </c>
      <c r="J21" s="24"/>
      <c r="K21" s="31">
        <v>5</v>
      </c>
      <c r="L21" s="78" t="s">
        <v>474</v>
      </c>
      <c r="M21" s="84" t="s">
        <v>1036</v>
      </c>
      <c r="N21" s="121" t="s">
        <v>1484</v>
      </c>
      <c r="O21" s="122" t="s">
        <v>1491</v>
      </c>
      <c r="P21" s="34" t="s">
        <v>402</v>
      </c>
      <c r="R21" s="26" t="s">
        <v>1322</v>
      </c>
      <c r="S21" s="85" t="s">
        <v>205</v>
      </c>
    </row>
    <row r="22" spans="1:28" ht="16">
      <c r="B22" s="24"/>
      <c r="C22" s="2"/>
      <c r="D22" s="2"/>
      <c r="E22" s="2"/>
      <c r="F22" s="2"/>
      <c r="G22" s="22" t="s">
        <v>48</v>
      </c>
      <c r="H22" s="22" t="str">
        <f>Answers!F28</f>
        <v>$$DV_KEY!S17:S22</v>
      </c>
      <c r="I22" s="2" t="str">
        <f t="shared" si="2"/>
        <v>$$DV_KEY!S17:S22</v>
      </c>
      <c r="K22" s="31">
        <v>6</v>
      </c>
      <c r="L22" s="75"/>
      <c r="M22" s="84" t="s">
        <v>1172</v>
      </c>
      <c r="N22" s="121" t="s">
        <v>1485</v>
      </c>
      <c r="O22" s="51"/>
      <c r="P22" s="34" t="s">
        <v>1020</v>
      </c>
      <c r="R22" s="26" t="s">
        <v>1310</v>
      </c>
      <c r="S22" s="85" t="s">
        <v>287</v>
      </c>
      <c r="AB22" s="31"/>
    </row>
    <row r="23" spans="1:28" ht="16">
      <c r="A23" s="26"/>
      <c r="B23" s="39" t="s">
        <v>37</v>
      </c>
      <c r="C23" s="39" t="s">
        <v>30</v>
      </c>
      <c r="D23" s="39" t="s">
        <v>31</v>
      </c>
      <c r="E23" s="39" t="s">
        <v>41</v>
      </c>
      <c r="F23" s="2"/>
      <c r="G23" s="22" t="s">
        <v>49</v>
      </c>
      <c r="H23" s="22" t="str">
        <f>Answers!F29</f>
        <v>$$DV_KEY!S17:S22</v>
      </c>
      <c r="I23" s="2" t="str">
        <f t="shared" si="2"/>
        <v>$$DV_KEY!S17:S22</v>
      </c>
      <c r="K23" s="31">
        <v>7</v>
      </c>
      <c r="L23" s="75"/>
      <c r="M23" s="84"/>
      <c r="N23" s="51"/>
      <c r="O23" s="51"/>
      <c r="P23" s="34"/>
      <c r="AB23" s="85"/>
    </row>
    <row r="24" spans="1:28" ht="16">
      <c r="A24" s="24"/>
      <c r="B24" s="2"/>
      <c r="C24" s="23"/>
      <c r="D24" s="23">
        <v>44163.556359490743</v>
      </c>
      <c r="E24" s="2"/>
      <c r="F24" s="2"/>
      <c r="G24" s="22" t="s">
        <v>50</v>
      </c>
      <c r="H24" s="22" t="str">
        <f>Answers!F30</f>
        <v>$$DV_KEY!S17:S22</v>
      </c>
      <c r="I24" s="2" t="str">
        <f t="shared" si="2"/>
        <v>$$DV_KEY!S17:S22</v>
      </c>
      <c r="J24" s="24"/>
      <c r="K24" s="31">
        <v>8</v>
      </c>
      <c r="L24" s="74"/>
      <c r="M24" s="73"/>
      <c r="N24" s="51"/>
      <c r="O24" s="62"/>
      <c r="P24" s="34"/>
      <c r="AB24" s="85"/>
    </row>
    <row r="25" spans="1:28" ht="16">
      <c r="A25" s="24"/>
      <c r="B25" s="2"/>
      <c r="C25" s="23"/>
      <c r="D25" s="23">
        <v>44163.614682060186</v>
      </c>
      <c r="E25" s="2"/>
      <c r="F25" s="2"/>
      <c r="G25" s="22" t="s">
        <v>51</v>
      </c>
      <c r="H25" s="22" t="str">
        <f>Answers!F31</f>
        <v>$$DV_KEY!S17:S22</v>
      </c>
      <c r="I25" s="2" t="str">
        <f t="shared" si="2"/>
        <v>$$DV_KEY!S17:S22</v>
      </c>
      <c r="J25" s="24"/>
      <c r="K25" s="31">
        <v>9</v>
      </c>
      <c r="L25" s="31"/>
      <c r="M25" s="51"/>
      <c r="N25" s="51"/>
      <c r="O25" s="62"/>
      <c r="P25" s="34"/>
      <c r="AB25" s="85"/>
    </row>
    <row r="26" spans="1:28" ht="16">
      <c r="A26" s="24"/>
      <c r="B26" s="2"/>
      <c r="C26" s="23"/>
      <c r="D26" s="23">
        <v>44164.696739814812</v>
      </c>
      <c r="E26" s="2"/>
      <c r="F26" s="2"/>
      <c r="G26" s="22" t="s">
        <v>52</v>
      </c>
      <c r="H26" s="22" t="str">
        <f>Answers!F32</f>
        <v>$$DV_KEY!S17:S22</v>
      </c>
      <c r="I26" s="2" t="str">
        <f t="shared" si="2"/>
        <v>$$DV_KEY!S17:S22</v>
      </c>
      <c r="J26" s="24"/>
      <c r="K26" s="31">
        <v>10</v>
      </c>
      <c r="L26" s="31"/>
      <c r="M26" s="30"/>
      <c r="N26" s="32"/>
      <c r="O26" s="62"/>
      <c r="P26" s="24"/>
      <c r="AB26" s="85"/>
    </row>
    <row r="27" spans="1:28" ht="16">
      <c r="A27" s="24"/>
      <c r="B27" s="2"/>
      <c r="C27" s="23"/>
      <c r="D27" s="124">
        <v>44164.714727314815</v>
      </c>
      <c r="E27" s="2"/>
      <c r="F27" s="2"/>
      <c r="G27" s="22" t="s">
        <v>38</v>
      </c>
      <c r="H27" s="26">
        <f>Answers!F34</f>
        <v>0</v>
      </c>
      <c r="I27" s="2" t="str">
        <f t="shared" si="2"/>
        <v>0</v>
      </c>
      <c r="J27" s="24"/>
      <c r="K27" s="24"/>
      <c r="L27" s="24"/>
      <c r="M27" s="24"/>
      <c r="N27" s="24"/>
      <c r="O27" s="34"/>
      <c r="P27" s="24"/>
      <c r="AB27" s="85"/>
    </row>
    <row r="28" spans="1:28" ht="16">
      <c r="A28" s="24"/>
      <c r="B28" s="2"/>
      <c r="C28" s="23"/>
      <c r="D28" s="23">
        <v>44164.716512037034</v>
      </c>
      <c r="E28" s="2"/>
      <c r="F28" s="2"/>
      <c r="G28" s="22" t="s">
        <v>39</v>
      </c>
      <c r="H28" s="26" t="str">
        <f>Answers!F35</f>
        <v>$$DV_KEY!S17:S22</v>
      </c>
      <c r="I28" s="2" t="str">
        <f t="shared" si="2"/>
        <v>$$DV_KEY!S17:S22</v>
      </c>
      <c r="J28" s="24"/>
      <c r="K28" s="63"/>
      <c r="L28" s="24"/>
    </row>
    <row r="29" spans="1:28">
      <c r="A29" s="24"/>
      <c r="B29" s="2"/>
      <c r="C29" s="23"/>
      <c r="D29" s="23">
        <v>44164.73630300926</v>
      </c>
      <c r="E29" s="2"/>
      <c r="F29" s="2"/>
      <c r="G29" s="2"/>
      <c r="H29" s="26"/>
      <c r="I29" s="2"/>
      <c r="K29" s="24"/>
      <c r="M29" s="24"/>
    </row>
    <row r="30" spans="1:28">
      <c r="A30" s="24"/>
      <c r="B30" s="2"/>
      <c r="C30" s="23"/>
      <c r="D30" s="23"/>
      <c r="E30" s="2"/>
      <c r="F30" s="2"/>
      <c r="G30" s="2"/>
      <c r="H30" s="26"/>
      <c r="I30" s="2"/>
      <c r="K30" s="24"/>
      <c r="M30" s="24"/>
    </row>
    <row r="31" spans="1:28">
      <c r="A31" s="24"/>
      <c r="B31" s="2"/>
      <c r="C31" s="23"/>
      <c r="D31" s="23"/>
      <c r="E31" s="2"/>
      <c r="F31" s="2"/>
      <c r="J31" s="80">
        <f>MOD(48271*$D$4,2^31-1)</f>
        <v>48271</v>
      </c>
      <c r="K31" s="81">
        <f>J31/(2^31-1)</f>
        <v>2.2477936010098986E-5</v>
      </c>
      <c r="L31" s="168" t="s">
        <v>1464</v>
      </c>
      <c r="M31" s="168"/>
    </row>
    <row r="32" spans="1:28">
      <c r="A32" s="24"/>
      <c r="B32" s="2"/>
      <c r="C32" s="23"/>
      <c r="D32" s="23"/>
      <c r="E32" s="2"/>
      <c r="F32" s="2"/>
      <c r="G32" s="22"/>
      <c r="H32" s="22"/>
      <c r="I32" s="2"/>
      <c r="J32" s="80">
        <f>MOD(48271*J31,2^31-1)</f>
        <v>182605794</v>
      </c>
      <c r="K32" s="81">
        <f t="shared" ref="K32:K35" si="3">J32/(2^31-1)</f>
        <v>8.5032449143488176E-2</v>
      </c>
      <c r="L32" t="s">
        <v>55</v>
      </c>
      <c r="M32" s="24" cm="1">
        <f t="array" ref="M32">ROUNDDOWN(TO_RANGE(K32,0,4), 0)</f>
        <v>0</v>
      </c>
    </row>
    <row r="33" spans="1:16">
      <c r="A33" s="24"/>
      <c r="B33" s="2"/>
      <c r="C33" s="23"/>
      <c r="D33" s="23"/>
      <c r="E33" s="2"/>
      <c r="F33" s="2"/>
      <c r="J33" s="80">
        <f t="shared" ref="J33:J35" si="4">MOD(48271*J32,2^31-1)</f>
        <v>1291394886</v>
      </c>
      <c r="K33" s="81">
        <f t="shared" si="3"/>
        <v>0.60135260531741785</v>
      </c>
      <c r="L33" t="s">
        <v>10</v>
      </c>
      <c r="M33" cm="1">
        <f t="array" ref="M33">ROUND(TO_RANGE(K33,60,80),0)</f>
        <v>72</v>
      </c>
    </row>
    <row r="34" spans="1:16">
      <c r="A34" s="24"/>
      <c r="B34" s="2"/>
      <c r="C34" s="23"/>
      <c r="D34" s="23"/>
      <c r="E34" s="2"/>
      <c r="F34" s="2"/>
      <c r="J34" s="80">
        <f t="shared" si="4"/>
        <v>1914720637</v>
      </c>
      <c r="K34" s="81">
        <f t="shared" si="3"/>
        <v>0.89161127707530341</v>
      </c>
      <c r="L34" t="s">
        <v>11</v>
      </c>
      <c r="M34" s="26" cm="1">
        <f t="array" ref="M34">ROUND(TO_RANGE(K34,40,50),0)</f>
        <v>49</v>
      </c>
    </row>
    <row r="35" spans="1:16">
      <c r="A35" s="24"/>
      <c r="B35" s="2"/>
      <c r="C35" s="23"/>
      <c r="D35" s="23"/>
      <c r="E35" s="2"/>
      <c r="F35" s="2"/>
      <c r="J35" s="80">
        <f t="shared" si="4"/>
        <v>2078669041</v>
      </c>
      <c r="K35" s="81">
        <f t="shared" si="3"/>
        <v>0.96795570196954328</v>
      </c>
      <c r="L35" s="52" t="s">
        <v>35</v>
      </c>
      <c r="M35" s="26" cm="1">
        <f t="array" ref="M35">ROUND(TO_RANGE(K35,9000,10000),0)</f>
        <v>9968</v>
      </c>
    </row>
    <row r="36" spans="1:16">
      <c r="A36" s="24"/>
      <c r="B36" s="2"/>
      <c r="C36" s="23"/>
      <c r="D36" s="23"/>
      <c r="E36" s="2"/>
      <c r="F36" s="2"/>
      <c r="G36" s="2"/>
      <c r="J36" s="80">
        <f>MOD(48271*J35,2^31-1)</f>
        <v>407355683</v>
      </c>
      <c r="K36" s="81">
        <f>J36/(2^31-1)</f>
        <v>0.18968977182623453</v>
      </c>
      <c r="L36" s="34">
        <v>3</v>
      </c>
      <c r="M36" s="79" t="str">
        <f>VLOOKUP(N36,K18:$L$21,2,FALSE)</f>
        <v>China</v>
      </c>
      <c r="N36" s="34" cm="1">
        <f t="array" ref="N36">ROUNDDOWN(TO_RANGE(K36,2,6),0)</f>
        <v>2</v>
      </c>
    </row>
    <row r="37" spans="1:16">
      <c r="A37" s="24"/>
      <c r="B37" s="2"/>
      <c r="C37" s="23"/>
      <c r="D37" s="23"/>
      <c r="E37" s="2"/>
      <c r="F37" s="2"/>
      <c r="G37" s="2"/>
      <c r="J37" s="80">
        <f>MOD(48271*J36,2^31-1)</f>
        <v>1105902161</v>
      </c>
      <c r="K37" s="81">
        <f>J37/(2^31-1)</f>
        <v>0.514975824167475</v>
      </c>
      <c r="L37" s="26" t="s">
        <v>14</v>
      </c>
      <c r="M37" s="26" cm="1">
        <f t="array" ref="M37">ROUND(TO_RANGE(K37,900,1500),0)</f>
        <v>1209</v>
      </c>
      <c r="O37" s="26"/>
    </row>
    <row r="38" spans="1:16">
      <c r="A38" s="24"/>
      <c r="B38" s="24"/>
      <c r="C38" s="27"/>
      <c r="D38" s="27"/>
      <c r="E38" s="24"/>
      <c r="F38" s="24"/>
      <c r="J38" s="80">
        <f>MOD(48271*J37,2^31-1)</f>
        <v>854716505</v>
      </c>
      <c r="K38" s="81">
        <f>J38/(2^31-1)</f>
        <v>0.39800838818680884</v>
      </c>
      <c r="L38" s="50" t="s">
        <v>15</v>
      </c>
      <c r="M38" s="26" cm="1">
        <f t="array" ref="M38">ROUND(TO_RANGE(K38,12,18),0)</f>
        <v>14</v>
      </c>
      <c r="N38" s="25"/>
      <c r="O38" s="25"/>
      <c r="P38" s="25"/>
    </row>
    <row r="39" spans="1:16">
      <c r="A39" s="24"/>
      <c r="B39" s="24"/>
      <c r="C39" s="27"/>
      <c r="D39" s="27"/>
      <c r="E39" s="24"/>
      <c r="F39" s="24"/>
      <c r="J39" s="80">
        <f>MOD(48271*J38,2^31-1)</f>
        <v>564586691</v>
      </c>
      <c r="K39" s="81">
        <f>J39/(2^31-1)</f>
        <v>0.26290616545030204</v>
      </c>
      <c r="L39" s="50" t="s">
        <v>13</v>
      </c>
      <c r="M39" s="26" cm="1">
        <f t="array" ref="M39">ROUND(TO_RANGE(K39,75,79),0)</f>
        <v>76</v>
      </c>
    </row>
    <row r="40" spans="1:16">
      <c r="A40" s="24"/>
      <c r="B40" s="24"/>
      <c r="C40" s="27"/>
      <c r="D40" s="27"/>
      <c r="E40" s="24"/>
      <c r="F40" s="24"/>
    </row>
    <row r="41" spans="1:16">
      <c r="A41" s="24"/>
      <c r="B41" s="24"/>
      <c r="C41" s="27"/>
      <c r="D41" s="27"/>
      <c r="E41" s="24"/>
      <c r="F41" s="24"/>
    </row>
    <row r="42" spans="1:16">
      <c r="A42" s="24"/>
      <c r="B42" s="24"/>
      <c r="C42" s="27"/>
      <c r="D42" s="27"/>
      <c r="E42" s="24"/>
      <c r="F42" s="24"/>
    </row>
    <row r="43" spans="1:16">
      <c r="A43" s="24"/>
      <c r="B43" s="24"/>
      <c r="C43" s="24"/>
      <c r="D43" s="27"/>
      <c r="E43" s="24"/>
      <c r="F43" s="24"/>
    </row>
    <row r="44" spans="1:16">
      <c r="A44" s="24"/>
      <c r="B44" s="24"/>
      <c r="C44" s="24"/>
      <c r="D44" s="24"/>
      <c r="E44" s="24"/>
      <c r="F44" s="24"/>
    </row>
    <row r="45" spans="1:16">
      <c r="A45" s="24"/>
      <c r="B45" s="24"/>
      <c r="C45" s="24"/>
      <c r="D45" s="24"/>
      <c r="E45" s="24"/>
      <c r="F45" s="24"/>
    </row>
    <row r="46" spans="1:16">
      <c r="A46" s="24"/>
      <c r="B46" s="24"/>
      <c r="C46" s="24"/>
      <c r="D46" s="24"/>
      <c r="E46" s="24"/>
      <c r="F46" s="24"/>
    </row>
    <row r="47" spans="1:16">
      <c r="A47" s="24"/>
      <c r="B47" s="24"/>
      <c r="C47" s="24"/>
      <c r="D47" s="24"/>
      <c r="E47" s="24"/>
      <c r="F47" s="24"/>
    </row>
    <row r="48" spans="1:16">
      <c r="A48" s="24"/>
      <c r="B48" s="24"/>
      <c r="C48" s="24"/>
      <c r="D48" s="24"/>
      <c r="E48" s="24"/>
      <c r="F48" s="24"/>
    </row>
    <row r="49" spans="1:6">
      <c r="A49" s="24"/>
      <c r="B49" s="24"/>
      <c r="C49" s="24"/>
      <c r="D49" s="24"/>
      <c r="E49" s="24"/>
      <c r="F49" s="24"/>
    </row>
    <row r="50" spans="1:6">
      <c r="A50" s="24"/>
      <c r="B50" s="24"/>
      <c r="C50" s="24"/>
      <c r="D50" s="24"/>
      <c r="E50" s="24"/>
      <c r="F50" s="24"/>
    </row>
    <row r="51" spans="1:6">
      <c r="A51" s="24"/>
      <c r="B51" s="24"/>
      <c r="C51" s="24"/>
      <c r="D51" s="24"/>
      <c r="E51" s="24"/>
      <c r="F51" s="24"/>
    </row>
    <row r="52" spans="1:6">
      <c r="A52" s="24"/>
      <c r="B52" s="24"/>
      <c r="C52" s="24"/>
      <c r="D52" s="24"/>
      <c r="E52" s="24"/>
      <c r="F52" s="24"/>
    </row>
    <row r="53" spans="1:6">
      <c r="A53" s="24"/>
      <c r="B53" s="24"/>
      <c r="C53" s="24"/>
      <c r="D53" s="24"/>
      <c r="E53" s="24"/>
      <c r="F53" s="24"/>
    </row>
    <row r="54" spans="1:6">
      <c r="A54" s="24"/>
      <c r="B54" s="24"/>
      <c r="C54" s="24"/>
      <c r="D54" s="24"/>
      <c r="E54" s="24"/>
      <c r="F54" s="24"/>
    </row>
    <row r="55" spans="1:6">
      <c r="A55" s="24"/>
      <c r="B55" s="24"/>
      <c r="C55" s="24"/>
      <c r="D55" s="24"/>
      <c r="E55" s="24"/>
      <c r="F55" s="24"/>
    </row>
    <row r="56" spans="1:6">
      <c r="A56" s="24"/>
      <c r="B56" s="24"/>
      <c r="C56" s="24"/>
      <c r="D56" s="24"/>
      <c r="E56" s="24"/>
      <c r="F56" s="24"/>
    </row>
    <row r="57" spans="1:6">
      <c r="A57" s="24"/>
      <c r="B57" s="24"/>
      <c r="C57" s="24"/>
      <c r="D57" s="24"/>
      <c r="E57" s="24"/>
      <c r="F57" s="24"/>
    </row>
    <row r="58" spans="1:6">
      <c r="A58" s="24"/>
      <c r="B58" s="24"/>
      <c r="C58" s="24"/>
      <c r="D58" s="24"/>
      <c r="E58" s="24"/>
      <c r="F58" s="24"/>
    </row>
    <row r="59" spans="1:6">
      <c r="A59" s="24"/>
      <c r="B59" s="24"/>
      <c r="C59" s="24"/>
      <c r="D59" s="24"/>
      <c r="E59" s="24"/>
      <c r="F59" s="24"/>
    </row>
    <row r="60" spans="1:6">
      <c r="A60" s="24"/>
      <c r="B60" s="24"/>
      <c r="C60" s="24"/>
      <c r="D60" s="24"/>
      <c r="E60" s="24"/>
      <c r="F60" s="24"/>
    </row>
    <row r="61" spans="1:6">
      <c r="A61" s="24"/>
      <c r="B61" s="24"/>
      <c r="C61" s="24"/>
      <c r="D61" s="24"/>
      <c r="E61" s="24"/>
      <c r="F61" s="24"/>
    </row>
    <row r="62" spans="1:6">
      <c r="A62" s="24"/>
      <c r="B62" s="24"/>
      <c r="C62" s="24"/>
      <c r="D62" s="24"/>
      <c r="E62" s="24"/>
      <c r="F62" s="24"/>
    </row>
    <row r="63" spans="1:6">
      <c r="A63" s="24"/>
      <c r="B63" s="24"/>
      <c r="C63" s="24"/>
      <c r="D63" s="24"/>
      <c r="E63" s="24"/>
      <c r="F63" s="24"/>
    </row>
    <row r="64" spans="1:6">
      <c r="A64" s="24"/>
      <c r="B64" s="24"/>
      <c r="C64" s="24"/>
      <c r="D64" s="24"/>
      <c r="E64" s="24"/>
      <c r="F64" s="24"/>
    </row>
    <row r="65" spans="1:6">
      <c r="A65" s="24"/>
      <c r="B65" s="24"/>
      <c r="C65" s="24"/>
      <c r="D65" s="24"/>
      <c r="E65" s="24"/>
      <c r="F65" s="24"/>
    </row>
    <row r="66" spans="1:6">
      <c r="A66" s="24"/>
      <c r="B66" s="24"/>
      <c r="C66" s="24"/>
      <c r="D66" s="24"/>
      <c r="E66" s="24"/>
      <c r="F66" s="24"/>
    </row>
    <row r="67" spans="1:6">
      <c r="A67" s="24"/>
      <c r="B67" s="24"/>
      <c r="C67" s="24"/>
      <c r="D67" s="24"/>
      <c r="E67" s="24"/>
      <c r="F67" s="24"/>
    </row>
    <row r="68" spans="1:6">
      <c r="A68" s="24"/>
      <c r="B68" s="24"/>
      <c r="C68" s="24"/>
      <c r="D68" s="24"/>
      <c r="E68" s="24"/>
      <c r="F68" s="24"/>
    </row>
    <row r="69" spans="1:6">
      <c r="A69" s="24"/>
      <c r="B69" s="24"/>
      <c r="C69" s="24"/>
      <c r="D69" s="24"/>
      <c r="E69" s="24"/>
      <c r="F69" s="24"/>
    </row>
    <row r="70" spans="1:6">
      <c r="A70" s="24"/>
      <c r="B70" s="24"/>
      <c r="C70" s="24"/>
      <c r="D70" s="24"/>
      <c r="E70" s="24"/>
      <c r="F70" s="24"/>
    </row>
    <row r="71" spans="1:6">
      <c r="A71" s="24"/>
      <c r="B71" s="24"/>
      <c r="C71" s="24"/>
      <c r="D71" s="24"/>
      <c r="E71" s="24"/>
      <c r="F71" s="24"/>
    </row>
    <row r="72" spans="1:6">
      <c r="A72" s="24"/>
      <c r="B72" s="24"/>
      <c r="C72" s="24"/>
      <c r="D72" s="24"/>
      <c r="E72" s="24"/>
      <c r="F72" s="24"/>
    </row>
    <row r="73" spans="1:6">
      <c r="A73" s="24"/>
      <c r="B73" s="24"/>
      <c r="C73" s="24"/>
      <c r="D73" s="24"/>
      <c r="E73" s="24"/>
      <c r="F73" s="24"/>
    </row>
    <row r="74" spans="1:6">
      <c r="A74" s="24"/>
      <c r="B74" s="24"/>
      <c r="C74" s="24"/>
      <c r="D74" s="24"/>
      <c r="E74" s="24"/>
      <c r="F74" s="24"/>
    </row>
    <row r="75" spans="1:6">
      <c r="A75" s="24"/>
      <c r="B75" s="24"/>
      <c r="C75" s="24"/>
      <c r="D75" s="24"/>
      <c r="E75" s="24"/>
      <c r="F75" s="24"/>
    </row>
    <row r="76" spans="1:6">
      <c r="A76" s="24"/>
      <c r="B76" s="24"/>
      <c r="C76" s="24"/>
      <c r="D76" s="24"/>
      <c r="E76" s="24"/>
      <c r="F76" s="24"/>
    </row>
    <row r="77" spans="1:6">
      <c r="A77" s="24"/>
      <c r="B77" s="24"/>
      <c r="C77" s="24"/>
      <c r="D77" s="24"/>
      <c r="E77" s="24"/>
      <c r="F77" s="24"/>
    </row>
    <row r="78" spans="1:6">
      <c r="A78" s="24"/>
      <c r="B78" s="24"/>
      <c r="C78" s="24"/>
      <c r="D78" s="24"/>
      <c r="E78" s="24"/>
      <c r="F78" s="24"/>
    </row>
    <row r="79" spans="1:6">
      <c r="A79" s="24"/>
      <c r="B79" s="24"/>
      <c r="C79" s="24"/>
      <c r="D79" s="24"/>
      <c r="E79" s="24"/>
      <c r="F79" s="24"/>
    </row>
    <row r="80" spans="1:6">
      <c r="A80" s="24"/>
      <c r="B80" s="24"/>
      <c r="C80" s="24"/>
      <c r="D80" s="24"/>
      <c r="E80" s="24"/>
      <c r="F80" s="24"/>
    </row>
    <row r="81" spans="1:6">
      <c r="A81" s="24"/>
      <c r="B81" s="24"/>
      <c r="C81" s="24"/>
      <c r="D81" s="24"/>
      <c r="E81" s="24"/>
      <c r="F81" s="24"/>
    </row>
    <row r="82" spans="1:6">
      <c r="A82" s="24"/>
      <c r="B82" s="24"/>
      <c r="C82" s="24"/>
      <c r="D82" s="24"/>
      <c r="E82" s="24"/>
      <c r="F82" s="24"/>
    </row>
    <row r="83" spans="1:6">
      <c r="A83" s="24"/>
      <c r="B83" s="24"/>
      <c r="C83" s="24"/>
      <c r="D83" s="24"/>
      <c r="E83" s="24"/>
      <c r="F83" s="24"/>
    </row>
    <row r="84" spans="1:6">
      <c r="A84" s="24"/>
      <c r="B84" s="24"/>
      <c r="C84" s="24"/>
      <c r="D84" s="24"/>
      <c r="E84" s="24"/>
      <c r="F84" s="24"/>
    </row>
    <row r="85" spans="1:6">
      <c r="A85" s="24"/>
      <c r="B85" s="24"/>
      <c r="C85" s="24"/>
      <c r="D85" s="24"/>
      <c r="E85" s="24"/>
      <c r="F85" s="24"/>
    </row>
    <row r="86" spans="1:6">
      <c r="A86" s="24"/>
      <c r="B86" s="24"/>
      <c r="C86" s="24"/>
      <c r="D86" s="24"/>
      <c r="E86" s="24"/>
      <c r="F86" s="24"/>
    </row>
    <row r="87" spans="1:6">
      <c r="A87" s="24"/>
      <c r="B87" s="24"/>
      <c r="C87" s="24"/>
      <c r="D87" s="24"/>
      <c r="E87" s="24"/>
      <c r="F87" s="24"/>
    </row>
    <row r="88" spans="1:6">
      <c r="A88" s="24"/>
      <c r="B88" s="24"/>
      <c r="C88" s="24"/>
      <c r="D88" s="24"/>
      <c r="E88" s="24"/>
      <c r="F88" s="24"/>
    </row>
    <row r="89" spans="1:6">
      <c r="A89" s="24"/>
      <c r="B89" s="24"/>
      <c r="C89" s="24"/>
      <c r="D89" s="24"/>
      <c r="E89" s="24"/>
      <c r="F89" s="24"/>
    </row>
    <row r="90" spans="1:6">
      <c r="A90" s="24"/>
      <c r="B90" s="24"/>
      <c r="C90" s="24"/>
      <c r="D90" s="24"/>
      <c r="E90" s="24"/>
      <c r="F90" s="24"/>
    </row>
    <row r="91" spans="1:6">
      <c r="A91" s="24"/>
      <c r="B91" s="24"/>
      <c r="C91" s="24"/>
      <c r="D91" s="24"/>
      <c r="E91" s="24"/>
      <c r="F91" s="24"/>
    </row>
    <row r="92" spans="1:6">
      <c r="A92" s="24"/>
      <c r="B92" s="24"/>
      <c r="C92" s="24"/>
      <c r="D92" s="24"/>
      <c r="E92" s="24"/>
      <c r="F92" s="24"/>
    </row>
    <row r="93" spans="1:6">
      <c r="A93" s="24"/>
      <c r="B93" s="24"/>
      <c r="C93" s="24"/>
      <c r="D93" s="24"/>
      <c r="E93" s="24"/>
      <c r="F93" s="24"/>
    </row>
    <row r="94" spans="1:6">
      <c r="A94" s="24"/>
      <c r="B94" s="24"/>
      <c r="C94" s="24"/>
      <c r="D94" s="24"/>
      <c r="E94" s="24"/>
      <c r="F94" s="24"/>
    </row>
    <row r="95" spans="1:6">
      <c r="A95" s="24"/>
      <c r="B95" s="24"/>
      <c r="C95" s="24"/>
      <c r="D95" s="24"/>
      <c r="E95" s="24"/>
      <c r="F95" s="24"/>
    </row>
    <row r="96" spans="1:6">
      <c r="A96" s="24"/>
      <c r="B96" s="24"/>
      <c r="C96" s="24"/>
      <c r="D96" s="24"/>
      <c r="E96" s="24"/>
      <c r="F96" s="24"/>
    </row>
    <row r="97" spans="1:6">
      <c r="A97" s="24"/>
      <c r="B97" s="24"/>
      <c r="C97" s="24"/>
      <c r="D97" s="24"/>
      <c r="E97" s="24"/>
      <c r="F97" s="24"/>
    </row>
    <row r="98" spans="1:6">
      <c r="A98" s="24"/>
      <c r="B98" s="24"/>
      <c r="C98" s="24"/>
      <c r="D98" s="24"/>
      <c r="E98" s="24"/>
      <c r="F98" s="24"/>
    </row>
    <row r="99" spans="1:6">
      <c r="A99" s="24"/>
      <c r="B99" s="24"/>
      <c r="C99" s="24"/>
      <c r="D99" s="24"/>
      <c r="E99" s="24"/>
      <c r="F99" s="24"/>
    </row>
    <row r="100" spans="1:6">
      <c r="B100" s="24"/>
      <c r="C100" s="24"/>
      <c r="D100" s="24"/>
      <c r="E100" s="24"/>
      <c r="F100" s="24"/>
    </row>
  </sheetData>
  <mergeCells count="3">
    <mergeCell ref="L31:M31"/>
    <mergeCell ref="B13:C13"/>
    <mergeCell ref="K16:S16"/>
  </mergeCells>
  <phoneticPr fontId="44" type="noConversion"/>
  <pageMargins left="0.7" right="0.7" top="0.75" bottom="0.75" header="0.3" footer="0.3"/>
  <pageSetup paperSize="9" orientation="portrait" horizontalDpi="4294967292" verticalDpi="4294967292"/>
  <ignoredErrors>
    <ignoredError sqref="J31:J36 B3:C3 B5:C5 B4 B7:C13 J37:J39 C14:C20" unlockedFormula="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Answers</vt:lpstr>
      <vt:lpstr>Data0</vt:lpstr>
      <vt:lpstr>Data1</vt:lpstr>
      <vt:lpstr>Data2</vt:lpstr>
      <vt:lpstr>Data3</vt:lpstr>
      <vt:lpstr>KEY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Deniz Ugur</dc:creator>
  <cp:keywords/>
  <dc:description/>
  <cp:lastModifiedBy>Deniz Ugur</cp:lastModifiedBy>
  <dcterms:created xsi:type="dcterms:W3CDTF">2008-09-27T09:46:15Z</dcterms:created>
  <dcterms:modified xsi:type="dcterms:W3CDTF">2020-11-29T15:24:58Z</dcterms:modified>
  <cp:category/>
</cp:coreProperties>
</file>