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3" codeName="{6BE1CDB9-6C1C-A5B6-3FC1-E231EC3C600E}"/>
  <workbookPr codeName="ThisWorkbook" autoCompressPictures="0"/>
  <mc:AlternateContent xmlns:mc="http://schemas.openxmlformats.org/markup-compatibility/2006">
    <mc:Choice Requires="x15">
      <x15ac:absPath xmlns:x15ac="http://schemas.microsoft.com/office/spreadsheetml/2010/11/ac" url="/Users/deniz/Documents/PROJECTS/WEB PROJECTS/bus-fs/webapp/data/templates/"/>
    </mc:Choice>
  </mc:AlternateContent>
  <xr:revisionPtr revIDLastSave="0" documentId="13_ncr:1_{2EC088C1-6965-E14A-95FD-33A4B17D71F7}" xr6:coauthVersionLast="46" xr6:coauthVersionMax="46" xr10:uidLastSave="{00000000-0000-0000-0000-000000000000}"/>
  <bookViews>
    <workbookView xWindow="0" yWindow="460" windowWidth="33600" windowHeight="20540" xr2:uid="{00000000-000D-0000-FFFF-FFFF00000000}"/>
  </bookViews>
  <sheets>
    <sheet name="Instructions" sheetId="28" r:id="rId1"/>
    <sheet name="Answers 1" sheetId="79" state="veryHidden" r:id="rId2"/>
    <sheet name="Answers 2" sheetId="80" state="veryHidden" r:id="rId3"/>
    <sheet name="KEY" sheetId="73" state="veryHidden" r:id="rId4"/>
  </sheets>
  <functionGroups builtInGroupCount="19"/>
  <definedNames>
    <definedName name="solver_eng" localSheetId="1" hidden="1">1</definedName>
    <definedName name="solver_neg" localSheetId="1" hidden="1">1</definedName>
    <definedName name="solver_num" localSheetId="1" hidden="1">0</definedName>
    <definedName name="solver_opt" localSheetId="1" hidden="1">'Answers 1'!$A$1</definedName>
    <definedName name="solver_typ" localSheetId="1" hidden="1">1</definedName>
    <definedName name="solver_val" localSheetId="1" hidden="1">0</definedName>
    <definedName name="solver_ver" localSheetId="1" hidden="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C14" i="79" l="1"/>
  <c r="AB12" i="73" a="1"/>
  <c r="AC12" i="73" a="1"/>
  <c r="AA12" i="73" a="1"/>
  <c r="Z12" i="73" a="1"/>
  <c r="Y12" i="73" a="1"/>
  <c r="X12" i="73" a="1"/>
  <c r="W12" i="73" a="1"/>
  <c r="V12" i="73" a="1"/>
  <c r="V12" i="73" l="1"/>
  <c r="AB12" i="73"/>
  <c r="AC12" i="73"/>
  <c r="AA12" i="73"/>
  <c r="Z12" i="73"/>
  <c r="Y12" i="73"/>
  <c r="X12" i="73"/>
  <c r="W12" i="73"/>
  <c r="O14" i="73"/>
  <c r="O13" i="73" s="1"/>
  <c r="N14" i="73"/>
  <c r="N13" i="73"/>
  <c r="M13" i="73"/>
  <c r="M14" i="73"/>
  <c r="D4" i="73"/>
  <c r="U12" i="73" a="1"/>
  <c r="R12" i="73" a="1"/>
  <c r="S12" i="73" a="1"/>
  <c r="T12" i="73" a="1"/>
  <c r="Q12" i="73" a="1"/>
  <c r="P12" i="73" a="1"/>
  <c r="N12" i="73" a="1"/>
  <c r="U12" i="73" l="1"/>
  <c r="R12" i="73"/>
  <c r="S12" i="73"/>
  <c r="T12" i="73"/>
  <c r="Q12" i="73"/>
  <c r="P12" i="73"/>
  <c r="N12" i="73"/>
  <c r="P14" i="73"/>
  <c r="P13" i="73" l="1"/>
  <c r="Q14" i="73"/>
  <c r="Q13" i="73" l="1"/>
  <c r="R14" i="73"/>
  <c r="R13" i="73" l="1"/>
  <c r="S14" i="73"/>
  <c r="S13" i="73" l="1"/>
  <c r="T14" i="73"/>
  <c r="T13" i="73" l="1"/>
  <c r="U14" i="73"/>
  <c r="V14" i="73" l="1"/>
  <c r="U13" i="73"/>
  <c r="W14" i="73" l="1"/>
  <c r="V13" i="73"/>
  <c r="W13" i="73" l="1"/>
  <c r="X14" i="73"/>
  <c r="J12" i="73"/>
  <c r="X13" i="73" l="1"/>
  <c r="Y14" i="73"/>
  <c r="C11" i="73"/>
  <c r="C10" i="73"/>
  <c r="Y13" i="73" l="1"/>
  <c r="Z14" i="73"/>
  <c r="C15" i="80"/>
  <c r="C10" i="80"/>
  <c r="C9" i="80"/>
  <c r="C8" i="80"/>
  <c r="C6" i="80"/>
  <c r="C5" i="80"/>
  <c r="C15" i="79"/>
  <c r="C13" i="79"/>
  <c r="I12" i="79"/>
  <c r="I11" i="79"/>
  <c r="I10" i="79"/>
  <c r="C8" i="79"/>
  <c r="C7" i="79"/>
  <c r="J30" i="73"/>
  <c r="J29" i="73"/>
  <c r="J26" i="73"/>
  <c r="J27" i="73"/>
  <c r="J28" i="73"/>
  <c r="J25" i="73"/>
  <c r="J23" i="73"/>
  <c r="J24" i="73"/>
  <c r="J22" i="73"/>
  <c r="J20" i="73"/>
  <c r="J21" i="73"/>
  <c r="J19" i="73"/>
  <c r="J18" i="73"/>
  <c r="J17" i="73"/>
  <c r="J13" i="73"/>
  <c r="J14" i="73"/>
  <c r="J15" i="73"/>
  <c r="J16" i="73"/>
  <c r="J11" i="73"/>
  <c r="J9" i="73"/>
  <c r="J10" i="73"/>
  <c r="J8" i="73"/>
  <c r="K8" i="73" s="1"/>
  <c r="Z13" i="73" l="1"/>
  <c r="AA14" i="73"/>
  <c r="O12" i="73"/>
  <c r="C6" i="79" s="1"/>
  <c r="K30" i="73"/>
  <c r="K29" i="73"/>
  <c r="K28" i="73"/>
  <c r="K24" i="73"/>
  <c r="K25" i="73"/>
  <c r="K26" i="73"/>
  <c r="K27" i="73"/>
  <c r="K23" i="73"/>
  <c r="K20" i="73"/>
  <c r="C9" i="73"/>
  <c r="K18" i="73"/>
  <c r="K17" i="73"/>
  <c r="K16" i="73"/>
  <c r="K15" i="73"/>
  <c r="K14" i="73"/>
  <c r="K13" i="73"/>
  <c r="K12" i="73"/>
  <c r="K11" i="73"/>
  <c r="K22" i="73"/>
  <c r="K21" i="73"/>
  <c r="K19" i="73"/>
  <c r="K10" i="73"/>
  <c r="K9" i="73"/>
  <c r="IU36759" i="28"/>
  <c r="IT36759" i="28"/>
  <c r="IS36759" i="28"/>
  <c r="IR36759" i="28"/>
  <c r="IQ36759" i="28"/>
  <c r="IP36759" i="28"/>
  <c r="IO36759" i="28"/>
  <c r="IN36759" i="28"/>
  <c r="IM36759" i="28"/>
  <c r="IL36759" i="28"/>
  <c r="AB14" i="73" l="1"/>
  <c r="AA13" i="73"/>
  <c r="AB13" i="73" l="1"/>
  <c r="AC14" i="73"/>
  <c r="AC13" i="7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<sst xmlns="http://schemas.openxmlformats.org/spreadsheetml/2006/main" count="194" uniqueCount="109">
  <si>
    <t>Answer</t>
  </si>
  <si>
    <t>YEAR:</t>
  </si>
  <si>
    <t>CF:</t>
  </si>
  <si>
    <t>SB:</t>
  </si>
  <si>
    <t>Number</t>
  </si>
  <si>
    <t>Section</t>
  </si>
  <si>
    <t>.</t>
  </si>
  <si>
    <t>Part 1</t>
  </si>
  <si>
    <t>Part 2</t>
  </si>
  <si>
    <t>Part 3</t>
  </si>
  <si>
    <t>Part 4</t>
  </si>
  <si>
    <t>a</t>
  </si>
  <si>
    <t>b</t>
  </si>
  <si>
    <t>ID:</t>
  </si>
  <si>
    <t>InstructionsID</t>
  </si>
  <si>
    <t>start</t>
  </si>
  <si>
    <t>end</t>
  </si>
  <si>
    <t>user</t>
  </si>
  <si>
    <t>name</t>
  </si>
  <si>
    <t>Answers</t>
  </si>
  <si>
    <t>k</t>
  </si>
  <si>
    <t>TABLE B</t>
  </si>
  <si>
    <t>TABLE A</t>
  </si>
  <si>
    <t>Potential percentage of buyers</t>
  </si>
  <si>
    <t>Market Size</t>
  </si>
  <si>
    <t>Years</t>
  </si>
  <si>
    <t>Quarters</t>
  </si>
  <si>
    <t>Q1</t>
  </si>
  <si>
    <t>Q2</t>
  </si>
  <si>
    <t>Q3</t>
  </si>
  <si>
    <t>Q4</t>
  </si>
  <si>
    <t>Editing Enabled</t>
  </si>
  <si>
    <t>Plagarism Mark</t>
  </si>
  <si>
    <t>Warning Count</t>
  </si>
  <si>
    <t>Max Selection</t>
  </si>
  <si>
    <t>Workbook Name</t>
  </si>
  <si>
    <t>Author</t>
  </si>
  <si>
    <t>Last Author</t>
  </si>
  <si>
    <t>Record Time</t>
  </si>
  <si>
    <t>Selection Area</t>
  </si>
  <si>
    <t>rand1</t>
  </si>
  <si>
    <t>rand2</t>
  </si>
  <si>
    <t>rand3</t>
  </si>
  <si>
    <t>rand4</t>
  </si>
  <si>
    <t>rand5</t>
  </si>
  <si>
    <t>rand6</t>
  </si>
  <si>
    <t>rand7</t>
  </si>
  <si>
    <t>rand8</t>
  </si>
  <si>
    <t>Dropdown</t>
  </si>
  <si>
    <t>Click Here</t>
  </si>
  <si>
    <t>Gompertz Formula</t>
  </si>
  <si>
    <t>BUS 101 Homework 5-Technological Forecasting</t>
  </si>
  <si>
    <t xml:space="preserve">
According to your trendlines, report the projected sales for the given periods and trendlines.</t>
  </si>
  <si>
    <t>Orçun asked you the following questions about forecasting methods and theory.</t>
  </si>
  <si>
    <t>EvTel was not satisfied with Orçun's results and asked Ecem to come up with better forecasting results, so Ecem decided that the Gompertz Curve will return better results.</t>
  </si>
  <si>
    <t>Before applying the Gompertz formula Ecem needs some information about the smart home market.</t>
  </si>
  <si>
    <t>What is the total estimated market size?</t>
  </si>
  <si>
    <t>Report the new SSE value.</t>
  </si>
  <si>
    <t>Which parameter represents the rate of adoption?</t>
  </si>
  <si>
    <t>Part1</t>
  </si>
  <si>
    <t>Part3</t>
  </si>
  <si>
    <t>Part2</t>
  </si>
  <si>
    <t>Part4</t>
  </si>
  <si>
    <t>Fall 2020</t>
  </si>
  <si>
    <t>PART1-Q1-1</t>
  </si>
  <si>
    <t>PART1-Q1-2</t>
  </si>
  <si>
    <t>PART1-Q2</t>
  </si>
  <si>
    <t>PART1-Q3</t>
  </si>
  <si>
    <t>PART2-Q1-1</t>
  </si>
  <si>
    <t>PART2-Q1-2</t>
  </si>
  <si>
    <t>PART2-Q1-3</t>
  </si>
  <si>
    <t>PART2-Q2</t>
  </si>
  <si>
    <t>rand9</t>
  </si>
  <si>
    <t>PART2-Q3</t>
  </si>
  <si>
    <t>PART2-Q4</t>
  </si>
  <si>
    <t>rand10</t>
  </si>
  <si>
    <t>Answers 1</t>
  </si>
  <si>
    <t>Answers 2</t>
  </si>
  <si>
    <t>rand11</t>
  </si>
  <si>
    <t>rand12</t>
  </si>
  <si>
    <t>PART2-Q1</t>
  </si>
  <si>
    <t>rand13</t>
  </si>
  <si>
    <t>rand14</t>
  </si>
  <si>
    <t>rand15</t>
  </si>
  <si>
    <t>rand16</t>
  </si>
  <si>
    <t>PART3-Q4</t>
  </si>
  <si>
    <t>YES</t>
  </si>
  <si>
    <t>NO</t>
  </si>
  <si>
    <t>A better fit to the actual data guarantees better forecasts of the future.</t>
  </si>
  <si>
    <t>What parameter would need to be changed if the potential market size changed?</t>
  </si>
  <si>
    <t>Population of Istanbul</t>
  </si>
  <si>
    <t>Orçun, the product manager of EvTel needs insight about the sales trends of the smart home market. He managed to find the past market sales data of some smart home oriented companies. Answer the following questions by using the table given.</t>
  </si>
  <si>
    <t>For Polynomial Trendlines; the higher the degree is, the better forecasting results are.</t>
  </si>
  <si>
    <t>Answers1ID</t>
  </si>
  <si>
    <t>Answers2ID</t>
  </si>
  <si>
    <t>Total: 12</t>
  </si>
  <si>
    <t>Points</t>
  </si>
  <si>
    <t>Total: 15</t>
  </si>
  <si>
    <t>EvTel is preparing to enter the smart home market. Thus, they are conducting market research in Istanbul. The company is planning to analyze the past 3 years' smart home device sales data with various forecasting methods to predict future sales.  Help the company with the analysis by solving the questions below.</t>
  </si>
  <si>
    <t>Smart Home Device Sales</t>
  </si>
  <si>
    <r>
      <t xml:space="preserve">Using the Solver, find the b and k values that minimize the sum of squared errors between Gompertz and the actual data using </t>
    </r>
    <r>
      <rPr>
        <b/>
        <i/>
        <u/>
        <sz val="12"/>
        <color theme="0"/>
        <rFont val="Calibri"/>
        <family val="2"/>
      </rPr>
      <t>market penetration</t>
    </r>
    <r>
      <rPr>
        <b/>
        <sz val="12"/>
        <color theme="0"/>
        <rFont val="Calibri"/>
        <family val="2"/>
      </rPr>
      <t>.</t>
    </r>
  </si>
  <si>
    <t>Ecem asks you questions about the Gompertz Curve variables.</t>
  </si>
  <si>
    <t>Report the new b value</t>
  </si>
  <si>
    <t>Report the new k value</t>
  </si>
  <si>
    <t xml:space="preserve">Orçun needs you to fit 3 time-series; Linear, 3rd Degree Polynomial, and Power trendlines to the past quarterly sales of the smart home market. </t>
  </si>
  <si>
    <t>Past Sales</t>
  </si>
  <si>
    <r>
      <t xml:space="preserve">Now that Ecem has the data she needs, she will use the Gompertz Curve on the data with some estimated values. Use the values in </t>
    </r>
    <r>
      <rPr>
        <b/>
        <i/>
        <u/>
        <sz val="12"/>
        <color theme="0"/>
        <rFont val="Calibri"/>
        <family val="2"/>
      </rPr>
      <t xml:space="preserve">Table B </t>
    </r>
    <r>
      <rPr>
        <b/>
        <sz val="12"/>
        <color theme="0"/>
        <rFont val="Calibri"/>
        <family val="2"/>
      </rPr>
      <t>(b = 0.142, k=6.5)</t>
    </r>
    <r>
      <rPr>
        <sz val="12"/>
        <color theme="0"/>
        <rFont val="Calibri"/>
        <family val="2"/>
        <charset val="162"/>
      </rPr>
      <t>.</t>
    </r>
    <r>
      <rPr>
        <sz val="12"/>
        <color theme="0"/>
        <rFont val="Calibri"/>
        <family val="2"/>
      </rPr>
      <t xml:space="preserve">  Answer the questions according to the predictions.</t>
    </r>
  </si>
  <si>
    <t>Modified</t>
  </si>
  <si>
    <t>S000001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</si>
</sst>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41" x14ac:knownFonts="1">
    <font>
      <sz val="10"/>
      <name val="Arial"/>
    </font>
    <font>
      <sz val="11"/>
      <color theme="1"/>
      <name val="Calibri"/>
      <family val="2"/>
      <scheme val="minor"/>
    </font>
    <font>
      <sz val="10"/>
      <name val="Arial"/>
      <family val="2"/>
    </font>
    <font>
      <b/>
      <sz val="10"/>
      <name val="Arial"/>
      <family val="2"/>
    </font>
    <font>
      <sz val="10"/>
      <color indexed="9"/>
      <name val="Arial"/>
      <family val="2"/>
    </font>
    <font>
      <i/>
      <sz val="10"/>
      <name val="Arial"/>
      <family val="2"/>
    </font>
    <font>
      <sz val="10"/>
      <color indexed="22"/>
      <name val="Arial"/>
      <family val="2"/>
    </font>
    <font>
      <b/>
      <sz val="14"/>
      <name val="Arial"/>
      <family val="2"/>
    </font>
    <font>
      <b/>
      <sz val="10"/>
      <color indexed="12"/>
      <name val="Arial"/>
      <family val="2"/>
    </font>
    <font>
      <sz val="10"/>
      <color indexed="8"/>
      <name val="Arial"/>
      <family val="2"/>
    </font>
    <font>
      <u/>
      <sz val="10"/>
      <color theme="10"/>
      <name val="Arial"/>
      <family val="2"/>
      <charset val="162"/>
    </font>
    <font>
      <u/>
      <sz val="10"/>
      <color theme="11"/>
      <name val="Arial"/>
      <family val="2"/>
      <charset val="162"/>
    </font>
    <font>
      <sz val="12"/>
      <color theme="1"/>
      <name val="Calibri"/>
      <family val="2"/>
      <scheme val="minor"/>
    </font>
    <font>
      <sz val="10"/>
      <name val="Arial"/>
      <family val="2"/>
      <charset val="162"/>
    </font>
    <font>
      <b/>
      <sz val="11"/>
      <color theme="1"/>
      <name val="Calibri"/>
      <family val="2"/>
      <scheme val="minor"/>
    </font>
    <font>
      <sz val="10"/>
      <color rgb="FF000000"/>
      <name val="Arial"/>
      <family val="2"/>
    </font>
    <font>
      <b/>
      <sz val="11"/>
      <color theme="0"/>
      <name val="Calibri"/>
      <family val="2"/>
      <charset val="162"/>
      <scheme val="minor"/>
    </font>
    <font>
      <sz val="11"/>
      <color theme="1"/>
      <name val="Calibri"/>
      <family val="2"/>
      <scheme val="minor"/>
    </font>
    <font>
      <sz val="12"/>
      <color theme="1"/>
      <name val="Calibri"/>
      <family val="2"/>
      <charset val="162"/>
      <scheme val="minor"/>
    </font>
    <font>
      <sz val="12"/>
      <color theme="1"/>
      <name val="Calibri (Body)"/>
      <charset val="162"/>
    </font>
    <font>
      <sz val="8"/>
      <name val="Arial"/>
      <family val="2"/>
    </font>
    <font>
      <sz val="20"/>
      <color theme="1"/>
      <name val="Calibri"/>
      <family val="2"/>
      <scheme val="minor"/>
    </font>
    <font>
      <sz val="10"/>
      <color theme="1"/>
      <name val="Arial"/>
      <family val="2"/>
    </font>
    <font>
      <b/>
      <sz val="11"/>
      <color rgb="FFFFFFFF"/>
      <name val="Calibri"/>
      <family val="2"/>
    </font>
    <font>
      <sz val="11"/>
      <color rgb="FF000000"/>
      <name val="Calibri"/>
      <family val="2"/>
    </font>
    <font>
      <sz val="11"/>
      <color theme="1"/>
      <name val="Arial"/>
      <family val="2"/>
    </font>
    <font>
      <sz val="14"/>
      <color theme="1"/>
      <name val="Calibri"/>
      <family val="2"/>
      <scheme val="minor"/>
    </font>
    <font>
      <sz val="10"/>
      <color theme="0" tint="-0.499984740745262"/>
      <name val="Arial"/>
      <family val="2"/>
    </font>
    <font>
      <sz val="12"/>
      <color theme="0"/>
      <name val="Calibri"/>
      <family val="2"/>
    </font>
    <font>
      <sz val="12"/>
      <color theme="0"/>
      <name val="Arial"/>
      <family val="2"/>
    </font>
    <font>
      <b/>
      <sz val="12"/>
      <color rgb="FFFFFFFF"/>
      <name val="Calibri"/>
      <family val="2"/>
    </font>
    <font>
      <sz val="12"/>
      <color rgb="FF000000"/>
      <name val="Arial"/>
      <family val="2"/>
    </font>
    <font>
      <b/>
      <sz val="14"/>
      <color rgb="FFFFFFFF"/>
      <name val="Calibri"/>
      <family val="2"/>
    </font>
    <font>
      <sz val="14"/>
      <color rgb="FF000000"/>
      <name val="Arial"/>
      <family val="2"/>
    </font>
    <font>
      <b/>
      <i/>
      <u/>
      <sz val="12"/>
      <color theme="0"/>
      <name val="Calibri"/>
      <family val="2"/>
    </font>
    <font>
      <b/>
      <sz val="12"/>
      <color theme="0"/>
      <name val="Calibri"/>
      <family val="2"/>
    </font>
    <font>
      <sz val="11"/>
      <color rgb="FF000000"/>
      <name val="Arial"/>
      <family val="2"/>
      <charset val="162"/>
    </font>
    <font>
      <sz val="8"/>
      <name val="Arial"/>
      <family val="2"/>
      <charset val="162"/>
    </font>
    <font>
      <sz val="12"/>
      <color theme="0"/>
      <name val="Calibri"/>
      <family val="2"/>
      <charset val="162"/>
    </font>
    <font>
      <sz val="10"/>
      <name val="Arial"/>
      <family val="2"/>
    </font>
    <font>
      <sz val="10"/>
      <color theme="0" tint="-0.14999847407452621"/>
      <name val="Arial"/>
      <family val="2"/>
    </font>
  </fonts>
  <fills count="14">
    <fill>
      <patternFill patternType="none"/>
    </fill>
    <fill>
      <patternFill patternType="gray125"/>
    </fill>
    <fill>
      <patternFill patternType="solid">
        <fgColor theme="8" tint="0.79998168889431442"/>
        <bgColor indexed="64"/>
      </patternFill>
    </fill>
    <fill>
      <patternFill patternType="solid">
        <fgColor theme="7" tint="0.79998168889431442"/>
        <bgColor indexed="64"/>
      </patternFill>
    </fill>
    <fill>
      <patternFill patternType="solid">
        <fgColor theme="4" tint="-0.499984740745262"/>
        <bgColor rgb="FF4B376A"/>
      </patternFill>
    </fill>
    <fill>
      <patternFill patternType="solid">
        <fgColor theme="4" tint="-0.499984740745262"/>
        <bgColor indexed="64"/>
      </patternFill>
    </fill>
    <fill>
      <patternFill patternType="solid">
        <fgColor theme="4" tint="-0.499984740745262"/>
        <bgColor rgb="FF7252A0"/>
      </patternFill>
    </fill>
    <fill>
      <patternFill patternType="solid">
        <fgColor theme="4" tint="-0.499984740745262"/>
        <bgColor rgb="FFC4B5D9"/>
      </patternFill>
    </fill>
    <fill>
      <patternFill patternType="solid">
        <fgColor theme="4" tint="0.39997558519241921"/>
        <bgColor rgb="FFC4B5D9"/>
      </patternFill>
    </fill>
    <fill>
      <patternFill patternType="solid">
        <fgColor theme="4" tint="0.59999389629810485"/>
        <bgColor rgb="FFEBE6F2"/>
      </patternFill>
    </fill>
    <fill>
      <patternFill patternType="solid">
        <fgColor theme="4" tint="0.79998168889431442"/>
        <bgColor rgb="FFD8CEE6"/>
      </patternFill>
    </fill>
    <fill>
      <patternFill patternType="solid">
        <fgColor theme="4" tint="0.59999389629810485"/>
        <bgColor indexed="64"/>
      </patternFill>
    </fill>
    <fill>
      <patternFill patternType="solid">
        <fgColor theme="4" tint="0.39997558519241921"/>
        <bgColor rgb="FF000000"/>
      </patternFill>
    </fill>
    <fill>
      <patternFill patternType="solid">
        <fgColor theme="4" tint="0.79998168889431442"/>
        <bgColor indexed="64"/>
      </patternFill>
    </fill>
  </fills>
  <borders count="42">
    <border>
      <left/>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bottom style="thin">
        <color auto="1"/>
      </bottom>
      <diagonal/>
    </border>
    <border>
      <left style="thin">
        <color auto="1"/>
      </left>
      <right/>
      <top style="thin">
        <color auto="1"/>
      </top>
      <bottom style="thin">
        <color auto="1"/>
      </bottom>
      <diagonal/>
    </border>
    <border>
      <left style="medium">
        <color auto="1"/>
      </left>
      <right/>
      <top style="medium">
        <color auto="1"/>
      </top>
      <bottom style="medium">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diagonal/>
    </border>
    <border>
      <left/>
      <right style="medium">
        <color auto="1"/>
      </right>
      <top style="thin">
        <color auto="1"/>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style="medium">
        <color indexed="64"/>
      </left>
      <right/>
      <top style="medium">
        <color indexed="64"/>
      </top>
      <bottom style="thin">
        <color auto="1"/>
      </bottom>
      <diagonal/>
    </border>
    <border>
      <left style="medium">
        <color auto="1"/>
      </left>
      <right style="medium">
        <color indexed="64"/>
      </right>
      <top style="thin">
        <color auto="1"/>
      </top>
      <bottom style="thin">
        <color auto="1"/>
      </bottom>
      <diagonal/>
    </border>
    <border>
      <left/>
      <right style="medium">
        <color auto="1"/>
      </right>
      <top style="thin">
        <color auto="1"/>
      </top>
      <bottom/>
      <diagonal/>
    </border>
    <border>
      <left style="medium">
        <color indexed="64"/>
      </left>
      <right style="thin">
        <color rgb="FF000000"/>
      </right>
      <top style="medium">
        <color indexed="64"/>
      </top>
      <bottom style="medium">
        <color indexed="64"/>
      </bottom>
      <diagonal/>
    </border>
    <border>
      <left style="thin">
        <color rgb="FF000000"/>
      </left>
      <right style="thin">
        <color rgb="FF000000"/>
      </right>
      <top style="medium">
        <color indexed="64"/>
      </top>
      <bottom style="medium">
        <color indexed="64"/>
      </bottom>
      <diagonal/>
    </border>
    <border>
      <left style="thin">
        <color rgb="FF000000"/>
      </left>
      <right style="medium">
        <color indexed="64"/>
      </right>
      <top style="medium">
        <color indexed="64"/>
      </top>
      <bottom style="medium">
        <color indexed="64"/>
      </bottom>
      <diagonal/>
    </border>
    <border>
      <left style="medium">
        <color indexed="64"/>
      </left>
      <right style="thin">
        <color rgb="FF000000"/>
      </right>
      <top/>
      <bottom style="medium">
        <color indexed="64"/>
      </bottom>
      <diagonal/>
    </border>
    <border>
      <left style="thin">
        <color rgb="FF000000"/>
      </left>
      <right style="thin">
        <color rgb="FF000000"/>
      </right>
      <top/>
      <bottom style="medium">
        <color indexed="64"/>
      </bottom>
      <diagonal/>
    </border>
    <border>
      <left style="thin">
        <color rgb="FF000000"/>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s>
  <cellStyleXfs count="177">
    <xf numFmtId="0" fontId="0" fillId="0" borderId="0"/>
    <xf numFmtId="9" fontId="2" fillId="0" borderId="0" applyFon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43" fontId="12" fillId="0" borderId="0" applyFon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17" fillId="0" borderId="0"/>
    <xf numFmtId="0" fontId="18" fillId="0" borderId="0"/>
    <xf numFmtId="43" fontId="17" fillId="0" borderId="0" applyFont="0" applyFill="0" applyBorder="0" applyAlignment="0" applyProtection="0"/>
    <xf numFmtId="43" fontId="17" fillId="0" borderId="0" applyFont="0" applyFill="0" applyBorder="0" applyAlignment="0" applyProtection="0"/>
    <xf numFmtId="0" fontId="15" fillId="0" borderId="0"/>
    <xf numFmtId="43" fontId="15" fillId="0" borderId="0" applyFont="0" applyFill="0" applyBorder="0" applyAlignment="0" applyProtection="0"/>
    <xf numFmtId="0" fontId="15" fillId="0" borderId="0"/>
    <xf numFmtId="9" fontId="15" fillId="0" borderId="0" applyFont="0" applyFill="0" applyBorder="0" applyAlignment="0" applyProtection="0"/>
    <xf numFmtId="43" fontId="39" fillId="0" borderId="0" applyFont="0" applyFill="0" applyBorder="0" applyAlignment="0" applyProtection="0"/>
  </cellStyleXfs>
  <cellXfs count="148">
    <xf numFmtId="0" fontId="0" fillId="0" borderId="0" xfId="0"/>
    <xf numFmtId="0" fontId="0" fillId="0" borderId="0" xfId="0" applyProtection="1"/>
    <xf numFmtId="0" fontId="0" fillId="0" borderId="0" xfId="0" applyProtection="1">
      <protection locked="0"/>
    </xf>
    <xf numFmtId="0" fontId="2" fillId="0" borderId="0" xfId="0" applyFont="1" applyFill="1" applyBorder="1" applyProtection="1">
      <protection locked="0"/>
    </xf>
    <xf numFmtId="0" fontId="2" fillId="0" borderId="0" xfId="0" applyFont="1" applyProtection="1">
      <protection locked="0"/>
    </xf>
    <xf numFmtId="0" fontId="2" fillId="0" borderId="0" xfId="0" applyFont="1"/>
    <xf numFmtId="0" fontId="4" fillId="0" borderId="0" xfId="0" applyFont="1" applyProtection="1">
      <protection locked="0"/>
    </xf>
    <xf numFmtId="0" fontId="2" fillId="0" borderId="0" xfId="0" applyFont="1" applyBorder="1"/>
    <xf numFmtId="3" fontId="2" fillId="0" borderId="0" xfId="0" applyNumberFormat="1" applyFont="1" applyFill="1" applyAlignment="1">
      <alignment horizontal="center"/>
    </xf>
    <xf numFmtId="10" fontId="2" fillId="0" borderId="0" xfId="1" applyNumberFormat="1" applyFont="1" applyFill="1" applyAlignment="1">
      <alignment horizontal="center"/>
    </xf>
    <xf numFmtId="0" fontId="0" fillId="0" borderId="0" xfId="0" applyBorder="1" applyProtection="1">
      <protection locked="0"/>
    </xf>
    <xf numFmtId="0" fontId="6" fillId="0" borderId="0" xfId="0" applyFont="1" applyProtection="1">
      <protection locked="0"/>
    </xf>
    <xf numFmtId="0" fontId="5" fillId="0" borderId="0" xfId="0" applyFont="1" applyFill="1" applyBorder="1" applyAlignment="1" applyProtection="1">
      <alignment horizontal="center"/>
      <protection locked="0"/>
    </xf>
    <xf numFmtId="0" fontId="0" fillId="0" borderId="0" xfId="0" applyNumberFormat="1" applyFill="1" applyBorder="1" applyAlignment="1" applyProtection="1">
      <protection locked="0"/>
    </xf>
    <xf numFmtId="49" fontId="0" fillId="0" borderId="0" xfId="0" applyNumberFormat="1" applyProtection="1">
      <protection locked="0"/>
    </xf>
    <xf numFmtId="0" fontId="0" fillId="0" borderId="0" xfId="0" applyAlignment="1" applyProtection="1">
      <alignment horizontal="right"/>
      <protection locked="0"/>
    </xf>
    <xf numFmtId="10" fontId="0" fillId="0" borderId="0" xfId="1" applyNumberFormat="1" applyFont="1" applyProtection="1">
      <protection locked="0"/>
    </xf>
    <xf numFmtId="0" fontId="7" fillId="0" borderId="0" xfId="0" applyFont="1"/>
    <xf numFmtId="0" fontId="3" fillId="0" borderId="0" xfId="0" applyFont="1" applyProtection="1">
      <protection locked="0"/>
    </xf>
    <xf numFmtId="0" fontId="8" fillId="0" borderId="0" xfId="0" applyFont="1" applyProtection="1">
      <protection locked="0"/>
    </xf>
    <xf numFmtId="49" fontId="2" fillId="0" borderId="0" xfId="0" applyNumberFormat="1" applyFont="1" applyAlignment="1" applyProtection="1">
      <alignment horizontal="right"/>
      <protection locked="0"/>
    </xf>
    <xf numFmtId="0" fontId="9" fillId="0" borderId="0" xfId="0" applyFont="1" applyBorder="1" applyProtection="1">
      <protection locked="0"/>
    </xf>
    <xf numFmtId="22" fontId="0" fillId="0" borderId="0" xfId="0" applyNumberFormat="1" applyProtection="1">
      <protection locked="0"/>
    </xf>
    <xf numFmtId="22" fontId="0" fillId="0" borderId="0" xfId="0" applyNumberFormat="1"/>
    <xf numFmtId="0" fontId="0" fillId="0" borderId="0" xfId="0" applyFill="1" applyProtection="1">
      <protection locked="0"/>
    </xf>
    <xf numFmtId="0" fontId="0" fillId="3" borderId="0" xfId="0" applyFill="1" applyProtection="1">
      <protection locked="0"/>
    </xf>
    <xf numFmtId="0" fontId="0" fillId="2" borderId="0" xfId="0" applyFill="1" applyProtection="1">
      <protection locked="0"/>
    </xf>
    <xf numFmtId="0" fontId="13" fillId="0" borderId="0" xfId="0" applyFont="1" applyProtection="1">
      <protection locked="0"/>
    </xf>
    <xf numFmtId="0" fontId="13" fillId="0" borderId="4" xfId="0" applyFont="1" applyBorder="1" applyProtection="1">
      <protection locked="0"/>
    </xf>
    <xf numFmtId="0" fontId="13" fillId="3" borderId="0" xfId="0" applyFont="1" applyFill="1" applyAlignment="1" applyProtection="1">
      <alignment horizontal="left"/>
      <protection locked="0"/>
    </xf>
    <xf numFmtId="0" fontId="13" fillId="2" borderId="0" xfId="0" applyFont="1" applyFill="1" applyAlignment="1" applyProtection="1">
      <alignment horizontal="left"/>
      <protection locked="0"/>
    </xf>
    <xf numFmtId="22" fontId="13" fillId="0" borderId="4" xfId="0" applyNumberFormat="1" applyFont="1" applyBorder="1" applyProtection="1">
      <protection locked="0"/>
    </xf>
    <xf numFmtId="22" fontId="2" fillId="0" borderId="4" xfId="0" applyNumberFormat="1" applyFont="1" applyBorder="1" applyProtection="1">
      <protection locked="0"/>
    </xf>
    <xf numFmtId="0" fontId="0" fillId="0" borderId="0" xfId="0" applyBorder="1"/>
    <xf numFmtId="0" fontId="2" fillId="0" borderId="2" xfId="0" applyFont="1" applyBorder="1"/>
    <xf numFmtId="0" fontId="2" fillId="0" borderId="3" xfId="0" applyFont="1" applyBorder="1"/>
    <xf numFmtId="0" fontId="2" fillId="0" borderId="2" xfId="0" applyFont="1" applyFill="1" applyBorder="1"/>
    <xf numFmtId="0" fontId="14" fillId="0" borderId="0" xfId="0" applyFont="1" applyAlignment="1">
      <alignment horizontal="center"/>
    </xf>
    <xf numFmtId="0" fontId="0" fillId="0" borderId="0" xfId="0" applyAlignment="1">
      <alignment horizontal="center"/>
    </xf>
    <xf numFmtId="0" fontId="0" fillId="0" borderId="0" xfId="0" applyAlignment="1" applyProtection="1">
      <alignment horizontal="center" vertical="center"/>
      <protection locked="0"/>
    </xf>
    <xf numFmtId="2" fontId="0" fillId="0" borderId="0" xfId="0" applyNumberFormat="1" applyAlignment="1">
      <alignment horizontal="center"/>
    </xf>
    <xf numFmtId="0" fontId="14" fillId="0" borderId="0" xfId="0" applyFont="1" applyAlignment="1">
      <alignment horizontal="center" vertical="center"/>
    </xf>
    <xf numFmtId="0" fontId="14" fillId="0" borderId="4" xfId="0" applyFont="1" applyBorder="1" applyAlignment="1">
      <alignment horizontal="center" vertical="center"/>
    </xf>
    <xf numFmtId="22" fontId="0" fillId="0" borderId="0" xfId="0" applyNumberFormat="1" applyBorder="1"/>
    <xf numFmtId="0" fontId="2" fillId="2" borderId="0" xfId="0" applyFont="1" applyFill="1" applyProtection="1">
      <protection locked="0"/>
    </xf>
    <xf numFmtId="0" fontId="15" fillId="0" borderId="0" xfId="172"/>
    <xf numFmtId="0" fontId="23" fillId="4" borderId="16" xfId="172" applyFont="1" applyFill="1" applyBorder="1" applyAlignment="1">
      <alignment horizontal="center" vertical="center"/>
    </xf>
    <xf numFmtId="0" fontId="23" fillId="6" borderId="16" xfId="172" applyFont="1" applyFill="1" applyBorder="1" applyAlignment="1">
      <alignment horizontal="center" vertical="center"/>
    </xf>
    <xf numFmtId="0" fontId="24" fillId="8" borderId="19" xfId="172" applyFont="1" applyFill="1" applyBorder="1" applyAlignment="1">
      <alignment horizontal="center" vertical="center"/>
    </xf>
    <xf numFmtId="0" fontId="22" fillId="10" borderId="22" xfId="172" applyFont="1" applyFill="1" applyBorder="1" applyAlignment="1">
      <alignment horizontal="center" vertical="center"/>
    </xf>
    <xf numFmtId="0" fontId="24" fillId="0" borderId="0" xfId="172" applyFont="1"/>
    <xf numFmtId="0" fontId="24" fillId="8" borderId="22" xfId="172" applyFont="1" applyFill="1" applyBorder="1" applyAlignment="1">
      <alignment horizontal="center" vertical="center"/>
    </xf>
    <xf numFmtId="0" fontId="23" fillId="6" borderId="22" xfId="172" applyFont="1" applyFill="1" applyBorder="1" applyAlignment="1">
      <alignment horizontal="center" vertical="center"/>
    </xf>
    <xf numFmtId="0" fontId="16" fillId="5" borderId="9" xfId="168" applyFont="1" applyFill="1" applyBorder="1" applyAlignment="1">
      <alignment horizontal="center" vertical="center"/>
    </xf>
    <xf numFmtId="0" fontId="16" fillId="5" borderId="33" xfId="168" applyFont="1" applyFill="1" applyBorder="1" applyAlignment="1">
      <alignment horizontal="center" vertical="center"/>
    </xf>
    <xf numFmtId="0" fontId="15" fillId="11" borderId="16" xfId="172" applyFill="1" applyBorder="1"/>
    <xf numFmtId="43" fontId="17" fillId="13" borderId="10" xfId="173" applyFont="1" applyFill="1" applyBorder="1"/>
    <xf numFmtId="0" fontId="15" fillId="11" borderId="16" xfId="172" applyFill="1" applyBorder="1" applyAlignment="1">
      <alignment wrapText="1"/>
    </xf>
    <xf numFmtId="43" fontId="17" fillId="13" borderId="34" xfId="173" applyFont="1" applyFill="1" applyBorder="1"/>
    <xf numFmtId="0" fontId="15" fillId="11" borderId="6" xfId="172" applyFill="1" applyBorder="1"/>
    <xf numFmtId="0" fontId="15" fillId="0" borderId="0" xfId="174"/>
    <xf numFmtId="0" fontId="23" fillId="4" borderId="16" xfId="174" applyFont="1" applyFill="1" applyBorder="1" applyAlignment="1">
      <alignment horizontal="center" vertical="center"/>
    </xf>
    <xf numFmtId="0" fontId="23" fillId="6" borderId="16" xfId="174" applyFont="1" applyFill="1" applyBorder="1" applyAlignment="1">
      <alignment horizontal="center" vertical="center"/>
    </xf>
    <xf numFmtId="0" fontId="24" fillId="8" borderId="19" xfId="174" applyFont="1" applyFill="1" applyBorder="1" applyAlignment="1">
      <alignment horizontal="center" vertical="center"/>
    </xf>
    <xf numFmtId="0" fontId="22" fillId="10" borderId="22" xfId="174" applyFont="1" applyFill="1" applyBorder="1" applyAlignment="1">
      <alignment horizontal="center" vertical="center"/>
    </xf>
    <xf numFmtId="0" fontId="24" fillId="8" borderId="22" xfId="174" applyFont="1" applyFill="1" applyBorder="1" applyAlignment="1">
      <alignment horizontal="center" vertical="center"/>
    </xf>
    <xf numFmtId="0" fontId="15" fillId="0" borderId="0" xfId="174" applyAlignment="1">
      <alignment wrapText="1"/>
    </xf>
    <xf numFmtId="0" fontId="16" fillId="5" borderId="9" xfId="168" applyFont="1" applyFill="1" applyBorder="1" applyAlignment="1">
      <alignment horizontal="center" vertical="center" wrapText="1"/>
    </xf>
    <xf numFmtId="0" fontId="24" fillId="8" borderId="35" xfId="174" applyFont="1" applyFill="1" applyBorder="1" applyAlignment="1">
      <alignment horizontal="center" vertical="center"/>
    </xf>
    <xf numFmtId="0" fontId="24" fillId="8" borderId="36" xfId="174" applyFont="1" applyFill="1" applyBorder="1" applyAlignment="1">
      <alignment horizontal="center" vertical="center"/>
    </xf>
    <xf numFmtId="0" fontId="24" fillId="8" borderId="37" xfId="174" applyFont="1" applyFill="1" applyBorder="1" applyAlignment="1">
      <alignment horizontal="center" vertical="center"/>
    </xf>
    <xf numFmtId="0" fontId="21" fillId="0" borderId="0" xfId="168" applyFont="1" applyAlignment="1">
      <alignment vertical="center"/>
    </xf>
    <xf numFmtId="0" fontId="22" fillId="10" borderId="38" xfId="174" applyFont="1" applyFill="1" applyBorder="1" applyAlignment="1">
      <alignment horizontal="center" vertical="center"/>
    </xf>
    <xf numFmtId="0" fontId="22" fillId="10" borderId="39" xfId="174" applyFont="1" applyFill="1" applyBorder="1" applyAlignment="1">
      <alignment horizontal="center" vertical="center"/>
    </xf>
    <xf numFmtId="0" fontId="22" fillId="10" borderId="40" xfId="174" applyFont="1" applyFill="1" applyBorder="1" applyAlignment="1">
      <alignment horizontal="center" vertical="center"/>
    </xf>
    <xf numFmtId="43" fontId="15" fillId="0" borderId="0" xfId="174" applyNumberFormat="1"/>
    <xf numFmtId="0" fontId="2" fillId="0" borderId="1" xfId="0" applyFont="1" applyBorder="1"/>
    <xf numFmtId="0" fontId="2" fillId="0" borderId="0" xfId="0" applyFont="1" applyFill="1" applyBorder="1"/>
    <xf numFmtId="0" fontId="27" fillId="0" borderId="0" xfId="172" applyFont="1" applyAlignment="1">
      <alignment horizontal="center" vertical="center"/>
    </xf>
    <xf numFmtId="43" fontId="17" fillId="13" borderId="16" xfId="173" applyFont="1" applyFill="1" applyBorder="1"/>
    <xf numFmtId="0" fontId="13" fillId="0" borderId="0" xfId="0" applyFont="1" applyBorder="1"/>
    <xf numFmtId="0" fontId="0" fillId="0" borderId="0" xfId="0" applyFill="1" applyBorder="1"/>
    <xf numFmtId="0" fontId="24" fillId="8" borderId="20" xfId="172" applyFont="1" applyFill="1" applyBorder="1" applyAlignment="1">
      <alignment horizontal="center" vertical="center"/>
    </xf>
    <xf numFmtId="0" fontId="22" fillId="10" borderId="23" xfId="172" applyFont="1" applyFill="1" applyBorder="1" applyAlignment="1">
      <alignment horizontal="center" vertical="center"/>
    </xf>
    <xf numFmtId="43" fontId="1" fillId="13" borderId="16" xfId="173" applyFont="1" applyFill="1" applyBorder="1"/>
    <xf numFmtId="43" fontId="15" fillId="0" borderId="0" xfId="172" applyNumberFormat="1"/>
    <xf numFmtId="0" fontId="0" fillId="0" borderId="6" xfId="0" applyBorder="1"/>
    <xf numFmtId="0" fontId="0" fillId="0" borderId="14" xfId="0" applyBorder="1"/>
    <xf numFmtId="43" fontId="0" fillId="0" borderId="14" xfId="176" applyFont="1" applyBorder="1"/>
    <xf numFmtId="0" fontId="0" fillId="0" borderId="15" xfId="0" applyBorder="1"/>
    <xf numFmtId="0" fontId="2" fillId="0" borderId="15" xfId="0" applyFont="1" applyBorder="1"/>
    <xf numFmtId="0" fontId="40" fillId="0" borderId="0" xfId="0" applyFont="1" applyBorder="1"/>
    <xf numFmtId="0" fontId="40" fillId="0" borderId="0" xfId="0" applyFont="1"/>
    <xf numFmtId="0" fontId="40" fillId="0" borderId="0" xfId="0" applyFont="1" applyProtection="1">
      <protection locked="0"/>
    </xf>
    <xf numFmtId="0" fontId="19" fillId="12" borderId="11" xfId="169" applyFont="1" applyFill="1" applyBorder="1" applyAlignment="1">
      <alignment horizontal="center" vertical="center"/>
    </xf>
    <xf numFmtId="0" fontId="19" fillId="12" borderId="12" xfId="169" applyFont="1" applyFill="1" applyBorder="1" applyAlignment="1">
      <alignment horizontal="center" vertical="center"/>
    </xf>
    <xf numFmtId="0" fontId="19" fillId="12" borderId="13" xfId="169" applyFont="1" applyFill="1" applyBorder="1" applyAlignment="1">
      <alignment horizontal="center" vertical="center"/>
    </xf>
    <xf numFmtId="0" fontId="25" fillId="9" borderId="20" xfId="172" applyFont="1" applyFill="1" applyBorder="1" applyAlignment="1">
      <alignment horizontal="left" vertical="center" wrapText="1"/>
    </xf>
    <xf numFmtId="0" fontId="25" fillId="9" borderId="21" xfId="172" applyFont="1" applyFill="1" applyBorder="1" applyAlignment="1">
      <alignment horizontal="left" vertical="center" wrapText="1"/>
    </xf>
    <xf numFmtId="0" fontId="25" fillId="9" borderId="23" xfId="172" applyFont="1" applyFill="1" applyBorder="1" applyAlignment="1">
      <alignment horizontal="left" vertical="center" wrapText="1"/>
    </xf>
    <xf numFmtId="0" fontId="25" fillId="9" borderId="41" xfId="172" applyFont="1" applyFill="1" applyBorder="1" applyAlignment="1">
      <alignment horizontal="left" vertical="center" wrapText="1"/>
    </xf>
    <xf numFmtId="0" fontId="28" fillId="7" borderId="20" xfId="172" applyFont="1" applyFill="1" applyBorder="1" applyAlignment="1">
      <alignment horizontal="left" vertical="top" wrapText="1"/>
    </xf>
    <xf numFmtId="0" fontId="29" fillId="5" borderId="21" xfId="172" applyFont="1" applyFill="1" applyBorder="1" applyAlignment="1">
      <alignment horizontal="left" vertical="top" wrapText="1"/>
    </xf>
    <xf numFmtId="0" fontId="29" fillId="5" borderId="23" xfId="172" applyFont="1" applyFill="1" applyBorder="1" applyAlignment="1">
      <alignment horizontal="left" vertical="top" wrapText="1"/>
    </xf>
    <xf numFmtId="0" fontId="32" fillId="4" borderId="6" xfId="172" applyFont="1" applyFill="1" applyBorder="1" applyAlignment="1">
      <alignment wrapText="1"/>
    </xf>
    <xf numFmtId="0" fontId="33" fillId="5" borderId="14" xfId="172" applyFont="1" applyFill="1" applyBorder="1"/>
    <xf numFmtId="0" fontId="33" fillId="5" borderId="15" xfId="172" applyFont="1" applyFill="1" applyBorder="1"/>
    <xf numFmtId="0" fontId="28" fillId="7" borderId="17" xfId="172" applyFont="1" applyFill="1" applyBorder="1" applyAlignment="1">
      <alignment horizontal="left" vertical="top" wrapText="1"/>
    </xf>
    <xf numFmtId="0" fontId="29" fillId="5" borderId="17" xfId="172" applyFont="1" applyFill="1" applyBorder="1" applyAlignment="1">
      <alignment horizontal="left" vertical="top" wrapText="1"/>
    </xf>
    <xf numFmtId="0" fontId="29" fillId="5" borderId="18" xfId="172" applyFont="1" applyFill="1" applyBorder="1" applyAlignment="1">
      <alignment horizontal="left" vertical="top" wrapText="1"/>
    </xf>
    <xf numFmtId="0" fontId="16" fillId="5" borderId="32" xfId="168" applyFont="1" applyFill="1" applyBorder="1" applyAlignment="1">
      <alignment horizontal="center" vertical="center"/>
    </xf>
    <xf numFmtId="0" fontId="16" fillId="5" borderId="7" xfId="168" applyFont="1" applyFill="1" applyBorder="1" applyAlignment="1">
      <alignment horizontal="center" vertical="center"/>
    </xf>
    <xf numFmtId="0" fontId="16" fillId="5" borderId="8" xfId="168" applyFont="1" applyFill="1" applyBorder="1" applyAlignment="1">
      <alignment horizontal="center" vertical="center"/>
    </xf>
    <xf numFmtId="0" fontId="24" fillId="8" borderId="24" xfId="172" applyFont="1" applyFill="1" applyBorder="1" applyAlignment="1">
      <alignment horizontal="center" vertical="center"/>
    </xf>
    <xf numFmtId="0" fontId="24" fillId="8" borderId="28" xfId="172" applyFont="1" applyFill="1" applyBorder="1" applyAlignment="1">
      <alignment horizontal="center" vertical="center"/>
    </xf>
    <xf numFmtId="0" fontId="24" fillId="8" borderId="19" xfId="172" applyFont="1" applyFill="1" applyBorder="1" applyAlignment="1">
      <alignment horizontal="center" vertical="center"/>
    </xf>
    <xf numFmtId="0" fontId="36" fillId="9" borderId="25" xfId="172" applyFont="1" applyFill="1" applyBorder="1" applyAlignment="1">
      <alignment horizontal="left" vertical="top" wrapText="1"/>
    </xf>
    <xf numFmtId="0" fontId="36" fillId="9" borderId="26" xfId="172" applyFont="1" applyFill="1" applyBorder="1" applyAlignment="1">
      <alignment horizontal="left" vertical="top" wrapText="1"/>
    </xf>
    <xf numFmtId="0" fontId="36" fillId="9" borderId="27" xfId="172" applyFont="1" applyFill="1" applyBorder="1" applyAlignment="1">
      <alignment horizontal="left" vertical="top" wrapText="1"/>
    </xf>
    <xf numFmtId="0" fontId="36" fillId="9" borderId="29" xfId="172" applyFont="1" applyFill="1" applyBorder="1" applyAlignment="1">
      <alignment horizontal="left" vertical="top" wrapText="1"/>
    </xf>
    <xf numFmtId="0" fontId="36" fillId="9" borderId="0" xfId="172" applyFont="1" applyFill="1" applyAlignment="1">
      <alignment horizontal="left" vertical="top" wrapText="1"/>
    </xf>
    <xf numFmtId="0" fontId="36" fillId="9" borderId="30" xfId="172" applyFont="1" applyFill="1" applyBorder="1" applyAlignment="1">
      <alignment horizontal="left" vertical="top" wrapText="1"/>
    </xf>
    <xf numFmtId="0" fontId="36" fillId="9" borderId="31" xfId="172" applyFont="1" applyFill="1" applyBorder="1" applyAlignment="1">
      <alignment horizontal="left" vertical="top" wrapText="1"/>
    </xf>
    <xf numFmtId="0" fontId="36" fillId="9" borderId="17" xfId="172" applyFont="1" applyFill="1" applyBorder="1" applyAlignment="1">
      <alignment horizontal="left" vertical="top" wrapText="1"/>
    </xf>
    <xf numFmtId="0" fontId="36" fillId="9" borderId="18" xfId="172" applyFont="1" applyFill="1" applyBorder="1" applyAlignment="1">
      <alignment horizontal="left" vertical="top" wrapText="1"/>
    </xf>
    <xf numFmtId="0" fontId="36" fillId="9" borderId="20" xfId="172" applyFont="1" applyFill="1" applyBorder="1" applyAlignment="1">
      <alignment horizontal="center"/>
    </xf>
    <xf numFmtId="0" fontId="13" fillId="11" borderId="21" xfId="172" applyFont="1" applyFill="1" applyBorder="1"/>
    <xf numFmtId="0" fontId="13" fillId="11" borderId="23" xfId="172" applyFont="1" applyFill="1" applyBorder="1"/>
    <xf numFmtId="0" fontId="28" fillId="7" borderId="25" xfId="172" applyFont="1" applyFill="1" applyBorder="1" applyAlignment="1">
      <alignment horizontal="left" vertical="top" wrapText="1"/>
    </xf>
    <xf numFmtId="0" fontId="29" fillId="5" borderId="26" xfId="172" applyFont="1" applyFill="1" applyBorder="1" applyAlignment="1">
      <alignment horizontal="left" vertical="top" wrapText="1"/>
    </xf>
    <xf numFmtId="0" fontId="28" fillId="7" borderId="17" xfId="174" applyFont="1" applyFill="1" applyBorder="1" applyAlignment="1">
      <alignment wrapText="1"/>
    </xf>
    <xf numFmtId="0" fontId="29" fillId="5" borderId="17" xfId="174" applyFont="1" applyFill="1" applyBorder="1" applyAlignment="1">
      <alignment wrapText="1"/>
    </xf>
    <xf numFmtId="0" fontId="29" fillId="5" borderId="18" xfId="174" applyFont="1" applyFill="1" applyBorder="1" applyAlignment="1">
      <alignment wrapText="1"/>
    </xf>
    <xf numFmtId="0" fontId="30" fillId="4" borderId="6" xfId="174" applyFont="1" applyFill="1" applyBorder="1" applyAlignment="1">
      <alignment wrapText="1"/>
    </xf>
    <xf numFmtId="0" fontId="31" fillId="5" borderId="14" xfId="174" applyFont="1" applyFill="1" applyBorder="1"/>
    <xf numFmtId="0" fontId="31" fillId="5" borderId="15" xfId="174" applyFont="1" applyFill="1" applyBorder="1"/>
    <xf numFmtId="0" fontId="25" fillId="9" borderId="20" xfId="174" applyFont="1" applyFill="1" applyBorder="1" applyAlignment="1">
      <alignment horizontal="left" vertical="center" wrapText="1"/>
    </xf>
    <xf numFmtId="0" fontId="25" fillId="9" borderId="21" xfId="174" applyFont="1" applyFill="1" applyBorder="1" applyAlignment="1">
      <alignment horizontal="left" vertical="center" wrapText="1"/>
    </xf>
    <xf numFmtId="0" fontId="25" fillId="9" borderId="23" xfId="174" applyFont="1" applyFill="1" applyBorder="1" applyAlignment="1">
      <alignment horizontal="left" vertical="center" wrapText="1"/>
    </xf>
    <xf numFmtId="0" fontId="16" fillId="5" borderId="1" xfId="168" applyFont="1" applyFill="1" applyBorder="1" applyAlignment="1">
      <alignment horizontal="center" vertical="center"/>
    </xf>
    <xf numFmtId="0" fontId="16" fillId="5" borderId="2" xfId="168" applyFont="1" applyFill="1" applyBorder="1" applyAlignment="1">
      <alignment horizontal="center" vertical="center"/>
    </xf>
    <xf numFmtId="0" fontId="16" fillId="5" borderId="3" xfId="168" applyFont="1" applyFill="1" applyBorder="1" applyAlignment="1">
      <alignment horizontal="center" vertical="center"/>
    </xf>
    <xf numFmtId="164" fontId="17" fillId="13" borderId="5" xfId="173" applyNumberFormat="1" applyFont="1" applyFill="1" applyBorder="1" applyAlignment="1">
      <alignment horizontal="center"/>
    </xf>
    <xf numFmtId="164" fontId="17" fillId="13" borderId="10" xfId="173" applyNumberFormat="1" applyFont="1" applyFill="1" applyBorder="1" applyAlignment="1">
      <alignment horizontal="center"/>
    </xf>
    <xf numFmtId="0" fontId="26" fillId="0" borderId="6" xfId="168" applyFont="1" applyBorder="1" applyAlignment="1">
      <alignment horizontal="center" vertical="center"/>
    </xf>
    <xf numFmtId="0" fontId="26" fillId="0" borderId="15" xfId="168" applyFont="1" applyBorder="1" applyAlignment="1">
      <alignment horizontal="center" vertical="center"/>
    </xf>
    <xf numFmtId="9" fontId="17" fillId="13" borderId="5" xfId="175" applyFont="1" applyFill="1" applyBorder="1" applyAlignment="1">
      <alignment horizontal="right"/>
    </xf>
    <xf numFmtId="9" fontId="17" fillId="13" borderId="10" xfId="175" applyFont="1" applyFill="1" applyBorder="1" applyAlignment="1">
      <alignment horizontal="right"/>
    </xf>
  </cellXfs>
  <cellStyles count="177">
    <cellStyle name="Comma" xfId="176" builtinId="3"/>
    <cellStyle name="Comma 19" xfId="171" xr:uid="{E7D49A4E-54B9-4547-A293-D2BF60B9F175}"/>
    <cellStyle name="Comma 2" xfId="166" xr:uid="{FA69C2ED-D333-4882-83AB-86DD1C47095D}"/>
    <cellStyle name="Comma 24" xfId="38" xr:uid="{00000000-0005-0000-0000-000000000000}"/>
    <cellStyle name="Comma 3" xfId="170" xr:uid="{76CBCCDF-4E40-4517-9E49-755BA8E37652}"/>
    <cellStyle name="Comma 4" xfId="173" xr:uid="{F479FDF8-3585-2F46-ADB8-886F8241C35C}"/>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Normal" xfId="0" builtinId="0"/>
    <cellStyle name="Normal 2" xfId="165" xr:uid="{CF9ED84C-EBD9-48EF-A75B-D713EC43225F}"/>
    <cellStyle name="Normal 2 2" xfId="174" xr:uid="{89E8D6E8-5886-6847-8E0B-20BB734B7306}"/>
    <cellStyle name="Normal 3" xfId="168" xr:uid="{918C639B-A325-43A8-8240-475B211439D7}"/>
    <cellStyle name="Normal 3 2" xfId="169" xr:uid="{480E0971-4CCB-40C2-96A0-1922B7B5BE0B}"/>
    <cellStyle name="Normal 4" xfId="172" xr:uid="{E6005C23-B31B-1342-8B80-E05287486505}"/>
    <cellStyle name="Percent" xfId="1" builtinId="5"/>
    <cellStyle name="Percent 2" xfId="167" xr:uid="{D6B90FC2-225F-4F4D-A521-BFD97E3E0CD7}"/>
    <cellStyle name="Percent 3" xfId="175" xr:uid="{DC3FC972-0945-C143-9192-0060835C3601}"/>
  </cellStyles>
  <dxfs count="0"/>
  <tableStyles count="0" defaultTableStyle="TableStyleMedium9" defaultPivotStyle="PivotStyleLight16"/>
  <colors>
    <mruColors>
      <color rgb="FFD0CECE"/>
      <color rgb="FFC0C0C0"/>
      <color rgb="FF99FF33"/>
      <color rgb="FFFF66FF"/>
      <color rgb="FF30C6B4"/>
      <color rgb="FF00FFFF"/>
      <color rgb="FF66FFCC"/>
      <color rgb="FF00CC66"/>
      <color rgb="FF239184"/>
      <color rgb="FFEED0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2</xdr:col>
      <xdr:colOff>0</xdr:colOff>
      <xdr:row>7</xdr:row>
      <xdr:rowOff>9525</xdr:rowOff>
    </xdr:from>
    <xdr:to>
      <xdr:col>12</xdr:col>
      <xdr:colOff>15239</xdr:colOff>
      <xdr:row>31</xdr:row>
      <xdr:rowOff>114300</xdr:rowOff>
    </xdr:to>
    <xdr:sp macro="" textlink="">
      <xdr:nvSpPr>
        <xdr:cNvPr id="6" name="Text Box 2">
          <a:extLst>
            <a:ext uri="{FF2B5EF4-FFF2-40B4-BE49-F238E27FC236}">
              <a16:creationId xmlns:a16="http://schemas.microsoft.com/office/drawing/2014/main" id="{00000000-0008-0000-0000-000006000000}"/>
            </a:ext>
          </a:extLst>
        </xdr:cNvPr>
        <xdr:cNvSpPr txBox="1">
          <a:spLocks noChangeArrowheads="1"/>
        </xdr:cNvSpPr>
      </xdr:nvSpPr>
      <xdr:spPr bwMode="auto">
        <a:xfrm>
          <a:off x="1043940" y="1190625"/>
          <a:ext cx="6583679" cy="3945255"/>
        </a:xfrm>
        <a:prstGeom prst="rect">
          <a:avLst/>
        </a:prstGeom>
        <a:solidFill>
          <a:schemeClr val="tx2">
            <a:lumMod val="20000"/>
            <a:lumOff val="80000"/>
          </a:schemeClr>
        </a:solidFill>
        <a:ln w="9525">
          <a:solidFill>
            <a:srgbClr val="000000"/>
          </a:solidFill>
          <a:miter lim="800000"/>
          <a:headEnd/>
          <a:tailEnd/>
        </a:ln>
      </xdr:spPr>
      <xdr:txBody>
        <a:bodyPr vertOverflow="clip" wrap="square" lIns="36576" tIns="22860" rIns="0" bIns="0" anchor="t" upright="1"/>
        <a:lstStyle/>
        <a:p>
          <a:pPr algn="l" rtl="0">
            <a:defRPr sz="1000"/>
          </a:pPr>
          <a:r>
            <a:rPr lang="en-US" sz="1000" b="1" i="0" strike="noStrike">
              <a:solidFill>
                <a:srgbClr val="000000"/>
              </a:solidFill>
              <a:latin typeface="Verdana"/>
            </a:rPr>
            <a:t>Instructions </a:t>
          </a:r>
          <a:r>
            <a:rPr lang="en-US" sz="1000" b="1" i="0" strike="noStrike">
              <a:solidFill>
                <a:srgbClr val="FF0000"/>
              </a:solidFill>
              <a:latin typeface="Verdana"/>
            </a:rPr>
            <a:t>(IMPORTANT - Please Read!)</a:t>
          </a:r>
          <a:endParaRPr lang="en-US" sz="900" b="0" i="0" strike="noStrike">
            <a:solidFill>
              <a:srgbClr val="000000"/>
            </a:solidFill>
            <a:latin typeface="Verdana"/>
          </a:endParaRPr>
        </a:p>
        <a:p>
          <a:pPr algn="l" rtl="0">
            <a:defRPr sz="1000"/>
          </a:pPr>
          <a:endParaRPr lang="tr-TR" sz="900" b="0" i="0" strike="noStrike">
            <a:solidFill>
              <a:srgbClr val="000000"/>
            </a:solidFill>
            <a:latin typeface="Verdana"/>
          </a:endParaRPr>
        </a:p>
        <a:p>
          <a:pPr algn="l" rtl="0">
            <a:defRPr sz="1000"/>
          </a:pPr>
          <a:r>
            <a:rPr lang="en-US" sz="800" b="0" i="0" strike="noStrike">
              <a:solidFill>
                <a:srgbClr val="000000"/>
              </a:solidFill>
              <a:latin typeface="Verdana"/>
            </a:rPr>
            <a:t>This is different data that what was used in the labs. Not all students have been given the same numbers.</a:t>
          </a:r>
        </a:p>
        <a:p>
          <a:pPr algn="l" rtl="0">
            <a:defRPr sz="1000"/>
          </a:pPr>
          <a:endParaRPr lang="tr-TR" sz="800" b="1" i="0" strike="noStrike">
            <a:solidFill>
              <a:srgbClr val="000000"/>
            </a:solidFill>
            <a:latin typeface="Verdana"/>
          </a:endParaRPr>
        </a:p>
        <a:p>
          <a:pPr algn="l" rtl="0">
            <a:defRPr sz="1000"/>
          </a:pPr>
          <a:r>
            <a:rPr lang="tr-TR" sz="1000" b="0" i="0">
              <a:effectLst/>
              <a:latin typeface="+mn-lt"/>
              <a:ea typeface="+mn-ea"/>
              <a:cs typeface="+mn-cs"/>
            </a:rPr>
            <a:t>Definitions and explanations of terms are also available in the course web site on </a:t>
          </a:r>
          <a:r>
            <a:rPr lang="tr-TR" sz="1000" b="1" i="0">
              <a:effectLst/>
              <a:latin typeface="+mn-lt"/>
              <a:ea typeface="+mn-ea"/>
              <a:cs typeface="+mn-cs"/>
            </a:rPr>
            <a:t>LMS</a:t>
          </a:r>
          <a:r>
            <a:rPr lang="tr-TR" sz="1000" b="0" i="0">
              <a:effectLst/>
              <a:latin typeface="+mn-lt"/>
              <a:ea typeface="+mn-ea"/>
              <a:cs typeface="+mn-cs"/>
            </a:rPr>
            <a:t>.</a:t>
          </a:r>
          <a:r>
            <a:rPr lang="tr-TR" sz="1000" b="0" i="0" baseline="0">
              <a:effectLst/>
              <a:latin typeface="+mn-lt"/>
              <a:ea typeface="+mn-ea"/>
              <a:cs typeface="+mn-cs"/>
            </a:rPr>
            <a:t> </a:t>
          </a:r>
          <a:r>
            <a:rPr lang="tr-TR" sz="1000" b="0" i="0">
              <a:effectLst/>
              <a:latin typeface="+mn-lt"/>
              <a:ea typeface="+mn-ea"/>
              <a:cs typeface="+mn-cs"/>
            </a:rPr>
            <a:t>Please </a:t>
          </a:r>
          <a:r>
            <a:rPr lang="tr-TR" sz="1000" b="1" i="0">
              <a:effectLst/>
              <a:latin typeface="+mn-lt"/>
              <a:ea typeface="+mn-ea"/>
              <a:cs typeface="+mn-cs"/>
            </a:rPr>
            <a:t>READ</a:t>
          </a:r>
          <a:r>
            <a:rPr lang="tr-TR" sz="1000" b="0" i="0">
              <a:effectLst/>
              <a:latin typeface="+mn-lt"/>
              <a:ea typeface="+mn-ea"/>
              <a:cs typeface="+mn-cs"/>
            </a:rPr>
            <a:t> this information before asking for help!</a:t>
          </a:r>
          <a:endParaRPr lang="tr-TR" sz="800" b="0" i="0" strike="noStrike">
            <a:solidFill>
              <a:srgbClr val="000000"/>
            </a:solidFill>
            <a:latin typeface="Verdana"/>
          </a:endParaRPr>
        </a:p>
        <a:p>
          <a:pPr algn="l" rtl="0">
            <a:defRPr sz="1000"/>
          </a:pPr>
          <a:endParaRPr lang="en-US" sz="800" b="0" i="0" strike="noStrike">
            <a:solidFill>
              <a:srgbClr val="000000"/>
            </a:solidFill>
            <a:latin typeface="Verdana"/>
          </a:endParaRPr>
        </a:p>
        <a:p>
          <a:pPr algn="l" rtl="0">
            <a:defRPr sz="1000"/>
          </a:pPr>
          <a:r>
            <a:rPr lang="en-US" sz="1000" b="1" i="0" strike="noStrike">
              <a:solidFill>
                <a:srgbClr val="FF0000"/>
              </a:solidFill>
              <a:latin typeface="Verdana"/>
            </a:rPr>
            <a:t>Reminders: </a:t>
          </a:r>
          <a:endParaRPr lang="tr-TR" sz="1000" b="1" i="0" strike="noStrike">
            <a:solidFill>
              <a:srgbClr val="FF0000"/>
            </a:solidFill>
            <a:latin typeface="Verdana"/>
          </a:endParaRPr>
        </a:p>
        <a:p>
          <a:pPr algn="l" rtl="0">
            <a:defRPr sz="1000"/>
          </a:pPr>
          <a:endParaRPr lang="en-US" sz="800" b="0" i="0" strike="noStrike">
            <a:solidFill>
              <a:srgbClr val="000000"/>
            </a:solidFill>
            <a:latin typeface="Verdana"/>
          </a:endParaRPr>
        </a:p>
        <a:p>
          <a:pPr algn="l" rtl="0">
            <a:defRPr sz="1000"/>
          </a:pPr>
          <a:r>
            <a:rPr lang="en-US" sz="800" b="0" i="0" strike="noStrike">
              <a:solidFill>
                <a:srgbClr val="000000"/>
              </a:solidFill>
              <a:latin typeface="Verdana"/>
            </a:rPr>
            <a:t>1. This homework must be submitted online </a:t>
          </a:r>
          <a:r>
            <a:rPr lang="en-US" sz="800" b="1" i="0" strike="noStrike">
              <a:solidFill>
                <a:srgbClr val="000000"/>
              </a:solidFill>
              <a:latin typeface="Verdana"/>
            </a:rPr>
            <a:t>before </a:t>
          </a:r>
          <a:r>
            <a:rPr lang="tr-TR" sz="800" b="1" i="0" strike="noStrike">
              <a:solidFill>
                <a:srgbClr val="000000"/>
              </a:solidFill>
              <a:latin typeface="Verdana"/>
            </a:rPr>
            <a:t>9</a:t>
          </a:r>
          <a:r>
            <a:rPr lang="en-US" sz="800" b="1" i="0" strike="noStrike">
              <a:solidFill>
                <a:srgbClr val="000000"/>
              </a:solidFill>
              <a:latin typeface="Verdana"/>
            </a:rPr>
            <a:t>:</a:t>
          </a:r>
          <a:r>
            <a:rPr lang="tr-TR" sz="800" b="1" i="0" strike="noStrike">
              <a:solidFill>
                <a:srgbClr val="000000"/>
              </a:solidFill>
              <a:latin typeface="Verdana"/>
            </a:rPr>
            <a:t>0</a:t>
          </a:r>
          <a:r>
            <a:rPr lang="en-US" sz="800" b="1" i="0" strike="noStrike">
              <a:solidFill>
                <a:srgbClr val="000000"/>
              </a:solidFill>
              <a:latin typeface="Verdana"/>
            </a:rPr>
            <a:t>0 </a:t>
          </a:r>
          <a:r>
            <a:rPr lang="tr-TR" sz="800" b="1" i="0" strike="noStrike">
              <a:solidFill>
                <a:srgbClr val="000000"/>
              </a:solidFill>
              <a:latin typeface="Verdana"/>
            </a:rPr>
            <a:t>AM </a:t>
          </a:r>
          <a:r>
            <a:rPr lang="en-US" sz="800" b="1" i="0" strike="noStrike">
              <a:solidFill>
                <a:srgbClr val="000000"/>
              </a:solidFill>
              <a:latin typeface="Verdana"/>
            </a:rPr>
            <a:t>on </a:t>
          </a:r>
          <a:r>
            <a:rPr lang="tr-TR" sz="800" b="1" i="0" strike="noStrike">
              <a:solidFill>
                <a:srgbClr val="000000"/>
              </a:solidFill>
              <a:latin typeface="Verdana"/>
            </a:rPr>
            <a:t>Wednesday</a:t>
          </a:r>
          <a:r>
            <a:rPr lang="en-US" sz="800" b="1" i="0" strike="noStrike">
              <a:solidFill>
                <a:srgbClr val="000000"/>
              </a:solidFill>
              <a:latin typeface="Verdana"/>
            </a:rPr>
            <a:t>, </a:t>
          </a:r>
          <a:r>
            <a:rPr lang="en-GB" sz="800" b="1" i="0" strike="noStrike">
              <a:solidFill>
                <a:srgbClr val="000000"/>
              </a:solidFill>
              <a:latin typeface="Verdana"/>
            </a:rPr>
            <a:t>December</a:t>
          </a:r>
          <a:r>
            <a:rPr lang="tr-TR" sz="800" b="1" i="0" strike="noStrike" baseline="0">
              <a:solidFill>
                <a:srgbClr val="000000"/>
              </a:solidFill>
              <a:latin typeface="Verdana"/>
            </a:rPr>
            <a:t> </a:t>
          </a:r>
          <a:r>
            <a:rPr lang="en-GB" sz="800" b="1" i="0" strike="noStrike" baseline="0">
              <a:solidFill>
                <a:srgbClr val="000000"/>
              </a:solidFill>
              <a:latin typeface="Verdana"/>
            </a:rPr>
            <a:t>23rd</a:t>
          </a:r>
          <a:r>
            <a:rPr lang="tr-TR" sz="800" b="1" i="0" strike="noStrike" baseline="0">
              <a:solidFill>
                <a:srgbClr val="000000"/>
              </a:solidFill>
              <a:latin typeface="Verdana"/>
            </a:rPr>
            <a:t>,</a:t>
          </a:r>
          <a:r>
            <a:rPr lang="en-US" sz="800" b="1" i="0" strike="noStrike">
              <a:solidFill>
                <a:srgbClr val="000000"/>
              </a:solidFill>
              <a:latin typeface="Verdana"/>
            </a:rPr>
            <a:t> 2020</a:t>
          </a:r>
          <a:r>
            <a:rPr lang="en-US" sz="800" b="0" i="0" strike="noStrike">
              <a:solidFill>
                <a:srgbClr val="000000"/>
              </a:solidFill>
              <a:latin typeface="Verdana"/>
            </a:rPr>
            <a:t>.  </a:t>
          </a:r>
          <a:r>
            <a:rPr lang="en-US" sz="1000" b="0" i="0" baseline="0">
              <a:effectLst/>
              <a:latin typeface="+mn-lt"/>
              <a:ea typeface="+mn-ea"/>
              <a:cs typeface="+mn-cs"/>
            </a:rPr>
            <a:t>Late </a:t>
          </a:r>
          <a:r>
            <a:rPr lang="tr-TR" sz="1000" b="0" i="0">
              <a:effectLst/>
              <a:latin typeface="+mn-lt"/>
              <a:ea typeface="+mn-ea"/>
              <a:cs typeface="+mn-cs"/>
            </a:rPr>
            <a:t>submission</a:t>
          </a:r>
          <a:r>
            <a:rPr lang="en-GB" sz="1000" b="0" i="0">
              <a:effectLst/>
              <a:latin typeface="+mn-lt"/>
              <a:ea typeface="+mn-ea"/>
              <a:cs typeface="+mn-cs"/>
            </a:rPr>
            <a:t>s</a:t>
          </a:r>
          <a:r>
            <a:rPr lang="tr-TR" sz="1000" b="0" i="0">
              <a:effectLst/>
              <a:latin typeface="+mn-lt"/>
              <a:ea typeface="+mn-ea"/>
              <a:cs typeface="+mn-cs"/>
            </a:rPr>
            <a:t> will </a:t>
          </a:r>
          <a:r>
            <a:rPr lang="tr-TR" sz="1000" b="1" i="0">
              <a:effectLst/>
              <a:latin typeface="+mn-lt"/>
              <a:ea typeface="+mn-ea"/>
              <a:cs typeface="+mn-cs"/>
            </a:rPr>
            <a:t>not be accepted after the stated deadline</a:t>
          </a:r>
          <a:r>
            <a:rPr lang="tr-TR" sz="1000" b="0" i="0">
              <a:effectLst/>
              <a:latin typeface="+mn-lt"/>
              <a:ea typeface="+mn-ea"/>
              <a:cs typeface="+mn-cs"/>
            </a:rPr>
            <a:t> for any reason. </a:t>
          </a:r>
          <a:endParaRPr lang="tr-TR" sz="800" b="0" i="0" strike="noStrike" baseline="0">
            <a:solidFill>
              <a:srgbClr val="000000"/>
            </a:solidFill>
            <a:latin typeface="Verdana"/>
          </a:endParaRPr>
        </a:p>
        <a:p>
          <a:pPr algn="l" rtl="0">
            <a:defRPr sz="1000"/>
          </a:pPr>
          <a:endParaRPr lang="en-US" sz="800" b="0" i="0" strike="noStrike">
            <a:solidFill>
              <a:srgbClr val="000000"/>
            </a:solidFill>
            <a:latin typeface="Verdana"/>
          </a:endParaRPr>
        </a:p>
        <a:p>
          <a:pPr algn="l" rtl="0">
            <a:defRPr sz="1000"/>
          </a:pPr>
          <a:r>
            <a:rPr lang="en-US" sz="800" b="0" i="0" strike="noStrike">
              <a:solidFill>
                <a:srgbClr val="000000"/>
              </a:solidFill>
              <a:latin typeface="Verdana"/>
            </a:rPr>
            <a:t>2. </a:t>
          </a:r>
          <a:r>
            <a:rPr lang="en-US" sz="800" b="1" i="0" strike="noStrike">
              <a:solidFill>
                <a:srgbClr val="000000"/>
              </a:solidFill>
              <a:latin typeface="Verdana"/>
            </a:rPr>
            <a:t>No credit </a:t>
          </a:r>
          <a:r>
            <a:rPr lang="en-US" sz="800" b="0" i="0" strike="noStrike">
              <a:solidFill>
                <a:srgbClr val="000000"/>
              </a:solidFill>
              <a:latin typeface="Verdana"/>
            </a:rPr>
            <a:t>will be given for improperly formatted answers or rounded answers.  Since you will be using Formulas in Excel, the </a:t>
          </a:r>
          <a:r>
            <a:rPr lang="en-US" sz="800" b="0" i="1" strike="noStrike">
              <a:solidFill>
                <a:srgbClr val="000000"/>
              </a:solidFill>
              <a:latin typeface="Verdana"/>
            </a:rPr>
            <a:t>BEST</a:t>
          </a:r>
          <a:r>
            <a:rPr lang="en-US" sz="800" b="0" i="0" strike="noStrike">
              <a:solidFill>
                <a:srgbClr val="000000"/>
              </a:solidFill>
              <a:latin typeface="Verdana"/>
            </a:rPr>
            <a:t> way to enter an answer into the Answer Cell is to Copy the cell containing the answer, then click inside the answer cell and choose </a:t>
          </a:r>
          <a:r>
            <a:rPr lang="en-US" sz="800" b="1" i="0" strike="noStrike">
              <a:solidFill>
                <a:srgbClr val="000000"/>
              </a:solidFill>
              <a:latin typeface="Verdana"/>
            </a:rPr>
            <a:t>'Paste-Special' </a:t>
          </a:r>
          <a:r>
            <a:rPr lang="en-US" sz="800" b="1" i="0" strike="noStrike">
              <a:solidFill>
                <a:srgbClr val="000000"/>
              </a:solidFill>
              <a:latin typeface="Wingdings"/>
            </a:rPr>
            <a:t>è</a:t>
          </a:r>
          <a:r>
            <a:rPr lang="en-US" sz="800" b="1" i="0" strike="noStrike">
              <a:solidFill>
                <a:srgbClr val="000000"/>
              </a:solidFill>
              <a:latin typeface="Verdana"/>
            </a:rPr>
            <a:t>'Values.' </a:t>
          </a:r>
          <a:r>
            <a:rPr lang="en-US" sz="800" b="0" i="0" strike="noStrike">
              <a:solidFill>
                <a:srgbClr val="000000"/>
              </a:solidFill>
              <a:latin typeface="Verdana"/>
            </a:rPr>
            <a:t> This will ensure that we receive your</a:t>
          </a:r>
          <a:r>
            <a:rPr lang="en-US" sz="800" b="0" i="1" strike="noStrike">
              <a:solidFill>
                <a:srgbClr val="000000"/>
              </a:solidFill>
              <a:latin typeface="Verdana"/>
            </a:rPr>
            <a:t> exact</a:t>
          </a:r>
          <a:r>
            <a:rPr lang="en-US" sz="800" b="0" i="0" strike="noStrike">
              <a:solidFill>
                <a:srgbClr val="000000"/>
              </a:solidFill>
              <a:latin typeface="Verdana"/>
            </a:rPr>
            <a:t> answer and not a </a:t>
          </a:r>
          <a:r>
            <a:rPr lang="en-US" sz="800" b="0" i="1" strike="noStrike">
              <a:solidFill>
                <a:srgbClr val="000000"/>
              </a:solidFill>
              <a:latin typeface="Verdana"/>
            </a:rPr>
            <a:t>rounded </a:t>
          </a:r>
          <a:r>
            <a:rPr lang="en-US" sz="800" b="0" i="0" strike="noStrike">
              <a:solidFill>
                <a:srgbClr val="000000"/>
              </a:solidFill>
              <a:latin typeface="Verdana"/>
            </a:rPr>
            <a:t>answer. Avoid </a:t>
          </a:r>
          <a:r>
            <a:rPr lang="en-US" sz="800" b="0" i="1" strike="noStrike">
              <a:solidFill>
                <a:srgbClr val="000000"/>
              </a:solidFill>
              <a:latin typeface="Verdana"/>
            </a:rPr>
            <a:t>'typing' </a:t>
          </a:r>
          <a:r>
            <a:rPr lang="en-US" sz="800" b="0" i="0" strike="noStrike">
              <a:solidFill>
                <a:srgbClr val="000000"/>
              </a:solidFill>
              <a:latin typeface="Verdana"/>
            </a:rPr>
            <a:t>answers into cell. </a:t>
          </a:r>
        </a:p>
        <a:p>
          <a:pPr algn="l" rtl="0">
            <a:defRPr sz="1000"/>
          </a:pPr>
          <a:r>
            <a:rPr lang="en-US" sz="800" b="1" i="0" strike="noStrike">
              <a:solidFill>
                <a:srgbClr val="FF0000"/>
              </a:solidFill>
              <a:latin typeface="Verdana"/>
            </a:rPr>
            <a:t> </a:t>
          </a:r>
        </a:p>
        <a:p>
          <a:pPr algn="l" rtl="0">
            <a:defRPr sz="1000"/>
          </a:pPr>
          <a:r>
            <a:rPr lang="en-US" sz="800" b="0" i="0" strike="noStrike">
              <a:solidFill>
                <a:srgbClr val="000000"/>
              </a:solidFill>
              <a:latin typeface="Verdana"/>
            </a:rPr>
            <a:t>3. All questions that ask for</a:t>
          </a:r>
          <a:r>
            <a:rPr lang="en-US" sz="800" b="1" i="0" strike="noStrike">
              <a:solidFill>
                <a:srgbClr val="000000"/>
              </a:solidFill>
              <a:latin typeface="Verdana"/>
            </a:rPr>
            <a:t> percentages</a:t>
          </a:r>
          <a:r>
            <a:rPr lang="en-US" sz="800" b="0" i="0" strike="noStrike">
              <a:solidFill>
                <a:srgbClr val="000000"/>
              </a:solidFill>
              <a:latin typeface="Verdana"/>
            </a:rPr>
            <a:t> must be formatted so that Excel can tell it is a percentage.  If the answer is '20 percent,' you may submit an answer that looks like '20%' or '0.2' but NOT '20' because Excel doesn't understand it as a %.</a:t>
          </a:r>
        </a:p>
        <a:p>
          <a:pPr algn="l" rtl="0">
            <a:defRPr sz="1000"/>
          </a:pPr>
          <a:endParaRPr lang="en-US" sz="800" b="0" i="0" strike="noStrike">
            <a:solidFill>
              <a:srgbClr val="000000"/>
            </a:solidFill>
            <a:latin typeface="Verdana"/>
          </a:endParaRPr>
        </a:p>
        <a:p>
          <a:pPr algn="l" rtl="0">
            <a:defRPr sz="1000"/>
          </a:pPr>
          <a:r>
            <a:rPr lang="en-US" sz="800" b="0" i="0" strike="noStrike">
              <a:solidFill>
                <a:srgbClr val="000000"/>
              </a:solidFill>
              <a:latin typeface="Verdana"/>
            </a:rPr>
            <a:t>4. Submit your own workbook that you downloaded yourself while logged into the Course Web. </a:t>
          </a:r>
        </a:p>
        <a:p>
          <a:pPr algn="l" rtl="0">
            <a:defRPr sz="1000"/>
          </a:pPr>
          <a:endParaRPr lang="en-US" sz="800" b="0" i="0" strike="noStrike">
            <a:solidFill>
              <a:srgbClr val="000000"/>
            </a:solidFill>
            <a:latin typeface="Verdana"/>
          </a:endParaRPr>
        </a:p>
        <a:p>
          <a:pPr algn="l" rtl="0">
            <a:defRPr sz="1000"/>
          </a:pPr>
          <a:r>
            <a:rPr lang="en-US" sz="800" b="0" i="0" strike="noStrike">
              <a:solidFill>
                <a:srgbClr val="000000"/>
              </a:solidFill>
              <a:latin typeface="Verdana"/>
            </a:rPr>
            <a:t>5. </a:t>
          </a:r>
          <a:r>
            <a:rPr lang="en-US" sz="800" b="1" i="0" strike="noStrike">
              <a:solidFill>
                <a:srgbClr val="000000"/>
              </a:solidFill>
              <a:latin typeface="Verdana"/>
            </a:rPr>
            <a:t>DO NOT reference cells from other Excel files.</a:t>
          </a:r>
          <a:r>
            <a:rPr lang="en-US" sz="800" b="0" i="0" strike="noStrike">
              <a:solidFill>
                <a:srgbClr val="000000"/>
              </a:solidFill>
              <a:latin typeface="Verdana"/>
            </a:rPr>
            <a:t> This will crash the grading program and could result in lost marks. </a:t>
          </a:r>
        </a:p>
        <a:p>
          <a:pPr algn="l" rtl="0">
            <a:defRPr sz="1000"/>
          </a:pPr>
          <a:endParaRPr lang="en-US" sz="800" b="0" i="0" strike="noStrike">
            <a:solidFill>
              <a:srgbClr val="000000"/>
            </a:solidFill>
            <a:latin typeface="Verdana"/>
          </a:endParaRPr>
        </a:p>
        <a:p>
          <a:pPr algn="l" rtl="0">
            <a:defRPr sz="1000"/>
          </a:pPr>
          <a:r>
            <a:rPr lang="en-US" sz="800" b="0" i="0" strike="noStrike">
              <a:solidFill>
                <a:srgbClr val="000000"/>
              </a:solidFill>
              <a:latin typeface="Verdana"/>
            </a:rPr>
            <a:t>6. Make sure to check the comments</a:t>
          </a:r>
          <a:r>
            <a:rPr lang="en-US" sz="800" b="0" i="0" strike="noStrike" baseline="0">
              <a:solidFill>
                <a:srgbClr val="000000"/>
              </a:solidFill>
              <a:latin typeface="Verdana"/>
            </a:rPr>
            <a:t> attached to the column headings for an explanation of each data column</a:t>
          </a:r>
          <a:r>
            <a:rPr lang="tr-TR" sz="800" b="0" i="0" strike="noStrike" baseline="0">
              <a:solidFill>
                <a:srgbClr val="000000"/>
              </a:solidFill>
              <a:latin typeface="Verdana"/>
            </a:rPr>
            <a:t>.</a:t>
          </a:r>
        </a:p>
        <a:p>
          <a:pPr algn="l" rtl="0">
            <a:defRPr sz="1000"/>
          </a:pPr>
          <a:endParaRPr lang="en-GB" sz="800" b="0" i="0" strike="noStrike" baseline="0">
            <a:solidFill>
              <a:srgbClr val="000000"/>
            </a:solidFill>
            <a:latin typeface="Verdana"/>
          </a:endParaRPr>
        </a:p>
        <a:p>
          <a:pPr algn="l" rtl="0">
            <a:defRPr sz="1000"/>
          </a:pPr>
          <a:r>
            <a:rPr lang="en-GB" sz="800" b="0" i="0" strike="noStrike" baseline="0">
              <a:solidFill>
                <a:srgbClr val="000000"/>
              </a:solidFill>
              <a:latin typeface="Verdana"/>
            </a:rPr>
            <a:t>7.</a:t>
          </a:r>
          <a:r>
            <a:rPr lang="en-GB" sz="800" b="1" i="0" strike="noStrike" baseline="0">
              <a:solidFill>
                <a:srgbClr val="000000"/>
              </a:solidFill>
              <a:latin typeface="Verdana"/>
            </a:rPr>
            <a:t>Do not </a:t>
          </a:r>
          <a:r>
            <a:rPr lang="en-GB" sz="800" b="0" i="0" strike="noStrike" baseline="0">
              <a:solidFill>
                <a:srgbClr val="000000"/>
              </a:solidFill>
              <a:latin typeface="Verdana"/>
            </a:rPr>
            <a:t>rename or delete any of the sheets nor the file name!</a:t>
          </a:r>
        </a:p>
        <a:p>
          <a:pPr algn="l" rtl="0">
            <a:defRPr sz="1000"/>
          </a:pPr>
          <a:endParaRPr lang="en-GB" sz="800" b="0" i="0" strike="noStrike" baseline="0">
            <a:solidFill>
              <a:srgbClr val="000000"/>
            </a:solidFill>
            <a:latin typeface="Verdana"/>
          </a:endParaRPr>
        </a:p>
        <a:p>
          <a:pPr algn="l" rtl="0">
            <a:defRPr sz="1000"/>
          </a:pPr>
          <a:r>
            <a:rPr lang="en-GB" sz="800" b="0" i="0" strike="noStrike" baseline="0">
              <a:solidFill>
                <a:srgbClr val="000000"/>
              </a:solidFill>
              <a:latin typeface="Verdana"/>
            </a:rPr>
            <a:t>8.</a:t>
          </a:r>
          <a:r>
            <a:rPr lang="en-GB" sz="800" b="1" i="0" strike="noStrike" baseline="0">
              <a:solidFill>
                <a:srgbClr val="000000"/>
              </a:solidFill>
              <a:latin typeface="Verdana"/>
            </a:rPr>
            <a:t>Do not </a:t>
          </a:r>
          <a:r>
            <a:rPr lang="en-GB" sz="800" b="0" i="0" strike="noStrike" baseline="0">
              <a:solidFill>
                <a:srgbClr val="000000"/>
              </a:solidFill>
              <a:latin typeface="Verdana"/>
            </a:rPr>
            <a:t>change the place of question cells.</a:t>
          </a:r>
        </a:p>
        <a:p>
          <a:pPr algn="l" rtl="0">
            <a:defRPr sz="1000"/>
          </a:pPr>
          <a:endParaRPr lang="en-GB" sz="800" b="0" i="0" strike="noStrike" baseline="0">
            <a:solidFill>
              <a:srgbClr val="000000"/>
            </a:solidFill>
            <a:latin typeface="Verdana"/>
          </a:endParaRPr>
        </a:p>
      </xdr:txBody>
    </xdr:sp>
    <xdr:clientData/>
  </xdr:twoCellAnchor>
  <mc:AlternateContent xmlns:mc="http://schemas.openxmlformats.org/markup-compatibility/2006">
    <mc:Choice xmlns:a14="http://schemas.microsoft.com/office/drawing/2010/main" Requires="a14">
      <xdr:twoCellAnchor>
        <xdr:from>
          <xdr:col>7</xdr:col>
          <xdr:colOff>101600</xdr:colOff>
          <xdr:row>2</xdr:row>
          <xdr:rowOff>63500</xdr:rowOff>
        </xdr:from>
        <xdr:to>
          <xdr:col>9</xdr:col>
          <xdr:colOff>711200</xdr:colOff>
          <xdr:row>4</xdr:row>
          <xdr:rowOff>177800</xdr:rowOff>
        </xdr:to>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000-000001D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Start the Assignment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10975</xdr:colOff>
      <xdr:row>22</xdr:row>
      <xdr:rowOff>16304</xdr:rowOff>
    </xdr:from>
    <xdr:to>
      <xdr:col>15</xdr:col>
      <xdr:colOff>286957</xdr:colOff>
      <xdr:row>24</xdr:row>
      <xdr:rowOff>42331</xdr:rowOff>
    </xdr:to>
    <xdr:pic>
      <xdr:nvPicPr>
        <xdr:cNvPr id="2" name="Picture 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12275" y="5655104"/>
          <a:ext cx="2752482" cy="876927"/>
        </a:xfrm>
        <a:prstGeom prst="rect">
          <a:avLst/>
        </a:prstGeom>
        <a:solidFill>
          <a:srgbClr val="FFFFFF"/>
        </a:solidFill>
        <a:ln w="9525">
          <a:solidFill>
            <a:srgbClr val="000000"/>
          </a:solid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CFFCC"/>
        </a:solidFill>
        <a:ln w="9525" cap="flat" cmpd="sng" algn="ctr">
          <a:solidFill>
            <a:srgbClr val="000000"/>
          </a:solidFill>
          <a:prstDash val="solid"/>
          <a:round/>
          <a:headEnd type="none" w="med" len="med"/>
          <a:tailEnd type="none" w="med" len="med"/>
        </a:ln>
        <a:effectLst>
          <a:outerShdw dist="107763" dir="2700000" algn="ctr" rotWithShape="0">
            <a:srgbClr val="808080">
              <a:alpha val="50000"/>
            </a:srgbClr>
          </a:outerShdw>
        </a:effectLst>
      </a:spPr>
      <a:bodyPr vertOverflow="clip" wrap="square" lIns="18288" tIns="0" rIns="0" bIns="0" upright="1"/>
      <a:lstStyle/>
    </a:spDef>
    <a:lnDef>
      <a:spPr bwMode="auto">
        <a:xfrm>
          <a:off x="0" y="0"/>
          <a:ext cx="1" cy="1"/>
        </a:xfrm>
        <a:custGeom>
          <a:avLst/>
          <a:gdLst/>
          <a:ahLst/>
          <a:cxnLst/>
          <a:rect l="0" t="0" r="0" b="0"/>
          <a:pathLst/>
        </a:custGeom>
        <a:solidFill>
          <a:srgbClr val="CCFFCC"/>
        </a:solidFill>
        <a:ln w="9525" cap="flat" cmpd="sng" algn="ctr">
          <a:solidFill>
            <a:srgbClr val="000000"/>
          </a:solidFill>
          <a:prstDash val="solid"/>
          <a:round/>
          <a:headEnd type="none" w="med" len="med"/>
          <a:tailEnd type="none" w="med" len="med"/>
        </a:ln>
        <a:effectLst>
          <a:outerShdw dist="107763" dir="2700000" algn="ctr" rotWithShape="0">
            <a:srgbClr val="808080">
              <a:alpha val="50000"/>
            </a:srgbClr>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34"/>
  </sheetPr>
  <dimension ref="A1:IV36823"/>
  <sheetViews>
    <sheetView tabSelected="1" zoomScale="115" zoomScaleNormal="115" workbookViewId="0"/>
  </sheetViews>
  <sheetFormatPr baseColWidth="10" defaultColWidth="8.6640625" defaultRowHeight="13" x14ac:dyDescent="0.15"/>
  <cols>
    <col min="1" max="1" width="8.6640625" style="1"/>
    <col min="2" max="2" width="6.5" style="1" customWidth="1"/>
    <col min="3" max="4" width="12.6640625" style="1" customWidth="1"/>
    <col min="5" max="240" width="8.6640625" style="1"/>
    <col min="241" max="248" width="8.6640625" style="2"/>
    <col min="249" max="249" width="10.1640625" style="2" bestFit="1" customWidth="1"/>
    <col min="250" max="16384" width="8.6640625" style="2"/>
  </cols>
  <sheetData>
    <row r="1" spans="3:256" s="1" customFormat="1" ht="12.75" customHeight="1" x14ac:dyDescent="0.15">
      <c r="IG1" s="2"/>
      <c r="IH1" s="2"/>
      <c r="II1" s="2"/>
      <c r="IJ1" s="2"/>
      <c r="IK1" s="2"/>
      <c r="IL1" s="2"/>
      <c r="IM1" s="2"/>
      <c r="IN1" s="2"/>
      <c r="IO1" s="2"/>
      <c r="IP1" s="2"/>
      <c r="IQ1" s="2"/>
      <c r="IR1" s="2"/>
      <c r="IS1" s="2"/>
      <c r="IT1" s="2"/>
      <c r="IU1" s="2"/>
      <c r="IV1" s="2"/>
    </row>
    <row r="2" spans="3:256" s="1" customFormat="1" ht="18" x14ac:dyDescent="0.2">
      <c r="C2" s="17" t="s">
        <v>51</v>
      </c>
      <c r="IG2" s="2"/>
      <c r="IH2" s="2"/>
      <c r="II2" s="2"/>
      <c r="IJ2" s="2"/>
      <c r="IK2" s="2"/>
      <c r="IL2" s="2"/>
      <c r="IM2" s="2"/>
      <c r="IN2" s="2"/>
      <c r="IO2" s="2"/>
      <c r="IP2" s="2"/>
      <c r="IQ2" s="2"/>
      <c r="IR2" s="2"/>
      <c r="IS2" s="2"/>
      <c r="IT2" s="2"/>
      <c r="IU2" s="2"/>
      <c r="IV2" s="2"/>
    </row>
    <row r="3" spans="3:256" s="1" customFormat="1" ht="12.75" customHeight="1" x14ac:dyDescent="0.15">
      <c r="IG3" s="2"/>
      <c r="IH3" s="2"/>
      <c r="II3" s="2"/>
      <c r="IJ3" s="2"/>
      <c r="IK3" s="2"/>
      <c r="IL3" s="2"/>
      <c r="IM3" s="2"/>
      <c r="IN3" s="2"/>
      <c r="IO3" s="2"/>
      <c r="IP3" s="2"/>
      <c r="IQ3" s="2"/>
      <c r="IR3" s="2"/>
      <c r="IS3" s="2"/>
      <c r="IT3" s="2"/>
      <c r="IU3" s="2"/>
      <c r="IV3" s="2"/>
    </row>
    <row r="4" spans="3:256" ht="12.75" customHeight="1" x14ac:dyDescent="0.15"/>
    <row r="5" spans="3:256" ht="12.75" customHeight="1" x14ac:dyDescent="0.15"/>
    <row r="6" spans="3:256" ht="12.75" customHeight="1" x14ac:dyDescent="0.15">
      <c r="IN6" s="11"/>
    </row>
    <row r="7" spans="3:256" ht="12.75" customHeight="1" x14ac:dyDescent="0.15">
      <c r="IN7" s="11"/>
    </row>
    <row r="8" spans="3:256" ht="12.75" customHeight="1" x14ac:dyDescent="0.15"/>
    <row r="9" spans="3:256" ht="12.75" customHeight="1" x14ac:dyDescent="0.15"/>
    <row r="10" spans="3:256" ht="12.75" customHeight="1" x14ac:dyDescent="0.15"/>
    <row r="11" spans="3:256" ht="12.75" customHeight="1" x14ac:dyDescent="0.15"/>
    <row r="12" spans="3:256" ht="12.75" customHeight="1" x14ac:dyDescent="0.15">
      <c r="IN12" s="10"/>
    </row>
    <row r="13" spans="3:256" ht="12.75" customHeight="1" x14ac:dyDescent="0.15">
      <c r="IN13" s="12"/>
    </row>
    <row r="14" spans="3:256" ht="12.75" customHeight="1" x14ac:dyDescent="0.15">
      <c r="IN14" s="13"/>
    </row>
    <row r="15" spans="3:256" ht="12.75" customHeight="1" x14ac:dyDescent="0.15">
      <c r="IN15" s="13"/>
    </row>
    <row r="16" spans="3:256" ht="12.75" customHeight="1" x14ac:dyDescent="0.15">
      <c r="IN16" s="13"/>
    </row>
    <row r="17" spans="245:248" ht="12.75" customHeight="1" x14ac:dyDescent="0.15">
      <c r="IN17" s="13"/>
    </row>
    <row r="18" spans="245:248" ht="12.75" customHeight="1" x14ac:dyDescent="0.15">
      <c r="IN18" s="13"/>
    </row>
    <row r="19" spans="245:248" ht="12.75" customHeight="1" x14ac:dyDescent="0.15">
      <c r="IN19" s="13"/>
    </row>
    <row r="20" spans="245:248" ht="12.75" customHeight="1" x14ac:dyDescent="0.15">
      <c r="IN20" s="13"/>
    </row>
    <row r="21" spans="245:248" ht="12.75" customHeight="1" x14ac:dyDescent="0.15">
      <c r="IN21" s="13"/>
    </row>
    <row r="22" spans="245:248" ht="12.75" customHeight="1" x14ac:dyDescent="0.15">
      <c r="IN22" s="13"/>
    </row>
    <row r="23" spans="245:248" ht="12.75" customHeight="1" x14ac:dyDescent="0.15">
      <c r="IN23" s="13"/>
    </row>
    <row r="24" spans="245:248" ht="12.75" customHeight="1" x14ac:dyDescent="0.15">
      <c r="IN24" s="13"/>
    </row>
    <row r="25" spans="245:248" ht="12.75" customHeight="1" x14ac:dyDescent="0.15">
      <c r="IN25" s="13"/>
    </row>
    <row r="26" spans="245:248" ht="12.75" customHeight="1" x14ac:dyDescent="0.15">
      <c r="IN26" s="13"/>
    </row>
    <row r="27" spans="245:248" ht="12.75" customHeight="1" x14ac:dyDescent="0.15">
      <c r="IN27" s="13"/>
    </row>
    <row r="28" spans="245:248" ht="12.75" customHeight="1" x14ac:dyDescent="0.15">
      <c r="IN28" s="13"/>
    </row>
    <row r="29" spans="245:248" ht="12.75" customHeight="1" x14ac:dyDescent="0.15">
      <c r="IN29" s="13"/>
    </row>
    <row r="30" spans="245:248" ht="12.75" customHeight="1" x14ac:dyDescent="0.15">
      <c r="IN30" s="13"/>
    </row>
    <row r="31" spans="245:248" ht="12.75" customHeight="1" x14ac:dyDescent="0.15">
      <c r="IN31" s="13"/>
    </row>
    <row r="32" spans="245:248" ht="12.75" customHeight="1" x14ac:dyDescent="0.15">
      <c r="IK32" s="4"/>
      <c r="IN32" s="13"/>
    </row>
    <row r="33" spans="246:251" ht="12.75" customHeight="1" x14ac:dyDescent="0.15">
      <c r="IN33" s="13"/>
    </row>
    <row r="34" spans="246:251" ht="12.75" customHeight="1" x14ac:dyDescent="0.15">
      <c r="IN34" s="13"/>
    </row>
    <row r="35" spans="246:251" ht="12.75" customHeight="1" x14ac:dyDescent="0.15">
      <c r="IN35" s="13"/>
    </row>
    <row r="36" spans="246:251" ht="12.75" customHeight="1" x14ac:dyDescent="0.15">
      <c r="IN36" s="13"/>
      <c r="IO36" s="8"/>
    </row>
    <row r="37" spans="246:251" ht="12.75" customHeight="1" x14ac:dyDescent="0.15">
      <c r="IL37" s="14"/>
      <c r="IN37" s="4"/>
      <c r="IO37" s="9"/>
    </row>
    <row r="38" spans="246:251" ht="12.75" customHeight="1" x14ac:dyDescent="0.15">
      <c r="IN38" s="13"/>
      <c r="IO38" s="8"/>
    </row>
    <row r="39" spans="246:251" ht="12.75" customHeight="1" x14ac:dyDescent="0.15">
      <c r="IN39" s="13"/>
      <c r="IO39" s="9"/>
    </row>
    <row r="40" spans="246:251" ht="12.75" customHeight="1" x14ac:dyDescent="0.15">
      <c r="IN40" s="13"/>
      <c r="IO40" s="8"/>
    </row>
    <row r="41" spans="246:251" ht="12.75" customHeight="1" x14ac:dyDescent="0.15">
      <c r="IN41" s="13"/>
      <c r="IO41" s="16"/>
    </row>
    <row r="42" spans="246:251" ht="12.75" customHeight="1" x14ac:dyDescent="0.15">
      <c r="IN42" s="13"/>
    </row>
    <row r="43" spans="246:251" ht="12.75" customHeight="1" x14ac:dyDescent="0.15">
      <c r="IN43" s="13"/>
    </row>
    <row r="44" spans="246:251" ht="12.75" customHeight="1" x14ac:dyDescent="0.15">
      <c r="IN44" s="13"/>
      <c r="IQ44" s="15"/>
    </row>
    <row r="45" spans="246:251" ht="12.75" customHeight="1" x14ac:dyDescent="0.15">
      <c r="IQ45" s="15"/>
    </row>
    <row r="46" spans="246:251" ht="12.75" customHeight="1" x14ac:dyDescent="0.15"/>
    <row r="47" spans="246:251" ht="12.75" customHeight="1" x14ac:dyDescent="0.15"/>
    <row r="48" spans="246:251" ht="12.75" customHeight="1" x14ac:dyDescent="0.15"/>
    <row r="49" spans="251:251" ht="12.75" customHeight="1" x14ac:dyDescent="0.15"/>
    <row r="50" spans="251:251" ht="12.75" customHeight="1" x14ac:dyDescent="0.15"/>
    <row r="51" spans="251:251" ht="12.75" customHeight="1" x14ac:dyDescent="0.15"/>
    <row r="52" spans="251:251" ht="12.75" customHeight="1" x14ac:dyDescent="0.15"/>
    <row r="53" spans="251:251" ht="12.75" customHeight="1" x14ac:dyDescent="0.15"/>
    <row r="54" spans="251:251" ht="12.75" customHeight="1" x14ac:dyDescent="0.15"/>
    <row r="55" spans="251:251" ht="12.75" customHeight="1" x14ac:dyDescent="0.15"/>
    <row r="56" spans="251:251" ht="12.75" customHeight="1" x14ac:dyDescent="0.15">
      <c r="IQ56" s="15"/>
    </row>
    <row r="57" spans="251:251" ht="12.75" customHeight="1" x14ac:dyDescent="0.15"/>
    <row r="58" spans="251:251" ht="12.75" customHeight="1" x14ac:dyDescent="0.15"/>
    <row r="59" spans="251:251" ht="12.75" customHeight="1" x14ac:dyDescent="0.15"/>
    <row r="60" spans="251:251" ht="12.75" customHeight="1" x14ac:dyDescent="0.15"/>
    <row r="61" spans="251:251" ht="12.75" customHeight="1" x14ac:dyDescent="0.15"/>
    <row r="62" spans="251:251" ht="12.75" customHeight="1" x14ac:dyDescent="0.15"/>
    <row r="63" spans="251:251" ht="12.75" customHeight="1" x14ac:dyDescent="0.15"/>
    <row r="64" spans="251:251" ht="12.75" customHeight="1" x14ac:dyDescent="0.15"/>
    <row r="65" ht="12.75" customHeight="1" x14ac:dyDescent="0.15"/>
    <row r="66" ht="12.75" customHeight="1" x14ac:dyDescent="0.15"/>
    <row r="67" ht="12.75" customHeight="1" x14ac:dyDescent="0.15"/>
    <row r="68" ht="12.75" customHeight="1" x14ac:dyDescent="0.15"/>
    <row r="69" ht="12.75" customHeight="1" x14ac:dyDescent="0.15"/>
    <row r="70" ht="12.75" customHeight="1" x14ac:dyDescent="0.15"/>
    <row r="71" ht="12.75" customHeight="1" x14ac:dyDescent="0.15"/>
    <row r="72" ht="12.75" customHeight="1" x14ac:dyDescent="0.15"/>
    <row r="73" ht="12.75" customHeight="1" x14ac:dyDescent="0.15"/>
    <row r="74" ht="12.75" customHeight="1" x14ac:dyDescent="0.15"/>
    <row r="75" ht="12.75" customHeight="1" x14ac:dyDescent="0.15"/>
    <row r="76" ht="12.75" customHeight="1" x14ac:dyDescent="0.15"/>
    <row r="77" ht="12.75" customHeight="1" x14ac:dyDescent="0.15"/>
    <row r="78" ht="12.75" customHeight="1" x14ac:dyDescent="0.15"/>
    <row r="79" ht="12.75" customHeight="1" x14ac:dyDescent="0.15"/>
    <row r="80" ht="12.75" customHeight="1" x14ac:dyDescent="0.15"/>
    <row r="81" ht="12.75" customHeight="1" x14ac:dyDescent="0.15"/>
    <row r="82" ht="12.75" customHeight="1" x14ac:dyDescent="0.15"/>
    <row r="83" ht="12.75" customHeight="1" x14ac:dyDescent="0.15"/>
    <row r="84" ht="12.75" customHeight="1" x14ac:dyDescent="0.15"/>
    <row r="85" ht="12.75" customHeight="1" x14ac:dyDescent="0.15"/>
    <row r="86" ht="12.75" customHeight="1" x14ac:dyDescent="0.15"/>
    <row r="87" ht="12.75" customHeight="1" x14ac:dyDescent="0.15"/>
    <row r="88" ht="12.75" customHeight="1" x14ac:dyDescent="0.15"/>
    <row r="89" ht="12.75" customHeight="1" x14ac:dyDescent="0.15"/>
    <row r="90" ht="12.75" customHeight="1" x14ac:dyDescent="0.15"/>
    <row r="91" ht="12.75" customHeight="1" x14ac:dyDescent="0.15"/>
    <row r="92" ht="12.75" customHeight="1" x14ac:dyDescent="0.15"/>
    <row r="93" ht="12.75" customHeight="1" x14ac:dyDescent="0.15"/>
    <row r="94" ht="12.75" customHeight="1" x14ac:dyDescent="0.15"/>
    <row r="95" ht="12.75" customHeight="1" x14ac:dyDescent="0.15"/>
    <row r="96" ht="12.75" customHeight="1" x14ac:dyDescent="0.15"/>
    <row r="97" ht="12.75" customHeight="1" x14ac:dyDescent="0.15"/>
    <row r="98" ht="12.75" customHeight="1" x14ac:dyDescent="0.15"/>
    <row r="99" ht="12.75" customHeight="1" x14ac:dyDescent="0.15"/>
    <row r="100" ht="12.75" customHeight="1" x14ac:dyDescent="0.15"/>
    <row r="101" ht="12.75" customHeight="1" x14ac:dyDescent="0.15"/>
    <row r="102" ht="12.75" customHeight="1" x14ac:dyDescent="0.15"/>
    <row r="103" ht="12.75" customHeight="1" x14ac:dyDescent="0.15"/>
    <row r="104" ht="12.75" customHeight="1" x14ac:dyDescent="0.15"/>
    <row r="105" ht="12.75" customHeight="1" x14ac:dyDescent="0.15"/>
    <row r="106" ht="12.75" customHeight="1" x14ac:dyDescent="0.15"/>
    <row r="107" ht="12.75" customHeight="1" x14ac:dyDescent="0.15"/>
    <row r="108" ht="12.75" customHeight="1" x14ac:dyDescent="0.15"/>
    <row r="109" ht="12.75" customHeight="1" x14ac:dyDescent="0.15"/>
    <row r="110" ht="12.75" customHeight="1" x14ac:dyDescent="0.15"/>
    <row r="111" ht="12.75" customHeight="1" x14ac:dyDescent="0.15"/>
    <row r="112" ht="12.75" customHeight="1" x14ac:dyDescent="0.15"/>
    <row r="113" ht="12.75" customHeight="1" x14ac:dyDescent="0.15"/>
    <row r="114" ht="12.75" customHeight="1" x14ac:dyDescent="0.15"/>
    <row r="115" ht="12.75" customHeight="1" x14ac:dyDescent="0.15"/>
    <row r="116" ht="12.75" customHeight="1" x14ac:dyDescent="0.15"/>
    <row r="117" ht="12.75" customHeight="1" x14ac:dyDescent="0.15"/>
    <row r="118" ht="12.75" customHeight="1" x14ac:dyDescent="0.15"/>
    <row r="119" ht="12.75" customHeight="1" x14ac:dyDescent="0.15"/>
    <row r="120" ht="12.75" customHeight="1" x14ac:dyDescent="0.15"/>
    <row r="121" ht="12.75" customHeight="1" x14ac:dyDescent="0.15"/>
    <row r="122" ht="12.75" customHeight="1" x14ac:dyDescent="0.15"/>
    <row r="123" ht="12.75" customHeight="1" x14ac:dyDescent="0.15"/>
    <row r="124" ht="12.75" customHeight="1" x14ac:dyDescent="0.15"/>
    <row r="125" ht="12.75" customHeight="1" x14ac:dyDescent="0.15"/>
    <row r="126" ht="12.75" customHeight="1" x14ac:dyDescent="0.15"/>
    <row r="127" ht="12.75" customHeight="1" x14ac:dyDescent="0.15"/>
    <row r="128" ht="12.75" customHeight="1" x14ac:dyDescent="0.15"/>
    <row r="129" ht="12.75" customHeight="1" x14ac:dyDescent="0.15"/>
    <row r="130" ht="12.75" customHeight="1" x14ac:dyDescent="0.15"/>
    <row r="131" ht="12.75" customHeight="1" x14ac:dyDescent="0.15"/>
    <row r="132" ht="12.75" customHeight="1" x14ac:dyDescent="0.15"/>
    <row r="133" ht="12.75" customHeight="1" x14ac:dyDescent="0.15"/>
    <row r="134" ht="12.75" customHeight="1" x14ac:dyDescent="0.15"/>
    <row r="135" ht="12.75" customHeight="1" x14ac:dyDescent="0.15"/>
    <row r="136" ht="12.75" customHeight="1" x14ac:dyDescent="0.15"/>
    <row r="137" ht="12.75" customHeight="1" x14ac:dyDescent="0.15"/>
    <row r="138" ht="12.75" customHeight="1" x14ac:dyDescent="0.15"/>
    <row r="139" ht="12.75" customHeight="1" x14ac:dyDescent="0.15"/>
    <row r="140" ht="12.75" customHeight="1" x14ac:dyDescent="0.15"/>
    <row r="141" ht="12.75" customHeight="1" x14ac:dyDescent="0.15"/>
    <row r="142" ht="12.75" customHeight="1" x14ac:dyDescent="0.15"/>
    <row r="143" ht="12.75" customHeight="1" x14ac:dyDescent="0.15"/>
    <row r="144" ht="12.75" customHeight="1" x14ac:dyDescent="0.15"/>
    <row r="145" ht="12.75" customHeight="1" x14ac:dyDescent="0.15"/>
    <row r="146" ht="12.75" customHeight="1" x14ac:dyDescent="0.15"/>
    <row r="147" ht="12.75" customHeight="1" x14ac:dyDescent="0.15"/>
    <row r="148" ht="12.75" customHeight="1" x14ac:dyDescent="0.15"/>
    <row r="149" ht="12.75" customHeight="1" x14ac:dyDescent="0.15"/>
    <row r="150" ht="12.75" customHeight="1" x14ac:dyDescent="0.15"/>
    <row r="151" ht="12.75" customHeight="1" x14ac:dyDescent="0.15"/>
    <row r="152" ht="12.75" customHeight="1" x14ac:dyDescent="0.15"/>
    <row r="153" ht="12.75" customHeight="1" x14ac:dyDescent="0.15"/>
    <row r="154" ht="12.75" customHeight="1" x14ac:dyDescent="0.15"/>
    <row r="155" ht="12.75" customHeight="1" x14ac:dyDescent="0.15"/>
    <row r="156" ht="12.75" customHeight="1" x14ac:dyDescent="0.15"/>
    <row r="157" ht="12.75" customHeight="1" x14ac:dyDescent="0.15"/>
    <row r="158" ht="12.75" customHeight="1" x14ac:dyDescent="0.15"/>
    <row r="159" ht="12.75" customHeight="1" x14ac:dyDescent="0.15"/>
    <row r="160" ht="12.75" customHeight="1" x14ac:dyDescent="0.15"/>
    <row r="161" ht="12.75" customHeight="1" x14ac:dyDescent="0.15"/>
    <row r="162" ht="12.75" customHeight="1" x14ac:dyDescent="0.15"/>
    <row r="163" ht="12.75" customHeight="1" x14ac:dyDescent="0.15"/>
    <row r="164" ht="12.75" customHeight="1" x14ac:dyDescent="0.15"/>
    <row r="165" ht="12.75" customHeight="1" x14ac:dyDescent="0.15"/>
    <row r="166" ht="12.75" customHeight="1" x14ac:dyDescent="0.15"/>
    <row r="167" ht="12.75" customHeight="1" x14ac:dyDescent="0.15"/>
    <row r="168" ht="12.75" customHeight="1" x14ac:dyDescent="0.15"/>
    <row r="169" ht="12.75" customHeight="1" x14ac:dyDescent="0.15"/>
    <row r="170" ht="12.75" customHeight="1" x14ac:dyDescent="0.15"/>
    <row r="171" ht="12.75" customHeight="1" x14ac:dyDescent="0.15"/>
    <row r="172" ht="12.75" customHeight="1" x14ac:dyDescent="0.15"/>
    <row r="173" ht="12.75" customHeight="1" x14ac:dyDescent="0.15"/>
    <row r="174" ht="12.75" customHeight="1" x14ac:dyDescent="0.15"/>
    <row r="175" ht="12.75" customHeight="1" x14ac:dyDescent="0.15"/>
    <row r="176" ht="12.75" customHeight="1" x14ac:dyDescent="0.15"/>
    <row r="177" ht="12.75" customHeight="1" x14ac:dyDescent="0.15"/>
    <row r="178" ht="12.75" customHeight="1" x14ac:dyDescent="0.15"/>
    <row r="179" ht="12.75" customHeight="1" x14ac:dyDescent="0.15"/>
    <row r="180" ht="12.75" customHeight="1" x14ac:dyDescent="0.15"/>
    <row r="181" ht="12.75" customHeight="1" x14ac:dyDescent="0.15"/>
    <row r="182" ht="12.75" customHeight="1" x14ac:dyDescent="0.15"/>
    <row r="183" ht="12.75" customHeight="1" x14ac:dyDescent="0.15"/>
    <row r="184" ht="12.75" customHeight="1" x14ac:dyDescent="0.15"/>
    <row r="185" ht="12.75" customHeight="1" x14ac:dyDescent="0.15"/>
    <row r="186" ht="12.75" customHeight="1" x14ac:dyDescent="0.15"/>
    <row r="187" ht="12.75" customHeight="1" x14ac:dyDescent="0.15"/>
    <row r="188" ht="12.75" customHeight="1" x14ac:dyDescent="0.15"/>
    <row r="189" ht="12.75" customHeight="1" x14ac:dyDescent="0.15"/>
    <row r="190" ht="12.75" customHeight="1" x14ac:dyDescent="0.15"/>
    <row r="191" ht="12.75" customHeight="1" x14ac:dyDescent="0.15"/>
    <row r="192" ht="12.75" customHeight="1" x14ac:dyDescent="0.15"/>
    <row r="193" ht="12.75" customHeight="1" x14ac:dyDescent="0.15"/>
    <row r="194" ht="12.75" customHeight="1" x14ac:dyDescent="0.15"/>
    <row r="195" ht="12.75" customHeight="1" x14ac:dyDescent="0.15"/>
    <row r="196" ht="12.75" customHeight="1" x14ac:dyDescent="0.15"/>
    <row r="197" ht="12.75" customHeight="1" x14ac:dyDescent="0.15"/>
    <row r="198" ht="12.75" customHeight="1" x14ac:dyDescent="0.15"/>
    <row r="199" ht="12.75" customHeight="1" x14ac:dyDescent="0.15"/>
    <row r="200" ht="12.75" customHeight="1" x14ac:dyDescent="0.15"/>
    <row r="201" ht="12.75" customHeight="1" x14ac:dyDescent="0.15"/>
    <row r="202" ht="12.75" customHeight="1" x14ac:dyDescent="0.15"/>
    <row r="203" ht="12.75" customHeight="1" x14ac:dyDescent="0.15"/>
    <row r="204" ht="12.75" customHeight="1" x14ac:dyDescent="0.15"/>
    <row r="205" ht="12.75" customHeight="1" x14ac:dyDescent="0.15"/>
    <row r="206" ht="12.75" customHeight="1" x14ac:dyDescent="0.15"/>
    <row r="207" ht="12.75" customHeight="1" x14ac:dyDescent="0.15"/>
    <row r="208" ht="12.75" customHeight="1" x14ac:dyDescent="0.15"/>
    <row r="209" ht="12.75" customHeight="1" x14ac:dyDescent="0.15"/>
    <row r="210" ht="12.75" customHeight="1" x14ac:dyDescent="0.15"/>
    <row r="211" ht="12.75" customHeight="1" x14ac:dyDescent="0.15"/>
    <row r="212" ht="12.75" customHeight="1" x14ac:dyDescent="0.15"/>
    <row r="213" ht="12.75" customHeight="1" x14ac:dyDescent="0.15"/>
    <row r="214" ht="12.75" customHeight="1" x14ac:dyDescent="0.15"/>
    <row r="215" ht="12.75" customHeight="1" x14ac:dyDescent="0.15"/>
    <row r="216" ht="12.75" customHeight="1" x14ac:dyDescent="0.15"/>
    <row r="217" ht="12.75" customHeight="1" x14ac:dyDescent="0.15"/>
    <row r="218" ht="12.75" customHeight="1" x14ac:dyDescent="0.15"/>
    <row r="219" ht="12.75" customHeight="1" x14ac:dyDescent="0.15"/>
    <row r="220" ht="12.75" customHeight="1" x14ac:dyDescent="0.15"/>
    <row r="221" ht="12.75" customHeight="1" x14ac:dyDescent="0.15"/>
    <row r="222" ht="12.75" customHeight="1" x14ac:dyDescent="0.15"/>
    <row r="223" ht="12.75" customHeight="1" x14ac:dyDescent="0.15"/>
    <row r="224" ht="12.75" customHeight="1" x14ac:dyDescent="0.15"/>
    <row r="225" ht="12.75" customHeight="1" x14ac:dyDescent="0.15"/>
    <row r="226" ht="12.75" customHeight="1" x14ac:dyDescent="0.15"/>
    <row r="227" ht="12.75" customHeight="1" x14ac:dyDescent="0.15"/>
    <row r="228" ht="12.75" customHeight="1" x14ac:dyDescent="0.15"/>
    <row r="229" ht="12.75" customHeight="1" x14ac:dyDescent="0.15"/>
    <row r="230" ht="12.75" customHeight="1" x14ac:dyDescent="0.15"/>
    <row r="231" ht="12.75" customHeight="1" x14ac:dyDescent="0.15"/>
    <row r="232" ht="12.75" customHeight="1" x14ac:dyDescent="0.15"/>
    <row r="233" ht="12.75" customHeight="1" x14ac:dyDescent="0.15"/>
    <row r="234" ht="12.75" customHeight="1" x14ac:dyDescent="0.15"/>
    <row r="235" ht="12.75" customHeight="1" x14ac:dyDescent="0.15"/>
    <row r="236" ht="12.75" customHeight="1" x14ac:dyDescent="0.15"/>
    <row r="237" ht="12.75" customHeight="1" x14ac:dyDescent="0.15"/>
    <row r="238" ht="12.75" customHeight="1" x14ac:dyDescent="0.15"/>
    <row r="239" ht="12.75" customHeight="1" x14ac:dyDescent="0.15"/>
    <row r="240" ht="12.75" customHeight="1" x14ac:dyDescent="0.15"/>
    <row r="241" ht="12.75" customHeight="1" x14ac:dyDescent="0.15"/>
    <row r="242" ht="12.75" customHeight="1" x14ac:dyDescent="0.15"/>
    <row r="243" ht="12.75" customHeight="1" x14ac:dyDescent="0.15"/>
    <row r="244" ht="12.75" customHeight="1" x14ac:dyDescent="0.15"/>
    <row r="245" ht="12.75" customHeight="1" x14ac:dyDescent="0.15"/>
    <row r="246" ht="12.75" customHeight="1" x14ac:dyDescent="0.15"/>
    <row r="247" ht="12.75" customHeight="1" x14ac:dyDescent="0.15"/>
    <row r="248" ht="12.75" customHeight="1" x14ac:dyDescent="0.15"/>
    <row r="249" ht="12.75" customHeight="1" x14ac:dyDescent="0.15"/>
    <row r="250" ht="12.75" customHeight="1" x14ac:dyDescent="0.15"/>
    <row r="251" ht="12.75" customHeight="1" x14ac:dyDescent="0.15"/>
    <row r="252" ht="12.75" customHeight="1" x14ac:dyDescent="0.15"/>
    <row r="253" ht="12.75" customHeight="1" x14ac:dyDescent="0.15"/>
    <row r="254" ht="12.75" customHeight="1" x14ac:dyDescent="0.15"/>
    <row r="255" ht="12.75" customHeight="1" x14ac:dyDescent="0.15"/>
    <row r="256" ht="12.75" customHeight="1" x14ac:dyDescent="0.15"/>
    <row r="257" ht="12.75" customHeight="1" x14ac:dyDescent="0.15"/>
    <row r="258" ht="12.75" customHeight="1" x14ac:dyDescent="0.15"/>
    <row r="259" ht="12.75" customHeight="1" x14ac:dyDescent="0.15"/>
    <row r="260" ht="12.75" customHeight="1" x14ac:dyDescent="0.15"/>
    <row r="261" ht="12.75" customHeight="1" x14ac:dyDescent="0.15"/>
    <row r="262" ht="12.75" customHeight="1" x14ac:dyDescent="0.15"/>
    <row r="263" ht="12.75" customHeight="1" x14ac:dyDescent="0.15"/>
    <row r="264" ht="12.75" customHeight="1" x14ac:dyDescent="0.15"/>
    <row r="265" ht="12.75" customHeight="1" x14ac:dyDescent="0.15"/>
    <row r="266" ht="12.75" customHeight="1" x14ac:dyDescent="0.15"/>
    <row r="267" ht="12.75" customHeight="1" x14ac:dyDescent="0.15"/>
    <row r="268" ht="12.75" customHeight="1" x14ac:dyDescent="0.15"/>
    <row r="269" ht="12.75" customHeight="1" x14ac:dyDescent="0.15"/>
    <row r="270" ht="12.75" customHeight="1" x14ac:dyDescent="0.15"/>
    <row r="271" ht="12.75" customHeight="1" x14ac:dyDescent="0.15"/>
    <row r="272" ht="12.75" customHeight="1" x14ac:dyDescent="0.15"/>
    <row r="273" ht="12.75" customHeight="1" x14ac:dyDescent="0.15"/>
    <row r="274" ht="12.75" customHeight="1" x14ac:dyDescent="0.15"/>
    <row r="275" ht="12.75" customHeight="1" x14ac:dyDescent="0.15"/>
    <row r="276" ht="12.75" customHeight="1" x14ac:dyDescent="0.15"/>
    <row r="277" ht="12.75" customHeight="1" x14ac:dyDescent="0.15"/>
    <row r="278" ht="12.75" customHeight="1" x14ac:dyDescent="0.15"/>
    <row r="279" ht="12.75" customHeight="1" x14ac:dyDescent="0.15"/>
    <row r="280" ht="12.75" customHeight="1" x14ac:dyDescent="0.15"/>
    <row r="281" ht="12.75" customHeight="1" x14ac:dyDescent="0.15"/>
    <row r="282" ht="12.75" customHeight="1" x14ac:dyDescent="0.15"/>
    <row r="283" ht="12.75" customHeight="1" x14ac:dyDescent="0.15"/>
    <row r="284" ht="12.75" customHeight="1" x14ac:dyDescent="0.15"/>
    <row r="285" ht="12.75" customHeight="1" x14ac:dyDescent="0.15"/>
    <row r="286" ht="12.75" customHeight="1" x14ac:dyDescent="0.15"/>
    <row r="287" ht="12.75" customHeight="1" x14ac:dyDescent="0.15"/>
    <row r="288" ht="12.75" customHeight="1" x14ac:dyDescent="0.15"/>
    <row r="289" ht="12.75" customHeight="1" x14ac:dyDescent="0.15"/>
    <row r="290" ht="12.75" customHeight="1" x14ac:dyDescent="0.15"/>
    <row r="291" ht="12.75" customHeight="1" x14ac:dyDescent="0.15"/>
    <row r="292" ht="12.75" customHeight="1" x14ac:dyDescent="0.15"/>
    <row r="293" ht="12.75" customHeight="1" x14ac:dyDescent="0.15"/>
    <row r="294" ht="12.75" customHeight="1" x14ac:dyDescent="0.15"/>
    <row r="295" ht="12.75" customHeight="1" x14ac:dyDescent="0.15"/>
    <row r="296" ht="12.75" customHeight="1" x14ac:dyDescent="0.15"/>
    <row r="297" ht="12.75" customHeight="1" x14ac:dyDescent="0.15"/>
    <row r="298" ht="12.75" customHeight="1" x14ac:dyDescent="0.15"/>
    <row r="299" ht="12.75" customHeight="1" x14ac:dyDescent="0.15"/>
    <row r="300" ht="12.75" customHeight="1" x14ac:dyDescent="0.15"/>
    <row r="301" ht="12.75" customHeight="1" x14ac:dyDescent="0.15"/>
    <row r="302" ht="12.75" customHeight="1" x14ac:dyDescent="0.15"/>
    <row r="303" ht="12.75" customHeight="1" x14ac:dyDescent="0.15"/>
    <row r="304" ht="12.75" customHeight="1" x14ac:dyDescent="0.15"/>
    <row r="305" ht="12.75" customHeight="1" x14ac:dyDescent="0.15"/>
    <row r="306" ht="12.75" customHeight="1" x14ac:dyDescent="0.15"/>
    <row r="307" ht="12.75" customHeight="1" x14ac:dyDescent="0.15"/>
    <row r="308" ht="12.75" customHeight="1" x14ac:dyDescent="0.15"/>
    <row r="309" ht="12.75" customHeight="1" x14ac:dyDescent="0.15"/>
    <row r="310" ht="12.75" customHeight="1" x14ac:dyDescent="0.15"/>
    <row r="311" ht="12.75" customHeight="1" x14ac:dyDescent="0.15"/>
    <row r="312" ht="12.75" customHeight="1" x14ac:dyDescent="0.15"/>
    <row r="313" ht="12.75" customHeight="1" x14ac:dyDescent="0.15"/>
    <row r="314" ht="12.75" customHeight="1" x14ac:dyDescent="0.15"/>
    <row r="315" ht="12.75" customHeight="1" x14ac:dyDescent="0.15"/>
    <row r="316" ht="12.75" customHeight="1" x14ac:dyDescent="0.15"/>
    <row r="317" ht="12.75" customHeight="1" x14ac:dyDescent="0.15"/>
    <row r="318" ht="12.75" customHeight="1" x14ac:dyDescent="0.15"/>
    <row r="319" ht="12.75" customHeight="1" x14ac:dyDescent="0.15"/>
    <row r="320" ht="12.75" customHeight="1" x14ac:dyDescent="0.15"/>
    <row r="321" ht="12.75" customHeight="1" x14ac:dyDescent="0.15"/>
    <row r="322" ht="12.75" customHeight="1" x14ac:dyDescent="0.15"/>
    <row r="323" ht="12.75" customHeight="1" x14ac:dyDescent="0.15"/>
    <row r="324" ht="12.75" customHeight="1" x14ac:dyDescent="0.15"/>
    <row r="325" ht="12.75" customHeight="1" x14ac:dyDescent="0.15"/>
    <row r="326" ht="12.75" customHeight="1" x14ac:dyDescent="0.15"/>
    <row r="327" ht="12.75" customHeight="1" x14ac:dyDescent="0.15"/>
    <row r="328" ht="12.75" customHeight="1" x14ac:dyDescent="0.15"/>
    <row r="329" ht="12.75" customHeight="1" x14ac:dyDescent="0.15"/>
    <row r="330" ht="12.75" customHeight="1" x14ac:dyDescent="0.15"/>
    <row r="331" ht="12.75" customHeight="1" x14ac:dyDescent="0.15"/>
    <row r="332" ht="12.75" customHeight="1" x14ac:dyDescent="0.15"/>
    <row r="333" ht="12.75" customHeight="1" x14ac:dyDescent="0.15"/>
    <row r="334" ht="12.75" customHeight="1" x14ac:dyDescent="0.15"/>
    <row r="335" ht="12.75" customHeight="1" x14ac:dyDescent="0.15"/>
    <row r="336" ht="12.75" customHeight="1" x14ac:dyDescent="0.15"/>
    <row r="337" ht="12.75" customHeight="1" x14ac:dyDescent="0.15"/>
    <row r="338" ht="12.75" customHeight="1" x14ac:dyDescent="0.15"/>
    <row r="339" ht="12.75" customHeight="1" x14ac:dyDescent="0.15"/>
    <row r="340" ht="12.75" customHeight="1" x14ac:dyDescent="0.15"/>
    <row r="341" ht="12.75" customHeight="1" x14ac:dyDescent="0.15"/>
    <row r="342" ht="12.75" customHeight="1" x14ac:dyDescent="0.15"/>
    <row r="343" ht="12.75" customHeight="1" x14ac:dyDescent="0.15"/>
    <row r="344" ht="12.75" customHeight="1" x14ac:dyDescent="0.15"/>
    <row r="345" ht="12.75" customHeight="1" x14ac:dyDescent="0.15"/>
    <row r="346" ht="12.75" customHeight="1" x14ac:dyDescent="0.15"/>
    <row r="347" ht="12.75" customHeight="1" x14ac:dyDescent="0.15"/>
    <row r="348" ht="12.75" customHeight="1" x14ac:dyDescent="0.15"/>
    <row r="349" ht="12.75" customHeight="1" x14ac:dyDescent="0.15"/>
    <row r="350" ht="12.75" customHeight="1" x14ac:dyDescent="0.15"/>
    <row r="351" ht="12.75" customHeight="1" x14ac:dyDescent="0.15"/>
    <row r="352" ht="12.75" customHeight="1" x14ac:dyDescent="0.15"/>
    <row r="353" ht="12.75" customHeight="1" x14ac:dyDescent="0.15"/>
    <row r="354" ht="12.75" customHeight="1" x14ac:dyDescent="0.15"/>
    <row r="355" ht="12.75" customHeight="1" x14ac:dyDescent="0.15"/>
    <row r="356" ht="12.75" customHeight="1" x14ac:dyDescent="0.15"/>
    <row r="357" ht="12.75" customHeight="1" x14ac:dyDescent="0.15"/>
    <row r="358" ht="12.75" customHeight="1" x14ac:dyDescent="0.15"/>
    <row r="359" ht="12.75" customHeight="1" x14ac:dyDescent="0.15"/>
    <row r="360" ht="12.75" customHeight="1" x14ac:dyDescent="0.15"/>
    <row r="361" ht="12.75" customHeight="1" x14ac:dyDescent="0.15"/>
    <row r="362" ht="12.75" customHeight="1" x14ac:dyDescent="0.15"/>
    <row r="363" ht="12.75" customHeight="1" x14ac:dyDescent="0.15"/>
    <row r="364" ht="12.75" customHeight="1" x14ac:dyDescent="0.15"/>
    <row r="365" ht="12.75" customHeight="1" x14ac:dyDescent="0.15"/>
    <row r="366" ht="12.75" customHeight="1" x14ac:dyDescent="0.15"/>
    <row r="367" ht="12.75" customHeight="1" x14ac:dyDescent="0.15"/>
    <row r="368" ht="12.75" customHeight="1" x14ac:dyDescent="0.15"/>
    <row r="369" ht="12.75" customHeight="1" x14ac:dyDescent="0.15"/>
    <row r="370" ht="12.75" customHeight="1" x14ac:dyDescent="0.15"/>
    <row r="371" ht="12.75" customHeight="1" x14ac:dyDescent="0.15"/>
    <row r="372" ht="12.75" customHeight="1" x14ac:dyDescent="0.15"/>
    <row r="373" ht="12.75" customHeight="1" x14ac:dyDescent="0.15"/>
    <row r="374" ht="12.75" customHeight="1" x14ac:dyDescent="0.15"/>
    <row r="375" ht="12.75" customHeight="1" x14ac:dyDescent="0.15"/>
    <row r="376" ht="12.75" customHeight="1" x14ac:dyDescent="0.15"/>
    <row r="377" ht="12.75" customHeight="1" x14ac:dyDescent="0.15"/>
    <row r="378" ht="12.75" customHeight="1" x14ac:dyDescent="0.15"/>
    <row r="379" ht="12.75" customHeight="1" x14ac:dyDescent="0.15"/>
    <row r="380" ht="12.75" customHeight="1" x14ac:dyDescent="0.15"/>
    <row r="381" ht="12.75" customHeight="1" x14ac:dyDescent="0.15"/>
    <row r="382" ht="12.75" customHeight="1" x14ac:dyDescent="0.15"/>
    <row r="383" ht="12.75" customHeight="1" x14ac:dyDescent="0.15"/>
    <row r="384" ht="12.75" customHeight="1" x14ac:dyDescent="0.15"/>
    <row r="385" ht="12.75" customHeight="1" x14ac:dyDescent="0.15"/>
    <row r="386" ht="12.75" customHeight="1" x14ac:dyDescent="0.15"/>
    <row r="387" ht="12.75" customHeight="1" x14ac:dyDescent="0.15"/>
    <row r="388" ht="12.75" customHeight="1" x14ac:dyDescent="0.15"/>
    <row r="389" ht="12.75" customHeight="1" x14ac:dyDescent="0.15"/>
    <row r="390" ht="12.75" customHeight="1" x14ac:dyDescent="0.15"/>
    <row r="391" ht="12.75" customHeight="1" x14ac:dyDescent="0.15"/>
    <row r="392" ht="12.75" customHeight="1" x14ac:dyDescent="0.15"/>
    <row r="393" ht="12.75" customHeight="1" x14ac:dyDescent="0.15"/>
    <row r="394" ht="12.75" customHeight="1" x14ac:dyDescent="0.15"/>
    <row r="395" ht="12.75" customHeight="1" x14ac:dyDescent="0.15"/>
    <row r="396" ht="12.75" customHeight="1" x14ac:dyDescent="0.15"/>
    <row r="397" ht="12.75" customHeight="1" x14ac:dyDescent="0.15"/>
    <row r="398" ht="12.75" customHeight="1" x14ac:dyDescent="0.15"/>
    <row r="399" ht="12.75" customHeight="1" x14ac:dyDescent="0.15"/>
    <row r="400" ht="12.75" customHeight="1" x14ac:dyDescent="0.15"/>
    <row r="401" ht="12.75" customHeight="1" x14ac:dyDescent="0.15"/>
    <row r="402" ht="12.75" customHeight="1" x14ac:dyDescent="0.15"/>
    <row r="403" ht="12.75" customHeight="1" x14ac:dyDescent="0.15"/>
    <row r="404" ht="12.75" customHeight="1" x14ac:dyDescent="0.15"/>
    <row r="405" ht="12.75" customHeight="1" x14ac:dyDescent="0.15"/>
    <row r="406" ht="12.75" customHeight="1" x14ac:dyDescent="0.15"/>
    <row r="407" ht="12.75" customHeight="1" x14ac:dyDescent="0.15"/>
    <row r="408" ht="12.75" customHeight="1" x14ac:dyDescent="0.15"/>
    <row r="409" ht="12.75" customHeight="1" x14ac:dyDescent="0.15"/>
    <row r="410" ht="12.75" customHeight="1" x14ac:dyDescent="0.15"/>
    <row r="411" ht="12.75" customHeight="1" x14ac:dyDescent="0.15"/>
    <row r="412" ht="12.75" customHeight="1" x14ac:dyDescent="0.15"/>
    <row r="413" ht="12.75" customHeight="1" x14ac:dyDescent="0.15"/>
    <row r="414" ht="12.75" customHeight="1" x14ac:dyDescent="0.15"/>
    <row r="415" ht="12.75" customHeight="1" x14ac:dyDescent="0.15"/>
    <row r="416" ht="12.75" customHeight="1" x14ac:dyDescent="0.15"/>
    <row r="417" ht="12.75" customHeight="1" x14ac:dyDescent="0.15"/>
    <row r="418" ht="12.75" customHeight="1" x14ac:dyDescent="0.15"/>
    <row r="419" ht="12.75" customHeight="1" x14ac:dyDescent="0.15"/>
    <row r="420" ht="12.75" customHeight="1" x14ac:dyDescent="0.15"/>
    <row r="421" ht="12.75" customHeight="1" x14ac:dyDescent="0.15"/>
    <row r="422" ht="12.75" customHeight="1" x14ac:dyDescent="0.15"/>
    <row r="423" ht="12.75" customHeight="1" x14ac:dyDescent="0.15"/>
    <row r="424" ht="12.75" customHeight="1" x14ac:dyDescent="0.15"/>
    <row r="425" ht="12.75" customHeight="1" x14ac:dyDescent="0.15"/>
    <row r="426" ht="12.75" customHeight="1" x14ac:dyDescent="0.15"/>
    <row r="427" ht="12.75" customHeight="1" x14ac:dyDescent="0.15"/>
    <row r="428" ht="12.75" customHeight="1" x14ac:dyDescent="0.15"/>
    <row r="429" ht="12.75" customHeight="1" x14ac:dyDescent="0.15"/>
    <row r="430" ht="12.75" customHeight="1" x14ac:dyDescent="0.15"/>
    <row r="431" ht="12.75" customHeight="1" x14ac:dyDescent="0.15"/>
    <row r="432" ht="12.75" customHeight="1" x14ac:dyDescent="0.15"/>
    <row r="433" ht="12.75" customHeight="1" x14ac:dyDescent="0.15"/>
    <row r="434" ht="12.75" customHeight="1" x14ac:dyDescent="0.15"/>
    <row r="435" ht="12.75" customHeight="1" x14ac:dyDescent="0.15"/>
    <row r="436" ht="12.75" customHeight="1" x14ac:dyDescent="0.15"/>
    <row r="437" ht="12.75" customHeight="1" x14ac:dyDescent="0.15"/>
    <row r="438" ht="12.75" customHeight="1" x14ac:dyDescent="0.15"/>
    <row r="439" ht="12.75" customHeight="1" x14ac:dyDescent="0.15"/>
    <row r="440" ht="12.75" customHeight="1" x14ac:dyDescent="0.15"/>
    <row r="441" ht="12.75" customHeight="1" x14ac:dyDescent="0.15"/>
    <row r="442" ht="12.75" customHeight="1" x14ac:dyDescent="0.15"/>
    <row r="443" ht="12.75" customHeight="1" x14ac:dyDescent="0.15"/>
    <row r="444" ht="12.75" customHeight="1" x14ac:dyDescent="0.15"/>
    <row r="445" ht="12.75" customHeight="1" x14ac:dyDescent="0.15"/>
    <row r="446" ht="12.75" customHeight="1" x14ac:dyDescent="0.15"/>
    <row r="447" ht="12.75" customHeight="1" x14ac:dyDescent="0.15"/>
    <row r="448" ht="12.75" customHeight="1" x14ac:dyDescent="0.15"/>
    <row r="449" ht="12.75" customHeight="1" x14ac:dyDescent="0.15"/>
    <row r="450" ht="12.75" customHeight="1" x14ac:dyDescent="0.15"/>
    <row r="451" ht="12.75" customHeight="1" x14ac:dyDescent="0.15"/>
    <row r="452" ht="12.75" customHeight="1" x14ac:dyDescent="0.15"/>
    <row r="453" ht="12.75" customHeight="1" x14ac:dyDescent="0.15"/>
    <row r="454" ht="12.75" customHeight="1" x14ac:dyDescent="0.15"/>
    <row r="455" ht="12.75" customHeight="1" x14ac:dyDescent="0.15"/>
    <row r="456" ht="12.75" customHeight="1" x14ac:dyDescent="0.15"/>
    <row r="457" ht="12.75" customHeight="1" x14ac:dyDescent="0.15"/>
    <row r="458" ht="12.75" customHeight="1" x14ac:dyDescent="0.15"/>
    <row r="459" ht="12.75" customHeight="1" x14ac:dyDescent="0.15"/>
    <row r="460" ht="12.75" customHeight="1" x14ac:dyDescent="0.15"/>
    <row r="461" ht="12.75" customHeight="1" x14ac:dyDescent="0.15"/>
    <row r="462" ht="12.75" customHeight="1" x14ac:dyDescent="0.15"/>
    <row r="463" ht="12.75" customHeight="1" x14ac:dyDescent="0.15"/>
    <row r="464" ht="12.75" customHeight="1" x14ac:dyDescent="0.15"/>
    <row r="465" ht="12.75" customHeight="1" x14ac:dyDescent="0.15"/>
    <row r="466" ht="12.75" customHeight="1" x14ac:dyDescent="0.15"/>
    <row r="467" ht="12.75" customHeight="1" x14ac:dyDescent="0.15"/>
    <row r="468" ht="12.75" customHeight="1" x14ac:dyDescent="0.15"/>
    <row r="469" ht="12.75" customHeight="1" x14ac:dyDescent="0.15"/>
    <row r="470" ht="12.75" customHeight="1" x14ac:dyDescent="0.15"/>
    <row r="471" ht="12.75" customHeight="1" x14ac:dyDescent="0.15"/>
    <row r="472" ht="12.75" customHeight="1" x14ac:dyDescent="0.15"/>
    <row r="473" ht="12.75" customHeight="1" x14ac:dyDescent="0.15"/>
    <row r="474" ht="12.75" customHeight="1" x14ac:dyDescent="0.15"/>
    <row r="475" ht="12.75" customHeight="1" x14ac:dyDescent="0.15"/>
    <row r="476" ht="12.75" customHeight="1" x14ac:dyDescent="0.15"/>
    <row r="477" ht="12.75" customHeight="1" x14ac:dyDescent="0.15"/>
    <row r="478" ht="12.75" customHeight="1" x14ac:dyDescent="0.15"/>
    <row r="479" ht="12.75" customHeight="1" x14ac:dyDescent="0.15"/>
    <row r="480" ht="12.75" customHeight="1" x14ac:dyDescent="0.15"/>
    <row r="481" ht="12.75" customHeight="1" x14ac:dyDescent="0.15"/>
    <row r="482" ht="12.75" customHeight="1" x14ac:dyDescent="0.15"/>
    <row r="483" ht="12.75" customHeight="1" x14ac:dyDescent="0.15"/>
    <row r="484" ht="12.75" customHeight="1" x14ac:dyDescent="0.15"/>
    <row r="485" ht="12.75" customHeight="1" x14ac:dyDescent="0.15"/>
    <row r="486" ht="12.75" customHeight="1" x14ac:dyDescent="0.15"/>
    <row r="487" ht="12.75" customHeight="1" x14ac:dyDescent="0.15"/>
    <row r="488" ht="12.75" customHeight="1" x14ac:dyDescent="0.15"/>
    <row r="489" ht="12.75" customHeight="1" x14ac:dyDescent="0.15"/>
    <row r="490" ht="12.75" customHeight="1" x14ac:dyDescent="0.15"/>
    <row r="491" ht="12.75" customHeight="1" x14ac:dyDescent="0.15"/>
    <row r="492" ht="12.75" customHeight="1" x14ac:dyDescent="0.15"/>
    <row r="493" ht="12.75" customHeight="1" x14ac:dyDescent="0.15"/>
    <row r="494" ht="12.75" customHeight="1" x14ac:dyDescent="0.15"/>
    <row r="495" ht="12.75" customHeight="1" x14ac:dyDescent="0.15"/>
    <row r="496" ht="12.75" customHeight="1" x14ac:dyDescent="0.15"/>
    <row r="497" ht="12.75" customHeight="1" x14ac:dyDescent="0.15"/>
    <row r="498" ht="12.75" customHeight="1" x14ac:dyDescent="0.15"/>
    <row r="499" ht="12.75" customHeight="1" x14ac:dyDescent="0.15"/>
    <row r="500" ht="12.75" customHeight="1" x14ac:dyDescent="0.15"/>
    <row r="501" ht="12.75" customHeight="1" x14ac:dyDescent="0.15"/>
    <row r="502" ht="12.75" customHeight="1" x14ac:dyDescent="0.15"/>
    <row r="503" ht="12.75" customHeight="1" x14ac:dyDescent="0.15"/>
    <row r="504" ht="12.75" customHeight="1" x14ac:dyDescent="0.15"/>
    <row r="505" ht="12.75" customHeight="1" x14ac:dyDescent="0.15"/>
    <row r="506" ht="12.75" customHeight="1" x14ac:dyDescent="0.15"/>
    <row r="507" ht="12.75" customHeight="1" x14ac:dyDescent="0.15"/>
    <row r="508" ht="12.75" customHeight="1" x14ac:dyDescent="0.15"/>
    <row r="509" ht="12.75" customHeight="1" x14ac:dyDescent="0.15"/>
    <row r="510" ht="12.75" customHeight="1" x14ac:dyDescent="0.15"/>
    <row r="511" ht="12.75" customHeight="1" x14ac:dyDescent="0.15"/>
    <row r="512" ht="12.75" customHeight="1" x14ac:dyDescent="0.15"/>
    <row r="513" ht="12.75" customHeight="1" x14ac:dyDescent="0.15"/>
    <row r="514" ht="12.75" customHeight="1" x14ac:dyDescent="0.15"/>
    <row r="515" ht="12.75" customHeight="1" x14ac:dyDescent="0.15"/>
    <row r="516" ht="12.75" customHeight="1" x14ac:dyDescent="0.15"/>
    <row r="517" ht="12.75" customHeight="1" x14ac:dyDescent="0.15"/>
    <row r="518" ht="12.75" customHeight="1" x14ac:dyDescent="0.15"/>
    <row r="519" ht="12.75" customHeight="1" x14ac:dyDescent="0.15"/>
    <row r="520" ht="12.75" customHeight="1" x14ac:dyDescent="0.15"/>
    <row r="521" ht="12.75" customHeight="1" x14ac:dyDescent="0.15"/>
    <row r="522" ht="12.75" customHeight="1" x14ac:dyDescent="0.15"/>
    <row r="523" ht="12.75" customHeight="1" x14ac:dyDescent="0.15"/>
    <row r="524" ht="12.75" customHeight="1" x14ac:dyDescent="0.15"/>
    <row r="525" ht="12.75" customHeight="1" x14ac:dyDescent="0.15"/>
    <row r="526" ht="12.75" customHeight="1" x14ac:dyDescent="0.15"/>
    <row r="527" ht="12.75" customHeight="1" x14ac:dyDescent="0.15"/>
    <row r="528" ht="12.75" customHeight="1" x14ac:dyDescent="0.15"/>
    <row r="529" ht="12.75" customHeight="1" x14ac:dyDescent="0.15"/>
    <row r="530" ht="12.75" customHeight="1" x14ac:dyDescent="0.15"/>
    <row r="531" ht="12.75" customHeight="1" x14ac:dyDescent="0.15"/>
    <row r="532" ht="12.75" customHeight="1" x14ac:dyDescent="0.15"/>
    <row r="533" ht="12.75" customHeight="1" x14ac:dyDescent="0.15"/>
    <row r="534" ht="12.75" customHeight="1" x14ac:dyDescent="0.15"/>
    <row r="535" ht="12.75" customHeight="1" x14ac:dyDescent="0.15"/>
    <row r="536" ht="12.75" customHeight="1" x14ac:dyDescent="0.15"/>
    <row r="537" ht="12.75" customHeight="1" x14ac:dyDescent="0.15"/>
    <row r="538" ht="12.75" customHeight="1" x14ac:dyDescent="0.15"/>
    <row r="539" ht="12.75" customHeight="1" x14ac:dyDescent="0.15"/>
    <row r="540" ht="12.75" customHeight="1" x14ac:dyDescent="0.15"/>
    <row r="541" ht="12.75" customHeight="1" x14ac:dyDescent="0.15"/>
    <row r="542" ht="12.75" customHeight="1" x14ac:dyDescent="0.15"/>
    <row r="543" ht="12.75" customHeight="1" x14ac:dyDescent="0.15"/>
    <row r="544" ht="12.75" customHeight="1" x14ac:dyDescent="0.15"/>
    <row r="545" ht="12.75" customHeight="1" x14ac:dyDescent="0.15"/>
    <row r="546" ht="12.75" customHeight="1" x14ac:dyDescent="0.15"/>
    <row r="547" ht="12.75" customHeight="1" x14ac:dyDescent="0.15"/>
    <row r="548" ht="12.75" customHeight="1" x14ac:dyDescent="0.15"/>
    <row r="549" ht="12.75" customHeight="1" x14ac:dyDescent="0.15"/>
    <row r="550" ht="12.75" customHeight="1" x14ac:dyDescent="0.15"/>
    <row r="551" ht="12.75" customHeight="1" x14ac:dyDescent="0.15"/>
    <row r="552" ht="12.75" customHeight="1" x14ac:dyDescent="0.15"/>
    <row r="553" ht="12.75" customHeight="1" x14ac:dyDescent="0.15"/>
    <row r="554" ht="12.75" customHeight="1" x14ac:dyDescent="0.15"/>
    <row r="555" ht="12.75" customHeight="1" x14ac:dyDescent="0.15"/>
    <row r="556" ht="12.75" customHeight="1" x14ac:dyDescent="0.15"/>
    <row r="557" ht="12.75" customHeight="1" x14ac:dyDescent="0.15"/>
    <row r="558" ht="12.75" customHeight="1" x14ac:dyDescent="0.15"/>
    <row r="559" ht="12.75" customHeight="1" x14ac:dyDescent="0.15"/>
    <row r="560" ht="12.75" customHeight="1" x14ac:dyDescent="0.15"/>
    <row r="561" ht="12.75" customHeight="1" x14ac:dyDescent="0.15"/>
    <row r="562" ht="12.75" customHeight="1" x14ac:dyDescent="0.15"/>
    <row r="563" ht="12.75" customHeight="1" x14ac:dyDescent="0.15"/>
    <row r="564" ht="12.75" customHeight="1" x14ac:dyDescent="0.15"/>
    <row r="565" ht="12.75" customHeight="1" x14ac:dyDescent="0.15"/>
    <row r="566" ht="12.75" customHeight="1" x14ac:dyDescent="0.15"/>
    <row r="567" ht="12.75" customHeight="1" x14ac:dyDescent="0.15"/>
    <row r="568" ht="12.75" customHeight="1" x14ac:dyDescent="0.15"/>
    <row r="569" ht="12.75" customHeight="1" x14ac:dyDescent="0.15"/>
    <row r="570" ht="12.75" customHeight="1" x14ac:dyDescent="0.15"/>
    <row r="571" ht="12.75" customHeight="1" x14ac:dyDescent="0.15"/>
    <row r="572" ht="12.75" customHeight="1" x14ac:dyDescent="0.15"/>
    <row r="573" ht="12.75" customHeight="1" x14ac:dyDescent="0.15"/>
    <row r="574" ht="12.75" customHeight="1" x14ac:dyDescent="0.15"/>
    <row r="575" ht="12.75" customHeight="1" x14ac:dyDescent="0.15"/>
    <row r="576" ht="12.75" customHeight="1" x14ac:dyDescent="0.15"/>
    <row r="577" ht="12.75" customHeight="1" x14ac:dyDescent="0.15"/>
    <row r="578" ht="12.75" customHeight="1" x14ac:dyDescent="0.15"/>
    <row r="579" ht="12.75" customHeight="1" x14ac:dyDescent="0.15"/>
    <row r="580" ht="12.75" customHeight="1" x14ac:dyDescent="0.15"/>
    <row r="581" ht="12.75" customHeight="1" x14ac:dyDescent="0.15"/>
    <row r="582" ht="12.75" customHeight="1" x14ac:dyDescent="0.15"/>
    <row r="583" ht="12.75" customHeight="1" x14ac:dyDescent="0.15"/>
    <row r="584" ht="12.75" customHeight="1" x14ac:dyDescent="0.15"/>
    <row r="585" ht="12.75" customHeight="1" x14ac:dyDescent="0.15"/>
    <row r="586" ht="12.75" customHeight="1" x14ac:dyDescent="0.15"/>
    <row r="587" ht="12.75" customHeight="1" x14ac:dyDescent="0.15"/>
    <row r="588" ht="12.75" customHeight="1" x14ac:dyDescent="0.15"/>
    <row r="589" ht="12.75" customHeight="1" x14ac:dyDescent="0.15"/>
    <row r="590" ht="12.75" customHeight="1" x14ac:dyDescent="0.15"/>
    <row r="591" ht="12.75" customHeight="1" x14ac:dyDescent="0.15"/>
    <row r="592" ht="12.75" customHeight="1" x14ac:dyDescent="0.15"/>
    <row r="593" ht="12.75" customHeight="1" x14ac:dyDescent="0.15"/>
    <row r="594" ht="12.75" customHeight="1" x14ac:dyDescent="0.15"/>
    <row r="595" ht="12.75" customHeight="1" x14ac:dyDescent="0.15"/>
    <row r="596" ht="12.75" customHeight="1" x14ac:dyDescent="0.15"/>
    <row r="597" ht="12.75" customHeight="1" x14ac:dyDescent="0.15"/>
    <row r="598" ht="12.75" customHeight="1" x14ac:dyDescent="0.15"/>
    <row r="599" ht="12.75" customHeight="1" x14ac:dyDescent="0.15"/>
    <row r="600" ht="12.75" customHeight="1" x14ac:dyDescent="0.15"/>
    <row r="601" ht="12.75" customHeight="1" x14ac:dyDescent="0.15"/>
    <row r="602" ht="12.75" customHeight="1" x14ac:dyDescent="0.15"/>
    <row r="603" ht="12.75" customHeight="1" x14ac:dyDescent="0.15"/>
    <row r="604" ht="12.75" customHeight="1" x14ac:dyDescent="0.15"/>
    <row r="605" ht="12.75" customHeight="1" x14ac:dyDescent="0.15"/>
    <row r="606" ht="12.75" customHeight="1" x14ac:dyDescent="0.15"/>
    <row r="607" ht="12.75" customHeight="1" x14ac:dyDescent="0.15"/>
    <row r="608" ht="12.75" customHeight="1" x14ac:dyDescent="0.15"/>
    <row r="609" ht="12.75" customHeight="1" x14ac:dyDescent="0.15"/>
    <row r="610" ht="12.75" customHeight="1" x14ac:dyDescent="0.15"/>
    <row r="611" ht="12.75" customHeight="1" x14ac:dyDescent="0.15"/>
    <row r="612" ht="12.75" customHeight="1" x14ac:dyDescent="0.15"/>
    <row r="613" ht="12.75" customHeight="1" x14ac:dyDescent="0.15"/>
    <row r="614" ht="12.75" customHeight="1" x14ac:dyDescent="0.15"/>
    <row r="615" ht="12.75" customHeight="1" x14ac:dyDescent="0.15"/>
    <row r="616" ht="12.75" customHeight="1" x14ac:dyDescent="0.15"/>
    <row r="617" ht="12.75" customHeight="1" x14ac:dyDescent="0.15"/>
    <row r="618" ht="12.75" customHeight="1" x14ac:dyDescent="0.15"/>
    <row r="619" ht="12.75" customHeight="1" x14ac:dyDescent="0.15"/>
    <row r="620" ht="12.75" customHeight="1" x14ac:dyDescent="0.15"/>
    <row r="621" ht="12.75" customHeight="1" x14ac:dyDescent="0.15"/>
    <row r="622" ht="12.75" customHeight="1" x14ac:dyDescent="0.15"/>
    <row r="623" ht="12.75" customHeight="1" x14ac:dyDescent="0.15"/>
    <row r="624" ht="12.75" customHeight="1" x14ac:dyDescent="0.15"/>
    <row r="625" ht="12.75" customHeight="1" x14ac:dyDescent="0.15"/>
    <row r="626" ht="12.75" customHeight="1" x14ac:dyDescent="0.15"/>
    <row r="627" ht="12.75" customHeight="1" x14ac:dyDescent="0.15"/>
    <row r="628" ht="12.75" customHeight="1" x14ac:dyDescent="0.15"/>
    <row r="629" ht="12.75" customHeight="1" x14ac:dyDescent="0.15"/>
    <row r="630" ht="12.75" customHeight="1" x14ac:dyDescent="0.15"/>
    <row r="631" ht="12.75" customHeight="1" x14ac:dyDescent="0.15"/>
    <row r="632" ht="12.75" customHeight="1" x14ac:dyDescent="0.15"/>
    <row r="633" ht="12.75" customHeight="1" x14ac:dyDescent="0.15"/>
    <row r="634" ht="12.75" customHeight="1" x14ac:dyDescent="0.15"/>
    <row r="635" ht="12.75" customHeight="1" x14ac:dyDescent="0.15"/>
    <row r="636" ht="12.75" customHeight="1" x14ac:dyDescent="0.15"/>
    <row r="637" ht="12.75" customHeight="1" x14ac:dyDescent="0.15"/>
    <row r="638" ht="12.75" customHeight="1" x14ac:dyDescent="0.15"/>
    <row r="639" ht="12.75" customHeight="1" x14ac:dyDescent="0.15"/>
    <row r="640" ht="12.75" customHeight="1" x14ac:dyDescent="0.15"/>
    <row r="641" ht="12.75" customHeight="1" x14ac:dyDescent="0.15"/>
    <row r="642" ht="12.75" customHeight="1" x14ac:dyDescent="0.15"/>
    <row r="643" ht="12.75" customHeight="1" x14ac:dyDescent="0.15"/>
    <row r="644" ht="12.75" customHeight="1" x14ac:dyDescent="0.15"/>
    <row r="645" ht="12.75" customHeight="1" x14ac:dyDescent="0.15"/>
    <row r="646" ht="12.75" customHeight="1" x14ac:dyDescent="0.15"/>
    <row r="647" ht="12.75" customHeight="1" x14ac:dyDescent="0.15"/>
    <row r="648" ht="12.75" customHeight="1" x14ac:dyDescent="0.15"/>
    <row r="649" ht="12.75" customHeight="1" x14ac:dyDescent="0.15"/>
    <row r="650" ht="12.75" customHeight="1" x14ac:dyDescent="0.15"/>
    <row r="651" ht="12.75" customHeight="1" x14ac:dyDescent="0.15"/>
    <row r="652" ht="12.75" customHeight="1" x14ac:dyDescent="0.15"/>
    <row r="653" ht="12.75" customHeight="1" x14ac:dyDescent="0.15"/>
    <row r="654" ht="12.75" customHeight="1" x14ac:dyDescent="0.15"/>
    <row r="655" ht="12.75" customHeight="1" x14ac:dyDescent="0.15"/>
    <row r="656" ht="12.75" customHeight="1" x14ac:dyDescent="0.15"/>
    <row r="657" ht="12.75" customHeight="1" x14ac:dyDescent="0.15"/>
    <row r="658" ht="12.75" customHeight="1" x14ac:dyDescent="0.15"/>
    <row r="659" ht="12.75" customHeight="1" x14ac:dyDescent="0.15"/>
    <row r="660" ht="12.75" customHeight="1" x14ac:dyDescent="0.15"/>
    <row r="661" ht="12.75" customHeight="1" x14ac:dyDescent="0.15"/>
    <row r="662" ht="12.75" customHeight="1" x14ac:dyDescent="0.15"/>
    <row r="663" ht="12.75" customHeight="1" x14ac:dyDescent="0.15"/>
    <row r="664" ht="12.75" customHeight="1" x14ac:dyDescent="0.15"/>
    <row r="665" ht="12.75" customHeight="1" x14ac:dyDescent="0.15"/>
    <row r="666" ht="12.75" customHeight="1" x14ac:dyDescent="0.15"/>
    <row r="667" ht="12.75" customHeight="1" x14ac:dyDescent="0.15"/>
    <row r="668" ht="12.75" customHeight="1" x14ac:dyDescent="0.15"/>
    <row r="669" ht="12.75" customHeight="1" x14ac:dyDescent="0.15"/>
    <row r="670" ht="12.75" customHeight="1" x14ac:dyDescent="0.15"/>
    <row r="671" ht="12.75" customHeight="1" x14ac:dyDescent="0.15"/>
    <row r="672" ht="12.75" customHeight="1" x14ac:dyDescent="0.15"/>
    <row r="673" ht="12.75" customHeight="1" x14ac:dyDescent="0.15"/>
    <row r="674" ht="12.75" customHeight="1" x14ac:dyDescent="0.15"/>
    <row r="675" ht="12.75" customHeight="1" x14ac:dyDescent="0.15"/>
    <row r="676" ht="12.75" customHeight="1" x14ac:dyDescent="0.15"/>
    <row r="677" ht="12.75" customHeight="1" x14ac:dyDescent="0.15"/>
    <row r="678" ht="12.75" customHeight="1" x14ac:dyDescent="0.15"/>
    <row r="679" ht="12.75" customHeight="1" x14ac:dyDescent="0.15"/>
    <row r="680" ht="12.75" customHeight="1" x14ac:dyDescent="0.15"/>
    <row r="681" ht="12.75" customHeight="1" x14ac:dyDescent="0.15"/>
    <row r="682" ht="12.75" customHeight="1" x14ac:dyDescent="0.15"/>
    <row r="683" ht="12.75" customHeight="1" x14ac:dyDescent="0.15"/>
    <row r="684" ht="12.75" customHeight="1" x14ac:dyDescent="0.15"/>
    <row r="685" ht="12.75" customHeight="1" x14ac:dyDescent="0.15"/>
    <row r="686" ht="12.75" customHeight="1" x14ac:dyDescent="0.15"/>
    <row r="687" ht="12.75" customHeight="1" x14ac:dyDescent="0.15"/>
    <row r="688" ht="12.75" customHeight="1" x14ac:dyDescent="0.15"/>
    <row r="689" ht="12.75" customHeight="1" x14ac:dyDescent="0.15"/>
    <row r="690" ht="12.75" customHeight="1" x14ac:dyDescent="0.15"/>
    <row r="691" ht="12.75" customHeight="1" x14ac:dyDescent="0.15"/>
    <row r="692" ht="12.75" customHeight="1" x14ac:dyDescent="0.15"/>
    <row r="693" ht="12.75" customHeight="1" x14ac:dyDescent="0.15"/>
    <row r="694" ht="12.75" customHeight="1" x14ac:dyDescent="0.15"/>
    <row r="695" ht="12.75" customHeight="1" x14ac:dyDescent="0.15"/>
    <row r="696" ht="12.75" customHeight="1" x14ac:dyDescent="0.15"/>
    <row r="697" ht="12.75" customHeight="1" x14ac:dyDescent="0.15"/>
    <row r="698" ht="12.75" customHeight="1" x14ac:dyDescent="0.15"/>
    <row r="699" ht="12.75" customHeight="1" x14ac:dyDescent="0.15"/>
    <row r="700" ht="12.75" customHeight="1" x14ac:dyDescent="0.15"/>
    <row r="701" ht="12.75" customHeight="1" x14ac:dyDescent="0.15"/>
    <row r="702" ht="12.75" customHeight="1" x14ac:dyDescent="0.15"/>
    <row r="703" ht="12.75" customHeight="1" x14ac:dyDescent="0.15"/>
    <row r="704" ht="12.75" customHeight="1" x14ac:dyDescent="0.15"/>
    <row r="705" ht="12.75" customHeight="1" x14ac:dyDescent="0.15"/>
    <row r="706" ht="12.75" customHeight="1" x14ac:dyDescent="0.15"/>
    <row r="707" ht="12.75" customHeight="1" x14ac:dyDescent="0.15"/>
    <row r="708" ht="12.75" customHeight="1" x14ac:dyDescent="0.15"/>
    <row r="709" ht="12.75" customHeight="1" x14ac:dyDescent="0.15"/>
    <row r="710" ht="12.75" customHeight="1" x14ac:dyDescent="0.15"/>
    <row r="711" ht="12.75" customHeight="1" x14ac:dyDescent="0.15"/>
    <row r="712" ht="12.75" customHeight="1" x14ac:dyDescent="0.15"/>
    <row r="713" ht="12.75" customHeight="1" x14ac:dyDescent="0.15"/>
    <row r="714" ht="12.75" customHeight="1" x14ac:dyDescent="0.15"/>
    <row r="715" ht="12.75" customHeight="1" x14ac:dyDescent="0.15"/>
    <row r="716" ht="12.75" customHeight="1" x14ac:dyDescent="0.15"/>
    <row r="717" ht="12.75" customHeight="1" x14ac:dyDescent="0.15"/>
    <row r="718" ht="12.75" customHeight="1" x14ac:dyDescent="0.15"/>
    <row r="719" ht="12.75" customHeight="1" x14ac:dyDescent="0.15"/>
    <row r="720" ht="12.75" customHeight="1" x14ac:dyDescent="0.15"/>
    <row r="721" ht="12.75" customHeight="1" x14ac:dyDescent="0.15"/>
    <row r="722" ht="12.75" customHeight="1" x14ac:dyDescent="0.15"/>
    <row r="723" ht="12.75" customHeight="1" x14ac:dyDescent="0.15"/>
    <row r="724" ht="12.75" customHeight="1" x14ac:dyDescent="0.15"/>
    <row r="725" ht="12.75" customHeight="1" x14ac:dyDescent="0.15"/>
    <row r="726" ht="12.75" customHeight="1" x14ac:dyDescent="0.15"/>
    <row r="727" ht="12.75" customHeight="1" x14ac:dyDescent="0.15"/>
    <row r="728" ht="12.75" customHeight="1" x14ac:dyDescent="0.15"/>
    <row r="729" ht="12.75" customHeight="1" x14ac:dyDescent="0.15"/>
    <row r="730" ht="12.75" customHeight="1" x14ac:dyDescent="0.15"/>
    <row r="731" ht="12.75" customHeight="1" x14ac:dyDescent="0.15"/>
    <row r="732" ht="12.75" customHeight="1" x14ac:dyDescent="0.15"/>
    <row r="733" ht="12.75" customHeight="1" x14ac:dyDescent="0.15"/>
    <row r="734" ht="12.75" customHeight="1" x14ac:dyDescent="0.15"/>
    <row r="735" ht="12.75" customHeight="1" x14ac:dyDescent="0.15"/>
    <row r="736" ht="12.75" customHeight="1" x14ac:dyDescent="0.15"/>
    <row r="737" ht="12.75" customHeight="1" x14ac:dyDescent="0.15"/>
    <row r="738" ht="12.75" customHeight="1" x14ac:dyDescent="0.15"/>
    <row r="739" ht="12.75" customHeight="1" x14ac:dyDescent="0.15"/>
    <row r="740" ht="12.75" customHeight="1" x14ac:dyDescent="0.15"/>
    <row r="741" ht="12.75" customHeight="1" x14ac:dyDescent="0.15"/>
    <row r="742" ht="12.75" customHeight="1" x14ac:dyDescent="0.15"/>
    <row r="743" ht="12.75" customHeight="1" x14ac:dyDescent="0.15"/>
    <row r="744" ht="12.75" customHeight="1" x14ac:dyDescent="0.15"/>
    <row r="745" ht="12.75" customHeight="1" x14ac:dyDescent="0.15"/>
    <row r="746" ht="12.75" customHeight="1" x14ac:dyDescent="0.15"/>
    <row r="747" ht="12.75" customHeight="1" x14ac:dyDescent="0.15"/>
    <row r="748" ht="12.75" customHeight="1" x14ac:dyDescent="0.15"/>
    <row r="749" ht="12.75" customHeight="1" x14ac:dyDescent="0.15"/>
    <row r="750" ht="12.75" customHeight="1" x14ac:dyDescent="0.15"/>
    <row r="751" ht="12.75" customHeight="1" x14ac:dyDescent="0.15"/>
    <row r="752" ht="12.75" customHeight="1" x14ac:dyDescent="0.15"/>
    <row r="753" ht="12.75" customHeight="1" x14ac:dyDescent="0.15"/>
    <row r="754" ht="12.75" customHeight="1" x14ac:dyDescent="0.15"/>
    <row r="755" ht="12.75" customHeight="1" x14ac:dyDescent="0.15"/>
    <row r="756" ht="12.75" customHeight="1" x14ac:dyDescent="0.15"/>
    <row r="757" ht="12.75" customHeight="1" x14ac:dyDescent="0.15"/>
    <row r="758" ht="12.75" customHeight="1" x14ac:dyDescent="0.15"/>
    <row r="759" ht="12.75" customHeight="1" x14ac:dyDescent="0.15"/>
    <row r="760" ht="12.75" customHeight="1" x14ac:dyDescent="0.15"/>
    <row r="761" ht="12.75" customHeight="1" x14ac:dyDescent="0.15"/>
    <row r="762" ht="12.75" customHeight="1" x14ac:dyDescent="0.15"/>
    <row r="763" ht="12.75" customHeight="1" x14ac:dyDescent="0.15"/>
    <row r="764" ht="12.75" customHeight="1" x14ac:dyDescent="0.15"/>
    <row r="765" ht="12.75" customHeight="1" x14ac:dyDescent="0.15"/>
    <row r="766" ht="12.75" customHeight="1" x14ac:dyDescent="0.15"/>
    <row r="767" ht="12.75" customHeight="1" x14ac:dyDescent="0.15"/>
    <row r="768" ht="12.75" customHeight="1" x14ac:dyDescent="0.15"/>
    <row r="769" ht="12.75" customHeight="1" x14ac:dyDescent="0.15"/>
    <row r="770" ht="12.75" customHeight="1" x14ac:dyDescent="0.15"/>
    <row r="771" ht="12.75" customHeight="1" x14ac:dyDescent="0.15"/>
    <row r="772" ht="12.75" customHeight="1" x14ac:dyDescent="0.15"/>
    <row r="773" ht="12.75" customHeight="1" x14ac:dyDescent="0.15"/>
    <row r="774" ht="12.75" customHeight="1" x14ac:dyDescent="0.15"/>
    <row r="775" ht="12.75" customHeight="1" x14ac:dyDescent="0.15"/>
    <row r="776" ht="12.75" customHeight="1" x14ac:dyDescent="0.15"/>
    <row r="777" ht="12.75" customHeight="1" x14ac:dyDescent="0.15"/>
    <row r="778" ht="12.75" customHeight="1" x14ac:dyDescent="0.15"/>
    <row r="779" ht="12.75" customHeight="1" x14ac:dyDescent="0.15"/>
    <row r="780" ht="12.75" customHeight="1" x14ac:dyDescent="0.15"/>
    <row r="781" ht="12.75" customHeight="1" x14ac:dyDescent="0.15"/>
    <row r="782" ht="12.75" customHeight="1" x14ac:dyDescent="0.15"/>
    <row r="783" ht="12.75" customHeight="1" x14ac:dyDescent="0.15"/>
    <row r="784" ht="12.75" customHeight="1" x14ac:dyDescent="0.15"/>
    <row r="785" ht="12.75" customHeight="1" x14ac:dyDescent="0.15"/>
    <row r="786" ht="12.75" customHeight="1" x14ac:dyDescent="0.15"/>
    <row r="787" ht="12.75" customHeight="1" x14ac:dyDescent="0.15"/>
    <row r="788" ht="12.75" customHeight="1" x14ac:dyDescent="0.15"/>
    <row r="789" ht="12.75" customHeight="1" x14ac:dyDescent="0.15"/>
    <row r="790" ht="12.75" customHeight="1" x14ac:dyDescent="0.15"/>
    <row r="791" ht="12.75" customHeight="1" x14ac:dyDescent="0.15"/>
    <row r="792" ht="12.75" customHeight="1" x14ac:dyDescent="0.15"/>
    <row r="793" ht="12.75" customHeight="1" x14ac:dyDescent="0.15"/>
    <row r="794" ht="12.75" customHeight="1" x14ac:dyDescent="0.15"/>
    <row r="795" ht="12.75" customHeight="1" x14ac:dyDescent="0.15"/>
    <row r="796" ht="12.75" customHeight="1" x14ac:dyDescent="0.15"/>
    <row r="797" ht="12.75" customHeight="1" x14ac:dyDescent="0.15"/>
    <row r="798" ht="12.75" customHeight="1" x14ac:dyDescent="0.15"/>
    <row r="799" ht="12.75" customHeight="1" x14ac:dyDescent="0.15"/>
    <row r="800" ht="12.75" customHeight="1" x14ac:dyDescent="0.15"/>
    <row r="801" ht="12.75" customHeight="1" x14ac:dyDescent="0.15"/>
    <row r="802" ht="12.75" customHeight="1" x14ac:dyDescent="0.15"/>
    <row r="803" ht="12.75" customHeight="1" x14ac:dyDescent="0.15"/>
    <row r="804" ht="12.75" customHeight="1" x14ac:dyDescent="0.15"/>
    <row r="805" ht="12.75" customHeight="1" x14ac:dyDescent="0.15"/>
    <row r="806" ht="12.75" customHeight="1" x14ac:dyDescent="0.15"/>
    <row r="807" ht="12.75" customHeight="1" x14ac:dyDescent="0.15"/>
    <row r="808" ht="12.75" customHeight="1" x14ac:dyDescent="0.15"/>
    <row r="809" ht="12.75" customHeight="1" x14ac:dyDescent="0.15"/>
    <row r="810" ht="12.75" customHeight="1" x14ac:dyDescent="0.15"/>
    <row r="811" ht="12.75" customHeight="1" x14ac:dyDescent="0.15"/>
    <row r="812" ht="12.75" customHeight="1" x14ac:dyDescent="0.15"/>
    <row r="813" ht="12.75" customHeight="1" x14ac:dyDescent="0.15"/>
    <row r="814" ht="12.75" customHeight="1" x14ac:dyDescent="0.15"/>
    <row r="815" ht="12.75" customHeight="1" x14ac:dyDescent="0.15"/>
    <row r="816" ht="12.75" customHeight="1" x14ac:dyDescent="0.15"/>
    <row r="817" ht="12.75" customHeight="1" x14ac:dyDescent="0.15"/>
    <row r="818" ht="12.75" customHeight="1" x14ac:dyDescent="0.15"/>
    <row r="819" ht="12.75" customHeight="1" x14ac:dyDescent="0.15"/>
    <row r="820" ht="12.75" customHeight="1" x14ac:dyDescent="0.15"/>
    <row r="821" ht="12.75" customHeight="1" x14ac:dyDescent="0.15"/>
    <row r="822" ht="12.75" customHeight="1" x14ac:dyDescent="0.15"/>
    <row r="823" ht="12.75" customHeight="1" x14ac:dyDescent="0.15"/>
    <row r="824" ht="12.75" customHeight="1" x14ac:dyDescent="0.15"/>
    <row r="825" ht="12.75" customHeight="1" x14ac:dyDescent="0.15"/>
    <row r="826" ht="12.75" customHeight="1" x14ac:dyDescent="0.15"/>
    <row r="827" ht="12.75" customHeight="1" x14ac:dyDescent="0.15"/>
    <row r="36759" spans="246:255" x14ac:dyDescent="0.15">
      <c r="IL36759" s="6" t="e">
        <f>#REF!</f>
        <v>#REF!</v>
      </c>
      <c r="IM36759" s="6" t="e">
        <f>#REF!</f>
        <v>#REF!</v>
      </c>
      <c r="IN36759" s="6" t="e">
        <f>#REF!</f>
        <v>#REF!</v>
      </c>
      <c r="IO36759" s="6" t="e">
        <f>#REF!</f>
        <v>#REF!</v>
      </c>
      <c r="IP36759" s="6" t="e">
        <f>#REF!</f>
        <v>#REF!</v>
      </c>
      <c r="IQ36759" s="6" t="e">
        <f>#REF!</f>
        <v>#REF!</v>
      </c>
      <c r="IR36759" s="6" t="e">
        <f>#REF!</f>
        <v>#REF!</v>
      </c>
      <c r="IS36759" s="6" t="e">
        <f>#REF!</f>
        <v>#REF!</v>
      </c>
      <c r="IT36759" s="6" t="e">
        <f>#REF!</f>
        <v>#REF!</v>
      </c>
      <c r="IU36759" s="6" t="e">
        <f>#REF!</f>
        <v>#REF!</v>
      </c>
    </row>
    <row r="36823" spans="251:251" x14ac:dyDescent="0.15">
      <c r="IQ36823" s="6" t="s">
        <v>6</v>
      </c>
    </row>
  </sheetData>
  <phoneticPr fontId="0"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print="0" autoFill="0" autoPict="0" macro="[0]!Module1.openhwk">
                <anchor moveWithCells="1" sizeWithCells="1">
                  <from>
                    <xdr:col>7</xdr:col>
                    <xdr:colOff>101600</xdr:colOff>
                    <xdr:row>2</xdr:row>
                    <xdr:rowOff>63500</xdr:rowOff>
                  </from>
                  <to>
                    <xdr:col>9</xdr:col>
                    <xdr:colOff>711200</xdr:colOff>
                    <xdr:row>4</xdr:row>
                    <xdr:rowOff>177800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7C6EC-3CCD-4845-80A7-28A5918E800C}">
  <sheetPr codeName="Sheet5">
    <outlinePr summaryBelow="0" summaryRight="0"/>
  </sheetPr>
  <dimension ref="A3:M34"/>
  <sheetViews>
    <sheetView zoomScale="115" zoomScaleNormal="115" workbookViewId="0">
      <selection activeCell="C14" sqref="C14:K14"/>
    </sheetView>
  </sheetViews>
  <sheetFormatPr baseColWidth="10" defaultColWidth="14.5" defaultRowHeight="15.75" customHeight="1" x14ac:dyDescent="0.15"/>
  <cols>
    <col min="1" max="1" width="8" style="45" bestFit="1" customWidth="1"/>
    <col min="2" max="2" width="11.5" style="45" customWidth="1"/>
    <col min="3" max="4" width="14.5" style="45"/>
    <col min="5" max="5" width="12.33203125" style="45" bestFit="1" customWidth="1"/>
    <col min="6" max="7" width="14.5" style="45"/>
    <col min="8" max="8" width="40.5" style="45" customWidth="1"/>
    <col min="9" max="10" width="14.5" style="45"/>
    <col min="11" max="11" width="9.1640625" style="45" customWidth="1"/>
    <col min="12" max="16384" width="14.5" style="45"/>
  </cols>
  <sheetData>
    <row r="3" spans="1:13" ht="21.75" customHeight="1" thickBot="1" x14ac:dyDescent="0.2"/>
    <row r="4" spans="1:13" ht="63.75" customHeight="1" thickBot="1" x14ac:dyDescent="0.3">
      <c r="B4" s="104" t="s">
        <v>98</v>
      </c>
      <c r="C4" s="105"/>
      <c r="D4" s="105"/>
      <c r="E4" s="105"/>
      <c r="F4" s="105"/>
      <c r="G4" s="105"/>
      <c r="H4" s="105"/>
      <c r="I4" s="105"/>
      <c r="J4" s="105"/>
      <c r="K4" s="106"/>
      <c r="L4" s="46" t="s">
        <v>19</v>
      </c>
    </row>
    <row r="5" spans="1:13" ht="40" customHeight="1" thickBot="1" x14ac:dyDescent="0.2">
      <c r="A5" s="78" t="s">
        <v>96</v>
      </c>
      <c r="B5" s="47" t="s">
        <v>7</v>
      </c>
      <c r="C5" s="107" t="s">
        <v>91</v>
      </c>
      <c r="D5" s="108"/>
      <c r="E5" s="108"/>
      <c r="F5" s="108"/>
      <c r="G5" s="108"/>
      <c r="H5" s="108"/>
      <c r="I5" s="108"/>
      <c r="J5" s="108"/>
      <c r="K5" s="108"/>
      <c r="L5" s="109"/>
    </row>
    <row r="6" spans="1:13" ht="23.25" customHeight="1" x14ac:dyDescent="0.2">
      <c r="A6" s="78">
        <v>0.5</v>
      </c>
      <c r="B6" s="48" t="s">
        <v>27</v>
      </c>
      <c r="C6" s="97" t="str">
        <f>"What is the difference between the sales of the first quarter of "&amp;KEY!N12&amp;" and the first quarter of "&amp;KEY!O12&amp;"? Report a positive number."</f>
        <v>What is the difference between the sales of the first quarter of 2018 and the first quarter of 2019? Report a positive number.</v>
      </c>
      <c r="D6" s="98"/>
      <c r="E6" s="98"/>
      <c r="F6" s="98"/>
      <c r="G6" s="98"/>
      <c r="H6" s="98"/>
      <c r="I6" s="98"/>
      <c r="J6" s="98"/>
      <c r="K6" s="99"/>
      <c r="L6" s="49"/>
      <c r="M6" s="50"/>
    </row>
    <row r="7" spans="1:13" ht="23.25" customHeight="1" x14ac:dyDescent="0.2">
      <c r="A7" s="78">
        <v>0.5</v>
      </c>
      <c r="B7" s="51" t="s">
        <v>28</v>
      </c>
      <c r="C7" s="97" t="str">
        <f>"What is the total sales at the end of "&amp;KEY!P12&amp;"?"</f>
        <v>What is the total sales at the end of 2020?</v>
      </c>
      <c r="D7" s="98"/>
      <c r="E7" s="98"/>
      <c r="F7" s="98"/>
      <c r="G7" s="98"/>
      <c r="H7" s="98"/>
      <c r="I7" s="98"/>
      <c r="J7" s="98"/>
      <c r="K7" s="99"/>
      <c r="L7" s="49"/>
      <c r="M7" s="50"/>
    </row>
    <row r="8" spans="1:13" ht="30" customHeight="1" x14ac:dyDescent="0.2">
      <c r="A8" s="78">
        <v>1</v>
      </c>
      <c r="B8" s="51" t="s">
        <v>29</v>
      </c>
      <c r="C8" s="97" t="str">
        <f>"What percentage of the total sales at the end of 2020, occurred in the second quarter of "&amp;KEY!Q12&amp;"?"</f>
        <v>What percentage of the total sales at the end of 2020, occurred in the second quarter of 2020?</v>
      </c>
      <c r="D8" s="98"/>
      <c r="E8" s="98"/>
      <c r="F8" s="98"/>
      <c r="G8" s="98"/>
      <c r="H8" s="98"/>
      <c r="I8" s="98"/>
      <c r="J8" s="98"/>
      <c r="K8" s="99"/>
      <c r="L8" s="49"/>
      <c r="M8" s="50"/>
    </row>
    <row r="9" spans="1:13" ht="16" x14ac:dyDescent="0.15">
      <c r="A9" s="78"/>
      <c r="B9" s="52" t="s">
        <v>8</v>
      </c>
      <c r="C9" s="101" t="s">
        <v>104</v>
      </c>
      <c r="D9" s="102"/>
      <c r="E9" s="102"/>
      <c r="F9" s="102"/>
      <c r="G9" s="102"/>
      <c r="H9" s="102"/>
      <c r="I9" s="102"/>
      <c r="J9" s="102"/>
      <c r="K9" s="102"/>
      <c r="L9" s="103"/>
    </row>
    <row r="10" spans="1:13" ht="15" customHeight="1" x14ac:dyDescent="0.15">
      <c r="A10" s="78">
        <v>1</v>
      </c>
      <c r="B10" s="113" t="s">
        <v>27</v>
      </c>
      <c r="C10" s="116" t="s">
        <v>52</v>
      </c>
      <c r="D10" s="117"/>
      <c r="E10" s="117"/>
      <c r="F10" s="117"/>
      <c r="G10" s="117"/>
      <c r="H10" s="118"/>
      <c r="I10" s="125" t="str">
        <f>KEY!R12&amp;"-Q3 Linear"</f>
        <v>2018-Q3 Linear</v>
      </c>
      <c r="J10" s="126"/>
      <c r="K10" s="127"/>
      <c r="L10" s="49"/>
    </row>
    <row r="11" spans="1:13" ht="14" x14ac:dyDescent="0.15">
      <c r="A11" s="78">
        <v>1</v>
      </c>
      <c r="B11" s="114"/>
      <c r="C11" s="119"/>
      <c r="D11" s="120"/>
      <c r="E11" s="120"/>
      <c r="F11" s="120"/>
      <c r="G11" s="120"/>
      <c r="H11" s="121"/>
      <c r="I11" s="125" t="str">
        <f>KEY!S12&amp;"-Q1 3rd Degree Polynomial"</f>
        <v>2019-Q1 3rd Degree Polynomial</v>
      </c>
      <c r="J11" s="126"/>
      <c r="K11" s="127"/>
      <c r="L11" s="49"/>
    </row>
    <row r="12" spans="1:13" ht="14" x14ac:dyDescent="0.15">
      <c r="A12" s="78">
        <v>1</v>
      </c>
      <c r="B12" s="115"/>
      <c r="C12" s="122"/>
      <c r="D12" s="123"/>
      <c r="E12" s="123"/>
      <c r="F12" s="123"/>
      <c r="G12" s="123"/>
      <c r="H12" s="124"/>
      <c r="I12" s="125" t="str">
        <f>KEY!T12&amp;"-Q4 Power"</f>
        <v>2019-Q4 Power</v>
      </c>
      <c r="J12" s="126"/>
      <c r="K12" s="127"/>
      <c r="L12" s="49"/>
    </row>
    <row r="13" spans="1:13" ht="42" customHeight="1" x14ac:dyDescent="0.15">
      <c r="A13" s="78">
        <v>1.5</v>
      </c>
      <c r="B13" s="51" t="s">
        <v>28</v>
      </c>
      <c r="C13" s="97" t="str">
        <f>"Find the difference between the estimated sales according to the 3rd Degree Polynomial and Power Trendlines for the first half of "&amp;KEY!U12&amp;". Report a positive number."</f>
        <v>Find the difference between the estimated sales according to the 3rd Degree Polynomial and Power Trendlines for the first half of 2022. Report a positive number.</v>
      </c>
      <c r="D13" s="98"/>
      <c r="E13" s="98"/>
      <c r="F13" s="98"/>
      <c r="G13" s="98"/>
      <c r="H13" s="98"/>
      <c r="I13" s="98"/>
      <c r="J13" s="98"/>
      <c r="K13" s="99"/>
      <c r="L13" s="49"/>
    </row>
    <row r="14" spans="1:13" ht="27" customHeight="1" x14ac:dyDescent="0.15">
      <c r="A14" s="78">
        <v>1.5</v>
      </c>
      <c r="B14" s="51" t="s">
        <v>29</v>
      </c>
      <c r="C14" s="97" t="str">
        <f>"According to the Power Trendline, when will EvTel reach "&amp;TEXT(KEY!V12,"#,##0") &amp;" total sales?"</f>
        <v>According to the Power Trendline, when will EvTel reach 14,979,808 total sales?</v>
      </c>
      <c r="D14" s="98"/>
      <c r="E14" s="98"/>
      <c r="F14" s="98"/>
      <c r="G14" s="98"/>
      <c r="H14" s="98"/>
      <c r="I14" s="98"/>
      <c r="J14" s="98"/>
      <c r="K14" s="99"/>
      <c r="L14" s="49" t="s">
        <v>49</v>
      </c>
      <c r="M14" s="85"/>
    </row>
    <row r="15" spans="1:13" ht="27" customHeight="1" x14ac:dyDescent="0.15">
      <c r="A15" s="78">
        <v>2</v>
      </c>
      <c r="B15" s="51" t="s">
        <v>30</v>
      </c>
      <c r="C15" s="97" t="str">
        <f>"Decide which trendline has the best fit for the actual data. Then, report the sales of the third quarter of "&amp;KEY!W12&amp;" for that method."</f>
        <v>Decide which trendline has the best fit for the actual data. Then, report the sales of the third quarter of 2021 for that method.</v>
      </c>
      <c r="D15" s="98"/>
      <c r="E15" s="98"/>
      <c r="F15" s="98"/>
      <c r="G15" s="98"/>
      <c r="H15" s="98"/>
      <c r="I15" s="98"/>
      <c r="J15" s="98"/>
      <c r="K15" s="99"/>
      <c r="L15" s="49"/>
    </row>
    <row r="16" spans="1:13" ht="16" x14ac:dyDescent="0.15">
      <c r="A16" s="78"/>
      <c r="B16" s="52" t="s">
        <v>9</v>
      </c>
      <c r="C16" s="128" t="s">
        <v>53</v>
      </c>
      <c r="D16" s="129"/>
      <c r="E16" s="129"/>
      <c r="F16" s="129"/>
      <c r="G16" s="129"/>
      <c r="H16" s="129"/>
      <c r="I16" s="129"/>
      <c r="J16" s="129"/>
      <c r="K16" s="129"/>
      <c r="L16" s="103"/>
    </row>
    <row r="17" spans="1:12" ht="15.75" customHeight="1" x14ac:dyDescent="0.15">
      <c r="A17" s="78">
        <v>1</v>
      </c>
      <c r="B17" s="82" t="s">
        <v>27</v>
      </c>
      <c r="C17" s="100" t="s">
        <v>92</v>
      </c>
      <c r="D17" s="100"/>
      <c r="E17" s="100"/>
      <c r="F17" s="100"/>
      <c r="G17" s="100"/>
      <c r="H17" s="100"/>
      <c r="I17" s="100"/>
      <c r="J17" s="100"/>
      <c r="K17" s="100"/>
      <c r="L17" s="83" t="s">
        <v>49</v>
      </c>
    </row>
    <row r="18" spans="1:12" ht="15" customHeight="1" x14ac:dyDescent="0.15">
      <c r="A18" s="78">
        <v>1</v>
      </c>
      <c r="B18" s="82" t="s">
        <v>28</v>
      </c>
      <c r="C18" s="100" t="s">
        <v>88</v>
      </c>
      <c r="D18" s="100"/>
      <c r="E18" s="100"/>
      <c r="F18" s="100"/>
      <c r="G18" s="100"/>
      <c r="H18" s="100"/>
      <c r="I18" s="100"/>
      <c r="J18" s="100"/>
      <c r="K18" s="100"/>
      <c r="L18" s="83" t="s">
        <v>49</v>
      </c>
    </row>
    <row r="19" spans="1:12" ht="13" x14ac:dyDescent="0.15">
      <c r="A19" s="78" t="s">
        <v>95</v>
      </c>
    </row>
    <row r="20" spans="1:12" ht="14" thickBot="1" x14ac:dyDescent="0.2"/>
    <row r="21" spans="1:12" ht="15" x14ac:dyDescent="0.15">
      <c r="C21" s="110" t="s">
        <v>99</v>
      </c>
      <c r="D21" s="111"/>
      <c r="E21" s="112"/>
    </row>
    <row r="22" spans="1:12" ht="16" thickBot="1" x14ac:dyDescent="0.2">
      <c r="C22" s="53" t="s">
        <v>25</v>
      </c>
      <c r="D22" s="53" t="s">
        <v>26</v>
      </c>
      <c r="E22" s="54" t="s">
        <v>105</v>
      </c>
    </row>
    <row r="23" spans="1:12" ht="16" thickBot="1" x14ac:dyDescent="0.25">
      <c r="C23" s="94">
        <v>2018</v>
      </c>
      <c r="D23" s="55" t="s">
        <v>27</v>
      </c>
      <c r="E23" s="56">
        <v>165949</v>
      </c>
    </row>
    <row r="24" spans="1:12" ht="16" thickBot="1" x14ac:dyDescent="0.25">
      <c r="C24" s="95"/>
      <c r="D24" s="55" t="s">
        <v>28</v>
      </c>
      <c r="E24" s="56">
        <v>142620</v>
      </c>
    </row>
    <row r="25" spans="1:12" ht="15.75" customHeight="1" thickBot="1" x14ac:dyDescent="0.25">
      <c r="C25" s="95"/>
      <c r="D25" s="55" t="s">
        <v>29</v>
      </c>
      <c r="E25" s="56">
        <v>171411</v>
      </c>
    </row>
    <row r="26" spans="1:12" ht="15.75" customHeight="1" thickBot="1" x14ac:dyDescent="0.25">
      <c r="C26" s="96"/>
      <c r="D26" s="55" t="s">
        <v>30</v>
      </c>
      <c r="E26" s="56">
        <v>256212</v>
      </c>
    </row>
    <row r="27" spans="1:12" ht="15.75" customHeight="1" thickBot="1" x14ac:dyDescent="0.25">
      <c r="C27" s="94">
        <v>2019</v>
      </c>
      <c r="D27" s="55" t="s">
        <v>27</v>
      </c>
      <c r="E27" s="56">
        <v>240004</v>
      </c>
    </row>
    <row r="28" spans="1:12" ht="15.75" customHeight="1" thickBot="1" x14ac:dyDescent="0.25">
      <c r="C28" s="95"/>
      <c r="D28" s="55" t="s">
        <v>28</v>
      </c>
      <c r="E28" s="56">
        <v>270351</v>
      </c>
    </row>
    <row r="29" spans="1:12" ht="15.75" customHeight="1" thickBot="1" x14ac:dyDescent="0.25">
      <c r="C29" s="95"/>
      <c r="D29" s="57" t="s">
        <v>29</v>
      </c>
      <c r="E29" s="56">
        <v>259041</v>
      </c>
    </row>
    <row r="30" spans="1:12" ht="15.75" customHeight="1" thickBot="1" x14ac:dyDescent="0.25">
      <c r="C30" s="96"/>
      <c r="D30" s="55" t="s">
        <v>30</v>
      </c>
      <c r="E30" s="56">
        <v>308751</v>
      </c>
    </row>
    <row r="31" spans="1:12" ht="15.75" customHeight="1" thickBot="1" x14ac:dyDescent="0.25">
      <c r="C31" s="94">
        <v>2020</v>
      </c>
      <c r="D31" s="55" t="s">
        <v>27</v>
      </c>
      <c r="E31" s="56">
        <v>414058</v>
      </c>
    </row>
    <row r="32" spans="1:12" ht="15.75" customHeight="1" thickBot="1" x14ac:dyDescent="0.25">
      <c r="C32" s="95"/>
      <c r="D32" s="55" t="s">
        <v>28</v>
      </c>
      <c r="E32" s="56">
        <v>546812</v>
      </c>
    </row>
    <row r="33" spans="3:5" ht="15.75" customHeight="1" thickBot="1" x14ac:dyDescent="0.25">
      <c r="C33" s="95"/>
      <c r="D33" s="57" t="s">
        <v>29</v>
      </c>
      <c r="E33" s="58">
        <v>671035</v>
      </c>
    </row>
    <row r="34" spans="3:5" ht="15.75" customHeight="1" thickBot="1" x14ac:dyDescent="0.25">
      <c r="C34" s="96"/>
      <c r="D34" s="59" t="s">
        <v>30</v>
      </c>
      <c r="E34" s="84">
        <v>741837</v>
      </c>
    </row>
  </sheetData>
  <mergeCells count="21">
    <mergeCell ref="B4:K4"/>
    <mergeCell ref="C5:L5"/>
    <mergeCell ref="C21:E21"/>
    <mergeCell ref="B10:B12"/>
    <mergeCell ref="C10:H12"/>
    <mergeCell ref="I10:K10"/>
    <mergeCell ref="I11:K11"/>
    <mergeCell ref="I12:K12"/>
    <mergeCell ref="C16:L16"/>
    <mergeCell ref="C23:C26"/>
    <mergeCell ref="C27:C30"/>
    <mergeCell ref="C31:C34"/>
    <mergeCell ref="C6:K6"/>
    <mergeCell ref="C7:K7"/>
    <mergeCell ref="C8:K8"/>
    <mergeCell ref="C13:K13"/>
    <mergeCell ref="C14:K14"/>
    <mergeCell ref="C15:K15"/>
    <mergeCell ref="C17:K17"/>
    <mergeCell ref="C18:K18"/>
    <mergeCell ref="C9:L9"/>
  </mergeCells>
  <phoneticPr fontId="37" type="noConversion"/>
  <pageMargins left="0.7" right="0.7" top="0.75" bottom="0.75" header="0.3" footer="0.3"/>
  <pageSetup paperSize="9" orientation="portrait" horizontalDpi="0" verticalDpi="0"/>
  <extLst>
    <ext xmlns:x14="http://schemas.microsoft.com/office/spreadsheetml/2009/9/main" uri="{CCE6A557-97BC-4b89-ADB6-D9C93CAAB3DF}">
      <x14:dataValidations xmlns:xm="http://schemas.microsoft.com/office/excel/2006/main" count="2">
        <x14:dataValidation type="list" allowBlank="1" showInputMessage="1" showErrorMessage="1" xr:uid="{0965261A-B741-7843-9B59-605738D08013}">
          <x14:formula1>
            <xm:f>KEY!$V$31:$V$33</xm:f>
          </x14:formula1>
          <xm:sqref>L17:L18</xm:sqref>
        </x14:dataValidation>
        <x14:dataValidation type="list" allowBlank="1" showInputMessage="1" showErrorMessage="1" xr:uid="{962B02AF-FB5A-4077-BEAD-2C44D252B0D7}">
          <x14:formula1>
            <xm:f>KEY!$X$31:$X$37</xm:f>
          </x14:formula1>
          <xm:sqref>L14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59C323-BE26-964E-9FC4-46F9BBBE92FD}">
  <sheetPr codeName="Sheet6"/>
  <dimension ref="A1:P39"/>
  <sheetViews>
    <sheetView zoomScale="115" zoomScaleNormal="115" workbookViewId="0">
      <selection activeCell="C8" sqref="C8:K8"/>
    </sheetView>
  </sheetViews>
  <sheetFormatPr baseColWidth="10" defaultColWidth="10.83203125" defaultRowHeight="13" x14ac:dyDescent="0.15"/>
  <cols>
    <col min="1" max="1" width="8" style="60" bestFit="1" customWidth="1"/>
    <col min="2" max="2" width="10.83203125" style="60"/>
    <col min="3" max="3" width="14.83203125" style="60" customWidth="1"/>
    <col min="4" max="4" width="10.83203125" style="60"/>
    <col min="5" max="5" width="12.33203125" style="60" bestFit="1" customWidth="1"/>
    <col min="6" max="8" width="10.83203125" style="60"/>
    <col min="9" max="9" width="11.5" style="60" bestFit="1" customWidth="1"/>
    <col min="10" max="19" width="10.83203125" style="60"/>
    <col min="20" max="20" width="11.5" style="60" bestFit="1" customWidth="1"/>
    <col min="21" max="16384" width="10.83203125" style="60"/>
  </cols>
  <sheetData>
    <row r="1" spans="1:12" ht="14" thickBot="1" x14ac:dyDescent="0.2"/>
    <row r="2" spans="1:12" ht="34" customHeight="1" thickBot="1" x14ac:dyDescent="0.25">
      <c r="B2" s="133" t="s">
        <v>54</v>
      </c>
      <c r="C2" s="134"/>
      <c r="D2" s="134"/>
      <c r="E2" s="134"/>
      <c r="F2" s="134"/>
      <c r="G2" s="134"/>
      <c r="H2" s="134"/>
      <c r="I2" s="134"/>
      <c r="J2" s="134"/>
      <c r="K2" s="135"/>
      <c r="L2" s="61" t="s">
        <v>19</v>
      </c>
    </row>
    <row r="3" spans="1:12" ht="15" customHeight="1" thickBot="1" x14ac:dyDescent="0.25">
      <c r="A3" s="78" t="s">
        <v>96</v>
      </c>
      <c r="B3" s="62" t="s">
        <v>7</v>
      </c>
      <c r="C3" s="130" t="s">
        <v>55</v>
      </c>
      <c r="D3" s="131"/>
      <c r="E3" s="131"/>
      <c r="F3" s="131"/>
      <c r="G3" s="131"/>
      <c r="H3" s="131"/>
      <c r="I3" s="131"/>
      <c r="J3" s="131"/>
      <c r="K3" s="131"/>
      <c r="L3" s="132"/>
    </row>
    <row r="4" spans="1:12" ht="15" customHeight="1" x14ac:dyDescent="0.15">
      <c r="A4" s="78">
        <v>1</v>
      </c>
      <c r="B4" s="63" t="s">
        <v>27</v>
      </c>
      <c r="C4" s="136" t="s">
        <v>56</v>
      </c>
      <c r="D4" s="137"/>
      <c r="E4" s="137"/>
      <c r="F4" s="137"/>
      <c r="G4" s="137"/>
      <c r="H4" s="137"/>
      <c r="I4" s="137"/>
      <c r="J4" s="137"/>
      <c r="K4" s="138"/>
      <c r="L4" s="64"/>
    </row>
    <row r="5" spans="1:12" ht="30" customHeight="1" x14ac:dyDescent="0.15">
      <c r="A5" s="78">
        <v>1.5</v>
      </c>
      <c r="B5" s="65" t="s">
        <v>28</v>
      </c>
      <c r="C5" s="136" t="str">
        <f>"How many units need to be sold in the first quarter of 2021 to achieve a "&amp;KEY!X12&amp;"% market penetration at the end of that period? Note:This question is independent."</f>
        <v>How many units need to be sold in the first quarter of 2021 to achieve a 39% market penetration at the end of that period? Note:This question is independent.</v>
      </c>
      <c r="D5" s="137"/>
      <c r="E5" s="137"/>
      <c r="F5" s="137"/>
      <c r="G5" s="137"/>
      <c r="H5" s="137"/>
      <c r="I5" s="137"/>
      <c r="J5" s="137"/>
      <c r="K5" s="138"/>
      <c r="L5" s="64"/>
    </row>
    <row r="6" spans="1:12" ht="15" customHeight="1" thickBot="1" x14ac:dyDescent="0.2">
      <c r="A6" s="78">
        <v>1.5</v>
      </c>
      <c r="B6" s="65" t="s">
        <v>29</v>
      </c>
      <c r="C6" s="136" t="str">
        <f>"Report what percent of the market is yet to be penetrated at the end of "&amp;KEY!Y12&amp;"."</f>
        <v>Report what percent of the market is yet to be penetrated at the end of 2019.</v>
      </c>
      <c r="D6" s="137"/>
      <c r="E6" s="137"/>
      <c r="F6" s="137"/>
      <c r="G6" s="137"/>
      <c r="H6" s="137"/>
      <c r="I6" s="137"/>
      <c r="J6" s="137"/>
      <c r="K6" s="138"/>
      <c r="L6" s="64"/>
    </row>
    <row r="7" spans="1:12" ht="34" customHeight="1" thickBot="1" x14ac:dyDescent="0.25">
      <c r="A7" s="78"/>
      <c r="B7" s="62" t="s">
        <v>8</v>
      </c>
      <c r="C7" s="130" t="s">
        <v>106</v>
      </c>
      <c r="D7" s="131"/>
      <c r="E7" s="131"/>
      <c r="F7" s="131"/>
      <c r="G7" s="131"/>
      <c r="H7" s="131"/>
      <c r="I7" s="131"/>
      <c r="J7" s="131"/>
      <c r="K7" s="131"/>
      <c r="L7" s="132"/>
    </row>
    <row r="8" spans="1:12" ht="16" customHeight="1" x14ac:dyDescent="0.15">
      <c r="A8" s="78">
        <v>1.25</v>
      </c>
      <c r="B8" s="63" t="s">
        <v>27</v>
      </c>
      <c r="C8" s="136" t="str">
        <f>"What is the estimated quarterly sales of the third quarter of "&amp;KEY!Z12&amp;"?"</f>
        <v>What is the estimated quarterly sales of the third quarter of 2025?</v>
      </c>
      <c r="D8" s="137"/>
      <c r="E8" s="137"/>
      <c r="F8" s="137"/>
      <c r="G8" s="137"/>
      <c r="H8" s="137"/>
      <c r="I8" s="137"/>
      <c r="J8" s="137"/>
      <c r="K8" s="138"/>
      <c r="L8" s="64"/>
    </row>
    <row r="9" spans="1:12" ht="15" x14ac:dyDescent="0.15">
      <c r="A9" s="78">
        <v>1.25</v>
      </c>
      <c r="B9" s="65" t="s">
        <v>28</v>
      </c>
      <c r="C9" s="136" t="str">
        <f>"Report what percent of the market is estimated to be penetrated at the end of "&amp;KEY!AA12&amp;"."</f>
        <v>Report what percent of the market is estimated to be penetrated at the end of 2023.</v>
      </c>
      <c r="D9" s="137"/>
      <c r="E9" s="137"/>
      <c r="F9" s="137"/>
      <c r="G9" s="137"/>
      <c r="H9" s="137"/>
      <c r="I9" s="137"/>
      <c r="J9" s="137"/>
      <c r="K9" s="138"/>
      <c r="L9" s="64"/>
    </row>
    <row r="10" spans="1:12" s="66" customFormat="1" ht="40" customHeight="1" thickBot="1" x14ac:dyDescent="0.2">
      <c r="A10" s="78">
        <v>1.5</v>
      </c>
      <c r="B10" s="65" t="s">
        <v>29</v>
      </c>
      <c r="C10" s="136" t="str">
        <f>"Report the difference between the forecasted cumulative sales of the Gompertz Curve and the actual cumulative sales at the end of "&amp;KEY!AB12&amp;". Report a positive number."</f>
        <v>Report the difference between the forecasted cumulative sales of the Gompertz Curve and the actual cumulative sales at the end of 2019. Report a positive number.</v>
      </c>
      <c r="D10" s="137"/>
      <c r="E10" s="137"/>
      <c r="F10" s="137"/>
      <c r="G10" s="137"/>
      <c r="H10" s="137"/>
      <c r="I10" s="137"/>
      <c r="J10" s="137"/>
      <c r="K10" s="138"/>
      <c r="L10" s="64"/>
    </row>
    <row r="11" spans="1:12" ht="37" customHeight="1" thickBot="1" x14ac:dyDescent="0.25">
      <c r="A11" s="78"/>
      <c r="B11" s="62" t="s">
        <v>9</v>
      </c>
      <c r="C11" s="130" t="s">
        <v>100</v>
      </c>
      <c r="D11" s="131"/>
      <c r="E11" s="131"/>
      <c r="F11" s="131"/>
      <c r="G11" s="131"/>
      <c r="H11" s="131"/>
      <c r="I11" s="131"/>
      <c r="J11" s="131"/>
      <c r="K11" s="131"/>
      <c r="L11" s="132"/>
    </row>
    <row r="12" spans="1:12" ht="15" x14ac:dyDescent="0.15">
      <c r="A12" s="78">
        <v>1.25</v>
      </c>
      <c r="B12" s="63" t="s">
        <v>27</v>
      </c>
      <c r="C12" s="136" t="s">
        <v>102</v>
      </c>
      <c r="D12" s="137"/>
      <c r="E12" s="137"/>
      <c r="F12" s="137"/>
      <c r="G12" s="137"/>
      <c r="H12" s="137"/>
      <c r="I12" s="137"/>
      <c r="J12" s="137"/>
      <c r="K12" s="138"/>
      <c r="L12" s="64"/>
    </row>
    <row r="13" spans="1:12" ht="15" x14ac:dyDescent="0.15">
      <c r="A13" s="78">
        <v>1.25</v>
      </c>
      <c r="B13" s="65" t="s">
        <v>28</v>
      </c>
      <c r="C13" s="136" t="s">
        <v>103</v>
      </c>
      <c r="D13" s="137"/>
      <c r="E13" s="137"/>
      <c r="F13" s="137"/>
      <c r="G13" s="137"/>
      <c r="H13" s="137"/>
      <c r="I13" s="137"/>
      <c r="J13" s="137"/>
      <c r="K13" s="138"/>
      <c r="L13" s="64"/>
    </row>
    <row r="14" spans="1:12" ht="15" customHeight="1" x14ac:dyDescent="0.15">
      <c r="A14" s="78">
        <v>1.25</v>
      </c>
      <c r="B14" s="65" t="s">
        <v>29</v>
      </c>
      <c r="C14" s="136" t="s">
        <v>57</v>
      </c>
      <c r="D14" s="137"/>
      <c r="E14" s="137"/>
      <c r="F14" s="137"/>
      <c r="G14" s="137"/>
      <c r="H14" s="137"/>
      <c r="I14" s="137"/>
      <c r="J14" s="137"/>
      <c r="K14" s="138"/>
      <c r="L14" s="64"/>
    </row>
    <row r="15" spans="1:12" ht="15" customHeight="1" thickBot="1" x14ac:dyDescent="0.2">
      <c r="A15" s="78">
        <v>1.25</v>
      </c>
      <c r="B15" s="65" t="s">
        <v>30</v>
      </c>
      <c r="C15" s="136" t="str">
        <f>"What is the estimated yearly sales of "&amp;KEY!AC12&amp;"?"</f>
        <v>What is the estimated yearly sales of 2026?</v>
      </c>
      <c r="D15" s="137"/>
      <c r="E15" s="137"/>
      <c r="F15" s="137"/>
      <c r="G15" s="137"/>
      <c r="H15" s="137"/>
      <c r="I15" s="137"/>
      <c r="J15" s="137"/>
      <c r="K15" s="138"/>
      <c r="L15" s="64"/>
    </row>
    <row r="16" spans="1:12" ht="18" customHeight="1" thickBot="1" x14ac:dyDescent="0.25">
      <c r="A16" s="78"/>
      <c r="B16" s="62" t="s">
        <v>10</v>
      </c>
      <c r="C16" s="130" t="s">
        <v>101</v>
      </c>
      <c r="D16" s="131"/>
      <c r="E16" s="131"/>
      <c r="F16" s="131"/>
      <c r="G16" s="131"/>
      <c r="H16" s="131"/>
      <c r="I16" s="131"/>
      <c r="J16" s="131"/>
      <c r="K16" s="131"/>
      <c r="L16" s="132"/>
    </row>
    <row r="17" spans="1:16" ht="15" customHeight="1" x14ac:dyDescent="0.15">
      <c r="A17" s="78">
        <v>1</v>
      </c>
      <c r="B17" s="63" t="s">
        <v>27</v>
      </c>
      <c r="C17" s="136" t="s">
        <v>89</v>
      </c>
      <c r="D17" s="137"/>
      <c r="E17" s="137"/>
      <c r="F17" s="137"/>
      <c r="G17" s="137"/>
      <c r="H17" s="137"/>
      <c r="I17" s="137"/>
      <c r="J17" s="137"/>
      <c r="K17" s="138"/>
      <c r="L17" s="64" t="s">
        <v>49</v>
      </c>
    </row>
    <row r="18" spans="1:16" ht="15" customHeight="1" x14ac:dyDescent="0.15">
      <c r="A18" s="78">
        <v>1</v>
      </c>
      <c r="B18" s="63" t="s">
        <v>28</v>
      </c>
      <c r="C18" s="136" t="s">
        <v>58</v>
      </c>
      <c r="D18" s="137"/>
      <c r="E18" s="137"/>
      <c r="F18" s="137"/>
      <c r="G18" s="137"/>
      <c r="H18" s="137"/>
      <c r="I18" s="137"/>
      <c r="J18" s="137"/>
      <c r="K18" s="138"/>
      <c r="L18" s="64" t="s">
        <v>49</v>
      </c>
    </row>
    <row r="19" spans="1:16" x14ac:dyDescent="0.15">
      <c r="A19" s="78" t="s">
        <v>97</v>
      </c>
    </row>
    <row r="20" spans="1:16" ht="14" thickBot="1" x14ac:dyDescent="0.2"/>
    <row r="21" spans="1:16" ht="21" customHeight="1" thickBot="1" x14ac:dyDescent="0.2">
      <c r="C21" s="110" t="s">
        <v>22</v>
      </c>
      <c r="D21" s="111"/>
      <c r="E21" s="112"/>
      <c r="G21" s="139" t="s">
        <v>21</v>
      </c>
      <c r="H21" s="140"/>
      <c r="I21" s="141"/>
    </row>
    <row r="22" spans="1:16" ht="33" thickBot="1" x14ac:dyDescent="0.25">
      <c r="C22" s="67" t="s">
        <v>90</v>
      </c>
      <c r="D22" s="142">
        <v>15520000</v>
      </c>
      <c r="E22" s="143"/>
      <c r="G22" s="68" t="s">
        <v>11</v>
      </c>
      <c r="H22" s="69" t="s">
        <v>12</v>
      </c>
      <c r="I22" s="70" t="s">
        <v>20</v>
      </c>
      <c r="M22" s="144" t="s">
        <v>50</v>
      </c>
      <c r="N22" s="145"/>
      <c r="O22" s="71"/>
      <c r="P22" s="71"/>
    </row>
    <row r="23" spans="1:16" ht="49" thickBot="1" x14ac:dyDescent="0.25">
      <c r="C23" s="67" t="s">
        <v>23</v>
      </c>
      <c r="D23" s="146">
        <v>0.75</v>
      </c>
      <c r="E23" s="147"/>
      <c r="G23" s="72">
        <v>1</v>
      </c>
      <c r="H23" s="73">
        <v>0.14199999999999999</v>
      </c>
      <c r="I23" s="74">
        <v>6.5</v>
      </c>
      <c r="M23" s="71"/>
      <c r="N23" s="71"/>
      <c r="O23" s="71"/>
      <c r="P23" s="71"/>
    </row>
    <row r="24" spans="1:16" ht="21" customHeight="1" thickBot="1" x14ac:dyDescent="0.25">
      <c r="C24" s="67" t="s">
        <v>24</v>
      </c>
      <c r="D24" s="142"/>
      <c r="E24" s="143"/>
      <c r="M24" s="71"/>
      <c r="N24" s="71"/>
      <c r="O24" s="71"/>
      <c r="P24" s="71"/>
    </row>
    <row r="25" spans="1:16" ht="15" customHeight="1" x14ac:dyDescent="0.15">
      <c r="C25" s="110" t="s">
        <v>99</v>
      </c>
      <c r="D25" s="111"/>
      <c r="E25" s="112"/>
      <c r="M25" s="71"/>
      <c r="N25" s="71"/>
      <c r="O25" s="71"/>
      <c r="P25" s="71"/>
    </row>
    <row r="26" spans="1:16" ht="16" thickBot="1" x14ac:dyDescent="0.2">
      <c r="C26" s="53" t="s">
        <v>25</v>
      </c>
      <c r="D26" s="53" t="s">
        <v>26</v>
      </c>
      <c r="E26" s="54" t="s">
        <v>105</v>
      </c>
    </row>
    <row r="27" spans="1:16" ht="17" customHeight="1" thickBot="1" x14ac:dyDescent="0.25">
      <c r="C27" s="94">
        <v>2018</v>
      </c>
      <c r="D27" s="55" t="s">
        <v>27</v>
      </c>
      <c r="E27" s="56">
        <v>165949</v>
      </c>
    </row>
    <row r="28" spans="1:16" ht="15" customHeight="1" thickBot="1" x14ac:dyDescent="0.25">
      <c r="C28" s="95"/>
      <c r="D28" s="55" t="s">
        <v>28</v>
      </c>
      <c r="E28" s="56">
        <v>142620</v>
      </c>
      <c r="F28" s="66"/>
      <c r="J28" s="66"/>
    </row>
    <row r="29" spans="1:16" ht="14" customHeight="1" thickBot="1" x14ac:dyDescent="0.25">
      <c r="C29" s="95"/>
      <c r="D29" s="55" t="s">
        <v>29</v>
      </c>
      <c r="E29" s="56">
        <v>171411</v>
      </c>
    </row>
    <row r="30" spans="1:16" ht="15" customHeight="1" thickBot="1" x14ac:dyDescent="0.25">
      <c r="C30" s="96"/>
      <c r="D30" s="55" t="s">
        <v>30</v>
      </c>
      <c r="E30" s="56">
        <v>256212</v>
      </c>
    </row>
    <row r="31" spans="1:16" ht="16" thickBot="1" x14ac:dyDescent="0.25">
      <c r="C31" s="94">
        <v>2019</v>
      </c>
      <c r="D31" s="55" t="s">
        <v>27</v>
      </c>
      <c r="E31" s="56">
        <v>240004</v>
      </c>
    </row>
    <row r="32" spans="1:16" ht="16" thickBot="1" x14ac:dyDescent="0.25">
      <c r="C32" s="95"/>
      <c r="D32" s="55" t="s">
        <v>28</v>
      </c>
      <c r="E32" s="56">
        <v>270351</v>
      </c>
    </row>
    <row r="33" spans="3:5" ht="16" thickBot="1" x14ac:dyDescent="0.25">
      <c r="C33" s="95"/>
      <c r="D33" s="57" t="s">
        <v>29</v>
      </c>
      <c r="E33" s="56">
        <v>259041</v>
      </c>
    </row>
    <row r="34" spans="3:5" ht="16" thickBot="1" x14ac:dyDescent="0.25">
      <c r="C34" s="96"/>
      <c r="D34" s="55" t="s">
        <v>30</v>
      </c>
      <c r="E34" s="56">
        <v>308751</v>
      </c>
    </row>
    <row r="35" spans="3:5" ht="16" thickBot="1" x14ac:dyDescent="0.25">
      <c r="C35" s="94">
        <v>2020</v>
      </c>
      <c r="D35" s="55" t="s">
        <v>27</v>
      </c>
      <c r="E35" s="56">
        <v>414058</v>
      </c>
    </row>
    <row r="36" spans="3:5" ht="16" thickBot="1" x14ac:dyDescent="0.25">
      <c r="C36" s="95"/>
      <c r="D36" s="55" t="s">
        <v>28</v>
      </c>
      <c r="E36" s="56">
        <v>546812</v>
      </c>
    </row>
    <row r="37" spans="3:5" ht="16" thickBot="1" x14ac:dyDescent="0.25">
      <c r="C37" s="95"/>
      <c r="D37" s="57" t="s">
        <v>29</v>
      </c>
      <c r="E37" s="58">
        <v>671035</v>
      </c>
    </row>
    <row r="38" spans="3:5" ht="16" thickBot="1" x14ac:dyDescent="0.25">
      <c r="C38" s="96"/>
      <c r="D38" s="59" t="s">
        <v>30</v>
      </c>
      <c r="E38" s="79">
        <v>741837</v>
      </c>
    </row>
    <row r="39" spans="3:5" x14ac:dyDescent="0.15">
      <c r="E39" s="75"/>
    </row>
  </sheetData>
  <mergeCells count="27">
    <mergeCell ref="C25:E25"/>
    <mergeCell ref="C18:K18"/>
    <mergeCell ref="D22:E22"/>
    <mergeCell ref="M22:N22"/>
    <mergeCell ref="D23:E23"/>
    <mergeCell ref="D24:E24"/>
    <mergeCell ref="C13:K13"/>
    <mergeCell ref="C14:K14"/>
    <mergeCell ref="C15:K15"/>
    <mergeCell ref="C16:L16"/>
    <mergeCell ref="C17:K17"/>
    <mergeCell ref="C27:C30"/>
    <mergeCell ref="C31:C34"/>
    <mergeCell ref="C35:C38"/>
    <mergeCell ref="C7:L7"/>
    <mergeCell ref="B2:K2"/>
    <mergeCell ref="C3:L3"/>
    <mergeCell ref="C4:K4"/>
    <mergeCell ref="C5:K5"/>
    <mergeCell ref="C6:K6"/>
    <mergeCell ref="C21:E21"/>
    <mergeCell ref="G21:I21"/>
    <mergeCell ref="C8:K8"/>
    <mergeCell ref="C9:K9"/>
    <mergeCell ref="C10:K10"/>
    <mergeCell ref="C11:L11"/>
    <mergeCell ref="C12:K12"/>
  </mergeCells>
  <pageMargins left="0.7" right="0.7" top="0.75" bottom="0.75" header="0.3" footer="0.3"/>
  <drawing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9BF2F04-F55B-ED40-A78E-107047944612}">
          <x14:formula1>
            <xm:f>KEY!$AA$31:$AA$34</xm:f>
          </x14:formula1>
          <xm:sqref>L17:L18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B2:AD330"/>
  <sheetViews>
    <sheetView zoomScaleNormal="65" workbookViewId="0"/>
  </sheetViews>
  <sheetFormatPr baseColWidth="10" defaultColWidth="8.6640625" defaultRowHeight="13" x14ac:dyDescent="0.15"/>
  <cols>
    <col min="1" max="1" width="8.6640625" customWidth="1"/>
    <col min="2" max="2" width="13.5" hidden="1" customWidth="1"/>
    <col min="3" max="3" width="15.5" hidden="1" customWidth="1"/>
    <col min="4" max="4" width="15.33203125" hidden="1" customWidth="1"/>
    <col min="5" max="5" width="23" hidden="1" customWidth="1"/>
    <col min="6" max="9" width="8.6640625" hidden="1" customWidth="1"/>
    <col min="10" max="10" width="12.6640625" hidden="1" customWidth="1"/>
    <col min="11" max="12" width="8.6640625" hidden="1" customWidth="1"/>
    <col min="13" max="13" width="12.33203125" hidden="1" customWidth="1"/>
    <col min="14" max="14" width="17.6640625" hidden="1" customWidth="1"/>
    <col min="15" max="15" width="16.1640625" hidden="1" customWidth="1"/>
    <col min="16" max="16" width="18" hidden="1" customWidth="1"/>
    <col min="17" max="17" width="17.33203125" hidden="1" customWidth="1"/>
    <col min="18" max="18" width="12.5" hidden="1" customWidth="1"/>
    <col min="19" max="20" width="11.1640625" hidden="1" customWidth="1"/>
    <col min="21" max="21" width="10.1640625" hidden="1" customWidth="1"/>
    <col min="22" max="22" width="14.1640625" hidden="1" customWidth="1"/>
    <col min="23" max="23" width="10.1640625" hidden="1" customWidth="1"/>
    <col min="24" max="29" width="11.1640625" hidden="1" customWidth="1"/>
    <col min="30" max="30" width="19.1640625" hidden="1" customWidth="1"/>
  </cols>
  <sheetData>
    <row r="2" spans="2:29" x14ac:dyDescent="0.15">
      <c r="C2" s="2"/>
      <c r="D2" s="19"/>
      <c r="E2" s="2"/>
      <c r="F2" s="2"/>
      <c r="G2" s="2"/>
      <c r="H2" s="2"/>
      <c r="I2" s="2"/>
      <c r="J2" s="2"/>
      <c r="K2" s="2"/>
    </row>
    <row r="3" spans="2:29" x14ac:dyDescent="0.15">
      <c r="B3" s="27"/>
      <c r="C3" s="2"/>
      <c r="D3" s="2"/>
      <c r="E3" s="14"/>
      <c r="F3" s="2"/>
      <c r="G3" s="2"/>
      <c r="H3" s="2"/>
      <c r="I3" s="2"/>
      <c r="J3" s="2"/>
      <c r="K3" s="2"/>
    </row>
    <row r="4" spans="2:29" x14ac:dyDescent="0.15">
      <c r="B4" s="18" t="s">
        <v>13</v>
      </c>
      <c r="C4" s="4" t="s">
        <v>108</v>
      </c>
      <c r="D4" s="93">
        <f>VALUE(RIGHT(C4,LEN(C4)-1))</f>
        <v>1</v>
      </c>
      <c r="E4" s="2"/>
      <c r="F4" s="2"/>
      <c r="G4" s="2"/>
      <c r="H4" s="2"/>
      <c r="I4" s="2"/>
      <c r="J4" s="2"/>
      <c r="K4" s="2"/>
    </row>
    <row r="5" spans="2:29" x14ac:dyDescent="0.15">
      <c r="B5" s="2" t="s">
        <v>1</v>
      </c>
      <c r="C5" s="27" t="s">
        <v>63</v>
      </c>
      <c r="D5" s="2"/>
      <c r="E5" s="5"/>
      <c r="G5" s="2"/>
      <c r="H5" s="2"/>
      <c r="I5" s="2"/>
      <c r="J5" s="2"/>
      <c r="K5" s="2"/>
      <c r="M5" s="27"/>
      <c r="N5" s="4"/>
      <c r="O5" s="5"/>
      <c r="P5" s="4"/>
    </row>
    <row r="6" spans="2:29" x14ac:dyDescent="0.15">
      <c r="B6" s="4" t="s">
        <v>2</v>
      </c>
      <c r="C6" s="2"/>
      <c r="D6" s="2"/>
      <c r="G6" s="2"/>
      <c r="H6" s="2"/>
      <c r="I6" s="2"/>
      <c r="J6" s="2"/>
      <c r="K6" s="2"/>
      <c r="M6" s="33"/>
      <c r="N6" s="33"/>
      <c r="O6" s="33"/>
      <c r="P6" s="33"/>
      <c r="Q6" s="33"/>
      <c r="R6" s="33"/>
      <c r="S6" s="33"/>
      <c r="T6" s="33"/>
      <c r="U6" s="33"/>
      <c r="V6" s="33"/>
      <c r="W6" s="33"/>
      <c r="X6" s="33"/>
      <c r="Y6" s="33"/>
      <c r="Z6" s="33"/>
    </row>
    <row r="7" spans="2:29" x14ac:dyDescent="0.15">
      <c r="B7" s="2" t="s">
        <v>3</v>
      </c>
      <c r="C7" s="20">
        <v>0</v>
      </c>
      <c r="D7" s="2"/>
      <c r="G7" s="2"/>
      <c r="H7" s="24" t="s">
        <v>4</v>
      </c>
      <c r="I7" s="24"/>
      <c r="J7" s="24" t="s">
        <v>0</v>
      </c>
      <c r="K7" s="24"/>
      <c r="M7" s="33"/>
      <c r="N7" s="33"/>
      <c r="O7" s="33"/>
      <c r="P7" s="33"/>
      <c r="Q7" s="33"/>
      <c r="R7" s="33"/>
      <c r="S7" s="33"/>
      <c r="T7" s="43"/>
      <c r="U7" s="33"/>
      <c r="V7" s="33"/>
      <c r="W7" s="33"/>
      <c r="X7" s="33"/>
      <c r="Y7" s="33"/>
      <c r="Z7" s="33"/>
    </row>
    <row r="8" spans="2:29" x14ac:dyDescent="0.15">
      <c r="B8" s="2" t="s">
        <v>5</v>
      </c>
      <c r="C8" s="2"/>
      <c r="D8" s="2"/>
      <c r="G8" s="2"/>
      <c r="H8" s="29" t="s">
        <v>59</v>
      </c>
      <c r="I8" s="25">
        <v>1</v>
      </c>
      <c r="J8" s="25">
        <f>'Answers 1'!L6</f>
        <v>0</v>
      </c>
      <c r="K8" s="25" t="str">
        <f>TRIM(J8)</f>
        <v>0</v>
      </c>
      <c r="M8" s="33"/>
      <c r="N8" s="33"/>
      <c r="O8" s="33"/>
      <c r="P8" s="33"/>
      <c r="Q8" s="33"/>
      <c r="R8" s="33"/>
      <c r="S8" s="33"/>
      <c r="T8" s="43"/>
      <c r="U8" s="33"/>
      <c r="V8" s="33"/>
      <c r="W8" s="33"/>
      <c r="X8" s="33"/>
      <c r="Y8" s="33"/>
      <c r="Z8" s="33"/>
    </row>
    <row r="9" spans="2:29" x14ac:dyDescent="0.15">
      <c r="B9" s="27" t="s">
        <v>14</v>
      </c>
      <c r="C9" s="2">
        <f>Instructions!$BO$3000</f>
        <v>0</v>
      </c>
      <c r="D9" s="2"/>
      <c r="G9" s="2"/>
      <c r="H9" s="29" t="s">
        <v>59</v>
      </c>
      <c r="I9" s="25">
        <v>2</v>
      </c>
      <c r="J9" s="25">
        <f>'Answers 1'!L7</f>
        <v>0</v>
      </c>
      <c r="K9" s="25" t="str">
        <f t="shared" ref="K9:K18" si="0">TRIM(J9)</f>
        <v>0</v>
      </c>
      <c r="M9" s="33"/>
      <c r="N9" s="7" t="s">
        <v>76</v>
      </c>
      <c r="O9" s="33"/>
      <c r="P9" s="33"/>
      <c r="Q9" s="33"/>
      <c r="R9" s="33"/>
      <c r="S9" s="33"/>
      <c r="T9" s="33"/>
      <c r="U9" s="33"/>
      <c r="V9" s="33"/>
      <c r="W9" s="33"/>
      <c r="X9" s="7" t="s">
        <v>77</v>
      </c>
      <c r="Y9" s="33"/>
      <c r="Z9" s="33"/>
    </row>
    <row r="10" spans="2:29" ht="14" thickBot="1" x14ac:dyDescent="0.2">
      <c r="B10" s="27" t="s">
        <v>93</v>
      </c>
      <c r="C10" s="2">
        <f>'Answers 1'!$BO$3000</f>
        <v>0</v>
      </c>
      <c r="D10" s="4"/>
      <c r="G10" s="2"/>
      <c r="H10" s="29" t="s">
        <v>59</v>
      </c>
      <c r="I10" s="25">
        <v>3</v>
      </c>
      <c r="J10" s="25">
        <f>'Answers 1'!L8</f>
        <v>0</v>
      </c>
      <c r="K10" s="25" t="str">
        <f t="shared" si="0"/>
        <v>0</v>
      </c>
      <c r="M10" s="33"/>
      <c r="N10" s="7" t="s">
        <v>40</v>
      </c>
      <c r="O10" s="7" t="s">
        <v>41</v>
      </c>
      <c r="P10" s="7" t="s">
        <v>42</v>
      </c>
      <c r="Q10" s="7" t="s">
        <v>43</v>
      </c>
      <c r="R10" s="7" t="s">
        <v>44</v>
      </c>
      <c r="S10" s="7" t="s">
        <v>45</v>
      </c>
      <c r="T10" s="7" t="s">
        <v>46</v>
      </c>
      <c r="U10" s="7" t="s">
        <v>47</v>
      </c>
      <c r="V10" s="77" t="s">
        <v>72</v>
      </c>
      <c r="W10" s="77" t="s">
        <v>75</v>
      </c>
      <c r="X10" s="77" t="s">
        <v>78</v>
      </c>
      <c r="Y10" s="77" t="s">
        <v>79</v>
      </c>
      <c r="Z10" s="77" t="s">
        <v>81</v>
      </c>
      <c r="AA10" s="77" t="s">
        <v>82</v>
      </c>
      <c r="AB10" s="77" t="s">
        <v>83</v>
      </c>
      <c r="AC10" s="77" t="s">
        <v>84</v>
      </c>
    </row>
    <row r="11" spans="2:29" ht="14" thickBot="1" x14ac:dyDescent="0.2">
      <c r="B11" s="4" t="s">
        <v>94</v>
      </c>
      <c r="C11" s="2">
        <f>'Answers 2'!$BO$3000</f>
        <v>0</v>
      </c>
      <c r="D11" s="2"/>
      <c r="E11" s="4"/>
      <c r="F11" s="21"/>
      <c r="G11" s="2"/>
      <c r="H11" s="29" t="s">
        <v>61</v>
      </c>
      <c r="I11" s="25">
        <v>1</v>
      </c>
      <c r="J11" s="25">
        <f>'Answers 1'!L10</f>
        <v>0</v>
      </c>
      <c r="K11" s="25" t="str">
        <f t="shared" si="0"/>
        <v>0</v>
      </c>
      <c r="M11" s="33"/>
      <c r="N11" s="76" t="s">
        <v>64</v>
      </c>
      <c r="O11" s="34" t="s">
        <v>65</v>
      </c>
      <c r="P11" s="34" t="s">
        <v>66</v>
      </c>
      <c r="Q11" s="34" t="s">
        <v>67</v>
      </c>
      <c r="R11" s="34" t="s">
        <v>68</v>
      </c>
      <c r="S11" s="34" t="s">
        <v>69</v>
      </c>
      <c r="T11" s="36" t="s">
        <v>70</v>
      </c>
      <c r="U11" s="36" t="s">
        <v>71</v>
      </c>
      <c r="V11" s="35" t="s">
        <v>73</v>
      </c>
      <c r="W11" s="76" t="s">
        <v>74</v>
      </c>
      <c r="X11" s="34" t="s">
        <v>66</v>
      </c>
      <c r="Y11" s="34" t="s">
        <v>67</v>
      </c>
      <c r="Z11" s="34" t="s">
        <v>80</v>
      </c>
      <c r="AA11" s="34" t="s">
        <v>71</v>
      </c>
      <c r="AB11" s="34" t="s">
        <v>73</v>
      </c>
      <c r="AC11" s="90" t="s">
        <v>85</v>
      </c>
    </row>
    <row r="12" spans="2:29" ht="14" thickBot="1" x14ac:dyDescent="0.2">
      <c r="B12" s="4"/>
      <c r="C12" s="2"/>
      <c r="D12" s="2"/>
      <c r="E12" s="4"/>
      <c r="F12" s="21"/>
      <c r="G12" s="2"/>
      <c r="H12" s="29" t="s">
        <v>61</v>
      </c>
      <c r="I12" s="25">
        <v>2</v>
      </c>
      <c r="J12" s="25">
        <f>'Answers 1'!L11</f>
        <v>0</v>
      </c>
      <c r="K12" s="25" t="str">
        <f t="shared" si="0"/>
        <v>0</v>
      </c>
      <c r="M12" s="33"/>
      <c r="N12" s="86" cm="1">
        <f t="array" ref="N12">ROUNDDOWN(TO_RANGE(N13,2018,2020), 0)</f>
        <v>2018</v>
      </c>
      <c r="O12" s="87">
        <f>N12+1</f>
        <v>2019</v>
      </c>
      <c r="P12" s="87" cm="1">
        <f t="array" ref="P12">ROUNDDOWN(TO_RANGE(P13,2018,2021), 0)</f>
        <v>2020</v>
      </c>
      <c r="Q12" s="87" cm="1">
        <f t="array" ref="Q12">ROUNDDOWN(TO_RANGE(Q13,2018,2021), 0)</f>
        <v>2020</v>
      </c>
      <c r="R12" s="87" cm="1">
        <f t="array" ref="R12">ROUNDDOWN(TO_RANGE(R13,2018,2021), 0)</f>
        <v>2018</v>
      </c>
      <c r="S12" s="87" cm="1">
        <f t="array" ref="S12">ROUNDDOWN(TO_RANGE(S13,2018,2021), 0)</f>
        <v>2019</v>
      </c>
      <c r="T12" s="87" cm="1">
        <f t="array" ref="T12">ROUNDDOWN(TO_RANGE(T13,2018,2021), 0)</f>
        <v>2019</v>
      </c>
      <c r="U12" s="87" cm="1">
        <f t="array" ref="U12">ROUNDDOWN(TO_RANGE(U13,2021,2027), 0)</f>
        <v>2022</v>
      </c>
      <c r="V12" s="88" cm="1">
        <f t="array" ref="V12">ROUND(TO_RANGE(V13,4500000,18595000),0)</f>
        <v>14979808</v>
      </c>
      <c r="W12" s="87" cm="1">
        <f t="array" ref="W12">ROUNDDOWN(TO_RANGE(W13,2021,2027), 0)</f>
        <v>2021</v>
      </c>
      <c r="X12" s="87" cm="1">
        <f t="array" ref="X12">ROUNDDOWN(TO_RANGE(X13,37,42), 0)</f>
        <v>39</v>
      </c>
      <c r="Y12" s="87" cm="1">
        <f t="array" ref="Y12">ROUNDDOWN(TO_RANGE(Y13,2018,2021), 0)</f>
        <v>2019</v>
      </c>
      <c r="Z12" s="87" cm="1">
        <f t="array" ref="Z12">ROUNDDOWN(TO_RANGE(Z13,2018,2027), 0)</f>
        <v>2025</v>
      </c>
      <c r="AA12" s="87" cm="1">
        <f t="array" ref="AA12">ROUNDDOWN(TO_RANGE(AA13,2018,2027), 0)</f>
        <v>2023</v>
      </c>
      <c r="AB12" s="87" cm="1">
        <f t="array" ref="AB12">ROUNDDOWN(TO_RANGE(AB13,2018,2021), 0)</f>
        <v>2019</v>
      </c>
      <c r="AC12" s="89" cm="1">
        <f t="array" ref="AC12">ROUNDDOWN(TO_RANGE(AC13,2021,2027), 0)</f>
        <v>2026</v>
      </c>
    </row>
    <row r="13" spans="2:29" x14ac:dyDescent="0.15">
      <c r="B13" s="4" t="s">
        <v>107</v>
      </c>
      <c r="C13" s="2"/>
      <c r="D13" s="2"/>
      <c r="E13" s="4"/>
      <c r="F13" s="4"/>
      <c r="G13" s="2"/>
      <c r="H13" s="29" t="s">
        <v>61</v>
      </c>
      <c r="I13" s="25">
        <v>3</v>
      </c>
      <c r="J13" s="25">
        <f>'Answers 1'!L12</f>
        <v>0</v>
      </c>
      <c r="K13" s="25" t="str">
        <f t="shared" si="0"/>
        <v>0</v>
      </c>
      <c r="M13" s="91">
        <f>M14/(2^31-1)</f>
        <v>2.2477936010098986E-5</v>
      </c>
      <c r="N13" s="91">
        <f>N14/(2^31-1)</f>
        <v>8.5032449143488176E-2</v>
      </c>
      <c r="O13" s="91">
        <f t="shared" ref="O13:AC13" si="1">O14/(2^31-1)</f>
        <v>0.60135260531741785</v>
      </c>
      <c r="P13" s="91">
        <f t="shared" si="1"/>
        <v>0.89161127707530341</v>
      </c>
      <c r="Q13" s="91">
        <f t="shared" si="1"/>
        <v>0.96795570196954328</v>
      </c>
      <c r="R13" s="91">
        <f t="shared" si="1"/>
        <v>0.18968977182623453</v>
      </c>
      <c r="S13" s="91">
        <f t="shared" si="1"/>
        <v>0.514975824167475</v>
      </c>
      <c r="T13" s="91">
        <f t="shared" si="1"/>
        <v>0.39800838818680884</v>
      </c>
      <c r="U13" s="91">
        <f t="shared" si="1"/>
        <v>0.26290616545030204</v>
      </c>
      <c r="V13" s="91">
        <f t="shared" si="1"/>
        <v>0.74351245152927581</v>
      </c>
      <c r="W13" s="91">
        <f t="shared" si="1"/>
        <v>8.9547769673889402E-2</v>
      </c>
      <c r="X13" s="91">
        <f t="shared" si="1"/>
        <v>0.56038992831501644</v>
      </c>
      <c r="Y13" s="91">
        <f t="shared" si="1"/>
        <v>0.58222969415701442</v>
      </c>
      <c r="Z13" s="91">
        <f t="shared" si="1"/>
        <v>0.80956665324492694</v>
      </c>
      <c r="AA13" s="91">
        <f t="shared" si="1"/>
        <v>0.59191878586631208</v>
      </c>
      <c r="AB13" s="91">
        <f t="shared" si="1"/>
        <v>0.51171255275221195</v>
      </c>
      <c r="AC13" s="91">
        <f t="shared" si="1"/>
        <v>0.87663390202291025</v>
      </c>
    </row>
    <row r="14" spans="2:29" x14ac:dyDescent="0.15">
      <c r="B14" s="4"/>
      <c r="C14" s="2"/>
      <c r="D14" s="2"/>
      <c r="E14" s="4"/>
      <c r="F14" s="21"/>
      <c r="G14" s="2"/>
      <c r="H14" s="29" t="s">
        <v>61</v>
      </c>
      <c r="I14" s="25">
        <v>4</v>
      </c>
      <c r="J14" s="25">
        <f>'Answers 1'!L13</f>
        <v>0</v>
      </c>
      <c r="K14" s="25" t="str">
        <f>TRIM(J14)</f>
        <v>0</v>
      </c>
      <c r="M14" s="92">
        <f>MOD(48271*$D$4,2^31-1)</f>
        <v>48271</v>
      </c>
      <c r="N14" s="92">
        <f>MOD(48271*M14,2^31-1)</f>
        <v>182605794</v>
      </c>
      <c r="O14" s="92">
        <f t="shared" ref="O14:AC14" si="2">MOD(48271*N14,2^31-1)</f>
        <v>1291394886</v>
      </c>
      <c r="P14" s="92">
        <f t="shared" si="2"/>
        <v>1914720637</v>
      </c>
      <c r="Q14" s="92">
        <f t="shared" si="2"/>
        <v>2078669041</v>
      </c>
      <c r="R14" s="92">
        <f t="shared" si="2"/>
        <v>407355683</v>
      </c>
      <c r="S14" s="92">
        <f t="shared" si="2"/>
        <v>1105902161</v>
      </c>
      <c r="T14" s="92">
        <f t="shared" si="2"/>
        <v>854716505</v>
      </c>
      <c r="U14" s="92">
        <f t="shared" si="2"/>
        <v>564586691</v>
      </c>
      <c r="V14" s="92">
        <f t="shared" si="2"/>
        <v>1596680831</v>
      </c>
      <c r="W14" s="92">
        <f t="shared" si="2"/>
        <v>192302371</v>
      </c>
      <c r="X14" s="92">
        <f t="shared" si="2"/>
        <v>1203428207</v>
      </c>
      <c r="Y14" s="92">
        <f t="shared" si="2"/>
        <v>1250328747</v>
      </c>
      <c r="Z14" s="92">
        <f t="shared" si="2"/>
        <v>1738531149</v>
      </c>
      <c r="AA14" s="92">
        <f t="shared" si="2"/>
        <v>1271135913</v>
      </c>
      <c r="AB14" s="92">
        <f t="shared" si="2"/>
        <v>1098894339</v>
      </c>
      <c r="AC14" s="92">
        <f t="shared" si="2"/>
        <v>1882556969</v>
      </c>
    </row>
    <row r="15" spans="2:29" x14ac:dyDescent="0.15">
      <c r="B15" s="3"/>
      <c r="C15" s="2"/>
      <c r="D15" s="2"/>
      <c r="E15" s="4"/>
      <c r="F15" s="21"/>
      <c r="G15" s="2"/>
      <c r="H15" s="29" t="s">
        <v>61</v>
      </c>
      <c r="I15" s="25">
        <v>5</v>
      </c>
      <c r="J15" s="25" t="str">
        <f>'Answers 1'!L14</f>
        <v>Click Here</v>
      </c>
      <c r="K15" s="25" t="str">
        <f t="shared" si="0"/>
        <v>Click Here</v>
      </c>
      <c r="M15" s="33"/>
    </row>
    <row r="16" spans="2:29" x14ac:dyDescent="0.15">
      <c r="B16" s="3"/>
      <c r="C16" s="2"/>
      <c r="D16" s="2"/>
      <c r="E16" s="2"/>
      <c r="F16" s="2"/>
      <c r="G16" s="2"/>
      <c r="H16" s="29" t="s">
        <v>61</v>
      </c>
      <c r="I16" s="25">
        <v>6</v>
      </c>
      <c r="J16" s="25">
        <f>'Answers 1'!L15</f>
        <v>0</v>
      </c>
      <c r="K16" s="25" t="str">
        <f t="shared" si="0"/>
        <v>0</v>
      </c>
      <c r="M16" s="33"/>
    </row>
    <row r="17" spans="2:29" x14ac:dyDescent="0.15">
      <c r="B17" s="3"/>
      <c r="C17" s="2"/>
      <c r="D17" s="2"/>
      <c r="E17" s="2"/>
      <c r="F17" s="2"/>
      <c r="G17" s="2"/>
      <c r="H17" s="29" t="s">
        <v>60</v>
      </c>
      <c r="I17" s="25">
        <v>1</v>
      </c>
      <c r="J17" s="25" t="str">
        <f>'Answers 1'!L17</f>
        <v>Click Here</v>
      </c>
      <c r="K17" s="25" t="str">
        <f t="shared" si="0"/>
        <v>Click Here</v>
      </c>
      <c r="M17" s="33"/>
    </row>
    <row r="18" spans="2:29" x14ac:dyDescent="0.15">
      <c r="B18" s="3"/>
      <c r="C18" s="2"/>
      <c r="D18" s="2"/>
      <c r="E18" s="2"/>
      <c r="F18" s="2"/>
      <c r="G18" s="2"/>
      <c r="H18" s="29" t="s">
        <v>60</v>
      </c>
      <c r="I18" s="25">
        <v>2</v>
      </c>
      <c r="J18" s="25" t="str">
        <f>'Answers 1'!L18</f>
        <v>Click Here</v>
      </c>
      <c r="K18" s="25" t="str">
        <f t="shared" si="0"/>
        <v>Click Here</v>
      </c>
      <c r="M18" s="33"/>
    </row>
    <row r="19" spans="2:29" x14ac:dyDescent="0.15">
      <c r="B19" s="2"/>
      <c r="C19" s="2"/>
      <c r="D19" s="2"/>
      <c r="E19" s="2"/>
      <c r="F19" s="2"/>
      <c r="G19" s="2"/>
      <c r="H19" s="30" t="s">
        <v>59</v>
      </c>
      <c r="I19" s="26">
        <v>1</v>
      </c>
      <c r="J19" s="26">
        <f>'Answers 2'!L4</f>
        <v>0</v>
      </c>
      <c r="K19" s="26" t="str">
        <f>TRIM(J19)</f>
        <v>0</v>
      </c>
      <c r="M19" s="33"/>
    </row>
    <row r="20" spans="2:29" x14ac:dyDescent="0.15">
      <c r="B20" s="2"/>
      <c r="C20" s="2"/>
      <c r="D20" s="2"/>
      <c r="E20" s="2"/>
      <c r="F20" s="2"/>
      <c r="G20" s="2"/>
      <c r="H20" s="44" t="s">
        <v>59</v>
      </c>
      <c r="I20" s="26">
        <v>2</v>
      </c>
      <c r="J20" s="26">
        <f>'Answers 2'!L5</f>
        <v>0</v>
      </c>
      <c r="K20" s="26" t="str">
        <f>TRIM(J20)</f>
        <v>0</v>
      </c>
      <c r="M20" s="33"/>
    </row>
    <row r="21" spans="2:29" x14ac:dyDescent="0.15">
      <c r="B21" s="2"/>
      <c r="C21" s="2"/>
      <c r="D21" s="2"/>
      <c r="E21" s="2"/>
      <c r="F21" s="2"/>
      <c r="G21" s="2"/>
      <c r="H21" s="44" t="s">
        <v>59</v>
      </c>
      <c r="I21" s="26">
        <v>3</v>
      </c>
      <c r="J21" s="26">
        <f>'Answers 2'!L6</f>
        <v>0</v>
      </c>
      <c r="K21" s="26" t="str">
        <f>TRIM(J21)</f>
        <v>0</v>
      </c>
      <c r="M21" s="33"/>
    </row>
    <row r="22" spans="2:29" x14ac:dyDescent="0.15">
      <c r="B22" s="2"/>
      <c r="C22" s="22"/>
      <c r="D22" s="22"/>
      <c r="E22" s="22"/>
      <c r="F22" s="2"/>
      <c r="G22" s="2"/>
      <c r="H22" s="44" t="s">
        <v>61</v>
      </c>
      <c r="I22" s="26">
        <v>1</v>
      </c>
      <c r="J22" s="26">
        <f>'Answers 2'!L8</f>
        <v>0</v>
      </c>
      <c r="K22" s="26" t="str">
        <f t="shared" ref="K22" si="3">TRIM(J22)</f>
        <v>0</v>
      </c>
      <c r="M22" s="33"/>
    </row>
    <row r="23" spans="2:29" x14ac:dyDescent="0.15">
      <c r="B23" s="28" t="s">
        <v>17</v>
      </c>
      <c r="C23" s="31" t="s">
        <v>15</v>
      </c>
      <c r="D23" s="31" t="s">
        <v>16</v>
      </c>
      <c r="E23" s="32" t="s">
        <v>18</v>
      </c>
      <c r="F23" s="2"/>
      <c r="G23" s="2"/>
      <c r="H23" s="44" t="s">
        <v>61</v>
      </c>
      <c r="I23" s="26">
        <v>2</v>
      </c>
      <c r="J23" s="26">
        <f>'Answers 2'!L9</f>
        <v>0</v>
      </c>
      <c r="K23" s="26" t="str">
        <f t="shared" ref="K23:K30" si="4">TRIM(J23)</f>
        <v>0</v>
      </c>
      <c r="M23" s="33"/>
    </row>
    <row r="24" spans="2:29" x14ac:dyDescent="0.15">
      <c r="C24" s="23"/>
      <c r="D24" s="23"/>
      <c r="F24" s="2"/>
      <c r="G24" s="2"/>
      <c r="H24" s="44" t="s">
        <v>61</v>
      </c>
      <c r="I24" s="26">
        <v>3</v>
      </c>
      <c r="J24" s="26">
        <f>'Answers 2'!L10</f>
        <v>0</v>
      </c>
      <c r="K24" s="26" t="str">
        <f t="shared" si="4"/>
        <v>0</v>
      </c>
      <c r="M24" s="33"/>
    </row>
    <row r="25" spans="2:29" x14ac:dyDescent="0.15">
      <c r="C25" s="23"/>
      <c r="D25" s="23"/>
      <c r="F25" s="2"/>
      <c r="G25" s="2"/>
      <c r="H25" s="44" t="s">
        <v>60</v>
      </c>
      <c r="I25" s="26">
        <v>1</v>
      </c>
      <c r="J25" s="26">
        <f>'Answers 2'!L12</f>
        <v>0</v>
      </c>
      <c r="K25" s="26" t="str">
        <f t="shared" si="4"/>
        <v>0</v>
      </c>
      <c r="M25" s="33"/>
    </row>
    <row r="26" spans="2:29" x14ac:dyDescent="0.15">
      <c r="C26" s="23"/>
      <c r="D26" s="23"/>
      <c r="F26" s="2"/>
      <c r="G26" s="2"/>
      <c r="H26" s="44" t="s">
        <v>60</v>
      </c>
      <c r="I26" s="26">
        <v>2</v>
      </c>
      <c r="J26" s="26">
        <f>'Answers 2'!L13</f>
        <v>0</v>
      </c>
      <c r="K26" s="26" t="str">
        <f t="shared" si="4"/>
        <v>0</v>
      </c>
      <c r="M26" s="33"/>
    </row>
    <row r="27" spans="2:29" x14ac:dyDescent="0.15">
      <c r="C27" s="23"/>
      <c r="F27" s="2"/>
      <c r="G27" s="2"/>
      <c r="H27" s="44" t="s">
        <v>60</v>
      </c>
      <c r="I27" s="26">
        <v>3</v>
      </c>
      <c r="J27" s="26">
        <f>'Answers 2'!L14</f>
        <v>0</v>
      </c>
      <c r="K27" s="26" t="str">
        <f t="shared" si="4"/>
        <v>0</v>
      </c>
      <c r="M27" s="33"/>
    </row>
    <row r="28" spans="2:29" x14ac:dyDescent="0.15">
      <c r="B28" s="2"/>
      <c r="C28" s="22"/>
      <c r="D28" s="22"/>
      <c r="E28" s="22"/>
      <c r="F28" s="2"/>
      <c r="G28" s="2"/>
      <c r="H28" s="44" t="s">
        <v>60</v>
      </c>
      <c r="I28" s="26">
        <v>4</v>
      </c>
      <c r="J28" s="26">
        <f>'Answers 2'!L15</f>
        <v>0</v>
      </c>
      <c r="K28" s="26" t="str">
        <f t="shared" si="4"/>
        <v>0</v>
      </c>
      <c r="M28" s="33"/>
    </row>
    <row r="29" spans="2:29" x14ac:dyDescent="0.15">
      <c r="B29" s="2"/>
      <c r="C29" s="22"/>
      <c r="D29" s="22"/>
      <c r="E29" s="22"/>
      <c r="F29" s="2"/>
      <c r="G29" s="2"/>
      <c r="H29" s="44" t="s">
        <v>62</v>
      </c>
      <c r="I29" s="26">
        <v>1</v>
      </c>
      <c r="J29" s="26" t="str">
        <f>'Answers 2'!L17</f>
        <v>Click Here</v>
      </c>
      <c r="K29" s="26" t="str">
        <f t="shared" si="4"/>
        <v>Click Here</v>
      </c>
      <c r="M29" s="33"/>
      <c r="N29" s="33"/>
      <c r="O29" s="33"/>
      <c r="P29" s="33"/>
      <c r="Q29" s="33"/>
      <c r="R29" s="33"/>
      <c r="S29" s="33"/>
      <c r="T29" s="33"/>
      <c r="U29" s="33"/>
      <c r="V29" s="33"/>
      <c r="W29" s="33"/>
      <c r="X29" s="33"/>
      <c r="Y29" s="33"/>
      <c r="Z29" s="33"/>
    </row>
    <row r="30" spans="2:29" ht="15" x14ac:dyDescent="0.2">
      <c r="C30" s="23"/>
      <c r="D30" s="22"/>
      <c r="E30" s="22"/>
      <c r="H30" s="44" t="s">
        <v>62</v>
      </c>
      <c r="I30" s="26">
        <v>2</v>
      </c>
      <c r="J30" s="26" t="str">
        <f>'Answers 2'!L18</f>
        <v>Click Here</v>
      </c>
      <c r="K30" s="26" t="str">
        <f t="shared" si="4"/>
        <v>Click Here</v>
      </c>
      <c r="M30" s="33"/>
      <c r="N30" s="37" t="s">
        <v>31</v>
      </c>
      <c r="O30" s="38">
        <v>1</v>
      </c>
      <c r="P30" s="38"/>
      <c r="Q30" s="38"/>
      <c r="R30" s="38"/>
      <c r="S30" s="33"/>
      <c r="T30" s="33"/>
      <c r="U30" s="33"/>
      <c r="V30" s="7" t="s">
        <v>48</v>
      </c>
      <c r="W30" s="33"/>
      <c r="X30" s="80" t="s">
        <v>48</v>
      </c>
      <c r="Y30" s="7"/>
      <c r="Z30" s="33"/>
      <c r="AA30" s="5" t="s">
        <v>48</v>
      </c>
      <c r="AC30" s="5"/>
    </row>
    <row r="31" spans="2:29" ht="15" x14ac:dyDescent="0.2">
      <c r="C31" s="23"/>
      <c r="D31" s="22"/>
      <c r="E31" s="22"/>
      <c r="M31" s="33"/>
      <c r="N31" s="37" t="s">
        <v>32</v>
      </c>
      <c r="O31" s="39"/>
      <c r="P31" s="39"/>
      <c r="Q31" s="38"/>
      <c r="R31" s="38"/>
      <c r="S31" s="33"/>
      <c r="T31" s="33"/>
      <c r="U31" s="33"/>
      <c r="V31" s="5" t="s">
        <v>49</v>
      </c>
      <c r="W31" s="33"/>
      <c r="X31" s="80" t="s">
        <v>49</v>
      </c>
      <c r="Y31" s="7"/>
      <c r="Z31" s="33"/>
      <c r="AA31" s="5" t="s">
        <v>49</v>
      </c>
      <c r="AC31" s="5"/>
    </row>
    <row r="32" spans="2:29" ht="15" x14ac:dyDescent="0.2">
      <c r="C32" s="23"/>
      <c r="D32" s="22"/>
      <c r="E32" s="22"/>
      <c r="M32" s="33"/>
      <c r="N32" s="37" t="s">
        <v>33</v>
      </c>
      <c r="O32" s="40"/>
      <c r="P32" s="38"/>
      <c r="Q32" s="38"/>
      <c r="R32" s="38"/>
      <c r="S32" s="33"/>
      <c r="T32" s="33"/>
      <c r="U32" s="33"/>
      <c r="V32" s="7" t="s">
        <v>86</v>
      </c>
      <c r="W32" s="33"/>
      <c r="X32" s="33">
        <v>2021</v>
      </c>
      <c r="Y32" s="7"/>
      <c r="Z32" s="33"/>
      <c r="AA32" s="5" t="s">
        <v>11</v>
      </c>
      <c r="AC32" s="5"/>
    </row>
    <row r="33" spans="3:29" ht="15" x14ac:dyDescent="0.15">
      <c r="C33" s="23"/>
      <c r="D33" s="22"/>
      <c r="E33" s="22"/>
      <c r="M33" s="33"/>
      <c r="N33" s="41" t="s">
        <v>34</v>
      </c>
      <c r="O33" s="38"/>
      <c r="P33" s="38"/>
      <c r="Q33" s="38"/>
      <c r="R33" s="38"/>
      <c r="S33" s="33"/>
      <c r="T33" s="33"/>
      <c r="U33" s="33"/>
      <c r="V33" s="7" t="s">
        <v>87</v>
      </c>
      <c r="W33" s="33"/>
      <c r="X33" s="33">
        <v>2022</v>
      </c>
      <c r="Y33" s="7"/>
      <c r="Z33" s="33"/>
      <c r="AA33" s="5" t="s">
        <v>12</v>
      </c>
      <c r="AC33" s="5"/>
    </row>
    <row r="34" spans="3:29" x14ac:dyDescent="0.15">
      <c r="C34" s="23"/>
      <c r="D34" s="22"/>
      <c r="E34" s="22"/>
      <c r="M34" s="33"/>
      <c r="N34" s="38"/>
      <c r="O34" s="38"/>
      <c r="P34" s="38"/>
      <c r="Q34" s="38"/>
      <c r="R34" s="38"/>
      <c r="S34" s="33"/>
      <c r="T34" s="33"/>
      <c r="U34" s="33"/>
      <c r="V34" s="33"/>
      <c r="W34" s="33"/>
      <c r="X34" s="33">
        <v>2023</v>
      </c>
      <c r="Y34" s="33"/>
      <c r="Z34" s="33"/>
      <c r="AA34" s="5" t="s">
        <v>20</v>
      </c>
      <c r="AC34" s="5"/>
    </row>
    <row r="35" spans="3:29" ht="15" x14ac:dyDescent="0.15">
      <c r="C35" s="23"/>
      <c r="D35" s="23"/>
      <c r="M35" s="33"/>
      <c r="N35" s="42" t="s">
        <v>35</v>
      </c>
      <c r="O35" s="42" t="s">
        <v>36</v>
      </c>
      <c r="P35" s="42" t="s">
        <v>37</v>
      </c>
      <c r="Q35" s="42" t="s">
        <v>38</v>
      </c>
      <c r="R35" s="42" t="s">
        <v>39</v>
      </c>
      <c r="S35" s="33"/>
      <c r="T35" s="33"/>
      <c r="U35" s="33"/>
      <c r="V35" s="33"/>
      <c r="W35" s="33"/>
      <c r="X35" s="81">
        <v>2024</v>
      </c>
      <c r="Y35" s="33"/>
      <c r="Z35" s="33"/>
      <c r="AA35" s="5"/>
      <c r="AC35" s="5"/>
    </row>
    <row r="36" spans="3:29" x14ac:dyDescent="0.15">
      <c r="C36" s="23"/>
      <c r="D36" s="23"/>
      <c r="M36" s="33"/>
      <c r="N36" s="33"/>
      <c r="O36" s="33"/>
      <c r="P36" s="33"/>
      <c r="Q36" s="43"/>
      <c r="R36" s="33"/>
      <c r="S36" s="33"/>
      <c r="T36" s="33"/>
      <c r="U36" s="33"/>
      <c r="V36" s="33"/>
      <c r="W36" s="33"/>
      <c r="X36" s="81">
        <v>2025</v>
      </c>
      <c r="Y36" s="33"/>
      <c r="Z36" s="33"/>
    </row>
    <row r="37" spans="3:29" x14ac:dyDescent="0.15">
      <c r="C37" s="23"/>
      <c r="D37" s="23"/>
      <c r="M37" s="33"/>
      <c r="N37" s="33"/>
      <c r="O37" s="33"/>
      <c r="P37" s="33"/>
      <c r="Q37" s="43"/>
      <c r="R37" s="33"/>
      <c r="S37" s="33"/>
      <c r="T37" s="33"/>
      <c r="U37" s="33"/>
      <c r="V37" s="33"/>
      <c r="W37" s="33"/>
      <c r="X37" s="81">
        <v>2026</v>
      </c>
      <c r="Y37" s="33"/>
      <c r="Z37" s="33"/>
    </row>
    <row r="38" spans="3:29" x14ac:dyDescent="0.15">
      <c r="C38" s="23"/>
      <c r="D38" s="23"/>
      <c r="M38" s="33"/>
      <c r="N38" s="33"/>
      <c r="O38" s="33"/>
      <c r="P38" s="33"/>
      <c r="Q38" s="43"/>
      <c r="R38" s="33"/>
      <c r="S38" s="33"/>
      <c r="T38" s="33"/>
      <c r="U38" s="33"/>
      <c r="V38" s="33"/>
      <c r="W38" s="33"/>
      <c r="X38" s="33"/>
      <c r="Y38" s="33"/>
      <c r="Z38" s="33"/>
    </row>
    <row r="39" spans="3:29" x14ac:dyDescent="0.15">
      <c r="C39" s="23"/>
      <c r="D39" s="23"/>
      <c r="M39" s="33"/>
      <c r="N39" s="33"/>
      <c r="O39" s="33"/>
      <c r="P39" s="33"/>
      <c r="Q39" s="43"/>
      <c r="R39" s="33"/>
      <c r="S39" s="33"/>
      <c r="T39" s="33"/>
      <c r="U39" s="33"/>
      <c r="V39" s="33"/>
      <c r="W39" s="33"/>
      <c r="X39" s="33"/>
      <c r="Y39" s="33"/>
      <c r="Z39" s="33"/>
    </row>
    <row r="40" spans="3:29" x14ac:dyDescent="0.15">
      <c r="D40" s="23"/>
      <c r="Q40" s="23"/>
    </row>
    <row r="41" spans="3:29" x14ac:dyDescent="0.15">
      <c r="D41" s="23"/>
    </row>
    <row r="42" spans="3:29" x14ac:dyDescent="0.15">
      <c r="D42" s="23"/>
    </row>
    <row r="43" spans="3:29" x14ac:dyDescent="0.15">
      <c r="D43" s="23"/>
    </row>
    <row r="326" spans="15:15" x14ac:dyDescent="0.15">
      <c r="O326">
        <v>1</v>
      </c>
    </row>
    <row r="327" spans="15:15" x14ac:dyDescent="0.15">
      <c r="O327">
        <v>1</v>
      </c>
    </row>
    <row r="328" spans="15:15" x14ac:dyDescent="0.15">
      <c r="O328">
        <v>1</v>
      </c>
    </row>
    <row r="329" spans="15:15" x14ac:dyDescent="0.15">
      <c r="O329">
        <v>1</v>
      </c>
    </row>
    <row r="330" spans="15:15" x14ac:dyDescent="0.15">
      <c r="O330">
        <v>42</v>
      </c>
    </row>
  </sheetData>
  <sheetProtection algorithmName="SHA-512" hashValue="Inivn6SBEYGf2bMPm22wzPZVYh2ZkuCcWV0OGLYnLXKyeIUok4w+liNjYWAS+keOoiIDauYmGkkrrphiyXsPQQ==" saltValue="MN1Ej2U5l8eYGE6PJf8aFw==" spinCount="100000" sheet="1" objects="1" scenarios="1"/>
  <phoneticPr fontId="20" type="noConversion"/>
  <pageMargins left="0.7" right="0.7" top="0.75" bottom="0.75" header="0.3" footer="0.3"/>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Instructions</vt:lpstr>
    </vt:vector>
  </TitlesOfParts>
  <Company>Faculty of Business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Erhan Erkut</dc:creator>
  <cp:lastModifiedBy>Deniz Ugur</cp:lastModifiedBy>
  <cp:lastPrinted>2004-10-04T08:02:46Z</cp:lastPrinted>
  <dcterms:created xsi:type="dcterms:W3CDTF">2000-10-11T17:47:18Z</dcterms:created>
  <dcterms:modified xsi:type="dcterms:W3CDTF">2020-12-15T20:11:15Z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50f14b40-9d02-44a9-b81a-015187b71dd1</vt:lpwstr>
  </property>
</Properties>
</file>